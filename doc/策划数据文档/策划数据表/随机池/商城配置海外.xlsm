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8540" windowHeight="8850" activeTab="1"/>
  </bookViews>
  <sheets>
    <sheet name="shopCfg.xml" sheetId="1" r:id="rId1"/>
    <sheet name="shopItemsCfg.xml" sheetId="2" r:id="rId2"/>
    <sheet name="shopInitItemsCfg.xml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D2427" i="2"/>
  <c r="D2515" s="1"/>
  <c r="D2426"/>
  <c r="D2514" s="1"/>
  <c r="D2425"/>
  <c r="D2469" s="1"/>
  <c r="D2424"/>
  <c r="D2512" s="1"/>
  <c r="D2423"/>
  <c r="D2511" s="1"/>
  <c r="D2422"/>
  <c r="D2510" s="1"/>
  <c r="D2421"/>
  <c r="D2509" s="1"/>
  <c r="D2420"/>
  <c r="D2464" s="1"/>
  <c r="D2419"/>
  <c r="D2507" s="1"/>
  <c r="D2418"/>
  <c r="D2506" s="1"/>
  <c r="D2417"/>
  <c r="D2461" s="1"/>
  <c r="D2416"/>
  <c r="D2504" s="1"/>
  <c r="D2415"/>
  <c r="D2503" s="1"/>
  <c r="D2414"/>
  <c r="D2502" s="1"/>
  <c r="D2413"/>
  <c r="D2501" s="1"/>
  <c r="D2412"/>
  <c r="D2456" s="1"/>
  <c r="D2411"/>
  <c r="D2499" s="1"/>
  <c r="D2410"/>
  <c r="D2498" s="1"/>
  <c r="D2409"/>
  <c r="D2497" s="1"/>
  <c r="D2408"/>
  <c r="D2496" s="1"/>
  <c r="D2407"/>
  <c r="D2495" s="1"/>
  <c r="D2406"/>
  <c r="D2494" s="1"/>
  <c r="D2383"/>
  <c r="M2383" s="1"/>
  <c r="D2382"/>
  <c r="D2381"/>
  <c r="M2381" s="1"/>
  <c r="D2380"/>
  <c r="D2379"/>
  <c r="M2379" s="1"/>
  <c r="D2378"/>
  <c r="D2377"/>
  <c r="M2377" s="1"/>
  <c r="D2376"/>
  <c r="D2375"/>
  <c r="M2375" s="1"/>
  <c r="D2374"/>
  <c r="D2373"/>
  <c r="M2373" s="1"/>
  <c r="D2372"/>
  <c r="D2371"/>
  <c r="M2371" s="1"/>
  <c r="D2370"/>
  <c r="D2369"/>
  <c r="M2369" s="1"/>
  <c r="D2368"/>
  <c r="D2367"/>
  <c r="D2366"/>
  <c r="D2365"/>
  <c r="D2364"/>
  <c r="D2363"/>
  <c r="D2362"/>
  <c r="D2361"/>
  <c r="D2449" s="1"/>
  <c r="D2360"/>
  <c r="D2448" s="1"/>
  <c r="D2359"/>
  <c r="D2447" s="1"/>
  <c r="D2358"/>
  <c r="D2446" s="1"/>
  <c r="D2357"/>
  <c r="D2445" s="1"/>
  <c r="D2356"/>
  <c r="D2400" s="1"/>
  <c r="D2355"/>
  <c r="D2443" s="1"/>
  <c r="D2354"/>
  <c r="D2442" s="1"/>
  <c r="D2353"/>
  <c r="D2397" s="1"/>
  <c r="D2352"/>
  <c r="D2440" s="1"/>
  <c r="D2351"/>
  <c r="D2439" s="1"/>
  <c r="D2350"/>
  <c r="D2438" s="1"/>
  <c r="D2349"/>
  <c r="D2437" s="1"/>
  <c r="D2348"/>
  <c r="D2392" s="1"/>
  <c r="D2347"/>
  <c r="D2435" s="1"/>
  <c r="D2346"/>
  <c r="D2434" s="1"/>
  <c r="D2345"/>
  <c r="D2389" s="1"/>
  <c r="D2344"/>
  <c r="D2432" s="1"/>
  <c r="D2343"/>
  <c r="D2431" s="1"/>
  <c r="D2342"/>
  <c r="D2430" s="1"/>
  <c r="D2341"/>
  <c r="D2429" s="1"/>
  <c r="D2340"/>
  <c r="D2384" s="1"/>
  <c r="D1899"/>
  <c r="D1987" s="1"/>
  <c r="D1898"/>
  <c r="D1986" s="1"/>
  <c r="D1897"/>
  <c r="D1985" s="1"/>
  <c r="D1896"/>
  <c r="D1940" s="1"/>
  <c r="D1895"/>
  <c r="D1983" s="1"/>
  <c r="D1894"/>
  <c r="D1982" s="1"/>
  <c r="D1893"/>
  <c r="D1981" s="1"/>
  <c r="D1892"/>
  <c r="D1980" s="1"/>
  <c r="D1891"/>
  <c r="D1979" s="1"/>
  <c r="D1890"/>
  <c r="D1978" s="1"/>
  <c r="D1889"/>
  <c r="D1977" s="1"/>
  <c r="D1888"/>
  <c r="D1932" s="1"/>
  <c r="D1887"/>
  <c r="D1975" s="1"/>
  <c r="D1886"/>
  <c r="D1974" s="1"/>
  <c r="D1885"/>
  <c r="D1973" s="1"/>
  <c r="D1884"/>
  <c r="D1972" s="1"/>
  <c r="D1883"/>
  <c r="D1971" s="1"/>
  <c r="D1882"/>
  <c r="D1970" s="1"/>
  <c r="D1881"/>
  <c r="D1969" s="1"/>
  <c r="D1880"/>
  <c r="D1924" s="1"/>
  <c r="D1879"/>
  <c r="D1967" s="1"/>
  <c r="D1878"/>
  <c r="D1966" s="1"/>
  <c r="D1855"/>
  <c r="M1855" s="1"/>
  <c r="D1854"/>
  <c r="D1853"/>
  <c r="M1853" s="1"/>
  <c r="D1852"/>
  <c r="D1851"/>
  <c r="M1851" s="1"/>
  <c r="D1850"/>
  <c r="D1849"/>
  <c r="M1849" s="1"/>
  <c r="D1848"/>
  <c r="D1847"/>
  <c r="M1847" s="1"/>
  <c r="D1846"/>
  <c r="D1845"/>
  <c r="M1845" s="1"/>
  <c r="D1844"/>
  <c r="D1843"/>
  <c r="M1843" s="1"/>
  <c r="D1842"/>
  <c r="D1841"/>
  <c r="M1841" s="1"/>
  <c r="D1840"/>
  <c r="D1839"/>
  <c r="D1838"/>
  <c r="D1837"/>
  <c r="D1836"/>
  <c r="D1835"/>
  <c r="D1834"/>
  <c r="D1833"/>
  <c r="D1921" s="1"/>
  <c r="D1832"/>
  <c r="D1876" s="1"/>
  <c r="D1831"/>
  <c r="D1919" s="1"/>
  <c r="D1830"/>
  <c r="D1918" s="1"/>
  <c r="D1829"/>
  <c r="D1917" s="1"/>
  <c r="D1828"/>
  <c r="D1916" s="1"/>
  <c r="D1827"/>
  <c r="D1915" s="1"/>
  <c r="D1826"/>
  <c r="D1914" s="1"/>
  <c r="D1825"/>
  <c r="D1913" s="1"/>
  <c r="D1824"/>
  <c r="D1868" s="1"/>
  <c r="D1823"/>
  <c r="D1911" s="1"/>
  <c r="D1822"/>
  <c r="D1910" s="1"/>
  <c r="D1821"/>
  <c r="D1909" s="1"/>
  <c r="D1820"/>
  <c r="D1908" s="1"/>
  <c r="D1819"/>
  <c r="D1907" s="1"/>
  <c r="D1818"/>
  <c r="D1906" s="1"/>
  <c r="D1817"/>
  <c r="D1861" s="1"/>
  <c r="D1816"/>
  <c r="D1860" s="1"/>
  <c r="D1815"/>
  <c r="D1903" s="1"/>
  <c r="D1814"/>
  <c r="D1902" s="1"/>
  <c r="D1813"/>
  <c r="D1901" s="1"/>
  <c r="D1812"/>
  <c r="D1900" s="1"/>
  <c r="M5309"/>
  <c r="M5307"/>
  <c r="M5305"/>
  <c r="M5303"/>
  <c r="M5301"/>
  <c r="M5299"/>
  <c r="M5297"/>
  <c r="M5295"/>
  <c r="M5287"/>
  <c r="M5285"/>
  <c r="M5283"/>
  <c r="M5281"/>
  <c r="M5279"/>
  <c r="M5277"/>
  <c r="M5275"/>
  <c r="M5273"/>
  <c r="M5265"/>
  <c r="M5263"/>
  <c r="M5261"/>
  <c r="M5259"/>
  <c r="M5257"/>
  <c r="M5255"/>
  <c r="M5253"/>
  <c r="M5251"/>
  <c r="M5243"/>
  <c r="M5241"/>
  <c r="M5239"/>
  <c r="M5237"/>
  <c r="M5235"/>
  <c r="M5233"/>
  <c r="M5231"/>
  <c r="M5229"/>
  <c r="M5221"/>
  <c r="M5219"/>
  <c r="M5217"/>
  <c r="M5215"/>
  <c r="M5213"/>
  <c r="M5211"/>
  <c r="M5209"/>
  <c r="M5207"/>
  <c r="M5197"/>
  <c r="M5195"/>
  <c r="M5193"/>
  <c r="M5191"/>
  <c r="M5189"/>
  <c r="M5187"/>
  <c r="M5177"/>
  <c r="M5175"/>
  <c r="M5173"/>
  <c r="M5171"/>
  <c r="M5169"/>
  <c r="M5167"/>
  <c r="M5165"/>
  <c r="M5163"/>
  <c r="M5153"/>
  <c r="M5151"/>
  <c r="M5149"/>
  <c r="M5147"/>
  <c r="M5145"/>
  <c r="M5143"/>
  <c r="M5131"/>
  <c r="M5129"/>
  <c r="M5127"/>
  <c r="M5125"/>
  <c r="M5123"/>
  <c r="M5121"/>
  <c r="M5111"/>
  <c r="M5109"/>
  <c r="M5105"/>
  <c r="M5101"/>
  <c r="M5097"/>
  <c r="M5094"/>
  <c r="M5087"/>
  <c r="M5085"/>
  <c r="M5083"/>
  <c r="M5081"/>
  <c r="M5079"/>
  <c r="M5077"/>
  <c r="M5067"/>
  <c r="M5065"/>
  <c r="M5061"/>
  <c r="M5057"/>
  <c r="M5053"/>
  <c r="M5050"/>
  <c r="M5045"/>
  <c r="M5043"/>
  <c r="M5039"/>
  <c r="M5035"/>
  <c r="M5031"/>
  <c r="M5028"/>
  <c r="M5023"/>
  <c r="M5021"/>
  <c r="M5001"/>
  <c r="M4999"/>
  <c r="M4995"/>
  <c r="M4991"/>
  <c r="M4987"/>
  <c r="M4984"/>
  <c r="M4979"/>
  <c r="M4977"/>
  <c r="M4957"/>
  <c r="M4955"/>
  <c r="M4931"/>
  <c r="M4927"/>
  <c r="M4925"/>
  <c r="M4923"/>
  <c r="M4921"/>
  <c r="M4913"/>
  <c r="M4911"/>
  <c r="M4887"/>
  <c r="M4883"/>
  <c r="M4881"/>
  <c r="M4879"/>
  <c r="M4877"/>
  <c r="M4865"/>
  <c r="M4861"/>
  <c r="M4859"/>
  <c r="M4857"/>
  <c r="M4855"/>
  <c r="M4847"/>
  <c r="M4845"/>
  <c r="M4843"/>
  <c r="M4839"/>
  <c r="M4835"/>
  <c r="M4821"/>
  <c r="M4817"/>
  <c r="M4815"/>
  <c r="M4813"/>
  <c r="M4811"/>
  <c r="M4803"/>
  <c r="M4801"/>
  <c r="M4799"/>
  <c r="M4795"/>
  <c r="M4791"/>
  <c r="M4781"/>
  <c r="M4779"/>
  <c r="M4777"/>
  <c r="M4773"/>
  <c r="M4769"/>
  <c r="M4759"/>
  <c r="M4753"/>
  <c r="M4749"/>
  <c r="M4745"/>
  <c r="M4737"/>
  <c r="M4735"/>
  <c r="M4733"/>
  <c r="M4729"/>
  <c r="M4725"/>
  <c r="M4715"/>
  <c r="M4709"/>
  <c r="M4705"/>
  <c r="M4701"/>
  <c r="M4693"/>
  <c r="M4687"/>
  <c r="M4683"/>
  <c r="M4679"/>
  <c r="M4667"/>
  <c r="M4663"/>
  <c r="M4659"/>
  <c r="M4649"/>
  <c r="M4643"/>
  <c r="M4639"/>
  <c r="M4635"/>
  <c r="M4623"/>
  <c r="M4619"/>
  <c r="M4615"/>
  <c r="M4601"/>
  <c r="M4597"/>
  <c r="M4593"/>
  <c r="M4583"/>
  <c r="M4581"/>
  <c r="M4579"/>
  <c r="M4577"/>
  <c r="M4575"/>
  <c r="M4571"/>
  <c r="M4557"/>
  <c r="M4553"/>
  <c r="M4549"/>
  <c r="M4539"/>
  <c r="M4537"/>
  <c r="M4535"/>
  <c r="M4533"/>
  <c r="M4531"/>
  <c r="M4527"/>
  <c r="M4517"/>
  <c r="M4515"/>
  <c r="M4513"/>
  <c r="M4511"/>
  <c r="M4509"/>
  <c r="M4505"/>
  <c r="M4491"/>
  <c r="M4487"/>
  <c r="M4485"/>
  <c r="M4483"/>
  <c r="M4481"/>
  <c r="M4473"/>
  <c r="M4471"/>
  <c r="M4469"/>
  <c r="M4467"/>
  <c r="M4465"/>
  <c r="M4461"/>
  <c r="M4447"/>
  <c r="M4443"/>
  <c r="M4441"/>
  <c r="M4439"/>
  <c r="M4437"/>
  <c r="M4425"/>
  <c r="M4421"/>
  <c r="M4419"/>
  <c r="M4417"/>
  <c r="M4415"/>
  <c r="M4407"/>
  <c r="M4405"/>
  <c r="M4403"/>
  <c r="M4399"/>
  <c r="M4395"/>
  <c r="M4387"/>
  <c r="M4386"/>
  <c r="M4381"/>
  <c r="M4377"/>
  <c r="M4375"/>
  <c r="M4373"/>
  <c r="M4371"/>
  <c r="M4363"/>
  <c r="M4361"/>
  <c r="M4359"/>
  <c r="M4355"/>
  <c r="M4351"/>
  <c r="M4343"/>
  <c r="M4342"/>
  <c r="M4341"/>
  <c r="M4339"/>
  <c r="M4337"/>
  <c r="M4333"/>
  <c r="M4329"/>
  <c r="M4321"/>
  <c r="M4320"/>
  <c r="M4319"/>
  <c r="M4317"/>
  <c r="M4315"/>
  <c r="M4311"/>
  <c r="M4307"/>
  <c r="M4303"/>
  <c r="M4297"/>
  <c r="M4295"/>
  <c r="M4293"/>
  <c r="M4289"/>
  <c r="M4285"/>
  <c r="M4277"/>
  <c r="M4276"/>
  <c r="M4275"/>
  <c r="M4273"/>
  <c r="M4271"/>
  <c r="M4267"/>
  <c r="M4263"/>
  <c r="M4259"/>
  <c r="M4253"/>
  <c r="M4251"/>
  <c r="M4249"/>
  <c r="M4245"/>
  <c r="M4241"/>
  <c r="M4237"/>
  <c r="M4227"/>
  <c r="M4223"/>
  <c r="M4219"/>
  <c r="M4214"/>
  <c r="M4213"/>
  <c r="M4209"/>
  <c r="M4207"/>
  <c r="M4205"/>
  <c r="M4201"/>
  <c r="M4197"/>
  <c r="M4193"/>
  <c r="M4183"/>
  <c r="M4179"/>
  <c r="M4175"/>
  <c r="M4170"/>
  <c r="M4169"/>
  <c r="M4161"/>
  <c r="M4157"/>
  <c r="M4153"/>
  <c r="M4148"/>
  <c r="M4147"/>
  <c r="M4143"/>
  <c r="M4142"/>
  <c r="M4141"/>
  <c r="M4139"/>
  <c r="M4135"/>
  <c r="M4131"/>
  <c r="M4127"/>
  <c r="M4124"/>
  <c r="M4123"/>
  <c r="M4122"/>
  <c r="M4121"/>
  <c r="M4120"/>
  <c r="M4119"/>
  <c r="M4118"/>
  <c r="M4117"/>
  <c r="M4116"/>
  <c r="M4115"/>
  <c r="M4114"/>
  <c r="M4113"/>
  <c r="M4112"/>
  <c r="M4111"/>
  <c r="M4110"/>
  <c r="M4109"/>
  <c r="M4108"/>
  <c r="M4107"/>
  <c r="M4106"/>
  <c r="M4105"/>
  <c r="M4104"/>
  <c r="M4103"/>
  <c r="M4102"/>
  <c r="M4101"/>
  <c r="M4100"/>
  <c r="M4099"/>
  <c r="M4098"/>
  <c r="M4097"/>
  <c r="M4096"/>
  <c r="M4095"/>
  <c r="M4094"/>
  <c r="M4093"/>
  <c r="M4092"/>
  <c r="M4091"/>
  <c r="M4090"/>
  <c r="M4089"/>
  <c r="M4088"/>
  <c r="M4087"/>
  <c r="M4086"/>
  <c r="M4085"/>
  <c r="M4084"/>
  <c r="M4083"/>
  <c r="M4082"/>
  <c r="M4081"/>
  <c r="M4080"/>
  <c r="M4079"/>
  <c r="M4078"/>
  <c r="M4077"/>
  <c r="M4076"/>
  <c r="M4075"/>
  <c r="M4074"/>
  <c r="M4073"/>
  <c r="M4072"/>
  <c r="M4071"/>
  <c r="M4070"/>
  <c r="M4069"/>
  <c r="M4068"/>
  <c r="M4067"/>
  <c r="M4066"/>
  <c r="M4065"/>
  <c r="M4064"/>
  <c r="M4063"/>
  <c r="M4062"/>
  <c r="M4061"/>
  <c r="M4060"/>
  <c r="M4059"/>
  <c r="M4058"/>
  <c r="M4057"/>
  <c r="M4056"/>
  <c r="M4055"/>
  <c r="M4054"/>
  <c r="M4053"/>
  <c r="M4052"/>
  <c r="M4051"/>
  <c r="M4050"/>
  <c r="M4049"/>
  <c r="M4048"/>
  <c r="M4047"/>
  <c r="M4046"/>
  <c r="M4045"/>
  <c r="M4044"/>
  <c r="M4043"/>
  <c r="M4042"/>
  <c r="M4041"/>
  <c r="M4040"/>
  <c r="M4039"/>
  <c r="M4038"/>
  <c r="M4037"/>
  <c r="M4036"/>
  <c r="M4035"/>
  <c r="M4034"/>
  <c r="M4033"/>
  <c r="M4032"/>
  <c r="M4031"/>
  <c r="M4030"/>
  <c r="M4029"/>
  <c r="M4028"/>
  <c r="M4027"/>
  <c r="M4026"/>
  <c r="M4025"/>
  <c r="M4024"/>
  <c r="M4023"/>
  <c r="M4022"/>
  <c r="M4021"/>
  <c r="M4020"/>
  <c r="M4019"/>
  <c r="M4018"/>
  <c r="M4017"/>
  <c r="M4016"/>
  <c r="M4015"/>
  <c r="M4014"/>
  <c r="M4013"/>
  <c r="M4012"/>
  <c r="M4011"/>
  <c r="M4010"/>
  <c r="M4009"/>
  <c r="M4008"/>
  <c r="M4007"/>
  <c r="M4006"/>
  <c r="M4005"/>
  <c r="M4004"/>
  <c r="M4003"/>
  <c r="M4002"/>
  <c r="M4001"/>
  <c r="M4000"/>
  <c r="M3999"/>
  <c r="M3998"/>
  <c r="M3997"/>
  <c r="M3996"/>
  <c r="M3995"/>
  <c r="M3994"/>
  <c r="M3993"/>
  <c r="M3992"/>
  <c r="M3991"/>
  <c r="M3990"/>
  <c r="M3989"/>
  <c r="M3987"/>
  <c r="M3985"/>
  <c r="M3983"/>
  <c r="M3981"/>
  <c r="M3979"/>
  <c r="M3977"/>
  <c r="M3975"/>
  <c r="M3965"/>
  <c r="M3963"/>
  <c r="M3961"/>
  <c r="M3959"/>
  <c r="M3957"/>
  <c r="M3955"/>
  <c r="M3945"/>
  <c r="M3943"/>
  <c r="M3941"/>
  <c r="M3939"/>
  <c r="M3937"/>
  <c r="M3935"/>
  <c r="M3933"/>
  <c r="M3931"/>
  <c r="M3921"/>
  <c r="M3919"/>
  <c r="M3917"/>
  <c r="M3915"/>
  <c r="M3913"/>
  <c r="M3911"/>
  <c r="M3899"/>
  <c r="M3897"/>
  <c r="M3895"/>
  <c r="M3893"/>
  <c r="M3891"/>
  <c r="M3889"/>
  <c r="M3879"/>
  <c r="M3877"/>
  <c r="M3873"/>
  <c r="M3869"/>
  <c r="M3865"/>
  <c r="M3862"/>
  <c r="M3855"/>
  <c r="M3853"/>
  <c r="M3851"/>
  <c r="M3849"/>
  <c r="M3847"/>
  <c r="M3845"/>
  <c r="M3835"/>
  <c r="M3833"/>
  <c r="M3829"/>
  <c r="M3825"/>
  <c r="M3821"/>
  <c r="M3818"/>
  <c r="M3813"/>
  <c r="M3811"/>
  <c r="M3807"/>
  <c r="M3803"/>
  <c r="M3799"/>
  <c r="M3796"/>
  <c r="M3791"/>
  <c r="M3789"/>
  <c r="M3769"/>
  <c r="M3767"/>
  <c r="M3763"/>
  <c r="M3759"/>
  <c r="M3755"/>
  <c r="M3752"/>
  <c r="M3747"/>
  <c r="M3745"/>
  <c r="M3725"/>
  <c r="M3724"/>
  <c r="M3723"/>
  <c r="M3722"/>
  <c r="M3721"/>
  <c r="M3720"/>
  <c r="M3719"/>
  <c r="M3718"/>
  <c r="M3717"/>
  <c r="M3716"/>
  <c r="M3715"/>
  <c r="M3714"/>
  <c r="M3713"/>
  <c r="M3712"/>
  <c r="M3711"/>
  <c r="M3710"/>
  <c r="M3709"/>
  <c r="M3708"/>
  <c r="M3707"/>
  <c r="M3706"/>
  <c r="M3705"/>
  <c r="M3704"/>
  <c r="M3699"/>
  <c r="M3695"/>
  <c r="M3693"/>
  <c r="M3691"/>
  <c r="M3689"/>
  <c r="M3681"/>
  <c r="M3680"/>
  <c r="M3679"/>
  <c r="M3678"/>
  <c r="M3677"/>
  <c r="M3676"/>
  <c r="M3675"/>
  <c r="M3674"/>
  <c r="M3673"/>
  <c r="M3672"/>
  <c r="M3671"/>
  <c r="M3670"/>
  <c r="M3669"/>
  <c r="M3668"/>
  <c r="M3667"/>
  <c r="M3666"/>
  <c r="M3665"/>
  <c r="M3664"/>
  <c r="M3663"/>
  <c r="M3662"/>
  <c r="M3661"/>
  <c r="M3660"/>
  <c r="M3655"/>
  <c r="M3651"/>
  <c r="M3649"/>
  <c r="M3647"/>
  <c r="M3645"/>
  <c r="M3633"/>
  <c r="M3629"/>
  <c r="M3627"/>
  <c r="M3625"/>
  <c r="M3623"/>
  <c r="M3615"/>
  <c r="M3613"/>
  <c r="M3611"/>
  <c r="M3607"/>
  <c r="M3603"/>
  <c r="M3589"/>
  <c r="M3585"/>
  <c r="M3583"/>
  <c r="M3581"/>
  <c r="M3579"/>
  <c r="M3571"/>
  <c r="M3569"/>
  <c r="M3567"/>
  <c r="M3563"/>
  <c r="M3559"/>
  <c r="M3549"/>
  <c r="M3547"/>
  <c r="M3545"/>
  <c r="M3541"/>
  <c r="M3537"/>
  <c r="M3527"/>
  <c r="M3521"/>
  <c r="M3517"/>
  <c r="M3513"/>
  <c r="M3505"/>
  <c r="M3503"/>
  <c r="M3501"/>
  <c r="M3497"/>
  <c r="M3493"/>
  <c r="M3483"/>
  <c r="M3477"/>
  <c r="M3473"/>
  <c r="M3469"/>
  <c r="M3461"/>
  <c r="M3455"/>
  <c r="M3451"/>
  <c r="M3447"/>
  <c r="M3435"/>
  <c r="M3431"/>
  <c r="M3427"/>
  <c r="M3417"/>
  <c r="M3411"/>
  <c r="M3407"/>
  <c r="M3403"/>
  <c r="M3391"/>
  <c r="M3387"/>
  <c r="M3383"/>
  <c r="M3373"/>
  <c r="M3372"/>
  <c r="M3371"/>
  <c r="M3370"/>
  <c r="M3369"/>
  <c r="M3368"/>
  <c r="M3367"/>
  <c r="M3366"/>
  <c r="M3365"/>
  <c r="M3364"/>
  <c r="M3363"/>
  <c r="M3362"/>
  <c r="M3361"/>
  <c r="M3360"/>
  <c r="M3359"/>
  <c r="M3358"/>
  <c r="M3357"/>
  <c r="M3356"/>
  <c r="M3355"/>
  <c r="M3354"/>
  <c r="M3353"/>
  <c r="M3352"/>
  <c r="M3351"/>
  <c r="M3350"/>
  <c r="M3349"/>
  <c r="M3348"/>
  <c r="M3347"/>
  <c r="M3346"/>
  <c r="M3345"/>
  <c r="M3344"/>
  <c r="M3343"/>
  <c r="M3342"/>
  <c r="M3341"/>
  <c r="M3340"/>
  <c r="M3339"/>
  <c r="M3338"/>
  <c r="M3337"/>
  <c r="M3336"/>
  <c r="M3335"/>
  <c r="M3334"/>
  <c r="M3333"/>
  <c r="M3332"/>
  <c r="M3331"/>
  <c r="M3330"/>
  <c r="M3325"/>
  <c r="M3321"/>
  <c r="M3317"/>
  <c r="M3307"/>
  <c r="M3305"/>
  <c r="M3303"/>
  <c r="M3301"/>
  <c r="M3299"/>
  <c r="M3295"/>
  <c r="M3285"/>
  <c r="M3283"/>
  <c r="M3281"/>
  <c r="M3279"/>
  <c r="M3277"/>
  <c r="M3273"/>
  <c r="M3259"/>
  <c r="M3255"/>
  <c r="M3253"/>
  <c r="M3251"/>
  <c r="M3249"/>
  <c r="M3241"/>
  <c r="M3239"/>
  <c r="M3237"/>
  <c r="M3235"/>
  <c r="M3233"/>
  <c r="M3229"/>
  <c r="M3215"/>
  <c r="M3211"/>
  <c r="M3209"/>
  <c r="M3207"/>
  <c r="M3205"/>
  <c r="M3193"/>
  <c r="M3189"/>
  <c r="M3187"/>
  <c r="M3185"/>
  <c r="M3183"/>
  <c r="M3175"/>
  <c r="M3173"/>
  <c r="M3171"/>
  <c r="M3167"/>
  <c r="M3163"/>
  <c r="M3155"/>
  <c r="M3154"/>
  <c r="M3149"/>
  <c r="M3145"/>
  <c r="M3143"/>
  <c r="M3141"/>
  <c r="M3139"/>
  <c r="M3131"/>
  <c r="M3129"/>
  <c r="M3127"/>
  <c r="M3123"/>
  <c r="M3119"/>
  <c r="M3111"/>
  <c r="M3110"/>
  <c r="M3109"/>
  <c r="M3107"/>
  <c r="M3105"/>
  <c r="M3101"/>
  <c r="M3097"/>
  <c r="M3089"/>
  <c r="M3088"/>
  <c r="M3087"/>
  <c r="M3085"/>
  <c r="M3083"/>
  <c r="M3079"/>
  <c r="M3075"/>
  <c r="M3071"/>
  <c r="M3065"/>
  <c r="M3063"/>
  <c r="M3061"/>
  <c r="M3057"/>
  <c r="M3053"/>
  <c r="M3045"/>
  <c r="M3044"/>
  <c r="M3043"/>
  <c r="M3041"/>
  <c r="M3039"/>
  <c r="M3035"/>
  <c r="M3031"/>
  <c r="M3027"/>
  <c r="M3021"/>
  <c r="M3019"/>
  <c r="M3017"/>
  <c r="M3013"/>
  <c r="M3009"/>
  <c r="M3005"/>
  <c r="M2995"/>
  <c r="M2991"/>
  <c r="M2987"/>
  <c r="M2982"/>
  <c r="M2981"/>
  <c r="M2977"/>
  <c r="M2975"/>
  <c r="M2973"/>
  <c r="M2969"/>
  <c r="M2965"/>
  <c r="M2961"/>
  <c r="M2951"/>
  <c r="M2947"/>
  <c r="M2943"/>
  <c r="M2938"/>
  <c r="M2937"/>
  <c r="M2929"/>
  <c r="M2925"/>
  <c r="M2921"/>
  <c r="M2916"/>
  <c r="M2915"/>
  <c r="M2911"/>
  <c r="M2910"/>
  <c r="M2909"/>
  <c r="M2907"/>
  <c r="M2903"/>
  <c r="M2899"/>
  <c r="M2895"/>
  <c r="M2892"/>
  <c r="M2891"/>
  <c r="M2890"/>
  <c r="M2889"/>
  <c r="M2885"/>
  <c r="M2881"/>
  <c r="M2877"/>
  <c r="M2872"/>
  <c r="M2871"/>
  <c r="M2867"/>
  <c r="M2866"/>
  <c r="M2865"/>
  <c r="M2864"/>
  <c r="M2863"/>
  <c r="M2862"/>
  <c r="M2861"/>
  <c r="M2860"/>
  <c r="M2859"/>
  <c r="M2858"/>
  <c r="M2857"/>
  <c r="M2856"/>
  <c r="M2855"/>
  <c r="M2854"/>
  <c r="M2853"/>
  <c r="M2852"/>
  <c r="M2851"/>
  <c r="M2850"/>
  <c r="M2849"/>
  <c r="M2848"/>
  <c r="M2847"/>
  <c r="M2846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5"/>
  <c r="M56"/>
  <c r="M61"/>
  <c r="M65"/>
  <c r="M69"/>
  <c r="M73"/>
  <c r="M121"/>
  <c r="M122"/>
  <c r="M127"/>
  <c r="M131"/>
  <c r="M135"/>
  <c r="M145"/>
  <c r="M149"/>
  <c r="M153"/>
  <c r="M157"/>
  <c r="M159"/>
  <c r="M161"/>
  <c r="M211"/>
  <c r="M215"/>
  <c r="M219"/>
  <c r="M223"/>
  <c r="M225"/>
  <c r="M227"/>
  <c r="M228"/>
  <c r="M229"/>
  <c r="M237"/>
  <c r="M241"/>
  <c r="M245"/>
  <c r="M247"/>
  <c r="M249"/>
  <c r="M294"/>
  <c r="M295"/>
  <c r="M303"/>
  <c r="M307"/>
  <c r="M311"/>
  <c r="M313"/>
  <c r="M315"/>
  <c r="M323"/>
  <c r="M325"/>
  <c r="M327"/>
  <c r="M329"/>
  <c r="M333"/>
  <c r="M389"/>
  <c r="M391"/>
  <c r="M393"/>
  <c r="M395"/>
  <c r="M399"/>
  <c r="M413"/>
  <c r="M417"/>
  <c r="M419"/>
  <c r="M421"/>
  <c r="M423"/>
  <c r="M425"/>
  <c r="M479"/>
  <c r="M483"/>
  <c r="M485"/>
  <c r="M487"/>
  <c r="M489"/>
  <c r="M491"/>
  <c r="M501"/>
  <c r="M505"/>
  <c r="M509"/>
  <c r="M567"/>
  <c r="M571"/>
  <c r="M575"/>
  <c r="M587"/>
  <c r="M591"/>
  <c r="M595"/>
  <c r="M601"/>
  <c r="M653"/>
  <c r="M657"/>
  <c r="M661"/>
  <c r="M667"/>
  <c r="M677"/>
  <c r="M681"/>
  <c r="M685"/>
  <c r="M687"/>
  <c r="M689"/>
  <c r="M743"/>
  <c r="M747"/>
  <c r="M751"/>
  <c r="M753"/>
  <c r="M755"/>
  <c r="M763"/>
  <c r="M765"/>
  <c r="M767"/>
  <c r="M769"/>
  <c r="M773"/>
  <c r="M829"/>
  <c r="M831"/>
  <c r="M833"/>
  <c r="M835"/>
  <c r="M839"/>
  <c r="M863"/>
  <c r="M865"/>
  <c r="M929"/>
  <c r="M931"/>
  <c r="M936"/>
  <c r="M939"/>
  <c r="M943"/>
  <c r="M947"/>
  <c r="M951"/>
  <c r="M953"/>
  <c r="M1002"/>
  <c r="M1005"/>
  <c r="M1009"/>
  <c r="M1013"/>
  <c r="M1017"/>
  <c r="M1019"/>
  <c r="M1029"/>
  <c r="M1031"/>
  <c r="M1033"/>
  <c r="M1035"/>
  <c r="M1037"/>
  <c r="M1039"/>
  <c r="M1095"/>
  <c r="M1097"/>
  <c r="M1099"/>
  <c r="M1101"/>
  <c r="M1103"/>
  <c r="M1105"/>
  <c r="M1115"/>
  <c r="M1117"/>
  <c r="M1119"/>
  <c r="M1121"/>
  <c r="M1123"/>
  <c r="M1125"/>
  <c r="M1127"/>
  <c r="M1129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D1256"/>
  <c r="M1256" s="1"/>
  <c r="D2517" l="1"/>
  <c r="D2473"/>
  <c r="D2525"/>
  <c r="D2481"/>
  <c r="D2537"/>
  <c r="D2493"/>
  <c r="D2587"/>
  <c r="D2543"/>
  <c r="D2595"/>
  <c r="D2551"/>
  <c r="D2599"/>
  <c r="D2555"/>
  <c r="D2520"/>
  <c r="D2476"/>
  <c r="D2528"/>
  <c r="D2484"/>
  <c r="D2582"/>
  <c r="D2538"/>
  <c r="D2590"/>
  <c r="D2546"/>
  <c r="D2602"/>
  <c r="D2558"/>
  <c r="D2519"/>
  <c r="D2475"/>
  <c r="D2523"/>
  <c r="D2479"/>
  <c r="D2527"/>
  <c r="D2483"/>
  <c r="D2531"/>
  <c r="D2487"/>
  <c r="D2535"/>
  <c r="D2491"/>
  <c r="D2585"/>
  <c r="D2541"/>
  <c r="D2589"/>
  <c r="D2545"/>
  <c r="D2597"/>
  <c r="D2553"/>
  <c r="D2533"/>
  <c r="D2489"/>
  <c r="D2583"/>
  <c r="D2539"/>
  <c r="D2591"/>
  <c r="D2547"/>
  <c r="D2603"/>
  <c r="D2559"/>
  <c r="D2536"/>
  <c r="D2492"/>
  <c r="D2586"/>
  <c r="D2542"/>
  <c r="D2594"/>
  <c r="D2550"/>
  <c r="D2598"/>
  <c r="D2554"/>
  <c r="D2518"/>
  <c r="D2474"/>
  <c r="D2522"/>
  <c r="D2478"/>
  <c r="D2526"/>
  <c r="D2482"/>
  <c r="D2530"/>
  <c r="D2486"/>
  <c r="D2534"/>
  <c r="D2490"/>
  <c r="D2584"/>
  <c r="D2540"/>
  <c r="D2592"/>
  <c r="D2548"/>
  <c r="D2600"/>
  <c r="D2556"/>
  <c r="D2385"/>
  <c r="D2393"/>
  <c r="D2401"/>
  <c r="D2405"/>
  <c r="D2433"/>
  <c r="D2441"/>
  <c r="D2457"/>
  <c r="D2465"/>
  <c r="D2505"/>
  <c r="D2513"/>
  <c r="D2388"/>
  <c r="D2396"/>
  <c r="D2404"/>
  <c r="D2428"/>
  <c r="D2436"/>
  <c r="D2444"/>
  <c r="D2452"/>
  <c r="D2460"/>
  <c r="D2468"/>
  <c r="D2500"/>
  <c r="D2508"/>
  <c r="D2387"/>
  <c r="D2391"/>
  <c r="D2395"/>
  <c r="D2399"/>
  <c r="D2403"/>
  <c r="D2451"/>
  <c r="D2455"/>
  <c r="D2459"/>
  <c r="D2463"/>
  <c r="D2467"/>
  <c r="D2471"/>
  <c r="D2453"/>
  <c r="D2386"/>
  <c r="D2390"/>
  <c r="D2394"/>
  <c r="D2398"/>
  <c r="D2402"/>
  <c r="D2450"/>
  <c r="D2454"/>
  <c r="D2458"/>
  <c r="D2462"/>
  <c r="D2466"/>
  <c r="D2470"/>
  <c r="D1989"/>
  <c r="D1945"/>
  <c r="D1997"/>
  <c r="D1953"/>
  <c r="D2005"/>
  <c r="D1961"/>
  <c r="D2055"/>
  <c r="D2011"/>
  <c r="D2063"/>
  <c r="D2019"/>
  <c r="D2071"/>
  <c r="D2027"/>
  <c r="D1988"/>
  <c r="D1944"/>
  <c r="D1996"/>
  <c r="D1952"/>
  <c r="D2004"/>
  <c r="D1960"/>
  <c r="D2058"/>
  <c r="D2014"/>
  <c r="D2066"/>
  <c r="D2022"/>
  <c r="D2074"/>
  <c r="D2030"/>
  <c r="D1991"/>
  <c r="D1947"/>
  <c r="D1995"/>
  <c r="D1951"/>
  <c r="D1999"/>
  <c r="D1955"/>
  <c r="D2003"/>
  <c r="D1959"/>
  <c r="D2007"/>
  <c r="D1963"/>
  <c r="D2057"/>
  <c r="D2013"/>
  <c r="D2061"/>
  <c r="D2017"/>
  <c r="D2065"/>
  <c r="D2021"/>
  <c r="D2069"/>
  <c r="D2025"/>
  <c r="D2073"/>
  <c r="D2029"/>
  <c r="D2001"/>
  <c r="D1957"/>
  <c r="D2009"/>
  <c r="D1965"/>
  <c r="D2059"/>
  <c r="D2015"/>
  <c r="D2067"/>
  <c r="D2023"/>
  <c r="D2075"/>
  <c r="D2031"/>
  <c r="D2054"/>
  <c r="D2010"/>
  <c r="D2062"/>
  <c r="D2018"/>
  <c r="D2070"/>
  <c r="D2026"/>
  <c r="D1990"/>
  <c r="D1946"/>
  <c r="D1994"/>
  <c r="D1950"/>
  <c r="D1998"/>
  <c r="D1954"/>
  <c r="D2002"/>
  <c r="D1958"/>
  <c r="D2006"/>
  <c r="D1962"/>
  <c r="D2060"/>
  <c r="D2016"/>
  <c r="D2068"/>
  <c r="D2024"/>
  <c r="D1857"/>
  <c r="D1865"/>
  <c r="D1869"/>
  <c r="D1877"/>
  <c r="D1905"/>
  <c r="D1929"/>
  <c r="D1937"/>
  <c r="D1856"/>
  <c r="D1864"/>
  <c r="D1872"/>
  <c r="D1904"/>
  <c r="D1912"/>
  <c r="D1920"/>
  <c r="D1928"/>
  <c r="D1936"/>
  <c r="D1968"/>
  <c r="D1976"/>
  <c r="D1984"/>
  <c r="D1859"/>
  <c r="D1863"/>
  <c r="D1867"/>
  <c r="D1871"/>
  <c r="D1875"/>
  <c r="D1923"/>
  <c r="D1927"/>
  <c r="D1931"/>
  <c r="D1935"/>
  <c r="D1939"/>
  <c r="D1943"/>
  <c r="D1873"/>
  <c r="D1925"/>
  <c r="D1933"/>
  <c r="D1941"/>
  <c r="D1858"/>
  <c r="D1862"/>
  <c r="D1866"/>
  <c r="D1870"/>
  <c r="D1874"/>
  <c r="D1922"/>
  <c r="D1926"/>
  <c r="D1930"/>
  <c r="D1934"/>
  <c r="D1938"/>
  <c r="D1942"/>
  <c r="D2480" l="1"/>
  <c r="D2524"/>
  <c r="D2644"/>
  <c r="D2688"/>
  <c r="D2628"/>
  <c r="D2672"/>
  <c r="D2618"/>
  <c r="D2574"/>
  <c r="D2610"/>
  <c r="D2566"/>
  <c r="D2686"/>
  <c r="D2642"/>
  <c r="D2674"/>
  <c r="D2630"/>
  <c r="D2691"/>
  <c r="D2647"/>
  <c r="D2671"/>
  <c r="D2627"/>
  <c r="D2641"/>
  <c r="D2685"/>
  <c r="D2673"/>
  <c r="D2629"/>
  <c r="D2619"/>
  <c r="D2575"/>
  <c r="D2611"/>
  <c r="D2567"/>
  <c r="D2690"/>
  <c r="D2646"/>
  <c r="D2670"/>
  <c r="D2626"/>
  <c r="D2608"/>
  <c r="D2564"/>
  <c r="D2683"/>
  <c r="D2639"/>
  <c r="D2625"/>
  <c r="D2581"/>
  <c r="D2605"/>
  <c r="D2561"/>
  <c r="D2588"/>
  <c r="D2544"/>
  <c r="D2488"/>
  <c r="D2532"/>
  <c r="D2596"/>
  <c r="D2552"/>
  <c r="D2549"/>
  <c r="D2593"/>
  <c r="D2477"/>
  <c r="D2521"/>
  <c r="D2636"/>
  <c r="D2680"/>
  <c r="D2622"/>
  <c r="D2578"/>
  <c r="D2614"/>
  <c r="D2570"/>
  <c r="D2606"/>
  <c r="D2562"/>
  <c r="D2682"/>
  <c r="D2638"/>
  <c r="D2624"/>
  <c r="D2580"/>
  <c r="D2679"/>
  <c r="D2635"/>
  <c r="D2577"/>
  <c r="D2621"/>
  <c r="D2633"/>
  <c r="D2677"/>
  <c r="D2623"/>
  <c r="D2579"/>
  <c r="D2615"/>
  <c r="D2571"/>
  <c r="D2607"/>
  <c r="D2563"/>
  <c r="D2678"/>
  <c r="D2634"/>
  <c r="D2616"/>
  <c r="D2572"/>
  <c r="D2687"/>
  <c r="D2643"/>
  <c r="D2675"/>
  <c r="D2631"/>
  <c r="D2569"/>
  <c r="D2613"/>
  <c r="D2472"/>
  <c r="D2516"/>
  <c r="D2557"/>
  <c r="D2601"/>
  <c r="D2485"/>
  <c r="D2529"/>
  <c r="D1948"/>
  <c r="D1992"/>
  <c r="D2094"/>
  <c r="D2050"/>
  <c r="D2078"/>
  <c r="D2034"/>
  <c r="D2163"/>
  <c r="D2119"/>
  <c r="D2089"/>
  <c r="D2045"/>
  <c r="D2105"/>
  <c r="D2149"/>
  <c r="D2087"/>
  <c r="D2043"/>
  <c r="D2092"/>
  <c r="D2048"/>
  <c r="D2151"/>
  <c r="D2107"/>
  <c r="D2077"/>
  <c r="D2033"/>
  <c r="D2012"/>
  <c r="D2056"/>
  <c r="D2020"/>
  <c r="D2064"/>
  <c r="D1964"/>
  <c r="D2008"/>
  <c r="D1993"/>
  <c r="D1949"/>
  <c r="D2148"/>
  <c r="D2104"/>
  <c r="D2090"/>
  <c r="D2046"/>
  <c r="D2082"/>
  <c r="D2038"/>
  <c r="D2158"/>
  <c r="D2114"/>
  <c r="D2142"/>
  <c r="D2098"/>
  <c r="D2155"/>
  <c r="D2111"/>
  <c r="D2097"/>
  <c r="D2053"/>
  <c r="D2161"/>
  <c r="D2117"/>
  <c r="D2153"/>
  <c r="D2109"/>
  <c r="D2145"/>
  <c r="D2101"/>
  <c r="D2091"/>
  <c r="D2047"/>
  <c r="D2083"/>
  <c r="D2039"/>
  <c r="D2162"/>
  <c r="D2118"/>
  <c r="D2146"/>
  <c r="D2102"/>
  <c r="D2084"/>
  <c r="D2040"/>
  <c r="D2159"/>
  <c r="D2115"/>
  <c r="D2143"/>
  <c r="D2099"/>
  <c r="D2085"/>
  <c r="D2041"/>
  <c r="D2156"/>
  <c r="D2112"/>
  <c r="D2086"/>
  <c r="D2042"/>
  <c r="D2150"/>
  <c r="D2106"/>
  <c r="D2147"/>
  <c r="D2103"/>
  <c r="D2113"/>
  <c r="D2157"/>
  <c r="D2095"/>
  <c r="D2051"/>
  <c r="D2079"/>
  <c r="D2035"/>
  <c r="D2154"/>
  <c r="D2110"/>
  <c r="D2076"/>
  <c r="D2032"/>
  <c r="D2093"/>
  <c r="D2049"/>
  <c r="D1956"/>
  <c r="D2000"/>
  <c r="D2028"/>
  <c r="D2072"/>
  <c r="D2766" l="1"/>
  <c r="D2810" s="1"/>
  <c r="D2722"/>
  <c r="D2770"/>
  <c r="D2814" s="1"/>
  <c r="D2726"/>
  <c r="D2771"/>
  <c r="D2815" s="1"/>
  <c r="D2727"/>
  <c r="D2758"/>
  <c r="D2802" s="1"/>
  <c r="D2714"/>
  <c r="D2759"/>
  <c r="D2803" s="1"/>
  <c r="D2715"/>
  <c r="D2689"/>
  <c r="D2645"/>
  <c r="D2765"/>
  <c r="D2809" s="1"/>
  <c r="D2721"/>
  <c r="D2724"/>
  <c r="D2768"/>
  <c r="D2812" s="1"/>
  <c r="D2620"/>
  <c r="D2576"/>
  <c r="D2612"/>
  <c r="D2568"/>
  <c r="D2763"/>
  <c r="D2807" s="1"/>
  <c r="D2719"/>
  <c r="D2660"/>
  <c r="D2704"/>
  <c r="D2695"/>
  <c r="D2651"/>
  <c r="D2711"/>
  <c r="D2667"/>
  <c r="D2668"/>
  <c r="D2712"/>
  <c r="D2694"/>
  <c r="D2650"/>
  <c r="D2710"/>
  <c r="D2666"/>
  <c r="D2684"/>
  <c r="D2640"/>
  <c r="D2676"/>
  <c r="D2632"/>
  <c r="D2713"/>
  <c r="D2669"/>
  <c r="D2652"/>
  <c r="D2696"/>
  <c r="D2778"/>
  <c r="D2822" s="1"/>
  <c r="D2734"/>
  <c r="D2707"/>
  <c r="D2663"/>
  <c r="D2779"/>
  <c r="D2823" s="1"/>
  <c r="D2735"/>
  <c r="D2774"/>
  <c r="D2818" s="1"/>
  <c r="D2730"/>
  <c r="D2706"/>
  <c r="D2662"/>
  <c r="D2775"/>
  <c r="D2819" s="1"/>
  <c r="D2731"/>
  <c r="D2703"/>
  <c r="D2659"/>
  <c r="D2767"/>
  <c r="D2811" s="1"/>
  <c r="D2723"/>
  <c r="D2702"/>
  <c r="D2658"/>
  <c r="D2649"/>
  <c r="D2693"/>
  <c r="D2699"/>
  <c r="D2655"/>
  <c r="D2717"/>
  <c r="D2761"/>
  <c r="D2805" s="1"/>
  <c r="D2762"/>
  <c r="D2806" s="1"/>
  <c r="D2718"/>
  <c r="D2698"/>
  <c r="D2654"/>
  <c r="D2657"/>
  <c r="D2701"/>
  <c r="D2681"/>
  <c r="D2637"/>
  <c r="D2716"/>
  <c r="D2760"/>
  <c r="D2804" s="1"/>
  <c r="D2617"/>
  <c r="D2573"/>
  <c r="D2604"/>
  <c r="D2560"/>
  <c r="D2709"/>
  <c r="D2665"/>
  <c r="D2565"/>
  <c r="D2609"/>
  <c r="D2773"/>
  <c r="D2817" s="1"/>
  <c r="D2729"/>
  <c r="D2732"/>
  <c r="D2776"/>
  <c r="D2820" s="1"/>
  <c r="D2164"/>
  <c r="D2120"/>
  <c r="D2244"/>
  <c r="D2288" s="1"/>
  <c r="D2200"/>
  <c r="D2172"/>
  <c r="D2128"/>
  <c r="D2179"/>
  <c r="D2135"/>
  <c r="D2185"/>
  <c r="D2141"/>
  <c r="D2170"/>
  <c r="D2126"/>
  <c r="D2239"/>
  <c r="D2283" s="1"/>
  <c r="D2195"/>
  <c r="D2245"/>
  <c r="D2289" s="1"/>
  <c r="D2201"/>
  <c r="D2052"/>
  <c r="D2096"/>
  <c r="D2100"/>
  <c r="D2144"/>
  <c r="D2036"/>
  <c r="D2080"/>
  <c r="D2181"/>
  <c r="D2137"/>
  <c r="D2242"/>
  <c r="D2286" s="1"/>
  <c r="D2198"/>
  <c r="D2183"/>
  <c r="D2139"/>
  <c r="D2235"/>
  <c r="D2279" s="1"/>
  <c r="D2191"/>
  <c r="D2174"/>
  <c r="D2130"/>
  <c r="D2129"/>
  <c r="D2173"/>
  <c r="D2247"/>
  <c r="D2291" s="1"/>
  <c r="D2203"/>
  <c r="D2234"/>
  <c r="D2278" s="1"/>
  <c r="D2190"/>
  <c r="D2171"/>
  <c r="D2127"/>
  <c r="D2189"/>
  <c r="D2233"/>
  <c r="D2277" s="1"/>
  <c r="D2205"/>
  <c r="D2249"/>
  <c r="D2293" s="1"/>
  <c r="D2243"/>
  <c r="D2287" s="1"/>
  <c r="D2199"/>
  <c r="D2246"/>
  <c r="D2290" s="1"/>
  <c r="D2202"/>
  <c r="D2178"/>
  <c r="D2134"/>
  <c r="D2081"/>
  <c r="D2037"/>
  <c r="D2121"/>
  <c r="D2165"/>
  <c r="D2180"/>
  <c r="D2136"/>
  <c r="D2251"/>
  <c r="D2295" s="1"/>
  <c r="D2207"/>
  <c r="D2182"/>
  <c r="D2138"/>
  <c r="D2167"/>
  <c r="D2123"/>
  <c r="D2238"/>
  <c r="D2282" s="1"/>
  <c r="D2194"/>
  <c r="D2231"/>
  <c r="D2275" s="1"/>
  <c r="D2187"/>
  <c r="D2250"/>
  <c r="D2294" s="1"/>
  <c r="D2206"/>
  <c r="D2197"/>
  <c r="D2241"/>
  <c r="D2285" s="1"/>
  <c r="D2230"/>
  <c r="D2274" s="1"/>
  <c r="D2186"/>
  <c r="D2236"/>
  <c r="D2280" s="1"/>
  <c r="D2192"/>
  <c r="D2175"/>
  <c r="D2131"/>
  <c r="D2177"/>
  <c r="D2133"/>
  <c r="D2166"/>
  <c r="D2122"/>
  <c r="D2088"/>
  <c r="D2044"/>
  <c r="D2116"/>
  <c r="D2160"/>
  <c r="D2108"/>
  <c r="D2152"/>
  <c r="D2237"/>
  <c r="D2281" s="1"/>
  <c r="D2193"/>
  <c r="D2705" l="1"/>
  <c r="D2661"/>
  <c r="D2786"/>
  <c r="D2830" s="1"/>
  <c r="D2742"/>
  <c r="D2798"/>
  <c r="D2842" s="1"/>
  <c r="D2754"/>
  <c r="D2783"/>
  <c r="D2827" s="1"/>
  <c r="D2739"/>
  <c r="D2708"/>
  <c r="D2664"/>
  <c r="D2740"/>
  <c r="D2784"/>
  <c r="D2828" s="1"/>
  <c r="D2692"/>
  <c r="D2648"/>
  <c r="D2787"/>
  <c r="D2831" s="1"/>
  <c r="D2743"/>
  <c r="D2790"/>
  <c r="D2834" s="1"/>
  <c r="D2746"/>
  <c r="D2791"/>
  <c r="D2835" s="1"/>
  <c r="D2747"/>
  <c r="D2794"/>
  <c r="D2838" s="1"/>
  <c r="D2750"/>
  <c r="D2801"/>
  <c r="D2845" s="1"/>
  <c r="D2757"/>
  <c r="D2772"/>
  <c r="D2816" s="1"/>
  <c r="D2728"/>
  <c r="D2782"/>
  <c r="D2826" s="1"/>
  <c r="D2738"/>
  <c r="D2799"/>
  <c r="D2843" s="1"/>
  <c r="D2755"/>
  <c r="D2700"/>
  <c r="D2656"/>
  <c r="D2733"/>
  <c r="D2777"/>
  <c r="D2821" s="1"/>
  <c r="D2797"/>
  <c r="D2841" s="1"/>
  <c r="D2753"/>
  <c r="D2725"/>
  <c r="D2769"/>
  <c r="D2813" s="1"/>
  <c r="D2795"/>
  <c r="D2839" s="1"/>
  <c r="D2751"/>
  <c r="D2764"/>
  <c r="D2808" s="1"/>
  <c r="D2720"/>
  <c r="D2781"/>
  <c r="D2825" s="1"/>
  <c r="D2737"/>
  <c r="D2756"/>
  <c r="D2800"/>
  <c r="D2844" s="1"/>
  <c r="D2697"/>
  <c r="D2653"/>
  <c r="D2789"/>
  <c r="D2833" s="1"/>
  <c r="D2745"/>
  <c r="D2748"/>
  <c r="D2792"/>
  <c r="D2836" s="1"/>
  <c r="D2240"/>
  <c r="D2284" s="1"/>
  <c r="D2196"/>
  <c r="D2253"/>
  <c r="D2297" s="1"/>
  <c r="D2209"/>
  <c r="D2261"/>
  <c r="D2305" s="1"/>
  <c r="D2217"/>
  <c r="D2124"/>
  <c r="D2168"/>
  <c r="D2140"/>
  <c r="D2184"/>
  <c r="D2254"/>
  <c r="D2298" s="1"/>
  <c r="D2210"/>
  <c r="D2268"/>
  <c r="D2312" s="1"/>
  <c r="D2224"/>
  <c r="D2169"/>
  <c r="D2125"/>
  <c r="D2259"/>
  <c r="D2303" s="1"/>
  <c r="D2215"/>
  <c r="D2262"/>
  <c r="D2306" s="1"/>
  <c r="D2218"/>
  <c r="D2269"/>
  <c r="D2313" s="1"/>
  <c r="D2225"/>
  <c r="D2267"/>
  <c r="D2311" s="1"/>
  <c r="D2223"/>
  <c r="D2132"/>
  <c r="D2176"/>
  <c r="D2221"/>
  <c r="D2265"/>
  <c r="D2309" s="1"/>
  <c r="D2255"/>
  <c r="D2299" s="1"/>
  <c r="D2211"/>
  <c r="D2266"/>
  <c r="D2310" s="1"/>
  <c r="D2222"/>
  <c r="D2229"/>
  <c r="D2273"/>
  <c r="D2317" s="1"/>
  <c r="D2260"/>
  <c r="D2304" s="1"/>
  <c r="D2216"/>
  <c r="D2252"/>
  <c r="D2296" s="1"/>
  <c r="D2208"/>
  <c r="D2263"/>
  <c r="D2307" s="1"/>
  <c r="D2219"/>
  <c r="D2270"/>
  <c r="D2314" s="1"/>
  <c r="D2226"/>
  <c r="D2271"/>
  <c r="D2315" s="1"/>
  <c r="D2227"/>
  <c r="D2258"/>
  <c r="D2302" s="1"/>
  <c r="D2214"/>
  <c r="D2248"/>
  <c r="D2292" s="1"/>
  <c r="D2204"/>
  <c r="D2232"/>
  <c r="D2276" s="1"/>
  <c r="D2188"/>
  <c r="D2780" l="1"/>
  <c r="D2824" s="1"/>
  <c r="D2736"/>
  <c r="D2796"/>
  <c r="D2840" s="1"/>
  <c r="D2752"/>
  <c r="D2793"/>
  <c r="D2837" s="1"/>
  <c r="D2749"/>
  <c r="D2785"/>
  <c r="D2829" s="1"/>
  <c r="D2741"/>
  <c r="D2788"/>
  <c r="D2832" s="1"/>
  <c r="D2744"/>
  <c r="D2264"/>
  <c r="D2308" s="1"/>
  <c r="D2220"/>
  <c r="D2272"/>
  <c r="D2316" s="1"/>
  <c r="D2228"/>
  <c r="D2213"/>
  <c r="D2257"/>
  <c r="D2301" s="1"/>
  <c r="D2256"/>
  <c r="D2300" s="1"/>
  <c r="D2212"/>
  <c r="G5309" l="1"/>
  <c r="G5308"/>
  <c r="G5307"/>
  <c r="G5306"/>
  <c r="G5305"/>
  <c r="G5304"/>
  <c r="G5303"/>
  <c r="G5302"/>
  <c r="G5301"/>
  <c r="G5300"/>
  <c r="G5299"/>
  <c r="G5298"/>
  <c r="G5297"/>
  <c r="G5296"/>
  <c r="G5295"/>
  <c r="G5294"/>
  <c r="G5293"/>
  <c r="G5292"/>
  <c r="G5291"/>
  <c r="G5290"/>
  <c r="G5289"/>
  <c r="G5288"/>
  <c r="G5287"/>
  <c r="G5286"/>
  <c r="G5285"/>
  <c r="G5284"/>
  <c r="G5283"/>
  <c r="G5282"/>
  <c r="G5281"/>
  <c r="G5280"/>
  <c r="G5279"/>
  <c r="G5278"/>
  <c r="G5277"/>
  <c r="G5276"/>
  <c r="G5275"/>
  <c r="G5274"/>
  <c r="G5273"/>
  <c r="G5272"/>
  <c r="G5271"/>
  <c r="G5270"/>
  <c r="G5269"/>
  <c r="G5268"/>
  <c r="G5267"/>
  <c r="G5266"/>
  <c r="G5221"/>
  <c r="G5220"/>
  <c r="G5219"/>
  <c r="G5218"/>
  <c r="G5217"/>
  <c r="G5216"/>
  <c r="G5215"/>
  <c r="G5214"/>
  <c r="G5213"/>
  <c r="G5212"/>
  <c r="G5211"/>
  <c r="G5210"/>
  <c r="G5209"/>
  <c r="G5208"/>
  <c r="G5207"/>
  <c r="G5206"/>
  <c r="G5205"/>
  <c r="G5204"/>
  <c r="G5203"/>
  <c r="G5202"/>
  <c r="G5201"/>
  <c r="G5200"/>
  <c r="G5199"/>
  <c r="G5198"/>
  <c r="G5197"/>
  <c r="G5196"/>
  <c r="G5195"/>
  <c r="G5194"/>
  <c r="G5193"/>
  <c r="G5192"/>
  <c r="G5191"/>
  <c r="G5190"/>
  <c r="G5189"/>
  <c r="G5188"/>
  <c r="G5187"/>
  <c r="G5186"/>
  <c r="G5185"/>
  <c r="G5184"/>
  <c r="G5183"/>
  <c r="G5182"/>
  <c r="G5181"/>
  <c r="G5180"/>
  <c r="G5179"/>
  <c r="G5178"/>
  <c r="G5133"/>
  <c r="G5132"/>
  <c r="G5131"/>
  <c r="G5130"/>
  <c r="G5129"/>
  <c r="G5128"/>
  <c r="G5127"/>
  <c r="G5126"/>
  <c r="G5125"/>
  <c r="G5124"/>
  <c r="G5123"/>
  <c r="G5122"/>
  <c r="G5121"/>
  <c r="G5120"/>
  <c r="G5119"/>
  <c r="G5118"/>
  <c r="G5117"/>
  <c r="G5116"/>
  <c r="G5115"/>
  <c r="G5114"/>
  <c r="G5113"/>
  <c r="G5112"/>
  <c r="G5111"/>
  <c r="G5110"/>
  <c r="G5109"/>
  <c r="G5108"/>
  <c r="G5107"/>
  <c r="G5106"/>
  <c r="G5105"/>
  <c r="G5104"/>
  <c r="G5103"/>
  <c r="G5102"/>
  <c r="G5101"/>
  <c r="G5100"/>
  <c r="G5099"/>
  <c r="G5098"/>
  <c r="G5097"/>
  <c r="G5096"/>
  <c r="G5095"/>
  <c r="G5094"/>
  <c r="G5093"/>
  <c r="G5092"/>
  <c r="G5091"/>
  <c r="G5090"/>
  <c r="G5045"/>
  <c r="G5044"/>
  <c r="G5043"/>
  <c r="G5042"/>
  <c r="G5041"/>
  <c r="G5040"/>
  <c r="G5039"/>
  <c r="G5038"/>
  <c r="G5037"/>
  <c r="G5036"/>
  <c r="G5035"/>
  <c r="G5034"/>
  <c r="G5033"/>
  <c r="G5032"/>
  <c r="G5031"/>
  <c r="G5030"/>
  <c r="G5029"/>
  <c r="G5028"/>
  <c r="G5027"/>
  <c r="G5026"/>
  <c r="G5025"/>
  <c r="G5024"/>
  <c r="G5023"/>
  <c r="G5022"/>
  <c r="G5021"/>
  <c r="G5020"/>
  <c r="G5019"/>
  <c r="G5018"/>
  <c r="G5017"/>
  <c r="G5016"/>
  <c r="G5015"/>
  <c r="G5014"/>
  <c r="G5013"/>
  <c r="G5012"/>
  <c r="G5011"/>
  <c r="G5010"/>
  <c r="G5009"/>
  <c r="G5008"/>
  <c r="G5007"/>
  <c r="G5006"/>
  <c r="G5005"/>
  <c r="G5004"/>
  <c r="G5003"/>
  <c r="G5002"/>
  <c r="G4957"/>
  <c r="G4956"/>
  <c r="G4955"/>
  <c r="G4954"/>
  <c r="G4953"/>
  <c r="G4952"/>
  <c r="G4951"/>
  <c r="G4950"/>
  <c r="G4949"/>
  <c r="G4948"/>
  <c r="G4947"/>
  <c r="G4946"/>
  <c r="G4945"/>
  <c r="G4944"/>
  <c r="G4943"/>
  <c r="G4942"/>
  <c r="G4941"/>
  <c r="G4940"/>
  <c r="G4939"/>
  <c r="G4938"/>
  <c r="G4937"/>
  <c r="G4936"/>
  <c r="G4935"/>
  <c r="G4934"/>
  <c r="G4933"/>
  <c r="G4932"/>
  <c r="G4931"/>
  <c r="G4930"/>
  <c r="G4929"/>
  <c r="G4928"/>
  <c r="G4927"/>
  <c r="G4926"/>
  <c r="G4925"/>
  <c r="G4924"/>
  <c r="G4923"/>
  <c r="G4922"/>
  <c r="G4921"/>
  <c r="G4920"/>
  <c r="G4919"/>
  <c r="G4918"/>
  <c r="G4917"/>
  <c r="G4916"/>
  <c r="G4915"/>
  <c r="G4914"/>
  <c r="G4869"/>
  <c r="G4868"/>
  <c r="G4867"/>
  <c r="G4866"/>
  <c r="G4865"/>
  <c r="G4864"/>
  <c r="G4863"/>
  <c r="G4862"/>
  <c r="G4861"/>
  <c r="G4860"/>
  <c r="G4859"/>
  <c r="G4858"/>
  <c r="G4857"/>
  <c r="G4856"/>
  <c r="G4855"/>
  <c r="G4854"/>
  <c r="G4853"/>
  <c r="G4852"/>
  <c r="G4851"/>
  <c r="G4850"/>
  <c r="G4849"/>
  <c r="G4848"/>
  <c r="G4847"/>
  <c r="G4846"/>
  <c r="G4845"/>
  <c r="G4844"/>
  <c r="G4843"/>
  <c r="G4842"/>
  <c r="G4841"/>
  <c r="G4840"/>
  <c r="G4839"/>
  <c r="G4838"/>
  <c r="G4837"/>
  <c r="G4836"/>
  <c r="G4835"/>
  <c r="G4834"/>
  <c r="G4833"/>
  <c r="G4832"/>
  <c r="G4831"/>
  <c r="G4830"/>
  <c r="G4829"/>
  <c r="G4828"/>
  <c r="G4827"/>
  <c r="G4826"/>
  <c r="G4781"/>
  <c r="G4780"/>
  <c r="G4779"/>
  <c r="G4778"/>
  <c r="G4777"/>
  <c r="G4776"/>
  <c r="G4775"/>
  <c r="G4774"/>
  <c r="G4773"/>
  <c r="G4772"/>
  <c r="G4771"/>
  <c r="G4770"/>
  <c r="G4769"/>
  <c r="G4768"/>
  <c r="G4767"/>
  <c r="G4766"/>
  <c r="G4765"/>
  <c r="G4764"/>
  <c r="G4763"/>
  <c r="G4762"/>
  <c r="G4761"/>
  <c r="G4760"/>
  <c r="G4759"/>
  <c r="G4758"/>
  <c r="G4757"/>
  <c r="G4756"/>
  <c r="G4755"/>
  <c r="G4754"/>
  <c r="G4753"/>
  <c r="G4752"/>
  <c r="G4751"/>
  <c r="G4750"/>
  <c r="G4749"/>
  <c r="G4748"/>
  <c r="G4747"/>
  <c r="G4746"/>
  <c r="G4745"/>
  <c r="G4744"/>
  <c r="G4743"/>
  <c r="G4742"/>
  <c r="G4741"/>
  <c r="G4740"/>
  <c r="G4739"/>
  <c r="G4738"/>
  <c r="G4693"/>
  <c r="G4692"/>
  <c r="G4691"/>
  <c r="G4690"/>
  <c r="G4689"/>
  <c r="G4688"/>
  <c r="G4687"/>
  <c r="G4686"/>
  <c r="G4685"/>
  <c r="G4684"/>
  <c r="G4683"/>
  <c r="G4682"/>
  <c r="G4681"/>
  <c r="G4680"/>
  <c r="G4679"/>
  <c r="G4678"/>
  <c r="G4677"/>
  <c r="G4676"/>
  <c r="G4675"/>
  <c r="G4674"/>
  <c r="G4673"/>
  <c r="G4672"/>
  <c r="G4671"/>
  <c r="G4670"/>
  <c r="G4669"/>
  <c r="G4668"/>
  <c r="G4667"/>
  <c r="G4666"/>
  <c r="G4665"/>
  <c r="G4664"/>
  <c r="G4663"/>
  <c r="G4662"/>
  <c r="G4661"/>
  <c r="G4660"/>
  <c r="G4659"/>
  <c r="G4658"/>
  <c r="G4657"/>
  <c r="G4656"/>
  <c r="G4655"/>
  <c r="G4654"/>
  <c r="G4653"/>
  <c r="G4652"/>
  <c r="G4651"/>
  <c r="G4650"/>
  <c r="G4605"/>
  <c r="G4604"/>
  <c r="G4603"/>
  <c r="G4602"/>
  <c r="G4601"/>
  <c r="G4600"/>
  <c r="G4599"/>
  <c r="G4598"/>
  <c r="G4597"/>
  <c r="G4596"/>
  <c r="G4595"/>
  <c r="G4594"/>
  <c r="G4593"/>
  <c r="G4592"/>
  <c r="G4591"/>
  <c r="G4590"/>
  <c r="G4589"/>
  <c r="G4588"/>
  <c r="G4587"/>
  <c r="G4586"/>
  <c r="G4585"/>
  <c r="G4584"/>
  <c r="G4583"/>
  <c r="G4582"/>
  <c r="G4581"/>
  <c r="G4580"/>
  <c r="G4579"/>
  <c r="G4578"/>
  <c r="G4577"/>
  <c r="G4576"/>
  <c r="G4575"/>
  <c r="G4574"/>
  <c r="G4573"/>
  <c r="G4572"/>
  <c r="G4571"/>
  <c r="G4570"/>
  <c r="G4569"/>
  <c r="G4568"/>
  <c r="G4567"/>
  <c r="G4566"/>
  <c r="G4565"/>
  <c r="G4564"/>
  <c r="G4563"/>
  <c r="G4562"/>
  <c r="G4517"/>
  <c r="G4516"/>
  <c r="G4515"/>
  <c r="G4514"/>
  <c r="G4513"/>
  <c r="G4512"/>
  <c r="G4511"/>
  <c r="G4510"/>
  <c r="G4509"/>
  <c r="G4508"/>
  <c r="G4507"/>
  <c r="G4506"/>
  <c r="G4505"/>
  <c r="G4504"/>
  <c r="G4503"/>
  <c r="G4502"/>
  <c r="G4501"/>
  <c r="G4500"/>
  <c r="G4499"/>
  <c r="G4498"/>
  <c r="G4497"/>
  <c r="G4496"/>
  <c r="G4495"/>
  <c r="G4494"/>
  <c r="G4493"/>
  <c r="G4492"/>
  <c r="G4491"/>
  <c r="G4490"/>
  <c r="G4489"/>
  <c r="G4488"/>
  <c r="G4487"/>
  <c r="G4486"/>
  <c r="G4485"/>
  <c r="G4484"/>
  <c r="G4483"/>
  <c r="G4482"/>
  <c r="G4481"/>
  <c r="G4480"/>
  <c r="G4479"/>
  <c r="G4478"/>
  <c r="G4477"/>
  <c r="G4476"/>
  <c r="G4475"/>
  <c r="G4474"/>
  <c r="G4429"/>
  <c r="G4428"/>
  <c r="G4427"/>
  <c r="G4426"/>
  <c r="G4425"/>
  <c r="G4424"/>
  <c r="G4423"/>
  <c r="G4422"/>
  <c r="G4421"/>
  <c r="G4420"/>
  <c r="G4419"/>
  <c r="G4418"/>
  <c r="G4417"/>
  <c r="G4416"/>
  <c r="G4415"/>
  <c r="G4414"/>
  <c r="G4413"/>
  <c r="G4412"/>
  <c r="G4411"/>
  <c r="G4410"/>
  <c r="G4409"/>
  <c r="G4408"/>
  <c r="G4407"/>
  <c r="G4406"/>
  <c r="G4405"/>
  <c r="G4404"/>
  <c r="G4403"/>
  <c r="G4402"/>
  <c r="G4401"/>
  <c r="G4400"/>
  <c r="G4399"/>
  <c r="G4398"/>
  <c r="G4397"/>
  <c r="G4396"/>
  <c r="G4395"/>
  <c r="G4394"/>
  <c r="G4393"/>
  <c r="G4392"/>
  <c r="G4391"/>
  <c r="G4390"/>
  <c r="G4389"/>
  <c r="G4388"/>
  <c r="G4387"/>
  <c r="G4386"/>
  <c r="G4341"/>
  <c r="G4340"/>
  <c r="G4339"/>
  <c r="G4338"/>
  <c r="G4337"/>
  <c r="G4336"/>
  <c r="G4335"/>
  <c r="G4334"/>
  <c r="G4333"/>
  <c r="G4332"/>
  <c r="G4331"/>
  <c r="G4330"/>
  <c r="G4329"/>
  <c r="G4328"/>
  <c r="G4327"/>
  <c r="G4326"/>
  <c r="G4325"/>
  <c r="G4324"/>
  <c r="G4323"/>
  <c r="G4322"/>
  <c r="G4321"/>
  <c r="G4320"/>
  <c r="G4319"/>
  <c r="G4318"/>
  <c r="G4317"/>
  <c r="G4316"/>
  <c r="G4315"/>
  <c r="G4314"/>
  <c r="G4313"/>
  <c r="G4312"/>
  <c r="G4311"/>
  <c r="G4310"/>
  <c r="G4309"/>
  <c r="G4308"/>
  <c r="G4307"/>
  <c r="G4306"/>
  <c r="G4305"/>
  <c r="G4304"/>
  <c r="G4303"/>
  <c r="G4302"/>
  <c r="G4301"/>
  <c r="G4300"/>
  <c r="G4299"/>
  <c r="G4298"/>
  <c r="G4253"/>
  <c r="G4252"/>
  <c r="G4251"/>
  <c r="G4250"/>
  <c r="G4249"/>
  <c r="G4248"/>
  <c r="G4247"/>
  <c r="G4246"/>
  <c r="G4245"/>
  <c r="G4244"/>
  <c r="G4243"/>
  <c r="G4242"/>
  <c r="G4241"/>
  <c r="G4240"/>
  <c r="G4239"/>
  <c r="G4238"/>
  <c r="G4237"/>
  <c r="G4236"/>
  <c r="G4235"/>
  <c r="G4234"/>
  <c r="G4233"/>
  <c r="G4232"/>
  <c r="G4231"/>
  <c r="G4230"/>
  <c r="G4229"/>
  <c r="G4228"/>
  <c r="G4227"/>
  <c r="G4226"/>
  <c r="G4225"/>
  <c r="G4224"/>
  <c r="G4223"/>
  <c r="G4222"/>
  <c r="G4221"/>
  <c r="G4220"/>
  <c r="G4219"/>
  <c r="G4218"/>
  <c r="G4217"/>
  <c r="G4216"/>
  <c r="G4215"/>
  <c r="G4214"/>
  <c r="G4213"/>
  <c r="G4212"/>
  <c r="G4211"/>
  <c r="G4210"/>
  <c r="G4165"/>
  <c r="G4164"/>
  <c r="G4163"/>
  <c r="G4162"/>
  <c r="G4161"/>
  <c r="G4160"/>
  <c r="G4159"/>
  <c r="G4158"/>
  <c r="G4157"/>
  <c r="G4156"/>
  <c r="G4155"/>
  <c r="G4154"/>
  <c r="G4153"/>
  <c r="G4152"/>
  <c r="G4151"/>
  <c r="G4150"/>
  <c r="G4149"/>
  <c r="G4148"/>
  <c r="G4147"/>
  <c r="G4146"/>
  <c r="G4145"/>
  <c r="G4144"/>
  <c r="G4143"/>
  <c r="G4142"/>
  <c r="G4141"/>
  <c r="G4140"/>
  <c r="G4139"/>
  <c r="G4138"/>
  <c r="G4137"/>
  <c r="G4136"/>
  <c r="G4135"/>
  <c r="G4134"/>
  <c r="G4133"/>
  <c r="G4132"/>
  <c r="G4131"/>
  <c r="G4130"/>
  <c r="G4129"/>
  <c r="G4128"/>
  <c r="G4127"/>
  <c r="G4126"/>
  <c r="G4125"/>
  <c r="G4124"/>
  <c r="G4123"/>
  <c r="G4122"/>
  <c r="G4077"/>
  <c r="G4076"/>
  <c r="G4075"/>
  <c r="G4074"/>
  <c r="G4073"/>
  <c r="G4072"/>
  <c r="G4071"/>
  <c r="G4070"/>
  <c r="G4069"/>
  <c r="G4068"/>
  <c r="G4067"/>
  <c r="G4066"/>
  <c r="G4065"/>
  <c r="G4064"/>
  <c r="G4063"/>
  <c r="G4062"/>
  <c r="G4061"/>
  <c r="G4060"/>
  <c r="G4059"/>
  <c r="G4058"/>
  <c r="G4057"/>
  <c r="G4056"/>
  <c r="G4055"/>
  <c r="G4054"/>
  <c r="G4053"/>
  <c r="G4052"/>
  <c r="G4051"/>
  <c r="G4050"/>
  <c r="G4049"/>
  <c r="G4048"/>
  <c r="G4047"/>
  <c r="G4046"/>
  <c r="G4045"/>
  <c r="G4044"/>
  <c r="G4043"/>
  <c r="G4042"/>
  <c r="G4041"/>
  <c r="G4040"/>
  <c r="G4039"/>
  <c r="G4038"/>
  <c r="G4037"/>
  <c r="G4036"/>
  <c r="G4035"/>
  <c r="G4034"/>
  <c r="G3989"/>
  <c r="G3988"/>
  <c r="G3987"/>
  <c r="G3986"/>
  <c r="G3985"/>
  <c r="G3984"/>
  <c r="G3983"/>
  <c r="G3982"/>
  <c r="G3981"/>
  <c r="G3980"/>
  <c r="G3979"/>
  <c r="G3978"/>
  <c r="G3977"/>
  <c r="G3976"/>
  <c r="G3975"/>
  <c r="G3974"/>
  <c r="G3973"/>
  <c r="G3972"/>
  <c r="G3971"/>
  <c r="G3970"/>
  <c r="G3969"/>
  <c r="G3968"/>
  <c r="G3967"/>
  <c r="G3966"/>
  <c r="G3965"/>
  <c r="G3964"/>
  <c r="G3963"/>
  <c r="G3962"/>
  <c r="G3961"/>
  <c r="G3960"/>
  <c r="G3959"/>
  <c r="G3958"/>
  <c r="G3957"/>
  <c r="G3956"/>
  <c r="G3955"/>
  <c r="G3954"/>
  <c r="G3953"/>
  <c r="G3952"/>
  <c r="G3951"/>
  <c r="G3950"/>
  <c r="G3949"/>
  <c r="G3948"/>
  <c r="G3947"/>
  <c r="G3946"/>
  <c r="G3901"/>
  <c r="G3900"/>
  <c r="G3899"/>
  <c r="G3898"/>
  <c r="G3897"/>
  <c r="G3896"/>
  <c r="G3895"/>
  <c r="G3894"/>
  <c r="G3893"/>
  <c r="G3892"/>
  <c r="G3891"/>
  <c r="G3890"/>
  <c r="G3889"/>
  <c r="G3888"/>
  <c r="G3887"/>
  <c r="G3886"/>
  <c r="G3885"/>
  <c r="G3884"/>
  <c r="G3883"/>
  <c r="G3882"/>
  <c r="G3881"/>
  <c r="G3880"/>
  <c r="G3879"/>
  <c r="G3878"/>
  <c r="G3877"/>
  <c r="G3876"/>
  <c r="G3875"/>
  <c r="G3874"/>
  <c r="G3873"/>
  <c r="G3872"/>
  <c r="G3871"/>
  <c r="G3870"/>
  <c r="G3869"/>
  <c r="G3868"/>
  <c r="G3867"/>
  <c r="G3866"/>
  <c r="G3865"/>
  <c r="G3864"/>
  <c r="G3863"/>
  <c r="G3862"/>
  <c r="G3861"/>
  <c r="G3860"/>
  <c r="G3859"/>
  <c r="G3858"/>
  <c r="G3813"/>
  <c r="G3812"/>
  <c r="G3811"/>
  <c r="G3810"/>
  <c r="G3809"/>
  <c r="G3808"/>
  <c r="G3807"/>
  <c r="G3806"/>
  <c r="G3805"/>
  <c r="G3804"/>
  <c r="G3803"/>
  <c r="G3802"/>
  <c r="G3801"/>
  <c r="G3800"/>
  <c r="G3799"/>
  <c r="G3798"/>
  <c r="G3797"/>
  <c r="G3796"/>
  <c r="G3795"/>
  <c r="G3794"/>
  <c r="G3793"/>
  <c r="G3792"/>
  <c r="G3791"/>
  <c r="G3790"/>
  <c r="G3789"/>
  <c r="G3788"/>
  <c r="G3787"/>
  <c r="G3786"/>
  <c r="G3785"/>
  <c r="G3784"/>
  <c r="G3783"/>
  <c r="G3782"/>
  <c r="G3781"/>
  <c r="G3780"/>
  <c r="G3779"/>
  <c r="G3778"/>
  <c r="G3777"/>
  <c r="G3776"/>
  <c r="G3775"/>
  <c r="G3774"/>
  <c r="G3773"/>
  <c r="G3772"/>
  <c r="G3771"/>
  <c r="G3770"/>
  <c r="G3725"/>
  <c r="G3724"/>
  <c r="G3723"/>
  <c r="G3722"/>
  <c r="G3721"/>
  <c r="G3720"/>
  <c r="G3719"/>
  <c r="G3718"/>
  <c r="G3717"/>
  <c r="G3716"/>
  <c r="G3715"/>
  <c r="G3714"/>
  <c r="G3713"/>
  <c r="G3712"/>
  <c r="G3711"/>
  <c r="G3710"/>
  <c r="G3709"/>
  <c r="G3708"/>
  <c r="G3707"/>
  <c r="G3706"/>
  <c r="G3705"/>
  <c r="G3704"/>
  <c r="G3703"/>
  <c r="G3702"/>
  <c r="G3701"/>
  <c r="G3700"/>
  <c r="G3699"/>
  <c r="G3698"/>
  <c r="G3697"/>
  <c r="G3696"/>
  <c r="G3695"/>
  <c r="G3694"/>
  <c r="G3693"/>
  <c r="G3692"/>
  <c r="G3691"/>
  <c r="G3690"/>
  <c r="G3689"/>
  <c r="G3688"/>
  <c r="G3687"/>
  <c r="G3686"/>
  <c r="G3685"/>
  <c r="G3684"/>
  <c r="G3683"/>
  <c r="G3682"/>
  <c r="G3637"/>
  <c r="G3636"/>
  <c r="G3635"/>
  <c r="G3634"/>
  <c r="G3633"/>
  <c r="G3632"/>
  <c r="G3631"/>
  <c r="G3630"/>
  <c r="G3629"/>
  <c r="G3628"/>
  <c r="G3627"/>
  <c r="G3626"/>
  <c r="G3625"/>
  <c r="G3624"/>
  <c r="G3623"/>
  <c r="G3622"/>
  <c r="G3621"/>
  <c r="G3620"/>
  <c r="G3619"/>
  <c r="G3618"/>
  <c r="G3617"/>
  <c r="G3616"/>
  <c r="G3615"/>
  <c r="G3614"/>
  <c r="G3613"/>
  <c r="G3612"/>
  <c r="G3611"/>
  <c r="G3610"/>
  <c r="G3609"/>
  <c r="G3608"/>
  <c r="G3607"/>
  <c r="G3606"/>
  <c r="G3605"/>
  <c r="G3604"/>
  <c r="G3603"/>
  <c r="G3602"/>
  <c r="G3601"/>
  <c r="G3600"/>
  <c r="G3599"/>
  <c r="G3598"/>
  <c r="G3597"/>
  <c r="G3596"/>
  <c r="G3595"/>
  <c r="G3594"/>
  <c r="G3549"/>
  <c r="G3548"/>
  <c r="G3547"/>
  <c r="G3546"/>
  <c r="G3545"/>
  <c r="G3544"/>
  <c r="G3543"/>
  <c r="G3542"/>
  <c r="G3541"/>
  <c r="G3540"/>
  <c r="G3539"/>
  <c r="G3538"/>
  <c r="G3537"/>
  <c r="G3536"/>
  <c r="G3535"/>
  <c r="G3534"/>
  <c r="G3533"/>
  <c r="G3532"/>
  <c r="G3531"/>
  <c r="G3530"/>
  <c r="G3529"/>
  <c r="G3528"/>
  <c r="G3527"/>
  <c r="G3526"/>
  <c r="G3525"/>
  <c r="G3524"/>
  <c r="G3523"/>
  <c r="G3522"/>
  <c r="G3521"/>
  <c r="G3520"/>
  <c r="G3519"/>
  <c r="G3518"/>
  <c r="G3517"/>
  <c r="G3516"/>
  <c r="G3515"/>
  <c r="G3514"/>
  <c r="G3513"/>
  <c r="G3512"/>
  <c r="G3511"/>
  <c r="G3510"/>
  <c r="G3509"/>
  <c r="G3508"/>
  <c r="G3507"/>
  <c r="G3506"/>
  <c r="G3461"/>
  <c r="G3460"/>
  <c r="G3459"/>
  <c r="G3458"/>
  <c r="G3457"/>
  <c r="G3456"/>
  <c r="G3455"/>
  <c r="G3454"/>
  <c r="G3453"/>
  <c r="G3452"/>
  <c r="G3451"/>
  <c r="G3450"/>
  <c r="G3449"/>
  <c r="G3448"/>
  <c r="G3447"/>
  <c r="G3446"/>
  <c r="G3445"/>
  <c r="G3444"/>
  <c r="G3443"/>
  <c r="G3442"/>
  <c r="G3441"/>
  <c r="G3440"/>
  <c r="G3439"/>
  <c r="G3438"/>
  <c r="G3437"/>
  <c r="G3436"/>
  <c r="G3435"/>
  <c r="G3434"/>
  <c r="G3433"/>
  <c r="G3432"/>
  <c r="G3431"/>
  <c r="G3430"/>
  <c r="G3429"/>
  <c r="G3428"/>
  <c r="G3427"/>
  <c r="G3426"/>
  <c r="G3425"/>
  <c r="G3424"/>
  <c r="G3423"/>
  <c r="G3422"/>
  <c r="G3421"/>
  <c r="G3420"/>
  <c r="G3419"/>
  <c r="G3418"/>
  <c r="G3373"/>
  <c r="G3372"/>
  <c r="G3371"/>
  <c r="G3370"/>
  <c r="G3369"/>
  <c r="G3368"/>
  <c r="G3367"/>
  <c r="G3366"/>
  <c r="G3365"/>
  <c r="G3364"/>
  <c r="G3363"/>
  <c r="G3362"/>
  <c r="G3361"/>
  <c r="G3360"/>
  <c r="G3359"/>
  <c r="G3358"/>
  <c r="G3357"/>
  <c r="G3356"/>
  <c r="G3355"/>
  <c r="G3354"/>
  <c r="G3353"/>
  <c r="G3352"/>
  <c r="G3351"/>
  <c r="G3350"/>
  <c r="G3349"/>
  <c r="G3348"/>
  <c r="G3347"/>
  <c r="G3346"/>
  <c r="G3345"/>
  <c r="G3344"/>
  <c r="G3343"/>
  <c r="G3342"/>
  <c r="G3341"/>
  <c r="G3340"/>
  <c r="G3339"/>
  <c r="G3338"/>
  <c r="G3337"/>
  <c r="G3336"/>
  <c r="G3335"/>
  <c r="G3334"/>
  <c r="G3333"/>
  <c r="G3332"/>
  <c r="G3331"/>
  <c r="G3330"/>
  <c r="G3285"/>
  <c r="G3284"/>
  <c r="G3283"/>
  <c r="G3282"/>
  <c r="G3281"/>
  <c r="G3280"/>
  <c r="G3279"/>
  <c r="G3278"/>
  <c r="G3277"/>
  <c r="G3276"/>
  <c r="G3275"/>
  <c r="G3274"/>
  <c r="G3273"/>
  <c r="G3272"/>
  <c r="G3271"/>
  <c r="G3270"/>
  <c r="G3269"/>
  <c r="G3268"/>
  <c r="G3267"/>
  <c r="G3266"/>
  <c r="G3265"/>
  <c r="G3264"/>
  <c r="G3263"/>
  <c r="G3262"/>
  <c r="G3261"/>
  <c r="G3260"/>
  <c r="G3259"/>
  <c r="G3258"/>
  <c r="G3257"/>
  <c r="G3256"/>
  <c r="G3255"/>
  <c r="G3254"/>
  <c r="G3253"/>
  <c r="G3252"/>
  <c r="G3251"/>
  <c r="G3250"/>
  <c r="G3249"/>
  <c r="G3248"/>
  <c r="G3247"/>
  <c r="G3246"/>
  <c r="G3245"/>
  <c r="G3244"/>
  <c r="G3243"/>
  <c r="G3242"/>
  <c r="G3197"/>
  <c r="G3196"/>
  <c r="G3195"/>
  <c r="G3194"/>
  <c r="G3193"/>
  <c r="G3192"/>
  <c r="G3191"/>
  <c r="G3190"/>
  <c r="G3189"/>
  <c r="G3188"/>
  <c r="G3187"/>
  <c r="G3186"/>
  <c r="G3185"/>
  <c r="G3184"/>
  <c r="G3183"/>
  <c r="G3182"/>
  <c r="G3181"/>
  <c r="G3180"/>
  <c r="G3179"/>
  <c r="G3178"/>
  <c r="G3177"/>
  <c r="G3176"/>
  <c r="G3175"/>
  <c r="G3174"/>
  <c r="G3173"/>
  <c r="G3172"/>
  <c r="G3171"/>
  <c r="G3170"/>
  <c r="G3169"/>
  <c r="G3168"/>
  <c r="G3167"/>
  <c r="G3166"/>
  <c r="G3165"/>
  <c r="G3164"/>
  <c r="G3163"/>
  <c r="G3162"/>
  <c r="G3161"/>
  <c r="G3160"/>
  <c r="G3159"/>
  <c r="G3158"/>
  <c r="G3157"/>
  <c r="G3156"/>
  <c r="G3155"/>
  <c r="G3154"/>
  <c r="G3109"/>
  <c r="G3108"/>
  <c r="G3107"/>
  <c r="G3106"/>
  <c r="G3105"/>
  <c r="G3104"/>
  <c r="G3103"/>
  <c r="G3102"/>
  <c r="G3101"/>
  <c r="G3100"/>
  <c r="G3099"/>
  <c r="G3098"/>
  <c r="G3097"/>
  <c r="G3096"/>
  <c r="G3095"/>
  <c r="G3094"/>
  <c r="G3093"/>
  <c r="G3092"/>
  <c r="G3091"/>
  <c r="G3090"/>
  <c r="G3089"/>
  <c r="G3088"/>
  <c r="G3087"/>
  <c r="G3086"/>
  <c r="G3085"/>
  <c r="G3084"/>
  <c r="G3083"/>
  <c r="G3082"/>
  <c r="G3081"/>
  <c r="G3080"/>
  <c r="G3079"/>
  <c r="G3078"/>
  <c r="G3077"/>
  <c r="G3076"/>
  <c r="G3075"/>
  <c r="G3074"/>
  <c r="G3073"/>
  <c r="G3072"/>
  <c r="G3071"/>
  <c r="G3070"/>
  <c r="G3069"/>
  <c r="G3068"/>
  <c r="G3067"/>
  <c r="G3066"/>
  <c r="G3021"/>
  <c r="G3020"/>
  <c r="G3019"/>
  <c r="G3018"/>
  <c r="G3017"/>
  <c r="G3016"/>
  <c r="G3015"/>
  <c r="G3014"/>
  <c r="G3013"/>
  <c r="G3012"/>
  <c r="G3011"/>
  <c r="G3010"/>
  <c r="G3009"/>
  <c r="G3008"/>
  <c r="G3007"/>
  <c r="G3006"/>
  <c r="G3005"/>
  <c r="G3004"/>
  <c r="G3003"/>
  <c r="G3002"/>
  <c r="G3001"/>
  <c r="G3000"/>
  <c r="G2999"/>
  <c r="G2998"/>
  <c r="G2997"/>
  <c r="G2996"/>
  <c r="G2995"/>
  <c r="G2994"/>
  <c r="G2993"/>
  <c r="G2992"/>
  <c r="G2991"/>
  <c r="G2990"/>
  <c r="G2989"/>
  <c r="G2988"/>
  <c r="G2987"/>
  <c r="G2986"/>
  <c r="G2985"/>
  <c r="G2984"/>
  <c r="G2983"/>
  <c r="G2982"/>
  <c r="G2981"/>
  <c r="G2980"/>
  <c r="G2979"/>
  <c r="G2978"/>
  <c r="G2933"/>
  <c r="G2932"/>
  <c r="G2931"/>
  <c r="G2930"/>
  <c r="G2929"/>
  <c r="G2928"/>
  <c r="G2927"/>
  <c r="G2926"/>
  <c r="G2925"/>
  <c r="G2924"/>
  <c r="G2923"/>
  <c r="G2922"/>
  <c r="G2921"/>
  <c r="G2920"/>
  <c r="G2919"/>
  <c r="G2918"/>
  <c r="G2917"/>
  <c r="G2916"/>
  <c r="G2915"/>
  <c r="G2914"/>
  <c r="G2913"/>
  <c r="G2912"/>
  <c r="G2911"/>
  <c r="G2910"/>
  <c r="G2909"/>
  <c r="G2908"/>
  <c r="G2907"/>
  <c r="G2906"/>
  <c r="G2905"/>
  <c r="G2904"/>
  <c r="G2903"/>
  <c r="G2902"/>
  <c r="G2901"/>
  <c r="G2900"/>
  <c r="G2899"/>
  <c r="G2898"/>
  <c r="G2897"/>
  <c r="G2896"/>
  <c r="G2895"/>
  <c r="G2894"/>
  <c r="G2893"/>
  <c r="G2892"/>
  <c r="G2891"/>
  <c r="G2890"/>
  <c r="G1256"/>
  <c r="G1261"/>
  <c r="G1259"/>
  <c r="G1257"/>
  <c r="G1254"/>
  <c r="G1252"/>
  <c r="G1250"/>
  <c r="G1248"/>
  <c r="G1246"/>
  <c r="G1244"/>
  <c r="G1242"/>
  <c r="G1240"/>
  <c r="G1238"/>
  <c r="G1236"/>
  <c r="G1234"/>
  <c r="G1232"/>
  <c r="G1230"/>
  <c r="G1228"/>
  <c r="G1226"/>
  <c r="G1224"/>
  <c r="G1222"/>
  <c r="G1220"/>
  <c r="G1218"/>
  <c r="G1172"/>
  <c r="G1170"/>
  <c r="G1168"/>
  <c r="G1166"/>
  <c r="G1164"/>
  <c r="G1162"/>
  <c r="G1160"/>
  <c r="G1158"/>
  <c r="G1156"/>
  <c r="G1154"/>
  <c r="G1152"/>
  <c r="G1150"/>
  <c r="G1148"/>
  <c r="G1146"/>
  <c r="G1144"/>
  <c r="G1142"/>
  <c r="G1140"/>
  <c r="G1138"/>
  <c r="G1136"/>
  <c r="G1134"/>
  <c r="G1132"/>
  <c r="G1130"/>
  <c r="G1084"/>
  <c r="G1082"/>
  <c r="G1080"/>
  <c r="G1078"/>
  <c r="G1076"/>
  <c r="G1074"/>
  <c r="G1072"/>
  <c r="G1070"/>
  <c r="G1068"/>
  <c r="G1066"/>
  <c r="G1064"/>
  <c r="G1062"/>
  <c r="G1060"/>
  <c r="G1056"/>
  <c r="G1052"/>
  <c r="G1048"/>
  <c r="G1044"/>
  <c r="G996"/>
  <c r="G992"/>
  <c r="G988"/>
  <c r="G984"/>
  <c r="G980"/>
  <c r="G976"/>
  <c r="G972"/>
  <c r="G968"/>
  <c r="G964"/>
  <c r="G960"/>
  <c r="G956"/>
  <c r="G908"/>
  <c r="G904"/>
  <c r="G900"/>
  <c r="G896"/>
  <c r="G892"/>
  <c r="G888"/>
  <c r="G884"/>
  <c r="G880"/>
  <c r="G876"/>
  <c r="G872"/>
  <c r="G868"/>
  <c r="G820"/>
  <c r="G816"/>
  <c r="G812"/>
  <c r="D1327"/>
  <c r="M1327" s="1"/>
  <c r="D1326"/>
  <c r="M1326" s="1"/>
  <c r="D1325"/>
  <c r="M1325" s="1"/>
  <c r="D1324"/>
  <c r="D1323"/>
  <c r="M1323" s="1"/>
  <c r="D1322"/>
  <c r="M1322" s="1"/>
  <c r="D1321"/>
  <c r="M1321" s="1"/>
  <c r="D1320"/>
  <c r="D1319"/>
  <c r="M1319" s="1"/>
  <c r="D1318"/>
  <c r="M1318" s="1"/>
  <c r="D1317"/>
  <c r="M1317" s="1"/>
  <c r="D1316"/>
  <c r="D1315"/>
  <c r="M1315" s="1"/>
  <c r="D1314"/>
  <c r="M1314" s="1"/>
  <c r="D1313"/>
  <c r="M1313" s="1"/>
  <c r="D1312"/>
  <c r="D1311"/>
  <c r="M1311" s="1"/>
  <c r="D1310"/>
  <c r="M1310" s="1"/>
  <c r="D1309"/>
  <c r="M1309" s="1"/>
  <c r="D1308"/>
  <c r="D1307"/>
  <c r="M1307" s="1"/>
  <c r="D1306"/>
  <c r="M1306" s="1"/>
  <c r="D1261"/>
  <c r="M1261" s="1"/>
  <c r="D1260"/>
  <c r="D1259"/>
  <c r="M1259" s="1"/>
  <c r="D1258"/>
  <c r="M1258" s="1"/>
  <c r="D1257"/>
  <c r="M1257" s="1"/>
  <c r="D1255"/>
  <c r="D1254"/>
  <c r="M1254" s="1"/>
  <c r="D1253"/>
  <c r="M1253" s="1"/>
  <c r="D1252"/>
  <c r="M1252" s="1"/>
  <c r="D1251"/>
  <c r="D1250"/>
  <c r="M1250" s="1"/>
  <c r="D1249"/>
  <c r="M1249" s="1"/>
  <c r="D1248"/>
  <c r="M1248" s="1"/>
  <c r="D1247"/>
  <c r="D1246"/>
  <c r="M1246" s="1"/>
  <c r="D1245"/>
  <c r="M1245" s="1"/>
  <c r="D1244"/>
  <c r="M1244" s="1"/>
  <c r="D1243"/>
  <c r="D1242"/>
  <c r="M1242" s="1"/>
  <c r="D1241"/>
  <c r="M1241" s="1"/>
  <c r="D1240"/>
  <c r="M1240" s="1"/>
  <c r="D1239"/>
  <c r="D1238"/>
  <c r="M1238" s="1"/>
  <c r="D1237"/>
  <c r="M1237" s="1"/>
  <c r="D1236"/>
  <c r="M1236" s="1"/>
  <c r="D1235"/>
  <c r="D1234"/>
  <c r="M1234" s="1"/>
  <c r="D1233"/>
  <c r="M1233" s="1"/>
  <c r="D1232"/>
  <c r="M1232" s="1"/>
  <c r="D1231"/>
  <c r="D1230"/>
  <c r="M1230" s="1"/>
  <c r="D1229"/>
  <c r="M1229" s="1"/>
  <c r="D1228"/>
  <c r="M1228" s="1"/>
  <c r="D1227"/>
  <c r="D1226"/>
  <c r="M1226" s="1"/>
  <c r="D1225"/>
  <c r="M1225" s="1"/>
  <c r="D1224"/>
  <c r="M1224" s="1"/>
  <c r="D1223"/>
  <c r="D1222"/>
  <c r="M1222" s="1"/>
  <c r="D1221"/>
  <c r="M1221" s="1"/>
  <c r="D1220"/>
  <c r="M1220" s="1"/>
  <c r="D1219"/>
  <c r="D1218"/>
  <c r="M1218" s="1"/>
  <c r="D1173"/>
  <c r="M1173" s="1"/>
  <c r="D1172"/>
  <c r="D1171"/>
  <c r="D1170"/>
  <c r="D1169"/>
  <c r="M1169" s="1"/>
  <c r="D1168"/>
  <c r="D1167"/>
  <c r="D1166"/>
  <c r="D1165"/>
  <c r="M1165" s="1"/>
  <c r="D1164"/>
  <c r="D1163"/>
  <c r="D1162"/>
  <c r="D1161"/>
  <c r="M1161" s="1"/>
  <c r="D1160"/>
  <c r="D1159"/>
  <c r="D1158"/>
  <c r="D1157"/>
  <c r="D1156"/>
  <c r="D1155"/>
  <c r="D1154"/>
  <c r="D1153"/>
  <c r="D1152"/>
  <c r="D1151"/>
  <c r="D1150"/>
  <c r="D1149"/>
  <c r="M1149" s="1"/>
  <c r="D1148"/>
  <c r="D1147"/>
  <c r="D1146"/>
  <c r="D1145"/>
  <c r="M1145" s="1"/>
  <c r="D1144"/>
  <c r="D1143"/>
  <c r="D1142"/>
  <c r="D1141"/>
  <c r="M1141" s="1"/>
  <c r="D1140"/>
  <c r="D1139"/>
  <c r="D1138"/>
  <c r="D1137"/>
  <c r="D1136"/>
  <c r="D1135"/>
  <c r="D1134"/>
  <c r="D1133"/>
  <c r="D1132"/>
  <c r="D1131"/>
  <c r="D1130"/>
  <c r="D1085"/>
  <c r="D1084"/>
  <c r="D1083"/>
  <c r="D1082"/>
  <c r="D1081"/>
  <c r="M1081" s="1"/>
  <c r="D1080"/>
  <c r="D1079"/>
  <c r="D1078"/>
  <c r="D1077"/>
  <c r="M1077" s="1"/>
  <c r="D1076"/>
  <c r="D1075"/>
  <c r="D1074"/>
  <c r="D1073"/>
  <c r="M1073" s="1"/>
  <c r="D1072"/>
  <c r="D1071"/>
  <c r="D1070"/>
  <c r="D1069"/>
  <c r="D1068"/>
  <c r="D1067"/>
  <c r="D1066"/>
  <c r="D1065"/>
  <c r="D1064"/>
  <c r="D1063"/>
  <c r="D1062"/>
  <c r="D1061"/>
  <c r="M1061" s="1"/>
  <c r="D1060"/>
  <c r="D1059"/>
  <c r="D1058"/>
  <c r="D1057"/>
  <c r="M1057" s="1"/>
  <c r="D1056"/>
  <c r="D1055"/>
  <c r="D1054"/>
  <c r="D1053"/>
  <c r="M1053" s="1"/>
  <c r="D1052"/>
  <c r="D1051"/>
  <c r="D1050"/>
  <c r="D1049"/>
  <c r="D1048"/>
  <c r="D1047"/>
  <c r="D1046"/>
  <c r="M1046" s="1"/>
  <c r="D1045"/>
  <c r="D1044"/>
  <c r="D1043"/>
  <c r="D1042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M980" s="1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G796" s="1"/>
  <c r="D795"/>
  <c r="D794"/>
  <c r="D793"/>
  <c r="D792"/>
  <c r="D791"/>
  <c r="D790"/>
  <c r="D789"/>
  <c r="D788"/>
  <c r="D787"/>
  <c r="D786"/>
  <c r="D785"/>
  <c r="D784"/>
  <c r="D783"/>
  <c r="D782"/>
  <c r="D781"/>
  <c r="D780"/>
  <c r="G780" s="1"/>
  <c r="D779"/>
  <c r="D778"/>
  <c r="D733"/>
  <c r="D732"/>
  <c r="D731"/>
  <c r="D730"/>
  <c r="D729"/>
  <c r="D728"/>
  <c r="D727"/>
  <c r="D726"/>
  <c r="D725"/>
  <c r="D724"/>
  <c r="D723"/>
  <c r="D722"/>
  <c r="D721"/>
  <c r="D720"/>
  <c r="G720" s="1"/>
  <c r="D719"/>
  <c r="D718"/>
  <c r="D717"/>
  <c r="D716"/>
  <c r="D715"/>
  <c r="D714"/>
  <c r="D713"/>
  <c r="D712"/>
  <c r="D711"/>
  <c r="D710"/>
  <c r="D709"/>
  <c r="D708"/>
  <c r="D707"/>
  <c r="D706"/>
  <c r="D705"/>
  <c r="D704"/>
  <c r="G704" s="1"/>
  <c r="D703"/>
  <c r="D702"/>
  <c r="D701"/>
  <c r="D700"/>
  <c r="D699"/>
  <c r="D698"/>
  <c r="D697"/>
  <c r="D696"/>
  <c r="D695"/>
  <c r="D694"/>
  <c r="D693"/>
  <c r="D692"/>
  <c r="D691"/>
  <c r="D690"/>
  <c r="D645"/>
  <c r="D644"/>
  <c r="G644" s="1"/>
  <c r="D643"/>
  <c r="D642"/>
  <c r="D641"/>
  <c r="D640"/>
  <c r="G640" s="1"/>
  <c r="D639"/>
  <c r="D638"/>
  <c r="D637"/>
  <c r="D636"/>
  <c r="D635"/>
  <c r="D634"/>
  <c r="D633"/>
  <c r="D632"/>
  <c r="D631"/>
  <c r="D630"/>
  <c r="D629"/>
  <c r="D628"/>
  <c r="G628" s="1"/>
  <c r="D627"/>
  <c r="D626"/>
  <c r="D625"/>
  <c r="D624"/>
  <c r="G624" s="1"/>
  <c r="D623"/>
  <c r="D622"/>
  <c r="D621"/>
  <c r="D620"/>
  <c r="D619"/>
  <c r="D618"/>
  <c r="D617"/>
  <c r="D616"/>
  <c r="D615"/>
  <c r="D614"/>
  <c r="D613"/>
  <c r="D612"/>
  <c r="G612" s="1"/>
  <c r="D611"/>
  <c r="D610"/>
  <c r="D609"/>
  <c r="D608"/>
  <c r="D607"/>
  <c r="D606"/>
  <c r="D605"/>
  <c r="D604"/>
  <c r="G604" s="1"/>
  <c r="D603"/>
  <c r="D602"/>
  <c r="D557"/>
  <c r="D556"/>
  <c r="D555"/>
  <c r="D554"/>
  <c r="D553"/>
  <c r="D552"/>
  <c r="G552" s="1"/>
  <c r="D551"/>
  <c r="D550"/>
  <c r="D549"/>
  <c r="D548"/>
  <c r="D547"/>
  <c r="D546"/>
  <c r="D545"/>
  <c r="D544"/>
  <c r="G544" s="1"/>
  <c r="D543"/>
  <c r="D542"/>
  <c r="D541"/>
  <c r="D540"/>
  <c r="D539"/>
  <c r="D538"/>
  <c r="D537"/>
  <c r="D536"/>
  <c r="G536" s="1"/>
  <c r="D535"/>
  <c r="D534"/>
  <c r="D533"/>
  <c r="D532"/>
  <c r="D531"/>
  <c r="D530"/>
  <c r="D529"/>
  <c r="D528"/>
  <c r="G528" s="1"/>
  <c r="D527"/>
  <c r="D526"/>
  <c r="D525"/>
  <c r="D524"/>
  <c r="D523"/>
  <c r="D522"/>
  <c r="D521"/>
  <c r="D520"/>
  <c r="G520" s="1"/>
  <c r="D519"/>
  <c r="D518"/>
  <c r="D517"/>
  <c r="D516"/>
  <c r="D515"/>
  <c r="D514"/>
  <c r="D469"/>
  <c r="D468"/>
  <c r="G468" s="1"/>
  <c r="D467"/>
  <c r="D466"/>
  <c r="D465"/>
  <c r="D464"/>
  <c r="D463"/>
  <c r="D462"/>
  <c r="D461"/>
  <c r="D460"/>
  <c r="G460" s="1"/>
  <c r="D459"/>
  <c r="D458"/>
  <c r="D457"/>
  <c r="D456"/>
  <c r="D455"/>
  <c r="D454"/>
  <c r="D453"/>
  <c r="D452"/>
  <c r="G452" s="1"/>
  <c r="D451"/>
  <c r="D450"/>
  <c r="D449"/>
  <c r="D448"/>
  <c r="D447"/>
  <c r="D446"/>
  <c r="D445"/>
  <c r="D444"/>
  <c r="G444" s="1"/>
  <c r="D443"/>
  <c r="D442"/>
  <c r="D441"/>
  <c r="D440"/>
  <c r="D439"/>
  <c r="D438"/>
  <c r="D437"/>
  <c r="D436"/>
  <c r="G436" s="1"/>
  <c r="D435"/>
  <c r="D434"/>
  <c r="D433"/>
  <c r="D432"/>
  <c r="D431"/>
  <c r="D430"/>
  <c r="D429"/>
  <c r="D428"/>
  <c r="D427"/>
  <c r="D426"/>
  <c r="D381"/>
  <c r="D380"/>
  <c r="D379"/>
  <c r="D378"/>
  <c r="D377"/>
  <c r="D376"/>
  <c r="G376" s="1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G344" s="1"/>
  <c r="D343"/>
  <c r="D342"/>
  <c r="D341"/>
  <c r="D340"/>
  <c r="D339"/>
  <c r="D338"/>
  <c r="D293"/>
  <c r="D292"/>
  <c r="D291"/>
  <c r="D290"/>
  <c r="D289"/>
  <c r="D288"/>
  <c r="D287"/>
  <c r="D286"/>
  <c r="D285"/>
  <c r="D284"/>
  <c r="G284" s="1"/>
  <c r="D283"/>
  <c r="D282"/>
  <c r="D281"/>
  <c r="D280"/>
  <c r="D279"/>
  <c r="D278"/>
  <c r="D277"/>
  <c r="D276"/>
  <c r="D275"/>
  <c r="D274"/>
  <c r="D273"/>
  <c r="D272"/>
  <c r="M272" s="1"/>
  <c r="D271"/>
  <c r="D270"/>
  <c r="D269"/>
  <c r="D268"/>
  <c r="D267"/>
  <c r="D266"/>
  <c r="D265"/>
  <c r="D264"/>
  <c r="D263"/>
  <c r="D262"/>
  <c r="D261"/>
  <c r="D260"/>
  <c r="G260" s="1"/>
  <c r="D259"/>
  <c r="D258"/>
  <c r="D257"/>
  <c r="D256"/>
  <c r="D255"/>
  <c r="D254"/>
  <c r="D253"/>
  <c r="D252"/>
  <c r="D251"/>
  <c r="D250"/>
  <c r="D205"/>
  <c r="D204"/>
  <c r="G204" s="1"/>
  <c r="D203"/>
  <c r="D202"/>
  <c r="D201"/>
  <c r="D200"/>
  <c r="D199"/>
  <c r="D198"/>
  <c r="D197"/>
  <c r="D196"/>
  <c r="D195"/>
  <c r="D194"/>
  <c r="D193"/>
  <c r="D192"/>
  <c r="D191"/>
  <c r="D190"/>
  <c r="D189"/>
  <c r="D188"/>
  <c r="G188" s="1"/>
  <c r="D187"/>
  <c r="D186"/>
  <c r="D185"/>
  <c r="D184"/>
  <c r="D183"/>
  <c r="D182"/>
  <c r="D181"/>
  <c r="D180"/>
  <c r="D179"/>
  <c r="D178"/>
  <c r="D177"/>
  <c r="D176"/>
  <c r="D175"/>
  <c r="D174"/>
  <c r="D173"/>
  <c r="D172"/>
  <c r="G172" s="1"/>
  <c r="D171"/>
  <c r="D170"/>
  <c r="D169"/>
  <c r="D168"/>
  <c r="D167"/>
  <c r="D166"/>
  <c r="D165"/>
  <c r="D164"/>
  <c r="D163"/>
  <c r="D162"/>
  <c r="D75"/>
  <c r="M75" s="1"/>
  <c r="D76"/>
  <c r="M76" s="1"/>
  <c r="D77"/>
  <c r="M77" s="1"/>
  <c r="D78"/>
  <c r="M78" s="1"/>
  <c r="D79"/>
  <c r="M79" s="1"/>
  <c r="D80"/>
  <c r="M80" s="1"/>
  <c r="D81"/>
  <c r="M81" s="1"/>
  <c r="D82"/>
  <c r="M82" s="1"/>
  <c r="D83"/>
  <c r="M83" s="1"/>
  <c r="D84"/>
  <c r="M84" s="1"/>
  <c r="D85"/>
  <c r="M85" s="1"/>
  <c r="D86"/>
  <c r="M86" s="1"/>
  <c r="D87"/>
  <c r="M87" s="1"/>
  <c r="D88"/>
  <c r="M88" s="1"/>
  <c r="D89"/>
  <c r="M89" s="1"/>
  <c r="D90"/>
  <c r="M90" s="1"/>
  <c r="D91"/>
  <c r="M91" s="1"/>
  <c r="D92"/>
  <c r="M92" s="1"/>
  <c r="D93"/>
  <c r="M93" s="1"/>
  <c r="D94"/>
  <c r="M94" s="1"/>
  <c r="D95"/>
  <c r="M95" s="1"/>
  <c r="D96"/>
  <c r="G96" s="1"/>
  <c r="D97"/>
  <c r="D98"/>
  <c r="D99"/>
  <c r="M99" s="1"/>
  <c r="D100"/>
  <c r="M100" s="1"/>
  <c r="D101"/>
  <c r="D102"/>
  <c r="D103"/>
  <c r="D104"/>
  <c r="D105"/>
  <c r="M105" s="1"/>
  <c r="D106"/>
  <c r="D107"/>
  <c r="D108"/>
  <c r="D109"/>
  <c r="M109" s="1"/>
  <c r="D110"/>
  <c r="D111"/>
  <c r="D112"/>
  <c r="G112" s="1"/>
  <c r="D113"/>
  <c r="M113" s="1"/>
  <c r="D114"/>
  <c r="D115"/>
  <c r="D116"/>
  <c r="D117"/>
  <c r="D74"/>
  <c r="M74" s="1"/>
  <c r="N2934"/>
  <c r="M2934" s="1"/>
  <c r="N2891"/>
  <c r="N2892"/>
  <c r="N2893"/>
  <c r="M2893" s="1"/>
  <c r="N2894"/>
  <c r="M2894" s="1"/>
  <c r="N2895"/>
  <c r="N2896"/>
  <c r="M2896" s="1"/>
  <c r="N2897"/>
  <c r="M2897" s="1"/>
  <c r="N2898"/>
  <c r="M2898" s="1"/>
  <c r="N2899"/>
  <c r="N2900"/>
  <c r="M2900" s="1"/>
  <c r="N2901"/>
  <c r="M2901" s="1"/>
  <c r="N2902"/>
  <c r="M2902" s="1"/>
  <c r="N2903"/>
  <c r="N2904"/>
  <c r="M2904" s="1"/>
  <c r="N2905"/>
  <c r="M2905" s="1"/>
  <c r="N2906"/>
  <c r="M2906" s="1"/>
  <c r="N2907"/>
  <c r="N2908"/>
  <c r="M2908" s="1"/>
  <c r="N2909"/>
  <c r="N2910"/>
  <c r="N2911"/>
  <c r="N2933"/>
  <c r="M2933" s="1"/>
  <c r="N2890"/>
  <c r="N4271"/>
  <c r="N4287"/>
  <c r="M4287" s="1"/>
  <c r="N4359"/>
  <c r="N4447" s="1"/>
  <c r="N4535" s="1"/>
  <c r="N4623" s="1"/>
  <c r="N4711" s="1"/>
  <c r="N4178"/>
  <c r="N4179"/>
  <c r="N4267" s="1"/>
  <c r="N4355" s="1"/>
  <c r="N4443" s="1"/>
  <c r="N4531" s="1"/>
  <c r="N4619" s="1"/>
  <c r="N4707" s="1"/>
  <c r="N4180"/>
  <c r="N4181"/>
  <c r="N4182"/>
  <c r="N4183"/>
  <c r="N4184"/>
  <c r="N4185"/>
  <c r="N4186"/>
  <c r="N4187"/>
  <c r="N4188"/>
  <c r="N4189"/>
  <c r="N4190"/>
  <c r="N4191"/>
  <c r="M4191" s="1"/>
  <c r="N4192"/>
  <c r="N4193"/>
  <c r="N4281" s="1"/>
  <c r="N4194"/>
  <c r="N4195"/>
  <c r="N4196"/>
  <c r="N4197"/>
  <c r="N4285" s="1"/>
  <c r="N4373" s="1"/>
  <c r="N4461" s="1"/>
  <c r="N4549" s="1"/>
  <c r="N4637" s="1"/>
  <c r="N4198"/>
  <c r="N4199"/>
  <c r="M4199" s="1"/>
  <c r="N4200"/>
  <c r="N4201"/>
  <c r="N4289" s="1"/>
  <c r="N4377" s="1"/>
  <c r="N4465" s="1"/>
  <c r="N4553" s="1"/>
  <c r="N4641" s="1"/>
  <c r="N4202"/>
  <c r="N4203"/>
  <c r="N4204"/>
  <c r="N4205"/>
  <c r="N4293" s="1"/>
  <c r="N4381" s="1"/>
  <c r="N4469" s="1"/>
  <c r="N4557" s="1"/>
  <c r="N4645" s="1"/>
  <c r="N4206"/>
  <c r="N4207"/>
  <c r="N4295" s="1"/>
  <c r="N4383" s="1"/>
  <c r="N4208"/>
  <c r="N4209"/>
  <c r="N4297" s="1"/>
  <c r="N4385" s="1"/>
  <c r="N4167"/>
  <c r="N4168"/>
  <c r="N4169"/>
  <c r="N4257" s="1"/>
  <c r="N4170"/>
  <c r="N4258" s="1"/>
  <c r="N4171"/>
  <c r="N4172"/>
  <c r="N4173"/>
  <c r="N4174"/>
  <c r="N4175"/>
  <c r="N4263" s="1"/>
  <c r="N4351" s="1"/>
  <c r="N4439" s="1"/>
  <c r="N4527" s="1"/>
  <c r="N4615" s="1"/>
  <c r="N4703" s="1"/>
  <c r="N4176"/>
  <c r="N4177"/>
  <c r="N4166"/>
  <c r="N4123"/>
  <c r="N4211" s="1"/>
  <c r="N4124"/>
  <c r="N4212" s="1"/>
  <c r="N4125"/>
  <c r="N4126"/>
  <c r="N4127"/>
  <c r="N4215" s="1"/>
  <c r="N4128"/>
  <c r="N4129"/>
  <c r="N4130"/>
  <c r="N4131"/>
  <c r="N4219" s="1"/>
  <c r="N4307" s="1"/>
  <c r="N4395" s="1"/>
  <c r="N4483" s="1"/>
  <c r="N4571" s="1"/>
  <c r="N4659" s="1"/>
  <c r="N4747" s="1"/>
  <c r="N4132"/>
  <c r="N4133"/>
  <c r="N4134"/>
  <c r="N4135"/>
  <c r="N4223" s="1"/>
  <c r="N4311" s="1"/>
  <c r="N4399" s="1"/>
  <c r="N4487" s="1"/>
  <c r="N4575" s="1"/>
  <c r="N4663" s="1"/>
  <c r="N4751" s="1"/>
  <c r="N4136"/>
  <c r="N4137"/>
  <c r="N4138"/>
  <c r="N4139"/>
  <c r="N4227" s="1"/>
  <c r="N4315" s="1"/>
  <c r="N4403" s="1"/>
  <c r="N4491" s="1"/>
  <c r="N4579" s="1"/>
  <c r="N4667" s="1"/>
  <c r="N4755" s="1"/>
  <c r="N4140"/>
  <c r="N4141"/>
  <c r="N4229" s="1"/>
  <c r="N4142"/>
  <c r="N4230" s="1"/>
  <c r="N4143"/>
  <c r="N4231" s="1"/>
  <c r="M4231" s="1"/>
  <c r="N4144"/>
  <c r="N4145"/>
  <c r="N4146"/>
  <c r="N4147"/>
  <c r="N4235" s="1"/>
  <c r="N4148"/>
  <c r="N4236" s="1"/>
  <c r="N4149"/>
  <c r="N4150"/>
  <c r="N4151"/>
  <c r="N4152"/>
  <c r="N4153"/>
  <c r="N4241" s="1"/>
  <c r="N4329" s="1"/>
  <c r="N4417" s="1"/>
  <c r="N4505" s="1"/>
  <c r="N4593" s="1"/>
  <c r="N4681" s="1"/>
  <c r="N4154"/>
  <c r="N4155"/>
  <c r="N4156"/>
  <c r="N4157"/>
  <c r="N4245" s="1"/>
  <c r="N4333" s="1"/>
  <c r="N4421" s="1"/>
  <c r="N4509" s="1"/>
  <c r="N4597" s="1"/>
  <c r="N4685" s="1"/>
  <c r="N4158"/>
  <c r="N4159"/>
  <c r="N4160"/>
  <c r="N4161"/>
  <c r="N4249" s="1"/>
  <c r="N4337" s="1"/>
  <c r="N4425" s="1"/>
  <c r="N4513" s="1"/>
  <c r="N4601" s="1"/>
  <c r="N4689" s="1"/>
  <c r="N4162"/>
  <c r="N4163"/>
  <c r="N4164"/>
  <c r="N4165"/>
  <c r="N4122"/>
  <c r="N4210" s="1"/>
  <c r="N2824"/>
  <c r="N2825"/>
  <c r="N2826"/>
  <c r="N2827"/>
  <c r="N2828"/>
  <c r="N2829"/>
  <c r="N2830"/>
  <c r="N2831"/>
  <c r="N2832"/>
  <c r="N2833"/>
  <c r="N2834"/>
  <c r="N2835"/>
  <c r="N2836"/>
  <c r="N2837"/>
  <c r="N2838"/>
  <c r="N2839"/>
  <c r="N2840"/>
  <c r="N2841"/>
  <c r="N2842"/>
  <c r="N2843"/>
  <c r="N2844"/>
  <c r="N2845"/>
  <c r="N2757"/>
  <c r="N2756"/>
  <c r="N2755"/>
  <c r="N2754"/>
  <c r="N2753"/>
  <c r="N2752"/>
  <c r="N2751"/>
  <c r="N2750"/>
  <c r="N2749"/>
  <c r="N2748"/>
  <c r="N2747"/>
  <c r="N2746"/>
  <c r="N2745"/>
  <c r="N2744"/>
  <c r="N2743"/>
  <c r="N2742"/>
  <c r="N2741"/>
  <c r="N2740"/>
  <c r="N2739"/>
  <c r="N2738"/>
  <c r="N2737"/>
  <c r="N2736"/>
  <c r="N2735"/>
  <c r="N2734"/>
  <c r="N2733"/>
  <c r="N2732"/>
  <c r="N2731"/>
  <c r="N2730"/>
  <c r="N2729"/>
  <c r="N2728"/>
  <c r="N2727"/>
  <c r="N2726"/>
  <c r="N2725"/>
  <c r="N2724"/>
  <c r="N2723"/>
  <c r="N2722"/>
  <c r="N2721"/>
  <c r="N2720"/>
  <c r="N2719"/>
  <c r="N2718"/>
  <c r="N2717"/>
  <c r="N2716"/>
  <c r="N2715"/>
  <c r="N2714"/>
  <c r="N2661"/>
  <c r="N2647"/>
  <c r="N2646"/>
  <c r="N2645"/>
  <c r="N2644"/>
  <c r="N2643"/>
  <c r="N2642"/>
  <c r="N2641"/>
  <c r="N2640"/>
  <c r="N2639"/>
  <c r="N2638"/>
  <c r="N2637"/>
  <c r="N2636"/>
  <c r="N2635"/>
  <c r="N2634"/>
  <c r="N2633"/>
  <c r="N2632"/>
  <c r="N2631"/>
  <c r="N2630"/>
  <c r="N2629"/>
  <c r="N2628"/>
  <c r="N2627"/>
  <c r="N2626"/>
  <c r="N2581"/>
  <c r="N2625" s="1"/>
  <c r="N2669" s="1"/>
  <c r="N2580"/>
  <c r="N2624" s="1"/>
  <c r="N2668" s="1"/>
  <c r="N2579"/>
  <c r="N2578"/>
  <c r="N2622" s="1"/>
  <c r="N2666" s="1"/>
  <c r="N2577"/>
  <c r="N2621" s="1"/>
  <c r="N2665" s="1"/>
  <c r="N2576"/>
  <c r="N2575"/>
  <c r="N2574"/>
  <c r="N2618" s="1"/>
  <c r="N2662" s="1"/>
  <c r="N2573"/>
  <c r="N2617" s="1"/>
  <c r="N2572"/>
  <c r="N2571"/>
  <c r="N2570"/>
  <c r="N2614" s="1"/>
  <c r="N2658" s="1"/>
  <c r="N2569"/>
  <c r="N2613" s="1"/>
  <c r="N2657" s="1"/>
  <c r="N2568"/>
  <c r="N2612" s="1"/>
  <c r="N2656" s="1"/>
  <c r="N2567"/>
  <c r="N2566"/>
  <c r="N2610" s="1"/>
  <c r="N2654" s="1"/>
  <c r="N2565"/>
  <c r="N2609" s="1"/>
  <c r="N2653" s="1"/>
  <c r="N2564"/>
  <c r="N2563"/>
  <c r="N2562"/>
  <c r="N2561"/>
  <c r="N2605" s="1"/>
  <c r="N2649" s="1"/>
  <c r="N2560"/>
  <c r="N2604" s="1"/>
  <c r="N2648" s="1"/>
  <c r="N2559"/>
  <c r="N2558"/>
  <c r="N2557"/>
  <c r="N2556"/>
  <c r="N2555"/>
  <c r="N2554"/>
  <c r="N2553"/>
  <c r="N2552"/>
  <c r="N2551"/>
  <c r="N2550"/>
  <c r="N2549"/>
  <c r="N2548"/>
  <c r="N2547"/>
  <c r="N2546"/>
  <c r="N2545"/>
  <c r="N2544"/>
  <c r="N2543"/>
  <c r="N2542"/>
  <c r="N2541"/>
  <c r="N2540"/>
  <c r="N2539"/>
  <c r="N2538"/>
  <c r="N2493"/>
  <c r="N2492"/>
  <c r="N2491"/>
  <c r="N2490"/>
  <c r="N2489"/>
  <c r="N2488"/>
  <c r="N2487"/>
  <c r="N2486"/>
  <c r="N2485"/>
  <c r="N2484"/>
  <c r="N2483"/>
  <c r="N2482"/>
  <c r="N2481"/>
  <c r="N2480"/>
  <c r="N2479"/>
  <c r="N2478"/>
  <c r="N2477"/>
  <c r="N2476"/>
  <c r="N2475"/>
  <c r="N2474"/>
  <c r="N2473"/>
  <c r="N2472"/>
  <c r="N2457"/>
  <c r="N2407"/>
  <c r="N2451" s="1"/>
  <c r="N2408"/>
  <c r="N2452" s="1"/>
  <c r="N2409"/>
  <c r="N2453" s="1"/>
  <c r="N2410"/>
  <c r="N2454" s="1"/>
  <c r="N2411"/>
  <c r="N2455" s="1"/>
  <c r="N2412"/>
  <c r="N2456" s="1"/>
  <c r="N2413"/>
  <c r="N2414"/>
  <c r="N2458" s="1"/>
  <c r="N2415"/>
  <c r="N2459" s="1"/>
  <c r="N2416"/>
  <c r="N2460" s="1"/>
  <c r="N2417"/>
  <c r="N2461" s="1"/>
  <c r="N2418"/>
  <c r="N2462" s="1"/>
  <c r="N2419"/>
  <c r="N2463" s="1"/>
  <c r="N2420"/>
  <c r="N2464" s="1"/>
  <c r="N2421"/>
  <c r="N2465" s="1"/>
  <c r="N2422"/>
  <c r="N2466" s="1"/>
  <c r="N2423"/>
  <c r="N2467" s="1"/>
  <c r="N2424"/>
  <c r="N2468" s="1"/>
  <c r="N2425"/>
  <c r="N2469" s="1"/>
  <c r="N2426"/>
  <c r="N2470" s="1"/>
  <c r="N2427"/>
  <c r="N2471" s="1"/>
  <c r="N2406"/>
  <c r="N2450" s="1"/>
  <c r="N2363"/>
  <c r="M2363" s="1"/>
  <c r="N2364"/>
  <c r="M2364" s="1"/>
  <c r="N2365"/>
  <c r="M2365" s="1"/>
  <c r="N2366"/>
  <c r="M2366" s="1"/>
  <c r="N2367"/>
  <c r="M2367" s="1"/>
  <c r="N2368"/>
  <c r="M2368" s="1"/>
  <c r="N2369"/>
  <c r="N2370"/>
  <c r="M2370" s="1"/>
  <c r="N2371"/>
  <c r="N2372"/>
  <c r="M2372" s="1"/>
  <c r="N2373"/>
  <c r="N2374"/>
  <c r="M2374" s="1"/>
  <c r="N2375"/>
  <c r="N2376"/>
  <c r="M2376" s="1"/>
  <c r="N2377"/>
  <c r="N2378"/>
  <c r="M2378" s="1"/>
  <c r="N2379"/>
  <c r="N2380"/>
  <c r="M2380" s="1"/>
  <c r="N2381"/>
  <c r="N2382"/>
  <c r="M2382" s="1"/>
  <c r="N2383"/>
  <c r="N2384"/>
  <c r="N2385"/>
  <c r="N2386"/>
  <c r="N2387"/>
  <c r="N2388"/>
  <c r="N2389"/>
  <c r="N2390"/>
  <c r="N2391"/>
  <c r="N2392"/>
  <c r="N2393"/>
  <c r="N2394"/>
  <c r="N2395"/>
  <c r="N2396"/>
  <c r="N2397"/>
  <c r="N2398"/>
  <c r="N2399"/>
  <c r="N2400"/>
  <c r="N2401"/>
  <c r="N2402"/>
  <c r="N2403"/>
  <c r="N2404"/>
  <c r="N2405"/>
  <c r="N2362"/>
  <c r="M2362" s="1"/>
  <c r="N2229"/>
  <c r="N2619"/>
  <c r="N2663" s="1"/>
  <c r="N2606"/>
  <c r="N2650" s="1"/>
  <c r="N2623"/>
  <c r="N2667" s="1"/>
  <c r="N2607"/>
  <c r="N2651" s="1"/>
  <c r="N2608"/>
  <c r="N2652" s="1"/>
  <c r="N2611"/>
  <c r="N2655" s="1"/>
  <c r="N2615"/>
  <c r="N2659" s="1"/>
  <c r="N2616"/>
  <c r="N2660" s="1"/>
  <c r="N2620"/>
  <c r="N2664" s="1"/>
  <c r="G9" i="1"/>
  <c r="H9"/>
  <c r="F9"/>
  <c r="F13" s="1"/>
  <c r="F17" s="1"/>
  <c r="F21" s="1"/>
  <c r="F25" s="1"/>
  <c r="F29" s="1"/>
  <c r="F33" s="1"/>
  <c r="F37" s="1"/>
  <c r="F41" s="1"/>
  <c r="F45" s="1"/>
  <c r="F49" s="1"/>
  <c r="F53" s="1"/>
  <c r="H52"/>
  <c r="G52"/>
  <c r="F52"/>
  <c r="H51"/>
  <c r="G51"/>
  <c r="F51"/>
  <c r="H50"/>
  <c r="G50"/>
  <c r="F50"/>
  <c r="H48"/>
  <c r="G48"/>
  <c r="F48"/>
  <c r="H47"/>
  <c r="G47"/>
  <c r="F47"/>
  <c r="H46"/>
  <c r="G46"/>
  <c r="F46"/>
  <c r="H44"/>
  <c r="G44"/>
  <c r="F44"/>
  <c r="H43"/>
  <c r="G43"/>
  <c r="F43"/>
  <c r="H42"/>
  <c r="G42"/>
  <c r="F42"/>
  <c r="H40"/>
  <c r="G40"/>
  <c r="F40"/>
  <c r="H39"/>
  <c r="G39"/>
  <c r="F39"/>
  <c r="H38"/>
  <c r="G38"/>
  <c r="F38"/>
  <c r="H36"/>
  <c r="G36"/>
  <c r="F36"/>
  <c r="H35"/>
  <c r="G35"/>
  <c r="F35"/>
  <c r="H34"/>
  <c r="G34"/>
  <c r="F34"/>
  <c r="H32"/>
  <c r="G32"/>
  <c r="F32"/>
  <c r="H31"/>
  <c r="G31"/>
  <c r="F31"/>
  <c r="H30"/>
  <c r="G30"/>
  <c r="F30"/>
  <c r="H28"/>
  <c r="G28"/>
  <c r="F28"/>
  <c r="H27"/>
  <c r="G27"/>
  <c r="F27"/>
  <c r="H26"/>
  <c r="G26"/>
  <c r="F26"/>
  <c r="H24"/>
  <c r="G24"/>
  <c r="F24"/>
  <c r="H23"/>
  <c r="G23"/>
  <c r="F23"/>
  <c r="H22"/>
  <c r="G22"/>
  <c r="F22"/>
  <c r="H20"/>
  <c r="G20"/>
  <c r="F20"/>
  <c r="H19"/>
  <c r="G19"/>
  <c r="F19"/>
  <c r="H18"/>
  <c r="G18"/>
  <c r="F18"/>
  <c r="H16"/>
  <c r="G16"/>
  <c r="F16"/>
  <c r="H15"/>
  <c r="G15"/>
  <c r="F15"/>
  <c r="H14"/>
  <c r="G14"/>
  <c r="F14"/>
  <c r="H8"/>
  <c r="H7"/>
  <c r="G8"/>
  <c r="G7"/>
  <c r="F10"/>
  <c r="F11"/>
  <c r="F12"/>
  <c r="F8"/>
  <c r="F7"/>
  <c r="N4799" i="2" l="1"/>
  <c r="N4887" s="1"/>
  <c r="N4975" s="1"/>
  <c r="M4711"/>
  <c r="N4839"/>
  <c r="N4927" s="1"/>
  <c r="N5015" s="1"/>
  <c r="M4751"/>
  <c r="N4791"/>
  <c r="N4879" s="1"/>
  <c r="N4967" s="1"/>
  <c r="M4703"/>
  <c r="M4383"/>
  <c r="N4471"/>
  <c r="N4559" s="1"/>
  <c r="N4253"/>
  <c r="N4341" s="1"/>
  <c r="N4429" s="1"/>
  <c r="M4165"/>
  <c r="N4298"/>
  <c r="M4210"/>
  <c r="N4250"/>
  <c r="M4162"/>
  <c r="N4246"/>
  <c r="M4158"/>
  <c r="N4242"/>
  <c r="M4154"/>
  <c r="N4238"/>
  <c r="M4150"/>
  <c r="N4234"/>
  <c r="M4146"/>
  <c r="N4318"/>
  <c r="M4230"/>
  <c r="N4226"/>
  <c r="M4138"/>
  <c r="N4222"/>
  <c r="M4134"/>
  <c r="N4218"/>
  <c r="M4130"/>
  <c r="N4214"/>
  <c r="N4302" s="1"/>
  <c r="M4126"/>
  <c r="N4254"/>
  <c r="M4166"/>
  <c r="N4262"/>
  <c r="M4174"/>
  <c r="N4346"/>
  <c r="M4258"/>
  <c r="N4473"/>
  <c r="N4561" s="1"/>
  <c r="M4385"/>
  <c r="N4733"/>
  <c r="N4821" s="1"/>
  <c r="N4909" s="1"/>
  <c r="M4645"/>
  <c r="N4729"/>
  <c r="N4817" s="1"/>
  <c r="N4905" s="1"/>
  <c r="M4641"/>
  <c r="N4725"/>
  <c r="N4813" s="1"/>
  <c r="N4901" s="1"/>
  <c r="M4637"/>
  <c r="N4369"/>
  <c r="M4281"/>
  <c r="N4277"/>
  <c r="N4365" s="1"/>
  <c r="M4189"/>
  <c r="N4273"/>
  <c r="N4361" s="1"/>
  <c r="N4449" s="1"/>
  <c r="M4185"/>
  <c r="N4269"/>
  <c r="M4181"/>
  <c r="M165"/>
  <c r="G165"/>
  <c r="G169"/>
  <c r="G173"/>
  <c r="G177"/>
  <c r="G181"/>
  <c r="G185"/>
  <c r="M189"/>
  <c r="G189"/>
  <c r="M193"/>
  <c r="G193"/>
  <c r="M197"/>
  <c r="G197"/>
  <c r="M201"/>
  <c r="G201"/>
  <c r="M205"/>
  <c r="G205"/>
  <c r="G253"/>
  <c r="G257"/>
  <c r="G261"/>
  <c r="G265"/>
  <c r="M269"/>
  <c r="G269"/>
  <c r="M273"/>
  <c r="G273"/>
  <c r="G277"/>
  <c r="M281"/>
  <c r="G281"/>
  <c r="M285"/>
  <c r="G285"/>
  <c r="M289"/>
  <c r="G289"/>
  <c r="M293"/>
  <c r="G293"/>
  <c r="G341"/>
  <c r="G345"/>
  <c r="G349"/>
  <c r="G353"/>
  <c r="M357"/>
  <c r="G357"/>
  <c r="G361"/>
  <c r="G365"/>
  <c r="M369"/>
  <c r="G369"/>
  <c r="M373"/>
  <c r="G373"/>
  <c r="M377"/>
  <c r="G377"/>
  <c r="G381"/>
  <c r="G429"/>
  <c r="M433"/>
  <c r="G433"/>
  <c r="M437"/>
  <c r="G437"/>
  <c r="G441"/>
  <c r="G445"/>
  <c r="G449"/>
  <c r="G453"/>
  <c r="M457"/>
  <c r="G457"/>
  <c r="M461"/>
  <c r="G461"/>
  <c r="M465"/>
  <c r="G465"/>
  <c r="M469"/>
  <c r="G469"/>
  <c r="G517"/>
  <c r="G521"/>
  <c r="G525"/>
  <c r="M529"/>
  <c r="G529"/>
  <c r="M533"/>
  <c r="G533"/>
  <c r="G537"/>
  <c r="G541"/>
  <c r="M545"/>
  <c r="G545"/>
  <c r="M549"/>
  <c r="G549"/>
  <c r="M553"/>
  <c r="G553"/>
  <c r="G557"/>
  <c r="G605"/>
  <c r="G609"/>
  <c r="G613"/>
  <c r="G617"/>
  <c r="G621"/>
  <c r="G625"/>
  <c r="G629"/>
  <c r="G633"/>
  <c r="G637"/>
  <c r="G641"/>
  <c r="M645"/>
  <c r="G645"/>
  <c r="G693"/>
  <c r="M697"/>
  <c r="G697"/>
  <c r="M701"/>
  <c r="G701"/>
  <c r="M705"/>
  <c r="G705"/>
  <c r="G709"/>
  <c r="G713"/>
  <c r="G717"/>
  <c r="M721"/>
  <c r="G721"/>
  <c r="M725"/>
  <c r="G725"/>
  <c r="M729"/>
  <c r="G729"/>
  <c r="M733"/>
  <c r="G733"/>
  <c r="G781"/>
  <c r="G785"/>
  <c r="G789"/>
  <c r="G793"/>
  <c r="M797"/>
  <c r="G797"/>
  <c r="G801"/>
  <c r="G805"/>
  <c r="M809"/>
  <c r="G809"/>
  <c r="M813"/>
  <c r="G813"/>
  <c r="M817"/>
  <c r="G817"/>
  <c r="G821"/>
  <c r="G869"/>
  <c r="M873"/>
  <c r="G873"/>
  <c r="M877"/>
  <c r="G877"/>
  <c r="G881"/>
  <c r="G885"/>
  <c r="G889"/>
  <c r="G893"/>
  <c r="G897"/>
  <c r="G901"/>
  <c r="G905"/>
  <c r="M909"/>
  <c r="G909"/>
  <c r="G957"/>
  <c r="G961"/>
  <c r="G965"/>
  <c r="G969"/>
  <c r="M973"/>
  <c r="G973"/>
  <c r="G977"/>
  <c r="G981"/>
  <c r="G985"/>
  <c r="G989"/>
  <c r="G993"/>
  <c r="M997"/>
  <c r="G997"/>
  <c r="G1045"/>
  <c r="M1049"/>
  <c r="G1049"/>
  <c r="G115"/>
  <c r="G111"/>
  <c r="G107"/>
  <c r="G103"/>
  <c r="G99"/>
  <c r="G95"/>
  <c r="G91"/>
  <c r="G87"/>
  <c r="G83"/>
  <c r="G79"/>
  <c r="G75"/>
  <c r="G200"/>
  <c r="G184"/>
  <c r="G168"/>
  <c r="G276"/>
  <c r="G292"/>
  <c r="G352"/>
  <c r="G368"/>
  <c r="G428"/>
  <c r="N4843"/>
  <c r="N4931" s="1"/>
  <c r="N5019" s="1"/>
  <c r="M4755"/>
  <c r="N4835"/>
  <c r="N4923" s="1"/>
  <c r="N5011" s="1"/>
  <c r="M4747"/>
  <c r="N4303"/>
  <c r="N4391" s="1"/>
  <c r="M4215"/>
  <c r="N4299"/>
  <c r="M4211"/>
  <c r="N4259"/>
  <c r="N4347" s="1"/>
  <c r="M4171"/>
  <c r="N4255"/>
  <c r="M4167"/>
  <c r="N4294"/>
  <c r="M4206"/>
  <c r="N4290"/>
  <c r="M4202"/>
  <c r="N4286"/>
  <c r="M4198"/>
  <c r="N4282"/>
  <c r="M4194"/>
  <c r="N4278"/>
  <c r="M4190"/>
  <c r="N4274"/>
  <c r="M4186"/>
  <c r="N4270"/>
  <c r="M4182"/>
  <c r="N4266"/>
  <c r="M4178"/>
  <c r="G256"/>
  <c r="G272"/>
  <c r="G288"/>
  <c r="G348"/>
  <c r="G364"/>
  <c r="G380"/>
  <c r="G440"/>
  <c r="G456"/>
  <c r="G516"/>
  <c r="G532"/>
  <c r="G548"/>
  <c r="G608"/>
  <c r="G700"/>
  <c r="G716"/>
  <c r="G732"/>
  <c r="G792"/>
  <c r="G808"/>
  <c r="N4251"/>
  <c r="N4339" s="1"/>
  <c r="N4427" s="1"/>
  <c r="M4163"/>
  <c r="N4323"/>
  <c r="M4235"/>
  <c r="N4252"/>
  <c r="M4164"/>
  <c r="N4248"/>
  <c r="M4160"/>
  <c r="N4244"/>
  <c r="M4156"/>
  <c r="N4240"/>
  <c r="M4152"/>
  <c r="N4324"/>
  <c r="M4236"/>
  <c r="N4232"/>
  <c r="M4144"/>
  <c r="N4228"/>
  <c r="M4140"/>
  <c r="N4224"/>
  <c r="M4136"/>
  <c r="N4220"/>
  <c r="M4132"/>
  <c r="N4216"/>
  <c r="M4128"/>
  <c r="N4300"/>
  <c r="M4212"/>
  <c r="N4264"/>
  <c r="M4176"/>
  <c r="N4260"/>
  <c r="M4172"/>
  <c r="N4256"/>
  <c r="M4168"/>
  <c r="N4291"/>
  <c r="M4203"/>
  <c r="N4283"/>
  <c r="M4195"/>
  <c r="N4275"/>
  <c r="N4363" s="1"/>
  <c r="N4451" s="1"/>
  <c r="M4187"/>
  <c r="N4795"/>
  <c r="N4883" s="1"/>
  <c r="N4971" s="1"/>
  <c r="M4707"/>
  <c r="G163"/>
  <c r="G167"/>
  <c r="M171"/>
  <c r="G171"/>
  <c r="M175"/>
  <c r="G175"/>
  <c r="M179"/>
  <c r="G179"/>
  <c r="G183"/>
  <c r="G187"/>
  <c r="G191"/>
  <c r="G195"/>
  <c r="G199"/>
  <c r="M203"/>
  <c r="G203"/>
  <c r="G251"/>
  <c r="M255"/>
  <c r="G255"/>
  <c r="M259"/>
  <c r="G259"/>
  <c r="M263"/>
  <c r="G263"/>
  <c r="M267"/>
  <c r="G267"/>
  <c r="M271"/>
  <c r="G271"/>
  <c r="G275"/>
  <c r="G279"/>
  <c r="G283"/>
  <c r="G287"/>
  <c r="M291"/>
  <c r="G291"/>
  <c r="M339"/>
  <c r="G339"/>
  <c r="G343"/>
  <c r="M347"/>
  <c r="G347"/>
  <c r="M351"/>
  <c r="G351"/>
  <c r="M355"/>
  <c r="G355"/>
  <c r="M359"/>
  <c r="G359"/>
  <c r="G363"/>
  <c r="M367"/>
  <c r="G367"/>
  <c r="M371"/>
  <c r="G371"/>
  <c r="G375"/>
  <c r="G379"/>
  <c r="G427"/>
  <c r="G431"/>
  <c r="M435"/>
  <c r="G435"/>
  <c r="M439"/>
  <c r="G439"/>
  <c r="M443"/>
  <c r="G443"/>
  <c r="G447"/>
  <c r="G451"/>
  <c r="G455"/>
  <c r="G459"/>
  <c r="M463"/>
  <c r="G463"/>
  <c r="M467"/>
  <c r="G467"/>
  <c r="G515"/>
  <c r="G519"/>
  <c r="M523"/>
  <c r="G523"/>
  <c r="M527"/>
  <c r="G527"/>
  <c r="M531"/>
  <c r="G531"/>
  <c r="M535"/>
  <c r="G535"/>
  <c r="G539"/>
  <c r="G543"/>
  <c r="G547"/>
  <c r="G551"/>
  <c r="G555"/>
  <c r="G603"/>
  <c r="G607"/>
  <c r="M611"/>
  <c r="G611"/>
  <c r="M615"/>
  <c r="G615"/>
  <c r="M619"/>
  <c r="G619"/>
  <c r="G623"/>
  <c r="G627"/>
  <c r="M631"/>
  <c r="G631"/>
  <c r="M635"/>
  <c r="G635"/>
  <c r="M639"/>
  <c r="G639"/>
  <c r="G643"/>
  <c r="G691"/>
  <c r="G695"/>
  <c r="G699"/>
  <c r="G703"/>
  <c r="G707"/>
  <c r="M711"/>
  <c r="G711"/>
  <c r="G715"/>
  <c r="G719"/>
  <c r="G723"/>
  <c r="G727"/>
  <c r="M731"/>
  <c r="G731"/>
  <c r="G779"/>
  <c r="G783"/>
  <c r="M787"/>
  <c r="G787"/>
  <c r="M791"/>
  <c r="G791"/>
  <c r="M795"/>
  <c r="G795"/>
  <c r="M799"/>
  <c r="G799"/>
  <c r="G803"/>
  <c r="M807"/>
  <c r="G807"/>
  <c r="M811"/>
  <c r="G811"/>
  <c r="G815"/>
  <c r="G819"/>
  <c r="G867"/>
  <c r="G871"/>
  <c r="M875"/>
  <c r="G875"/>
  <c r="M879"/>
  <c r="G879"/>
  <c r="M883"/>
  <c r="G883"/>
  <c r="G887"/>
  <c r="G891"/>
  <c r="G895"/>
  <c r="G899"/>
  <c r="G903"/>
  <c r="M907"/>
  <c r="G907"/>
  <c r="G955"/>
  <c r="G959"/>
  <c r="G963"/>
  <c r="G967"/>
  <c r="G971"/>
  <c r="M975"/>
  <c r="G975"/>
  <c r="G979"/>
  <c r="M983"/>
  <c r="G983"/>
  <c r="M987"/>
  <c r="G987"/>
  <c r="M991"/>
  <c r="G991"/>
  <c r="M995"/>
  <c r="G995"/>
  <c r="G1043"/>
  <c r="G1047"/>
  <c r="G1051"/>
  <c r="G1055"/>
  <c r="G1059"/>
  <c r="M1063"/>
  <c r="G1063"/>
  <c r="G1067"/>
  <c r="G1071"/>
  <c r="M1075"/>
  <c r="G1075"/>
  <c r="M1079"/>
  <c r="G1079"/>
  <c r="M1083"/>
  <c r="G1083"/>
  <c r="G1131"/>
  <c r="G1135"/>
  <c r="M1139"/>
  <c r="G1139"/>
  <c r="M1143"/>
  <c r="G1143"/>
  <c r="M1147"/>
  <c r="G1147"/>
  <c r="G1151"/>
  <c r="G1155"/>
  <c r="M1159"/>
  <c r="G1159"/>
  <c r="M1163"/>
  <c r="G1163"/>
  <c r="M1167"/>
  <c r="G1167"/>
  <c r="M1171"/>
  <c r="G1171"/>
  <c r="M1219"/>
  <c r="G1219"/>
  <c r="M1223"/>
  <c r="G1223"/>
  <c r="M1227"/>
  <c r="G1227"/>
  <c r="M1231"/>
  <c r="G1231"/>
  <c r="M1235"/>
  <c r="G1235"/>
  <c r="M1239"/>
  <c r="G1239"/>
  <c r="M1243"/>
  <c r="G1243"/>
  <c r="M1247"/>
  <c r="G1247"/>
  <c r="M1251"/>
  <c r="G1251"/>
  <c r="M1255"/>
  <c r="G1255"/>
  <c r="M1260"/>
  <c r="G1260"/>
  <c r="M1308"/>
  <c r="G1308"/>
  <c r="M1312"/>
  <c r="G1312"/>
  <c r="M1316"/>
  <c r="G1316"/>
  <c r="M1320"/>
  <c r="G1320"/>
  <c r="M1324"/>
  <c r="G1324"/>
  <c r="G100"/>
  <c r="G88"/>
  <c r="G80"/>
  <c r="N4375"/>
  <c r="N4463" s="1"/>
  <c r="N4319"/>
  <c r="N4407" s="1"/>
  <c r="N4495" s="1"/>
  <c r="N4279"/>
  <c r="G117"/>
  <c r="G113"/>
  <c r="G109"/>
  <c r="G105"/>
  <c r="G101"/>
  <c r="G97"/>
  <c r="G93"/>
  <c r="G89"/>
  <c r="G85"/>
  <c r="G81"/>
  <c r="G77"/>
  <c r="G192"/>
  <c r="G176"/>
  <c r="G252"/>
  <c r="G268"/>
  <c r="G360"/>
  <c r="G620"/>
  <c r="G636"/>
  <c r="G696"/>
  <c r="G712"/>
  <c r="G728"/>
  <c r="G788"/>
  <c r="G804"/>
  <c r="N4247"/>
  <c r="M4159"/>
  <c r="N4243"/>
  <c r="M4155"/>
  <c r="N4239"/>
  <c r="M4151"/>
  <c r="N4777"/>
  <c r="N4865" s="1"/>
  <c r="N4953" s="1"/>
  <c r="M4689"/>
  <c r="N4773"/>
  <c r="N4861" s="1"/>
  <c r="N4949" s="1"/>
  <c r="M4685"/>
  <c r="N4769"/>
  <c r="N4857" s="1"/>
  <c r="N4945" s="1"/>
  <c r="M4681"/>
  <c r="N4237"/>
  <c r="N4325" s="1"/>
  <c r="M4149"/>
  <c r="N4233"/>
  <c r="M4145"/>
  <c r="N4317"/>
  <c r="N4405" s="1"/>
  <c r="N4493" s="1"/>
  <c r="M4229"/>
  <c r="N4225"/>
  <c r="M4137"/>
  <c r="N4221"/>
  <c r="M4133"/>
  <c r="N4217"/>
  <c r="M4129"/>
  <c r="N4213"/>
  <c r="N4301" s="1"/>
  <c r="M4125"/>
  <c r="N4265"/>
  <c r="M4177"/>
  <c r="N4261"/>
  <c r="M4173"/>
  <c r="N4345"/>
  <c r="M4257"/>
  <c r="N4296"/>
  <c r="M4208"/>
  <c r="N4292"/>
  <c r="M4204"/>
  <c r="N4288"/>
  <c r="M4200"/>
  <c r="N4284"/>
  <c r="M4196"/>
  <c r="N4280"/>
  <c r="M4192"/>
  <c r="N4276"/>
  <c r="N4364" s="1"/>
  <c r="M4188"/>
  <c r="N4272"/>
  <c r="M4184"/>
  <c r="N4268"/>
  <c r="M4180"/>
  <c r="G162"/>
  <c r="M166"/>
  <c r="G166"/>
  <c r="G170"/>
  <c r="G174"/>
  <c r="G178"/>
  <c r="G182"/>
  <c r="G186"/>
  <c r="G190"/>
  <c r="G194"/>
  <c r="G198"/>
  <c r="G202"/>
  <c r="G250"/>
  <c r="G254"/>
  <c r="G258"/>
  <c r="G262"/>
  <c r="G266"/>
  <c r="G270"/>
  <c r="G274"/>
  <c r="G278"/>
  <c r="G282"/>
  <c r="G286"/>
  <c r="G290"/>
  <c r="M338"/>
  <c r="G338"/>
  <c r="G342"/>
  <c r="G346"/>
  <c r="G350"/>
  <c r="G354"/>
  <c r="G358"/>
  <c r="G362"/>
  <c r="G366"/>
  <c r="G370"/>
  <c r="G374"/>
  <c r="G378"/>
  <c r="G426"/>
  <c r="G430"/>
  <c r="G434"/>
  <c r="G438"/>
  <c r="G442"/>
  <c r="G446"/>
  <c r="G450"/>
  <c r="G454"/>
  <c r="G458"/>
  <c r="G462"/>
  <c r="G466"/>
  <c r="G514"/>
  <c r="G518"/>
  <c r="G522"/>
  <c r="G526"/>
  <c r="G530"/>
  <c r="G534"/>
  <c r="G538"/>
  <c r="G542"/>
  <c r="G546"/>
  <c r="G550"/>
  <c r="G554"/>
  <c r="G602"/>
  <c r="G606"/>
  <c r="G610"/>
  <c r="G614"/>
  <c r="G618"/>
  <c r="G622"/>
  <c r="G626"/>
  <c r="G630"/>
  <c r="G634"/>
  <c r="G638"/>
  <c r="G642"/>
  <c r="G690"/>
  <c r="G694"/>
  <c r="G698"/>
  <c r="G702"/>
  <c r="G706"/>
  <c r="G710"/>
  <c r="G714"/>
  <c r="G718"/>
  <c r="G722"/>
  <c r="G726"/>
  <c r="G730"/>
  <c r="G778"/>
  <c r="G782"/>
  <c r="G786"/>
  <c r="G790"/>
  <c r="G794"/>
  <c r="G798"/>
  <c r="G802"/>
  <c r="G806"/>
  <c r="G810"/>
  <c r="G814"/>
  <c r="G818"/>
  <c r="G866"/>
  <c r="G116"/>
  <c r="G108"/>
  <c r="G104"/>
  <c r="G92"/>
  <c r="G84"/>
  <c r="G76"/>
  <c r="G74"/>
  <c r="G114"/>
  <c r="G110"/>
  <c r="G106"/>
  <c r="G102"/>
  <c r="G98"/>
  <c r="G94"/>
  <c r="G90"/>
  <c r="G86"/>
  <c r="G82"/>
  <c r="G78"/>
  <c r="G196"/>
  <c r="G180"/>
  <c r="G164"/>
  <c r="G264"/>
  <c r="G280"/>
  <c r="G340"/>
  <c r="G356"/>
  <c r="G372"/>
  <c r="G432"/>
  <c r="G448"/>
  <c r="G464"/>
  <c r="G524"/>
  <c r="G540"/>
  <c r="G556"/>
  <c r="G616"/>
  <c r="G632"/>
  <c r="G692"/>
  <c r="G708"/>
  <c r="G724"/>
  <c r="G784"/>
  <c r="G800"/>
  <c r="G1307"/>
  <c r="G1311"/>
  <c r="G1315"/>
  <c r="G1319"/>
  <c r="G1323"/>
  <c r="G1327"/>
  <c r="G870"/>
  <c r="G874"/>
  <c r="G878"/>
  <c r="G882"/>
  <c r="G886"/>
  <c r="G890"/>
  <c r="G894"/>
  <c r="G898"/>
  <c r="G902"/>
  <c r="G906"/>
  <c r="G954"/>
  <c r="G958"/>
  <c r="G962"/>
  <c r="G966"/>
  <c r="G970"/>
  <c r="G974"/>
  <c r="G978"/>
  <c r="G982"/>
  <c r="G986"/>
  <c r="G990"/>
  <c r="G994"/>
  <c r="G1042"/>
  <c r="G1046"/>
  <c r="G1050"/>
  <c r="G1054"/>
  <c r="G1058"/>
  <c r="G1306"/>
  <c r="G1310"/>
  <c r="G1314"/>
  <c r="G1318"/>
  <c r="G1322"/>
  <c r="G1326"/>
  <c r="G1053"/>
  <c r="G1057"/>
  <c r="G1061"/>
  <c r="G1065"/>
  <c r="G1069"/>
  <c r="G1073"/>
  <c r="G1077"/>
  <c r="G1081"/>
  <c r="G1085"/>
  <c r="G1133"/>
  <c r="G1137"/>
  <c r="G1141"/>
  <c r="G1145"/>
  <c r="G1149"/>
  <c r="G1153"/>
  <c r="G1157"/>
  <c r="G1161"/>
  <c r="G1165"/>
  <c r="G1169"/>
  <c r="G1173"/>
  <c r="G1221"/>
  <c r="G1225"/>
  <c r="G1229"/>
  <c r="G1233"/>
  <c r="G1237"/>
  <c r="G1241"/>
  <c r="G1245"/>
  <c r="G1249"/>
  <c r="G1253"/>
  <c r="G1258"/>
  <c r="G1309"/>
  <c r="G1313"/>
  <c r="G1317"/>
  <c r="G1321"/>
  <c r="G1325"/>
  <c r="N3418"/>
  <c r="M3418" s="1"/>
  <c r="N3419"/>
  <c r="M3419" s="1"/>
  <c r="N3420"/>
  <c r="M3420" s="1"/>
  <c r="N3421"/>
  <c r="M3421" s="1"/>
  <c r="N3422"/>
  <c r="M3422" s="1"/>
  <c r="N3423"/>
  <c r="M3423" s="1"/>
  <c r="N3424"/>
  <c r="M3424" s="1"/>
  <c r="N3425"/>
  <c r="M3425" s="1"/>
  <c r="N3426"/>
  <c r="M3426" s="1"/>
  <c r="N3427"/>
  <c r="N3428"/>
  <c r="M3428" s="1"/>
  <c r="N3429"/>
  <c r="M3429" s="1"/>
  <c r="N3430"/>
  <c r="M3430" s="1"/>
  <c r="N3431"/>
  <c r="N3432"/>
  <c r="M3432" s="1"/>
  <c r="N3433"/>
  <c r="M3433" s="1"/>
  <c r="N3434"/>
  <c r="M3434" s="1"/>
  <c r="N3435"/>
  <c r="N3436"/>
  <c r="M3436" s="1"/>
  <c r="N3437"/>
  <c r="M3437" s="1"/>
  <c r="N3438"/>
  <c r="M3438" s="1"/>
  <c r="N3439"/>
  <c r="M3439" s="1"/>
  <c r="N3440"/>
  <c r="M3440" s="1"/>
  <c r="N3441"/>
  <c r="M3441" s="1"/>
  <c r="N3442"/>
  <c r="M3442" s="1"/>
  <c r="N3443"/>
  <c r="M3443" s="1"/>
  <c r="N3444"/>
  <c r="M3444" s="1"/>
  <c r="N3445"/>
  <c r="M3445" s="1"/>
  <c r="N3446"/>
  <c r="M3446" s="1"/>
  <c r="N3447"/>
  <c r="N3448"/>
  <c r="M3448" s="1"/>
  <c r="N3449"/>
  <c r="M3449" s="1"/>
  <c r="N3450"/>
  <c r="M3450" s="1"/>
  <c r="N3451"/>
  <c r="N3452"/>
  <c r="M3452" s="1"/>
  <c r="N3453"/>
  <c r="M3453" s="1"/>
  <c r="N3454"/>
  <c r="M3454" s="1"/>
  <c r="N3455"/>
  <c r="N3456"/>
  <c r="M3456" s="1"/>
  <c r="N3457"/>
  <c r="M3457" s="1"/>
  <c r="N3458"/>
  <c r="M3458" s="1"/>
  <c r="N3459"/>
  <c r="M3459" s="1"/>
  <c r="N3460"/>
  <c r="M3460" s="1"/>
  <c r="N3461"/>
  <c r="A2847"/>
  <c r="A4079" s="1"/>
  <c r="A2848"/>
  <c r="A4080" s="1"/>
  <c r="A2849"/>
  <c r="A4081" s="1"/>
  <c r="A2850"/>
  <c r="A4082" s="1"/>
  <c r="A2851"/>
  <c r="A4083" s="1"/>
  <c r="A2852"/>
  <c r="A4084" s="1"/>
  <c r="A2853"/>
  <c r="A4085" s="1"/>
  <c r="A2854"/>
  <c r="A4086" s="1"/>
  <c r="A2855"/>
  <c r="A4087" s="1"/>
  <c r="A2856"/>
  <c r="A4088" s="1"/>
  <c r="A2857"/>
  <c r="A4089" s="1"/>
  <c r="A2858"/>
  <c r="A4090" s="1"/>
  <c r="A2859"/>
  <c r="A4091" s="1"/>
  <c r="A2860"/>
  <c r="A4092" s="1"/>
  <c r="A2861"/>
  <c r="A4093" s="1"/>
  <c r="A2862"/>
  <c r="A4094" s="1"/>
  <c r="A2863"/>
  <c r="A4095" s="1"/>
  <c r="A2864"/>
  <c r="A4096" s="1"/>
  <c r="A2865"/>
  <c r="A4097" s="1"/>
  <c r="A2866"/>
  <c r="A4098" s="1"/>
  <c r="A2867"/>
  <c r="A4099" s="1"/>
  <c r="A2868"/>
  <c r="A4100" s="1"/>
  <c r="A2869"/>
  <c r="A4101" s="1"/>
  <c r="A2870"/>
  <c r="A4102" s="1"/>
  <c r="A2871"/>
  <c r="A4103" s="1"/>
  <c r="A2872"/>
  <c r="A4104" s="1"/>
  <c r="A2873"/>
  <c r="A4105" s="1"/>
  <c r="A2874"/>
  <c r="A4106" s="1"/>
  <c r="A2875"/>
  <c r="A4107" s="1"/>
  <c r="A2876"/>
  <c r="A4108" s="1"/>
  <c r="A2877"/>
  <c r="A4109" s="1"/>
  <c r="A2878"/>
  <c r="A4110" s="1"/>
  <c r="A2879"/>
  <c r="A4111" s="1"/>
  <c r="A2880"/>
  <c r="A4112" s="1"/>
  <c r="A2881"/>
  <c r="A4113" s="1"/>
  <c r="A2882"/>
  <c r="A4114" s="1"/>
  <c r="A2883"/>
  <c r="A4115" s="1"/>
  <c r="A2884"/>
  <c r="A4116" s="1"/>
  <c r="A2885"/>
  <c r="A4117" s="1"/>
  <c r="A2886"/>
  <c r="A4118" s="1"/>
  <c r="A2887"/>
  <c r="A4119" s="1"/>
  <c r="A2888"/>
  <c r="A4120" s="1"/>
  <c r="A2889"/>
  <c r="A4121" s="1"/>
  <c r="A2890"/>
  <c r="A4122" s="1"/>
  <c r="A2891"/>
  <c r="A4123" s="1"/>
  <c r="A2892"/>
  <c r="A4124" s="1"/>
  <c r="A2893"/>
  <c r="A4125" s="1"/>
  <c r="A2894"/>
  <c r="A4126" s="1"/>
  <c r="A2895"/>
  <c r="A4127" s="1"/>
  <c r="A2896"/>
  <c r="A4128" s="1"/>
  <c r="A2897"/>
  <c r="A4129" s="1"/>
  <c r="A2898"/>
  <c r="A4130" s="1"/>
  <c r="A2899"/>
  <c r="A4131" s="1"/>
  <c r="A2900"/>
  <c r="A4132" s="1"/>
  <c r="A2901"/>
  <c r="A4133" s="1"/>
  <c r="A2902"/>
  <c r="A4134" s="1"/>
  <c r="A2903"/>
  <c r="A4135" s="1"/>
  <c r="A2904"/>
  <c r="A4136" s="1"/>
  <c r="A2905"/>
  <c r="A4137" s="1"/>
  <c r="A2906"/>
  <c r="A4138" s="1"/>
  <c r="A2907"/>
  <c r="A4139" s="1"/>
  <c r="A2908"/>
  <c r="A4140" s="1"/>
  <c r="A2909"/>
  <c r="A4141" s="1"/>
  <c r="A2910"/>
  <c r="A4142" s="1"/>
  <c r="A2911"/>
  <c r="A4143" s="1"/>
  <c r="A2912"/>
  <c r="A4144" s="1"/>
  <c r="A2913"/>
  <c r="A4145" s="1"/>
  <c r="A2914"/>
  <c r="A4146" s="1"/>
  <c r="A2915"/>
  <c r="A4147" s="1"/>
  <c r="A2916"/>
  <c r="A4148" s="1"/>
  <c r="A2917"/>
  <c r="A4149" s="1"/>
  <c r="A2918"/>
  <c r="A4150" s="1"/>
  <c r="A2919"/>
  <c r="A4151" s="1"/>
  <c r="A2920"/>
  <c r="A4152" s="1"/>
  <c r="A2921"/>
  <c r="A4153" s="1"/>
  <c r="A2922"/>
  <c r="A4154" s="1"/>
  <c r="A2923"/>
  <c r="A4155" s="1"/>
  <c r="A2924"/>
  <c r="A4156" s="1"/>
  <c r="A2925"/>
  <c r="A4157" s="1"/>
  <c r="A2926"/>
  <c r="A4158" s="1"/>
  <c r="A2927"/>
  <c r="A4159" s="1"/>
  <c r="A2928"/>
  <c r="A4160" s="1"/>
  <c r="A2929"/>
  <c r="A4161" s="1"/>
  <c r="A2930"/>
  <c r="A4162" s="1"/>
  <c r="A2931"/>
  <c r="A4163" s="1"/>
  <c r="A2932"/>
  <c r="A4164" s="1"/>
  <c r="A2933"/>
  <c r="A4165" s="1"/>
  <c r="A2934"/>
  <c r="A4166" s="1"/>
  <c r="A2935"/>
  <c r="A4167" s="1"/>
  <c r="A2936"/>
  <c r="A4168" s="1"/>
  <c r="A2937"/>
  <c r="A4169" s="1"/>
  <c r="A2938"/>
  <c r="A4170" s="1"/>
  <c r="A2939"/>
  <c r="A4171" s="1"/>
  <c r="A2940"/>
  <c r="A4172" s="1"/>
  <c r="A2941"/>
  <c r="A4173" s="1"/>
  <c r="A2942"/>
  <c r="A4174" s="1"/>
  <c r="A2943"/>
  <c r="A4175" s="1"/>
  <c r="A2944"/>
  <c r="A4176" s="1"/>
  <c r="A2945"/>
  <c r="A4177" s="1"/>
  <c r="A2946"/>
  <c r="A4178" s="1"/>
  <c r="A2947"/>
  <c r="A4179" s="1"/>
  <c r="A2948"/>
  <c r="A4180" s="1"/>
  <c r="A2949"/>
  <c r="A4181" s="1"/>
  <c r="A2950"/>
  <c r="A4182" s="1"/>
  <c r="A2951"/>
  <c r="A4183" s="1"/>
  <c r="A2952"/>
  <c r="A4184" s="1"/>
  <c r="A2953"/>
  <c r="A4185" s="1"/>
  <c r="A2954"/>
  <c r="A4186" s="1"/>
  <c r="A2955"/>
  <c r="A4187" s="1"/>
  <c r="A2956"/>
  <c r="A4188" s="1"/>
  <c r="A2957"/>
  <c r="A4189" s="1"/>
  <c r="A2958"/>
  <c r="A4190" s="1"/>
  <c r="A2959"/>
  <c r="A4191" s="1"/>
  <c r="A2960"/>
  <c r="A4192" s="1"/>
  <c r="A2961"/>
  <c r="A4193" s="1"/>
  <c r="A2962"/>
  <c r="A4194" s="1"/>
  <c r="A2963"/>
  <c r="A4195" s="1"/>
  <c r="A2964"/>
  <c r="A4196" s="1"/>
  <c r="A2965"/>
  <c r="A4197" s="1"/>
  <c r="A2966"/>
  <c r="A4198" s="1"/>
  <c r="A2967"/>
  <c r="A4199" s="1"/>
  <c r="A2968"/>
  <c r="A4200" s="1"/>
  <c r="A2969"/>
  <c r="A4201" s="1"/>
  <c r="A2970"/>
  <c r="A4202" s="1"/>
  <c r="A2971"/>
  <c r="A4203" s="1"/>
  <c r="A2972"/>
  <c r="A4204" s="1"/>
  <c r="A2973"/>
  <c r="A4205" s="1"/>
  <c r="A2974"/>
  <c r="A4206" s="1"/>
  <c r="A2975"/>
  <c r="A4207" s="1"/>
  <c r="A2976"/>
  <c r="A4208" s="1"/>
  <c r="A2977"/>
  <c r="A4209" s="1"/>
  <c r="A2978"/>
  <c r="A4210" s="1"/>
  <c r="A2979"/>
  <c r="A4211" s="1"/>
  <c r="A2980"/>
  <c r="A4212" s="1"/>
  <c r="A2981"/>
  <c r="A4213" s="1"/>
  <c r="A2982"/>
  <c r="A4214" s="1"/>
  <c r="A2983"/>
  <c r="A4215" s="1"/>
  <c r="A2984"/>
  <c r="A4216" s="1"/>
  <c r="A2985"/>
  <c r="A4217" s="1"/>
  <c r="A2986"/>
  <c r="A4218" s="1"/>
  <c r="A2987"/>
  <c r="A4219" s="1"/>
  <c r="A2988"/>
  <c r="A4220" s="1"/>
  <c r="A2989"/>
  <c r="A4221" s="1"/>
  <c r="A2990"/>
  <c r="A4222" s="1"/>
  <c r="A2991"/>
  <c r="A4223" s="1"/>
  <c r="A2992"/>
  <c r="A4224" s="1"/>
  <c r="A2993"/>
  <c r="A4225" s="1"/>
  <c r="A2994"/>
  <c r="A4226" s="1"/>
  <c r="A2995"/>
  <c r="A4227" s="1"/>
  <c r="A2996"/>
  <c r="A4228" s="1"/>
  <c r="A2997"/>
  <c r="A4229" s="1"/>
  <c r="A2998"/>
  <c r="A4230" s="1"/>
  <c r="A2999"/>
  <c r="A4231" s="1"/>
  <c r="A3000"/>
  <c r="A4232" s="1"/>
  <c r="A3001"/>
  <c r="A4233" s="1"/>
  <c r="A3002"/>
  <c r="A4234" s="1"/>
  <c r="A3003"/>
  <c r="A4235" s="1"/>
  <c r="A3004"/>
  <c r="A4236" s="1"/>
  <c r="A3005"/>
  <c r="A4237" s="1"/>
  <c r="A3006"/>
  <c r="A4238" s="1"/>
  <c r="A3007"/>
  <c r="A4239" s="1"/>
  <c r="A3008"/>
  <c r="A4240" s="1"/>
  <c r="A3009"/>
  <c r="A4241" s="1"/>
  <c r="A3010"/>
  <c r="A4242" s="1"/>
  <c r="A3011"/>
  <c r="A4243" s="1"/>
  <c r="A3012"/>
  <c r="A4244" s="1"/>
  <c r="A3013"/>
  <c r="A4245" s="1"/>
  <c r="A3014"/>
  <c r="A4246" s="1"/>
  <c r="A3015"/>
  <c r="A4247" s="1"/>
  <c r="A3016"/>
  <c r="A4248" s="1"/>
  <c r="A3017"/>
  <c r="A4249" s="1"/>
  <c r="A3018"/>
  <c r="A4250" s="1"/>
  <c r="A3019"/>
  <c r="A4251" s="1"/>
  <c r="A3020"/>
  <c r="A4252" s="1"/>
  <c r="A3021"/>
  <c r="A4253" s="1"/>
  <c r="A3022"/>
  <c r="A4254" s="1"/>
  <c r="A3023"/>
  <c r="A4255" s="1"/>
  <c r="A3024"/>
  <c r="A4256" s="1"/>
  <c r="A3025"/>
  <c r="A4257" s="1"/>
  <c r="A3026"/>
  <c r="A4258" s="1"/>
  <c r="A3027"/>
  <c r="A4259" s="1"/>
  <c r="A3028"/>
  <c r="A4260" s="1"/>
  <c r="A3029"/>
  <c r="A4261" s="1"/>
  <c r="A3030"/>
  <c r="A4262" s="1"/>
  <c r="A3031"/>
  <c r="A4263" s="1"/>
  <c r="A3032"/>
  <c r="A4264" s="1"/>
  <c r="A3033"/>
  <c r="A4265" s="1"/>
  <c r="A3034"/>
  <c r="A4266" s="1"/>
  <c r="A3035"/>
  <c r="A4267" s="1"/>
  <c r="A3036"/>
  <c r="A4268" s="1"/>
  <c r="A3037"/>
  <c r="A4269" s="1"/>
  <c r="A3038"/>
  <c r="A4270" s="1"/>
  <c r="A3039"/>
  <c r="A4271" s="1"/>
  <c r="A3040"/>
  <c r="A4272" s="1"/>
  <c r="A3041"/>
  <c r="A4273" s="1"/>
  <c r="A3042"/>
  <c r="A4274" s="1"/>
  <c r="A3043"/>
  <c r="A4275" s="1"/>
  <c r="A3044"/>
  <c r="A4276" s="1"/>
  <c r="A3045"/>
  <c r="A4277" s="1"/>
  <c r="A3046"/>
  <c r="A4278" s="1"/>
  <c r="A3047"/>
  <c r="A4279" s="1"/>
  <c r="A3048"/>
  <c r="A4280" s="1"/>
  <c r="A3049"/>
  <c r="A4281" s="1"/>
  <c r="A3050"/>
  <c r="A4282" s="1"/>
  <c r="A3051"/>
  <c r="A4283" s="1"/>
  <c r="A3052"/>
  <c r="A4284" s="1"/>
  <c r="A3053"/>
  <c r="A4285" s="1"/>
  <c r="A3054"/>
  <c r="A4286" s="1"/>
  <c r="A3055"/>
  <c r="A4287" s="1"/>
  <c r="A3056"/>
  <c r="A4288" s="1"/>
  <c r="A3057"/>
  <c r="A4289" s="1"/>
  <c r="A3058"/>
  <c r="A4290" s="1"/>
  <c r="A3059"/>
  <c r="A4291" s="1"/>
  <c r="A3060"/>
  <c r="A4292" s="1"/>
  <c r="A3061"/>
  <c r="A4293" s="1"/>
  <c r="A3062"/>
  <c r="A4294" s="1"/>
  <c r="A3063"/>
  <c r="A4295" s="1"/>
  <c r="A3064"/>
  <c r="A4296" s="1"/>
  <c r="A3065"/>
  <c r="A4297" s="1"/>
  <c r="A3066"/>
  <c r="A4298" s="1"/>
  <c r="A3067"/>
  <c r="A4299" s="1"/>
  <c r="A3068"/>
  <c r="A4300" s="1"/>
  <c r="A3069"/>
  <c r="A4301" s="1"/>
  <c r="A3070"/>
  <c r="A4302" s="1"/>
  <c r="A3071"/>
  <c r="A4303" s="1"/>
  <c r="A3072"/>
  <c r="A4304" s="1"/>
  <c r="A3073"/>
  <c r="A4305" s="1"/>
  <c r="A3074"/>
  <c r="A4306" s="1"/>
  <c r="A3075"/>
  <c r="A4307" s="1"/>
  <c r="A3076"/>
  <c r="A4308" s="1"/>
  <c r="A3077"/>
  <c r="A4309" s="1"/>
  <c r="A3078"/>
  <c r="A4310" s="1"/>
  <c r="A3079"/>
  <c r="A4311" s="1"/>
  <c r="A3080"/>
  <c r="A4312" s="1"/>
  <c r="A3081"/>
  <c r="A4313" s="1"/>
  <c r="A3082"/>
  <c r="A4314" s="1"/>
  <c r="A3083"/>
  <c r="A4315" s="1"/>
  <c r="A3084"/>
  <c r="A4316" s="1"/>
  <c r="A3085"/>
  <c r="A4317" s="1"/>
  <c r="A3086"/>
  <c r="A4318" s="1"/>
  <c r="A3087"/>
  <c r="A4319" s="1"/>
  <c r="A3088"/>
  <c r="A4320" s="1"/>
  <c r="A3089"/>
  <c r="A4321" s="1"/>
  <c r="A3090"/>
  <c r="A4322" s="1"/>
  <c r="A3091"/>
  <c r="A4323" s="1"/>
  <c r="A3092"/>
  <c r="A4324" s="1"/>
  <c r="A3093"/>
  <c r="A4325" s="1"/>
  <c r="A3094"/>
  <c r="A4326" s="1"/>
  <c r="A3095"/>
  <c r="A4327" s="1"/>
  <c r="A3096"/>
  <c r="A4328" s="1"/>
  <c r="A3097"/>
  <c r="A4329" s="1"/>
  <c r="A3098"/>
  <c r="A4330" s="1"/>
  <c r="A3099"/>
  <c r="A4331" s="1"/>
  <c r="A3100"/>
  <c r="A4332" s="1"/>
  <c r="A3101"/>
  <c r="A4333" s="1"/>
  <c r="A3102"/>
  <c r="A4334" s="1"/>
  <c r="A3103"/>
  <c r="A4335" s="1"/>
  <c r="A3104"/>
  <c r="A4336" s="1"/>
  <c r="A3105"/>
  <c r="A4337" s="1"/>
  <c r="A3106"/>
  <c r="A4338" s="1"/>
  <c r="A3107"/>
  <c r="A4339" s="1"/>
  <c r="A3108"/>
  <c r="A4340" s="1"/>
  <c r="A3109"/>
  <c r="A4341" s="1"/>
  <c r="A3110"/>
  <c r="A4342" s="1"/>
  <c r="A3111"/>
  <c r="A4343" s="1"/>
  <c r="A3112"/>
  <c r="A4344" s="1"/>
  <c r="A3113"/>
  <c r="A4345" s="1"/>
  <c r="A3114"/>
  <c r="A4346" s="1"/>
  <c r="A3115"/>
  <c r="A4347" s="1"/>
  <c r="A3116"/>
  <c r="A4348" s="1"/>
  <c r="A3117"/>
  <c r="A4349" s="1"/>
  <c r="A3118"/>
  <c r="A4350" s="1"/>
  <c r="A3119"/>
  <c r="A4351" s="1"/>
  <c r="A3120"/>
  <c r="A4352" s="1"/>
  <c r="A3121"/>
  <c r="A4353" s="1"/>
  <c r="A3122"/>
  <c r="A4354" s="1"/>
  <c r="A3123"/>
  <c r="A4355" s="1"/>
  <c r="A3124"/>
  <c r="A4356" s="1"/>
  <c r="A3125"/>
  <c r="A4357" s="1"/>
  <c r="A3126"/>
  <c r="A4358" s="1"/>
  <c r="A3127"/>
  <c r="A4359" s="1"/>
  <c r="A3128"/>
  <c r="A4360" s="1"/>
  <c r="A3129"/>
  <c r="A4361" s="1"/>
  <c r="A3130"/>
  <c r="A4362" s="1"/>
  <c r="A3131"/>
  <c r="A4363" s="1"/>
  <c r="A3132"/>
  <c r="A4364" s="1"/>
  <c r="A3133"/>
  <c r="A4365" s="1"/>
  <c r="A3134"/>
  <c r="A4366" s="1"/>
  <c r="A3135"/>
  <c r="A4367" s="1"/>
  <c r="A3136"/>
  <c r="A4368" s="1"/>
  <c r="A3137"/>
  <c r="A4369" s="1"/>
  <c r="A3138"/>
  <c r="A4370" s="1"/>
  <c r="A3139"/>
  <c r="A4371" s="1"/>
  <c r="A3140"/>
  <c r="A4372" s="1"/>
  <c r="A3141"/>
  <c r="A4373" s="1"/>
  <c r="A3142"/>
  <c r="A4374" s="1"/>
  <c r="A3143"/>
  <c r="A4375" s="1"/>
  <c r="A3144"/>
  <c r="A4376" s="1"/>
  <c r="A3145"/>
  <c r="A4377" s="1"/>
  <c r="A3146"/>
  <c r="A4378" s="1"/>
  <c r="A3147"/>
  <c r="A4379" s="1"/>
  <c r="A3148"/>
  <c r="A4380" s="1"/>
  <c r="A3149"/>
  <c r="A4381" s="1"/>
  <c r="A3150"/>
  <c r="A4382" s="1"/>
  <c r="A3151"/>
  <c r="A4383" s="1"/>
  <c r="A3152"/>
  <c r="A4384" s="1"/>
  <c r="A3153"/>
  <c r="A4385" s="1"/>
  <c r="A3154"/>
  <c r="A4386" s="1"/>
  <c r="A3155"/>
  <c r="A4387" s="1"/>
  <c r="A3156"/>
  <c r="A4388" s="1"/>
  <c r="A3157"/>
  <c r="A4389" s="1"/>
  <c r="A3158"/>
  <c r="A4390" s="1"/>
  <c r="A3159"/>
  <c r="A4391" s="1"/>
  <c r="A3160"/>
  <c r="A4392" s="1"/>
  <c r="A3161"/>
  <c r="A4393" s="1"/>
  <c r="A3162"/>
  <c r="A4394" s="1"/>
  <c r="A3163"/>
  <c r="A4395" s="1"/>
  <c r="A3164"/>
  <c r="A4396" s="1"/>
  <c r="A3165"/>
  <c r="A4397" s="1"/>
  <c r="A3166"/>
  <c r="A4398" s="1"/>
  <c r="A3167"/>
  <c r="A4399" s="1"/>
  <c r="A3168"/>
  <c r="A4400" s="1"/>
  <c r="A3169"/>
  <c r="A4401" s="1"/>
  <c r="A3170"/>
  <c r="A4402" s="1"/>
  <c r="A3171"/>
  <c r="A4403" s="1"/>
  <c r="A3172"/>
  <c r="A4404" s="1"/>
  <c r="A3173"/>
  <c r="A4405" s="1"/>
  <c r="A3174"/>
  <c r="A4406" s="1"/>
  <c r="A3175"/>
  <c r="A4407" s="1"/>
  <c r="A3176"/>
  <c r="A4408" s="1"/>
  <c r="A3177"/>
  <c r="A4409" s="1"/>
  <c r="A3178"/>
  <c r="A4410" s="1"/>
  <c r="A3179"/>
  <c r="A4411" s="1"/>
  <c r="A3180"/>
  <c r="A4412" s="1"/>
  <c r="A3181"/>
  <c r="A4413" s="1"/>
  <c r="A3182"/>
  <c r="A4414" s="1"/>
  <c r="A3183"/>
  <c r="A4415" s="1"/>
  <c r="A3184"/>
  <c r="A4416" s="1"/>
  <c r="A3185"/>
  <c r="A4417" s="1"/>
  <c r="A3186"/>
  <c r="A4418" s="1"/>
  <c r="A3187"/>
  <c r="A4419" s="1"/>
  <c r="A3188"/>
  <c r="A4420" s="1"/>
  <c r="A3189"/>
  <c r="A4421" s="1"/>
  <c r="A3190"/>
  <c r="A4422" s="1"/>
  <c r="A3191"/>
  <c r="A4423" s="1"/>
  <c r="A3192"/>
  <c r="A4424" s="1"/>
  <c r="A3193"/>
  <c r="A4425" s="1"/>
  <c r="A3194"/>
  <c r="A4426" s="1"/>
  <c r="A3195"/>
  <c r="A4427" s="1"/>
  <c r="A3196"/>
  <c r="A4428" s="1"/>
  <c r="A3197"/>
  <c r="A4429" s="1"/>
  <c r="A3198"/>
  <c r="A4430" s="1"/>
  <c r="A3199"/>
  <c r="A4431" s="1"/>
  <c r="A3200"/>
  <c r="A4432" s="1"/>
  <c r="A3201"/>
  <c r="A4433" s="1"/>
  <c r="A3202"/>
  <c r="A4434" s="1"/>
  <c r="A3203"/>
  <c r="A4435" s="1"/>
  <c r="A3204"/>
  <c r="A4436" s="1"/>
  <c r="A3205"/>
  <c r="A4437" s="1"/>
  <c r="A3206"/>
  <c r="A4438" s="1"/>
  <c r="A3207"/>
  <c r="A4439" s="1"/>
  <c r="A3208"/>
  <c r="A4440" s="1"/>
  <c r="A3209"/>
  <c r="A4441" s="1"/>
  <c r="A3210"/>
  <c r="A4442" s="1"/>
  <c r="A3211"/>
  <c r="A4443" s="1"/>
  <c r="A3212"/>
  <c r="A4444" s="1"/>
  <c r="A3213"/>
  <c r="A4445" s="1"/>
  <c r="A3214"/>
  <c r="A4446" s="1"/>
  <c r="A3215"/>
  <c r="A4447" s="1"/>
  <c r="A3216"/>
  <c r="A4448" s="1"/>
  <c r="A3217"/>
  <c r="A4449" s="1"/>
  <c r="A3218"/>
  <c r="A4450" s="1"/>
  <c r="A3219"/>
  <c r="A4451" s="1"/>
  <c r="A3220"/>
  <c r="A4452" s="1"/>
  <c r="A3221"/>
  <c r="A4453" s="1"/>
  <c r="A3222"/>
  <c r="A4454" s="1"/>
  <c r="A3223"/>
  <c r="A4455" s="1"/>
  <c r="A3224"/>
  <c r="A4456" s="1"/>
  <c r="A3225"/>
  <c r="A4457" s="1"/>
  <c r="A3226"/>
  <c r="A4458" s="1"/>
  <c r="A3227"/>
  <c r="A4459" s="1"/>
  <c r="A3228"/>
  <c r="A4460" s="1"/>
  <c r="A3229"/>
  <c r="A4461" s="1"/>
  <c r="A3230"/>
  <c r="A4462" s="1"/>
  <c r="A3231"/>
  <c r="A4463" s="1"/>
  <c r="A3232"/>
  <c r="A4464" s="1"/>
  <c r="A3233"/>
  <c r="A4465" s="1"/>
  <c r="A3234"/>
  <c r="A4466" s="1"/>
  <c r="A3235"/>
  <c r="A4467" s="1"/>
  <c r="A3236"/>
  <c r="A4468" s="1"/>
  <c r="A3237"/>
  <c r="A4469" s="1"/>
  <c r="A3238"/>
  <c r="A4470" s="1"/>
  <c r="A3239"/>
  <c r="A4471" s="1"/>
  <c r="A3240"/>
  <c r="A4472" s="1"/>
  <c r="A3241"/>
  <c r="A4473" s="1"/>
  <c r="A3242"/>
  <c r="A4474" s="1"/>
  <c r="A3243"/>
  <c r="A4475" s="1"/>
  <c r="A3244"/>
  <c r="A4476" s="1"/>
  <c r="A3245"/>
  <c r="A4477" s="1"/>
  <c r="A3246"/>
  <c r="A4478" s="1"/>
  <c r="A3247"/>
  <c r="A4479" s="1"/>
  <c r="A3248"/>
  <c r="A4480" s="1"/>
  <c r="A3249"/>
  <c r="A4481" s="1"/>
  <c r="A3250"/>
  <c r="A4482" s="1"/>
  <c r="A3251"/>
  <c r="A4483" s="1"/>
  <c r="A3252"/>
  <c r="A4484" s="1"/>
  <c r="A3253"/>
  <c r="A4485" s="1"/>
  <c r="A3254"/>
  <c r="A4486" s="1"/>
  <c r="A3255"/>
  <c r="A4487" s="1"/>
  <c r="A3256"/>
  <c r="A4488" s="1"/>
  <c r="A3257"/>
  <c r="A4489" s="1"/>
  <c r="A3258"/>
  <c r="A4490" s="1"/>
  <c r="A3259"/>
  <c r="A4491" s="1"/>
  <c r="A3260"/>
  <c r="A4492" s="1"/>
  <c r="A3261"/>
  <c r="A4493" s="1"/>
  <c r="A3262"/>
  <c r="A4494" s="1"/>
  <c r="A3263"/>
  <c r="A4495" s="1"/>
  <c r="A3264"/>
  <c r="A4496" s="1"/>
  <c r="A3265"/>
  <c r="A4497" s="1"/>
  <c r="A3266"/>
  <c r="A4498" s="1"/>
  <c r="A3267"/>
  <c r="A4499" s="1"/>
  <c r="A3268"/>
  <c r="A4500" s="1"/>
  <c r="A3269"/>
  <c r="A4501" s="1"/>
  <c r="A3270"/>
  <c r="A4502" s="1"/>
  <c r="A3271"/>
  <c r="A4503" s="1"/>
  <c r="A3272"/>
  <c r="A4504" s="1"/>
  <c r="A3273"/>
  <c r="A4505" s="1"/>
  <c r="A3274"/>
  <c r="A4506" s="1"/>
  <c r="A3275"/>
  <c r="A4507" s="1"/>
  <c r="A3276"/>
  <c r="A4508" s="1"/>
  <c r="A3277"/>
  <c r="A4509" s="1"/>
  <c r="A3278"/>
  <c r="A4510" s="1"/>
  <c r="A3279"/>
  <c r="A4511" s="1"/>
  <c r="A3280"/>
  <c r="A4512" s="1"/>
  <c r="A3281"/>
  <c r="A4513" s="1"/>
  <c r="A3282"/>
  <c r="A4514" s="1"/>
  <c r="A3283"/>
  <c r="A4515" s="1"/>
  <c r="A3284"/>
  <c r="A4516" s="1"/>
  <c r="A3285"/>
  <c r="A4517" s="1"/>
  <c r="A3286"/>
  <c r="A4518" s="1"/>
  <c r="A3287"/>
  <c r="A4519" s="1"/>
  <c r="A3288"/>
  <c r="A4520" s="1"/>
  <c r="A3289"/>
  <c r="A4521" s="1"/>
  <c r="A3290"/>
  <c r="A4522" s="1"/>
  <c r="A3291"/>
  <c r="A4523" s="1"/>
  <c r="A3292"/>
  <c r="A4524" s="1"/>
  <c r="A3293"/>
  <c r="A4525" s="1"/>
  <c r="A3294"/>
  <c r="A4526" s="1"/>
  <c r="A3295"/>
  <c r="A4527" s="1"/>
  <c r="A3296"/>
  <c r="A4528" s="1"/>
  <c r="A3297"/>
  <c r="A4529" s="1"/>
  <c r="A3298"/>
  <c r="A4530" s="1"/>
  <c r="A3299"/>
  <c r="A4531" s="1"/>
  <c r="A3300"/>
  <c r="A4532" s="1"/>
  <c r="A3301"/>
  <c r="A4533" s="1"/>
  <c r="A3302"/>
  <c r="A4534" s="1"/>
  <c r="A3303"/>
  <c r="A4535" s="1"/>
  <c r="A3304"/>
  <c r="A4536" s="1"/>
  <c r="A3305"/>
  <c r="A4537" s="1"/>
  <c r="A3306"/>
  <c r="A4538" s="1"/>
  <c r="A3307"/>
  <c r="A4539" s="1"/>
  <c r="A3308"/>
  <c r="A4540" s="1"/>
  <c r="A3309"/>
  <c r="A4541" s="1"/>
  <c r="A3310"/>
  <c r="A4542" s="1"/>
  <c r="A3311"/>
  <c r="A4543" s="1"/>
  <c r="A3312"/>
  <c r="A4544" s="1"/>
  <c r="A3313"/>
  <c r="A4545" s="1"/>
  <c r="A3314"/>
  <c r="A4546" s="1"/>
  <c r="A3315"/>
  <c r="A4547" s="1"/>
  <c r="A3316"/>
  <c r="A4548" s="1"/>
  <c r="A3317"/>
  <c r="A4549" s="1"/>
  <c r="A3318"/>
  <c r="A4550" s="1"/>
  <c r="A3319"/>
  <c r="A4551" s="1"/>
  <c r="A3320"/>
  <c r="A4552" s="1"/>
  <c r="A3321"/>
  <c r="A4553" s="1"/>
  <c r="A3322"/>
  <c r="A4554" s="1"/>
  <c r="A3323"/>
  <c r="A4555" s="1"/>
  <c r="A3324"/>
  <c r="A4556" s="1"/>
  <c r="A3325"/>
  <c r="A4557" s="1"/>
  <c r="A3326"/>
  <c r="A4558" s="1"/>
  <c r="A3327"/>
  <c r="A4559" s="1"/>
  <c r="A3328"/>
  <c r="A4560" s="1"/>
  <c r="A3329"/>
  <c r="A4561" s="1"/>
  <c r="A3330"/>
  <c r="A4562" s="1"/>
  <c r="A3331"/>
  <c r="A4563" s="1"/>
  <c r="A3332"/>
  <c r="A4564" s="1"/>
  <c r="A3333"/>
  <c r="A4565" s="1"/>
  <c r="A3334"/>
  <c r="A4566" s="1"/>
  <c r="A3335"/>
  <c r="A4567" s="1"/>
  <c r="A3336"/>
  <c r="A4568" s="1"/>
  <c r="A3337"/>
  <c r="A4569" s="1"/>
  <c r="A3338"/>
  <c r="A4570" s="1"/>
  <c r="A3339"/>
  <c r="A4571" s="1"/>
  <c r="A3340"/>
  <c r="A4572" s="1"/>
  <c r="A3341"/>
  <c r="A4573" s="1"/>
  <c r="A3342"/>
  <c r="A4574" s="1"/>
  <c r="A3343"/>
  <c r="A4575" s="1"/>
  <c r="A3344"/>
  <c r="A4576" s="1"/>
  <c r="A3345"/>
  <c r="A4577" s="1"/>
  <c r="A3346"/>
  <c r="A4578" s="1"/>
  <c r="A3347"/>
  <c r="A4579" s="1"/>
  <c r="A3348"/>
  <c r="A4580" s="1"/>
  <c r="A3349"/>
  <c r="A4581" s="1"/>
  <c r="A3350"/>
  <c r="A4582" s="1"/>
  <c r="A3351"/>
  <c r="A4583" s="1"/>
  <c r="A3352"/>
  <c r="A4584" s="1"/>
  <c r="A3353"/>
  <c r="A4585" s="1"/>
  <c r="A3354"/>
  <c r="A4586" s="1"/>
  <c r="A3355"/>
  <c r="A4587" s="1"/>
  <c r="A3356"/>
  <c r="A4588" s="1"/>
  <c r="A3357"/>
  <c r="A4589" s="1"/>
  <c r="A3358"/>
  <c r="A4590" s="1"/>
  <c r="A3359"/>
  <c r="A4591" s="1"/>
  <c r="A3360"/>
  <c r="A4592" s="1"/>
  <c r="A3361"/>
  <c r="A4593" s="1"/>
  <c r="A3362"/>
  <c r="A4594" s="1"/>
  <c r="A3363"/>
  <c r="A4595" s="1"/>
  <c r="A3364"/>
  <c r="A4596" s="1"/>
  <c r="A3365"/>
  <c r="A4597" s="1"/>
  <c r="A3366"/>
  <c r="A4598" s="1"/>
  <c r="A3367"/>
  <c r="A4599" s="1"/>
  <c r="A3368"/>
  <c r="A4600" s="1"/>
  <c r="A3369"/>
  <c r="A4601" s="1"/>
  <c r="A3370"/>
  <c r="A4602" s="1"/>
  <c r="A3371"/>
  <c r="A4603" s="1"/>
  <c r="A3372"/>
  <c r="A4604" s="1"/>
  <c r="A3373"/>
  <c r="A4605" s="1"/>
  <c r="A3374"/>
  <c r="A4606" s="1"/>
  <c r="A3375"/>
  <c r="A4607" s="1"/>
  <c r="A3376"/>
  <c r="A4608" s="1"/>
  <c r="A3377"/>
  <c r="A4609" s="1"/>
  <c r="A3378"/>
  <c r="A4610" s="1"/>
  <c r="A3379"/>
  <c r="A4611" s="1"/>
  <c r="A3380"/>
  <c r="A4612" s="1"/>
  <c r="A3381"/>
  <c r="A4613" s="1"/>
  <c r="A3382"/>
  <c r="A4614" s="1"/>
  <c r="A3383"/>
  <c r="A4615" s="1"/>
  <c r="A3384"/>
  <c r="A4616" s="1"/>
  <c r="A3385"/>
  <c r="A4617" s="1"/>
  <c r="A3386"/>
  <c r="A4618" s="1"/>
  <c r="A3387"/>
  <c r="A4619" s="1"/>
  <c r="A3388"/>
  <c r="A4620" s="1"/>
  <c r="A3389"/>
  <c r="A4621" s="1"/>
  <c r="A3390"/>
  <c r="A4622" s="1"/>
  <c r="A3391"/>
  <c r="A4623" s="1"/>
  <c r="A3392"/>
  <c r="A4624" s="1"/>
  <c r="A3393"/>
  <c r="A4625" s="1"/>
  <c r="A3394"/>
  <c r="A4626" s="1"/>
  <c r="A3395"/>
  <c r="A4627" s="1"/>
  <c r="A3396"/>
  <c r="A4628" s="1"/>
  <c r="A3397"/>
  <c r="A4629" s="1"/>
  <c r="A3398"/>
  <c r="A4630" s="1"/>
  <c r="A3399"/>
  <c r="A4631" s="1"/>
  <c r="A3400"/>
  <c r="A4632" s="1"/>
  <c r="A3401"/>
  <c r="A4633" s="1"/>
  <c r="A3402"/>
  <c r="A4634" s="1"/>
  <c r="A3403"/>
  <c r="A4635" s="1"/>
  <c r="A3404"/>
  <c r="A4636" s="1"/>
  <c r="A3405"/>
  <c r="A4637" s="1"/>
  <c r="A3406"/>
  <c r="A4638" s="1"/>
  <c r="A3407"/>
  <c r="A4639" s="1"/>
  <c r="A3408"/>
  <c r="A4640" s="1"/>
  <c r="A3409"/>
  <c r="A4641" s="1"/>
  <c r="A3410"/>
  <c r="A4642" s="1"/>
  <c r="A3411"/>
  <c r="A4643" s="1"/>
  <c r="A3412"/>
  <c r="A4644" s="1"/>
  <c r="A3413"/>
  <c r="A4645" s="1"/>
  <c r="A3414"/>
  <c r="A4646" s="1"/>
  <c r="A3415"/>
  <c r="A4647" s="1"/>
  <c r="A3416"/>
  <c r="A4648" s="1"/>
  <c r="A3417"/>
  <c r="A4649" s="1"/>
  <c r="A3418"/>
  <c r="A4650" s="1"/>
  <c r="A3419"/>
  <c r="A4651" s="1"/>
  <c r="A3420"/>
  <c r="A4652" s="1"/>
  <c r="A3421"/>
  <c r="A4653" s="1"/>
  <c r="A3422"/>
  <c r="A4654" s="1"/>
  <c r="A3423"/>
  <c r="A4655" s="1"/>
  <c r="A3424"/>
  <c r="A4656" s="1"/>
  <c r="A3425"/>
  <c r="A4657" s="1"/>
  <c r="A3426"/>
  <c r="A4658" s="1"/>
  <c r="A3427"/>
  <c r="A4659" s="1"/>
  <c r="A3428"/>
  <c r="A4660" s="1"/>
  <c r="A3429"/>
  <c r="A4661" s="1"/>
  <c r="A3430"/>
  <c r="A4662" s="1"/>
  <c r="A3431"/>
  <c r="A4663" s="1"/>
  <c r="A3432"/>
  <c r="A4664" s="1"/>
  <c r="A3433"/>
  <c r="A4665" s="1"/>
  <c r="A3434"/>
  <c r="A4666" s="1"/>
  <c r="A3435"/>
  <c r="A4667" s="1"/>
  <c r="A3436"/>
  <c r="A4668" s="1"/>
  <c r="A3437"/>
  <c r="A4669" s="1"/>
  <c r="A3438"/>
  <c r="A4670" s="1"/>
  <c r="A3439"/>
  <c r="A4671" s="1"/>
  <c r="A3440"/>
  <c r="A4672" s="1"/>
  <c r="A3441"/>
  <c r="A4673" s="1"/>
  <c r="A3442"/>
  <c r="A4674" s="1"/>
  <c r="A3443"/>
  <c r="A4675" s="1"/>
  <c r="A3444"/>
  <c r="A4676" s="1"/>
  <c r="A3445"/>
  <c r="A4677" s="1"/>
  <c r="A3446"/>
  <c r="A4678" s="1"/>
  <c r="A3447"/>
  <c r="A4679" s="1"/>
  <c r="A3448"/>
  <c r="A4680" s="1"/>
  <c r="A3449"/>
  <c r="A4681" s="1"/>
  <c r="A3450"/>
  <c r="A4682" s="1"/>
  <c r="A3451"/>
  <c r="A4683" s="1"/>
  <c r="A3452"/>
  <c r="A4684" s="1"/>
  <c r="A3453"/>
  <c r="A4685" s="1"/>
  <c r="A3454"/>
  <c r="A4686" s="1"/>
  <c r="A3455"/>
  <c r="A4687" s="1"/>
  <c r="A3456"/>
  <c r="A4688" s="1"/>
  <c r="A3457"/>
  <c r="A4689" s="1"/>
  <c r="A3458"/>
  <c r="A4690" s="1"/>
  <c r="A3459"/>
  <c r="A4691" s="1"/>
  <c r="A3460"/>
  <c r="A4692" s="1"/>
  <c r="A3461"/>
  <c r="A4693" s="1"/>
  <c r="A3462"/>
  <c r="A4694" s="1"/>
  <c r="A3463"/>
  <c r="A4695" s="1"/>
  <c r="A3464"/>
  <c r="A4696" s="1"/>
  <c r="A3465"/>
  <c r="A4697" s="1"/>
  <c r="A3466"/>
  <c r="A4698" s="1"/>
  <c r="A3467"/>
  <c r="A4699" s="1"/>
  <c r="A3468"/>
  <c r="A4700" s="1"/>
  <c r="A3469"/>
  <c r="A4701" s="1"/>
  <c r="A3470"/>
  <c r="A4702" s="1"/>
  <c r="A3471"/>
  <c r="A4703" s="1"/>
  <c r="A3472"/>
  <c r="A4704" s="1"/>
  <c r="A3473"/>
  <c r="A4705" s="1"/>
  <c r="A3474"/>
  <c r="A4706" s="1"/>
  <c r="A3475"/>
  <c r="A4707" s="1"/>
  <c r="A3476"/>
  <c r="A4708" s="1"/>
  <c r="A3477"/>
  <c r="A4709" s="1"/>
  <c r="A3478"/>
  <c r="A4710" s="1"/>
  <c r="A3479"/>
  <c r="A4711" s="1"/>
  <c r="A3480"/>
  <c r="A4712" s="1"/>
  <c r="A3481"/>
  <c r="A4713" s="1"/>
  <c r="A3482"/>
  <c r="A4714" s="1"/>
  <c r="A3483"/>
  <c r="A4715" s="1"/>
  <c r="A3484"/>
  <c r="A4716" s="1"/>
  <c r="A3485"/>
  <c r="A4717" s="1"/>
  <c r="A3486"/>
  <c r="A4718" s="1"/>
  <c r="A3487"/>
  <c r="A4719" s="1"/>
  <c r="A3488"/>
  <c r="A4720" s="1"/>
  <c r="A3489"/>
  <c r="A4721" s="1"/>
  <c r="A3490"/>
  <c r="A4722" s="1"/>
  <c r="A3491"/>
  <c r="A4723" s="1"/>
  <c r="A3492"/>
  <c r="A4724" s="1"/>
  <c r="A3493"/>
  <c r="A4725" s="1"/>
  <c r="A3494"/>
  <c r="A4726" s="1"/>
  <c r="A3495"/>
  <c r="A4727" s="1"/>
  <c r="A3496"/>
  <c r="A4728" s="1"/>
  <c r="A3497"/>
  <c r="A4729" s="1"/>
  <c r="A3498"/>
  <c r="A4730" s="1"/>
  <c r="A3499"/>
  <c r="A4731" s="1"/>
  <c r="A3500"/>
  <c r="A4732" s="1"/>
  <c r="A3501"/>
  <c r="A4733" s="1"/>
  <c r="A3502"/>
  <c r="A4734" s="1"/>
  <c r="A3503"/>
  <c r="A4735" s="1"/>
  <c r="A3504"/>
  <c r="A4736" s="1"/>
  <c r="A3505"/>
  <c r="A4737" s="1"/>
  <c r="A3506"/>
  <c r="A4738" s="1"/>
  <c r="A3507"/>
  <c r="A4739" s="1"/>
  <c r="A3508"/>
  <c r="A4740" s="1"/>
  <c r="A3509"/>
  <c r="A4741" s="1"/>
  <c r="A3510"/>
  <c r="A4742" s="1"/>
  <c r="A3511"/>
  <c r="A4743" s="1"/>
  <c r="A3512"/>
  <c r="A4744" s="1"/>
  <c r="A3513"/>
  <c r="A4745" s="1"/>
  <c r="A3514"/>
  <c r="A4746" s="1"/>
  <c r="A3515"/>
  <c r="A4747" s="1"/>
  <c r="A3516"/>
  <c r="A4748" s="1"/>
  <c r="A3517"/>
  <c r="A4749" s="1"/>
  <c r="A3518"/>
  <c r="A4750" s="1"/>
  <c r="A3519"/>
  <c r="A4751" s="1"/>
  <c r="A3520"/>
  <c r="A4752" s="1"/>
  <c r="A3521"/>
  <c r="A4753" s="1"/>
  <c r="A3522"/>
  <c r="A4754" s="1"/>
  <c r="A3523"/>
  <c r="A4755" s="1"/>
  <c r="A3524"/>
  <c r="A4756" s="1"/>
  <c r="A3525"/>
  <c r="A4757" s="1"/>
  <c r="A3526"/>
  <c r="A4758" s="1"/>
  <c r="A3527"/>
  <c r="A4759" s="1"/>
  <c r="A3528"/>
  <c r="A4760" s="1"/>
  <c r="A3529"/>
  <c r="A4761" s="1"/>
  <c r="A3530"/>
  <c r="A4762" s="1"/>
  <c r="A3531"/>
  <c r="A4763" s="1"/>
  <c r="A3532"/>
  <c r="A4764" s="1"/>
  <c r="A3533"/>
  <c r="A4765" s="1"/>
  <c r="A3534"/>
  <c r="A4766" s="1"/>
  <c r="A3535"/>
  <c r="A4767" s="1"/>
  <c r="A3536"/>
  <c r="A4768" s="1"/>
  <c r="A3537"/>
  <c r="A4769" s="1"/>
  <c r="A3538"/>
  <c r="A4770" s="1"/>
  <c r="A3539"/>
  <c r="A4771" s="1"/>
  <c r="A3540"/>
  <c r="A4772" s="1"/>
  <c r="A3541"/>
  <c r="A4773" s="1"/>
  <c r="A3542"/>
  <c r="A4774" s="1"/>
  <c r="A3543"/>
  <c r="A4775" s="1"/>
  <c r="A3544"/>
  <c r="A4776" s="1"/>
  <c r="A3545"/>
  <c r="A4777" s="1"/>
  <c r="A3546"/>
  <c r="A4778" s="1"/>
  <c r="A3547"/>
  <c r="A4779" s="1"/>
  <c r="A3548"/>
  <c r="A4780" s="1"/>
  <c r="A3549"/>
  <c r="A4781" s="1"/>
  <c r="A3550"/>
  <c r="A4782" s="1"/>
  <c r="A3551"/>
  <c r="A4783" s="1"/>
  <c r="A3552"/>
  <c r="A4784" s="1"/>
  <c r="A3553"/>
  <c r="A4785" s="1"/>
  <c r="A3554"/>
  <c r="A4786" s="1"/>
  <c r="A3555"/>
  <c r="A4787" s="1"/>
  <c r="A3556"/>
  <c r="A4788" s="1"/>
  <c r="A3557"/>
  <c r="A4789" s="1"/>
  <c r="A3558"/>
  <c r="A4790" s="1"/>
  <c r="A3559"/>
  <c r="A4791" s="1"/>
  <c r="A3560"/>
  <c r="A4792" s="1"/>
  <c r="A3561"/>
  <c r="A4793" s="1"/>
  <c r="A3562"/>
  <c r="A4794" s="1"/>
  <c r="A3563"/>
  <c r="A4795" s="1"/>
  <c r="A3564"/>
  <c r="A4796" s="1"/>
  <c r="A3565"/>
  <c r="A4797" s="1"/>
  <c r="A3566"/>
  <c r="A4798" s="1"/>
  <c r="A3567"/>
  <c r="A4799" s="1"/>
  <c r="A3568"/>
  <c r="A4800" s="1"/>
  <c r="A3569"/>
  <c r="A4801" s="1"/>
  <c r="A3570"/>
  <c r="A4802" s="1"/>
  <c r="A3571"/>
  <c r="A4803" s="1"/>
  <c r="A3572"/>
  <c r="A4804" s="1"/>
  <c r="A3573"/>
  <c r="A4805" s="1"/>
  <c r="A3574"/>
  <c r="A4806" s="1"/>
  <c r="A3575"/>
  <c r="A4807" s="1"/>
  <c r="A3576"/>
  <c r="A4808" s="1"/>
  <c r="A3577"/>
  <c r="A4809" s="1"/>
  <c r="A3578"/>
  <c r="A4810" s="1"/>
  <c r="A3579"/>
  <c r="A4811" s="1"/>
  <c r="A3580"/>
  <c r="A4812" s="1"/>
  <c r="A3581"/>
  <c r="A4813" s="1"/>
  <c r="A3582"/>
  <c r="A4814" s="1"/>
  <c r="A3583"/>
  <c r="A4815" s="1"/>
  <c r="A3584"/>
  <c r="A4816" s="1"/>
  <c r="A3585"/>
  <c r="A4817" s="1"/>
  <c r="A3586"/>
  <c r="A4818" s="1"/>
  <c r="A3587"/>
  <c r="A4819" s="1"/>
  <c r="A3588"/>
  <c r="A4820" s="1"/>
  <c r="A3589"/>
  <c r="A4821" s="1"/>
  <c r="A3590"/>
  <c r="A4822" s="1"/>
  <c r="A3591"/>
  <c r="A4823" s="1"/>
  <c r="A3592"/>
  <c r="A4824" s="1"/>
  <c r="A3593"/>
  <c r="A4825" s="1"/>
  <c r="A3594"/>
  <c r="A4826" s="1"/>
  <c r="A3595"/>
  <c r="A4827" s="1"/>
  <c r="A3596"/>
  <c r="A4828" s="1"/>
  <c r="A3597"/>
  <c r="A4829" s="1"/>
  <c r="A3598"/>
  <c r="A4830" s="1"/>
  <c r="A3599"/>
  <c r="A4831" s="1"/>
  <c r="A3600"/>
  <c r="A4832" s="1"/>
  <c r="A3601"/>
  <c r="A4833" s="1"/>
  <c r="A3602"/>
  <c r="A4834" s="1"/>
  <c r="A3603"/>
  <c r="A4835" s="1"/>
  <c r="A3604"/>
  <c r="A4836" s="1"/>
  <c r="A3605"/>
  <c r="A4837" s="1"/>
  <c r="A3606"/>
  <c r="A4838" s="1"/>
  <c r="A3607"/>
  <c r="A4839" s="1"/>
  <c r="A3608"/>
  <c r="A4840" s="1"/>
  <c r="A3609"/>
  <c r="A4841" s="1"/>
  <c r="A3610"/>
  <c r="A4842" s="1"/>
  <c r="A3611"/>
  <c r="A4843" s="1"/>
  <c r="A3612"/>
  <c r="A4844" s="1"/>
  <c r="A3613"/>
  <c r="A4845" s="1"/>
  <c r="A3614"/>
  <c r="A4846" s="1"/>
  <c r="A3615"/>
  <c r="A4847" s="1"/>
  <c r="A3616"/>
  <c r="A4848" s="1"/>
  <c r="A3617"/>
  <c r="A4849" s="1"/>
  <c r="A3618"/>
  <c r="A4850" s="1"/>
  <c r="A3619"/>
  <c r="A4851" s="1"/>
  <c r="A3620"/>
  <c r="A4852" s="1"/>
  <c r="A3621"/>
  <c r="A4853" s="1"/>
  <c r="A3622"/>
  <c r="A4854" s="1"/>
  <c r="A3623"/>
  <c r="A4855" s="1"/>
  <c r="A3624"/>
  <c r="A4856" s="1"/>
  <c r="A3625"/>
  <c r="A4857" s="1"/>
  <c r="A3626"/>
  <c r="A4858" s="1"/>
  <c r="A3627"/>
  <c r="A4859" s="1"/>
  <c r="A3628"/>
  <c r="A4860" s="1"/>
  <c r="A3629"/>
  <c r="A4861" s="1"/>
  <c r="A3630"/>
  <c r="A4862" s="1"/>
  <c r="A3631"/>
  <c r="A4863" s="1"/>
  <c r="A3632"/>
  <c r="A4864" s="1"/>
  <c r="A3633"/>
  <c r="A4865" s="1"/>
  <c r="A3634"/>
  <c r="A4866" s="1"/>
  <c r="A3635"/>
  <c r="A4867" s="1"/>
  <c r="A3636"/>
  <c r="A4868" s="1"/>
  <c r="A3637"/>
  <c r="A4869" s="1"/>
  <c r="A3638"/>
  <c r="A4870" s="1"/>
  <c r="A3639"/>
  <c r="A4871" s="1"/>
  <c r="A3640"/>
  <c r="A4872" s="1"/>
  <c r="A3641"/>
  <c r="A4873" s="1"/>
  <c r="A3642"/>
  <c r="A4874" s="1"/>
  <c r="A3643"/>
  <c r="A4875" s="1"/>
  <c r="A3644"/>
  <c r="A4876" s="1"/>
  <c r="A3645"/>
  <c r="A4877" s="1"/>
  <c r="A3646"/>
  <c r="A4878" s="1"/>
  <c r="A3647"/>
  <c r="A4879" s="1"/>
  <c r="A3648"/>
  <c r="A4880" s="1"/>
  <c r="A3649"/>
  <c r="A4881" s="1"/>
  <c r="A3650"/>
  <c r="A4882" s="1"/>
  <c r="A3651"/>
  <c r="A4883" s="1"/>
  <c r="A3652"/>
  <c r="A4884" s="1"/>
  <c r="A3653"/>
  <c r="A4885" s="1"/>
  <c r="A3654"/>
  <c r="A4886" s="1"/>
  <c r="A3655"/>
  <c r="A4887" s="1"/>
  <c r="A3656"/>
  <c r="A4888" s="1"/>
  <c r="A3657"/>
  <c r="A4889" s="1"/>
  <c r="A3658"/>
  <c r="A4890" s="1"/>
  <c r="A3659"/>
  <c r="A4891" s="1"/>
  <c r="A3660"/>
  <c r="A4892" s="1"/>
  <c r="A3661"/>
  <c r="A4893" s="1"/>
  <c r="A3662"/>
  <c r="A4894" s="1"/>
  <c r="A3663"/>
  <c r="A4895" s="1"/>
  <c r="A3664"/>
  <c r="A4896" s="1"/>
  <c r="A3665"/>
  <c r="A4897" s="1"/>
  <c r="A3666"/>
  <c r="A4898" s="1"/>
  <c r="A3667"/>
  <c r="A4899" s="1"/>
  <c r="A3668"/>
  <c r="A4900" s="1"/>
  <c r="A3669"/>
  <c r="A4901" s="1"/>
  <c r="A3670"/>
  <c r="A4902" s="1"/>
  <c r="A3671"/>
  <c r="A4903" s="1"/>
  <c r="A3672"/>
  <c r="A4904" s="1"/>
  <c r="A3673"/>
  <c r="A4905" s="1"/>
  <c r="A3674"/>
  <c r="A4906" s="1"/>
  <c r="A3675"/>
  <c r="A4907" s="1"/>
  <c r="A3676"/>
  <c r="A4908" s="1"/>
  <c r="A3677"/>
  <c r="A4909" s="1"/>
  <c r="A3678"/>
  <c r="A4910" s="1"/>
  <c r="A3679"/>
  <c r="A4911" s="1"/>
  <c r="A3680"/>
  <c r="A4912" s="1"/>
  <c r="A3681"/>
  <c r="A4913" s="1"/>
  <c r="A3682"/>
  <c r="A4914" s="1"/>
  <c r="A3683"/>
  <c r="A4915" s="1"/>
  <c r="A3684"/>
  <c r="A4916" s="1"/>
  <c r="A3685"/>
  <c r="A4917" s="1"/>
  <c r="A3686"/>
  <c r="A4918" s="1"/>
  <c r="A3687"/>
  <c r="A4919" s="1"/>
  <c r="A3688"/>
  <c r="A4920" s="1"/>
  <c r="A3689"/>
  <c r="A4921" s="1"/>
  <c r="A3690"/>
  <c r="A4922" s="1"/>
  <c r="A3691"/>
  <c r="A4923" s="1"/>
  <c r="A3692"/>
  <c r="A4924" s="1"/>
  <c r="A3693"/>
  <c r="A4925" s="1"/>
  <c r="A3694"/>
  <c r="A4926" s="1"/>
  <c r="A3695"/>
  <c r="A4927" s="1"/>
  <c r="A3696"/>
  <c r="A4928" s="1"/>
  <c r="A3697"/>
  <c r="A4929" s="1"/>
  <c r="A3698"/>
  <c r="A4930" s="1"/>
  <c r="A3699"/>
  <c r="A4931" s="1"/>
  <c r="A3700"/>
  <c r="A4932" s="1"/>
  <c r="A3701"/>
  <c r="A4933" s="1"/>
  <c r="A3702"/>
  <c r="A4934" s="1"/>
  <c r="A3703"/>
  <c r="A4935" s="1"/>
  <c r="A3704"/>
  <c r="A4936" s="1"/>
  <c r="A3705"/>
  <c r="A4937" s="1"/>
  <c r="A3706"/>
  <c r="A4938" s="1"/>
  <c r="A3707"/>
  <c r="A4939" s="1"/>
  <c r="A3708"/>
  <c r="A4940" s="1"/>
  <c r="A3709"/>
  <c r="A4941" s="1"/>
  <c r="A3710"/>
  <c r="A4942" s="1"/>
  <c r="A3711"/>
  <c r="A4943" s="1"/>
  <c r="A3712"/>
  <c r="A4944" s="1"/>
  <c r="A3713"/>
  <c r="A4945" s="1"/>
  <c r="A3714"/>
  <c r="A4946" s="1"/>
  <c r="A3715"/>
  <c r="A4947" s="1"/>
  <c r="A3716"/>
  <c r="A4948" s="1"/>
  <c r="A3717"/>
  <c r="A4949" s="1"/>
  <c r="A3718"/>
  <c r="A4950" s="1"/>
  <c r="A3719"/>
  <c r="A4951" s="1"/>
  <c r="A3720"/>
  <c r="A4952" s="1"/>
  <c r="A3721"/>
  <c r="A4953" s="1"/>
  <c r="A3722"/>
  <c r="A4954" s="1"/>
  <c r="A3723"/>
  <c r="A4955" s="1"/>
  <c r="A3724"/>
  <c r="A4956" s="1"/>
  <c r="A3725"/>
  <c r="A4957" s="1"/>
  <c r="A3726"/>
  <c r="A4958" s="1"/>
  <c r="A3727"/>
  <c r="A4959" s="1"/>
  <c r="A3728"/>
  <c r="A4960" s="1"/>
  <c r="A3729"/>
  <c r="A4961" s="1"/>
  <c r="A3730"/>
  <c r="A4962" s="1"/>
  <c r="A3731"/>
  <c r="A4963" s="1"/>
  <c r="A3732"/>
  <c r="A4964" s="1"/>
  <c r="A3733"/>
  <c r="A4965" s="1"/>
  <c r="A3734"/>
  <c r="A4966" s="1"/>
  <c r="A3735"/>
  <c r="A4967" s="1"/>
  <c r="A3736"/>
  <c r="A4968" s="1"/>
  <c r="A3737"/>
  <c r="A4969" s="1"/>
  <c r="A3738"/>
  <c r="A4970" s="1"/>
  <c r="A3739"/>
  <c r="A4971" s="1"/>
  <c r="A3740"/>
  <c r="A4972" s="1"/>
  <c r="A3741"/>
  <c r="A4973" s="1"/>
  <c r="A3742"/>
  <c r="A4974" s="1"/>
  <c r="A3743"/>
  <c r="A4975" s="1"/>
  <c r="A3744"/>
  <c r="A4976" s="1"/>
  <c r="A3745"/>
  <c r="A4977" s="1"/>
  <c r="A3746"/>
  <c r="A4978" s="1"/>
  <c r="A3747"/>
  <c r="A4979" s="1"/>
  <c r="A3748"/>
  <c r="A4980" s="1"/>
  <c r="A3749"/>
  <c r="A4981" s="1"/>
  <c r="A3750"/>
  <c r="A4982" s="1"/>
  <c r="A3751"/>
  <c r="A4983" s="1"/>
  <c r="A3752"/>
  <c r="A4984" s="1"/>
  <c r="A3753"/>
  <c r="A4985" s="1"/>
  <c r="A3754"/>
  <c r="A4986" s="1"/>
  <c r="A3755"/>
  <c r="A4987" s="1"/>
  <c r="A3756"/>
  <c r="A4988" s="1"/>
  <c r="A3757"/>
  <c r="A4989" s="1"/>
  <c r="A3758"/>
  <c r="A4990" s="1"/>
  <c r="A3759"/>
  <c r="A4991" s="1"/>
  <c r="A3760"/>
  <c r="A4992" s="1"/>
  <c r="A3761"/>
  <c r="A4993" s="1"/>
  <c r="A3762"/>
  <c r="A4994" s="1"/>
  <c r="A3763"/>
  <c r="A4995" s="1"/>
  <c r="A3764"/>
  <c r="A4996" s="1"/>
  <c r="A3765"/>
  <c r="A4997" s="1"/>
  <c r="A3766"/>
  <c r="A4998" s="1"/>
  <c r="A3767"/>
  <c r="A4999" s="1"/>
  <c r="A3768"/>
  <c r="A5000" s="1"/>
  <c r="A3769"/>
  <c r="A5001" s="1"/>
  <c r="A3770"/>
  <c r="A5002" s="1"/>
  <c r="A3771"/>
  <c r="A5003" s="1"/>
  <c r="A3772"/>
  <c r="A5004" s="1"/>
  <c r="A3773"/>
  <c r="A5005" s="1"/>
  <c r="A3774"/>
  <c r="A5006" s="1"/>
  <c r="A3775"/>
  <c r="A5007" s="1"/>
  <c r="A3776"/>
  <c r="A5008" s="1"/>
  <c r="A3777"/>
  <c r="A5009" s="1"/>
  <c r="A3778"/>
  <c r="A5010" s="1"/>
  <c r="A3779"/>
  <c r="A5011" s="1"/>
  <c r="A3780"/>
  <c r="A5012" s="1"/>
  <c r="A3781"/>
  <c r="A5013" s="1"/>
  <c r="A3782"/>
  <c r="A5014" s="1"/>
  <c r="A3783"/>
  <c r="A5015" s="1"/>
  <c r="A3784"/>
  <c r="A5016" s="1"/>
  <c r="A3785"/>
  <c r="A5017" s="1"/>
  <c r="A3786"/>
  <c r="A5018" s="1"/>
  <c r="A3787"/>
  <c r="A5019" s="1"/>
  <c r="A3788"/>
  <c r="A5020" s="1"/>
  <c r="A3789"/>
  <c r="A5021" s="1"/>
  <c r="A3790"/>
  <c r="A5022" s="1"/>
  <c r="A3791"/>
  <c r="A5023" s="1"/>
  <c r="A3792"/>
  <c r="A5024" s="1"/>
  <c r="A3793"/>
  <c r="A5025" s="1"/>
  <c r="A3794"/>
  <c r="A5026" s="1"/>
  <c r="A3795"/>
  <c r="A5027" s="1"/>
  <c r="A3796"/>
  <c r="A5028" s="1"/>
  <c r="A3797"/>
  <c r="A5029" s="1"/>
  <c r="A3798"/>
  <c r="A5030" s="1"/>
  <c r="A3799"/>
  <c r="A5031" s="1"/>
  <c r="A3800"/>
  <c r="A5032" s="1"/>
  <c r="A3801"/>
  <c r="A5033" s="1"/>
  <c r="A3802"/>
  <c r="A5034" s="1"/>
  <c r="A3803"/>
  <c r="A5035" s="1"/>
  <c r="A3804"/>
  <c r="A5036" s="1"/>
  <c r="A3805"/>
  <c r="A5037" s="1"/>
  <c r="A3806"/>
  <c r="A5038" s="1"/>
  <c r="A3807"/>
  <c r="A5039" s="1"/>
  <c r="A3808"/>
  <c r="A5040" s="1"/>
  <c r="A3809"/>
  <c r="A5041" s="1"/>
  <c r="A3810"/>
  <c r="A5042" s="1"/>
  <c r="A3811"/>
  <c r="A5043" s="1"/>
  <c r="A3812"/>
  <c r="A5044" s="1"/>
  <c r="A3813"/>
  <c r="A5045" s="1"/>
  <c r="A3814"/>
  <c r="A5046" s="1"/>
  <c r="A3815"/>
  <c r="A5047" s="1"/>
  <c r="A3816"/>
  <c r="A5048" s="1"/>
  <c r="A3817"/>
  <c r="A5049" s="1"/>
  <c r="A3818"/>
  <c r="A5050" s="1"/>
  <c r="A3819"/>
  <c r="A5051" s="1"/>
  <c r="A3820"/>
  <c r="A5052" s="1"/>
  <c r="A3821"/>
  <c r="A5053" s="1"/>
  <c r="A3822"/>
  <c r="A5054" s="1"/>
  <c r="A3823"/>
  <c r="A5055" s="1"/>
  <c r="A3824"/>
  <c r="A5056" s="1"/>
  <c r="A3825"/>
  <c r="A5057" s="1"/>
  <c r="A3826"/>
  <c r="A5058" s="1"/>
  <c r="A3827"/>
  <c r="A5059" s="1"/>
  <c r="A3828"/>
  <c r="A5060" s="1"/>
  <c r="A3829"/>
  <c r="A5061" s="1"/>
  <c r="A3830"/>
  <c r="A5062" s="1"/>
  <c r="A3831"/>
  <c r="A5063" s="1"/>
  <c r="A3832"/>
  <c r="A5064" s="1"/>
  <c r="A3833"/>
  <c r="A5065" s="1"/>
  <c r="A3834"/>
  <c r="A5066" s="1"/>
  <c r="A3835"/>
  <c r="A5067" s="1"/>
  <c r="A3836"/>
  <c r="A5068" s="1"/>
  <c r="A3837"/>
  <c r="A5069" s="1"/>
  <c r="A3838"/>
  <c r="A5070" s="1"/>
  <c r="A3839"/>
  <c r="A5071" s="1"/>
  <c r="A3840"/>
  <c r="A5072" s="1"/>
  <c r="A3841"/>
  <c r="A5073" s="1"/>
  <c r="A3842"/>
  <c r="A5074" s="1"/>
  <c r="A3843"/>
  <c r="A5075" s="1"/>
  <c r="A3844"/>
  <c r="A5076" s="1"/>
  <c r="A3845"/>
  <c r="A5077" s="1"/>
  <c r="A3846"/>
  <c r="A5078" s="1"/>
  <c r="A3847"/>
  <c r="A5079" s="1"/>
  <c r="A3848"/>
  <c r="A5080" s="1"/>
  <c r="A3849"/>
  <c r="A5081" s="1"/>
  <c r="A3850"/>
  <c r="A5082" s="1"/>
  <c r="A3851"/>
  <c r="A5083" s="1"/>
  <c r="A3852"/>
  <c r="A5084" s="1"/>
  <c r="A3853"/>
  <c r="A5085" s="1"/>
  <c r="A3854"/>
  <c r="A5086" s="1"/>
  <c r="A3855"/>
  <c r="A5087" s="1"/>
  <c r="A3856"/>
  <c r="A5088" s="1"/>
  <c r="A3857"/>
  <c r="A5089" s="1"/>
  <c r="A3858"/>
  <c r="A5090" s="1"/>
  <c r="A3859"/>
  <c r="A5091" s="1"/>
  <c r="A3860"/>
  <c r="A5092" s="1"/>
  <c r="A3861"/>
  <c r="A5093" s="1"/>
  <c r="A3862"/>
  <c r="A5094" s="1"/>
  <c r="A3863"/>
  <c r="A5095" s="1"/>
  <c r="A3864"/>
  <c r="A5096" s="1"/>
  <c r="A3865"/>
  <c r="A5097" s="1"/>
  <c r="A3866"/>
  <c r="A5098" s="1"/>
  <c r="A3867"/>
  <c r="A5099" s="1"/>
  <c r="A3868"/>
  <c r="A5100" s="1"/>
  <c r="A3869"/>
  <c r="A5101" s="1"/>
  <c r="A3870"/>
  <c r="A5102" s="1"/>
  <c r="A3871"/>
  <c r="A5103" s="1"/>
  <c r="A3872"/>
  <c r="A5104" s="1"/>
  <c r="A3873"/>
  <c r="A5105" s="1"/>
  <c r="A3874"/>
  <c r="A5106" s="1"/>
  <c r="A3875"/>
  <c r="A5107" s="1"/>
  <c r="A3876"/>
  <c r="A5108" s="1"/>
  <c r="A3877"/>
  <c r="A5109" s="1"/>
  <c r="A3878"/>
  <c r="A5110" s="1"/>
  <c r="A3879"/>
  <c r="A5111" s="1"/>
  <c r="A3880"/>
  <c r="A5112" s="1"/>
  <c r="A3881"/>
  <c r="A5113" s="1"/>
  <c r="A3882"/>
  <c r="A5114" s="1"/>
  <c r="A3883"/>
  <c r="A5115" s="1"/>
  <c r="A3884"/>
  <c r="A5116" s="1"/>
  <c r="A3885"/>
  <c r="A5117" s="1"/>
  <c r="A3886"/>
  <c r="A5118" s="1"/>
  <c r="A3887"/>
  <c r="A5119" s="1"/>
  <c r="A3888"/>
  <c r="A5120" s="1"/>
  <c r="A3889"/>
  <c r="A5121" s="1"/>
  <c r="A3890"/>
  <c r="A5122" s="1"/>
  <c r="A3891"/>
  <c r="A5123" s="1"/>
  <c r="A3892"/>
  <c r="A5124" s="1"/>
  <c r="A3893"/>
  <c r="A5125" s="1"/>
  <c r="A3894"/>
  <c r="A5126" s="1"/>
  <c r="A3895"/>
  <c r="A5127" s="1"/>
  <c r="A3896"/>
  <c r="A5128" s="1"/>
  <c r="A3897"/>
  <c r="A5129" s="1"/>
  <c r="A3898"/>
  <c r="A5130" s="1"/>
  <c r="A3899"/>
  <c r="A5131" s="1"/>
  <c r="A3900"/>
  <c r="A5132" s="1"/>
  <c r="A3901"/>
  <c r="A5133" s="1"/>
  <c r="A3902"/>
  <c r="A5134" s="1"/>
  <c r="A3903"/>
  <c r="A5135" s="1"/>
  <c r="A3904"/>
  <c r="A5136" s="1"/>
  <c r="A3905"/>
  <c r="A5137" s="1"/>
  <c r="A3906"/>
  <c r="A5138" s="1"/>
  <c r="A3907"/>
  <c r="A5139" s="1"/>
  <c r="A3908"/>
  <c r="A5140" s="1"/>
  <c r="A3909"/>
  <c r="A5141" s="1"/>
  <c r="A3910"/>
  <c r="A5142" s="1"/>
  <c r="A3911"/>
  <c r="A5143" s="1"/>
  <c r="A3912"/>
  <c r="A5144" s="1"/>
  <c r="A3913"/>
  <c r="A5145" s="1"/>
  <c r="A3914"/>
  <c r="A5146" s="1"/>
  <c r="A3915"/>
  <c r="A5147" s="1"/>
  <c r="A3916"/>
  <c r="A5148" s="1"/>
  <c r="A3917"/>
  <c r="A5149" s="1"/>
  <c r="A3918"/>
  <c r="A5150" s="1"/>
  <c r="A3919"/>
  <c r="A5151" s="1"/>
  <c r="A3920"/>
  <c r="A5152" s="1"/>
  <c r="A3921"/>
  <c r="A5153" s="1"/>
  <c r="A3922"/>
  <c r="A5154" s="1"/>
  <c r="A3923"/>
  <c r="A5155" s="1"/>
  <c r="A3924"/>
  <c r="A5156" s="1"/>
  <c r="A3925"/>
  <c r="A5157" s="1"/>
  <c r="A3926"/>
  <c r="A5158" s="1"/>
  <c r="A3927"/>
  <c r="A5159" s="1"/>
  <c r="A3928"/>
  <c r="A5160" s="1"/>
  <c r="A3929"/>
  <c r="A5161" s="1"/>
  <c r="A3930"/>
  <c r="A5162" s="1"/>
  <c r="A3931"/>
  <c r="A5163" s="1"/>
  <c r="A3932"/>
  <c r="A5164" s="1"/>
  <c r="A3933"/>
  <c r="A5165" s="1"/>
  <c r="A3934"/>
  <c r="A5166" s="1"/>
  <c r="A3935"/>
  <c r="A5167" s="1"/>
  <c r="A3936"/>
  <c r="A5168" s="1"/>
  <c r="A3937"/>
  <c r="A5169" s="1"/>
  <c r="A3938"/>
  <c r="A5170" s="1"/>
  <c r="A3939"/>
  <c r="A5171" s="1"/>
  <c r="A3940"/>
  <c r="A5172" s="1"/>
  <c r="A3941"/>
  <c r="A5173" s="1"/>
  <c r="A3942"/>
  <c r="A5174" s="1"/>
  <c r="A3943"/>
  <c r="A5175" s="1"/>
  <c r="A3944"/>
  <c r="A5176" s="1"/>
  <c r="A3945"/>
  <c r="A5177" s="1"/>
  <c r="A3946"/>
  <c r="A5178" s="1"/>
  <c r="A3947"/>
  <c r="A5179" s="1"/>
  <c r="A3948"/>
  <c r="A5180" s="1"/>
  <c r="A3949"/>
  <c r="A5181" s="1"/>
  <c r="A3950"/>
  <c r="A5182" s="1"/>
  <c r="A3951"/>
  <c r="A5183" s="1"/>
  <c r="A3952"/>
  <c r="A5184" s="1"/>
  <c r="A3953"/>
  <c r="A5185" s="1"/>
  <c r="A3954"/>
  <c r="A5186" s="1"/>
  <c r="A3955"/>
  <c r="A5187" s="1"/>
  <c r="A3956"/>
  <c r="A5188" s="1"/>
  <c r="A3957"/>
  <c r="A5189" s="1"/>
  <c r="A3958"/>
  <c r="A5190" s="1"/>
  <c r="A3959"/>
  <c r="A5191" s="1"/>
  <c r="A3960"/>
  <c r="A5192" s="1"/>
  <c r="A3961"/>
  <c r="A5193" s="1"/>
  <c r="A3962"/>
  <c r="A5194" s="1"/>
  <c r="A3963"/>
  <c r="A5195" s="1"/>
  <c r="A3964"/>
  <c r="A5196" s="1"/>
  <c r="A3965"/>
  <c r="A5197" s="1"/>
  <c r="A3966"/>
  <c r="A5198" s="1"/>
  <c r="A3967"/>
  <c r="A5199" s="1"/>
  <c r="A3968"/>
  <c r="A5200" s="1"/>
  <c r="A3969"/>
  <c r="A5201" s="1"/>
  <c r="A3970"/>
  <c r="A5202" s="1"/>
  <c r="A3971"/>
  <c r="A5203" s="1"/>
  <c r="A3972"/>
  <c r="A5204" s="1"/>
  <c r="A3973"/>
  <c r="A5205" s="1"/>
  <c r="A3974"/>
  <c r="A5206" s="1"/>
  <c r="A3975"/>
  <c r="A5207" s="1"/>
  <c r="A3976"/>
  <c r="A5208" s="1"/>
  <c r="A3977"/>
  <c r="A5209" s="1"/>
  <c r="A3978"/>
  <c r="A5210" s="1"/>
  <c r="A3979"/>
  <c r="A5211" s="1"/>
  <c r="A3980"/>
  <c r="A5212" s="1"/>
  <c r="A3981"/>
  <c r="A5213" s="1"/>
  <c r="A3982"/>
  <c r="A5214" s="1"/>
  <c r="A3983"/>
  <c r="A5215" s="1"/>
  <c r="A3984"/>
  <c r="A5216" s="1"/>
  <c r="A3985"/>
  <c r="A5217" s="1"/>
  <c r="A3986"/>
  <c r="A5218" s="1"/>
  <c r="A3987"/>
  <c r="A5219" s="1"/>
  <c r="A3988"/>
  <c r="A5220" s="1"/>
  <c r="A3989"/>
  <c r="A5221" s="1"/>
  <c r="A3990"/>
  <c r="A5222" s="1"/>
  <c r="A3991"/>
  <c r="A5223" s="1"/>
  <c r="A3992"/>
  <c r="A5224" s="1"/>
  <c r="A3993"/>
  <c r="A5225" s="1"/>
  <c r="A3994"/>
  <c r="A5226" s="1"/>
  <c r="A3995"/>
  <c r="A5227" s="1"/>
  <c r="A3996"/>
  <c r="A5228" s="1"/>
  <c r="A3997"/>
  <c r="A5229" s="1"/>
  <c r="A3998"/>
  <c r="A5230" s="1"/>
  <c r="A3999"/>
  <c r="A5231" s="1"/>
  <c r="A4000"/>
  <c r="A5232" s="1"/>
  <c r="A4001"/>
  <c r="A5233" s="1"/>
  <c r="A4002"/>
  <c r="A5234" s="1"/>
  <c r="A4003"/>
  <c r="A5235" s="1"/>
  <c r="A4004"/>
  <c r="A5236" s="1"/>
  <c r="A4005"/>
  <c r="A5237" s="1"/>
  <c r="A4006"/>
  <c r="A5238" s="1"/>
  <c r="A4007"/>
  <c r="A5239" s="1"/>
  <c r="A4008"/>
  <c r="A5240" s="1"/>
  <c r="A4009"/>
  <c r="A5241" s="1"/>
  <c r="A4010"/>
  <c r="A5242" s="1"/>
  <c r="A4011"/>
  <c r="A5243" s="1"/>
  <c r="A4012"/>
  <c r="A5244" s="1"/>
  <c r="A4013"/>
  <c r="A5245" s="1"/>
  <c r="A4014"/>
  <c r="A5246" s="1"/>
  <c r="A4015"/>
  <c r="A5247" s="1"/>
  <c r="A4016"/>
  <c r="A5248" s="1"/>
  <c r="A4017"/>
  <c r="A5249" s="1"/>
  <c r="A4018"/>
  <c r="A5250" s="1"/>
  <c r="A4019"/>
  <c r="A5251" s="1"/>
  <c r="A4020"/>
  <c r="A5252" s="1"/>
  <c r="A4021"/>
  <c r="A5253" s="1"/>
  <c r="A4022"/>
  <c r="A5254" s="1"/>
  <c r="A4023"/>
  <c r="A5255" s="1"/>
  <c r="A4024"/>
  <c r="A5256" s="1"/>
  <c r="A4025"/>
  <c r="A5257" s="1"/>
  <c r="A4026"/>
  <c r="A5258" s="1"/>
  <c r="A4027"/>
  <c r="A5259" s="1"/>
  <c r="A4028"/>
  <c r="A5260" s="1"/>
  <c r="A4029"/>
  <c r="A5261" s="1"/>
  <c r="A4030"/>
  <c r="A5262" s="1"/>
  <c r="A4031"/>
  <c r="A5263" s="1"/>
  <c r="A4032"/>
  <c r="A5264" s="1"/>
  <c r="A4033"/>
  <c r="A5265" s="1"/>
  <c r="A4034"/>
  <c r="A5266" s="1"/>
  <c r="A4035"/>
  <c r="A5267" s="1"/>
  <c r="A4036"/>
  <c r="A5268" s="1"/>
  <c r="A4037"/>
  <c r="A5269" s="1"/>
  <c r="A4038"/>
  <c r="A5270" s="1"/>
  <c r="A4039"/>
  <c r="A5271" s="1"/>
  <c r="A4040"/>
  <c r="A5272" s="1"/>
  <c r="A4041"/>
  <c r="A5273" s="1"/>
  <c r="A4042"/>
  <c r="A5274" s="1"/>
  <c r="A4043"/>
  <c r="A5275" s="1"/>
  <c r="A4044"/>
  <c r="A5276" s="1"/>
  <c r="A4045"/>
  <c r="A5277" s="1"/>
  <c r="A4046"/>
  <c r="A5278" s="1"/>
  <c r="A4047"/>
  <c r="A5279" s="1"/>
  <c r="A4048"/>
  <c r="A5280" s="1"/>
  <c r="A4049"/>
  <c r="A5281" s="1"/>
  <c r="A4050"/>
  <c r="A5282" s="1"/>
  <c r="A4051"/>
  <c r="A5283" s="1"/>
  <c r="A4052"/>
  <c r="A5284" s="1"/>
  <c r="A4053"/>
  <c r="A5285" s="1"/>
  <c r="A4054"/>
  <c r="A5286" s="1"/>
  <c r="A4055"/>
  <c r="A5287" s="1"/>
  <c r="A4056"/>
  <c r="A5288" s="1"/>
  <c r="A4057"/>
  <c r="A5289" s="1"/>
  <c r="A4058"/>
  <c r="A5290" s="1"/>
  <c r="A4059"/>
  <c r="A5291" s="1"/>
  <c r="A4060"/>
  <c r="A5292" s="1"/>
  <c r="A4061"/>
  <c r="A5293" s="1"/>
  <c r="A4062"/>
  <c r="A5294" s="1"/>
  <c r="A4063"/>
  <c r="A5295" s="1"/>
  <c r="A4064"/>
  <c r="A5296" s="1"/>
  <c r="A4065"/>
  <c r="A5297" s="1"/>
  <c r="A4066"/>
  <c r="A5298" s="1"/>
  <c r="A4067"/>
  <c r="A5299" s="1"/>
  <c r="A4068"/>
  <c r="A5300" s="1"/>
  <c r="A4069"/>
  <c r="A5301" s="1"/>
  <c r="A4070"/>
  <c r="A5302" s="1"/>
  <c r="A4071"/>
  <c r="A5303" s="1"/>
  <c r="A4072"/>
  <c r="A5304" s="1"/>
  <c r="A4073"/>
  <c r="A5305" s="1"/>
  <c r="A4074"/>
  <c r="A5306" s="1"/>
  <c r="A4075"/>
  <c r="A5307" s="1"/>
  <c r="A4076"/>
  <c r="A5308" s="1"/>
  <c r="A4077"/>
  <c r="A5309" s="1"/>
  <c r="A2846"/>
  <c r="A4078" s="1"/>
  <c r="G5265"/>
  <c r="G5264"/>
  <c r="G5263"/>
  <c r="G5262"/>
  <c r="G5261"/>
  <c r="G5260"/>
  <c r="G5259"/>
  <c r="G5258"/>
  <c r="G5257"/>
  <c r="G5256"/>
  <c r="G5255"/>
  <c r="G5254"/>
  <c r="G5253"/>
  <c r="G5252"/>
  <c r="G5251"/>
  <c r="G5250"/>
  <c r="G5249"/>
  <c r="G5248"/>
  <c r="G5247"/>
  <c r="G5246"/>
  <c r="G5245"/>
  <c r="G5244"/>
  <c r="G5243"/>
  <c r="G5242"/>
  <c r="G5241"/>
  <c r="G5240"/>
  <c r="G5239"/>
  <c r="G5238"/>
  <c r="G5237"/>
  <c r="G5236"/>
  <c r="G5235"/>
  <c r="G5234"/>
  <c r="G5233"/>
  <c r="G5232"/>
  <c r="G5231"/>
  <c r="G5230"/>
  <c r="G5229"/>
  <c r="G5228"/>
  <c r="G5227"/>
  <c r="G5226"/>
  <c r="G5225"/>
  <c r="G5224"/>
  <c r="G5223"/>
  <c r="G5222"/>
  <c r="G5177"/>
  <c r="G5176"/>
  <c r="G5175"/>
  <c r="G5174"/>
  <c r="G5173"/>
  <c r="G5172"/>
  <c r="G5171"/>
  <c r="G5170"/>
  <c r="G5169"/>
  <c r="G5168"/>
  <c r="G5167"/>
  <c r="G5166"/>
  <c r="G5165"/>
  <c r="G5164"/>
  <c r="G5163"/>
  <c r="G5162"/>
  <c r="G5161"/>
  <c r="G5160"/>
  <c r="G5159"/>
  <c r="G5158"/>
  <c r="G5157"/>
  <c r="G5156"/>
  <c r="G5155"/>
  <c r="G5154"/>
  <c r="G5153"/>
  <c r="G5152"/>
  <c r="G5151"/>
  <c r="G5150"/>
  <c r="G5149"/>
  <c r="G5148"/>
  <c r="G5147"/>
  <c r="G5146"/>
  <c r="G5145"/>
  <c r="G5144"/>
  <c r="G5143"/>
  <c r="G5142"/>
  <c r="G5141"/>
  <c r="G5140"/>
  <c r="G5139"/>
  <c r="G5138"/>
  <c r="G5137"/>
  <c r="G5136"/>
  <c r="G5135"/>
  <c r="G5134"/>
  <c r="G5089"/>
  <c r="G5088"/>
  <c r="G5087"/>
  <c r="G5086"/>
  <c r="G5085"/>
  <c r="G5084"/>
  <c r="G5083"/>
  <c r="G5082"/>
  <c r="G5081"/>
  <c r="G5080"/>
  <c r="G5079"/>
  <c r="G5078"/>
  <c r="G5077"/>
  <c r="G5076"/>
  <c r="G5075"/>
  <c r="G5074"/>
  <c r="G5073"/>
  <c r="G5072"/>
  <c r="G5071"/>
  <c r="G5070"/>
  <c r="G5069"/>
  <c r="G5068"/>
  <c r="G5067"/>
  <c r="G5066"/>
  <c r="G5065"/>
  <c r="G5064"/>
  <c r="G5063"/>
  <c r="G5062"/>
  <c r="G5061"/>
  <c r="G5060"/>
  <c r="G5059"/>
  <c r="G5058"/>
  <c r="G5057"/>
  <c r="G5056"/>
  <c r="G5055"/>
  <c r="G5054"/>
  <c r="G5053"/>
  <c r="G5052"/>
  <c r="G5051"/>
  <c r="G5050"/>
  <c r="G5049"/>
  <c r="G5048"/>
  <c r="G5047"/>
  <c r="G5046"/>
  <c r="G5001"/>
  <c r="G5000"/>
  <c r="G4999"/>
  <c r="G4998"/>
  <c r="G4997"/>
  <c r="G4996"/>
  <c r="G4995"/>
  <c r="G4994"/>
  <c r="G4993"/>
  <c r="G4992"/>
  <c r="G4991"/>
  <c r="G4990"/>
  <c r="G4989"/>
  <c r="G4988"/>
  <c r="G4987"/>
  <c r="G4986"/>
  <c r="G4985"/>
  <c r="G4984"/>
  <c r="G4983"/>
  <c r="G4982"/>
  <c r="G4981"/>
  <c r="G4980"/>
  <c r="G4979"/>
  <c r="G4978"/>
  <c r="G4977"/>
  <c r="G4976"/>
  <c r="G4975"/>
  <c r="G4974"/>
  <c r="G4973"/>
  <c r="G4972"/>
  <c r="G4971"/>
  <c r="G4970"/>
  <c r="G4969"/>
  <c r="G4968"/>
  <c r="G4967"/>
  <c r="G4966"/>
  <c r="G4965"/>
  <c r="G4964"/>
  <c r="G4963"/>
  <c r="G4962"/>
  <c r="G4961"/>
  <c r="G4960"/>
  <c r="G4959"/>
  <c r="G4958"/>
  <c r="G4913"/>
  <c r="G4912"/>
  <c r="G4911"/>
  <c r="G4910"/>
  <c r="G4909"/>
  <c r="G4908"/>
  <c r="G4907"/>
  <c r="G4906"/>
  <c r="G4905"/>
  <c r="G4904"/>
  <c r="G4903"/>
  <c r="G4902"/>
  <c r="G4901"/>
  <c r="G4900"/>
  <c r="G4899"/>
  <c r="G4898"/>
  <c r="G4897"/>
  <c r="G4896"/>
  <c r="G4895"/>
  <c r="G4894"/>
  <c r="G4893"/>
  <c r="G4892"/>
  <c r="G4891"/>
  <c r="G4890"/>
  <c r="G4889"/>
  <c r="G4888"/>
  <c r="G4887"/>
  <c r="G4886"/>
  <c r="G4885"/>
  <c r="G4884"/>
  <c r="G4883"/>
  <c r="G4882"/>
  <c r="G4881"/>
  <c r="G4880"/>
  <c r="G4879"/>
  <c r="G4878"/>
  <c r="G4877"/>
  <c r="G4876"/>
  <c r="G4875"/>
  <c r="G4874"/>
  <c r="G4873"/>
  <c r="G4872"/>
  <c r="G4871"/>
  <c r="G4870"/>
  <c r="G4825"/>
  <c r="G4824"/>
  <c r="G4823"/>
  <c r="G4822"/>
  <c r="G4821"/>
  <c r="G4820"/>
  <c r="G4819"/>
  <c r="G4818"/>
  <c r="G4817"/>
  <c r="G4816"/>
  <c r="G4815"/>
  <c r="G4814"/>
  <c r="G4813"/>
  <c r="G4812"/>
  <c r="G4811"/>
  <c r="G4810"/>
  <c r="G4809"/>
  <c r="G4808"/>
  <c r="G4807"/>
  <c r="G4806"/>
  <c r="G4805"/>
  <c r="G4804"/>
  <c r="G4803"/>
  <c r="G4802"/>
  <c r="G4801"/>
  <c r="G4800"/>
  <c r="G4799"/>
  <c r="G4798"/>
  <c r="G4797"/>
  <c r="G4796"/>
  <c r="G4795"/>
  <c r="G4794"/>
  <c r="G4793"/>
  <c r="G4792"/>
  <c r="G4791"/>
  <c r="G4790"/>
  <c r="G4789"/>
  <c r="G4788"/>
  <c r="G4787"/>
  <c r="G4786"/>
  <c r="G4785"/>
  <c r="G4784"/>
  <c r="G4783"/>
  <c r="G4782"/>
  <c r="G4737"/>
  <c r="G4736"/>
  <c r="G4735"/>
  <c r="G4734"/>
  <c r="G4733"/>
  <c r="G4732"/>
  <c r="G4731"/>
  <c r="G4730"/>
  <c r="G4729"/>
  <c r="G4728"/>
  <c r="G4727"/>
  <c r="G4726"/>
  <c r="G4725"/>
  <c r="G4724"/>
  <c r="G4723"/>
  <c r="G4722"/>
  <c r="G4721"/>
  <c r="G4720"/>
  <c r="G4719"/>
  <c r="G4718"/>
  <c r="G4717"/>
  <c r="G4716"/>
  <c r="G4715"/>
  <c r="G4714"/>
  <c r="G4713"/>
  <c r="G4712"/>
  <c r="G4711"/>
  <c r="G4710"/>
  <c r="G4709"/>
  <c r="G4708"/>
  <c r="G4707"/>
  <c r="G4706"/>
  <c r="G4705"/>
  <c r="G4704"/>
  <c r="G4703"/>
  <c r="G4702"/>
  <c r="G4701"/>
  <c r="G4700"/>
  <c r="G4699"/>
  <c r="G4698"/>
  <c r="G4697"/>
  <c r="G4696"/>
  <c r="G4695"/>
  <c r="G4694"/>
  <c r="G4649"/>
  <c r="G4648"/>
  <c r="G4647"/>
  <c r="G4646"/>
  <c r="G4645"/>
  <c r="G4644"/>
  <c r="G4643"/>
  <c r="G4642"/>
  <c r="G4641"/>
  <c r="G4640"/>
  <c r="G4639"/>
  <c r="G4638"/>
  <c r="G4637"/>
  <c r="G4636"/>
  <c r="G4635"/>
  <c r="G4634"/>
  <c r="G4633"/>
  <c r="G4632"/>
  <c r="G4631"/>
  <c r="G4630"/>
  <c r="G4629"/>
  <c r="G4628"/>
  <c r="G4627"/>
  <c r="G4626"/>
  <c r="G4625"/>
  <c r="G4624"/>
  <c r="G4623"/>
  <c r="G4622"/>
  <c r="G4621"/>
  <c r="G4620"/>
  <c r="G4619"/>
  <c r="G4618"/>
  <c r="G4617"/>
  <c r="G4616"/>
  <c r="G4615"/>
  <c r="G4614"/>
  <c r="G4613"/>
  <c r="G4612"/>
  <c r="G4611"/>
  <c r="G4610"/>
  <c r="G4609"/>
  <c r="G4608"/>
  <c r="G4607"/>
  <c r="G4606"/>
  <c r="G4561"/>
  <c r="G4560"/>
  <c r="G4559"/>
  <c r="G4558"/>
  <c r="G4557"/>
  <c r="G4556"/>
  <c r="G4555"/>
  <c r="G4554"/>
  <c r="G4553"/>
  <c r="G4552"/>
  <c r="G4551"/>
  <c r="G4550"/>
  <c r="G4549"/>
  <c r="G4548"/>
  <c r="G4547"/>
  <c r="G4546"/>
  <c r="G4545"/>
  <c r="G4544"/>
  <c r="G4543"/>
  <c r="G4542"/>
  <c r="G4541"/>
  <c r="G4540"/>
  <c r="G4539"/>
  <c r="G4538"/>
  <c r="G4537"/>
  <c r="G4536"/>
  <c r="G4535"/>
  <c r="G4534"/>
  <c r="G4533"/>
  <c r="G4532"/>
  <c r="G4531"/>
  <c r="G4530"/>
  <c r="G4529"/>
  <c r="G4528"/>
  <c r="G4527"/>
  <c r="G4526"/>
  <c r="G4525"/>
  <c r="G4524"/>
  <c r="G4523"/>
  <c r="G4522"/>
  <c r="G4521"/>
  <c r="G4520"/>
  <c r="G4519"/>
  <c r="G4518"/>
  <c r="G4473"/>
  <c r="G4472"/>
  <c r="G4471"/>
  <c r="G4470"/>
  <c r="G4469"/>
  <c r="G4468"/>
  <c r="G4467"/>
  <c r="G4466"/>
  <c r="G4465"/>
  <c r="G4464"/>
  <c r="G4463"/>
  <c r="G4462"/>
  <c r="G4461"/>
  <c r="G4460"/>
  <c r="G4459"/>
  <c r="G4458"/>
  <c r="G4457"/>
  <c r="G4456"/>
  <c r="G4455"/>
  <c r="G4454"/>
  <c r="G4453"/>
  <c r="G4452"/>
  <c r="G4451"/>
  <c r="G4450"/>
  <c r="G4449"/>
  <c r="G4448"/>
  <c r="G4447"/>
  <c r="G4446"/>
  <c r="G4445"/>
  <c r="G4444"/>
  <c r="G4443"/>
  <c r="G4442"/>
  <c r="G4441"/>
  <c r="G4440"/>
  <c r="G4439"/>
  <c r="G4438"/>
  <c r="G4437"/>
  <c r="G4436"/>
  <c r="G4435"/>
  <c r="G4434"/>
  <c r="G4433"/>
  <c r="G4432"/>
  <c r="G4431"/>
  <c r="G4430"/>
  <c r="C4405"/>
  <c r="C4493" s="1"/>
  <c r="C4581" s="1"/>
  <c r="C4669" s="1"/>
  <c r="C4757" s="1"/>
  <c r="C4845" s="1"/>
  <c r="C4933" s="1"/>
  <c r="C5021" s="1"/>
  <c r="C5109" s="1"/>
  <c r="C5197" s="1"/>
  <c r="C5285" s="1"/>
  <c r="G4385"/>
  <c r="G4384"/>
  <c r="G4383"/>
  <c r="G4382"/>
  <c r="G4381"/>
  <c r="G4380"/>
  <c r="G4379"/>
  <c r="G4378"/>
  <c r="G4377"/>
  <c r="G4376"/>
  <c r="G4375"/>
  <c r="G4374"/>
  <c r="G4373"/>
  <c r="G4372"/>
  <c r="G4371"/>
  <c r="G4370"/>
  <c r="G4369"/>
  <c r="C4369"/>
  <c r="C4457" s="1"/>
  <c r="C4545" s="1"/>
  <c r="C4633" s="1"/>
  <c r="C4721" s="1"/>
  <c r="C4809" s="1"/>
  <c r="C4897" s="1"/>
  <c r="C4985" s="1"/>
  <c r="C5073" s="1"/>
  <c r="C5161" s="1"/>
  <c r="C5249" s="1"/>
  <c r="G4368"/>
  <c r="G4367"/>
  <c r="G4366"/>
  <c r="G4365"/>
  <c r="G4364"/>
  <c r="G4363"/>
  <c r="G4362"/>
  <c r="G4361"/>
  <c r="G4360"/>
  <c r="G4359"/>
  <c r="G4358"/>
  <c r="G4357"/>
  <c r="G4356"/>
  <c r="G4355"/>
  <c r="G4354"/>
  <c r="C4354"/>
  <c r="C4442" s="1"/>
  <c r="C4530" s="1"/>
  <c r="C4618" s="1"/>
  <c r="C4706" s="1"/>
  <c r="C4794" s="1"/>
  <c r="C4882" s="1"/>
  <c r="C4970" s="1"/>
  <c r="C5058" s="1"/>
  <c r="C5146" s="1"/>
  <c r="C5234" s="1"/>
  <c r="G4353"/>
  <c r="G4352"/>
  <c r="G4351"/>
  <c r="G4350"/>
  <c r="G4349"/>
  <c r="G4348"/>
  <c r="G4347"/>
  <c r="G4346"/>
  <c r="G4345"/>
  <c r="G4344"/>
  <c r="G4343"/>
  <c r="B4343"/>
  <c r="B4431" s="1"/>
  <c r="B4519" s="1"/>
  <c r="B4607" s="1"/>
  <c r="B4695" s="1"/>
  <c r="B4783" s="1"/>
  <c r="B4871" s="1"/>
  <c r="B4959" s="1"/>
  <c r="B5047" s="1"/>
  <c r="B5135" s="1"/>
  <c r="B5223" s="1"/>
  <c r="G4342"/>
  <c r="C4341"/>
  <c r="C4429" s="1"/>
  <c r="C4517" s="1"/>
  <c r="C4605" s="1"/>
  <c r="C4693" s="1"/>
  <c r="C4781" s="1"/>
  <c r="C4869" s="1"/>
  <c r="C4957" s="1"/>
  <c r="C5045" s="1"/>
  <c r="C5133" s="1"/>
  <c r="C5221" s="1"/>
  <c r="C5309" s="1"/>
  <c r="B4341"/>
  <c r="B4429" s="1"/>
  <c r="B4517" s="1"/>
  <c r="B4605" s="1"/>
  <c r="B4693" s="1"/>
  <c r="B4781" s="1"/>
  <c r="B4869" s="1"/>
  <c r="B4957" s="1"/>
  <c r="B5045" s="1"/>
  <c r="B5133" s="1"/>
  <c r="B5221" s="1"/>
  <c r="B5309" s="1"/>
  <c r="C4340"/>
  <c r="C4428" s="1"/>
  <c r="C4516" s="1"/>
  <c r="C4604" s="1"/>
  <c r="C4692" s="1"/>
  <c r="C4780" s="1"/>
  <c r="C4868" s="1"/>
  <c r="C4956" s="1"/>
  <c r="C5044" s="1"/>
  <c r="C5132" s="1"/>
  <c r="C5220" s="1"/>
  <c r="C5308" s="1"/>
  <c r="B4340"/>
  <c r="B4428" s="1"/>
  <c r="B4516" s="1"/>
  <c r="B4604" s="1"/>
  <c r="B4692" s="1"/>
  <c r="B4780" s="1"/>
  <c r="B4868" s="1"/>
  <c r="B4956" s="1"/>
  <c r="B5044" s="1"/>
  <c r="B5132" s="1"/>
  <c r="B5220" s="1"/>
  <c r="B5308" s="1"/>
  <c r="C4339"/>
  <c r="C4427" s="1"/>
  <c r="C4515" s="1"/>
  <c r="C4603" s="1"/>
  <c r="C4691" s="1"/>
  <c r="C4779" s="1"/>
  <c r="C4867" s="1"/>
  <c r="C4955" s="1"/>
  <c r="C5043" s="1"/>
  <c r="C5131" s="1"/>
  <c r="C5219" s="1"/>
  <c r="C5307" s="1"/>
  <c r="B4339"/>
  <c r="B4427" s="1"/>
  <c r="B4515" s="1"/>
  <c r="B4603" s="1"/>
  <c r="B4691" s="1"/>
  <c r="B4779" s="1"/>
  <c r="B4867" s="1"/>
  <c r="B4955" s="1"/>
  <c r="B5043" s="1"/>
  <c r="B5131" s="1"/>
  <c r="B5219" s="1"/>
  <c r="B5307" s="1"/>
  <c r="C4338"/>
  <c r="C4426" s="1"/>
  <c r="C4514" s="1"/>
  <c r="C4602" s="1"/>
  <c r="C4690" s="1"/>
  <c r="C4778" s="1"/>
  <c r="C4866" s="1"/>
  <c r="C4954" s="1"/>
  <c r="C5042" s="1"/>
  <c r="C5130" s="1"/>
  <c r="C5218" s="1"/>
  <c r="C5306" s="1"/>
  <c r="B4338"/>
  <c r="B4426" s="1"/>
  <c r="B4514" s="1"/>
  <c r="B4602" s="1"/>
  <c r="B4690" s="1"/>
  <c r="B4778" s="1"/>
  <c r="B4866" s="1"/>
  <c r="B4954" s="1"/>
  <c r="B5042" s="1"/>
  <c r="B5130" s="1"/>
  <c r="B5218" s="1"/>
  <c r="B5306" s="1"/>
  <c r="C4337"/>
  <c r="C4425" s="1"/>
  <c r="C4513" s="1"/>
  <c r="C4601" s="1"/>
  <c r="C4689" s="1"/>
  <c r="C4777" s="1"/>
  <c r="C4865" s="1"/>
  <c r="C4953" s="1"/>
  <c r="C5041" s="1"/>
  <c r="C5129" s="1"/>
  <c r="C5217" s="1"/>
  <c r="C5305" s="1"/>
  <c r="B4337"/>
  <c r="B4425" s="1"/>
  <c r="B4513" s="1"/>
  <c r="B4601" s="1"/>
  <c r="B4689" s="1"/>
  <c r="B4777" s="1"/>
  <c r="B4865" s="1"/>
  <c r="B4953" s="1"/>
  <c r="B5041" s="1"/>
  <c r="B5129" s="1"/>
  <c r="B5217" s="1"/>
  <c r="B5305" s="1"/>
  <c r="C4336"/>
  <c r="C4424" s="1"/>
  <c r="C4512" s="1"/>
  <c r="C4600" s="1"/>
  <c r="C4688" s="1"/>
  <c r="C4776" s="1"/>
  <c r="C4864" s="1"/>
  <c r="C4952" s="1"/>
  <c r="C5040" s="1"/>
  <c r="C5128" s="1"/>
  <c r="C5216" s="1"/>
  <c r="C5304" s="1"/>
  <c r="B4336"/>
  <c r="B4424" s="1"/>
  <c r="B4512" s="1"/>
  <c r="B4600" s="1"/>
  <c r="B4688" s="1"/>
  <c r="B4776" s="1"/>
  <c r="B4864" s="1"/>
  <c r="B4952" s="1"/>
  <c r="B5040" s="1"/>
  <c r="B5128" s="1"/>
  <c r="B5216" s="1"/>
  <c r="B5304" s="1"/>
  <c r="C4335"/>
  <c r="C4423" s="1"/>
  <c r="C4511" s="1"/>
  <c r="C4599" s="1"/>
  <c r="C4687" s="1"/>
  <c r="C4775" s="1"/>
  <c r="C4863" s="1"/>
  <c r="C4951" s="1"/>
  <c r="C5039" s="1"/>
  <c r="C5127" s="1"/>
  <c r="C5215" s="1"/>
  <c r="C5303" s="1"/>
  <c r="B4335"/>
  <c r="B4423" s="1"/>
  <c r="B4511" s="1"/>
  <c r="B4599" s="1"/>
  <c r="B4687" s="1"/>
  <c r="B4775" s="1"/>
  <c r="B4863" s="1"/>
  <c r="B4951" s="1"/>
  <c r="B5039" s="1"/>
  <c r="B5127" s="1"/>
  <c r="B5215" s="1"/>
  <c r="B5303" s="1"/>
  <c r="C4334"/>
  <c r="C4422" s="1"/>
  <c r="C4510" s="1"/>
  <c r="C4598" s="1"/>
  <c r="C4686" s="1"/>
  <c r="C4774" s="1"/>
  <c r="C4862" s="1"/>
  <c r="C4950" s="1"/>
  <c r="C5038" s="1"/>
  <c r="C5126" s="1"/>
  <c r="C5214" s="1"/>
  <c r="C5302" s="1"/>
  <c r="B4334"/>
  <c r="B4422" s="1"/>
  <c r="B4510" s="1"/>
  <c r="B4598" s="1"/>
  <c r="B4686" s="1"/>
  <c r="B4774" s="1"/>
  <c r="B4862" s="1"/>
  <c r="B4950" s="1"/>
  <c r="B5038" s="1"/>
  <c r="B5126" s="1"/>
  <c r="B5214" s="1"/>
  <c r="B5302" s="1"/>
  <c r="C4333"/>
  <c r="C4421" s="1"/>
  <c r="C4509" s="1"/>
  <c r="C4597" s="1"/>
  <c r="C4685" s="1"/>
  <c r="C4773" s="1"/>
  <c r="C4861" s="1"/>
  <c r="C4949" s="1"/>
  <c r="C5037" s="1"/>
  <c r="C5125" s="1"/>
  <c r="C5213" s="1"/>
  <c r="C5301" s="1"/>
  <c r="B4333"/>
  <c r="B4421" s="1"/>
  <c r="B4509" s="1"/>
  <c r="B4597" s="1"/>
  <c r="B4685" s="1"/>
  <c r="B4773" s="1"/>
  <c r="B4861" s="1"/>
  <c r="B4949" s="1"/>
  <c r="B5037" s="1"/>
  <c r="B5125" s="1"/>
  <c r="B5213" s="1"/>
  <c r="B5301" s="1"/>
  <c r="C4332"/>
  <c r="C4420" s="1"/>
  <c r="C4508" s="1"/>
  <c r="C4596" s="1"/>
  <c r="C4684" s="1"/>
  <c r="C4772" s="1"/>
  <c r="C4860" s="1"/>
  <c r="C4948" s="1"/>
  <c r="C5036" s="1"/>
  <c r="C5124" s="1"/>
  <c r="C5212" s="1"/>
  <c r="C5300" s="1"/>
  <c r="B4332"/>
  <c r="B4420" s="1"/>
  <c r="B4508" s="1"/>
  <c r="B4596" s="1"/>
  <c r="B4684" s="1"/>
  <c r="B4772" s="1"/>
  <c r="B4860" s="1"/>
  <c r="B4948" s="1"/>
  <c r="B5036" s="1"/>
  <c r="B5124" s="1"/>
  <c r="B5212" s="1"/>
  <c r="B5300" s="1"/>
  <c r="C4331"/>
  <c r="C4419" s="1"/>
  <c r="C4507" s="1"/>
  <c r="C4595" s="1"/>
  <c r="C4683" s="1"/>
  <c r="C4771" s="1"/>
  <c r="C4859" s="1"/>
  <c r="C4947" s="1"/>
  <c r="C5035" s="1"/>
  <c r="C5123" s="1"/>
  <c r="C5211" s="1"/>
  <c r="C5299" s="1"/>
  <c r="B4331"/>
  <c r="B4419" s="1"/>
  <c r="B4507" s="1"/>
  <c r="B4595" s="1"/>
  <c r="B4683" s="1"/>
  <c r="B4771" s="1"/>
  <c r="B4859" s="1"/>
  <c r="B4947" s="1"/>
  <c r="B5035" s="1"/>
  <c r="B5123" s="1"/>
  <c r="B5211" s="1"/>
  <c r="B5299" s="1"/>
  <c r="C4330"/>
  <c r="C4418" s="1"/>
  <c r="C4506" s="1"/>
  <c r="C4594" s="1"/>
  <c r="C4682" s="1"/>
  <c r="C4770" s="1"/>
  <c r="C4858" s="1"/>
  <c r="C4946" s="1"/>
  <c r="C5034" s="1"/>
  <c r="C5122" s="1"/>
  <c r="C5210" s="1"/>
  <c r="C5298" s="1"/>
  <c r="B4330"/>
  <c r="B4418" s="1"/>
  <c r="B4506" s="1"/>
  <c r="B4594" s="1"/>
  <c r="B4682" s="1"/>
  <c r="B4770" s="1"/>
  <c r="B4858" s="1"/>
  <c r="B4946" s="1"/>
  <c r="B5034" s="1"/>
  <c r="B5122" s="1"/>
  <c r="B5210" s="1"/>
  <c r="B5298" s="1"/>
  <c r="C4329"/>
  <c r="C4417" s="1"/>
  <c r="C4505" s="1"/>
  <c r="C4593" s="1"/>
  <c r="C4681" s="1"/>
  <c r="C4769" s="1"/>
  <c r="C4857" s="1"/>
  <c r="C4945" s="1"/>
  <c r="C5033" s="1"/>
  <c r="C5121" s="1"/>
  <c r="C5209" s="1"/>
  <c r="C5297" s="1"/>
  <c r="B4329"/>
  <c r="B4417" s="1"/>
  <c r="B4505" s="1"/>
  <c r="B4593" s="1"/>
  <c r="B4681" s="1"/>
  <c r="B4769" s="1"/>
  <c r="B4857" s="1"/>
  <c r="B4945" s="1"/>
  <c r="B5033" s="1"/>
  <c r="B5121" s="1"/>
  <c r="B5209" s="1"/>
  <c r="B5297" s="1"/>
  <c r="C4328"/>
  <c r="C4416" s="1"/>
  <c r="C4504" s="1"/>
  <c r="C4592" s="1"/>
  <c r="C4680" s="1"/>
  <c r="C4768" s="1"/>
  <c r="C4856" s="1"/>
  <c r="C4944" s="1"/>
  <c r="C5032" s="1"/>
  <c r="C5120" s="1"/>
  <c r="C5208" s="1"/>
  <c r="C5296" s="1"/>
  <c r="B4328"/>
  <c r="B4416" s="1"/>
  <c r="B4504" s="1"/>
  <c r="B4592" s="1"/>
  <c r="B4680" s="1"/>
  <c r="B4768" s="1"/>
  <c r="B4856" s="1"/>
  <c r="B4944" s="1"/>
  <c r="B5032" s="1"/>
  <c r="B5120" s="1"/>
  <c r="B5208" s="1"/>
  <c r="B5296" s="1"/>
  <c r="C4327"/>
  <c r="C4415" s="1"/>
  <c r="C4503" s="1"/>
  <c r="C4591" s="1"/>
  <c r="C4679" s="1"/>
  <c r="C4767" s="1"/>
  <c r="C4855" s="1"/>
  <c r="C4943" s="1"/>
  <c r="C5031" s="1"/>
  <c r="C5119" s="1"/>
  <c r="C5207" s="1"/>
  <c r="C5295" s="1"/>
  <c r="B4327"/>
  <c r="B4415" s="1"/>
  <c r="B4503" s="1"/>
  <c r="B4591" s="1"/>
  <c r="B4679" s="1"/>
  <c r="B4767" s="1"/>
  <c r="B4855" s="1"/>
  <c r="B4943" s="1"/>
  <c r="B5031" s="1"/>
  <c r="B5119" s="1"/>
  <c r="B5207" s="1"/>
  <c r="B5295" s="1"/>
  <c r="C4326"/>
  <c r="C4414" s="1"/>
  <c r="C4502" s="1"/>
  <c r="C4590" s="1"/>
  <c r="C4678" s="1"/>
  <c r="C4766" s="1"/>
  <c r="C4854" s="1"/>
  <c r="C4942" s="1"/>
  <c r="C5030" s="1"/>
  <c r="C5118" s="1"/>
  <c r="C5206" s="1"/>
  <c r="C5294" s="1"/>
  <c r="B4326"/>
  <c r="B4414" s="1"/>
  <c r="B4502" s="1"/>
  <c r="B4590" s="1"/>
  <c r="B4678" s="1"/>
  <c r="B4766" s="1"/>
  <c r="B4854" s="1"/>
  <c r="B4942" s="1"/>
  <c r="B5030" s="1"/>
  <c r="B5118" s="1"/>
  <c r="B5206" s="1"/>
  <c r="B5294" s="1"/>
  <c r="C4325"/>
  <c r="C4413" s="1"/>
  <c r="C4501" s="1"/>
  <c r="C4589" s="1"/>
  <c r="C4677" s="1"/>
  <c r="C4765" s="1"/>
  <c r="C4853" s="1"/>
  <c r="C4941" s="1"/>
  <c r="C5029" s="1"/>
  <c r="C5117" s="1"/>
  <c r="C5205" s="1"/>
  <c r="C5293" s="1"/>
  <c r="B4325"/>
  <c r="B4413" s="1"/>
  <c r="B4501" s="1"/>
  <c r="B4589" s="1"/>
  <c r="B4677" s="1"/>
  <c r="B4765" s="1"/>
  <c r="B4853" s="1"/>
  <c r="B4941" s="1"/>
  <c r="B5029" s="1"/>
  <c r="B5117" s="1"/>
  <c r="B5205" s="1"/>
  <c r="B5293" s="1"/>
  <c r="C4324"/>
  <c r="C4412" s="1"/>
  <c r="C4500" s="1"/>
  <c r="C4588" s="1"/>
  <c r="C4676" s="1"/>
  <c r="C4764" s="1"/>
  <c r="C4852" s="1"/>
  <c r="C4940" s="1"/>
  <c r="C5028" s="1"/>
  <c r="C5116" s="1"/>
  <c r="C5204" s="1"/>
  <c r="C5292" s="1"/>
  <c r="B4324"/>
  <c r="B4412" s="1"/>
  <c r="B4500" s="1"/>
  <c r="B4588" s="1"/>
  <c r="B4676" s="1"/>
  <c r="B4764" s="1"/>
  <c r="B4852" s="1"/>
  <c r="B4940" s="1"/>
  <c r="B5028" s="1"/>
  <c r="B5116" s="1"/>
  <c r="B5204" s="1"/>
  <c r="B5292" s="1"/>
  <c r="C4323"/>
  <c r="C4411" s="1"/>
  <c r="C4499" s="1"/>
  <c r="C4587" s="1"/>
  <c r="C4675" s="1"/>
  <c r="C4763" s="1"/>
  <c r="C4851" s="1"/>
  <c r="C4939" s="1"/>
  <c r="C5027" s="1"/>
  <c r="C5115" s="1"/>
  <c r="C5203" s="1"/>
  <c r="C5291" s="1"/>
  <c r="B4323"/>
  <c r="B4411" s="1"/>
  <c r="B4499" s="1"/>
  <c r="B4587" s="1"/>
  <c r="B4675" s="1"/>
  <c r="B4763" s="1"/>
  <c r="B4851" s="1"/>
  <c r="B4939" s="1"/>
  <c r="B5027" s="1"/>
  <c r="B5115" s="1"/>
  <c r="B5203" s="1"/>
  <c r="B5291" s="1"/>
  <c r="C4322"/>
  <c r="C4410" s="1"/>
  <c r="C4498" s="1"/>
  <c r="C4586" s="1"/>
  <c r="C4674" s="1"/>
  <c r="C4762" s="1"/>
  <c r="C4850" s="1"/>
  <c r="C4938" s="1"/>
  <c r="C5026" s="1"/>
  <c r="C5114" s="1"/>
  <c r="C5202" s="1"/>
  <c r="C5290" s="1"/>
  <c r="B4322"/>
  <c r="B4410" s="1"/>
  <c r="B4498" s="1"/>
  <c r="B4586" s="1"/>
  <c r="B4674" s="1"/>
  <c r="B4762" s="1"/>
  <c r="B4850" s="1"/>
  <c r="B4938" s="1"/>
  <c r="B5026" s="1"/>
  <c r="B5114" s="1"/>
  <c r="B5202" s="1"/>
  <c r="B5290" s="1"/>
  <c r="C4321"/>
  <c r="C4409" s="1"/>
  <c r="C4497" s="1"/>
  <c r="C4585" s="1"/>
  <c r="C4673" s="1"/>
  <c r="C4761" s="1"/>
  <c r="C4849" s="1"/>
  <c r="C4937" s="1"/>
  <c r="C5025" s="1"/>
  <c r="C5113" s="1"/>
  <c r="C5201" s="1"/>
  <c r="C5289" s="1"/>
  <c r="B4321"/>
  <c r="B4409" s="1"/>
  <c r="B4497" s="1"/>
  <c r="B4585" s="1"/>
  <c r="B4673" s="1"/>
  <c r="B4761" s="1"/>
  <c r="B4849" s="1"/>
  <c r="B4937" s="1"/>
  <c r="B5025" s="1"/>
  <c r="B5113" s="1"/>
  <c r="B5201" s="1"/>
  <c r="B5289" s="1"/>
  <c r="C4320"/>
  <c r="C4408" s="1"/>
  <c r="C4496" s="1"/>
  <c r="C4584" s="1"/>
  <c r="C4672" s="1"/>
  <c r="C4760" s="1"/>
  <c r="C4848" s="1"/>
  <c r="C4936" s="1"/>
  <c r="C5024" s="1"/>
  <c r="C5112" s="1"/>
  <c r="C5200" s="1"/>
  <c r="C5288" s="1"/>
  <c r="B4320"/>
  <c r="B4408" s="1"/>
  <c r="B4496" s="1"/>
  <c r="B4584" s="1"/>
  <c r="B4672" s="1"/>
  <c r="B4760" s="1"/>
  <c r="B4848" s="1"/>
  <c r="B4936" s="1"/>
  <c r="B5024" s="1"/>
  <c r="B5112" s="1"/>
  <c r="B5200" s="1"/>
  <c r="B5288" s="1"/>
  <c r="C4319"/>
  <c r="C4407" s="1"/>
  <c r="C4495" s="1"/>
  <c r="C4583" s="1"/>
  <c r="C4671" s="1"/>
  <c r="C4759" s="1"/>
  <c r="C4847" s="1"/>
  <c r="C4935" s="1"/>
  <c r="C5023" s="1"/>
  <c r="C5111" s="1"/>
  <c r="C5199" s="1"/>
  <c r="C5287" s="1"/>
  <c r="B4319"/>
  <c r="B4407" s="1"/>
  <c r="B4495" s="1"/>
  <c r="B4583" s="1"/>
  <c r="B4671" s="1"/>
  <c r="B4759" s="1"/>
  <c r="B4847" s="1"/>
  <c r="B4935" s="1"/>
  <c r="B5023" s="1"/>
  <c r="B5111" s="1"/>
  <c r="B5199" s="1"/>
  <c r="B5287" s="1"/>
  <c r="C4318"/>
  <c r="C4406" s="1"/>
  <c r="C4494" s="1"/>
  <c r="C4582" s="1"/>
  <c r="C4670" s="1"/>
  <c r="C4758" s="1"/>
  <c r="C4846" s="1"/>
  <c r="C4934" s="1"/>
  <c r="C5022" s="1"/>
  <c r="C5110" s="1"/>
  <c r="C5198" s="1"/>
  <c r="C5286" s="1"/>
  <c r="B4318"/>
  <c r="B4406" s="1"/>
  <c r="B4494" s="1"/>
  <c r="B4582" s="1"/>
  <c r="B4670" s="1"/>
  <c r="B4758" s="1"/>
  <c r="B4846" s="1"/>
  <c r="B4934" s="1"/>
  <c r="B5022" s="1"/>
  <c r="B5110" s="1"/>
  <c r="B5198" s="1"/>
  <c r="B5286" s="1"/>
  <c r="C4317"/>
  <c r="B4317"/>
  <c r="B4405" s="1"/>
  <c r="B4493" s="1"/>
  <c r="B4581" s="1"/>
  <c r="B4669" s="1"/>
  <c r="B4757" s="1"/>
  <c r="B4845" s="1"/>
  <c r="B4933" s="1"/>
  <c r="B5021" s="1"/>
  <c r="B5109" s="1"/>
  <c r="B5197" s="1"/>
  <c r="B5285" s="1"/>
  <c r="C4316"/>
  <c r="C4404" s="1"/>
  <c r="C4492" s="1"/>
  <c r="C4580" s="1"/>
  <c r="C4668" s="1"/>
  <c r="C4756" s="1"/>
  <c r="C4844" s="1"/>
  <c r="C4932" s="1"/>
  <c r="C5020" s="1"/>
  <c r="C5108" s="1"/>
  <c r="C5196" s="1"/>
  <c r="C5284" s="1"/>
  <c r="B4316"/>
  <c r="B4404" s="1"/>
  <c r="B4492" s="1"/>
  <c r="B4580" s="1"/>
  <c r="B4668" s="1"/>
  <c r="B4756" s="1"/>
  <c r="B4844" s="1"/>
  <c r="B4932" s="1"/>
  <c r="B5020" s="1"/>
  <c r="B5108" s="1"/>
  <c r="B5196" s="1"/>
  <c r="B5284" s="1"/>
  <c r="C4315"/>
  <c r="C4403" s="1"/>
  <c r="C4491" s="1"/>
  <c r="C4579" s="1"/>
  <c r="C4667" s="1"/>
  <c r="C4755" s="1"/>
  <c r="C4843" s="1"/>
  <c r="C4931" s="1"/>
  <c r="C5019" s="1"/>
  <c r="C5107" s="1"/>
  <c r="C5195" s="1"/>
  <c r="C5283" s="1"/>
  <c r="B4315"/>
  <c r="B4403" s="1"/>
  <c r="B4491" s="1"/>
  <c r="B4579" s="1"/>
  <c r="B4667" s="1"/>
  <c r="B4755" s="1"/>
  <c r="B4843" s="1"/>
  <c r="B4931" s="1"/>
  <c r="B5019" s="1"/>
  <c r="B5107" s="1"/>
  <c r="B5195" s="1"/>
  <c r="B5283" s="1"/>
  <c r="C4314"/>
  <c r="C4402" s="1"/>
  <c r="C4490" s="1"/>
  <c r="C4578" s="1"/>
  <c r="C4666" s="1"/>
  <c r="C4754" s="1"/>
  <c r="C4842" s="1"/>
  <c r="C4930" s="1"/>
  <c r="C5018" s="1"/>
  <c r="C5106" s="1"/>
  <c r="C5194" s="1"/>
  <c r="C5282" s="1"/>
  <c r="B4314"/>
  <c r="B4402" s="1"/>
  <c r="B4490" s="1"/>
  <c r="B4578" s="1"/>
  <c r="B4666" s="1"/>
  <c r="B4754" s="1"/>
  <c r="B4842" s="1"/>
  <c r="B4930" s="1"/>
  <c r="B5018" s="1"/>
  <c r="B5106" s="1"/>
  <c r="B5194" s="1"/>
  <c r="B5282" s="1"/>
  <c r="C4313"/>
  <c r="C4401" s="1"/>
  <c r="C4489" s="1"/>
  <c r="C4577" s="1"/>
  <c r="C4665" s="1"/>
  <c r="C4753" s="1"/>
  <c r="C4841" s="1"/>
  <c r="C4929" s="1"/>
  <c r="C5017" s="1"/>
  <c r="C5105" s="1"/>
  <c r="C5193" s="1"/>
  <c r="C5281" s="1"/>
  <c r="B4313"/>
  <c r="B4401" s="1"/>
  <c r="B4489" s="1"/>
  <c r="B4577" s="1"/>
  <c r="B4665" s="1"/>
  <c r="B4753" s="1"/>
  <c r="B4841" s="1"/>
  <c r="B4929" s="1"/>
  <c r="B5017" s="1"/>
  <c r="B5105" s="1"/>
  <c r="B5193" s="1"/>
  <c r="B5281" s="1"/>
  <c r="C4312"/>
  <c r="C4400" s="1"/>
  <c r="C4488" s="1"/>
  <c r="C4576" s="1"/>
  <c r="C4664" s="1"/>
  <c r="C4752" s="1"/>
  <c r="C4840" s="1"/>
  <c r="C4928" s="1"/>
  <c r="C5016" s="1"/>
  <c r="C5104" s="1"/>
  <c r="C5192" s="1"/>
  <c r="C5280" s="1"/>
  <c r="B4312"/>
  <c r="B4400" s="1"/>
  <c r="B4488" s="1"/>
  <c r="B4576" s="1"/>
  <c r="B4664" s="1"/>
  <c r="B4752" s="1"/>
  <c r="B4840" s="1"/>
  <c r="B4928" s="1"/>
  <c r="B5016" s="1"/>
  <c r="B5104" s="1"/>
  <c r="B5192" s="1"/>
  <c r="B5280" s="1"/>
  <c r="C4311"/>
  <c r="C4399" s="1"/>
  <c r="C4487" s="1"/>
  <c r="C4575" s="1"/>
  <c r="C4663" s="1"/>
  <c r="C4751" s="1"/>
  <c r="C4839" s="1"/>
  <c r="C4927" s="1"/>
  <c r="C5015" s="1"/>
  <c r="C5103" s="1"/>
  <c r="C5191" s="1"/>
  <c r="C5279" s="1"/>
  <c r="B4311"/>
  <c r="B4399" s="1"/>
  <c r="B4487" s="1"/>
  <c r="B4575" s="1"/>
  <c r="B4663" s="1"/>
  <c r="B4751" s="1"/>
  <c r="B4839" s="1"/>
  <c r="B4927" s="1"/>
  <c r="B5015" s="1"/>
  <c r="B5103" s="1"/>
  <c r="B5191" s="1"/>
  <c r="B5279" s="1"/>
  <c r="C4310"/>
  <c r="C4398" s="1"/>
  <c r="C4486" s="1"/>
  <c r="C4574" s="1"/>
  <c r="C4662" s="1"/>
  <c r="C4750" s="1"/>
  <c r="C4838" s="1"/>
  <c r="C4926" s="1"/>
  <c r="C5014" s="1"/>
  <c r="C5102" s="1"/>
  <c r="C5190" s="1"/>
  <c r="C5278" s="1"/>
  <c r="B4310"/>
  <c r="B4398" s="1"/>
  <c r="B4486" s="1"/>
  <c r="B4574" s="1"/>
  <c r="B4662" s="1"/>
  <c r="B4750" s="1"/>
  <c r="B4838" s="1"/>
  <c r="B4926" s="1"/>
  <c r="B5014" s="1"/>
  <c r="B5102" s="1"/>
  <c r="B5190" s="1"/>
  <c r="B5278" s="1"/>
  <c r="C4309"/>
  <c r="C4397" s="1"/>
  <c r="C4485" s="1"/>
  <c r="C4573" s="1"/>
  <c r="C4661" s="1"/>
  <c r="C4749" s="1"/>
  <c r="C4837" s="1"/>
  <c r="C4925" s="1"/>
  <c r="C5013" s="1"/>
  <c r="C5101" s="1"/>
  <c r="C5189" s="1"/>
  <c r="C5277" s="1"/>
  <c r="B4309"/>
  <c r="B4397" s="1"/>
  <c r="B4485" s="1"/>
  <c r="B4573" s="1"/>
  <c r="B4661" s="1"/>
  <c r="B4749" s="1"/>
  <c r="B4837" s="1"/>
  <c r="B4925" s="1"/>
  <c r="B5013" s="1"/>
  <c r="B5101" s="1"/>
  <c r="B5189" s="1"/>
  <c r="B5277" s="1"/>
  <c r="J4308"/>
  <c r="J4396" s="1"/>
  <c r="J4484" s="1"/>
  <c r="J4572" s="1"/>
  <c r="J4660" s="1"/>
  <c r="J4748" s="1"/>
  <c r="J4836" s="1"/>
  <c r="J4924" s="1"/>
  <c r="J5012" s="1"/>
  <c r="J5100" s="1"/>
  <c r="J5188" s="1"/>
  <c r="J5276" s="1"/>
  <c r="C4308"/>
  <c r="C4396" s="1"/>
  <c r="C4484" s="1"/>
  <c r="C4572" s="1"/>
  <c r="C4660" s="1"/>
  <c r="C4748" s="1"/>
  <c r="C4836" s="1"/>
  <c r="C4924" s="1"/>
  <c r="C5012" s="1"/>
  <c r="C5100" s="1"/>
  <c r="C5188" s="1"/>
  <c r="C5276" s="1"/>
  <c r="B4308"/>
  <c r="B4396" s="1"/>
  <c r="B4484" s="1"/>
  <c r="B4572" s="1"/>
  <c r="B4660" s="1"/>
  <c r="B4748" s="1"/>
  <c r="B4836" s="1"/>
  <c r="B4924" s="1"/>
  <c r="B5012" s="1"/>
  <c r="B5100" s="1"/>
  <c r="B5188" s="1"/>
  <c r="B5276" s="1"/>
  <c r="C4307"/>
  <c r="C4395" s="1"/>
  <c r="C4483" s="1"/>
  <c r="C4571" s="1"/>
  <c r="C4659" s="1"/>
  <c r="C4747" s="1"/>
  <c r="C4835" s="1"/>
  <c r="C4923" s="1"/>
  <c r="C5011" s="1"/>
  <c r="C5099" s="1"/>
  <c r="C5187" s="1"/>
  <c r="C5275" s="1"/>
  <c r="B4307"/>
  <c r="B4395" s="1"/>
  <c r="B4483" s="1"/>
  <c r="B4571" s="1"/>
  <c r="B4659" s="1"/>
  <c r="B4747" s="1"/>
  <c r="B4835" s="1"/>
  <c r="B4923" s="1"/>
  <c r="B5011" s="1"/>
  <c r="B5099" s="1"/>
  <c r="B5187" s="1"/>
  <c r="B5275" s="1"/>
  <c r="C4306"/>
  <c r="C4394" s="1"/>
  <c r="C4482" s="1"/>
  <c r="C4570" s="1"/>
  <c r="C4658" s="1"/>
  <c r="C4746" s="1"/>
  <c r="C4834" s="1"/>
  <c r="C4922" s="1"/>
  <c r="C5010" s="1"/>
  <c r="C5098" s="1"/>
  <c r="C5186" s="1"/>
  <c r="C5274" s="1"/>
  <c r="B4306"/>
  <c r="B4394" s="1"/>
  <c r="B4482" s="1"/>
  <c r="B4570" s="1"/>
  <c r="B4658" s="1"/>
  <c r="B4746" s="1"/>
  <c r="B4834" s="1"/>
  <c r="B4922" s="1"/>
  <c r="B5010" s="1"/>
  <c r="B5098" s="1"/>
  <c r="B5186" s="1"/>
  <c r="B5274" s="1"/>
  <c r="C4305"/>
  <c r="C4393" s="1"/>
  <c r="C4481" s="1"/>
  <c r="C4569" s="1"/>
  <c r="C4657" s="1"/>
  <c r="C4745" s="1"/>
  <c r="C4833" s="1"/>
  <c r="C4921" s="1"/>
  <c r="C5009" s="1"/>
  <c r="C5097" s="1"/>
  <c r="C5185" s="1"/>
  <c r="C5273" s="1"/>
  <c r="B4305"/>
  <c r="B4393" s="1"/>
  <c r="B4481" s="1"/>
  <c r="B4569" s="1"/>
  <c r="B4657" s="1"/>
  <c r="B4745" s="1"/>
  <c r="B4833" s="1"/>
  <c r="B4921" s="1"/>
  <c r="B5009" s="1"/>
  <c r="B5097" s="1"/>
  <c r="B5185" s="1"/>
  <c r="B5273" s="1"/>
  <c r="C4304"/>
  <c r="C4392" s="1"/>
  <c r="C4480" s="1"/>
  <c r="C4568" s="1"/>
  <c r="C4656" s="1"/>
  <c r="C4744" s="1"/>
  <c r="C4832" s="1"/>
  <c r="C4920" s="1"/>
  <c r="C5008" s="1"/>
  <c r="C5096" s="1"/>
  <c r="C5184" s="1"/>
  <c r="C5272" s="1"/>
  <c r="B4304"/>
  <c r="B4392" s="1"/>
  <c r="B4480" s="1"/>
  <c r="B4568" s="1"/>
  <c r="B4656" s="1"/>
  <c r="B4744" s="1"/>
  <c r="B4832" s="1"/>
  <c r="B4920" s="1"/>
  <c r="B5008" s="1"/>
  <c r="B5096" s="1"/>
  <c r="B5184" s="1"/>
  <c r="B5272" s="1"/>
  <c r="C4303"/>
  <c r="C4391" s="1"/>
  <c r="C4479" s="1"/>
  <c r="C4567" s="1"/>
  <c r="C4655" s="1"/>
  <c r="C4743" s="1"/>
  <c r="C4831" s="1"/>
  <c r="C4919" s="1"/>
  <c r="C5007" s="1"/>
  <c r="C5095" s="1"/>
  <c r="C5183" s="1"/>
  <c r="C5271" s="1"/>
  <c r="B4303"/>
  <c r="B4391" s="1"/>
  <c r="B4479" s="1"/>
  <c r="B4567" s="1"/>
  <c r="B4655" s="1"/>
  <c r="B4743" s="1"/>
  <c r="B4831" s="1"/>
  <c r="B4919" s="1"/>
  <c r="B5007" s="1"/>
  <c r="B5095" s="1"/>
  <c r="B5183" s="1"/>
  <c r="B5271" s="1"/>
  <c r="C4302"/>
  <c r="C4390" s="1"/>
  <c r="C4478" s="1"/>
  <c r="C4566" s="1"/>
  <c r="C4654" s="1"/>
  <c r="C4742" s="1"/>
  <c r="C4830" s="1"/>
  <c r="C4918" s="1"/>
  <c r="C5006" s="1"/>
  <c r="C5094" s="1"/>
  <c r="C5182" s="1"/>
  <c r="C5270" s="1"/>
  <c r="B4302"/>
  <c r="B4390" s="1"/>
  <c r="B4478" s="1"/>
  <c r="B4566" s="1"/>
  <c r="B4654" s="1"/>
  <c r="B4742" s="1"/>
  <c r="B4830" s="1"/>
  <c r="B4918" s="1"/>
  <c r="B5006" s="1"/>
  <c r="B5094" s="1"/>
  <c r="B5182" s="1"/>
  <c r="B5270" s="1"/>
  <c r="C4301"/>
  <c r="C4389" s="1"/>
  <c r="C4477" s="1"/>
  <c r="C4565" s="1"/>
  <c r="C4653" s="1"/>
  <c r="C4741" s="1"/>
  <c r="C4829" s="1"/>
  <c r="C4917" s="1"/>
  <c r="C5005" s="1"/>
  <c r="C5093" s="1"/>
  <c r="C5181" s="1"/>
  <c r="C5269" s="1"/>
  <c r="B4301"/>
  <c r="B4389" s="1"/>
  <c r="B4477" s="1"/>
  <c r="B4565" s="1"/>
  <c r="B4653" s="1"/>
  <c r="B4741" s="1"/>
  <c r="B4829" s="1"/>
  <c r="B4917" s="1"/>
  <c r="B5005" s="1"/>
  <c r="B5093" s="1"/>
  <c r="B5181" s="1"/>
  <c r="B5269" s="1"/>
  <c r="C4300"/>
  <c r="C4388" s="1"/>
  <c r="C4476" s="1"/>
  <c r="C4564" s="1"/>
  <c r="C4652" s="1"/>
  <c r="C4740" s="1"/>
  <c r="C4828" s="1"/>
  <c r="C4916" s="1"/>
  <c r="C5004" s="1"/>
  <c r="C5092" s="1"/>
  <c r="C5180" s="1"/>
  <c r="C5268" s="1"/>
  <c r="B4300"/>
  <c r="B4388" s="1"/>
  <c r="B4476" s="1"/>
  <c r="B4564" s="1"/>
  <c r="B4652" s="1"/>
  <c r="B4740" s="1"/>
  <c r="B4828" s="1"/>
  <c r="B4916" s="1"/>
  <c r="B5004" s="1"/>
  <c r="B5092" s="1"/>
  <c r="B5180" s="1"/>
  <c r="B5268" s="1"/>
  <c r="C4299"/>
  <c r="C4387" s="1"/>
  <c r="C4475" s="1"/>
  <c r="C4563" s="1"/>
  <c r="C4651" s="1"/>
  <c r="C4739" s="1"/>
  <c r="C4827" s="1"/>
  <c r="C4915" s="1"/>
  <c r="C5003" s="1"/>
  <c r="C5091" s="1"/>
  <c r="C5179" s="1"/>
  <c r="C5267" s="1"/>
  <c r="B4299"/>
  <c r="B4387" s="1"/>
  <c r="B4475" s="1"/>
  <c r="B4563" s="1"/>
  <c r="B4651" s="1"/>
  <c r="B4739" s="1"/>
  <c r="B4827" s="1"/>
  <c r="B4915" s="1"/>
  <c r="B5003" s="1"/>
  <c r="B5091" s="1"/>
  <c r="B5179" s="1"/>
  <c r="B5267" s="1"/>
  <c r="C4298"/>
  <c r="C4386" s="1"/>
  <c r="C4474" s="1"/>
  <c r="C4562" s="1"/>
  <c r="C4650" s="1"/>
  <c r="C4738" s="1"/>
  <c r="C4826" s="1"/>
  <c r="C4914" s="1"/>
  <c r="C5002" s="1"/>
  <c r="C5090" s="1"/>
  <c r="C5178" s="1"/>
  <c r="C5266" s="1"/>
  <c r="B4298"/>
  <c r="B4386" s="1"/>
  <c r="B4474" s="1"/>
  <c r="B4562" s="1"/>
  <c r="B4650" s="1"/>
  <c r="B4738" s="1"/>
  <c r="B4826" s="1"/>
  <c r="B4914" s="1"/>
  <c r="B5002" s="1"/>
  <c r="B5090" s="1"/>
  <c r="B5178" s="1"/>
  <c r="B5266" s="1"/>
  <c r="G4297"/>
  <c r="C4297"/>
  <c r="C4385" s="1"/>
  <c r="C4473" s="1"/>
  <c r="C4561" s="1"/>
  <c r="C4649" s="1"/>
  <c r="C4737" s="1"/>
  <c r="C4825" s="1"/>
  <c r="C4913" s="1"/>
  <c r="C5001" s="1"/>
  <c r="C5089" s="1"/>
  <c r="C5177" s="1"/>
  <c r="C5265" s="1"/>
  <c r="B4297"/>
  <c r="B4385" s="1"/>
  <c r="B4473" s="1"/>
  <c r="B4561" s="1"/>
  <c r="B4649" s="1"/>
  <c r="B4737" s="1"/>
  <c r="B4825" s="1"/>
  <c r="B4913" s="1"/>
  <c r="B5001" s="1"/>
  <c r="B5089" s="1"/>
  <c r="B5177" s="1"/>
  <c r="B5265" s="1"/>
  <c r="G4296"/>
  <c r="C4296"/>
  <c r="C4384" s="1"/>
  <c r="C4472" s="1"/>
  <c r="C4560" s="1"/>
  <c r="C4648" s="1"/>
  <c r="C4736" s="1"/>
  <c r="C4824" s="1"/>
  <c r="C4912" s="1"/>
  <c r="C5000" s="1"/>
  <c r="C5088" s="1"/>
  <c r="C5176" s="1"/>
  <c r="C5264" s="1"/>
  <c r="B4296"/>
  <c r="B4384" s="1"/>
  <c r="B4472" s="1"/>
  <c r="B4560" s="1"/>
  <c r="B4648" s="1"/>
  <c r="B4736" s="1"/>
  <c r="B4824" s="1"/>
  <c r="B4912" s="1"/>
  <c r="B5000" s="1"/>
  <c r="B5088" s="1"/>
  <c r="B5176" s="1"/>
  <c r="B5264" s="1"/>
  <c r="G4295"/>
  <c r="C4295"/>
  <c r="C4383" s="1"/>
  <c r="C4471" s="1"/>
  <c r="C4559" s="1"/>
  <c r="C4647" s="1"/>
  <c r="C4735" s="1"/>
  <c r="C4823" s="1"/>
  <c r="C4911" s="1"/>
  <c r="C4999" s="1"/>
  <c r="C5087" s="1"/>
  <c r="C5175" s="1"/>
  <c r="C5263" s="1"/>
  <c r="B4295"/>
  <c r="B4383" s="1"/>
  <c r="B4471" s="1"/>
  <c r="B4559" s="1"/>
  <c r="B4647" s="1"/>
  <c r="B4735" s="1"/>
  <c r="B4823" s="1"/>
  <c r="B4911" s="1"/>
  <c r="B4999" s="1"/>
  <c r="B5087" s="1"/>
  <c r="B5175" s="1"/>
  <c r="B5263" s="1"/>
  <c r="G4294"/>
  <c r="C4294"/>
  <c r="C4382" s="1"/>
  <c r="C4470" s="1"/>
  <c r="C4558" s="1"/>
  <c r="C4646" s="1"/>
  <c r="C4734" s="1"/>
  <c r="C4822" s="1"/>
  <c r="C4910" s="1"/>
  <c r="C4998" s="1"/>
  <c r="C5086" s="1"/>
  <c r="C5174" s="1"/>
  <c r="C5262" s="1"/>
  <c r="B4294"/>
  <c r="B4382" s="1"/>
  <c r="B4470" s="1"/>
  <c r="B4558" s="1"/>
  <c r="B4646" s="1"/>
  <c r="B4734" s="1"/>
  <c r="B4822" s="1"/>
  <c r="B4910" s="1"/>
  <c r="B4998" s="1"/>
  <c r="B5086" s="1"/>
  <c r="B5174" s="1"/>
  <c r="B5262" s="1"/>
  <c r="G4293"/>
  <c r="C4293"/>
  <c r="C4381" s="1"/>
  <c r="C4469" s="1"/>
  <c r="C4557" s="1"/>
  <c r="C4645" s="1"/>
  <c r="C4733" s="1"/>
  <c r="C4821" s="1"/>
  <c r="C4909" s="1"/>
  <c r="C4997" s="1"/>
  <c r="C5085" s="1"/>
  <c r="C5173" s="1"/>
  <c r="C5261" s="1"/>
  <c r="B4293"/>
  <c r="B4381" s="1"/>
  <c r="B4469" s="1"/>
  <c r="B4557" s="1"/>
  <c r="B4645" s="1"/>
  <c r="B4733" s="1"/>
  <c r="B4821" s="1"/>
  <c r="B4909" s="1"/>
  <c r="B4997" s="1"/>
  <c r="B5085" s="1"/>
  <c r="B5173" s="1"/>
  <c r="B5261" s="1"/>
  <c r="G4292"/>
  <c r="C4292"/>
  <c r="C4380" s="1"/>
  <c r="C4468" s="1"/>
  <c r="C4556" s="1"/>
  <c r="C4644" s="1"/>
  <c r="C4732" s="1"/>
  <c r="C4820" s="1"/>
  <c r="C4908" s="1"/>
  <c r="C4996" s="1"/>
  <c r="C5084" s="1"/>
  <c r="C5172" s="1"/>
  <c r="C5260" s="1"/>
  <c r="B4292"/>
  <c r="B4380" s="1"/>
  <c r="B4468" s="1"/>
  <c r="B4556" s="1"/>
  <c r="B4644" s="1"/>
  <c r="B4732" s="1"/>
  <c r="B4820" s="1"/>
  <c r="B4908" s="1"/>
  <c r="B4996" s="1"/>
  <c r="B5084" s="1"/>
  <c r="B5172" s="1"/>
  <c r="B5260" s="1"/>
  <c r="G4291"/>
  <c r="C4291"/>
  <c r="C4379" s="1"/>
  <c r="C4467" s="1"/>
  <c r="C4555" s="1"/>
  <c r="C4643" s="1"/>
  <c r="C4731" s="1"/>
  <c r="C4819" s="1"/>
  <c r="C4907" s="1"/>
  <c r="C4995" s="1"/>
  <c r="C5083" s="1"/>
  <c r="C5171" s="1"/>
  <c r="C5259" s="1"/>
  <c r="B4291"/>
  <c r="B4379" s="1"/>
  <c r="B4467" s="1"/>
  <c r="B4555" s="1"/>
  <c r="B4643" s="1"/>
  <c r="B4731" s="1"/>
  <c r="B4819" s="1"/>
  <c r="B4907" s="1"/>
  <c r="B4995" s="1"/>
  <c r="B5083" s="1"/>
  <c r="B5171" s="1"/>
  <c r="B5259" s="1"/>
  <c r="G4290"/>
  <c r="C4290"/>
  <c r="C4378" s="1"/>
  <c r="C4466" s="1"/>
  <c r="C4554" s="1"/>
  <c r="C4642" s="1"/>
  <c r="C4730" s="1"/>
  <c r="C4818" s="1"/>
  <c r="C4906" s="1"/>
  <c r="C4994" s="1"/>
  <c r="C5082" s="1"/>
  <c r="C5170" s="1"/>
  <c r="C5258" s="1"/>
  <c r="B4290"/>
  <c r="B4378" s="1"/>
  <c r="B4466" s="1"/>
  <c r="B4554" s="1"/>
  <c r="B4642" s="1"/>
  <c r="B4730" s="1"/>
  <c r="B4818" s="1"/>
  <c r="B4906" s="1"/>
  <c r="B4994" s="1"/>
  <c r="B5082" s="1"/>
  <c r="B5170" s="1"/>
  <c r="B5258" s="1"/>
  <c r="G4289"/>
  <c r="C4289"/>
  <c r="C4377" s="1"/>
  <c r="C4465" s="1"/>
  <c r="C4553" s="1"/>
  <c r="C4641" s="1"/>
  <c r="C4729" s="1"/>
  <c r="C4817" s="1"/>
  <c r="C4905" s="1"/>
  <c r="C4993" s="1"/>
  <c r="C5081" s="1"/>
  <c r="C5169" s="1"/>
  <c r="C5257" s="1"/>
  <c r="B4289"/>
  <c r="B4377" s="1"/>
  <c r="B4465" s="1"/>
  <c r="B4553" s="1"/>
  <c r="B4641" s="1"/>
  <c r="B4729" s="1"/>
  <c r="B4817" s="1"/>
  <c r="B4905" s="1"/>
  <c r="B4993" s="1"/>
  <c r="B5081" s="1"/>
  <c r="B5169" s="1"/>
  <c r="B5257" s="1"/>
  <c r="G4288"/>
  <c r="C4288"/>
  <c r="C4376" s="1"/>
  <c r="C4464" s="1"/>
  <c r="C4552" s="1"/>
  <c r="C4640" s="1"/>
  <c r="C4728" s="1"/>
  <c r="C4816" s="1"/>
  <c r="C4904" s="1"/>
  <c r="C4992" s="1"/>
  <c r="C5080" s="1"/>
  <c r="C5168" s="1"/>
  <c r="C5256" s="1"/>
  <c r="B4288"/>
  <c r="B4376" s="1"/>
  <c r="B4464" s="1"/>
  <c r="B4552" s="1"/>
  <c r="B4640" s="1"/>
  <c r="B4728" s="1"/>
  <c r="B4816" s="1"/>
  <c r="B4904" s="1"/>
  <c r="B4992" s="1"/>
  <c r="B5080" s="1"/>
  <c r="B5168" s="1"/>
  <c r="B5256" s="1"/>
  <c r="G4287"/>
  <c r="C4287"/>
  <c r="C4375" s="1"/>
  <c r="C4463" s="1"/>
  <c r="C4551" s="1"/>
  <c r="C4639" s="1"/>
  <c r="C4727" s="1"/>
  <c r="C4815" s="1"/>
  <c r="C4903" s="1"/>
  <c r="C4991" s="1"/>
  <c r="C5079" s="1"/>
  <c r="C5167" s="1"/>
  <c r="C5255" s="1"/>
  <c r="B4287"/>
  <c r="B4375" s="1"/>
  <c r="B4463" s="1"/>
  <c r="B4551" s="1"/>
  <c r="B4639" s="1"/>
  <c r="B4727" s="1"/>
  <c r="B4815" s="1"/>
  <c r="B4903" s="1"/>
  <c r="B4991" s="1"/>
  <c r="B5079" s="1"/>
  <c r="B5167" s="1"/>
  <c r="B5255" s="1"/>
  <c r="G4286"/>
  <c r="C4286"/>
  <c r="C4374" s="1"/>
  <c r="C4462" s="1"/>
  <c r="C4550" s="1"/>
  <c r="C4638" s="1"/>
  <c r="C4726" s="1"/>
  <c r="C4814" s="1"/>
  <c r="C4902" s="1"/>
  <c r="C4990" s="1"/>
  <c r="C5078" s="1"/>
  <c r="C5166" s="1"/>
  <c r="C5254" s="1"/>
  <c r="B4286"/>
  <c r="B4374" s="1"/>
  <c r="B4462" s="1"/>
  <c r="B4550" s="1"/>
  <c r="B4638" s="1"/>
  <c r="B4726" s="1"/>
  <c r="B4814" s="1"/>
  <c r="B4902" s="1"/>
  <c r="B4990" s="1"/>
  <c r="B5078" s="1"/>
  <c r="B5166" s="1"/>
  <c r="B5254" s="1"/>
  <c r="G4285"/>
  <c r="C4285"/>
  <c r="C4373" s="1"/>
  <c r="C4461" s="1"/>
  <c r="C4549" s="1"/>
  <c r="C4637" s="1"/>
  <c r="C4725" s="1"/>
  <c r="C4813" s="1"/>
  <c r="C4901" s="1"/>
  <c r="C4989" s="1"/>
  <c r="C5077" s="1"/>
  <c r="C5165" s="1"/>
  <c r="C5253" s="1"/>
  <c r="B4285"/>
  <c r="B4373" s="1"/>
  <c r="B4461" s="1"/>
  <c r="B4549" s="1"/>
  <c r="B4637" s="1"/>
  <c r="B4725" s="1"/>
  <c r="B4813" s="1"/>
  <c r="B4901" s="1"/>
  <c r="B4989" s="1"/>
  <c r="B5077" s="1"/>
  <c r="B5165" s="1"/>
  <c r="B5253" s="1"/>
  <c r="G4284"/>
  <c r="C4284"/>
  <c r="C4372" s="1"/>
  <c r="C4460" s="1"/>
  <c r="C4548" s="1"/>
  <c r="C4636" s="1"/>
  <c r="C4724" s="1"/>
  <c r="C4812" s="1"/>
  <c r="C4900" s="1"/>
  <c r="C4988" s="1"/>
  <c r="C5076" s="1"/>
  <c r="C5164" s="1"/>
  <c r="C5252" s="1"/>
  <c r="B4284"/>
  <c r="B4372" s="1"/>
  <c r="B4460" s="1"/>
  <c r="B4548" s="1"/>
  <c r="B4636" s="1"/>
  <c r="B4724" s="1"/>
  <c r="B4812" s="1"/>
  <c r="B4900" s="1"/>
  <c r="B4988" s="1"/>
  <c r="B5076" s="1"/>
  <c r="B5164" s="1"/>
  <c r="B5252" s="1"/>
  <c r="G4283"/>
  <c r="C4283"/>
  <c r="C4371" s="1"/>
  <c r="C4459" s="1"/>
  <c r="C4547" s="1"/>
  <c r="C4635" s="1"/>
  <c r="C4723" s="1"/>
  <c r="C4811" s="1"/>
  <c r="C4899" s="1"/>
  <c r="C4987" s="1"/>
  <c r="C5075" s="1"/>
  <c r="C5163" s="1"/>
  <c r="C5251" s="1"/>
  <c r="B4283"/>
  <c r="B4371" s="1"/>
  <c r="B4459" s="1"/>
  <c r="B4547" s="1"/>
  <c r="B4635" s="1"/>
  <c r="B4723" s="1"/>
  <c r="B4811" s="1"/>
  <c r="B4899" s="1"/>
  <c r="B4987" s="1"/>
  <c r="B5075" s="1"/>
  <c r="B5163" s="1"/>
  <c r="B5251" s="1"/>
  <c r="G4282"/>
  <c r="C4282"/>
  <c r="C4370" s="1"/>
  <c r="C4458" s="1"/>
  <c r="C4546" s="1"/>
  <c r="C4634" s="1"/>
  <c r="C4722" s="1"/>
  <c r="C4810" s="1"/>
  <c r="C4898" s="1"/>
  <c r="C4986" s="1"/>
  <c r="C5074" s="1"/>
  <c r="C5162" s="1"/>
  <c r="C5250" s="1"/>
  <c r="B4282"/>
  <c r="B4370" s="1"/>
  <c r="B4458" s="1"/>
  <c r="B4546" s="1"/>
  <c r="B4634" s="1"/>
  <c r="B4722" s="1"/>
  <c r="B4810" s="1"/>
  <c r="B4898" s="1"/>
  <c r="B4986" s="1"/>
  <c r="B5074" s="1"/>
  <c r="B5162" s="1"/>
  <c r="B5250" s="1"/>
  <c r="H4281"/>
  <c r="H4369" s="1"/>
  <c r="H4457" s="1"/>
  <c r="H4545" s="1"/>
  <c r="H4633" s="1"/>
  <c r="H4721" s="1"/>
  <c r="H4809" s="1"/>
  <c r="H4897" s="1"/>
  <c r="H4985" s="1"/>
  <c r="H5073" s="1"/>
  <c r="H5161" s="1"/>
  <c r="H5249" s="1"/>
  <c r="G4281"/>
  <c r="C4281"/>
  <c r="B4281"/>
  <c r="B4369" s="1"/>
  <c r="B4457" s="1"/>
  <c r="B4545" s="1"/>
  <c r="B4633" s="1"/>
  <c r="B4721" s="1"/>
  <c r="B4809" s="1"/>
  <c r="B4897" s="1"/>
  <c r="B4985" s="1"/>
  <c r="B5073" s="1"/>
  <c r="B5161" s="1"/>
  <c r="B5249" s="1"/>
  <c r="G4280"/>
  <c r="C4280"/>
  <c r="C4368" s="1"/>
  <c r="C4456" s="1"/>
  <c r="C4544" s="1"/>
  <c r="C4632" s="1"/>
  <c r="C4720" s="1"/>
  <c r="C4808" s="1"/>
  <c r="C4896" s="1"/>
  <c r="C4984" s="1"/>
  <c r="C5072" s="1"/>
  <c r="C5160" s="1"/>
  <c r="C5248" s="1"/>
  <c r="B4280"/>
  <c r="B4368" s="1"/>
  <c r="B4456" s="1"/>
  <c r="B4544" s="1"/>
  <c r="B4632" s="1"/>
  <c r="B4720" s="1"/>
  <c r="B4808" s="1"/>
  <c r="B4896" s="1"/>
  <c r="B4984" s="1"/>
  <c r="B5072" s="1"/>
  <c r="B5160" s="1"/>
  <c r="B5248" s="1"/>
  <c r="G4279"/>
  <c r="C4279"/>
  <c r="C4367" s="1"/>
  <c r="C4455" s="1"/>
  <c r="C4543" s="1"/>
  <c r="C4631" s="1"/>
  <c r="C4719" s="1"/>
  <c r="C4807" s="1"/>
  <c r="C4895" s="1"/>
  <c r="C4983" s="1"/>
  <c r="C5071" s="1"/>
  <c r="C5159" s="1"/>
  <c r="C5247" s="1"/>
  <c r="B4279"/>
  <c r="B4367" s="1"/>
  <c r="B4455" s="1"/>
  <c r="B4543" s="1"/>
  <c r="B4631" s="1"/>
  <c r="B4719" s="1"/>
  <c r="B4807" s="1"/>
  <c r="B4895" s="1"/>
  <c r="B4983" s="1"/>
  <c r="B5071" s="1"/>
  <c r="B5159" s="1"/>
  <c r="B5247" s="1"/>
  <c r="G4278"/>
  <c r="C4278"/>
  <c r="C4366" s="1"/>
  <c r="C4454" s="1"/>
  <c r="C4542" s="1"/>
  <c r="C4630" s="1"/>
  <c r="C4718" s="1"/>
  <c r="C4806" s="1"/>
  <c r="C4894" s="1"/>
  <c r="C4982" s="1"/>
  <c r="C5070" s="1"/>
  <c r="C5158" s="1"/>
  <c r="C5246" s="1"/>
  <c r="B4278"/>
  <c r="B4366" s="1"/>
  <c r="B4454" s="1"/>
  <c r="B4542" s="1"/>
  <c r="B4630" s="1"/>
  <c r="B4718" s="1"/>
  <c r="B4806" s="1"/>
  <c r="B4894" s="1"/>
  <c r="B4982" s="1"/>
  <c r="B5070" s="1"/>
  <c r="B5158" s="1"/>
  <c r="B5246" s="1"/>
  <c r="G4277"/>
  <c r="C4277"/>
  <c r="C4365" s="1"/>
  <c r="C4453" s="1"/>
  <c r="C4541" s="1"/>
  <c r="C4629" s="1"/>
  <c r="C4717" s="1"/>
  <c r="C4805" s="1"/>
  <c r="C4893" s="1"/>
  <c r="C4981" s="1"/>
  <c r="C5069" s="1"/>
  <c r="C5157" s="1"/>
  <c r="C5245" s="1"/>
  <c r="B4277"/>
  <c r="B4365" s="1"/>
  <c r="B4453" s="1"/>
  <c r="B4541" s="1"/>
  <c r="B4629" s="1"/>
  <c r="B4717" s="1"/>
  <c r="B4805" s="1"/>
  <c r="B4893" s="1"/>
  <c r="B4981" s="1"/>
  <c r="B5069" s="1"/>
  <c r="B5157" s="1"/>
  <c r="B5245" s="1"/>
  <c r="G4276"/>
  <c r="C4276"/>
  <c r="C4364" s="1"/>
  <c r="C4452" s="1"/>
  <c r="C4540" s="1"/>
  <c r="C4628" s="1"/>
  <c r="C4716" s="1"/>
  <c r="C4804" s="1"/>
  <c r="C4892" s="1"/>
  <c r="C4980" s="1"/>
  <c r="C5068" s="1"/>
  <c r="C5156" s="1"/>
  <c r="C5244" s="1"/>
  <c r="B4276"/>
  <c r="B4364" s="1"/>
  <c r="B4452" s="1"/>
  <c r="B4540" s="1"/>
  <c r="B4628" s="1"/>
  <c r="B4716" s="1"/>
  <c r="B4804" s="1"/>
  <c r="B4892" s="1"/>
  <c r="B4980" s="1"/>
  <c r="B5068" s="1"/>
  <c r="B5156" s="1"/>
  <c r="B5244" s="1"/>
  <c r="G4275"/>
  <c r="C4275"/>
  <c r="C4363" s="1"/>
  <c r="C4451" s="1"/>
  <c r="C4539" s="1"/>
  <c r="C4627" s="1"/>
  <c r="C4715" s="1"/>
  <c r="C4803" s="1"/>
  <c r="C4891" s="1"/>
  <c r="C4979" s="1"/>
  <c r="C5067" s="1"/>
  <c r="C5155" s="1"/>
  <c r="C5243" s="1"/>
  <c r="B4275"/>
  <c r="B4363" s="1"/>
  <c r="B4451" s="1"/>
  <c r="B4539" s="1"/>
  <c r="B4627" s="1"/>
  <c r="B4715" s="1"/>
  <c r="B4803" s="1"/>
  <c r="B4891" s="1"/>
  <c r="B4979" s="1"/>
  <c r="B5067" s="1"/>
  <c r="B5155" s="1"/>
  <c r="B5243" s="1"/>
  <c r="G4274"/>
  <c r="C4274"/>
  <c r="C4362" s="1"/>
  <c r="C4450" s="1"/>
  <c r="C4538" s="1"/>
  <c r="C4626" s="1"/>
  <c r="C4714" s="1"/>
  <c r="C4802" s="1"/>
  <c r="C4890" s="1"/>
  <c r="C4978" s="1"/>
  <c r="C5066" s="1"/>
  <c r="C5154" s="1"/>
  <c r="C5242" s="1"/>
  <c r="B4274"/>
  <c r="B4362" s="1"/>
  <c r="B4450" s="1"/>
  <c r="B4538" s="1"/>
  <c r="B4626" s="1"/>
  <c r="B4714" s="1"/>
  <c r="B4802" s="1"/>
  <c r="B4890" s="1"/>
  <c r="B4978" s="1"/>
  <c r="B5066" s="1"/>
  <c r="B5154" s="1"/>
  <c r="B5242" s="1"/>
  <c r="G4273"/>
  <c r="C4273"/>
  <c r="C4361" s="1"/>
  <c r="C4449" s="1"/>
  <c r="C4537" s="1"/>
  <c r="C4625" s="1"/>
  <c r="C4713" s="1"/>
  <c r="C4801" s="1"/>
  <c r="C4889" s="1"/>
  <c r="C4977" s="1"/>
  <c r="C5065" s="1"/>
  <c r="C5153" s="1"/>
  <c r="C5241" s="1"/>
  <c r="B4273"/>
  <c r="B4361" s="1"/>
  <c r="B4449" s="1"/>
  <c r="B4537" s="1"/>
  <c r="B4625" s="1"/>
  <c r="B4713" s="1"/>
  <c r="B4801" s="1"/>
  <c r="B4889" s="1"/>
  <c r="B4977" s="1"/>
  <c r="B5065" s="1"/>
  <c r="B5153" s="1"/>
  <c r="B5241" s="1"/>
  <c r="G4272"/>
  <c r="C4272"/>
  <c r="C4360" s="1"/>
  <c r="C4448" s="1"/>
  <c r="C4536" s="1"/>
  <c r="C4624" s="1"/>
  <c r="C4712" s="1"/>
  <c r="C4800" s="1"/>
  <c r="C4888" s="1"/>
  <c r="C4976" s="1"/>
  <c r="C5064" s="1"/>
  <c r="C5152" s="1"/>
  <c r="C5240" s="1"/>
  <c r="B4272"/>
  <c r="B4360" s="1"/>
  <c r="B4448" s="1"/>
  <c r="B4536" s="1"/>
  <c r="B4624" s="1"/>
  <c r="B4712" s="1"/>
  <c r="B4800" s="1"/>
  <c r="B4888" s="1"/>
  <c r="B4976" s="1"/>
  <c r="B5064" s="1"/>
  <c r="B5152" s="1"/>
  <c r="B5240" s="1"/>
  <c r="G4271"/>
  <c r="C4271"/>
  <c r="C4359" s="1"/>
  <c r="C4447" s="1"/>
  <c r="C4535" s="1"/>
  <c r="C4623" s="1"/>
  <c r="C4711" s="1"/>
  <c r="C4799" s="1"/>
  <c r="C4887" s="1"/>
  <c r="C4975" s="1"/>
  <c r="C5063" s="1"/>
  <c r="C5151" s="1"/>
  <c r="C5239" s="1"/>
  <c r="B4271"/>
  <c r="B4359" s="1"/>
  <c r="B4447" s="1"/>
  <c r="B4535" s="1"/>
  <c r="B4623" s="1"/>
  <c r="B4711" s="1"/>
  <c r="B4799" s="1"/>
  <c r="B4887" s="1"/>
  <c r="B4975" s="1"/>
  <c r="B5063" s="1"/>
  <c r="B5151" s="1"/>
  <c r="B5239" s="1"/>
  <c r="G4270"/>
  <c r="C4270"/>
  <c r="C4358" s="1"/>
  <c r="C4446" s="1"/>
  <c r="C4534" s="1"/>
  <c r="C4622" s="1"/>
  <c r="C4710" s="1"/>
  <c r="C4798" s="1"/>
  <c r="C4886" s="1"/>
  <c r="C4974" s="1"/>
  <c r="C5062" s="1"/>
  <c r="C5150" s="1"/>
  <c r="C5238" s="1"/>
  <c r="B4270"/>
  <c r="B4358" s="1"/>
  <c r="B4446" s="1"/>
  <c r="B4534" s="1"/>
  <c r="B4622" s="1"/>
  <c r="B4710" s="1"/>
  <c r="B4798" s="1"/>
  <c r="B4886" s="1"/>
  <c r="B4974" s="1"/>
  <c r="B5062" s="1"/>
  <c r="B5150" s="1"/>
  <c r="B5238" s="1"/>
  <c r="G4269"/>
  <c r="C4269"/>
  <c r="C4357" s="1"/>
  <c r="C4445" s="1"/>
  <c r="C4533" s="1"/>
  <c r="C4621" s="1"/>
  <c r="C4709" s="1"/>
  <c r="C4797" s="1"/>
  <c r="C4885" s="1"/>
  <c r="C4973" s="1"/>
  <c r="C5061" s="1"/>
  <c r="C5149" s="1"/>
  <c r="C5237" s="1"/>
  <c r="B4269"/>
  <c r="B4357" s="1"/>
  <c r="B4445" s="1"/>
  <c r="B4533" s="1"/>
  <c r="B4621" s="1"/>
  <c r="B4709" s="1"/>
  <c r="B4797" s="1"/>
  <c r="B4885" s="1"/>
  <c r="B4973" s="1"/>
  <c r="B5061" s="1"/>
  <c r="B5149" s="1"/>
  <c r="B5237" s="1"/>
  <c r="G4268"/>
  <c r="C4268"/>
  <c r="C4356" s="1"/>
  <c r="C4444" s="1"/>
  <c r="C4532" s="1"/>
  <c r="C4620" s="1"/>
  <c r="C4708" s="1"/>
  <c r="C4796" s="1"/>
  <c r="C4884" s="1"/>
  <c r="C4972" s="1"/>
  <c r="C5060" s="1"/>
  <c r="C5148" s="1"/>
  <c r="C5236" s="1"/>
  <c r="B4268"/>
  <c r="B4356" s="1"/>
  <c r="B4444" s="1"/>
  <c r="B4532" s="1"/>
  <c r="B4620" s="1"/>
  <c r="B4708" s="1"/>
  <c r="B4796" s="1"/>
  <c r="B4884" s="1"/>
  <c r="B4972" s="1"/>
  <c r="B5060" s="1"/>
  <c r="B5148" s="1"/>
  <c r="B5236" s="1"/>
  <c r="G4267"/>
  <c r="C4267"/>
  <c r="C4355" s="1"/>
  <c r="C4443" s="1"/>
  <c r="C4531" s="1"/>
  <c r="C4619" s="1"/>
  <c r="C4707" s="1"/>
  <c r="C4795" s="1"/>
  <c r="C4883" s="1"/>
  <c r="C4971" s="1"/>
  <c r="C5059" s="1"/>
  <c r="C5147" s="1"/>
  <c r="C5235" s="1"/>
  <c r="B4267"/>
  <c r="B4355" s="1"/>
  <c r="B4443" s="1"/>
  <c r="B4531" s="1"/>
  <c r="B4619" s="1"/>
  <c r="B4707" s="1"/>
  <c r="B4795" s="1"/>
  <c r="B4883" s="1"/>
  <c r="B4971" s="1"/>
  <c r="B5059" s="1"/>
  <c r="B5147" s="1"/>
  <c r="B5235" s="1"/>
  <c r="G4266"/>
  <c r="C4266"/>
  <c r="B4266"/>
  <c r="B4354" s="1"/>
  <c r="B4442" s="1"/>
  <c r="B4530" s="1"/>
  <c r="B4618" s="1"/>
  <c r="B4706" s="1"/>
  <c r="B4794" s="1"/>
  <c r="B4882" s="1"/>
  <c r="B4970" s="1"/>
  <c r="B5058" s="1"/>
  <c r="B5146" s="1"/>
  <c r="B5234" s="1"/>
  <c r="G4265"/>
  <c r="C4265"/>
  <c r="C4353" s="1"/>
  <c r="C4441" s="1"/>
  <c r="C4529" s="1"/>
  <c r="C4617" s="1"/>
  <c r="C4705" s="1"/>
  <c r="C4793" s="1"/>
  <c r="C4881" s="1"/>
  <c r="C4969" s="1"/>
  <c r="C5057" s="1"/>
  <c r="C5145" s="1"/>
  <c r="C5233" s="1"/>
  <c r="B4265"/>
  <c r="B4353" s="1"/>
  <c r="B4441" s="1"/>
  <c r="B4529" s="1"/>
  <c r="B4617" s="1"/>
  <c r="B4705" s="1"/>
  <c r="B4793" s="1"/>
  <c r="B4881" s="1"/>
  <c r="B4969" s="1"/>
  <c r="B5057" s="1"/>
  <c r="B5145" s="1"/>
  <c r="B5233" s="1"/>
  <c r="G4264"/>
  <c r="C4264"/>
  <c r="C4352" s="1"/>
  <c r="C4440" s="1"/>
  <c r="C4528" s="1"/>
  <c r="C4616" s="1"/>
  <c r="C4704" s="1"/>
  <c r="C4792" s="1"/>
  <c r="C4880" s="1"/>
  <c r="C4968" s="1"/>
  <c r="C5056" s="1"/>
  <c r="C5144" s="1"/>
  <c r="C5232" s="1"/>
  <c r="B4264"/>
  <c r="B4352" s="1"/>
  <c r="B4440" s="1"/>
  <c r="B4528" s="1"/>
  <c r="B4616" s="1"/>
  <c r="B4704" s="1"/>
  <c r="B4792" s="1"/>
  <c r="B4880" s="1"/>
  <c r="B4968" s="1"/>
  <c r="B5056" s="1"/>
  <c r="B5144" s="1"/>
  <c r="B5232" s="1"/>
  <c r="G4263"/>
  <c r="C4263"/>
  <c r="C4351" s="1"/>
  <c r="C4439" s="1"/>
  <c r="C4527" s="1"/>
  <c r="C4615" s="1"/>
  <c r="C4703" s="1"/>
  <c r="C4791" s="1"/>
  <c r="C4879" s="1"/>
  <c r="C4967" s="1"/>
  <c r="C5055" s="1"/>
  <c r="C5143" s="1"/>
  <c r="C5231" s="1"/>
  <c r="B4263"/>
  <c r="B4351" s="1"/>
  <c r="B4439" s="1"/>
  <c r="B4527" s="1"/>
  <c r="B4615" s="1"/>
  <c r="B4703" s="1"/>
  <c r="B4791" s="1"/>
  <c r="B4879" s="1"/>
  <c r="B4967" s="1"/>
  <c r="B5055" s="1"/>
  <c r="B5143" s="1"/>
  <c r="B5231" s="1"/>
  <c r="G4262"/>
  <c r="C4262"/>
  <c r="C4350" s="1"/>
  <c r="C4438" s="1"/>
  <c r="C4526" s="1"/>
  <c r="C4614" s="1"/>
  <c r="C4702" s="1"/>
  <c r="C4790" s="1"/>
  <c r="C4878" s="1"/>
  <c r="C4966" s="1"/>
  <c r="C5054" s="1"/>
  <c r="C5142" s="1"/>
  <c r="C5230" s="1"/>
  <c r="B4262"/>
  <c r="B4350" s="1"/>
  <c r="B4438" s="1"/>
  <c r="B4526" s="1"/>
  <c r="B4614" s="1"/>
  <c r="B4702" s="1"/>
  <c r="B4790" s="1"/>
  <c r="B4878" s="1"/>
  <c r="B4966" s="1"/>
  <c r="B5054" s="1"/>
  <c r="B5142" s="1"/>
  <c r="B5230" s="1"/>
  <c r="G4261"/>
  <c r="C4261"/>
  <c r="C4349" s="1"/>
  <c r="C4437" s="1"/>
  <c r="C4525" s="1"/>
  <c r="C4613" s="1"/>
  <c r="C4701" s="1"/>
  <c r="C4789" s="1"/>
  <c r="C4877" s="1"/>
  <c r="C4965" s="1"/>
  <c r="C5053" s="1"/>
  <c r="C5141" s="1"/>
  <c r="C5229" s="1"/>
  <c r="B4261"/>
  <c r="B4349" s="1"/>
  <c r="B4437" s="1"/>
  <c r="B4525" s="1"/>
  <c r="B4613" s="1"/>
  <c r="B4701" s="1"/>
  <c r="B4789" s="1"/>
  <c r="B4877" s="1"/>
  <c r="B4965" s="1"/>
  <c r="B5053" s="1"/>
  <c r="B5141" s="1"/>
  <c r="B5229" s="1"/>
  <c r="G4260"/>
  <c r="C4260"/>
  <c r="C4348" s="1"/>
  <c r="C4436" s="1"/>
  <c r="C4524" s="1"/>
  <c r="C4612" s="1"/>
  <c r="C4700" s="1"/>
  <c r="C4788" s="1"/>
  <c r="C4876" s="1"/>
  <c r="C4964" s="1"/>
  <c r="C5052" s="1"/>
  <c r="C5140" s="1"/>
  <c r="C5228" s="1"/>
  <c r="B4260"/>
  <c r="B4348" s="1"/>
  <c r="B4436" s="1"/>
  <c r="B4524" s="1"/>
  <c r="B4612" s="1"/>
  <c r="B4700" s="1"/>
  <c r="B4788" s="1"/>
  <c r="B4876" s="1"/>
  <c r="B4964" s="1"/>
  <c r="B5052" s="1"/>
  <c r="B5140" s="1"/>
  <c r="B5228" s="1"/>
  <c r="G4259"/>
  <c r="C4259"/>
  <c r="C4347" s="1"/>
  <c r="C4435" s="1"/>
  <c r="C4523" s="1"/>
  <c r="C4611" s="1"/>
  <c r="C4699" s="1"/>
  <c r="C4787" s="1"/>
  <c r="C4875" s="1"/>
  <c r="C4963" s="1"/>
  <c r="C5051" s="1"/>
  <c r="C5139" s="1"/>
  <c r="C5227" s="1"/>
  <c r="B4259"/>
  <c r="B4347" s="1"/>
  <c r="B4435" s="1"/>
  <c r="B4523" s="1"/>
  <c r="B4611" s="1"/>
  <c r="B4699" s="1"/>
  <c r="B4787" s="1"/>
  <c r="B4875" s="1"/>
  <c r="B4963" s="1"/>
  <c r="B5051" s="1"/>
  <c r="B5139" s="1"/>
  <c r="B5227" s="1"/>
  <c r="G4258"/>
  <c r="C4258"/>
  <c r="C4346" s="1"/>
  <c r="C4434" s="1"/>
  <c r="C4522" s="1"/>
  <c r="C4610" s="1"/>
  <c r="C4698" s="1"/>
  <c r="C4786" s="1"/>
  <c r="C4874" s="1"/>
  <c r="C4962" s="1"/>
  <c r="C5050" s="1"/>
  <c r="C5138" s="1"/>
  <c r="C5226" s="1"/>
  <c r="B4258"/>
  <c r="B4346" s="1"/>
  <c r="B4434" s="1"/>
  <c r="B4522" s="1"/>
  <c r="B4610" s="1"/>
  <c r="B4698" s="1"/>
  <c r="B4786" s="1"/>
  <c r="B4874" s="1"/>
  <c r="B4962" s="1"/>
  <c r="B5050" s="1"/>
  <c r="B5138" s="1"/>
  <c r="B5226" s="1"/>
  <c r="G4257"/>
  <c r="C4257"/>
  <c r="C4345" s="1"/>
  <c r="C4433" s="1"/>
  <c r="C4521" s="1"/>
  <c r="C4609" s="1"/>
  <c r="C4697" s="1"/>
  <c r="C4785" s="1"/>
  <c r="C4873" s="1"/>
  <c r="C4961" s="1"/>
  <c r="C5049" s="1"/>
  <c r="C5137" s="1"/>
  <c r="C5225" s="1"/>
  <c r="B4257"/>
  <c r="B4345" s="1"/>
  <c r="B4433" s="1"/>
  <c r="B4521" s="1"/>
  <c r="B4609" s="1"/>
  <c r="B4697" s="1"/>
  <c r="B4785" s="1"/>
  <c r="B4873" s="1"/>
  <c r="B4961" s="1"/>
  <c r="B5049" s="1"/>
  <c r="B5137" s="1"/>
  <c r="B5225" s="1"/>
  <c r="G4256"/>
  <c r="C4256"/>
  <c r="C4344" s="1"/>
  <c r="C4432" s="1"/>
  <c r="C4520" s="1"/>
  <c r="C4608" s="1"/>
  <c r="C4696" s="1"/>
  <c r="C4784" s="1"/>
  <c r="C4872" s="1"/>
  <c r="C4960" s="1"/>
  <c r="C5048" s="1"/>
  <c r="C5136" s="1"/>
  <c r="C5224" s="1"/>
  <c r="B4256"/>
  <c r="B4344" s="1"/>
  <c r="B4432" s="1"/>
  <c r="B4520" s="1"/>
  <c r="B4608" s="1"/>
  <c r="B4696" s="1"/>
  <c r="B4784" s="1"/>
  <c r="B4872" s="1"/>
  <c r="B4960" s="1"/>
  <c r="B5048" s="1"/>
  <c r="B5136" s="1"/>
  <c r="B5224" s="1"/>
  <c r="G4255"/>
  <c r="C4255"/>
  <c r="C4343" s="1"/>
  <c r="C4431" s="1"/>
  <c r="C4519" s="1"/>
  <c r="C4607" s="1"/>
  <c r="C4695" s="1"/>
  <c r="C4783" s="1"/>
  <c r="C4871" s="1"/>
  <c r="C4959" s="1"/>
  <c r="C5047" s="1"/>
  <c r="C5135" s="1"/>
  <c r="C5223" s="1"/>
  <c r="B4255"/>
  <c r="G4254"/>
  <c r="C4254"/>
  <c r="C4342" s="1"/>
  <c r="C4430" s="1"/>
  <c r="C4518" s="1"/>
  <c r="C4606" s="1"/>
  <c r="C4694" s="1"/>
  <c r="C4782" s="1"/>
  <c r="C4870" s="1"/>
  <c r="C4958" s="1"/>
  <c r="C5046" s="1"/>
  <c r="C5134" s="1"/>
  <c r="C5222" s="1"/>
  <c r="B4254"/>
  <c r="B4342" s="1"/>
  <c r="B4430" s="1"/>
  <c r="B4518" s="1"/>
  <c r="B4606" s="1"/>
  <c r="B4694" s="1"/>
  <c r="B4782" s="1"/>
  <c r="B4870" s="1"/>
  <c r="B4958" s="1"/>
  <c r="B5046" s="1"/>
  <c r="B5134" s="1"/>
  <c r="B5222" s="1"/>
  <c r="J4253"/>
  <c r="J4341" s="1"/>
  <c r="J4429" s="1"/>
  <c r="J4517" s="1"/>
  <c r="J4605" s="1"/>
  <c r="J4693" s="1"/>
  <c r="J4781" s="1"/>
  <c r="J4869" s="1"/>
  <c r="J4957" s="1"/>
  <c r="J5045" s="1"/>
  <c r="J5133" s="1"/>
  <c r="J5221" s="1"/>
  <c r="J5309" s="1"/>
  <c r="H4253"/>
  <c r="H4341" s="1"/>
  <c r="H4429" s="1"/>
  <c r="H4517" s="1"/>
  <c r="H4605" s="1"/>
  <c r="H4693" s="1"/>
  <c r="H4781" s="1"/>
  <c r="H4869" s="1"/>
  <c r="H4957" s="1"/>
  <c r="H5045" s="1"/>
  <c r="H5133" s="1"/>
  <c r="H5221" s="1"/>
  <c r="H5309" s="1"/>
  <c r="J4252"/>
  <c r="J4340" s="1"/>
  <c r="J4428" s="1"/>
  <c r="J4516" s="1"/>
  <c r="J4604" s="1"/>
  <c r="J4692" s="1"/>
  <c r="J4780" s="1"/>
  <c r="J4868" s="1"/>
  <c r="J4956" s="1"/>
  <c r="J5044" s="1"/>
  <c r="J5132" s="1"/>
  <c r="J5220" s="1"/>
  <c r="J5308" s="1"/>
  <c r="H4252"/>
  <c r="H4340" s="1"/>
  <c r="H4428" s="1"/>
  <c r="H4516" s="1"/>
  <c r="H4604" s="1"/>
  <c r="H4692" s="1"/>
  <c r="H4780" s="1"/>
  <c r="H4868" s="1"/>
  <c r="H4956" s="1"/>
  <c r="H5044" s="1"/>
  <c r="H5132" s="1"/>
  <c r="H5220" s="1"/>
  <c r="H5308" s="1"/>
  <c r="J4251"/>
  <c r="J4339" s="1"/>
  <c r="J4427" s="1"/>
  <c r="J4515" s="1"/>
  <c r="J4603" s="1"/>
  <c r="J4691" s="1"/>
  <c r="J4779" s="1"/>
  <c r="J4867" s="1"/>
  <c r="J4955" s="1"/>
  <c r="J5043" s="1"/>
  <c r="J5131" s="1"/>
  <c r="J5219" s="1"/>
  <c r="J5307" s="1"/>
  <c r="H4251"/>
  <c r="H4339" s="1"/>
  <c r="H4427" s="1"/>
  <c r="H4515" s="1"/>
  <c r="H4603" s="1"/>
  <c r="H4691" s="1"/>
  <c r="H4779" s="1"/>
  <c r="H4867" s="1"/>
  <c r="H4955" s="1"/>
  <c r="H5043" s="1"/>
  <c r="H5131" s="1"/>
  <c r="H5219" s="1"/>
  <c r="H5307" s="1"/>
  <c r="J4250"/>
  <c r="J4338" s="1"/>
  <c r="J4426" s="1"/>
  <c r="J4514" s="1"/>
  <c r="J4602" s="1"/>
  <c r="J4690" s="1"/>
  <c r="J4778" s="1"/>
  <c r="J4866" s="1"/>
  <c r="J4954" s="1"/>
  <c r="J5042" s="1"/>
  <c r="J5130" s="1"/>
  <c r="J5218" s="1"/>
  <c r="J5306" s="1"/>
  <c r="H4250"/>
  <c r="H4338" s="1"/>
  <c r="H4426" s="1"/>
  <c r="H4514" s="1"/>
  <c r="H4602" s="1"/>
  <c r="H4690" s="1"/>
  <c r="H4778" s="1"/>
  <c r="H4866" s="1"/>
  <c r="H4954" s="1"/>
  <c r="H5042" s="1"/>
  <c r="H5130" s="1"/>
  <c r="H5218" s="1"/>
  <c r="H5306" s="1"/>
  <c r="J4249"/>
  <c r="J4337" s="1"/>
  <c r="J4425" s="1"/>
  <c r="J4513" s="1"/>
  <c r="J4601" s="1"/>
  <c r="J4689" s="1"/>
  <c r="J4777" s="1"/>
  <c r="J4865" s="1"/>
  <c r="J4953" s="1"/>
  <c r="J5041" s="1"/>
  <c r="J5129" s="1"/>
  <c r="J5217" s="1"/>
  <c r="J5305" s="1"/>
  <c r="H4249"/>
  <c r="H4337" s="1"/>
  <c r="H4425" s="1"/>
  <c r="H4513" s="1"/>
  <c r="H4601" s="1"/>
  <c r="H4689" s="1"/>
  <c r="H4777" s="1"/>
  <c r="H4865" s="1"/>
  <c r="H4953" s="1"/>
  <c r="H5041" s="1"/>
  <c r="H5129" s="1"/>
  <c r="H5217" s="1"/>
  <c r="H5305" s="1"/>
  <c r="J4248"/>
  <c r="J4336" s="1"/>
  <c r="J4424" s="1"/>
  <c r="J4512" s="1"/>
  <c r="J4600" s="1"/>
  <c r="J4688" s="1"/>
  <c r="J4776" s="1"/>
  <c r="J4864" s="1"/>
  <c r="J4952" s="1"/>
  <c r="J5040" s="1"/>
  <c r="J5128" s="1"/>
  <c r="J5216" s="1"/>
  <c r="J5304" s="1"/>
  <c r="H4248"/>
  <c r="H4336" s="1"/>
  <c r="H4424" s="1"/>
  <c r="H4512" s="1"/>
  <c r="H4600" s="1"/>
  <c r="H4688" s="1"/>
  <c r="H4776" s="1"/>
  <c r="H4864" s="1"/>
  <c r="H4952" s="1"/>
  <c r="H5040" s="1"/>
  <c r="H5128" s="1"/>
  <c r="H5216" s="1"/>
  <c r="H5304" s="1"/>
  <c r="J4247"/>
  <c r="J4335" s="1"/>
  <c r="J4423" s="1"/>
  <c r="J4511" s="1"/>
  <c r="J4599" s="1"/>
  <c r="J4687" s="1"/>
  <c r="J4775" s="1"/>
  <c r="J4863" s="1"/>
  <c r="J4951" s="1"/>
  <c r="J5039" s="1"/>
  <c r="J5127" s="1"/>
  <c r="J5215" s="1"/>
  <c r="J5303" s="1"/>
  <c r="H4247"/>
  <c r="H4335" s="1"/>
  <c r="H4423" s="1"/>
  <c r="H4511" s="1"/>
  <c r="H4599" s="1"/>
  <c r="H4687" s="1"/>
  <c r="H4775" s="1"/>
  <c r="H4863" s="1"/>
  <c r="H4951" s="1"/>
  <c r="H5039" s="1"/>
  <c r="H5127" s="1"/>
  <c r="H5215" s="1"/>
  <c r="H5303" s="1"/>
  <c r="J4246"/>
  <c r="J4334" s="1"/>
  <c r="J4422" s="1"/>
  <c r="J4510" s="1"/>
  <c r="J4598" s="1"/>
  <c r="J4686" s="1"/>
  <c r="J4774" s="1"/>
  <c r="J4862" s="1"/>
  <c r="J4950" s="1"/>
  <c r="J5038" s="1"/>
  <c r="J5126" s="1"/>
  <c r="J5214" s="1"/>
  <c r="J5302" s="1"/>
  <c r="H4246"/>
  <c r="H4334" s="1"/>
  <c r="H4422" s="1"/>
  <c r="H4510" s="1"/>
  <c r="H4598" s="1"/>
  <c r="H4686" s="1"/>
  <c r="H4774" s="1"/>
  <c r="H4862" s="1"/>
  <c r="H4950" s="1"/>
  <c r="H5038" s="1"/>
  <c r="H5126" s="1"/>
  <c r="H5214" s="1"/>
  <c r="H5302" s="1"/>
  <c r="J4245"/>
  <c r="J4333" s="1"/>
  <c r="J4421" s="1"/>
  <c r="J4509" s="1"/>
  <c r="J4597" s="1"/>
  <c r="J4685" s="1"/>
  <c r="J4773" s="1"/>
  <c r="J4861" s="1"/>
  <c r="J4949" s="1"/>
  <c r="J5037" s="1"/>
  <c r="J5125" s="1"/>
  <c r="J5213" s="1"/>
  <c r="J5301" s="1"/>
  <c r="H4245"/>
  <c r="H4333" s="1"/>
  <c r="H4421" s="1"/>
  <c r="H4509" s="1"/>
  <c r="H4597" s="1"/>
  <c r="H4685" s="1"/>
  <c r="H4773" s="1"/>
  <c r="H4861" s="1"/>
  <c r="H4949" s="1"/>
  <c r="H5037" s="1"/>
  <c r="H5125" s="1"/>
  <c r="H5213" s="1"/>
  <c r="H5301" s="1"/>
  <c r="J4244"/>
  <c r="J4332" s="1"/>
  <c r="J4420" s="1"/>
  <c r="J4508" s="1"/>
  <c r="J4596" s="1"/>
  <c r="J4684" s="1"/>
  <c r="J4772" s="1"/>
  <c r="J4860" s="1"/>
  <c r="J4948" s="1"/>
  <c r="J5036" s="1"/>
  <c r="J5124" s="1"/>
  <c r="J5212" s="1"/>
  <c r="J5300" s="1"/>
  <c r="H4244"/>
  <c r="H4332" s="1"/>
  <c r="H4420" s="1"/>
  <c r="H4508" s="1"/>
  <c r="H4596" s="1"/>
  <c r="H4684" s="1"/>
  <c r="H4772" s="1"/>
  <c r="H4860" s="1"/>
  <c r="H4948" s="1"/>
  <c r="H5036" s="1"/>
  <c r="H5124" s="1"/>
  <c r="H5212" s="1"/>
  <c r="H5300" s="1"/>
  <c r="J4243"/>
  <c r="J4331" s="1"/>
  <c r="J4419" s="1"/>
  <c r="J4507" s="1"/>
  <c r="J4595" s="1"/>
  <c r="J4683" s="1"/>
  <c r="J4771" s="1"/>
  <c r="J4859" s="1"/>
  <c r="J4947" s="1"/>
  <c r="J5035" s="1"/>
  <c r="J5123" s="1"/>
  <c r="J5211" s="1"/>
  <c r="J5299" s="1"/>
  <c r="H4243"/>
  <c r="H4331" s="1"/>
  <c r="H4419" s="1"/>
  <c r="H4507" s="1"/>
  <c r="H4595" s="1"/>
  <c r="H4683" s="1"/>
  <c r="H4771" s="1"/>
  <c r="H4859" s="1"/>
  <c r="H4947" s="1"/>
  <c r="H5035" s="1"/>
  <c r="H5123" s="1"/>
  <c r="H5211" s="1"/>
  <c r="H5299" s="1"/>
  <c r="J4242"/>
  <c r="J4330" s="1"/>
  <c r="J4418" s="1"/>
  <c r="J4506" s="1"/>
  <c r="J4594" s="1"/>
  <c r="J4682" s="1"/>
  <c r="J4770" s="1"/>
  <c r="J4858" s="1"/>
  <c r="J4946" s="1"/>
  <c r="J5034" s="1"/>
  <c r="J5122" s="1"/>
  <c r="J5210" s="1"/>
  <c r="J5298" s="1"/>
  <c r="H4242"/>
  <c r="H4330" s="1"/>
  <c r="H4418" s="1"/>
  <c r="H4506" s="1"/>
  <c r="H4594" s="1"/>
  <c r="H4682" s="1"/>
  <c r="H4770" s="1"/>
  <c r="H4858" s="1"/>
  <c r="H4946" s="1"/>
  <c r="H5034" s="1"/>
  <c r="H5122" s="1"/>
  <c r="H5210" s="1"/>
  <c r="H5298" s="1"/>
  <c r="J4241"/>
  <c r="J4329" s="1"/>
  <c r="J4417" s="1"/>
  <c r="J4505" s="1"/>
  <c r="J4593" s="1"/>
  <c r="J4681" s="1"/>
  <c r="J4769" s="1"/>
  <c r="J4857" s="1"/>
  <c r="J4945" s="1"/>
  <c r="J5033" s="1"/>
  <c r="J5121" s="1"/>
  <c r="J5209" s="1"/>
  <c r="J5297" s="1"/>
  <c r="H4241"/>
  <c r="H4329" s="1"/>
  <c r="H4417" s="1"/>
  <c r="H4505" s="1"/>
  <c r="H4593" s="1"/>
  <c r="H4681" s="1"/>
  <c r="H4769" s="1"/>
  <c r="H4857" s="1"/>
  <c r="H4945" s="1"/>
  <c r="H5033" s="1"/>
  <c r="H5121" s="1"/>
  <c r="H5209" s="1"/>
  <c r="H5297" s="1"/>
  <c r="J4240"/>
  <c r="J4328" s="1"/>
  <c r="J4416" s="1"/>
  <c r="J4504" s="1"/>
  <c r="J4592" s="1"/>
  <c r="J4680" s="1"/>
  <c r="J4768" s="1"/>
  <c r="J4856" s="1"/>
  <c r="J4944" s="1"/>
  <c r="J5032" s="1"/>
  <c r="J5120" s="1"/>
  <c r="J5208" s="1"/>
  <c r="J5296" s="1"/>
  <c r="H4240"/>
  <c r="H4328" s="1"/>
  <c r="H4416" s="1"/>
  <c r="H4504" s="1"/>
  <c r="H4592" s="1"/>
  <c r="H4680" s="1"/>
  <c r="H4768" s="1"/>
  <c r="H4856" s="1"/>
  <c r="H4944" s="1"/>
  <c r="H5032" s="1"/>
  <c r="H5120" s="1"/>
  <c r="H5208" s="1"/>
  <c r="H5296" s="1"/>
  <c r="J4239"/>
  <c r="J4327" s="1"/>
  <c r="J4415" s="1"/>
  <c r="J4503" s="1"/>
  <c r="J4591" s="1"/>
  <c r="J4679" s="1"/>
  <c r="J4767" s="1"/>
  <c r="J4855" s="1"/>
  <c r="J4943" s="1"/>
  <c r="J5031" s="1"/>
  <c r="J5119" s="1"/>
  <c r="J5207" s="1"/>
  <c r="J5295" s="1"/>
  <c r="H4239"/>
  <c r="H4327" s="1"/>
  <c r="H4415" s="1"/>
  <c r="H4503" s="1"/>
  <c r="H4591" s="1"/>
  <c r="H4679" s="1"/>
  <c r="H4767" s="1"/>
  <c r="H4855" s="1"/>
  <c r="H4943" s="1"/>
  <c r="H5031" s="1"/>
  <c r="H5119" s="1"/>
  <c r="H5207" s="1"/>
  <c r="H5295" s="1"/>
  <c r="J4238"/>
  <c r="J4326" s="1"/>
  <c r="J4414" s="1"/>
  <c r="J4502" s="1"/>
  <c r="J4590" s="1"/>
  <c r="J4678" s="1"/>
  <c r="J4766" s="1"/>
  <c r="J4854" s="1"/>
  <c r="J4942" s="1"/>
  <c r="J5030" s="1"/>
  <c r="J5118" s="1"/>
  <c r="J5206" s="1"/>
  <c r="J5294" s="1"/>
  <c r="H4238"/>
  <c r="H4326" s="1"/>
  <c r="H4414" s="1"/>
  <c r="H4502" s="1"/>
  <c r="H4590" s="1"/>
  <c r="H4678" s="1"/>
  <c r="H4766" s="1"/>
  <c r="H4854" s="1"/>
  <c r="H4942" s="1"/>
  <c r="H5030" s="1"/>
  <c r="H5118" s="1"/>
  <c r="H5206" s="1"/>
  <c r="H5294" s="1"/>
  <c r="J4237"/>
  <c r="J4325" s="1"/>
  <c r="J4413" s="1"/>
  <c r="J4501" s="1"/>
  <c r="J4589" s="1"/>
  <c r="J4677" s="1"/>
  <c r="J4765" s="1"/>
  <c r="J4853" s="1"/>
  <c r="J4941" s="1"/>
  <c r="J5029" s="1"/>
  <c r="J5117" s="1"/>
  <c r="J5205" s="1"/>
  <c r="J5293" s="1"/>
  <c r="H4237"/>
  <c r="H4325" s="1"/>
  <c r="H4413" s="1"/>
  <c r="H4501" s="1"/>
  <c r="H4589" s="1"/>
  <c r="H4677" s="1"/>
  <c r="H4765" s="1"/>
  <c r="H4853" s="1"/>
  <c r="H4941" s="1"/>
  <c r="H5029" s="1"/>
  <c r="H5117" s="1"/>
  <c r="H5205" s="1"/>
  <c r="H5293" s="1"/>
  <c r="J4236"/>
  <c r="J4324" s="1"/>
  <c r="J4412" s="1"/>
  <c r="J4500" s="1"/>
  <c r="J4588" s="1"/>
  <c r="J4676" s="1"/>
  <c r="J4764" s="1"/>
  <c r="J4852" s="1"/>
  <c r="J4940" s="1"/>
  <c r="J5028" s="1"/>
  <c r="J5116" s="1"/>
  <c r="J5204" s="1"/>
  <c r="J5292" s="1"/>
  <c r="H4236"/>
  <c r="H4324" s="1"/>
  <c r="H4412" s="1"/>
  <c r="H4500" s="1"/>
  <c r="H4588" s="1"/>
  <c r="H4676" s="1"/>
  <c r="H4764" s="1"/>
  <c r="H4852" s="1"/>
  <c r="H4940" s="1"/>
  <c r="H5028" s="1"/>
  <c r="H5116" s="1"/>
  <c r="H5204" s="1"/>
  <c r="H5292" s="1"/>
  <c r="J4235"/>
  <c r="J4323" s="1"/>
  <c r="J4411" s="1"/>
  <c r="J4499" s="1"/>
  <c r="J4587" s="1"/>
  <c r="J4675" s="1"/>
  <c r="J4763" s="1"/>
  <c r="J4851" s="1"/>
  <c r="J4939" s="1"/>
  <c r="J5027" s="1"/>
  <c r="J5115" s="1"/>
  <c r="J5203" s="1"/>
  <c r="J5291" s="1"/>
  <c r="H4235"/>
  <c r="H4323" s="1"/>
  <c r="H4411" s="1"/>
  <c r="H4499" s="1"/>
  <c r="H4587" s="1"/>
  <c r="H4675" s="1"/>
  <c r="H4763" s="1"/>
  <c r="H4851" s="1"/>
  <c r="H4939" s="1"/>
  <c r="H5027" s="1"/>
  <c r="H5115" s="1"/>
  <c r="H5203" s="1"/>
  <c r="H5291" s="1"/>
  <c r="J4234"/>
  <c r="J4322" s="1"/>
  <c r="J4410" s="1"/>
  <c r="J4498" s="1"/>
  <c r="J4586" s="1"/>
  <c r="J4674" s="1"/>
  <c r="J4762" s="1"/>
  <c r="J4850" s="1"/>
  <c r="J4938" s="1"/>
  <c r="J5026" s="1"/>
  <c r="J5114" s="1"/>
  <c r="J5202" s="1"/>
  <c r="J5290" s="1"/>
  <c r="H4234"/>
  <c r="H4322" s="1"/>
  <c r="H4410" s="1"/>
  <c r="H4498" s="1"/>
  <c r="H4586" s="1"/>
  <c r="H4674" s="1"/>
  <c r="H4762" s="1"/>
  <c r="H4850" s="1"/>
  <c r="H4938" s="1"/>
  <c r="H5026" s="1"/>
  <c r="H5114" s="1"/>
  <c r="H5202" s="1"/>
  <c r="H5290" s="1"/>
  <c r="J4233"/>
  <c r="J4321" s="1"/>
  <c r="J4409" s="1"/>
  <c r="J4497" s="1"/>
  <c r="J4585" s="1"/>
  <c r="J4673" s="1"/>
  <c r="J4761" s="1"/>
  <c r="J4849" s="1"/>
  <c r="J4937" s="1"/>
  <c r="J5025" s="1"/>
  <c r="J5113" s="1"/>
  <c r="J5201" s="1"/>
  <c r="J5289" s="1"/>
  <c r="H4233"/>
  <c r="H4321" s="1"/>
  <c r="H4409" s="1"/>
  <c r="H4497" s="1"/>
  <c r="H4585" s="1"/>
  <c r="H4673" s="1"/>
  <c r="H4761" s="1"/>
  <c r="H4849" s="1"/>
  <c r="H4937" s="1"/>
  <c r="H5025" s="1"/>
  <c r="H5113" s="1"/>
  <c r="H5201" s="1"/>
  <c r="H5289" s="1"/>
  <c r="J4232"/>
  <c r="J4320" s="1"/>
  <c r="J4408" s="1"/>
  <c r="J4496" s="1"/>
  <c r="J4584" s="1"/>
  <c r="J4672" s="1"/>
  <c r="J4760" s="1"/>
  <c r="J4848" s="1"/>
  <c r="J4936" s="1"/>
  <c r="J5024" s="1"/>
  <c r="J5112" s="1"/>
  <c r="J5200" s="1"/>
  <c r="J5288" s="1"/>
  <c r="H4232"/>
  <c r="H4320" s="1"/>
  <c r="H4408" s="1"/>
  <c r="H4496" s="1"/>
  <c r="H4584" s="1"/>
  <c r="H4672" s="1"/>
  <c r="H4760" s="1"/>
  <c r="H4848" s="1"/>
  <c r="H4936" s="1"/>
  <c r="H5024" s="1"/>
  <c r="H5112" s="1"/>
  <c r="H5200" s="1"/>
  <c r="H5288" s="1"/>
  <c r="J4231"/>
  <c r="J4319" s="1"/>
  <c r="J4407" s="1"/>
  <c r="J4495" s="1"/>
  <c r="J4583" s="1"/>
  <c r="J4671" s="1"/>
  <c r="J4759" s="1"/>
  <c r="J4847" s="1"/>
  <c r="J4935" s="1"/>
  <c r="J5023" s="1"/>
  <c r="J5111" s="1"/>
  <c r="J5199" s="1"/>
  <c r="J5287" s="1"/>
  <c r="H4231"/>
  <c r="H4319" s="1"/>
  <c r="H4407" s="1"/>
  <c r="H4495" s="1"/>
  <c r="H4583" s="1"/>
  <c r="H4671" s="1"/>
  <c r="H4759" s="1"/>
  <c r="H4847" s="1"/>
  <c r="H4935" s="1"/>
  <c r="H5023" s="1"/>
  <c r="H5111" s="1"/>
  <c r="H5199" s="1"/>
  <c r="H5287" s="1"/>
  <c r="J4230"/>
  <c r="J4318" s="1"/>
  <c r="J4406" s="1"/>
  <c r="J4494" s="1"/>
  <c r="J4582" s="1"/>
  <c r="J4670" s="1"/>
  <c r="J4758" s="1"/>
  <c r="J4846" s="1"/>
  <c r="J4934" s="1"/>
  <c r="J5022" s="1"/>
  <c r="J5110" s="1"/>
  <c r="J5198" s="1"/>
  <c r="J5286" s="1"/>
  <c r="H4230"/>
  <c r="H4318" s="1"/>
  <c r="H4406" s="1"/>
  <c r="H4494" s="1"/>
  <c r="H4582" s="1"/>
  <c r="H4670" s="1"/>
  <c r="H4758" s="1"/>
  <c r="H4846" s="1"/>
  <c r="H4934" s="1"/>
  <c r="H5022" s="1"/>
  <c r="H5110" s="1"/>
  <c r="H5198" s="1"/>
  <c r="H5286" s="1"/>
  <c r="J4229"/>
  <c r="J4317" s="1"/>
  <c r="J4405" s="1"/>
  <c r="J4493" s="1"/>
  <c r="J4581" s="1"/>
  <c r="J4669" s="1"/>
  <c r="J4757" s="1"/>
  <c r="J4845" s="1"/>
  <c r="J4933" s="1"/>
  <c r="J5021" s="1"/>
  <c r="J5109" s="1"/>
  <c r="J5197" s="1"/>
  <c r="J5285" s="1"/>
  <c r="H4229"/>
  <c r="H4317" s="1"/>
  <c r="H4405" s="1"/>
  <c r="H4493" s="1"/>
  <c r="H4581" s="1"/>
  <c r="H4669" s="1"/>
  <c r="H4757" s="1"/>
  <c r="H4845" s="1"/>
  <c r="H4933" s="1"/>
  <c r="H5021" s="1"/>
  <c r="H5109" s="1"/>
  <c r="H5197" s="1"/>
  <c r="H5285" s="1"/>
  <c r="J4228"/>
  <c r="J4316" s="1"/>
  <c r="J4404" s="1"/>
  <c r="J4492" s="1"/>
  <c r="J4580" s="1"/>
  <c r="J4668" s="1"/>
  <c r="J4756" s="1"/>
  <c r="J4844" s="1"/>
  <c r="J4932" s="1"/>
  <c r="J5020" s="1"/>
  <c r="J5108" s="1"/>
  <c r="J5196" s="1"/>
  <c r="J5284" s="1"/>
  <c r="H4228"/>
  <c r="H4316" s="1"/>
  <c r="H4404" s="1"/>
  <c r="H4492" s="1"/>
  <c r="H4580" s="1"/>
  <c r="H4668" s="1"/>
  <c r="H4756" s="1"/>
  <c r="H4844" s="1"/>
  <c r="H4932" s="1"/>
  <c r="H5020" s="1"/>
  <c r="H5108" s="1"/>
  <c r="H5196" s="1"/>
  <c r="H5284" s="1"/>
  <c r="J4227"/>
  <c r="J4315" s="1"/>
  <c r="J4403" s="1"/>
  <c r="J4491" s="1"/>
  <c r="J4579" s="1"/>
  <c r="J4667" s="1"/>
  <c r="J4755" s="1"/>
  <c r="J4843" s="1"/>
  <c r="J4931" s="1"/>
  <c r="J5019" s="1"/>
  <c r="J5107" s="1"/>
  <c r="J5195" s="1"/>
  <c r="J5283" s="1"/>
  <c r="H4227"/>
  <c r="H4315" s="1"/>
  <c r="H4403" s="1"/>
  <c r="H4491" s="1"/>
  <c r="H4579" s="1"/>
  <c r="H4667" s="1"/>
  <c r="H4755" s="1"/>
  <c r="H4843" s="1"/>
  <c r="H4931" s="1"/>
  <c r="H5019" s="1"/>
  <c r="H5107" s="1"/>
  <c r="H5195" s="1"/>
  <c r="H5283" s="1"/>
  <c r="J4226"/>
  <c r="J4314" s="1"/>
  <c r="J4402" s="1"/>
  <c r="J4490" s="1"/>
  <c r="J4578" s="1"/>
  <c r="J4666" s="1"/>
  <c r="J4754" s="1"/>
  <c r="J4842" s="1"/>
  <c r="J4930" s="1"/>
  <c r="J5018" s="1"/>
  <c r="J5106" s="1"/>
  <c r="J5194" s="1"/>
  <c r="J5282" s="1"/>
  <c r="H4226"/>
  <c r="H4314" s="1"/>
  <c r="H4402" s="1"/>
  <c r="H4490" s="1"/>
  <c r="H4578" s="1"/>
  <c r="H4666" s="1"/>
  <c r="H4754" s="1"/>
  <c r="H4842" s="1"/>
  <c r="H4930" s="1"/>
  <c r="H5018" s="1"/>
  <c r="H5106" s="1"/>
  <c r="H5194" s="1"/>
  <c r="H5282" s="1"/>
  <c r="J4225"/>
  <c r="J4313" s="1"/>
  <c r="J4401" s="1"/>
  <c r="J4489" s="1"/>
  <c r="J4577" s="1"/>
  <c r="J4665" s="1"/>
  <c r="J4753" s="1"/>
  <c r="J4841" s="1"/>
  <c r="J4929" s="1"/>
  <c r="J5017" s="1"/>
  <c r="J5105" s="1"/>
  <c r="J5193" s="1"/>
  <c r="J5281" s="1"/>
  <c r="H4225"/>
  <c r="H4313" s="1"/>
  <c r="H4401" s="1"/>
  <c r="H4489" s="1"/>
  <c r="H4577" s="1"/>
  <c r="H4665" s="1"/>
  <c r="H4753" s="1"/>
  <c r="H4841" s="1"/>
  <c r="H4929" s="1"/>
  <c r="H5017" s="1"/>
  <c r="H5105" s="1"/>
  <c r="H5193" s="1"/>
  <c r="H5281" s="1"/>
  <c r="J4224"/>
  <c r="J4312" s="1"/>
  <c r="J4400" s="1"/>
  <c r="J4488" s="1"/>
  <c r="J4576" s="1"/>
  <c r="J4664" s="1"/>
  <c r="J4752" s="1"/>
  <c r="J4840" s="1"/>
  <c r="J4928" s="1"/>
  <c r="J5016" s="1"/>
  <c r="J5104" s="1"/>
  <c r="J5192" s="1"/>
  <c r="J5280" s="1"/>
  <c r="H4224"/>
  <c r="H4312" s="1"/>
  <c r="H4400" s="1"/>
  <c r="H4488" s="1"/>
  <c r="H4576" s="1"/>
  <c r="H4664" s="1"/>
  <c r="H4752" s="1"/>
  <c r="H4840" s="1"/>
  <c r="H4928" s="1"/>
  <c r="H5016" s="1"/>
  <c r="H5104" s="1"/>
  <c r="H5192" s="1"/>
  <c r="H5280" s="1"/>
  <c r="J4223"/>
  <c r="J4311" s="1"/>
  <c r="J4399" s="1"/>
  <c r="J4487" s="1"/>
  <c r="J4575" s="1"/>
  <c r="J4663" s="1"/>
  <c r="J4751" s="1"/>
  <c r="J4839" s="1"/>
  <c r="J4927" s="1"/>
  <c r="J5015" s="1"/>
  <c r="J5103" s="1"/>
  <c r="J5191" s="1"/>
  <c r="J5279" s="1"/>
  <c r="H4223"/>
  <c r="H4311" s="1"/>
  <c r="H4399" s="1"/>
  <c r="H4487" s="1"/>
  <c r="H4575" s="1"/>
  <c r="H4663" s="1"/>
  <c r="H4751" s="1"/>
  <c r="H4839" s="1"/>
  <c r="H4927" s="1"/>
  <c r="H5015" s="1"/>
  <c r="H5103" s="1"/>
  <c r="H5191" s="1"/>
  <c r="H5279" s="1"/>
  <c r="J4222"/>
  <c r="J4310" s="1"/>
  <c r="J4398" s="1"/>
  <c r="J4486" s="1"/>
  <c r="J4574" s="1"/>
  <c r="J4662" s="1"/>
  <c r="J4750" s="1"/>
  <c r="J4838" s="1"/>
  <c r="J4926" s="1"/>
  <c r="J5014" s="1"/>
  <c r="J5102" s="1"/>
  <c r="J5190" s="1"/>
  <c r="J5278" s="1"/>
  <c r="H4222"/>
  <c r="H4310" s="1"/>
  <c r="H4398" s="1"/>
  <c r="H4486" s="1"/>
  <c r="H4574" s="1"/>
  <c r="H4662" s="1"/>
  <c r="H4750" s="1"/>
  <c r="H4838" s="1"/>
  <c r="H4926" s="1"/>
  <c r="H5014" s="1"/>
  <c r="H5102" s="1"/>
  <c r="H5190" s="1"/>
  <c r="H5278" s="1"/>
  <c r="J4221"/>
  <c r="J4309" s="1"/>
  <c r="J4397" s="1"/>
  <c r="J4485" s="1"/>
  <c r="J4573" s="1"/>
  <c r="J4661" s="1"/>
  <c r="J4749" s="1"/>
  <c r="J4837" s="1"/>
  <c r="J4925" s="1"/>
  <c r="J5013" s="1"/>
  <c r="J5101" s="1"/>
  <c r="J5189" s="1"/>
  <c r="J5277" s="1"/>
  <c r="H4221"/>
  <c r="H4309" s="1"/>
  <c r="H4397" s="1"/>
  <c r="H4485" s="1"/>
  <c r="H4573" s="1"/>
  <c r="H4661" s="1"/>
  <c r="H4749" s="1"/>
  <c r="H4837" s="1"/>
  <c r="H4925" s="1"/>
  <c r="H5013" s="1"/>
  <c r="H5101" s="1"/>
  <c r="H5189" s="1"/>
  <c r="H5277" s="1"/>
  <c r="J4220"/>
  <c r="H4220"/>
  <c r="H4308" s="1"/>
  <c r="H4396" s="1"/>
  <c r="H4484" s="1"/>
  <c r="H4572" s="1"/>
  <c r="H4660" s="1"/>
  <c r="H4748" s="1"/>
  <c r="H4836" s="1"/>
  <c r="H4924" s="1"/>
  <c r="H5012" s="1"/>
  <c r="H5100" s="1"/>
  <c r="H5188" s="1"/>
  <c r="H5276" s="1"/>
  <c r="J4219"/>
  <c r="J4307" s="1"/>
  <c r="J4395" s="1"/>
  <c r="J4483" s="1"/>
  <c r="J4571" s="1"/>
  <c r="J4659" s="1"/>
  <c r="J4747" s="1"/>
  <c r="J4835" s="1"/>
  <c r="J4923" s="1"/>
  <c r="J5011" s="1"/>
  <c r="J5099" s="1"/>
  <c r="J5187" s="1"/>
  <c r="J5275" s="1"/>
  <c r="H4219"/>
  <c r="H4307" s="1"/>
  <c r="H4395" s="1"/>
  <c r="H4483" s="1"/>
  <c r="H4571" s="1"/>
  <c r="H4659" s="1"/>
  <c r="H4747" s="1"/>
  <c r="H4835" s="1"/>
  <c r="H4923" s="1"/>
  <c r="H5011" s="1"/>
  <c r="H5099" s="1"/>
  <c r="H5187" s="1"/>
  <c r="H5275" s="1"/>
  <c r="J4218"/>
  <c r="J4306" s="1"/>
  <c r="J4394" s="1"/>
  <c r="J4482" s="1"/>
  <c r="J4570" s="1"/>
  <c r="J4658" s="1"/>
  <c r="J4746" s="1"/>
  <c r="J4834" s="1"/>
  <c r="J4922" s="1"/>
  <c r="J5010" s="1"/>
  <c r="J5098" s="1"/>
  <c r="J5186" s="1"/>
  <c r="J5274" s="1"/>
  <c r="H4218"/>
  <c r="H4306" s="1"/>
  <c r="H4394" s="1"/>
  <c r="H4482" s="1"/>
  <c r="H4570" s="1"/>
  <c r="H4658" s="1"/>
  <c r="H4746" s="1"/>
  <c r="H4834" s="1"/>
  <c r="H4922" s="1"/>
  <c r="H5010" s="1"/>
  <c r="H5098" s="1"/>
  <c r="H5186" s="1"/>
  <c r="H5274" s="1"/>
  <c r="J4217"/>
  <c r="J4305" s="1"/>
  <c r="J4393" s="1"/>
  <c r="J4481" s="1"/>
  <c r="J4569" s="1"/>
  <c r="J4657" s="1"/>
  <c r="J4745" s="1"/>
  <c r="J4833" s="1"/>
  <c r="J4921" s="1"/>
  <c r="J5009" s="1"/>
  <c r="J5097" s="1"/>
  <c r="J5185" s="1"/>
  <c r="J5273" s="1"/>
  <c r="H4217"/>
  <c r="H4305" s="1"/>
  <c r="H4393" s="1"/>
  <c r="H4481" s="1"/>
  <c r="H4569" s="1"/>
  <c r="H4657" s="1"/>
  <c r="H4745" s="1"/>
  <c r="H4833" s="1"/>
  <c r="H4921" s="1"/>
  <c r="H5009" s="1"/>
  <c r="H5097" s="1"/>
  <c r="H5185" s="1"/>
  <c r="H5273" s="1"/>
  <c r="J4216"/>
  <c r="J4304" s="1"/>
  <c r="J4392" s="1"/>
  <c r="J4480" s="1"/>
  <c r="J4568" s="1"/>
  <c r="J4656" s="1"/>
  <c r="J4744" s="1"/>
  <c r="J4832" s="1"/>
  <c r="J4920" s="1"/>
  <c r="J5008" s="1"/>
  <c r="J5096" s="1"/>
  <c r="J5184" s="1"/>
  <c r="J5272" s="1"/>
  <c r="H4216"/>
  <c r="H4304" s="1"/>
  <c r="H4392" s="1"/>
  <c r="H4480" s="1"/>
  <c r="H4568" s="1"/>
  <c r="H4656" s="1"/>
  <c r="H4744" s="1"/>
  <c r="H4832" s="1"/>
  <c r="H4920" s="1"/>
  <c r="H5008" s="1"/>
  <c r="H5096" s="1"/>
  <c r="H5184" s="1"/>
  <c r="H5272" s="1"/>
  <c r="J4215"/>
  <c r="J4303" s="1"/>
  <c r="J4391" s="1"/>
  <c r="J4479" s="1"/>
  <c r="J4567" s="1"/>
  <c r="J4655" s="1"/>
  <c r="J4743" s="1"/>
  <c r="J4831" s="1"/>
  <c r="J4919" s="1"/>
  <c r="J5007" s="1"/>
  <c r="J5095" s="1"/>
  <c r="J5183" s="1"/>
  <c r="J5271" s="1"/>
  <c r="H4215"/>
  <c r="H4303" s="1"/>
  <c r="H4391" s="1"/>
  <c r="H4479" s="1"/>
  <c r="H4567" s="1"/>
  <c r="H4655" s="1"/>
  <c r="H4743" s="1"/>
  <c r="H4831" s="1"/>
  <c r="H4919" s="1"/>
  <c r="H5007" s="1"/>
  <c r="H5095" s="1"/>
  <c r="H5183" s="1"/>
  <c r="H5271" s="1"/>
  <c r="J4214"/>
  <c r="J4302" s="1"/>
  <c r="J4390" s="1"/>
  <c r="J4478" s="1"/>
  <c r="J4566" s="1"/>
  <c r="J4654" s="1"/>
  <c r="J4742" s="1"/>
  <c r="J4830" s="1"/>
  <c r="J4918" s="1"/>
  <c r="J5006" s="1"/>
  <c r="J5094" s="1"/>
  <c r="J5182" s="1"/>
  <c r="J5270" s="1"/>
  <c r="H4214"/>
  <c r="H4302" s="1"/>
  <c r="H4390" s="1"/>
  <c r="H4478" s="1"/>
  <c r="H4566" s="1"/>
  <c r="H4654" s="1"/>
  <c r="H4742" s="1"/>
  <c r="H4830" s="1"/>
  <c r="H4918" s="1"/>
  <c r="H5006" s="1"/>
  <c r="H5094" s="1"/>
  <c r="H5182" s="1"/>
  <c r="H5270" s="1"/>
  <c r="J4213"/>
  <c r="J4301" s="1"/>
  <c r="J4389" s="1"/>
  <c r="J4477" s="1"/>
  <c r="J4565" s="1"/>
  <c r="J4653" s="1"/>
  <c r="J4741" s="1"/>
  <c r="J4829" s="1"/>
  <c r="J4917" s="1"/>
  <c r="J5005" s="1"/>
  <c r="J5093" s="1"/>
  <c r="J5181" s="1"/>
  <c r="J5269" s="1"/>
  <c r="H4213"/>
  <c r="H4301" s="1"/>
  <c r="H4389" s="1"/>
  <c r="H4477" s="1"/>
  <c r="H4565" s="1"/>
  <c r="H4653" s="1"/>
  <c r="H4741" s="1"/>
  <c r="H4829" s="1"/>
  <c r="H4917" s="1"/>
  <c r="H5005" s="1"/>
  <c r="H5093" s="1"/>
  <c r="H5181" s="1"/>
  <c r="H5269" s="1"/>
  <c r="J4212"/>
  <c r="J4300" s="1"/>
  <c r="J4388" s="1"/>
  <c r="J4476" s="1"/>
  <c r="J4564" s="1"/>
  <c r="J4652" s="1"/>
  <c r="J4740" s="1"/>
  <c r="J4828" s="1"/>
  <c r="J4916" s="1"/>
  <c r="J5004" s="1"/>
  <c r="J5092" s="1"/>
  <c r="J5180" s="1"/>
  <c r="J5268" s="1"/>
  <c r="H4212"/>
  <c r="H4300" s="1"/>
  <c r="H4388" s="1"/>
  <c r="H4476" s="1"/>
  <c r="H4564" s="1"/>
  <c r="H4652" s="1"/>
  <c r="H4740" s="1"/>
  <c r="H4828" s="1"/>
  <c r="H4916" s="1"/>
  <c r="H5004" s="1"/>
  <c r="H5092" s="1"/>
  <c r="H5180" s="1"/>
  <c r="H5268" s="1"/>
  <c r="J4211"/>
  <c r="J4299" s="1"/>
  <c r="J4387" s="1"/>
  <c r="J4475" s="1"/>
  <c r="J4563" s="1"/>
  <c r="J4651" s="1"/>
  <c r="J4739" s="1"/>
  <c r="J4827" s="1"/>
  <c r="J4915" s="1"/>
  <c r="J5003" s="1"/>
  <c r="J5091" s="1"/>
  <c r="J5179" s="1"/>
  <c r="J5267" s="1"/>
  <c r="H4211"/>
  <c r="H4299" s="1"/>
  <c r="H4387" s="1"/>
  <c r="H4475" s="1"/>
  <c r="H4563" s="1"/>
  <c r="H4651" s="1"/>
  <c r="H4739" s="1"/>
  <c r="H4827" s="1"/>
  <c r="H4915" s="1"/>
  <c r="H5003" s="1"/>
  <c r="H5091" s="1"/>
  <c r="H5179" s="1"/>
  <c r="H5267" s="1"/>
  <c r="J4210"/>
  <c r="J4298" s="1"/>
  <c r="J4386" s="1"/>
  <c r="J4474" s="1"/>
  <c r="J4562" s="1"/>
  <c r="J4650" s="1"/>
  <c r="J4738" s="1"/>
  <c r="J4826" s="1"/>
  <c r="J4914" s="1"/>
  <c r="J5002" s="1"/>
  <c r="J5090" s="1"/>
  <c r="J5178" s="1"/>
  <c r="J5266" s="1"/>
  <c r="H4210"/>
  <c r="H4298" s="1"/>
  <c r="H4386" s="1"/>
  <c r="H4474" s="1"/>
  <c r="H4562" s="1"/>
  <c r="H4650" s="1"/>
  <c r="H4738" s="1"/>
  <c r="H4826" s="1"/>
  <c r="H4914" s="1"/>
  <c r="H5002" s="1"/>
  <c r="H5090" s="1"/>
  <c r="H5178" s="1"/>
  <c r="H5266" s="1"/>
  <c r="J4209"/>
  <c r="J4297" s="1"/>
  <c r="J4385" s="1"/>
  <c r="J4473" s="1"/>
  <c r="J4561" s="1"/>
  <c r="J4649" s="1"/>
  <c r="J4737" s="1"/>
  <c r="J4825" s="1"/>
  <c r="J4913" s="1"/>
  <c r="J5001" s="1"/>
  <c r="J5089" s="1"/>
  <c r="J5177" s="1"/>
  <c r="J5265" s="1"/>
  <c r="H4209"/>
  <c r="H4297" s="1"/>
  <c r="H4385" s="1"/>
  <c r="H4473" s="1"/>
  <c r="H4561" s="1"/>
  <c r="H4649" s="1"/>
  <c r="H4737" s="1"/>
  <c r="H4825" s="1"/>
  <c r="H4913" s="1"/>
  <c r="H5001" s="1"/>
  <c r="H5089" s="1"/>
  <c r="H5177" s="1"/>
  <c r="H5265" s="1"/>
  <c r="G4209"/>
  <c r="J4208"/>
  <c r="J4296" s="1"/>
  <c r="J4384" s="1"/>
  <c r="J4472" s="1"/>
  <c r="J4560" s="1"/>
  <c r="J4648" s="1"/>
  <c r="J4736" s="1"/>
  <c r="J4824" s="1"/>
  <c r="J4912" s="1"/>
  <c r="J5000" s="1"/>
  <c r="J5088" s="1"/>
  <c r="J5176" s="1"/>
  <c r="J5264" s="1"/>
  <c r="H4208"/>
  <c r="H4296" s="1"/>
  <c r="H4384" s="1"/>
  <c r="H4472" s="1"/>
  <c r="H4560" s="1"/>
  <c r="H4648" s="1"/>
  <c r="H4736" s="1"/>
  <c r="H4824" s="1"/>
  <c r="H4912" s="1"/>
  <c r="H5000" s="1"/>
  <c r="H5088" s="1"/>
  <c r="H5176" s="1"/>
  <c r="H5264" s="1"/>
  <c r="G4208"/>
  <c r="J4207"/>
  <c r="J4295" s="1"/>
  <c r="J4383" s="1"/>
  <c r="J4471" s="1"/>
  <c r="J4559" s="1"/>
  <c r="J4647" s="1"/>
  <c r="J4735" s="1"/>
  <c r="J4823" s="1"/>
  <c r="J4911" s="1"/>
  <c r="J4999" s="1"/>
  <c r="J5087" s="1"/>
  <c r="J5175" s="1"/>
  <c r="J5263" s="1"/>
  <c r="H4207"/>
  <c r="H4295" s="1"/>
  <c r="H4383" s="1"/>
  <c r="H4471" s="1"/>
  <c r="H4559" s="1"/>
  <c r="H4647" s="1"/>
  <c r="H4735" s="1"/>
  <c r="H4823" s="1"/>
  <c r="H4911" s="1"/>
  <c r="H4999" s="1"/>
  <c r="H5087" s="1"/>
  <c r="H5175" s="1"/>
  <c r="H5263" s="1"/>
  <c r="G4207"/>
  <c r="J4206"/>
  <c r="J4294" s="1"/>
  <c r="J4382" s="1"/>
  <c r="J4470" s="1"/>
  <c r="J4558" s="1"/>
  <c r="J4646" s="1"/>
  <c r="J4734" s="1"/>
  <c r="J4822" s="1"/>
  <c r="J4910" s="1"/>
  <c r="J4998" s="1"/>
  <c r="J5086" s="1"/>
  <c r="J5174" s="1"/>
  <c r="J5262" s="1"/>
  <c r="H4206"/>
  <c r="H4294" s="1"/>
  <c r="H4382" s="1"/>
  <c r="H4470" s="1"/>
  <c r="H4558" s="1"/>
  <c r="H4646" s="1"/>
  <c r="H4734" s="1"/>
  <c r="H4822" s="1"/>
  <c r="H4910" s="1"/>
  <c r="H4998" s="1"/>
  <c r="H5086" s="1"/>
  <c r="H5174" s="1"/>
  <c r="H5262" s="1"/>
  <c r="G4206"/>
  <c r="J4205"/>
  <c r="J4293" s="1"/>
  <c r="J4381" s="1"/>
  <c r="J4469" s="1"/>
  <c r="J4557" s="1"/>
  <c r="J4645" s="1"/>
  <c r="J4733" s="1"/>
  <c r="J4821" s="1"/>
  <c r="J4909" s="1"/>
  <c r="J4997" s="1"/>
  <c r="J5085" s="1"/>
  <c r="J5173" s="1"/>
  <c r="J5261" s="1"/>
  <c r="H4205"/>
  <c r="H4293" s="1"/>
  <c r="H4381" s="1"/>
  <c r="H4469" s="1"/>
  <c r="H4557" s="1"/>
  <c r="H4645" s="1"/>
  <c r="H4733" s="1"/>
  <c r="H4821" s="1"/>
  <c r="H4909" s="1"/>
  <c r="H4997" s="1"/>
  <c r="H5085" s="1"/>
  <c r="H5173" s="1"/>
  <c r="H5261" s="1"/>
  <c r="G4205"/>
  <c r="J4204"/>
  <c r="J4292" s="1"/>
  <c r="J4380" s="1"/>
  <c r="J4468" s="1"/>
  <c r="J4556" s="1"/>
  <c r="J4644" s="1"/>
  <c r="J4732" s="1"/>
  <c r="J4820" s="1"/>
  <c r="J4908" s="1"/>
  <c r="J4996" s="1"/>
  <c r="J5084" s="1"/>
  <c r="J5172" s="1"/>
  <c r="J5260" s="1"/>
  <c r="H4204"/>
  <c r="H4292" s="1"/>
  <c r="H4380" s="1"/>
  <c r="H4468" s="1"/>
  <c r="H4556" s="1"/>
  <c r="H4644" s="1"/>
  <c r="H4732" s="1"/>
  <c r="H4820" s="1"/>
  <c r="H4908" s="1"/>
  <c r="H4996" s="1"/>
  <c r="H5084" s="1"/>
  <c r="H5172" s="1"/>
  <c r="H5260" s="1"/>
  <c r="G4204"/>
  <c r="J4203"/>
  <c r="J4291" s="1"/>
  <c r="J4379" s="1"/>
  <c r="J4467" s="1"/>
  <c r="J4555" s="1"/>
  <c r="J4643" s="1"/>
  <c r="J4731" s="1"/>
  <c r="J4819" s="1"/>
  <c r="J4907" s="1"/>
  <c r="J4995" s="1"/>
  <c r="J5083" s="1"/>
  <c r="J5171" s="1"/>
  <c r="J5259" s="1"/>
  <c r="H4203"/>
  <c r="H4291" s="1"/>
  <c r="H4379" s="1"/>
  <c r="H4467" s="1"/>
  <c r="H4555" s="1"/>
  <c r="H4643" s="1"/>
  <c r="H4731" s="1"/>
  <c r="H4819" s="1"/>
  <c r="H4907" s="1"/>
  <c r="H4995" s="1"/>
  <c r="H5083" s="1"/>
  <c r="H5171" s="1"/>
  <c r="H5259" s="1"/>
  <c r="G4203"/>
  <c r="J4202"/>
  <c r="J4290" s="1"/>
  <c r="J4378" s="1"/>
  <c r="J4466" s="1"/>
  <c r="J4554" s="1"/>
  <c r="J4642" s="1"/>
  <c r="J4730" s="1"/>
  <c r="J4818" s="1"/>
  <c r="J4906" s="1"/>
  <c r="J4994" s="1"/>
  <c r="J5082" s="1"/>
  <c r="J5170" s="1"/>
  <c r="J5258" s="1"/>
  <c r="H4202"/>
  <c r="H4290" s="1"/>
  <c r="H4378" s="1"/>
  <c r="H4466" s="1"/>
  <c r="H4554" s="1"/>
  <c r="H4642" s="1"/>
  <c r="H4730" s="1"/>
  <c r="H4818" s="1"/>
  <c r="H4906" s="1"/>
  <c r="H4994" s="1"/>
  <c r="H5082" s="1"/>
  <c r="H5170" s="1"/>
  <c r="H5258" s="1"/>
  <c r="G4202"/>
  <c r="J4201"/>
  <c r="J4289" s="1"/>
  <c r="J4377" s="1"/>
  <c r="J4465" s="1"/>
  <c r="J4553" s="1"/>
  <c r="J4641" s="1"/>
  <c r="J4729" s="1"/>
  <c r="J4817" s="1"/>
  <c r="J4905" s="1"/>
  <c r="J4993" s="1"/>
  <c r="J5081" s="1"/>
  <c r="J5169" s="1"/>
  <c r="J5257" s="1"/>
  <c r="H4201"/>
  <c r="H4289" s="1"/>
  <c r="H4377" s="1"/>
  <c r="H4465" s="1"/>
  <c r="H4553" s="1"/>
  <c r="H4641" s="1"/>
  <c r="H4729" s="1"/>
  <c r="H4817" s="1"/>
  <c r="H4905" s="1"/>
  <c r="H4993" s="1"/>
  <c r="H5081" s="1"/>
  <c r="H5169" s="1"/>
  <c r="H5257" s="1"/>
  <c r="G4201"/>
  <c r="J4200"/>
  <c r="J4288" s="1"/>
  <c r="J4376" s="1"/>
  <c r="J4464" s="1"/>
  <c r="J4552" s="1"/>
  <c r="J4640" s="1"/>
  <c r="J4728" s="1"/>
  <c r="J4816" s="1"/>
  <c r="J4904" s="1"/>
  <c r="J4992" s="1"/>
  <c r="J5080" s="1"/>
  <c r="J5168" s="1"/>
  <c r="J5256" s="1"/>
  <c r="H4200"/>
  <c r="H4288" s="1"/>
  <c r="H4376" s="1"/>
  <c r="H4464" s="1"/>
  <c r="H4552" s="1"/>
  <c r="H4640" s="1"/>
  <c r="H4728" s="1"/>
  <c r="H4816" s="1"/>
  <c r="H4904" s="1"/>
  <c r="H4992" s="1"/>
  <c r="H5080" s="1"/>
  <c r="H5168" s="1"/>
  <c r="H5256" s="1"/>
  <c r="G4200"/>
  <c r="J4199"/>
  <c r="J4287" s="1"/>
  <c r="J4375" s="1"/>
  <c r="J4463" s="1"/>
  <c r="J4551" s="1"/>
  <c r="J4639" s="1"/>
  <c r="J4727" s="1"/>
  <c r="J4815" s="1"/>
  <c r="J4903" s="1"/>
  <c r="J4991" s="1"/>
  <c r="J5079" s="1"/>
  <c r="J5167" s="1"/>
  <c r="J5255" s="1"/>
  <c r="H4199"/>
  <c r="H4287" s="1"/>
  <c r="H4375" s="1"/>
  <c r="H4463" s="1"/>
  <c r="H4551" s="1"/>
  <c r="H4639" s="1"/>
  <c r="H4727" s="1"/>
  <c r="H4815" s="1"/>
  <c r="H4903" s="1"/>
  <c r="H4991" s="1"/>
  <c r="H5079" s="1"/>
  <c r="H5167" s="1"/>
  <c r="H5255" s="1"/>
  <c r="G4199"/>
  <c r="J4198"/>
  <c r="J4286" s="1"/>
  <c r="J4374" s="1"/>
  <c r="J4462" s="1"/>
  <c r="J4550" s="1"/>
  <c r="J4638" s="1"/>
  <c r="J4726" s="1"/>
  <c r="J4814" s="1"/>
  <c r="J4902" s="1"/>
  <c r="J4990" s="1"/>
  <c r="J5078" s="1"/>
  <c r="J5166" s="1"/>
  <c r="J5254" s="1"/>
  <c r="H4198"/>
  <c r="H4286" s="1"/>
  <c r="H4374" s="1"/>
  <c r="H4462" s="1"/>
  <c r="H4550" s="1"/>
  <c r="H4638" s="1"/>
  <c r="H4726" s="1"/>
  <c r="H4814" s="1"/>
  <c r="H4902" s="1"/>
  <c r="H4990" s="1"/>
  <c r="H5078" s="1"/>
  <c r="H5166" s="1"/>
  <c r="H5254" s="1"/>
  <c r="G4198"/>
  <c r="J4197"/>
  <c r="J4285" s="1"/>
  <c r="J4373" s="1"/>
  <c r="J4461" s="1"/>
  <c r="J4549" s="1"/>
  <c r="J4637" s="1"/>
  <c r="J4725" s="1"/>
  <c r="J4813" s="1"/>
  <c r="J4901" s="1"/>
  <c r="J4989" s="1"/>
  <c r="J5077" s="1"/>
  <c r="J5165" s="1"/>
  <c r="J5253" s="1"/>
  <c r="H4197"/>
  <c r="H4285" s="1"/>
  <c r="H4373" s="1"/>
  <c r="H4461" s="1"/>
  <c r="H4549" s="1"/>
  <c r="H4637" s="1"/>
  <c r="H4725" s="1"/>
  <c r="H4813" s="1"/>
  <c r="H4901" s="1"/>
  <c r="H4989" s="1"/>
  <c r="H5077" s="1"/>
  <c r="H5165" s="1"/>
  <c r="H5253" s="1"/>
  <c r="G4197"/>
  <c r="J4196"/>
  <c r="J4284" s="1"/>
  <c r="J4372" s="1"/>
  <c r="J4460" s="1"/>
  <c r="J4548" s="1"/>
  <c r="J4636" s="1"/>
  <c r="J4724" s="1"/>
  <c r="J4812" s="1"/>
  <c r="J4900" s="1"/>
  <c r="J4988" s="1"/>
  <c r="J5076" s="1"/>
  <c r="J5164" s="1"/>
  <c r="J5252" s="1"/>
  <c r="H4196"/>
  <c r="H4284" s="1"/>
  <c r="H4372" s="1"/>
  <c r="H4460" s="1"/>
  <c r="H4548" s="1"/>
  <c r="H4636" s="1"/>
  <c r="H4724" s="1"/>
  <c r="H4812" s="1"/>
  <c r="H4900" s="1"/>
  <c r="H4988" s="1"/>
  <c r="H5076" s="1"/>
  <c r="H5164" s="1"/>
  <c r="H5252" s="1"/>
  <c r="G4196"/>
  <c r="J4195"/>
  <c r="J4283" s="1"/>
  <c r="J4371" s="1"/>
  <c r="J4459" s="1"/>
  <c r="J4547" s="1"/>
  <c r="J4635" s="1"/>
  <c r="J4723" s="1"/>
  <c r="J4811" s="1"/>
  <c r="J4899" s="1"/>
  <c r="J4987" s="1"/>
  <c r="J5075" s="1"/>
  <c r="J5163" s="1"/>
  <c r="J5251" s="1"/>
  <c r="H4195"/>
  <c r="H4283" s="1"/>
  <c r="H4371" s="1"/>
  <c r="H4459" s="1"/>
  <c r="H4547" s="1"/>
  <c r="H4635" s="1"/>
  <c r="H4723" s="1"/>
  <c r="H4811" s="1"/>
  <c r="H4899" s="1"/>
  <c r="H4987" s="1"/>
  <c r="H5075" s="1"/>
  <c r="H5163" s="1"/>
  <c r="H5251" s="1"/>
  <c r="G4195"/>
  <c r="J4194"/>
  <c r="J4282" s="1"/>
  <c r="J4370" s="1"/>
  <c r="J4458" s="1"/>
  <c r="J4546" s="1"/>
  <c r="J4634" s="1"/>
  <c r="J4722" s="1"/>
  <c r="J4810" s="1"/>
  <c r="J4898" s="1"/>
  <c r="J4986" s="1"/>
  <c r="J5074" s="1"/>
  <c r="J5162" s="1"/>
  <c r="J5250" s="1"/>
  <c r="H4194"/>
  <c r="H4282" s="1"/>
  <c r="H4370" s="1"/>
  <c r="H4458" s="1"/>
  <c r="H4546" s="1"/>
  <c r="H4634" s="1"/>
  <c r="H4722" s="1"/>
  <c r="H4810" s="1"/>
  <c r="H4898" s="1"/>
  <c r="H4986" s="1"/>
  <c r="H5074" s="1"/>
  <c r="H5162" s="1"/>
  <c r="H5250" s="1"/>
  <c r="G4194"/>
  <c r="J4193"/>
  <c r="J4281" s="1"/>
  <c r="J4369" s="1"/>
  <c r="J4457" s="1"/>
  <c r="J4545" s="1"/>
  <c r="J4633" s="1"/>
  <c r="J4721" s="1"/>
  <c r="J4809" s="1"/>
  <c r="J4897" s="1"/>
  <c r="J4985" s="1"/>
  <c r="J5073" s="1"/>
  <c r="J5161" s="1"/>
  <c r="J5249" s="1"/>
  <c r="H4193"/>
  <c r="G4193"/>
  <c r="J4192"/>
  <c r="J4280" s="1"/>
  <c r="J4368" s="1"/>
  <c r="J4456" s="1"/>
  <c r="J4544" s="1"/>
  <c r="J4632" s="1"/>
  <c r="J4720" s="1"/>
  <c r="J4808" s="1"/>
  <c r="J4896" s="1"/>
  <c r="J4984" s="1"/>
  <c r="J5072" s="1"/>
  <c r="J5160" s="1"/>
  <c r="J5248" s="1"/>
  <c r="H4192"/>
  <c r="H4280" s="1"/>
  <c r="H4368" s="1"/>
  <c r="H4456" s="1"/>
  <c r="H4544" s="1"/>
  <c r="H4632" s="1"/>
  <c r="H4720" s="1"/>
  <c r="H4808" s="1"/>
  <c r="H4896" s="1"/>
  <c r="H4984" s="1"/>
  <c r="H5072" s="1"/>
  <c r="H5160" s="1"/>
  <c r="H5248" s="1"/>
  <c r="G4192"/>
  <c r="J4191"/>
  <c r="J4279" s="1"/>
  <c r="J4367" s="1"/>
  <c r="J4455" s="1"/>
  <c r="J4543" s="1"/>
  <c r="J4631" s="1"/>
  <c r="J4719" s="1"/>
  <c r="J4807" s="1"/>
  <c r="J4895" s="1"/>
  <c r="J4983" s="1"/>
  <c r="J5071" s="1"/>
  <c r="J5159" s="1"/>
  <c r="J5247" s="1"/>
  <c r="H4191"/>
  <c r="H4279" s="1"/>
  <c r="H4367" s="1"/>
  <c r="H4455" s="1"/>
  <c r="H4543" s="1"/>
  <c r="H4631" s="1"/>
  <c r="H4719" s="1"/>
  <c r="H4807" s="1"/>
  <c r="H4895" s="1"/>
  <c r="H4983" s="1"/>
  <c r="H5071" s="1"/>
  <c r="H5159" s="1"/>
  <c r="H5247" s="1"/>
  <c r="G4191"/>
  <c r="J4190"/>
  <c r="J4278" s="1"/>
  <c r="J4366" s="1"/>
  <c r="J4454" s="1"/>
  <c r="J4542" s="1"/>
  <c r="J4630" s="1"/>
  <c r="J4718" s="1"/>
  <c r="J4806" s="1"/>
  <c r="J4894" s="1"/>
  <c r="J4982" s="1"/>
  <c r="J5070" s="1"/>
  <c r="J5158" s="1"/>
  <c r="J5246" s="1"/>
  <c r="H4190"/>
  <c r="H4278" s="1"/>
  <c r="H4366" s="1"/>
  <c r="H4454" s="1"/>
  <c r="H4542" s="1"/>
  <c r="H4630" s="1"/>
  <c r="H4718" s="1"/>
  <c r="H4806" s="1"/>
  <c r="H4894" s="1"/>
  <c r="H4982" s="1"/>
  <c r="H5070" s="1"/>
  <c r="H5158" s="1"/>
  <c r="H5246" s="1"/>
  <c r="G4190"/>
  <c r="J4189"/>
  <c r="J4277" s="1"/>
  <c r="J4365" s="1"/>
  <c r="J4453" s="1"/>
  <c r="J4541" s="1"/>
  <c r="J4629" s="1"/>
  <c r="J4717" s="1"/>
  <c r="J4805" s="1"/>
  <c r="J4893" s="1"/>
  <c r="J4981" s="1"/>
  <c r="J5069" s="1"/>
  <c r="J5157" s="1"/>
  <c r="J5245" s="1"/>
  <c r="H4189"/>
  <c r="H4277" s="1"/>
  <c r="H4365" s="1"/>
  <c r="H4453" s="1"/>
  <c r="H4541" s="1"/>
  <c r="H4629" s="1"/>
  <c r="H4717" s="1"/>
  <c r="H4805" s="1"/>
  <c r="H4893" s="1"/>
  <c r="H4981" s="1"/>
  <c r="H5069" s="1"/>
  <c r="H5157" s="1"/>
  <c r="H5245" s="1"/>
  <c r="G4189"/>
  <c r="J4188"/>
  <c r="J4276" s="1"/>
  <c r="J4364" s="1"/>
  <c r="J4452" s="1"/>
  <c r="J4540" s="1"/>
  <c r="J4628" s="1"/>
  <c r="J4716" s="1"/>
  <c r="J4804" s="1"/>
  <c r="J4892" s="1"/>
  <c r="J4980" s="1"/>
  <c r="J5068" s="1"/>
  <c r="J5156" s="1"/>
  <c r="J5244" s="1"/>
  <c r="H4188"/>
  <c r="H4276" s="1"/>
  <c r="H4364" s="1"/>
  <c r="H4452" s="1"/>
  <c r="H4540" s="1"/>
  <c r="H4628" s="1"/>
  <c r="H4716" s="1"/>
  <c r="H4804" s="1"/>
  <c r="H4892" s="1"/>
  <c r="H4980" s="1"/>
  <c r="H5068" s="1"/>
  <c r="H5156" s="1"/>
  <c r="H5244" s="1"/>
  <c r="G4188"/>
  <c r="J4187"/>
  <c r="J4275" s="1"/>
  <c r="J4363" s="1"/>
  <c r="J4451" s="1"/>
  <c r="J4539" s="1"/>
  <c r="J4627" s="1"/>
  <c r="J4715" s="1"/>
  <c r="J4803" s="1"/>
  <c r="J4891" s="1"/>
  <c r="J4979" s="1"/>
  <c r="J5067" s="1"/>
  <c r="J5155" s="1"/>
  <c r="J5243" s="1"/>
  <c r="H4187"/>
  <c r="H4275" s="1"/>
  <c r="H4363" s="1"/>
  <c r="H4451" s="1"/>
  <c r="H4539" s="1"/>
  <c r="H4627" s="1"/>
  <c r="H4715" s="1"/>
  <c r="H4803" s="1"/>
  <c r="H4891" s="1"/>
  <c r="H4979" s="1"/>
  <c r="H5067" s="1"/>
  <c r="H5155" s="1"/>
  <c r="H5243" s="1"/>
  <c r="G4187"/>
  <c r="J4186"/>
  <c r="J4274" s="1"/>
  <c r="J4362" s="1"/>
  <c r="J4450" s="1"/>
  <c r="J4538" s="1"/>
  <c r="J4626" s="1"/>
  <c r="J4714" s="1"/>
  <c r="J4802" s="1"/>
  <c r="J4890" s="1"/>
  <c r="J4978" s="1"/>
  <c r="J5066" s="1"/>
  <c r="J5154" s="1"/>
  <c r="J5242" s="1"/>
  <c r="H4186"/>
  <c r="H4274" s="1"/>
  <c r="H4362" s="1"/>
  <c r="H4450" s="1"/>
  <c r="H4538" s="1"/>
  <c r="H4626" s="1"/>
  <c r="H4714" s="1"/>
  <c r="H4802" s="1"/>
  <c r="H4890" s="1"/>
  <c r="H4978" s="1"/>
  <c r="H5066" s="1"/>
  <c r="H5154" s="1"/>
  <c r="H5242" s="1"/>
  <c r="G4186"/>
  <c r="J4185"/>
  <c r="J4273" s="1"/>
  <c r="J4361" s="1"/>
  <c r="J4449" s="1"/>
  <c r="J4537" s="1"/>
  <c r="J4625" s="1"/>
  <c r="J4713" s="1"/>
  <c r="J4801" s="1"/>
  <c r="J4889" s="1"/>
  <c r="J4977" s="1"/>
  <c r="J5065" s="1"/>
  <c r="J5153" s="1"/>
  <c r="J5241" s="1"/>
  <c r="H4185"/>
  <c r="H4273" s="1"/>
  <c r="H4361" s="1"/>
  <c r="H4449" s="1"/>
  <c r="H4537" s="1"/>
  <c r="H4625" s="1"/>
  <c r="H4713" s="1"/>
  <c r="H4801" s="1"/>
  <c r="H4889" s="1"/>
  <c r="H4977" s="1"/>
  <c r="H5065" s="1"/>
  <c r="H5153" s="1"/>
  <c r="H5241" s="1"/>
  <c r="G4185"/>
  <c r="J4184"/>
  <c r="J4272" s="1"/>
  <c r="J4360" s="1"/>
  <c r="J4448" s="1"/>
  <c r="J4536" s="1"/>
  <c r="J4624" s="1"/>
  <c r="J4712" s="1"/>
  <c r="J4800" s="1"/>
  <c r="J4888" s="1"/>
  <c r="J4976" s="1"/>
  <c r="J5064" s="1"/>
  <c r="J5152" s="1"/>
  <c r="J5240" s="1"/>
  <c r="H4184"/>
  <c r="H4272" s="1"/>
  <c r="H4360" s="1"/>
  <c r="H4448" s="1"/>
  <c r="H4536" s="1"/>
  <c r="H4624" s="1"/>
  <c r="H4712" s="1"/>
  <c r="H4800" s="1"/>
  <c r="H4888" s="1"/>
  <c r="H4976" s="1"/>
  <c r="H5064" s="1"/>
  <c r="H5152" s="1"/>
  <c r="H5240" s="1"/>
  <c r="G4184"/>
  <c r="J4183"/>
  <c r="J4271" s="1"/>
  <c r="J4359" s="1"/>
  <c r="J4447" s="1"/>
  <c r="J4535" s="1"/>
  <c r="J4623" s="1"/>
  <c r="J4711" s="1"/>
  <c r="J4799" s="1"/>
  <c r="J4887" s="1"/>
  <c r="J4975" s="1"/>
  <c r="J5063" s="1"/>
  <c r="J5151" s="1"/>
  <c r="J5239" s="1"/>
  <c r="H4183"/>
  <c r="H4271" s="1"/>
  <c r="H4359" s="1"/>
  <c r="H4447" s="1"/>
  <c r="H4535" s="1"/>
  <c r="H4623" s="1"/>
  <c r="H4711" s="1"/>
  <c r="H4799" s="1"/>
  <c r="H4887" s="1"/>
  <c r="H4975" s="1"/>
  <c r="H5063" s="1"/>
  <c r="H5151" s="1"/>
  <c r="H5239" s="1"/>
  <c r="G4183"/>
  <c r="J4182"/>
  <c r="J4270" s="1"/>
  <c r="J4358" s="1"/>
  <c r="J4446" s="1"/>
  <c r="J4534" s="1"/>
  <c r="J4622" s="1"/>
  <c r="J4710" s="1"/>
  <c r="J4798" s="1"/>
  <c r="J4886" s="1"/>
  <c r="J4974" s="1"/>
  <c r="J5062" s="1"/>
  <c r="J5150" s="1"/>
  <c r="J5238" s="1"/>
  <c r="H4182"/>
  <c r="H4270" s="1"/>
  <c r="H4358" s="1"/>
  <c r="H4446" s="1"/>
  <c r="H4534" s="1"/>
  <c r="H4622" s="1"/>
  <c r="H4710" s="1"/>
  <c r="H4798" s="1"/>
  <c r="H4886" s="1"/>
  <c r="H4974" s="1"/>
  <c r="H5062" s="1"/>
  <c r="H5150" s="1"/>
  <c r="H5238" s="1"/>
  <c r="G4182"/>
  <c r="J4181"/>
  <c r="J4269" s="1"/>
  <c r="J4357" s="1"/>
  <c r="J4445" s="1"/>
  <c r="J4533" s="1"/>
  <c r="J4621" s="1"/>
  <c r="J4709" s="1"/>
  <c r="J4797" s="1"/>
  <c r="J4885" s="1"/>
  <c r="J4973" s="1"/>
  <c r="J5061" s="1"/>
  <c r="J5149" s="1"/>
  <c r="J5237" s="1"/>
  <c r="H4181"/>
  <c r="H4269" s="1"/>
  <c r="H4357" s="1"/>
  <c r="H4445" s="1"/>
  <c r="H4533" s="1"/>
  <c r="H4621" s="1"/>
  <c r="H4709" s="1"/>
  <c r="H4797" s="1"/>
  <c r="H4885" s="1"/>
  <c r="H4973" s="1"/>
  <c r="H5061" s="1"/>
  <c r="H5149" s="1"/>
  <c r="H5237" s="1"/>
  <c r="G4181"/>
  <c r="J4180"/>
  <c r="J4268" s="1"/>
  <c r="J4356" s="1"/>
  <c r="J4444" s="1"/>
  <c r="J4532" s="1"/>
  <c r="J4620" s="1"/>
  <c r="J4708" s="1"/>
  <c r="J4796" s="1"/>
  <c r="J4884" s="1"/>
  <c r="J4972" s="1"/>
  <c r="J5060" s="1"/>
  <c r="J5148" s="1"/>
  <c r="J5236" s="1"/>
  <c r="H4180"/>
  <c r="H4268" s="1"/>
  <c r="H4356" s="1"/>
  <c r="H4444" s="1"/>
  <c r="H4532" s="1"/>
  <c r="H4620" s="1"/>
  <c r="H4708" s="1"/>
  <c r="H4796" s="1"/>
  <c r="H4884" s="1"/>
  <c r="H4972" s="1"/>
  <c r="H5060" s="1"/>
  <c r="H5148" s="1"/>
  <c r="H5236" s="1"/>
  <c r="G4180"/>
  <c r="J4179"/>
  <c r="J4267" s="1"/>
  <c r="J4355" s="1"/>
  <c r="J4443" s="1"/>
  <c r="J4531" s="1"/>
  <c r="J4619" s="1"/>
  <c r="J4707" s="1"/>
  <c r="J4795" s="1"/>
  <c r="J4883" s="1"/>
  <c r="J4971" s="1"/>
  <c r="J5059" s="1"/>
  <c r="J5147" s="1"/>
  <c r="J5235" s="1"/>
  <c r="H4179"/>
  <c r="H4267" s="1"/>
  <c r="H4355" s="1"/>
  <c r="H4443" s="1"/>
  <c r="H4531" s="1"/>
  <c r="H4619" s="1"/>
  <c r="H4707" s="1"/>
  <c r="H4795" s="1"/>
  <c r="H4883" s="1"/>
  <c r="H4971" s="1"/>
  <c r="H5059" s="1"/>
  <c r="H5147" s="1"/>
  <c r="H5235" s="1"/>
  <c r="G4179"/>
  <c r="J4178"/>
  <c r="J4266" s="1"/>
  <c r="J4354" s="1"/>
  <c r="J4442" s="1"/>
  <c r="J4530" s="1"/>
  <c r="J4618" s="1"/>
  <c r="J4706" s="1"/>
  <c r="J4794" s="1"/>
  <c r="J4882" s="1"/>
  <c r="J4970" s="1"/>
  <c r="J5058" s="1"/>
  <c r="J5146" s="1"/>
  <c r="J5234" s="1"/>
  <c r="H4178"/>
  <c r="H4266" s="1"/>
  <c r="H4354" s="1"/>
  <c r="H4442" s="1"/>
  <c r="H4530" s="1"/>
  <c r="H4618" s="1"/>
  <c r="H4706" s="1"/>
  <c r="H4794" s="1"/>
  <c r="H4882" s="1"/>
  <c r="H4970" s="1"/>
  <c r="H5058" s="1"/>
  <c r="H5146" s="1"/>
  <c r="H5234" s="1"/>
  <c r="G4178"/>
  <c r="J4177"/>
  <c r="J4265" s="1"/>
  <c r="J4353" s="1"/>
  <c r="J4441" s="1"/>
  <c r="J4529" s="1"/>
  <c r="J4617" s="1"/>
  <c r="J4705" s="1"/>
  <c r="J4793" s="1"/>
  <c r="J4881" s="1"/>
  <c r="J4969" s="1"/>
  <c r="J5057" s="1"/>
  <c r="J5145" s="1"/>
  <c r="J5233" s="1"/>
  <c r="H4177"/>
  <c r="H4265" s="1"/>
  <c r="H4353" s="1"/>
  <c r="H4441" s="1"/>
  <c r="H4529" s="1"/>
  <c r="H4617" s="1"/>
  <c r="H4705" s="1"/>
  <c r="H4793" s="1"/>
  <c r="H4881" s="1"/>
  <c r="H4969" s="1"/>
  <c r="H5057" s="1"/>
  <c r="H5145" s="1"/>
  <c r="H5233" s="1"/>
  <c r="G4177"/>
  <c r="J4176"/>
  <c r="J4264" s="1"/>
  <c r="J4352" s="1"/>
  <c r="J4440" s="1"/>
  <c r="J4528" s="1"/>
  <c r="J4616" s="1"/>
  <c r="J4704" s="1"/>
  <c r="J4792" s="1"/>
  <c r="J4880" s="1"/>
  <c r="J4968" s="1"/>
  <c r="J5056" s="1"/>
  <c r="J5144" s="1"/>
  <c r="J5232" s="1"/>
  <c r="H4176"/>
  <c r="H4264" s="1"/>
  <c r="H4352" s="1"/>
  <c r="H4440" s="1"/>
  <c r="H4528" s="1"/>
  <c r="H4616" s="1"/>
  <c r="H4704" s="1"/>
  <c r="H4792" s="1"/>
  <c r="H4880" s="1"/>
  <c r="H4968" s="1"/>
  <c r="H5056" s="1"/>
  <c r="H5144" s="1"/>
  <c r="H5232" s="1"/>
  <c r="G4176"/>
  <c r="J4175"/>
  <c r="J4263" s="1"/>
  <c r="J4351" s="1"/>
  <c r="J4439" s="1"/>
  <c r="J4527" s="1"/>
  <c r="J4615" s="1"/>
  <c r="J4703" s="1"/>
  <c r="J4791" s="1"/>
  <c r="J4879" s="1"/>
  <c r="J4967" s="1"/>
  <c r="J5055" s="1"/>
  <c r="J5143" s="1"/>
  <c r="J5231" s="1"/>
  <c r="H4175"/>
  <c r="H4263" s="1"/>
  <c r="H4351" s="1"/>
  <c r="H4439" s="1"/>
  <c r="H4527" s="1"/>
  <c r="H4615" s="1"/>
  <c r="H4703" s="1"/>
  <c r="H4791" s="1"/>
  <c r="H4879" s="1"/>
  <c r="H4967" s="1"/>
  <c r="H5055" s="1"/>
  <c r="H5143" s="1"/>
  <c r="H5231" s="1"/>
  <c r="G4175"/>
  <c r="J4174"/>
  <c r="J4262" s="1"/>
  <c r="J4350" s="1"/>
  <c r="J4438" s="1"/>
  <c r="J4526" s="1"/>
  <c r="J4614" s="1"/>
  <c r="J4702" s="1"/>
  <c r="J4790" s="1"/>
  <c r="J4878" s="1"/>
  <c r="J4966" s="1"/>
  <c r="J5054" s="1"/>
  <c r="J5142" s="1"/>
  <c r="J5230" s="1"/>
  <c r="H4174"/>
  <c r="H4262" s="1"/>
  <c r="H4350" s="1"/>
  <c r="H4438" s="1"/>
  <c r="H4526" s="1"/>
  <c r="H4614" s="1"/>
  <c r="H4702" s="1"/>
  <c r="H4790" s="1"/>
  <c r="H4878" s="1"/>
  <c r="H4966" s="1"/>
  <c r="H5054" s="1"/>
  <c r="H5142" s="1"/>
  <c r="H5230" s="1"/>
  <c r="G4174"/>
  <c r="J4173"/>
  <c r="J4261" s="1"/>
  <c r="J4349" s="1"/>
  <c r="J4437" s="1"/>
  <c r="J4525" s="1"/>
  <c r="J4613" s="1"/>
  <c r="J4701" s="1"/>
  <c r="J4789" s="1"/>
  <c r="J4877" s="1"/>
  <c r="J4965" s="1"/>
  <c r="J5053" s="1"/>
  <c r="J5141" s="1"/>
  <c r="J5229" s="1"/>
  <c r="H4173"/>
  <c r="H4261" s="1"/>
  <c r="H4349" s="1"/>
  <c r="H4437" s="1"/>
  <c r="H4525" s="1"/>
  <c r="H4613" s="1"/>
  <c r="H4701" s="1"/>
  <c r="H4789" s="1"/>
  <c r="H4877" s="1"/>
  <c r="H4965" s="1"/>
  <c r="H5053" s="1"/>
  <c r="H5141" s="1"/>
  <c r="H5229" s="1"/>
  <c r="G4173"/>
  <c r="J4172"/>
  <c r="J4260" s="1"/>
  <c r="J4348" s="1"/>
  <c r="J4436" s="1"/>
  <c r="J4524" s="1"/>
  <c r="J4612" s="1"/>
  <c r="J4700" s="1"/>
  <c r="J4788" s="1"/>
  <c r="J4876" s="1"/>
  <c r="J4964" s="1"/>
  <c r="J5052" s="1"/>
  <c r="J5140" s="1"/>
  <c r="J5228" s="1"/>
  <c r="H4172"/>
  <c r="H4260" s="1"/>
  <c r="H4348" s="1"/>
  <c r="H4436" s="1"/>
  <c r="H4524" s="1"/>
  <c r="H4612" s="1"/>
  <c r="H4700" s="1"/>
  <c r="H4788" s="1"/>
  <c r="H4876" s="1"/>
  <c r="H4964" s="1"/>
  <c r="H5052" s="1"/>
  <c r="H5140" s="1"/>
  <c r="H5228" s="1"/>
  <c r="G4172"/>
  <c r="J4171"/>
  <c r="J4259" s="1"/>
  <c r="J4347" s="1"/>
  <c r="J4435" s="1"/>
  <c r="J4523" s="1"/>
  <c r="J4611" s="1"/>
  <c r="J4699" s="1"/>
  <c r="J4787" s="1"/>
  <c r="J4875" s="1"/>
  <c r="J4963" s="1"/>
  <c r="J5051" s="1"/>
  <c r="J5139" s="1"/>
  <c r="J5227" s="1"/>
  <c r="H4171"/>
  <c r="H4259" s="1"/>
  <c r="H4347" s="1"/>
  <c r="H4435" s="1"/>
  <c r="H4523" s="1"/>
  <c r="H4611" s="1"/>
  <c r="H4699" s="1"/>
  <c r="H4787" s="1"/>
  <c r="H4875" s="1"/>
  <c r="H4963" s="1"/>
  <c r="H5051" s="1"/>
  <c r="H5139" s="1"/>
  <c r="H5227" s="1"/>
  <c r="G4171"/>
  <c r="J4170"/>
  <c r="J4258" s="1"/>
  <c r="J4346" s="1"/>
  <c r="J4434" s="1"/>
  <c r="J4522" s="1"/>
  <c r="J4610" s="1"/>
  <c r="J4698" s="1"/>
  <c r="J4786" s="1"/>
  <c r="J4874" s="1"/>
  <c r="J4962" s="1"/>
  <c r="J5050" s="1"/>
  <c r="J5138" s="1"/>
  <c r="J5226" s="1"/>
  <c r="H4170"/>
  <c r="H4258" s="1"/>
  <c r="H4346" s="1"/>
  <c r="H4434" s="1"/>
  <c r="H4522" s="1"/>
  <c r="H4610" s="1"/>
  <c r="H4698" s="1"/>
  <c r="H4786" s="1"/>
  <c r="H4874" s="1"/>
  <c r="H4962" s="1"/>
  <c r="H5050" s="1"/>
  <c r="H5138" s="1"/>
  <c r="H5226" s="1"/>
  <c r="G4170"/>
  <c r="J4169"/>
  <c r="J4257" s="1"/>
  <c r="J4345" s="1"/>
  <c r="J4433" s="1"/>
  <c r="J4521" s="1"/>
  <c r="J4609" s="1"/>
  <c r="J4697" s="1"/>
  <c r="J4785" s="1"/>
  <c r="J4873" s="1"/>
  <c r="J4961" s="1"/>
  <c r="J5049" s="1"/>
  <c r="J5137" s="1"/>
  <c r="J5225" s="1"/>
  <c r="H4169"/>
  <c r="H4257" s="1"/>
  <c r="H4345" s="1"/>
  <c r="H4433" s="1"/>
  <c r="H4521" s="1"/>
  <c r="H4609" s="1"/>
  <c r="H4697" s="1"/>
  <c r="H4785" s="1"/>
  <c r="H4873" s="1"/>
  <c r="H4961" s="1"/>
  <c r="H5049" s="1"/>
  <c r="H5137" s="1"/>
  <c r="H5225" s="1"/>
  <c r="G4169"/>
  <c r="J4168"/>
  <c r="J4256" s="1"/>
  <c r="J4344" s="1"/>
  <c r="J4432" s="1"/>
  <c r="J4520" s="1"/>
  <c r="J4608" s="1"/>
  <c r="J4696" s="1"/>
  <c r="J4784" s="1"/>
  <c r="J4872" s="1"/>
  <c r="J4960" s="1"/>
  <c r="J5048" s="1"/>
  <c r="J5136" s="1"/>
  <c r="J5224" s="1"/>
  <c r="H4168"/>
  <c r="H4256" s="1"/>
  <c r="H4344" s="1"/>
  <c r="H4432" s="1"/>
  <c r="H4520" s="1"/>
  <c r="H4608" s="1"/>
  <c r="H4696" s="1"/>
  <c r="H4784" s="1"/>
  <c r="H4872" s="1"/>
  <c r="H4960" s="1"/>
  <c r="H5048" s="1"/>
  <c r="H5136" s="1"/>
  <c r="H5224" s="1"/>
  <c r="G4168"/>
  <c r="J4167"/>
  <c r="J4255" s="1"/>
  <c r="J4343" s="1"/>
  <c r="J4431" s="1"/>
  <c r="J4519" s="1"/>
  <c r="J4607" s="1"/>
  <c r="J4695" s="1"/>
  <c r="J4783" s="1"/>
  <c r="J4871" s="1"/>
  <c r="J4959" s="1"/>
  <c r="J5047" s="1"/>
  <c r="J5135" s="1"/>
  <c r="J5223" s="1"/>
  <c r="H4167"/>
  <c r="H4255" s="1"/>
  <c r="H4343" s="1"/>
  <c r="H4431" s="1"/>
  <c r="H4519" s="1"/>
  <c r="H4607" s="1"/>
  <c r="H4695" s="1"/>
  <c r="H4783" s="1"/>
  <c r="H4871" s="1"/>
  <c r="H4959" s="1"/>
  <c r="H5047" s="1"/>
  <c r="H5135" s="1"/>
  <c r="H5223" s="1"/>
  <c r="G4167"/>
  <c r="J4166"/>
  <c r="J4254" s="1"/>
  <c r="J4342" s="1"/>
  <c r="J4430" s="1"/>
  <c r="J4518" s="1"/>
  <c r="J4606" s="1"/>
  <c r="J4694" s="1"/>
  <c r="J4782" s="1"/>
  <c r="J4870" s="1"/>
  <c r="J4958" s="1"/>
  <c r="J5046" s="1"/>
  <c r="J5134" s="1"/>
  <c r="J5222" s="1"/>
  <c r="H4166"/>
  <c r="H4254" s="1"/>
  <c r="H4342" s="1"/>
  <c r="H4430" s="1"/>
  <c r="H4518" s="1"/>
  <c r="H4606" s="1"/>
  <c r="H4694" s="1"/>
  <c r="H4782" s="1"/>
  <c r="H4870" s="1"/>
  <c r="H4958" s="1"/>
  <c r="H5046" s="1"/>
  <c r="H5134" s="1"/>
  <c r="H5222" s="1"/>
  <c r="G4166"/>
  <c r="G4121"/>
  <c r="G4120"/>
  <c r="G4119"/>
  <c r="G4118"/>
  <c r="G4117"/>
  <c r="G4116"/>
  <c r="G4115"/>
  <c r="G4114"/>
  <c r="G4113"/>
  <c r="G4112"/>
  <c r="G4111"/>
  <c r="G4110"/>
  <c r="G4109"/>
  <c r="G4108"/>
  <c r="G4107"/>
  <c r="G4106"/>
  <c r="G4105"/>
  <c r="G4104"/>
  <c r="G4103"/>
  <c r="G4102"/>
  <c r="G4101"/>
  <c r="G4100"/>
  <c r="G4099"/>
  <c r="G4098"/>
  <c r="G4097"/>
  <c r="G4096"/>
  <c r="G4095"/>
  <c r="G4094"/>
  <c r="G4093"/>
  <c r="G4092"/>
  <c r="G4091"/>
  <c r="G4090"/>
  <c r="G4089"/>
  <c r="G4088"/>
  <c r="G4087"/>
  <c r="G4086"/>
  <c r="G4085"/>
  <c r="G4084"/>
  <c r="G4083"/>
  <c r="G4082"/>
  <c r="G4081"/>
  <c r="G4080"/>
  <c r="G4079"/>
  <c r="G4078"/>
  <c r="G4033"/>
  <c r="G4032"/>
  <c r="G4031"/>
  <c r="G4030"/>
  <c r="G4029"/>
  <c r="G4028"/>
  <c r="G4027"/>
  <c r="G4026"/>
  <c r="G4025"/>
  <c r="G4024"/>
  <c r="G4023"/>
  <c r="G4022"/>
  <c r="G4021"/>
  <c r="G4020"/>
  <c r="G4019"/>
  <c r="G4018"/>
  <c r="G4017"/>
  <c r="G4016"/>
  <c r="G4015"/>
  <c r="G4014"/>
  <c r="G4013"/>
  <c r="G4012"/>
  <c r="G4011"/>
  <c r="G4010"/>
  <c r="G4009"/>
  <c r="G4008"/>
  <c r="G4007"/>
  <c r="G4006"/>
  <c r="G4005"/>
  <c r="G4004"/>
  <c r="G4003"/>
  <c r="G4002"/>
  <c r="G4001"/>
  <c r="G4000"/>
  <c r="G3999"/>
  <c r="G3998"/>
  <c r="G3997"/>
  <c r="G3996"/>
  <c r="G3995"/>
  <c r="G3994"/>
  <c r="G3993"/>
  <c r="G3992"/>
  <c r="G3991"/>
  <c r="G3990"/>
  <c r="G3945"/>
  <c r="G3944"/>
  <c r="G3943"/>
  <c r="G3942"/>
  <c r="G3941"/>
  <c r="G3940"/>
  <c r="G3939"/>
  <c r="G3938"/>
  <c r="G3937"/>
  <c r="G3936"/>
  <c r="G3935"/>
  <c r="G3934"/>
  <c r="G3933"/>
  <c r="G3932"/>
  <c r="G3931"/>
  <c r="G3930"/>
  <c r="G3929"/>
  <c r="G3928"/>
  <c r="G3927"/>
  <c r="G3926"/>
  <c r="G3925"/>
  <c r="G3924"/>
  <c r="G3923"/>
  <c r="G3922"/>
  <c r="G3921"/>
  <c r="G3920"/>
  <c r="G3919"/>
  <c r="G3918"/>
  <c r="G3917"/>
  <c r="G3916"/>
  <c r="G3915"/>
  <c r="G3914"/>
  <c r="G3913"/>
  <c r="G3912"/>
  <c r="G3911"/>
  <c r="G3910"/>
  <c r="G3909"/>
  <c r="G3908"/>
  <c r="G3907"/>
  <c r="G3906"/>
  <c r="G3905"/>
  <c r="G3904"/>
  <c r="G3903"/>
  <c r="G3902"/>
  <c r="G3857"/>
  <c r="G3856"/>
  <c r="G3855"/>
  <c r="G3854"/>
  <c r="G3853"/>
  <c r="G3852"/>
  <c r="G3851"/>
  <c r="G3850"/>
  <c r="G3849"/>
  <c r="G3848"/>
  <c r="G3847"/>
  <c r="G3846"/>
  <c r="G3845"/>
  <c r="G3844"/>
  <c r="G3843"/>
  <c r="G3842"/>
  <c r="G3841"/>
  <c r="G3840"/>
  <c r="G3839"/>
  <c r="G3838"/>
  <c r="G3837"/>
  <c r="G3836"/>
  <c r="G3835"/>
  <c r="G3834"/>
  <c r="G3833"/>
  <c r="G3832"/>
  <c r="G3831"/>
  <c r="G3830"/>
  <c r="G3829"/>
  <c r="G3828"/>
  <c r="G3827"/>
  <c r="G3826"/>
  <c r="G3825"/>
  <c r="G3824"/>
  <c r="G3823"/>
  <c r="G3822"/>
  <c r="G3821"/>
  <c r="G3820"/>
  <c r="G3819"/>
  <c r="G3818"/>
  <c r="G3817"/>
  <c r="G3816"/>
  <c r="G3815"/>
  <c r="G3814"/>
  <c r="G3769"/>
  <c r="G3768"/>
  <c r="G3767"/>
  <c r="G3766"/>
  <c r="G3765"/>
  <c r="G3764"/>
  <c r="G3763"/>
  <c r="G3762"/>
  <c r="G3761"/>
  <c r="G3760"/>
  <c r="G3759"/>
  <c r="G3758"/>
  <c r="G3757"/>
  <c r="G3756"/>
  <c r="G3755"/>
  <c r="G3754"/>
  <c r="G3753"/>
  <c r="G3752"/>
  <c r="G3751"/>
  <c r="G3750"/>
  <c r="G3749"/>
  <c r="G3748"/>
  <c r="G3747"/>
  <c r="G3746"/>
  <c r="G3745"/>
  <c r="G3744"/>
  <c r="G3743"/>
  <c r="G3742"/>
  <c r="G3741"/>
  <c r="G3740"/>
  <c r="G3739"/>
  <c r="G3738"/>
  <c r="G3737"/>
  <c r="G3736"/>
  <c r="G3735"/>
  <c r="G3734"/>
  <c r="G3733"/>
  <c r="G3732"/>
  <c r="G3731"/>
  <c r="G3730"/>
  <c r="G3729"/>
  <c r="G3728"/>
  <c r="G3727"/>
  <c r="G3726"/>
  <c r="G3681"/>
  <c r="G3680"/>
  <c r="G3679"/>
  <c r="G3678"/>
  <c r="G3677"/>
  <c r="G3676"/>
  <c r="G3675"/>
  <c r="G3674"/>
  <c r="G3673"/>
  <c r="G3672"/>
  <c r="G3671"/>
  <c r="G3670"/>
  <c r="G3669"/>
  <c r="G3668"/>
  <c r="G3667"/>
  <c r="G3666"/>
  <c r="G3665"/>
  <c r="G3664"/>
  <c r="G3663"/>
  <c r="G3662"/>
  <c r="G3661"/>
  <c r="G3660"/>
  <c r="G3659"/>
  <c r="G3658"/>
  <c r="G3657"/>
  <c r="G3656"/>
  <c r="G3655"/>
  <c r="G3654"/>
  <c r="G3653"/>
  <c r="G3652"/>
  <c r="G3651"/>
  <c r="G3650"/>
  <c r="G3649"/>
  <c r="G3648"/>
  <c r="G3647"/>
  <c r="G3646"/>
  <c r="G3645"/>
  <c r="G3644"/>
  <c r="G3643"/>
  <c r="G3642"/>
  <c r="G3641"/>
  <c r="G3640"/>
  <c r="G3639"/>
  <c r="G3638"/>
  <c r="G3593"/>
  <c r="G3592"/>
  <c r="G3591"/>
  <c r="G3590"/>
  <c r="G3589"/>
  <c r="G3588"/>
  <c r="G3587"/>
  <c r="G3586"/>
  <c r="G3585"/>
  <c r="G3584"/>
  <c r="G3583"/>
  <c r="G3582"/>
  <c r="G3581"/>
  <c r="G3580"/>
  <c r="G3579"/>
  <c r="G3578"/>
  <c r="G3577"/>
  <c r="G3576"/>
  <c r="G3575"/>
  <c r="G3574"/>
  <c r="G3573"/>
  <c r="G3572"/>
  <c r="G3571"/>
  <c r="G3570"/>
  <c r="G3569"/>
  <c r="G3568"/>
  <c r="G3567"/>
  <c r="G3566"/>
  <c r="G3565"/>
  <c r="G3564"/>
  <c r="G3563"/>
  <c r="G3562"/>
  <c r="G3561"/>
  <c r="G3560"/>
  <c r="G3559"/>
  <c r="G3558"/>
  <c r="G3557"/>
  <c r="G3556"/>
  <c r="G3555"/>
  <c r="G3554"/>
  <c r="G3553"/>
  <c r="G3552"/>
  <c r="G3551"/>
  <c r="G3550"/>
  <c r="G3505"/>
  <c r="G3504"/>
  <c r="G3503"/>
  <c r="G3502"/>
  <c r="G3501"/>
  <c r="G3500"/>
  <c r="G3499"/>
  <c r="G3498"/>
  <c r="G3497"/>
  <c r="G3496"/>
  <c r="G3495"/>
  <c r="G3494"/>
  <c r="G3493"/>
  <c r="G3492"/>
  <c r="G3491"/>
  <c r="G3490"/>
  <c r="G3489"/>
  <c r="G3488"/>
  <c r="G3487"/>
  <c r="G3486"/>
  <c r="G3485"/>
  <c r="G3484"/>
  <c r="G3483"/>
  <c r="G3482"/>
  <c r="G3481"/>
  <c r="G3480"/>
  <c r="G3479"/>
  <c r="G3478"/>
  <c r="G3477"/>
  <c r="G3476"/>
  <c r="G3475"/>
  <c r="G3474"/>
  <c r="G3473"/>
  <c r="G3472"/>
  <c r="G3471"/>
  <c r="G3470"/>
  <c r="G3469"/>
  <c r="G3468"/>
  <c r="G3467"/>
  <c r="G3466"/>
  <c r="G3465"/>
  <c r="G3464"/>
  <c r="G3463"/>
  <c r="G3462"/>
  <c r="G3417"/>
  <c r="G3416"/>
  <c r="G3415"/>
  <c r="G3414"/>
  <c r="G3413"/>
  <c r="G3412"/>
  <c r="G3411"/>
  <c r="G3410"/>
  <c r="G3409"/>
  <c r="G3408"/>
  <c r="G3407"/>
  <c r="G3406"/>
  <c r="G3405"/>
  <c r="G3404"/>
  <c r="G3403"/>
  <c r="G3402"/>
  <c r="G3401"/>
  <c r="G3400"/>
  <c r="G3399"/>
  <c r="G3398"/>
  <c r="G3397"/>
  <c r="G3396"/>
  <c r="G3395"/>
  <c r="G3394"/>
  <c r="G3393"/>
  <c r="G3392"/>
  <c r="G3391"/>
  <c r="G3390"/>
  <c r="G3389"/>
  <c r="G3388"/>
  <c r="G3387"/>
  <c r="G3386"/>
  <c r="G3385"/>
  <c r="G3384"/>
  <c r="G3383"/>
  <c r="G3382"/>
  <c r="G3381"/>
  <c r="G3380"/>
  <c r="G3379"/>
  <c r="G3378"/>
  <c r="G3377"/>
  <c r="G3376"/>
  <c r="G3375"/>
  <c r="G3374"/>
  <c r="G3329"/>
  <c r="G3328"/>
  <c r="G3327"/>
  <c r="G3326"/>
  <c r="G3325"/>
  <c r="G3324"/>
  <c r="G3323"/>
  <c r="G3322"/>
  <c r="G3321"/>
  <c r="G3320"/>
  <c r="G3319"/>
  <c r="G3318"/>
  <c r="G3317"/>
  <c r="G3316"/>
  <c r="G3315"/>
  <c r="G3314"/>
  <c r="G3313"/>
  <c r="G3312"/>
  <c r="G3311"/>
  <c r="G3310"/>
  <c r="G3309"/>
  <c r="G3308"/>
  <c r="G3307"/>
  <c r="G3306"/>
  <c r="G3305"/>
  <c r="G3304"/>
  <c r="G3303"/>
  <c r="G3302"/>
  <c r="G3301"/>
  <c r="G3300"/>
  <c r="G3299"/>
  <c r="G3298"/>
  <c r="G3297"/>
  <c r="G3296"/>
  <c r="G3295"/>
  <c r="G3294"/>
  <c r="G3293"/>
  <c r="G3292"/>
  <c r="G3291"/>
  <c r="G3290"/>
  <c r="G3289"/>
  <c r="G3288"/>
  <c r="G3287"/>
  <c r="G3286"/>
  <c r="G3241"/>
  <c r="G3240"/>
  <c r="G3239"/>
  <c r="G3238"/>
  <c r="G3237"/>
  <c r="G3236"/>
  <c r="G3235"/>
  <c r="G3234"/>
  <c r="G3233"/>
  <c r="G3232"/>
  <c r="G3231"/>
  <c r="G3230"/>
  <c r="G3229"/>
  <c r="G3228"/>
  <c r="G3227"/>
  <c r="G3226"/>
  <c r="G3225"/>
  <c r="G3224"/>
  <c r="G3223"/>
  <c r="G3222"/>
  <c r="G3221"/>
  <c r="G3220"/>
  <c r="G3219"/>
  <c r="G3218"/>
  <c r="G3217"/>
  <c r="G3216"/>
  <c r="G3215"/>
  <c r="G3214"/>
  <c r="G3213"/>
  <c r="G3212"/>
  <c r="G3211"/>
  <c r="G3210"/>
  <c r="G3209"/>
  <c r="G3208"/>
  <c r="G3207"/>
  <c r="G3206"/>
  <c r="G3205"/>
  <c r="G3204"/>
  <c r="G3203"/>
  <c r="G3202"/>
  <c r="G3201"/>
  <c r="G3200"/>
  <c r="G3199"/>
  <c r="G3198"/>
  <c r="C3191"/>
  <c r="C3279" s="1"/>
  <c r="C3367" s="1"/>
  <c r="C3455" s="1"/>
  <c r="C3543" s="1"/>
  <c r="C3631" s="1"/>
  <c r="C3719" s="1"/>
  <c r="C3807" s="1"/>
  <c r="C3895" s="1"/>
  <c r="C3983" s="1"/>
  <c r="C4071" s="1"/>
  <c r="B3168"/>
  <c r="B3256" s="1"/>
  <c r="B3344" s="1"/>
  <c r="B3432" s="1"/>
  <c r="B3520" s="1"/>
  <c r="B3608" s="1"/>
  <c r="B3696" s="1"/>
  <c r="B3784" s="1"/>
  <c r="B3872" s="1"/>
  <c r="B3960" s="1"/>
  <c r="B4048" s="1"/>
  <c r="C3163"/>
  <c r="C3251" s="1"/>
  <c r="C3339" s="1"/>
  <c r="C3427" s="1"/>
  <c r="C3515" s="1"/>
  <c r="C3603" s="1"/>
  <c r="C3691" s="1"/>
  <c r="C3779" s="1"/>
  <c r="C3867" s="1"/>
  <c r="C3955" s="1"/>
  <c r="C4043" s="1"/>
  <c r="C3161"/>
  <c r="C3249" s="1"/>
  <c r="C3337" s="1"/>
  <c r="C3425" s="1"/>
  <c r="C3513" s="1"/>
  <c r="C3601" s="1"/>
  <c r="C3689" s="1"/>
  <c r="C3777" s="1"/>
  <c r="C3865" s="1"/>
  <c r="C3953" s="1"/>
  <c r="C4041" s="1"/>
  <c r="G3153"/>
  <c r="G3152"/>
  <c r="G3151"/>
  <c r="C3151"/>
  <c r="C3239" s="1"/>
  <c r="C3327" s="1"/>
  <c r="C3415" s="1"/>
  <c r="C3503" s="1"/>
  <c r="C3591" s="1"/>
  <c r="C3679" s="1"/>
  <c r="C3767" s="1"/>
  <c r="C3855" s="1"/>
  <c r="C3943" s="1"/>
  <c r="C4031" s="1"/>
  <c r="G3150"/>
  <c r="G3149"/>
  <c r="G3148"/>
  <c r="B3148"/>
  <c r="B3236" s="1"/>
  <c r="B3324" s="1"/>
  <c r="B3412" s="1"/>
  <c r="B3500" s="1"/>
  <c r="B3588" s="1"/>
  <c r="B3676" s="1"/>
  <c r="B3764" s="1"/>
  <c r="B3852" s="1"/>
  <c r="B3940" s="1"/>
  <c r="B4028" s="1"/>
  <c r="G3147"/>
  <c r="G3146"/>
  <c r="G3145"/>
  <c r="G3144"/>
  <c r="G3143"/>
  <c r="G3142"/>
  <c r="G3141"/>
  <c r="G3140"/>
  <c r="G3139"/>
  <c r="G3138"/>
  <c r="G3137"/>
  <c r="G3136"/>
  <c r="G3135"/>
  <c r="G3134"/>
  <c r="G3133"/>
  <c r="G3132"/>
  <c r="G3131"/>
  <c r="G3130"/>
  <c r="G3129"/>
  <c r="G3128"/>
  <c r="G3127"/>
  <c r="G3126"/>
  <c r="G3125"/>
  <c r="G3124"/>
  <c r="G3123"/>
  <c r="G3122"/>
  <c r="G3121"/>
  <c r="G3120"/>
  <c r="G3119"/>
  <c r="G3118"/>
  <c r="G3117"/>
  <c r="G3116"/>
  <c r="G3115"/>
  <c r="B3115"/>
  <c r="B3203" s="1"/>
  <c r="B3291" s="1"/>
  <c r="B3379" s="1"/>
  <c r="B3467" s="1"/>
  <c r="B3555" s="1"/>
  <c r="B3643" s="1"/>
  <c r="B3731" s="1"/>
  <c r="B3819" s="1"/>
  <c r="B3907" s="1"/>
  <c r="B3995" s="1"/>
  <c r="G3114"/>
  <c r="G3113"/>
  <c r="C3113"/>
  <c r="C3201" s="1"/>
  <c r="C3289" s="1"/>
  <c r="C3377" s="1"/>
  <c r="C3465" s="1"/>
  <c r="C3553" s="1"/>
  <c r="C3641" s="1"/>
  <c r="C3729" s="1"/>
  <c r="C3817" s="1"/>
  <c r="C3905" s="1"/>
  <c r="C3993" s="1"/>
  <c r="G3112"/>
  <c r="G3111"/>
  <c r="G3110"/>
  <c r="C3109"/>
  <c r="C3197" s="1"/>
  <c r="C3285" s="1"/>
  <c r="C3373" s="1"/>
  <c r="C3461" s="1"/>
  <c r="C3549" s="1"/>
  <c r="C3637" s="1"/>
  <c r="C3725" s="1"/>
  <c r="C3813" s="1"/>
  <c r="C3901" s="1"/>
  <c r="C3989" s="1"/>
  <c r="C4077" s="1"/>
  <c r="B3109"/>
  <c r="B3197" s="1"/>
  <c r="B3285" s="1"/>
  <c r="B3373" s="1"/>
  <c r="B3461" s="1"/>
  <c r="B3549" s="1"/>
  <c r="B3637" s="1"/>
  <c r="B3725" s="1"/>
  <c r="B3813" s="1"/>
  <c r="B3901" s="1"/>
  <c r="B3989" s="1"/>
  <c r="B4077" s="1"/>
  <c r="C3108"/>
  <c r="C3196" s="1"/>
  <c r="C3284" s="1"/>
  <c r="C3372" s="1"/>
  <c r="C3460" s="1"/>
  <c r="C3548" s="1"/>
  <c r="C3636" s="1"/>
  <c r="C3724" s="1"/>
  <c r="C3812" s="1"/>
  <c r="C3900" s="1"/>
  <c r="C3988" s="1"/>
  <c r="C4076" s="1"/>
  <c r="B3108"/>
  <c r="B3196" s="1"/>
  <c r="B3284" s="1"/>
  <c r="B3372" s="1"/>
  <c r="B3460" s="1"/>
  <c r="B3548" s="1"/>
  <c r="B3636" s="1"/>
  <c r="B3724" s="1"/>
  <c r="B3812" s="1"/>
  <c r="B3900" s="1"/>
  <c r="B3988" s="1"/>
  <c r="B4076" s="1"/>
  <c r="C3107"/>
  <c r="C3195" s="1"/>
  <c r="C3283" s="1"/>
  <c r="C3371" s="1"/>
  <c r="C3459" s="1"/>
  <c r="C3547" s="1"/>
  <c r="C3635" s="1"/>
  <c r="C3723" s="1"/>
  <c r="C3811" s="1"/>
  <c r="C3899" s="1"/>
  <c r="C3987" s="1"/>
  <c r="C4075" s="1"/>
  <c r="B3107"/>
  <c r="B3195" s="1"/>
  <c r="B3283" s="1"/>
  <c r="B3371" s="1"/>
  <c r="B3459" s="1"/>
  <c r="B3547" s="1"/>
  <c r="B3635" s="1"/>
  <c r="B3723" s="1"/>
  <c r="B3811" s="1"/>
  <c r="B3899" s="1"/>
  <c r="B3987" s="1"/>
  <c r="B4075" s="1"/>
  <c r="C3106"/>
  <c r="C3194" s="1"/>
  <c r="C3282" s="1"/>
  <c r="C3370" s="1"/>
  <c r="C3458" s="1"/>
  <c r="C3546" s="1"/>
  <c r="C3634" s="1"/>
  <c r="C3722" s="1"/>
  <c r="C3810" s="1"/>
  <c r="C3898" s="1"/>
  <c r="C3986" s="1"/>
  <c r="C4074" s="1"/>
  <c r="B3106"/>
  <c r="B3194" s="1"/>
  <c r="B3282" s="1"/>
  <c r="B3370" s="1"/>
  <c r="B3458" s="1"/>
  <c r="B3546" s="1"/>
  <c r="B3634" s="1"/>
  <c r="B3722" s="1"/>
  <c r="B3810" s="1"/>
  <c r="B3898" s="1"/>
  <c r="B3986" s="1"/>
  <c r="B4074" s="1"/>
  <c r="C3105"/>
  <c r="C3193" s="1"/>
  <c r="C3281" s="1"/>
  <c r="C3369" s="1"/>
  <c r="C3457" s="1"/>
  <c r="C3545" s="1"/>
  <c r="C3633" s="1"/>
  <c r="C3721" s="1"/>
  <c r="C3809" s="1"/>
  <c r="C3897" s="1"/>
  <c r="C3985" s="1"/>
  <c r="C4073" s="1"/>
  <c r="B3105"/>
  <c r="B3193" s="1"/>
  <c r="B3281" s="1"/>
  <c r="B3369" s="1"/>
  <c r="B3457" s="1"/>
  <c r="B3545" s="1"/>
  <c r="B3633" s="1"/>
  <c r="B3721" s="1"/>
  <c r="B3809" s="1"/>
  <c r="B3897" s="1"/>
  <c r="B3985" s="1"/>
  <c r="B4073" s="1"/>
  <c r="C3104"/>
  <c r="C3192" s="1"/>
  <c r="C3280" s="1"/>
  <c r="C3368" s="1"/>
  <c r="C3456" s="1"/>
  <c r="C3544" s="1"/>
  <c r="C3632" s="1"/>
  <c r="C3720" s="1"/>
  <c r="C3808" s="1"/>
  <c r="C3896" s="1"/>
  <c r="C3984" s="1"/>
  <c r="C4072" s="1"/>
  <c r="B3104"/>
  <c r="B3192" s="1"/>
  <c r="B3280" s="1"/>
  <c r="B3368" s="1"/>
  <c r="B3456" s="1"/>
  <c r="B3544" s="1"/>
  <c r="B3632" s="1"/>
  <c r="B3720" s="1"/>
  <c r="B3808" s="1"/>
  <c r="B3896" s="1"/>
  <c r="B3984" s="1"/>
  <c r="B4072" s="1"/>
  <c r="C3103"/>
  <c r="B3103"/>
  <c r="B3191" s="1"/>
  <c r="B3279" s="1"/>
  <c r="B3367" s="1"/>
  <c r="B3455" s="1"/>
  <c r="B3543" s="1"/>
  <c r="B3631" s="1"/>
  <c r="B3719" s="1"/>
  <c r="B3807" s="1"/>
  <c r="B3895" s="1"/>
  <c r="B3983" s="1"/>
  <c r="B4071" s="1"/>
  <c r="C3102"/>
  <c r="C3190" s="1"/>
  <c r="C3278" s="1"/>
  <c r="C3366" s="1"/>
  <c r="C3454" s="1"/>
  <c r="C3542" s="1"/>
  <c r="C3630" s="1"/>
  <c r="C3718" s="1"/>
  <c r="C3806" s="1"/>
  <c r="C3894" s="1"/>
  <c r="C3982" s="1"/>
  <c r="C4070" s="1"/>
  <c r="B3102"/>
  <c r="B3190" s="1"/>
  <c r="B3278" s="1"/>
  <c r="B3366" s="1"/>
  <c r="B3454" s="1"/>
  <c r="B3542" s="1"/>
  <c r="B3630" s="1"/>
  <c r="B3718" s="1"/>
  <c r="B3806" s="1"/>
  <c r="B3894" s="1"/>
  <c r="B3982" s="1"/>
  <c r="B4070" s="1"/>
  <c r="C3101"/>
  <c r="C3189" s="1"/>
  <c r="C3277" s="1"/>
  <c r="C3365" s="1"/>
  <c r="C3453" s="1"/>
  <c r="C3541" s="1"/>
  <c r="C3629" s="1"/>
  <c r="C3717" s="1"/>
  <c r="C3805" s="1"/>
  <c r="C3893" s="1"/>
  <c r="C3981" s="1"/>
  <c r="C4069" s="1"/>
  <c r="B3101"/>
  <c r="B3189" s="1"/>
  <c r="B3277" s="1"/>
  <c r="B3365" s="1"/>
  <c r="B3453" s="1"/>
  <c r="B3541" s="1"/>
  <c r="B3629" s="1"/>
  <c r="B3717" s="1"/>
  <c r="B3805" s="1"/>
  <c r="B3893" s="1"/>
  <c r="B3981" s="1"/>
  <c r="B4069" s="1"/>
  <c r="C3100"/>
  <c r="C3188" s="1"/>
  <c r="C3276" s="1"/>
  <c r="C3364" s="1"/>
  <c r="C3452" s="1"/>
  <c r="C3540" s="1"/>
  <c r="C3628" s="1"/>
  <c r="C3716" s="1"/>
  <c r="C3804" s="1"/>
  <c r="C3892" s="1"/>
  <c r="C3980" s="1"/>
  <c r="C4068" s="1"/>
  <c r="B3100"/>
  <c r="B3188" s="1"/>
  <c r="B3276" s="1"/>
  <c r="B3364" s="1"/>
  <c r="B3452" s="1"/>
  <c r="B3540" s="1"/>
  <c r="B3628" s="1"/>
  <c r="B3716" s="1"/>
  <c r="B3804" s="1"/>
  <c r="B3892" s="1"/>
  <c r="B3980" s="1"/>
  <c r="B4068" s="1"/>
  <c r="C3099"/>
  <c r="C3187" s="1"/>
  <c r="C3275" s="1"/>
  <c r="C3363" s="1"/>
  <c r="C3451" s="1"/>
  <c r="C3539" s="1"/>
  <c r="C3627" s="1"/>
  <c r="C3715" s="1"/>
  <c r="C3803" s="1"/>
  <c r="C3891" s="1"/>
  <c r="C3979" s="1"/>
  <c r="C4067" s="1"/>
  <c r="B3099"/>
  <c r="B3187" s="1"/>
  <c r="B3275" s="1"/>
  <c r="B3363" s="1"/>
  <c r="B3451" s="1"/>
  <c r="B3539" s="1"/>
  <c r="B3627" s="1"/>
  <c r="B3715" s="1"/>
  <c r="B3803" s="1"/>
  <c r="B3891" s="1"/>
  <c r="B3979" s="1"/>
  <c r="B4067" s="1"/>
  <c r="C3098"/>
  <c r="C3186" s="1"/>
  <c r="C3274" s="1"/>
  <c r="C3362" s="1"/>
  <c r="C3450" s="1"/>
  <c r="C3538" s="1"/>
  <c r="C3626" s="1"/>
  <c r="C3714" s="1"/>
  <c r="C3802" s="1"/>
  <c r="C3890" s="1"/>
  <c r="C3978" s="1"/>
  <c r="C4066" s="1"/>
  <c r="B3098"/>
  <c r="B3186" s="1"/>
  <c r="B3274" s="1"/>
  <c r="B3362" s="1"/>
  <c r="B3450" s="1"/>
  <c r="B3538" s="1"/>
  <c r="B3626" s="1"/>
  <c r="B3714" s="1"/>
  <c r="B3802" s="1"/>
  <c r="B3890" s="1"/>
  <c r="B3978" s="1"/>
  <c r="B4066" s="1"/>
  <c r="C3097"/>
  <c r="C3185" s="1"/>
  <c r="C3273" s="1"/>
  <c r="C3361" s="1"/>
  <c r="C3449" s="1"/>
  <c r="C3537" s="1"/>
  <c r="C3625" s="1"/>
  <c r="C3713" s="1"/>
  <c r="C3801" s="1"/>
  <c r="C3889" s="1"/>
  <c r="C3977" s="1"/>
  <c r="C4065" s="1"/>
  <c r="B3097"/>
  <c r="B3185" s="1"/>
  <c r="B3273" s="1"/>
  <c r="B3361" s="1"/>
  <c r="B3449" s="1"/>
  <c r="B3537" s="1"/>
  <c r="B3625" s="1"/>
  <c r="B3713" s="1"/>
  <c r="B3801" s="1"/>
  <c r="B3889" s="1"/>
  <c r="B3977" s="1"/>
  <c r="B4065" s="1"/>
  <c r="C3096"/>
  <c r="C3184" s="1"/>
  <c r="C3272" s="1"/>
  <c r="C3360" s="1"/>
  <c r="C3448" s="1"/>
  <c r="C3536" s="1"/>
  <c r="C3624" s="1"/>
  <c r="C3712" s="1"/>
  <c r="C3800" s="1"/>
  <c r="C3888" s="1"/>
  <c r="C3976" s="1"/>
  <c r="C4064" s="1"/>
  <c r="B3096"/>
  <c r="B3184" s="1"/>
  <c r="B3272" s="1"/>
  <c r="B3360" s="1"/>
  <c r="B3448" s="1"/>
  <c r="B3536" s="1"/>
  <c r="B3624" s="1"/>
  <c r="B3712" s="1"/>
  <c r="B3800" s="1"/>
  <c r="B3888" s="1"/>
  <c r="B3976" s="1"/>
  <c r="B4064" s="1"/>
  <c r="C3095"/>
  <c r="C3183" s="1"/>
  <c r="C3271" s="1"/>
  <c r="C3359" s="1"/>
  <c r="C3447" s="1"/>
  <c r="C3535" s="1"/>
  <c r="C3623" s="1"/>
  <c r="C3711" s="1"/>
  <c r="C3799" s="1"/>
  <c r="C3887" s="1"/>
  <c r="C3975" s="1"/>
  <c r="C4063" s="1"/>
  <c r="B3095"/>
  <c r="B3183" s="1"/>
  <c r="B3271" s="1"/>
  <c r="B3359" s="1"/>
  <c r="B3447" s="1"/>
  <c r="B3535" s="1"/>
  <c r="B3623" s="1"/>
  <c r="B3711" s="1"/>
  <c r="B3799" s="1"/>
  <c r="B3887" s="1"/>
  <c r="B3975" s="1"/>
  <c r="B4063" s="1"/>
  <c r="C3094"/>
  <c r="C3182" s="1"/>
  <c r="C3270" s="1"/>
  <c r="C3358" s="1"/>
  <c r="C3446" s="1"/>
  <c r="C3534" s="1"/>
  <c r="C3622" s="1"/>
  <c r="C3710" s="1"/>
  <c r="C3798" s="1"/>
  <c r="C3886" s="1"/>
  <c r="C3974" s="1"/>
  <c r="C4062" s="1"/>
  <c r="B3094"/>
  <c r="B3182" s="1"/>
  <c r="B3270" s="1"/>
  <c r="B3358" s="1"/>
  <c r="B3446" s="1"/>
  <c r="B3534" s="1"/>
  <c r="B3622" s="1"/>
  <c r="B3710" s="1"/>
  <c r="B3798" s="1"/>
  <c r="B3886" s="1"/>
  <c r="B3974" s="1"/>
  <c r="B4062" s="1"/>
  <c r="C3093"/>
  <c r="C3181" s="1"/>
  <c r="C3269" s="1"/>
  <c r="C3357" s="1"/>
  <c r="C3445" s="1"/>
  <c r="C3533" s="1"/>
  <c r="C3621" s="1"/>
  <c r="C3709" s="1"/>
  <c r="C3797" s="1"/>
  <c r="C3885" s="1"/>
  <c r="C3973" s="1"/>
  <c r="C4061" s="1"/>
  <c r="B3093"/>
  <c r="B3181" s="1"/>
  <c r="B3269" s="1"/>
  <c r="B3357" s="1"/>
  <c r="B3445" s="1"/>
  <c r="B3533" s="1"/>
  <c r="B3621" s="1"/>
  <c r="B3709" s="1"/>
  <c r="B3797" s="1"/>
  <c r="B3885" s="1"/>
  <c r="B3973" s="1"/>
  <c r="B4061" s="1"/>
  <c r="C3092"/>
  <c r="C3180" s="1"/>
  <c r="C3268" s="1"/>
  <c r="C3356" s="1"/>
  <c r="C3444" s="1"/>
  <c r="C3532" s="1"/>
  <c r="C3620" s="1"/>
  <c r="C3708" s="1"/>
  <c r="C3796" s="1"/>
  <c r="C3884" s="1"/>
  <c r="C3972" s="1"/>
  <c r="C4060" s="1"/>
  <c r="B3092"/>
  <c r="B3180" s="1"/>
  <c r="B3268" s="1"/>
  <c r="B3356" s="1"/>
  <c r="B3444" s="1"/>
  <c r="B3532" s="1"/>
  <c r="B3620" s="1"/>
  <c r="B3708" s="1"/>
  <c r="B3796" s="1"/>
  <c r="B3884" s="1"/>
  <c r="B3972" s="1"/>
  <c r="B4060" s="1"/>
  <c r="C3091"/>
  <c r="C3179" s="1"/>
  <c r="C3267" s="1"/>
  <c r="C3355" s="1"/>
  <c r="C3443" s="1"/>
  <c r="C3531" s="1"/>
  <c r="C3619" s="1"/>
  <c r="C3707" s="1"/>
  <c r="C3795" s="1"/>
  <c r="C3883" s="1"/>
  <c r="C3971" s="1"/>
  <c r="C4059" s="1"/>
  <c r="B3091"/>
  <c r="B3179" s="1"/>
  <c r="B3267" s="1"/>
  <c r="B3355" s="1"/>
  <c r="B3443" s="1"/>
  <c r="B3531" s="1"/>
  <c r="B3619" s="1"/>
  <c r="B3707" s="1"/>
  <c r="B3795" s="1"/>
  <c r="B3883" s="1"/>
  <c r="B3971" s="1"/>
  <c r="B4059" s="1"/>
  <c r="C3090"/>
  <c r="C3178" s="1"/>
  <c r="C3266" s="1"/>
  <c r="C3354" s="1"/>
  <c r="C3442" s="1"/>
  <c r="C3530" s="1"/>
  <c r="C3618" s="1"/>
  <c r="C3706" s="1"/>
  <c r="C3794" s="1"/>
  <c r="C3882" s="1"/>
  <c r="C3970" s="1"/>
  <c r="C4058" s="1"/>
  <c r="B3090"/>
  <c r="B3178" s="1"/>
  <c r="B3266" s="1"/>
  <c r="B3354" s="1"/>
  <c r="B3442" s="1"/>
  <c r="B3530" s="1"/>
  <c r="B3618" s="1"/>
  <c r="B3706" s="1"/>
  <c r="B3794" s="1"/>
  <c r="B3882" s="1"/>
  <c r="B3970" s="1"/>
  <c r="B4058" s="1"/>
  <c r="C3089"/>
  <c r="C3177" s="1"/>
  <c r="C3265" s="1"/>
  <c r="C3353" s="1"/>
  <c r="C3441" s="1"/>
  <c r="C3529" s="1"/>
  <c r="C3617" s="1"/>
  <c r="C3705" s="1"/>
  <c r="C3793" s="1"/>
  <c r="C3881" s="1"/>
  <c r="C3969" s="1"/>
  <c r="C4057" s="1"/>
  <c r="B3089"/>
  <c r="B3177" s="1"/>
  <c r="B3265" s="1"/>
  <c r="B3353" s="1"/>
  <c r="B3441" s="1"/>
  <c r="B3529" s="1"/>
  <c r="B3617" s="1"/>
  <c r="B3705" s="1"/>
  <c r="B3793" s="1"/>
  <c r="B3881" s="1"/>
  <c r="B3969" s="1"/>
  <c r="B4057" s="1"/>
  <c r="C3088"/>
  <c r="C3176" s="1"/>
  <c r="C3264" s="1"/>
  <c r="C3352" s="1"/>
  <c r="C3440" s="1"/>
  <c r="C3528" s="1"/>
  <c r="C3616" s="1"/>
  <c r="C3704" s="1"/>
  <c r="C3792" s="1"/>
  <c r="C3880" s="1"/>
  <c r="C3968" s="1"/>
  <c r="C4056" s="1"/>
  <c r="B3088"/>
  <c r="B3176" s="1"/>
  <c r="B3264" s="1"/>
  <c r="B3352" s="1"/>
  <c r="B3440" s="1"/>
  <c r="B3528" s="1"/>
  <c r="B3616" s="1"/>
  <c r="B3704" s="1"/>
  <c r="B3792" s="1"/>
  <c r="B3880" s="1"/>
  <c r="B3968" s="1"/>
  <c r="B4056" s="1"/>
  <c r="C3087"/>
  <c r="C3175" s="1"/>
  <c r="C3263" s="1"/>
  <c r="C3351" s="1"/>
  <c r="C3439" s="1"/>
  <c r="C3527" s="1"/>
  <c r="C3615" s="1"/>
  <c r="C3703" s="1"/>
  <c r="C3791" s="1"/>
  <c r="C3879" s="1"/>
  <c r="C3967" s="1"/>
  <c r="C4055" s="1"/>
  <c r="B3087"/>
  <c r="B3175" s="1"/>
  <c r="B3263" s="1"/>
  <c r="B3351" s="1"/>
  <c r="B3439" s="1"/>
  <c r="B3527" s="1"/>
  <c r="B3615" s="1"/>
  <c r="B3703" s="1"/>
  <c r="B3791" s="1"/>
  <c r="B3879" s="1"/>
  <c r="B3967" s="1"/>
  <c r="B4055" s="1"/>
  <c r="C3086"/>
  <c r="C3174" s="1"/>
  <c r="C3262" s="1"/>
  <c r="C3350" s="1"/>
  <c r="C3438" s="1"/>
  <c r="C3526" s="1"/>
  <c r="C3614" s="1"/>
  <c r="C3702" s="1"/>
  <c r="C3790" s="1"/>
  <c r="C3878" s="1"/>
  <c r="C3966" s="1"/>
  <c r="C4054" s="1"/>
  <c r="B3086"/>
  <c r="B3174" s="1"/>
  <c r="B3262" s="1"/>
  <c r="B3350" s="1"/>
  <c r="B3438" s="1"/>
  <c r="B3526" s="1"/>
  <c r="B3614" s="1"/>
  <c r="B3702" s="1"/>
  <c r="B3790" s="1"/>
  <c r="B3878" s="1"/>
  <c r="B3966" s="1"/>
  <c r="B4054" s="1"/>
  <c r="C3085"/>
  <c r="C3173" s="1"/>
  <c r="C3261" s="1"/>
  <c r="C3349" s="1"/>
  <c r="C3437" s="1"/>
  <c r="C3525" s="1"/>
  <c r="C3613" s="1"/>
  <c r="C3701" s="1"/>
  <c r="C3789" s="1"/>
  <c r="C3877" s="1"/>
  <c r="C3965" s="1"/>
  <c r="C4053" s="1"/>
  <c r="B3085"/>
  <c r="B3173" s="1"/>
  <c r="B3261" s="1"/>
  <c r="B3349" s="1"/>
  <c r="B3437" s="1"/>
  <c r="B3525" s="1"/>
  <c r="B3613" s="1"/>
  <c r="B3701" s="1"/>
  <c r="B3789" s="1"/>
  <c r="B3877" s="1"/>
  <c r="B3965" s="1"/>
  <c r="B4053" s="1"/>
  <c r="C3084"/>
  <c r="C3172" s="1"/>
  <c r="C3260" s="1"/>
  <c r="C3348" s="1"/>
  <c r="C3436" s="1"/>
  <c r="C3524" s="1"/>
  <c r="C3612" s="1"/>
  <c r="C3700" s="1"/>
  <c r="C3788" s="1"/>
  <c r="C3876" s="1"/>
  <c r="C3964" s="1"/>
  <c r="C4052" s="1"/>
  <c r="B3084"/>
  <c r="B3172" s="1"/>
  <c r="B3260" s="1"/>
  <c r="B3348" s="1"/>
  <c r="B3436" s="1"/>
  <c r="B3524" s="1"/>
  <c r="B3612" s="1"/>
  <c r="B3700" s="1"/>
  <c r="B3788" s="1"/>
  <c r="B3876" s="1"/>
  <c r="B3964" s="1"/>
  <c r="B4052" s="1"/>
  <c r="C3083"/>
  <c r="C3171" s="1"/>
  <c r="C3259" s="1"/>
  <c r="C3347" s="1"/>
  <c r="C3435" s="1"/>
  <c r="C3523" s="1"/>
  <c r="C3611" s="1"/>
  <c r="C3699" s="1"/>
  <c r="C3787" s="1"/>
  <c r="C3875" s="1"/>
  <c r="C3963" s="1"/>
  <c r="C4051" s="1"/>
  <c r="B3083"/>
  <c r="B3171" s="1"/>
  <c r="B3259" s="1"/>
  <c r="B3347" s="1"/>
  <c r="B3435" s="1"/>
  <c r="B3523" s="1"/>
  <c r="B3611" s="1"/>
  <c r="B3699" s="1"/>
  <c r="B3787" s="1"/>
  <c r="B3875" s="1"/>
  <c r="B3963" s="1"/>
  <c r="B4051" s="1"/>
  <c r="C3082"/>
  <c r="C3170" s="1"/>
  <c r="C3258" s="1"/>
  <c r="C3346" s="1"/>
  <c r="C3434" s="1"/>
  <c r="C3522" s="1"/>
  <c r="C3610" s="1"/>
  <c r="C3698" s="1"/>
  <c r="C3786" s="1"/>
  <c r="C3874" s="1"/>
  <c r="C3962" s="1"/>
  <c r="C4050" s="1"/>
  <c r="B3082"/>
  <c r="B3170" s="1"/>
  <c r="B3258" s="1"/>
  <c r="B3346" s="1"/>
  <c r="B3434" s="1"/>
  <c r="B3522" s="1"/>
  <c r="B3610" s="1"/>
  <c r="B3698" s="1"/>
  <c r="B3786" s="1"/>
  <c r="B3874" s="1"/>
  <c r="B3962" s="1"/>
  <c r="B4050" s="1"/>
  <c r="C3081"/>
  <c r="C3169" s="1"/>
  <c r="C3257" s="1"/>
  <c r="C3345" s="1"/>
  <c r="C3433" s="1"/>
  <c r="C3521" s="1"/>
  <c r="C3609" s="1"/>
  <c r="C3697" s="1"/>
  <c r="C3785" s="1"/>
  <c r="C3873" s="1"/>
  <c r="C3961" s="1"/>
  <c r="C4049" s="1"/>
  <c r="B3081"/>
  <c r="B3169" s="1"/>
  <c r="B3257" s="1"/>
  <c r="B3345" s="1"/>
  <c r="B3433" s="1"/>
  <c r="B3521" s="1"/>
  <c r="B3609" s="1"/>
  <c r="B3697" s="1"/>
  <c r="B3785" s="1"/>
  <c r="B3873" s="1"/>
  <c r="B3961" s="1"/>
  <c r="B4049" s="1"/>
  <c r="C3080"/>
  <c r="C3168" s="1"/>
  <c r="C3256" s="1"/>
  <c r="C3344" s="1"/>
  <c r="C3432" s="1"/>
  <c r="C3520" s="1"/>
  <c r="C3608" s="1"/>
  <c r="C3696" s="1"/>
  <c r="C3784" s="1"/>
  <c r="C3872" s="1"/>
  <c r="C3960" s="1"/>
  <c r="C4048" s="1"/>
  <c r="B3080"/>
  <c r="C3079"/>
  <c r="C3167" s="1"/>
  <c r="C3255" s="1"/>
  <c r="C3343" s="1"/>
  <c r="C3431" s="1"/>
  <c r="C3519" s="1"/>
  <c r="C3607" s="1"/>
  <c r="C3695" s="1"/>
  <c r="C3783" s="1"/>
  <c r="C3871" s="1"/>
  <c r="C3959" s="1"/>
  <c r="C4047" s="1"/>
  <c r="B3079"/>
  <c r="B3167" s="1"/>
  <c r="B3255" s="1"/>
  <c r="B3343" s="1"/>
  <c r="B3431" s="1"/>
  <c r="B3519" s="1"/>
  <c r="B3607" s="1"/>
  <c r="B3695" s="1"/>
  <c r="B3783" s="1"/>
  <c r="B3871" s="1"/>
  <c r="B3959" s="1"/>
  <c r="B4047" s="1"/>
  <c r="C3078"/>
  <c r="C3166" s="1"/>
  <c r="C3254" s="1"/>
  <c r="C3342" s="1"/>
  <c r="C3430" s="1"/>
  <c r="C3518" s="1"/>
  <c r="C3606" s="1"/>
  <c r="C3694" s="1"/>
  <c r="C3782" s="1"/>
  <c r="C3870" s="1"/>
  <c r="C3958" s="1"/>
  <c r="C4046" s="1"/>
  <c r="B3078"/>
  <c r="B3166" s="1"/>
  <c r="B3254" s="1"/>
  <c r="B3342" s="1"/>
  <c r="B3430" s="1"/>
  <c r="B3518" s="1"/>
  <c r="B3606" s="1"/>
  <c r="B3694" s="1"/>
  <c r="B3782" s="1"/>
  <c r="B3870" s="1"/>
  <c r="B3958" s="1"/>
  <c r="B4046" s="1"/>
  <c r="C3077"/>
  <c r="C3165" s="1"/>
  <c r="C3253" s="1"/>
  <c r="C3341" s="1"/>
  <c r="C3429" s="1"/>
  <c r="C3517" s="1"/>
  <c r="C3605" s="1"/>
  <c r="C3693" s="1"/>
  <c r="C3781" s="1"/>
  <c r="C3869" s="1"/>
  <c r="C3957" s="1"/>
  <c r="C4045" s="1"/>
  <c r="B3077"/>
  <c r="B3165" s="1"/>
  <c r="B3253" s="1"/>
  <c r="B3341" s="1"/>
  <c r="B3429" s="1"/>
  <c r="B3517" s="1"/>
  <c r="B3605" s="1"/>
  <c r="B3693" s="1"/>
  <c r="B3781" s="1"/>
  <c r="B3869" s="1"/>
  <c r="B3957" s="1"/>
  <c r="B4045" s="1"/>
  <c r="C3076"/>
  <c r="C3164" s="1"/>
  <c r="C3252" s="1"/>
  <c r="C3340" s="1"/>
  <c r="C3428" s="1"/>
  <c r="C3516" s="1"/>
  <c r="C3604" s="1"/>
  <c r="C3692" s="1"/>
  <c r="C3780" s="1"/>
  <c r="C3868" s="1"/>
  <c r="C3956" s="1"/>
  <c r="C4044" s="1"/>
  <c r="B3076"/>
  <c r="B3164" s="1"/>
  <c r="B3252" s="1"/>
  <c r="B3340" s="1"/>
  <c r="B3428" s="1"/>
  <c r="B3516" s="1"/>
  <c r="B3604" s="1"/>
  <c r="B3692" s="1"/>
  <c r="B3780" s="1"/>
  <c r="B3868" s="1"/>
  <c r="B3956" s="1"/>
  <c r="B4044" s="1"/>
  <c r="C3075"/>
  <c r="B3075"/>
  <c r="B3163" s="1"/>
  <c r="B3251" s="1"/>
  <c r="B3339" s="1"/>
  <c r="B3427" s="1"/>
  <c r="B3515" s="1"/>
  <c r="B3603" s="1"/>
  <c r="B3691" s="1"/>
  <c r="B3779" s="1"/>
  <c r="B3867" s="1"/>
  <c r="B3955" s="1"/>
  <c r="B4043" s="1"/>
  <c r="C3074"/>
  <c r="C3162" s="1"/>
  <c r="C3250" s="1"/>
  <c r="C3338" s="1"/>
  <c r="C3426" s="1"/>
  <c r="C3514" s="1"/>
  <c r="C3602" s="1"/>
  <c r="C3690" s="1"/>
  <c r="C3778" s="1"/>
  <c r="C3866" s="1"/>
  <c r="C3954" s="1"/>
  <c r="C4042" s="1"/>
  <c r="B3074"/>
  <c r="B3162" s="1"/>
  <c r="B3250" s="1"/>
  <c r="B3338" s="1"/>
  <c r="B3426" s="1"/>
  <c r="B3514" s="1"/>
  <c r="B3602" s="1"/>
  <c r="B3690" s="1"/>
  <c r="B3778" s="1"/>
  <c r="B3866" s="1"/>
  <c r="B3954" s="1"/>
  <c r="B4042" s="1"/>
  <c r="C3073"/>
  <c r="B3073"/>
  <c r="B3161" s="1"/>
  <c r="B3249" s="1"/>
  <c r="B3337" s="1"/>
  <c r="B3425" s="1"/>
  <c r="B3513" s="1"/>
  <c r="B3601" s="1"/>
  <c r="B3689" s="1"/>
  <c r="B3777" s="1"/>
  <c r="B3865" s="1"/>
  <c r="B3953" s="1"/>
  <c r="B4041" s="1"/>
  <c r="C3072"/>
  <c r="C3160" s="1"/>
  <c r="C3248" s="1"/>
  <c r="C3336" s="1"/>
  <c r="C3424" s="1"/>
  <c r="C3512" s="1"/>
  <c r="C3600" s="1"/>
  <c r="C3688" s="1"/>
  <c r="C3776" s="1"/>
  <c r="C3864" s="1"/>
  <c r="C3952" s="1"/>
  <c r="C4040" s="1"/>
  <c r="B3072"/>
  <c r="B3160" s="1"/>
  <c r="B3248" s="1"/>
  <c r="B3336" s="1"/>
  <c r="B3424" s="1"/>
  <c r="B3512" s="1"/>
  <c r="B3600" s="1"/>
  <c r="B3688" s="1"/>
  <c r="B3776" s="1"/>
  <c r="B3864" s="1"/>
  <c r="B3952" s="1"/>
  <c r="B4040" s="1"/>
  <c r="C3071"/>
  <c r="C3159" s="1"/>
  <c r="C3247" s="1"/>
  <c r="C3335" s="1"/>
  <c r="C3423" s="1"/>
  <c r="C3511" s="1"/>
  <c r="C3599" s="1"/>
  <c r="C3687" s="1"/>
  <c r="C3775" s="1"/>
  <c r="C3863" s="1"/>
  <c r="C3951" s="1"/>
  <c r="C4039" s="1"/>
  <c r="B3071"/>
  <c r="B3159" s="1"/>
  <c r="B3247" s="1"/>
  <c r="B3335" s="1"/>
  <c r="B3423" s="1"/>
  <c r="B3511" s="1"/>
  <c r="B3599" s="1"/>
  <c r="B3687" s="1"/>
  <c r="B3775" s="1"/>
  <c r="B3863" s="1"/>
  <c r="B3951" s="1"/>
  <c r="B4039" s="1"/>
  <c r="C3070"/>
  <c r="C3158" s="1"/>
  <c r="C3246" s="1"/>
  <c r="C3334" s="1"/>
  <c r="C3422" s="1"/>
  <c r="C3510" s="1"/>
  <c r="C3598" s="1"/>
  <c r="C3686" s="1"/>
  <c r="C3774" s="1"/>
  <c r="C3862" s="1"/>
  <c r="C3950" s="1"/>
  <c r="C4038" s="1"/>
  <c r="B3070"/>
  <c r="B3158" s="1"/>
  <c r="B3246" s="1"/>
  <c r="B3334" s="1"/>
  <c r="B3422" s="1"/>
  <c r="B3510" s="1"/>
  <c r="B3598" s="1"/>
  <c r="B3686" s="1"/>
  <c r="B3774" s="1"/>
  <c r="B3862" s="1"/>
  <c r="B3950" s="1"/>
  <c r="B4038" s="1"/>
  <c r="C3069"/>
  <c r="C3157" s="1"/>
  <c r="C3245" s="1"/>
  <c r="C3333" s="1"/>
  <c r="C3421" s="1"/>
  <c r="C3509" s="1"/>
  <c r="C3597" s="1"/>
  <c r="C3685" s="1"/>
  <c r="C3773" s="1"/>
  <c r="C3861" s="1"/>
  <c r="C3949" s="1"/>
  <c r="C4037" s="1"/>
  <c r="B3069"/>
  <c r="B3157" s="1"/>
  <c r="B3245" s="1"/>
  <c r="B3333" s="1"/>
  <c r="B3421" s="1"/>
  <c r="B3509" s="1"/>
  <c r="B3597" s="1"/>
  <c r="B3685" s="1"/>
  <c r="B3773" s="1"/>
  <c r="B3861" s="1"/>
  <c r="B3949" s="1"/>
  <c r="B4037" s="1"/>
  <c r="C3068"/>
  <c r="C3156" s="1"/>
  <c r="C3244" s="1"/>
  <c r="C3332" s="1"/>
  <c r="C3420" s="1"/>
  <c r="C3508" s="1"/>
  <c r="C3596" s="1"/>
  <c r="C3684" s="1"/>
  <c r="C3772" s="1"/>
  <c r="C3860" s="1"/>
  <c r="C3948" s="1"/>
  <c r="C4036" s="1"/>
  <c r="B3068"/>
  <c r="B3156" s="1"/>
  <c r="B3244" s="1"/>
  <c r="B3332" s="1"/>
  <c r="B3420" s="1"/>
  <c r="B3508" s="1"/>
  <c r="B3596" s="1"/>
  <c r="B3684" s="1"/>
  <c r="B3772" s="1"/>
  <c r="B3860" s="1"/>
  <c r="B3948" s="1"/>
  <c r="B4036" s="1"/>
  <c r="C3067"/>
  <c r="C3155" s="1"/>
  <c r="C3243" s="1"/>
  <c r="C3331" s="1"/>
  <c r="C3419" s="1"/>
  <c r="C3507" s="1"/>
  <c r="C3595" s="1"/>
  <c r="C3683" s="1"/>
  <c r="C3771" s="1"/>
  <c r="C3859" s="1"/>
  <c r="C3947" s="1"/>
  <c r="C4035" s="1"/>
  <c r="B3067"/>
  <c r="B3155" s="1"/>
  <c r="B3243" s="1"/>
  <c r="B3331" s="1"/>
  <c r="B3419" s="1"/>
  <c r="B3507" s="1"/>
  <c r="B3595" s="1"/>
  <c r="B3683" s="1"/>
  <c r="B3771" s="1"/>
  <c r="B3859" s="1"/>
  <c r="B3947" s="1"/>
  <c r="B4035" s="1"/>
  <c r="C3066"/>
  <c r="C3154" s="1"/>
  <c r="C3242" s="1"/>
  <c r="C3330" s="1"/>
  <c r="C3418" s="1"/>
  <c r="C3506" s="1"/>
  <c r="C3594" s="1"/>
  <c r="C3682" s="1"/>
  <c r="C3770" s="1"/>
  <c r="C3858" s="1"/>
  <c r="C3946" s="1"/>
  <c r="C4034" s="1"/>
  <c r="B3066"/>
  <c r="B3154" s="1"/>
  <c r="B3242" s="1"/>
  <c r="B3330" s="1"/>
  <c r="B3418" s="1"/>
  <c r="B3506" s="1"/>
  <c r="B3594" s="1"/>
  <c r="B3682" s="1"/>
  <c r="B3770" s="1"/>
  <c r="B3858" s="1"/>
  <c r="B3946" s="1"/>
  <c r="B4034" s="1"/>
  <c r="G3065"/>
  <c r="C3065"/>
  <c r="C3153" s="1"/>
  <c r="C3241" s="1"/>
  <c r="C3329" s="1"/>
  <c r="C3417" s="1"/>
  <c r="C3505" s="1"/>
  <c r="C3593" s="1"/>
  <c r="C3681" s="1"/>
  <c r="C3769" s="1"/>
  <c r="C3857" s="1"/>
  <c r="C3945" s="1"/>
  <c r="C4033" s="1"/>
  <c r="B3065"/>
  <c r="B3153" s="1"/>
  <c r="B3241" s="1"/>
  <c r="B3329" s="1"/>
  <c r="B3417" s="1"/>
  <c r="B3505" s="1"/>
  <c r="B3593" s="1"/>
  <c r="B3681" s="1"/>
  <c r="B3769" s="1"/>
  <c r="B3857" s="1"/>
  <c r="B3945" s="1"/>
  <c r="B4033" s="1"/>
  <c r="G3064"/>
  <c r="C3064"/>
  <c r="C3152" s="1"/>
  <c r="C3240" s="1"/>
  <c r="C3328" s="1"/>
  <c r="C3416" s="1"/>
  <c r="C3504" s="1"/>
  <c r="C3592" s="1"/>
  <c r="C3680" s="1"/>
  <c r="C3768" s="1"/>
  <c r="C3856" s="1"/>
  <c r="C3944" s="1"/>
  <c r="C4032" s="1"/>
  <c r="B3064"/>
  <c r="B3152" s="1"/>
  <c r="B3240" s="1"/>
  <c r="B3328" s="1"/>
  <c r="B3416" s="1"/>
  <c r="B3504" s="1"/>
  <c r="B3592" s="1"/>
  <c r="B3680" s="1"/>
  <c r="B3768" s="1"/>
  <c r="B3856" s="1"/>
  <c r="B3944" s="1"/>
  <c r="B4032" s="1"/>
  <c r="H3063"/>
  <c r="H3151" s="1"/>
  <c r="H3239" s="1"/>
  <c r="H3327" s="1"/>
  <c r="H3415" s="1"/>
  <c r="H3503" s="1"/>
  <c r="H3591" s="1"/>
  <c r="H3679" s="1"/>
  <c r="H3767" s="1"/>
  <c r="H3855" s="1"/>
  <c r="H3943" s="1"/>
  <c r="H4031" s="1"/>
  <c r="G3063"/>
  <c r="C3063"/>
  <c r="B3063"/>
  <c r="B3151" s="1"/>
  <c r="B3239" s="1"/>
  <c r="B3327" s="1"/>
  <c r="B3415" s="1"/>
  <c r="B3503" s="1"/>
  <c r="B3591" s="1"/>
  <c r="B3679" s="1"/>
  <c r="B3767" s="1"/>
  <c r="B3855" s="1"/>
  <c r="B3943" s="1"/>
  <c r="B4031" s="1"/>
  <c r="G3062"/>
  <c r="C3062"/>
  <c r="C3150" s="1"/>
  <c r="C3238" s="1"/>
  <c r="C3326" s="1"/>
  <c r="C3414" s="1"/>
  <c r="C3502" s="1"/>
  <c r="C3590" s="1"/>
  <c r="C3678" s="1"/>
  <c r="C3766" s="1"/>
  <c r="C3854" s="1"/>
  <c r="C3942" s="1"/>
  <c r="C4030" s="1"/>
  <c r="B3062"/>
  <c r="B3150" s="1"/>
  <c r="B3238" s="1"/>
  <c r="B3326" s="1"/>
  <c r="B3414" s="1"/>
  <c r="B3502" s="1"/>
  <c r="B3590" s="1"/>
  <c r="B3678" s="1"/>
  <c r="B3766" s="1"/>
  <c r="B3854" s="1"/>
  <c r="B3942" s="1"/>
  <c r="B4030" s="1"/>
  <c r="G3061"/>
  <c r="C3061"/>
  <c r="C3149" s="1"/>
  <c r="C3237" s="1"/>
  <c r="C3325" s="1"/>
  <c r="C3413" s="1"/>
  <c r="C3501" s="1"/>
  <c r="C3589" s="1"/>
  <c r="C3677" s="1"/>
  <c r="C3765" s="1"/>
  <c r="C3853" s="1"/>
  <c r="C3941" s="1"/>
  <c r="C4029" s="1"/>
  <c r="B3061"/>
  <c r="B3149" s="1"/>
  <c r="B3237" s="1"/>
  <c r="B3325" s="1"/>
  <c r="B3413" s="1"/>
  <c r="B3501" s="1"/>
  <c r="B3589" s="1"/>
  <c r="B3677" s="1"/>
  <c r="B3765" s="1"/>
  <c r="B3853" s="1"/>
  <c r="B3941" s="1"/>
  <c r="B4029" s="1"/>
  <c r="G3060"/>
  <c r="C3060"/>
  <c r="C3148" s="1"/>
  <c r="C3236" s="1"/>
  <c r="C3324" s="1"/>
  <c r="C3412" s="1"/>
  <c r="C3500" s="1"/>
  <c r="C3588" s="1"/>
  <c r="C3676" s="1"/>
  <c r="C3764" s="1"/>
  <c r="C3852" s="1"/>
  <c r="C3940" s="1"/>
  <c r="C4028" s="1"/>
  <c r="B3060"/>
  <c r="G3059"/>
  <c r="C3059"/>
  <c r="C3147" s="1"/>
  <c r="C3235" s="1"/>
  <c r="C3323" s="1"/>
  <c r="C3411" s="1"/>
  <c r="C3499" s="1"/>
  <c r="C3587" s="1"/>
  <c r="C3675" s="1"/>
  <c r="C3763" s="1"/>
  <c r="C3851" s="1"/>
  <c r="C3939" s="1"/>
  <c r="C4027" s="1"/>
  <c r="B3059"/>
  <c r="B3147" s="1"/>
  <c r="B3235" s="1"/>
  <c r="B3323" s="1"/>
  <c r="B3411" s="1"/>
  <c r="B3499" s="1"/>
  <c r="B3587" s="1"/>
  <c r="B3675" s="1"/>
  <c r="B3763" s="1"/>
  <c r="B3851" s="1"/>
  <c r="B3939" s="1"/>
  <c r="B4027" s="1"/>
  <c r="G3058"/>
  <c r="C3058"/>
  <c r="C3146" s="1"/>
  <c r="C3234" s="1"/>
  <c r="C3322" s="1"/>
  <c r="C3410" s="1"/>
  <c r="C3498" s="1"/>
  <c r="C3586" s="1"/>
  <c r="C3674" s="1"/>
  <c r="C3762" s="1"/>
  <c r="C3850" s="1"/>
  <c r="C3938" s="1"/>
  <c r="C4026" s="1"/>
  <c r="B3058"/>
  <c r="B3146" s="1"/>
  <c r="B3234" s="1"/>
  <c r="B3322" s="1"/>
  <c r="B3410" s="1"/>
  <c r="B3498" s="1"/>
  <c r="B3586" s="1"/>
  <c r="B3674" s="1"/>
  <c r="B3762" s="1"/>
  <c r="B3850" s="1"/>
  <c r="B3938" s="1"/>
  <c r="B4026" s="1"/>
  <c r="G3057"/>
  <c r="C3057"/>
  <c r="C3145" s="1"/>
  <c r="C3233" s="1"/>
  <c r="C3321" s="1"/>
  <c r="C3409" s="1"/>
  <c r="C3497" s="1"/>
  <c r="C3585" s="1"/>
  <c r="C3673" s="1"/>
  <c r="C3761" s="1"/>
  <c r="C3849" s="1"/>
  <c r="C3937" s="1"/>
  <c r="C4025" s="1"/>
  <c r="B3057"/>
  <c r="B3145" s="1"/>
  <c r="B3233" s="1"/>
  <c r="B3321" s="1"/>
  <c r="B3409" s="1"/>
  <c r="B3497" s="1"/>
  <c r="B3585" s="1"/>
  <c r="B3673" s="1"/>
  <c r="B3761" s="1"/>
  <c r="B3849" s="1"/>
  <c r="B3937" s="1"/>
  <c r="B4025" s="1"/>
  <c r="G3056"/>
  <c r="C3056"/>
  <c r="C3144" s="1"/>
  <c r="C3232" s="1"/>
  <c r="C3320" s="1"/>
  <c r="C3408" s="1"/>
  <c r="C3496" s="1"/>
  <c r="C3584" s="1"/>
  <c r="C3672" s="1"/>
  <c r="C3760" s="1"/>
  <c r="C3848" s="1"/>
  <c r="C3936" s="1"/>
  <c r="C4024" s="1"/>
  <c r="B3056"/>
  <c r="B3144" s="1"/>
  <c r="B3232" s="1"/>
  <c r="B3320" s="1"/>
  <c r="B3408" s="1"/>
  <c r="B3496" s="1"/>
  <c r="B3584" s="1"/>
  <c r="B3672" s="1"/>
  <c r="B3760" s="1"/>
  <c r="B3848" s="1"/>
  <c r="B3936" s="1"/>
  <c r="B4024" s="1"/>
  <c r="G3055"/>
  <c r="C3055"/>
  <c r="C3143" s="1"/>
  <c r="C3231" s="1"/>
  <c r="C3319" s="1"/>
  <c r="C3407" s="1"/>
  <c r="C3495" s="1"/>
  <c r="C3583" s="1"/>
  <c r="C3671" s="1"/>
  <c r="C3759" s="1"/>
  <c r="C3847" s="1"/>
  <c r="C3935" s="1"/>
  <c r="C4023" s="1"/>
  <c r="B3055"/>
  <c r="B3143" s="1"/>
  <c r="B3231" s="1"/>
  <c r="B3319" s="1"/>
  <c r="B3407" s="1"/>
  <c r="B3495" s="1"/>
  <c r="B3583" s="1"/>
  <c r="B3671" s="1"/>
  <c r="B3759" s="1"/>
  <c r="B3847" s="1"/>
  <c r="B3935" s="1"/>
  <c r="B4023" s="1"/>
  <c r="G3054"/>
  <c r="C3054"/>
  <c r="C3142" s="1"/>
  <c r="C3230" s="1"/>
  <c r="C3318" s="1"/>
  <c r="C3406" s="1"/>
  <c r="C3494" s="1"/>
  <c r="C3582" s="1"/>
  <c r="C3670" s="1"/>
  <c r="C3758" s="1"/>
  <c r="C3846" s="1"/>
  <c r="C3934" s="1"/>
  <c r="C4022" s="1"/>
  <c r="B3054"/>
  <c r="B3142" s="1"/>
  <c r="B3230" s="1"/>
  <c r="B3318" s="1"/>
  <c r="B3406" s="1"/>
  <c r="B3494" s="1"/>
  <c r="B3582" s="1"/>
  <c r="B3670" s="1"/>
  <c r="B3758" s="1"/>
  <c r="B3846" s="1"/>
  <c r="B3934" s="1"/>
  <c r="B4022" s="1"/>
  <c r="G3053"/>
  <c r="C3053"/>
  <c r="C3141" s="1"/>
  <c r="C3229" s="1"/>
  <c r="C3317" s="1"/>
  <c r="C3405" s="1"/>
  <c r="C3493" s="1"/>
  <c r="C3581" s="1"/>
  <c r="C3669" s="1"/>
  <c r="C3757" s="1"/>
  <c r="C3845" s="1"/>
  <c r="C3933" s="1"/>
  <c r="C4021" s="1"/>
  <c r="B3053"/>
  <c r="B3141" s="1"/>
  <c r="B3229" s="1"/>
  <c r="B3317" s="1"/>
  <c r="B3405" s="1"/>
  <c r="B3493" s="1"/>
  <c r="B3581" s="1"/>
  <c r="B3669" s="1"/>
  <c r="B3757" s="1"/>
  <c r="B3845" s="1"/>
  <c r="B3933" s="1"/>
  <c r="B4021" s="1"/>
  <c r="G3052"/>
  <c r="C3052"/>
  <c r="C3140" s="1"/>
  <c r="C3228" s="1"/>
  <c r="C3316" s="1"/>
  <c r="C3404" s="1"/>
  <c r="C3492" s="1"/>
  <c r="C3580" s="1"/>
  <c r="C3668" s="1"/>
  <c r="C3756" s="1"/>
  <c r="C3844" s="1"/>
  <c r="C3932" s="1"/>
  <c r="C4020" s="1"/>
  <c r="B3052"/>
  <c r="B3140" s="1"/>
  <c r="B3228" s="1"/>
  <c r="B3316" s="1"/>
  <c r="B3404" s="1"/>
  <c r="B3492" s="1"/>
  <c r="B3580" s="1"/>
  <c r="B3668" s="1"/>
  <c r="B3756" s="1"/>
  <c r="B3844" s="1"/>
  <c r="B3932" s="1"/>
  <c r="B4020" s="1"/>
  <c r="G3051"/>
  <c r="C3051"/>
  <c r="C3139" s="1"/>
  <c r="C3227" s="1"/>
  <c r="C3315" s="1"/>
  <c r="C3403" s="1"/>
  <c r="C3491" s="1"/>
  <c r="C3579" s="1"/>
  <c r="C3667" s="1"/>
  <c r="C3755" s="1"/>
  <c r="C3843" s="1"/>
  <c r="C3931" s="1"/>
  <c r="C4019" s="1"/>
  <c r="B3051"/>
  <c r="B3139" s="1"/>
  <c r="B3227" s="1"/>
  <c r="B3315" s="1"/>
  <c r="B3403" s="1"/>
  <c r="B3491" s="1"/>
  <c r="B3579" s="1"/>
  <c r="B3667" s="1"/>
  <c r="B3755" s="1"/>
  <c r="B3843" s="1"/>
  <c r="B3931" s="1"/>
  <c r="B4019" s="1"/>
  <c r="G3050"/>
  <c r="C3050"/>
  <c r="C3138" s="1"/>
  <c r="C3226" s="1"/>
  <c r="C3314" s="1"/>
  <c r="C3402" s="1"/>
  <c r="C3490" s="1"/>
  <c r="C3578" s="1"/>
  <c r="C3666" s="1"/>
  <c r="C3754" s="1"/>
  <c r="C3842" s="1"/>
  <c r="C3930" s="1"/>
  <c r="C4018" s="1"/>
  <c r="B3050"/>
  <c r="B3138" s="1"/>
  <c r="B3226" s="1"/>
  <c r="B3314" s="1"/>
  <c r="B3402" s="1"/>
  <c r="B3490" s="1"/>
  <c r="B3578" s="1"/>
  <c r="B3666" s="1"/>
  <c r="B3754" s="1"/>
  <c r="B3842" s="1"/>
  <c r="B3930" s="1"/>
  <c r="B4018" s="1"/>
  <c r="G3049"/>
  <c r="C3049"/>
  <c r="C3137" s="1"/>
  <c r="C3225" s="1"/>
  <c r="C3313" s="1"/>
  <c r="C3401" s="1"/>
  <c r="C3489" s="1"/>
  <c r="C3577" s="1"/>
  <c r="C3665" s="1"/>
  <c r="C3753" s="1"/>
  <c r="C3841" s="1"/>
  <c r="C3929" s="1"/>
  <c r="C4017" s="1"/>
  <c r="B3049"/>
  <c r="B3137" s="1"/>
  <c r="B3225" s="1"/>
  <c r="B3313" s="1"/>
  <c r="B3401" s="1"/>
  <c r="B3489" s="1"/>
  <c r="B3577" s="1"/>
  <c r="B3665" s="1"/>
  <c r="B3753" s="1"/>
  <c r="B3841" s="1"/>
  <c r="B3929" s="1"/>
  <c r="B4017" s="1"/>
  <c r="G3048"/>
  <c r="C3048"/>
  <c r="C3136" s="1"/>
  <c r="C3224" s="1"/>
  <c r="C3312" s="1"/>
  <c r="C3400" s="1"/>
  <c r="C3488" s="1"/>
  <c r="C3576" s="1"/>
  <c r="C3664" s="1"/>
  <c r="C3752" s="1"/>
  <c r="C3840" s="1"/>
  <c r="C3928" s="1"/>
  <c r="C4016" s="1"/>
  <c r="B3048"/>
  <c r="B3136" s="1"/>
  <c r="B3224" s="1"/>
  <c r="B3312" s="1"/>
  <c r="B3400" s="1"/>
  <c r="B3488" s="1"/>
  <c r="B3576" s="1"/>
  <c r="B3664" s="1"/>
  <c r="B3752" s="1"/>
  <c r="B3840" s="1"/>
  <c r="B3928" s="1"/>
  <c r="B4016" s="1"/>
  <c r="G3047"/>
  <c r="C3047"/>
  <c r="C3135" s="1"/>
  <c r="C3223" s="1"/>
  <c r="C3311" s="1"/>
  <c r="C3399" s="1"/>
  <c r="C3487" s="1"/>
  <c r="C3575" s="1"/>
  <c r="C3663" s="1"/>
  <c r="C3751" s="1"/>
  <c r="C3839" s="1"/>
  <c r="C3927" s="1"/>
  <c r="C4015" s="1"/>
  <c r="B3047"/>
  <c r="B3135" s="1"/>
  <c r="B3223" s="1"/>
  <c r="B3311" s="1"/>
  <c r="B3399" s="1"/>
  <c r="B3487" s="1"/>
  <c r="B3575" s="1"/>
  <c r="B3663" s="1"/>
  <c r="B3751" s="1"/>
  <c r="B3839" s="1"/>
  <c r="B3927" s="1"/>
  <c r="B4015" s="1"/>
  <c r="G3046"/>
  <c r="C3046"/>
  <c r="C3134" s="1"/>
  <c r="C3222" s="1"/>
  <c r="C3310" s="1"/>
  <c r="C3398" s="1"/>
  <c r="C3486" s="1"/>
  <c r="C3574" s="1"/>
  <c r="C3662" s="1"/>
  <c r="C3750" s="1"/>
  <c r="C3838" s="1"/>
  <c r="C3926" s="1"/>
  <c r="C4014" s="1"/>
  <c r="B3046"/>
  <c r="B3134" s="1"/>
  <c r="B3222" s="1"/>
  <c r="B3310" s="1"/>
  <c r="B3398" s="1"/>
  <c r="B3486" s="1"/>
  <c r="B3574" s="1"/>
  <c r="B3662" s="1"/>
  <c r="B3750" s="1"/>
  <c r="B3838" s="1"/>
  <c r="B3926" s="1"/>
  <c r="B4014" s="1"/>
  <c r="G3045"/>
  <c r="C3045"/>
  <c r="C3133" s="1"/>
  <c r="C3221" s="1"/>
  <c r="C3309" s="1"/>
  <c r="C3397" s="1"/>
  <c r="C3485" s="1"/>
  <c r="C3573" s="1"/>
  <c r="C3661" s="1"/>
  <c r="C3749" s="1"/>
  <c r="C3837" s="1"/>
  <c r="C3925" s="1"/>
  <c r="C4013" s="1"/>
  <c r="B3045"/>
  <c r="B3133" s="1"/>
  <c r="B3221" s="1"/>
  <c r="B3309" s="1"/>
  <c r="B3397" s="1"/>
  <c r="B3485" s="1"/>
  <c r="B3573" s="1"/>
  <c r="B3661" s="1"/>
  <c r="B3749" s="1"/>
  <c r="B3837" s="1"/>
  <c r="B3925" s="1"/>
  <c r="B4013" s="1"/>
  <c r="G3044"/>
  <c r="C3044"/>
  <c r="C3132" s="1"/>
  <c r="C3220" s="1"/>
  <c r="C3308" s="1"/>
  <c r="C3396" s="1"/>
  <c r="C3484" s="1"/>
  <c r="C3572" s="1"/>
  <c r="C3660" s="1"/>
  <c r="C3748" s="1"/>
  <c r="C3836" s="1"/>
  <c r="C3924" s="1"/>
  <c r="C4012" s="1"/>
  <c r="B3044"/>
  <c r="B3132" s="1"/>
  <c r="B3220" s="1"/>
  <c r="B3308" s="1"/>
  <c r="B3396" s="1"/>
  <c r="B3484" s="1"/>
  <c r="B3572" s="1"/>
  <c r="B3660" s="1"/>
  <c r="B3748" s="1"/>
  <c r="B3836" s="1"/>
  <c r="B3924" s="1"/>
  <c r="B4012" s="1"/>
  <c r="G3043"/>
  <c r="C3043"/>
  <c r="C3131" s="1"/>
  <c r="C3219" s="1"/>
  <c r="C3307" s="1"/>
  <c r="C3395" s="1"/>
  <c r="C3483" s="1"/>
  <c r="C3571" s="1"/>
  <c r="C3659" s="1"/>
  <c r="C3747" s="1"/>
  <c r="C3835" s="1"/>
  <c r="C3923" s="1"/>
  <c r="C4011" s="1"/>
  <c r="B3043"/>
  <c r="B3131" s="1"/>
  <c r="B3219" s="1"/>
  <c r="B3307" s="1"/>
  <c r="B3395" s="1"/>
  <c r="B3483" s="1"/>
  <c r="B3571" s="1"/>
  <c r="B3659" s="1"/>
  <c r="B3747" s="1"/>
  <c r="B3835" s="1"/>
  <c r="B3923" s="1"/>
  <c r="B4011" s="1"/>
  <c r="H3042"/>
  <c r="H3130" s="1"/>
  <c r="H3218" s="1"/>
  <c r="H3306" s="1"/>
  <c r="H3394" s="1"/>
  <c r="H3482" s="1"/>
  <c r="H3570" s="1"/>
  <c r="H3658" s="1"/>
  <c r="H3746" s="1"/>
  <c r="H3834" s="1"/>
  <c r="H3922" s="1"/>
  <c r="H4010" s="1"/>
  <c r="G3042"/>
  <c r="C3042"/>
  <c r="C3130" s="1"/>
  <c r="C3218" s="1"/>
  <c r="C3306" s="1"/>
  <c r="C3394" s="1"/>
  <c r="C3482" s="1"/>
  <c r="C3570" s="1"/>
  <c r="C3658" s="1"/>
  <c r="C3746" s="1"/>
  <c r="C3834" s="1"/>
  <c r="C3922" s="1"/>
  <c r="C4010" s="1"/>
  <c r="B3042"/>
  <c r="B3130" s="1"/>
  <c r="B3218" s="1"/>
  <c r="B3306" s="1"/>
  <c r="B3394" s="1"/>
  <c r="B3482" s="1"/>
  <c r="B3570" s="1"/>
  <c r="B3658" s="1"/>
  <c r="B3746" s="1"/>
  <c r="B3834" s="1"/>
  <c r="B3922" s="1"/>
  <c r="B4010" s="1"/>
  <c r="G3041"/>
  <c r="C3041"/>
  <c r="C3129" s="1"/>
  <c r="C3217" s="1"/>
  <c r="C3305" s="1"/>
  <c r="C3393" s="1"/>
  <c r="C3481" s="1"/>
  <c r="C3569" s="1"/>
  <c r="C3657" s="1"/>
  <c r="C3745" s="1"/>
  <c r="C3833" s="1"/>
  <c r="C3921" s="1"/>
  <c r="C4009" s="1"/>
  <c r="B3041"/>
  <c r="B3129" s="1"/>
  <c r="B3217" s="1"/>
  <c r="B3305" s="1"/>
  <c r="B3393" s="1"/>
  <c r="B3481" s="1"/>
  <c r="B3569" s="1"/>
  <c r="B3657" s="1"/>
  <c r="B3745" s="1"/>
  <c r="B3833" s="1"/>
  <c r="B3921" s="1"/>
  <c r="B4009" s="1"/>
  <c r="G3040"/>
  <c r="C3040"/>
  <c r="C3128" s="1"/>
  <c r="C3216" s="1"/>
  <c r="C3304" s="1"/>
  <c r="C3392" s="1"/>
  <c r="C3480" s="1"/>
  <c r="C3568" s="1"/>
  <c r="C3656" s="1"/>
  <c r="C3744" s="1"/>
  <c r="C3832" s="1"/>
  <c r="C3920" s="1"/>
  <c r="C4008" s="1"/>
  <c r="B3040"/>
  <c r="B3128" s="1"/>
  <c r="B3216" s="1"/>
  <c r="B3304" s="1"/>
  <c r="B3392" s="1"/>
  <c r="B3480" s="1"/>
  <c r="B3568" s="1"/>
  <c r="B3656" s="1"/>
  <c r="B3744" s="1"/>
  <c r="B3832" s="1"/>
  <c r="B3920" s="1"/>
  <c r="B4008" s="1"/>
  <c r="G3039"/>
  <c r="C3039"/>
  <c r="C3127" s="1"/>
  <c r="C3215" s="1"/>
  <c r="C3303" s="1"/>
  <c r="C3391" s="1"/>
  <c r="C3479" s="1"/>
  <c r="C3567" s="1"/>
  <c r="C3655" s="1"/>
  <c r="C3743" s="1"/>
  <c r="C3831" s="1"/>
  <c r="C3919" s="1"/>
  <c r="C4007" s="1"/>
  <c r="B3039"/>
  <c r="B3127" s="1"/>
  <c r="B3215" s="1"/>
  <c r="B3303" s="1"/>
  <c r="B3391" s="1"/>
  <c r="B3479" s="1"/>
  <c r="B3567" s="1"/>
  <c r="B3655" s="1"/>
  <c r="B3743" s="1"/>
  <c r="B3831" s="1"/>
  <c r="B3919" s="1"/>
  <c r="B4007" s="1"/>
  <c r="G3038"/>
  <c r="C3038"/>
  <c r="C3126" s="1"/>
  <c r="C3214" s="1"/>
  <c r="C3302" s="1"/>
  <c r="C3390" s="1"/>
  <c r="C3478" s="1"/>
  <c r="C3566" s="1"/>
  <c r="C3654" s="1"/>
  <c r="C3742" s="1"/>
  <c r="C3830" s="1"/>
  <c r="C3918" s="1"/>
  <c r="C4006" s="1"/>
  <c r="B3038"/>
  <c r="B3126" s="1"/>
  <c r="B3214" s="1"/>
  <c r="B3302" s="1"/>
  <c r="B3390" s="1"/>
  <c r="B3478" s="1"/>
  <c r="B3566" s="1"/>
  <c r="B3654" s="1"/>
  <c r="B3742" s="1"/>
  <c r="B3830" s="1"/>
  <c r="B3918" s="1"/>
  <c r="B4006" s="1"/>
  <c r="G3037"/>
  <c r="C3037"/>
  <c r="C3125" s="1"/>
  <c r="C3213" s="1"/>
  <c r="C3301" s="1"/>
  <c r="C3389" s="1"/>
  <c r="C3477" s="1"/>
  <c r="C3565" s="1"/>
  <c r="C3653" s="1"/>
  <c r="C3741" s="1"/>
  <c r="C3829" s="1"/>
  <c r="C3917" s="1"/>
  <c r="C4005" s="1"/>
  <c r="B3037"/>
  <c r="B3125" s="1"/>
  <c r="B3213" s="1"/>
  <c r="B3301" s="1"/>
  <c r="B3389" s="1"/>
  <c r="B3477" s="1"/>
  <c r="B3565" s="1"/>
  <c r="B3653" s="1"/>
  <c r="B3741" s="1"/>
  <c r="B3829" s="1"/>
  <c r="B3917" s="1"/>
  <c r="B4005" s="1"/>
  <c r="G3036"/>
  <c r="C3036"/>
  <c r="C3124" s="1"/>
  <c r="C3212" s="1"/>
  <c r="C3300" s="1"/>
  <c r="C3388" s="1"/>
  <c r="C3476" s="1"/>
  <c r="C3564" s="1"/>
  <c r="C3652" s="1"/>
  <c r="C3740" s="1"/>
  <c r="C3828" s="1"/>
  <c r="C3916" s="1"/>
  <c r="C4004" s="1"/>
  <c r="B3036"/>
  <c r="B3124" s="1"/>
  <c r="B3212" s="1"/>
  <c r="B3300" s="1"/>
  <c r="B3388" s="1"/>
  <c r="B3476" s="1"/>
  <c r="B3564" s="1"/>
  <c r="B3652" s="1"/>
  <c r="B3740" s="1"/>
  <c r="B3828" s="1"/>
  <c r="B3916" s="1"/>
  <c r="B4004" s="1"/>
  <c r="H3035"/>
  <c r="H3123" s="1"/>
  <c r="H3211" s="1"/>
  <c r="H3299" s="1"/>
  <c r="H3387" s="1"/>
  <c r="H3475" s="1"/>
  <c r="H3563" s="1"/>
  <c r="H3651" s="1"/>
  <c r="H3739" s="1"/>
  <c r="H3827" s="1"/>
  <c r="H3915" s="1"/>
  <c r="H4003" s="1"/>
  <c r="G3035"/>
  <c r="C3035"/>
  <c r="C3123" s="1"/>
  <c r="C3211" s="1"/>
  <c r="C3299" s="1"/>
  <c r="C3387" s="1"/>
  <c r="C3475" s="1"/>
  <c r="C3563" s="1"/>
  <c r="C3651" s="1"/>
  <c r="C3739" s="1"/>
  <c r="C3827" s="1"/>
  <c r="C3915" s="1"/>
  <c r="C4003" s="1"/>
  <c r="B3035"/>
  <c r="B3123" s="1"/>
  <c r="B3211" s="1"/>
  <c r="B3299" s="1"/>
  <c r="B3387" s="1"/>
  <c r="B3475" s="1"/>
  <c r="B3563" s="1"/>
  <c r="B3651" s="1"/>
  <c r="B3739" s="1"/>
  <c r="B3827" s="1"/>
  <c r="B3915" s="1"/>
  <c r="B4003" s="1"/>
  <c r="G3034"/>
  <c r="C3034"/>
  <c r="C3122" s="1"/>
  <c r="C3210" s="1"/>
  <c r="C3298" s="1"/>
  <c r="C3386" s="1"/>
  <c r="C3474" s="1"/>
  <c r="C3562" s="1"/>
  <c r="C3650" s="1"/>
  <c r="C3738" s="1"/>
  <c r="C3826" s="1"/>
  <c r="C3914" s="1"/>
  <c r="C4002" s="1"/>
  <c r="B3034"/>
  <c r="B3122" s="1"/>
  <c r="B3210" s="1"/>
  <c r="B3298" s="1"/>
  <c r="B3386" s="1"/>
  <c r="B3474" s="1"/>
  <c r="B3562" s="1"/>
  <c r="B3650" s="1"/>
  <c r="B3738" s="1"/>
  <c r="B3826" s="1"/>
  <c r="B3914" s="1"/>
  <c r="B4002" s="1"/>
  <c r="G3033"/>
  <c r="C3033"/>
  <c r="C3121" s="1"/>
  <c r="C3209" s="1"/>
  <c r="C3297" s="1"/>
  <c r="C3385" s="1"/>
  <c r="C3473" s="1"/>
  <c r="C3561" s="1"/>
  <c r="C3649" s="1"/>
  <c r="C3737" s="1"/>
  <c r="C3825" s="1"/>
  <c r="C3913" s="1"/>
  <c r="C4001" s="1"/>
  <c r="B3033"/>
  <c r="B3121" s="1"/>
  <c r="B3209" s="1"/>
  <c r="B3297" s="1"/>
  <c r="B3385" s="1"/>
  <c r="B3473" s="1"/>
  <c r="B3561" s="1"/>
  <c r="B3649" s="1"/>
  <c r="B3737" s="1"/>
  <c r="B3825" s="1"/>
  <c r="B3913" s="1"/>
  <c r="B4001" s="1"/>
  <c r="G3032"/>
  <c r="C3032"/>
  <c r="C3120" s="1"/>
  <c r="C3208" s="1"/>
  <c r="C3296" s="1"/>
  <c r="C3384" s="1"/>
  <c r="C3472" s="1"/>
  <c r="C3560" s="1"/>
  <c r="C3648" s="1"/>
  <c r="C3736" s="1"/>
  <c r="C3824" s="1"/>
  <c r="C3912" s="1"/>
  <c r="C4000" s="1"/>
  <c r="B3032"/>
  <c r="B3120" s="1"/>
  <c r="B3208" s="1"/>
  <c r="B3296" s="1"/>
  <c r="B3384" s="1"/>
  <c r="B3472" s="1"/>
  <c r="B3560" s="1"/>
  <c r="B3648" s="1"/>
  <c r="B3736" s="1"/>
  <c r="B3824" s="1"/>
  <c r="B3912" s="1"/>
  <c r="B4000" s="1"/>
  <c r="G3031"/>
  <c r="C3031"/>
  <c r="C3119" s="1"/>
  <c r="C3207" s="1"/>
  <c r="C3295" s="1"/>
  <c r="C3383" s="1"/>
  <c r="C3471" s="1"/>
  <c r="C3559" s="1"/>
  <c r="C3647" s="1"/>
  <c r="C3735" s="1"/>
  <c r="C3823" s="1"/>
  <c r="C3911" s="1"/>
  <c r="C3999" s="1"/>
  <c r="B3031"/>
  <c r="B3119" s="1"/>
  <c r="B3207" s="1"/>
  <c r="B3295" s="1"/>
  <c r="B3383" s="1"/>
  <c r="B3471" s="1"/>
  <c r="B3559" s="1"/>
  <c r="B3647" s="1"/>
  <c r="B3735" s="1"/>
  <c r="B3823" s="1"/>
  <c r="B3911" s="1"/>
  <c r="B3999" s="1"/>
  <c r="G3030"/>
  <c r="C3030"/>
  <c r="C3118" s="1"/>
  <c r="C3206" s="1"/>
  <c r="C3294" s="1"/>
  <c r="C3382" s="1"/>
  <c r="C3470" s="1"/>
  <c r="C3558" s="1"/>
  <c r="C3646" s="1"/>
  <c r="C3734" s="1"/>
  <c r="C3822" s="1"/>
  <c r="C3910" s="1"/>
  <c r="C3998" s="1"/>
  <c r="B3030"/>
  <c r="B3118" s="1"/>
  <c r="B3206" s="1"/>
  <c r="B3294" s="1"/>
  <c r="B3382" s="1"/>
  <c r="B3470" s="1"/>
  <c r="B3558" s="1"/>
  <c r="B3646" s="1"/>
  <c r="B3734" s="1"/>
  <c r="B3822" s="1"/>
  <c r="B3910" s="1"/>
  <c r="B3998" s="1"/>
  <c r="G3029"/>
  <c r="C3029"/>
  <c r="C3117" s="1"/>
  <c r="C3205" s="1"/>
  <c r="C3293" s="1"/>
  <c r="C3381" s="1"/>
  <c r="C3469" s="1"/>
  <c r="C3557" s="1"/>
  <c r="C3645" s="1"/>
  <c r="C3733" s="1"/>
  <c r="C3821" s="1"/>
  <c r="C3909" s="1"/>
  <c r="C3997" s="1"/>
  <c r="B3029"/>
  <c r="B3117" s="1"/>
  <c r="B3205" s="1"/>
  <c r="B3293" s="1"/>
  <c r="B3381" s="1"/>
  <c r="B3469" s="1"/>
  <c r="B3557" s="1"/>
  <c r="B3645" s="1"/>
  <c r="B3733" s="1"/>
  <c r="B3821" s="1"/>
  <c r="B3909" s="1"/>
  <c r="B3997" s="1"/>
  <c r="G3028"/>
  <c r="C3028"/>
  <c r="C3116" s="1"/>
  <c r="C3204" s="1"/>
  <c r="C3292" s="1"/>
  <c r="C3380" s="1"/>
  <c r="C3468" s="1"/>
  <c r="C3556" s="1"/>
  <c r="C3644" s="1"/>
  <c r="C3732" s="1"/>
  <c r="C3820" s="1"/>
  <c r="C3908" s="1"/>
  <c r="C3996" s="1"/>
  <c r="B3028"/>
  <c r="B3116" s="1"/>
  <c r="B3204" s="1"/>
  <c r="B3292" s="1"/>
  <c r="B3380" s="1"/>
  <c r="B3468" s="1"/>
  <c r="B3556" s="1"/>
  <c r="B3644" s="1"/>
  <c r="B3732" s="1"/>
  <c r="B3820" s="1"/>
  <c r="B3908" s="1"/>
  <c r="B3996" s="1"/>
  <c r="G3027"/>
  <c r="C3027"/>
  <c r="C3115" s="1"/>
  <c r="C3203" s="1"/>
  <c r="C3291" s="1"/>
  <c r="C3379" s="1"/>
  <c r="C3467" s="1"/>
  <c r="C3555" s="1"/>
  <c r="C3643" s="1"/>
  <c r="C3731" s="1"/>
  <c r="C3819" s="1"/>
  <c r="C3907" s="1"/>
  <c r="C3995" s="1"/>
  <c r="B3027"/>
  <c r="G3026"/>
  <c r="C3026"/>
  <c r="C3114" s="1"/>
  <c r="C3202" s="1"/>
  <c r="C3290" s="1"/>
  <c r="C3378" s="1"/>
  <c r="C3466" s="1"/>
  <c r="C3554" s="1"/>
  <c r="C3642" s="1"/>
  <c r="C3730" s="1"/>
  <c r="C3818" s="1"/>
  <c r="C3906" s="1"/>
  <c r="C3994" s="1"/>
  <c r="B3026"/>
  <c r="B3114" s="1"/>
  <c r="B3202" s="1"/>
  <c r="B3290" s="1"/>
  <c r="B3378" s="1"/>
  <c r="B3466" s="1"/>
  <c r="B3554" s="1"/>
  <c r="B3642" s="1"/>
  <c r="B3730" s="1"/>
  <c r="B3818" s="1"/>
  <c r="B3906" s="1"/>
  <c r="B3994" s="1"/>
  <c r="G3025"/>
  <c r="C3025"/>
  <c r="B3025"/>
  <c r="B3113" s="1"/>
  <c r="B3201" s="1"/>
  <c r="B3289" s="1"/>
  <c r="B3377" s="1"/>
  <c r="B3465" s="1"/>
  <c r="B3553" s="1"/>
  <c r="B3641" s="1"/>
  <c r="B3729" s="1"/>
  <c r="B3817" s="1"/>
  <c r="B3905" s="1"/>
  <c r="B3993" s="1"/>
  <c r="G3024"/>
  <c r="C3024"/>
  <c r="C3112" s="1"/>
  <c r="C3200" s="1"/>
  <c r="C3288" s="1"/>
  <c r="C3376" s="1"/>
  <c r="C3464" s="1"/>
  <c r="C3552" s="1"/>
  <c r="C3640" s="1"/>
  <c r="C3728" s="1"/>
  <c r="C3816" s="1"/>
  <c r="C3904" s="1"/>
  <c r="C3992" s="1"/>
  <c r="B3024"/>
  <c r="B3112" s="1"/>
  <c r="B3200" s="1"/>
  <c r="B3288" s="1"/>
  <c r="B3376" s="1"/>
  <c r="B3464" s="1"/>
  <c r="B3552" s="1"/>
  <c r="B3640" s="1"/>
  <c r="B3728" s="1"/>
  <c r="B3816" s="1"/>
  <c r="B3904" s="1"/>
  <c r="B3992" s="1"/>
  <c r="G3023"/>
  <c r="C3023"/>
  <c r="C3111" s="1"/>
  <c r="C3199" s="1"/>
  <c r="C3287" s="1"/>
  <c r="C3375" s="1"/>
  <c r="C3463" s="1"/>
  <c r="C3551" s="1"/>
  <c r="C3639" s="1"/>
  <c r="C3727" s="1"/>
  <c r="C3815" s="1"/>
  <c r="C3903" s="1"/>
  <c r="C3991" s="1"/>
  <c r="B3023"/>
  <c r="B3111" s="1"/>
  <c r="B3199" s="1"/>
  <c r="B3287" s="1"/>
  <c r="B3375" s="1"/>
  <c r="B3463" s="1"/>
  <c r="B3551" s="1"/>
  <c r="B3639" s="1"/>
  <c r="B3727" s="1"/>
  <c r="B3815" s="1"/>
  <c r="B3903" s="1"/>
  <c r="B3991" s="1"/>
  <c r="G3022"/>
  <c r="C3022"/>
  <c r="C3110" s="1"/>
  <c r="C3198" s="1"/>
  <c r="C3286" s="1"/>
  <c r="C3374" s="1"/>
  <c r="C3462" s="1"/>
  <c r="C3550" s="1"/>
  <c r="C3638" s="1"/>
  <c r="C3726" s="1"/>
  <c r="C3814" s="1"/>
  <c r="C3902" s="1"/>
  <c r="C3990" s="1"/>
  <c r="B3022"/>
  <c r="B3110" s="1"/>
  <c r="B3198" s="1"/>
  <c r="B3286" s="1"/>
  <c r="B3374" s="1"/>
  <c r="B3462" s="1"/>
  <c r="B3550" s="1"/>
  <c r="B3638" s="1"/>
  <c r="B3726" s="1"/>
  <c r="B3814" s="1"/>
  <c r="B3902" s="1"/>
  <c r="B3990" s="1"/>
  <c r="J3021"/>
  <c r="J3109" s="1"/>
  <c r="J3197" s="1"/>
  <c r="J3285" s="1"/>
  <c r="J3373" s="1"/>
  <c r="J3461" s="1"/>
  <c r="J3549" s="1"/>
  <c r="J3637" s="1"/>
  <c r="J3725" s="1"/>
  <c r="J3813" s="1"/>
  <c r="J3901" s="1"/>
  <c r="J3989" s="1"/>
  <c r="J4077" s="1"/>
  <c r="H3021"/>
  <c r="H3109" s="1"/>
  <c r="H3197" s="1"/>
  <c r="H3285" s="1"/>
  <c r="H3373" s="1"/>
  <c r="H3461" s="1"/>
  <c r="H3549" s="1"/>
  <c r="H3637" s="1"/>
  <c r="H3725" s="1"/>
  <c r="H3813" s="1"/>
  <c r="H3901" s="1"/>
  <c r="H3989" s="1"/>
  <c r="H4077" s="1"/>
  <c r="J3020"/>
  <c r="J3108" s="1"/>
  <c r="J3196" s="1"/>
  <c r="J3284" s="1"/>
  <c r="J3372" s="1"/>
  <c r="J3460" s="1"/>
  <c r="J3548" s="1"/>
  <c r="J3636" s="1"/>
  <c r="J3724" s="1"/>
  <c r="J3812" s="1"/>
  <c r="J3900" s="1"/>
  <c r="J3988" s="1"/>
  <c r="J4076" s="1"/>
  <c r="H3020"/>
  <c r="H3108" s="1"/>
  <c r="H3196" s="1"/>
  <c r="H3284" s="1"/>
  <c r="H3372" s="1"/>
  <c r="H3460" s="1"/>
  <c r="H3548" s="1"/>
  <c r="H3636" s="1"/>
  <c r="H3724" s="1"/>
  <c r="H3812" s="1"/>
  <c r="H3900" s="1"/>
  <c r="H3988" s="1"/>
  <c r="H4076" s="1"/>
  <c r="J3019"/>
  <c r="J3107" s="1"/>
  <c r="J3195" s="1"/>
  <c r="J3283" s="1"/>
  <c r="J3371" s="1"/>
  <c r="J3459" s="1"/>
  <c r="J3547" s="1"/>
  <c r="J3635" s="1"/>
  <c r="J3723" s="1"/>
  <c r="J3811" s="1"/>
  <c r="J3899" s="1"/>
  <c r="J3987" s="1"/>
  <c r="J4075" s="1"/>
  <c r="H3019"/>
  <c r="H3107" s="1"/>
  <c r="H3195" s="1"/>
  <c r="H3283" s="1"/>
  <c r="H3371" s="1"/>
  <c r="H3459" s="1"/>
  <c r="H3547" s="1"/>
  <c r="H3635" s="1"/>
  <c r="H3723" s="1"/>
  <c r="H3811" s="1"/>
  <c r="H3899" s="1"/>
  <c r="H3987" s="1"/>
  <c r="H4075" s="1"/>
  <c r="J3018"/>
  <c r="J3106" s="1"/>
  <c r="J3194" s="1"/>
  <c r="J3282" s="1"/>
  <c r="J3370" s="1"/>
  <c r="J3458" s="1"/>
  <c r="J3546" s="1"/>
  <c r="J3634" s="1"/>
  <c r="J3722" s="1"/>
  <c r="J3810" s="1"/>
  <c r="J3898" s="1"/>
  <c r="J3986" s="1"/>
  <c r="J4074" s="1"/>
  <c r="H3018"/>
  <c r="H3106" s="1"/>
  <c r="H3194" s="1"/>
  <c r="H3282" s="1"/>
  <c r="H3370" s="1"/>
  <c r="H3458" s="1"/>
  <c r="H3546" s="1"/>
  <c r="H3634" s="1"/>
  <c r="H3722" s="1"/>
  <c r="H3810" s="1"/>
  <c r="H3898" s="1"/>
  <c r="H3986" s="1"/>
  <c r="H4074" s="1"/>
  <c r="J3017"/>
  <c r="J3105" s="1"/>
  <c r="J3193" s="1"/>
  <c r="J3281" s="1"/>
  <c r="J3369" s="1"/>
  <c r="J3457" s="1"/>
  <c r="J3545" s="1"/>
  <c r="J3633" s="1"/>
  <c r="J3721" s="1"/>
  <c r="J3809" s="1"/>
  <c r="J3897" s="1"/>
  <c r="J3985" s="1"/>
  <c r="J4073" s="1"/>
  <c r="H3017"/>
  <c r="H3105" s="1"/>
  <c r="H3193" s="1"/>
  <c r="H3281" s="1"/>
  <c r="H3369" s="1"/>
  <c r="H3457" s="1"/>
  <c r="H3545" s="1"/>
  <c r="H3633" s="1"/>
  <c r="H3721" s="1"/>
  <c r="H3809" s="1"/>
  <c r="H3897" s="1"/>
  <c r="H3985" s="1"/>
  <c r="H4073" s="1"/>
  <c r="J3016"/>
  <c r="J3104" s="1"/>
  <c r="J3192" s="1"/>
  <c r="J3280" s="1"/>
  <c r="J3368" s="1"/>
  <c r="J3456" s="1"/>
  <c r="J3544" s="1"/>
  <c r="J3632" s="1"/>
  <c r="J3720" s="1"/>
  <c r="J3808" s="1"/>
  <c r="J3896" s="1"/>
  <c r="J3984" s="1"/>
  <c r="J4072" s="1"/>
  <c r="H3016"/>
  <c r="H3104" s="1"/>
  <c r="H3192" s="1"/>
  <c r="H3280" s="1"/>
  <c r="H3368" s="1"/>
  <c r="H3456" s="1"/>
  <c r="H3544" s="1"/>
  <c r="H3632" s="1"/>
  <c r="H3720" s="1"/>
  <c r="H3808" s="1"/>
  <c r="H3896" s="1"/>
  <c r="H3984" s="1"/>
  <c r="H4072" s="1"/>
  <c r="J3015"/>
  <c r="J3103" s="1"/>
  <c r="J3191" s="1"/>
  <c r="J3279" s="1"/>
  <c r="J3367" s="1"/>
  <c r="J3455" s="1"/>
  <c r="J3543" s="1"/>
  <c r="J3631" s="1"/>
  <c r="J3719" s="1"/>
  <c r="J3807" s="1"/>
  <c r="J3895" s="1"/>
  <c r="J3983" s="1"/>
  <c r="J4071" s="1"/>
  <c r="H3015"/>
  <c r="H3103" s="1"/>
  <c r="H3191" s="1"/>
  <c r="H3279" s="1"/>
  <c r="H3367" s="1"/>
  <c r="H3455" s="1"/>
  <c r="H3543" s="1"/>
  <c r="H3631" s="1"/>
  <c r="H3719" s="1"/>
  <c r="H3807" s="1"/>
  <c r="H3895" s="1"/>
  <c r="H3983" s="1"/>
  <c r="H4071" s="1"/>
  <c r="J3014"/>
  <c r="J3102" s="1"/>
  <c r="J3190" s="1"/>
  <c r="J3278" s="1"/>
  <c r="J3366" s="1"/>
  <c r="J3454" s="1"/>
  <c r="J3542" s="1"/>
  <c r="J3630" s="1"/>
  <c r="J3718" s="1"/>
  <c r="J3806" s="1"/>
  <c r="J3894" s="1"/>
  <c r="J3982" s="1"/>
  <c r="J4070" s="1"/>
  <c r="H3014"/>
  <c r="H3102" s="1"/>
  <c r="H3190" s="1"/>
  <c r="H3278" s="1"/>
  <c r="H3366" s="1"/>
  <c r="H3454" s="1"/>
  <c r="H3542" s="1"/>
  <c r="H3630" s="1"/>
  <c r="H3718" s="1"/>
  <c r="H3806" s="1"/>
  <c r="H3894" s="1"/>
  <c r="H3982" s="1"/>
  <c r="H4070" s="1"/>
  <c r="J3013"/>
  <c r="J3101" s="1"/>
  <c r="J3189" s="1"/>
  <c r="J3277" s="1"/>
  <c r="J3365" s="1"/>
  <c r="J3453" s="1"/>
  <c r="J3541" s="1"/>
  <c r="J3629" s="1"/>
  <c r="J3717" s="1"/>
  <c r="J3805" s="1"/>
  <c r="J3893" s="1"/>
  <c r="J3981" s="1"/>
  <c r="J4069" s="1"/>
  <c r="H3013"/>
  <c r="H3101" s="1"/>
  <c r="H3189" s="1"/>
  <c r="H3277" s="1"/>
  <c r="H3365" s="1"/>
  <c r="H3453" s="1"/>
  <c r="H3541" s="1"/>
  <c r="H3629" s="1"/>
  <c r="H3717" s="1"/>
  <c r="H3805" s="1"/>
  <c r="H3893" s="1"/>
  <c r="H3981" s="1"/>
  <c r="H4069" s="1"/>
  <c r="J3012"/>
  <c r="J3100" s="1"/>
  <c r="J3188" s="1"/>
  <c r="J3276" s="1"/>
  <c r="J3364" s="1"/>
  <c r="J3452" s="1"/>
  <c r="J3540" s="1"/>
  <c r="J3628" s="1"/>
  <c r="J3716" s="1"/>
  <c r="J3804" s="1"/>
  <c r="J3892" s="1"/>
  <c r="J3980" s="1"/>
  <c r="J4068" s="1"/>
  <c r="H3012"/>
  <c r="H3100" s="1"/>
  <c r="H3188" s="1"/>
  <c r="H3276" s="1"/>
  <c r="H3364" s="1"/>
  <c r="H3452" s="1"/>
  <c r="H3540" s="1"/>
  <c r="H3628" s="1"/>
  <c r="H3716" s="1"/>
  <c r="H3804" s="1"/>
  <c r="H3892" s="1"/>
  <c r="H3980" s="1"/>
  <c r="H4068" s="1"/>
  <c r="J3011"/>
  <c r="J3099" s="1"/>
  <c r="J3187" s="1"/>
  <c r="J3275" s="1"/>
  <c r="J3363" s="1"/>
  <c r="J3451" s="1"/>
  <c r="J3539" s="1"/>
  <c r="J3627" s="1"/>
  <c r="J3715" s="1"/>
  <c r="J3803" s="1"/>
  <c r="J3891" s="1"/>
  <c r="J3979" s="1"/>
  <c r="J4067" s="1"/>
  <c r="H3011"/>
  <c r="H3099" s="1"/>
  <c r="H3187" s="1"/>
  <c r="H3275" s="1"/>
  <c r="H3363" s="1"/>
  <c r="H3451" s="1"/>
  <c r="H3539" s="1"/>
  <c r="H3627" s="1"/>
  <c r="H3715" s="1"/>
  <c r="H3803" s="1"/>
  <c r="H3891" s="1"/>
  <c r="H3979" s="1"/>
  <c r="H4067" s="1"/>
  <c r="J3010"/>
  <c r="J3098" s="1"/>
  <c r="J3186" s="1"/>
  <c r="J3274" s="1"/>
  <c r="J3362" s="1"/>
  <c r="J3450" s="1"/>
  <c r="J3538" s="1"/>
  <c r="J3626" s="1"/>
  <c r="J3714" s="1"/>
  <c r="J3802" s="1"/>
  <c r="J3890" s="1"/>
  <c r="J3978" s="1"/>
  <c r="J4066" s="1"/>
  <c r="H3010"/>
  <c r="H3098" s="1"/>
  <c r="H3186" s="1"/>
  <c r="H3274" s="1"/>
  <c r="H3362" s="1"/>
  <c r="H3450" s="1"/>
  <c r="H3538" s="1"/>
  <c r="H3626" s="1"/>
  <c r="H3714" s="1"/>
  <c r="H3802" s="1"/>
  <c r="H3890" s="1"/>
  <c r="H3978" s="1"/>
  <c r="H4066" s="1"/>
  <c r="J3009"/>
  <c r="J3097" s="1"/>
  <c r="J3185" s="1"/>
  <c r="J3273" s="1"/>
  <c r="J3361" s="1"/>
  <c r="J3449" s="1"/>
  <c r="J3537" s="1"/>
  <c r="J3625" s="1"/>
  <c r="J3713" s="1"/>
  <c r="J3801" s="1"/>
  <c r="J3889" s="1"/>
  <c r="J3977" s="1"/>
  <c r="J4065" s="1"/>
  <c r="H3009"/>
  <c r="H3097" s="1"/>
  <c r="H3185" s="1"/>
  <c r="H3273" s="1"/>
  <c r="H3361" s="1"/>
  <c r="H3449" s="1"/>
  <c r="H3537" s="1"/>
  <c r="H3625" s="1"/>
  <c r="H3713" s="1"/>
  <c r="H3801" s="1"/>
  <c r="H3889" s="1"/>
  <c r="H3977" s="1"/>
  <c r="H4065" s="1"/>
  <c r="J3008"/>
  <c r="J3096" s="1"/>
  <c r="J3184" s="1"/>
  <c r="J3272" s="1"/>
  <c r="J3360" s="1"/>
  <c r="J3448" s="1"/>
  <c r="J3536" s="1"/>
  <c r="J3624" s="1"/>
  <c r="J3712" s="1"/>
  <c r="J3800" s="1"/>
  <c r="J3888" s="1"/>
  <c r="J3976" s="1"/>
  <c r="J4064" s="1"/>
  <c r="H3008"/>
  <c r="H3096" s="1"/>
  <c r="H3184" s="1"/>
  <c r="H3272" s="1"/>
  <c r="H3360" s="1"/>
  <c r="H3448" s="1"/>
  <c r="H3536" s="1"/>
  <c r="H3624" s="1"/>
  <c r="H3712" s="1"/>
  <c r="H3800" s="1"/>
  <c r="H3888" s="1"/>
  <c r="H3976" s="1"/>
  <c r="H4064" s="1"/>
  <c r="J3007"/>
  <c r="J3095" s="1"/>
  <c r="J3183" s="1"/>
  <c r="J3271" s="1"/>
  <c r="J3359" s="1"/>
  <c r="J3447" s="1"/>
  <c r="J3535" s="1"/>
  <c r="J3623" s="1"/>
  <c r="J3711" s="1"/>
  <c r="J3799" s="1"/>
  <c r="J3887" s="1"/>
  <c r="J3975" s="1"/>
  <c r="J4063" s="1"/>
  <c r="H3007"/>
  <c r="H3095" s="1"/>
  <c r="H3183" s="1"/>
  <c r="H3271" s="1"/>
  <c r="H3359" s="1"/>
  <c r="H3447" s="1"/>
  <c r="H3535" s="1"/>
  <c r="H3623" s="1"/>
  <c r="H3711" s="1"/>
  <c r="H3799" s="1"/>
  <c r="H3887" s="1"/>
  <c r="H3975" s="1"/>
  <c r="H4063" s="1"/>
  <c r="J3006"/>
  <c r="J3094" s="1"/>
  <c r="J3182" s="1"/>
  <c r="J3270" s="1"/>
  <c r="J3358" s="1"/>
  <c r="J3446" s="1"/>
  <c r="J3534" s="1"/>
  <c r="J3622" s="1"/>
  <c r="J3710" s="1"/>
  <c r="J3798" s="1"/>
  <c r="J3886" s="1"/>
  <c r="J3974" s="1"/>
  <c r="J4062" s="1"/>
  <c r="H3006"/>
  <c r="H3094" s="1"/>
  <c r="H3182" s="1"/>
  <c r="H3270" s="1"/>
  <c r="H3358" s="1"/>
  <c r="H3446" s="1"/>
  <c r="H3534" s="1"/>
  <c r="H3622" s="1"/>
  <c r="H3710" s="1"/>
  <c r="H3798" s="1"/>
  <c r="H3886" s="1"/>
  <c r="H3974" s="1"/>
  <c r="H4062" s="1"/>
  <c r="J3005"/>
  <c r="J3093" s="1"/>
  <c r="J3181" s="1"/>
  <c r="J3269" s="1"/>
  <c r="J3357" s="1"/>
  <c r="J3445" s="1"/>
  <c r="J3533" s="1"/>
  <c r="J3621" s="1"/>
  <c r="J3709" s="1"/>
  <c r="J3797" s="1"/>
  <c r="J3885" s="1"/>
  <c r="J3973" s="1"/>
  <c r="J4061" s="1"/>
  <c r="H3005"/>
  <c r="H3093" s="1"/>
  <c r="H3181" s="1"/>
  <c r="H3269" s="1"/>
  <c r="H3357" s="1"/>
  <c r="H3445" s="1"/>
  <c r="H3533" s="1"/>
  <c r="H3621" s="1"/>
  <c r="H3709" s="1"/>
  <c r="H3797" s="1"/>
  <c r="H3885" s="1"/>
  <c r="H3973" s="1"/>
  <c r="H4061" s="1"/>
  <c r="J3004"/>
  <c r="J3092" s="1"/>
  <c r="J3180" s="1"/>
  <c r="J3268" s="1"/>
  <c r="J3356" s="1"/>
  <c r="J3444" s="1"/>
  <c r="J3532" s="1"/>
  <c r="J3620" s="1"/>
  <c r="J3708" s="1"/>
  <c r="J3796" s="1"/>
  <c r="J3884" s="1"/>
  <c r="J3972" s="1"/>
  <c r="J4060" s="1"/>
  <c r="H3004"/>
  <c r="H3092" s="1"/>
  <c r="H3180" s="1"/>
  <c r="H3268" s="1"/>
  <c r="H3356" s="1"/>
  <c r="H3444" s="1"/>
  <c r="H3532" s="1"/>
  <c r="H3620" s="1"/>
  <c r="H3708" s="1"/>
  <c r="H3796" s="1"/>
  <c r="H3884" s="1"/>
  <c r="H3972" s="1"/>
  <c r="H4060" s="1"/>
  <c r="J3003"/>
  <c r="J3091" s="1"/>
  <c r="J3179" s="1"/>
  <c r="J3267" s="1"/>
  <c r="J3355" s="1"/>
  <c r="J3443" s="1"/>
  <c r="J3531" s="1"/>
  <c r="J3619" s="1"/>
  <c r="J3707" s="1"/>
  <c r="J3795" s="1"/>
  <c r="J3883" s="1"/>
  <c r="J3971" s="1"/>
  <c r="J4059" s="1"/>
  <c r="H3003"/>
  <c r="H3091" s="1"/>
  <c r="H3179" s="1"/>
  <c r="H3267" s="1"/>
  <c r="H3355" s="1"/>
  <c r="H3443" s="1"/>
  <c r="H3531" s="1"/>
  <c r="H3619" s="1"/>
  <c r="H3707" s="1"/>
  <c r="H3795" s="1"/>
  <c r="H3883" s="1"/>
  <c r="H3971" s="1"/>
  <c r="H4059" s="1"/>
  <c r="J3002"/>
  <c r="J3090" s="1"/>
  <c r="J3178" s="1"/>
  <c r="J3266" s="1"/>
  <c r="J3354" s="1"/>
  <c r="J3442" s="1"/>
  <c r="J3530" s="1"/>
  <c r="J3618" s="1"/>
  <c r="J3706" s="1"/>
  <c r="J3794" s="1"/>
  <c r="J3882" s="1"/>
  <c r="J3970" s="1"/>
  <c r="J4058" s="1"/>
  <c r="H3002"/>
  <c r="H3090" s="1"/>
  <c r="H3178" s="1"/>
  <c r="H3266" s="1"/>
  <c r="H3354" s="1"/>
  <c r="H3442" s="1"/>
  <c r="H3530" s="1"/>
  <c r="H3618" s="1"/>
  <c r="H3706" s="1"/>
  <c r="H3794" s="1"/>
  <c r="H3882" s="1"/>
  <c r="H3970" s="1"/>
  <c r="H4058" s="1"/>
  <c r="J3001"/>
  <c r="J3089" s="1"/>
  <c r="J3177" s="1"/>
  <c r="J3265" s="1"/>
  <c r="J3353" s="1"/>
  <c r="J3441" s="1"/>
  <c r="J3529" s="1"/>
  <c r="J3617" s="1"/>
  <c r="J3705" s="1"/>
  <c r="J3793" s="1"/>
  <c r="J3881" s="1"/>
  <c r="J3969" s="1"/>
  <c r="J4057" s="1"/>
  <c r="H3001"/>
  <c r="H3089" s="1"/>
  <c r="H3177" s="1"/>
  <c r="H3265" s="1"/>
  <c r="H3353" s="1"/>
  <c r="H3441" s="1"/>
  <c r="H3529" s="1"/>
  <c r="H3617" s="1"/>
  <c r="H3705" s="1"/>
  <c r="H3793" s="1"/>
  <c r="H3881" s="1"/>
  <c r="H3969" s="1"/>
  <c r="H4057" s="1"/>
  <c r="J3000"/>
  <c r="J3088" s="1"/>
  <c r="J3176" s="1"/>
  <c r="J3264" s="1"/>
  <c r="J3352" s="1"/>
  <c r="J3440" s="1"/>
  <c r="J3528" s="1"/>
  <c r="J3616" s="1"/>
  <c r="J3704" s="1"/>
  <c r="J3792" s="1"/>
  <c r="J3880" s="1"/>
  <c r="J3968" s="1"/>
  <c r="J4056" s="1"/>
  <c r="H3000"/>
  <c r="H3088" s="1"/>
  <c r="H3176" s="1"/>
  <c r="H3264" s="1"/>
  <c r="H3352" s="1"/>
  <c r="H3440" s="1"/>
  <c r="H3528" s="1"/>
  <c r="H3616" s="1"/>
  <c r="H3704" s="1"/>
  <c r="H3792" s="1"/>
  <c r="H3880" s="1"/>
  <c r="H3968" s="1"/>
  <c r="H4056" s="1"/>
  <c r="N2999"/>
  <c r="J2999"/>
  <c r="J3087" s="1"/>
  <c r="J3175" s="1"/>
  <c r="J3263" s="1"/>
  <c r="J3351" s="1"/>
  <c r="J3439" s="1"/>
  <c r="J3527" s="1"/>
  <c r="J3615" s="1"/>
  <c r="J3703" s="1"/>
  <c r="J3791" s="1"/>
  <c r="J3879" s="1"/>
  <c r="J3967" s="1"/>
  <c r="J4055" s="1"/>
  <c r="H2999"/>
  <c r="H3087" s="1"/>
  <c r="H3175" s="1"/>
  <c r="H3263" s="1"/>
  <c r="H3351" s="1"/>
  <c r="H3439" s="1"/>
  <c r="H3527" s="1"/>
  <c r="H3615" s="1"/>
  <c r="H3703" s="1"/>
  <c r="H3791" s="1"/>
  <c r="H3879" s="1"/>
  <c r="H3967" s="1"/>
  <c r="H4055" s="1"/>
  <c r="N2998"/>
  <c r="J2998"/>
  <c r="J3086" s="1"/>
  <c r="J3174" s="1"/>
  <c r="J3262" s="1"/>
  <c r="J3350" s="1"/>
  <c r="J3438" s="1"/>
  <c r="J3526" s="1"/>
  <c r="J3614" s="1"/>
  <c r="J3702" s="1"/>
  <c r="J3790" s="1"/>
  <c r="J3878" s="1"/>
  <c r="J3966" s="1"/>
  <c r="J4054" s="1"/>
  <c r="H2998"/>
  <c r="H3086" s="1"/>
  <c r="H3174" s="1"/>
  <c r="H3262" s="1"/>
  <c r="H3350" s="1"/>
  <c r="H3438" s="1"/>
  <c r="H3526" s="1"/>
  <c r="H3614" s="1"/>
  <c r="H3702" s="1"/>
  <c r="H3790" s="1"/>
  <c r="H3878" s="1"/>
  <c r="H3966" s="1"/>
  <c r="H4054" s="1"/>
  <c r="N2997"/>
  <c r="J2997"/>
  <c r="J3085" s="1"/>
  <c r="J3173" s="1"/>
  <c r="J3261" s="1"/>
  <c r="J3349" s="1"/>
  <c r="J3437" s="1"/>
  <c r="J3525" s="1"/>
  <c r="J3613" s="1"/>
  <c r="J3701" s="1"/>
  <c r="J3789" s="1"/>
  <c r="J3877" s="1"/>
  <c r="J3965" s="1"/>
  <c r="J4053" s="1"/>
  <c r="H2997"/>
  <c r="H3085" s="1"/>
  <c r="H3173" s="1"/>
  <c r="H3261" s="1"/>
  <c r="H3349" s="1"/>
  <c r="H3437" s="1"/>
  <c r="H3525" s="1"/>
  <c r="H3613" s="1"/>
  <c r="H3701" s="1"/>
  <c r="H3789" s="1"/>
  <c r="H3877" s="1"/>
  <c r="H3965" s="1"/>
  <c r="H4053" s="1"/>
  <c r="N2996"/>
  <c r="J2996"/>
  <c r="J3084" s="1"/>
  <c r="J3172" s="1"/>
  <c r="J3260" s="1"/>
  <c r="J3348" s="1"/>
  <c r="J3436" s="1"/>
  <c r="J3524" s="1"/>
  <c r="J3612" s="1"/>
  <c r="J3700" s="1"/>
  <c r="J3788" s="1"/>
  <c r="J3876" s="1"/>
  <c r="J3964" s="1"/>
  <c r="J4052" s="1"/>
  <c r="H2996"/>
  <c r="H3084" s="1"/>
  <c r="H3172" s="1"/>
  <c r="H3260" s="1"/>
  <c r="H3348" s="1"/>
  <c r="H3436" s="1"/>
  <c r="H3524" s="1"/>
  <c r="H3612" s="1"/>
  <c r="H3700" s="1"/>
  <c r="H3788" s="1"/>
  <c r="H3876" s="1"/>
  <c r="H3964" s="1"/>
  <c r="H4052" s="1"/>
  <c r="N2995"/>
  <c r="N3083" s="1"/>
  <c r="N3171" s="1"/>
  <c r="N3259" s="1"/>
  <c r="J2995"/>
  <c r="J3083" s="1"/>
  <c r="J3171" s="1"/>
  <c r="J3259" s="1"/>
  <c r="J3347" s="1"/>
  <c r="J3435" s="1"/>
  <c r="J3523" s="1"/>
  <c r="J3611" s="1"/>
  <c r="J3699" s="1"/>
  <c r="J3787" s="1"/>
  <c r="J3875" s="1"/>
  <c r="J3963" s="1"/>
  <c r="J4051" s="1"/>
  <c r="H2995"/>
  <c r="H3083" s="1"/>
  <c r="H3171" s="1"/>
  <c r="H3259" s="1"/>
  <c r="H3347" s="1"/>
  <c r="H3435" s="1"/>
  <c r="H3523" s="1"/>
  <c r="H3611" s="1"/>
  <c r="H3699" s="1"/>
  <c r="H3787" s="1"/>
  <c r="H3875" s="1"/>
  <c r="H3963" s="1"/>
  <c r="H4051" s="1"/>
  <c r="N2994"/>
  <c r="J2994"/>
  <c r="J3082" s="1"/>
  <c r="J3170" s="1"/>
  <c r="J3258" s="1"/>
  <c r="J3346" s="1"/>
  <c r="J3434" s="1"/>
  <c r="J3522" s="1"/>
  <c r="J3610" s="1"/>
  <c r="J3698" s="1"/>
  <c r="J3786" s="1"/>
  <c r="J3874" s="1"/>
  <c r="J3962" s="1"/>
  <c r="J4050" s="1"/>
  <c r="H2994"/>
  <c r="H3082" s="1"/>
  <c r="H3170" s="1"/>
  <c r="H3258" s="1"/>
  <c r="H3346" s="1"/>
  <c r="H3434" s="1"/>
  <c r="H3522" s="1"/>
  <c r="H3610" s="1"/>
  <c r="H3698" s="1"/>
  <c r="H3786" s="1"/>
  <c r="H3874" s="1"/>
  <c r="H3962" s="1"/>
  <c r="H4050" s="1"/>
  <c r="N2993"/>
  <c r="J2993"/>
  <c r="J3081" s="1"/>
  <c r="J3169" s="1"/>
  <c r="J3257" s="1"/>
  <c r="J3345" s="1"/>
  <c r="J3433" s="1"/>
  <c r="J3521" s="1"/>
  <c r="J3609" s="1"/>
  <c r="J3697" s="1"/>
  <c r="J3785" s="1"/>
  <c r="J3873" s="1"/>
  <c r="J3961" s="1"/>
  <c r="J4049" s="1"/>
  <c r="H2993"/>
  <c r="H3081" s="1"/>
  <c r="H3169" s="1"/>
  <c r="H3257" s="1"/>
  <c r="H3345" s="1"/>
  <c r="H3433" s="1"/>
  <c r="H3521" s="1"/>
  <c r="H3609" s="1"/>
  <c r="H3697" s="1"/>
  <c r="H3785" s="1"/>
  <c r="H3873" s="1"/>
  <c r="H3961" s="1"/>
  <c r="H4049" s="1"/>
  <c r="N2992"/>
  <c r="J2992"/>
  <c r="J3080" s="1"/>
  <c r="J3168" s="1"/>
  <c r="J3256" s="1"/>
  <c r="J3344" s="1"/>
  <c r="J3432" s="1"/>
  <c r="J3520" s="1"/>
  <c r="J3608" s="1"/>
  <c r="J3696" s="1"/>
  <c r="J3784" s="1"/>
  <c r="J3872" s="1"/>
  <c r="J3960" s="1"/>
  <c r="J4048" s="1"/>
  <c r="H2992"/>
  <c r="H3080" s="1"/>
  <c r="H3168" s="1"/>
  <c r="H3256" s="1"/>
  <c r="H3344" s="1"/>
  <c r="H3432" s="1"/>
  <c r="H3520" s="1"/>
  <c r="H3608" s="1"/>
  <c r="H3696" s="1"/>
  <c r="H3784" s="1"/>
  <c r="H3872" s="1"/>
  <c r="H3960" s="1"/>
  <c r="H4048" s="1"/>
  <c r="N2991"/>
  <c r="N3079" s="1"/>
  <c r="N3167" s="1"/>
  <c r="N3255" s="1"/>
  <c r="N3519" s="1"/>
  <c r="M3519" s="1"/>
  <c r="J2991"/>
  <c r="J3079" s="1"/>
  <c r="J3167" s="1"/>
  <c r="J3255" s="1"/>
  <c r="J3343" s="1"/>
  <c r="J3431" s="1"/>
  <c r="J3519" s="1"/>
  <c r="J3607" s="1"/>
  <c r="J3695" s="1"/>
  <c r="J3783" s="1"/>
  <c r="J3871" s="1"/>
  <c r="J3959" s="1"/>
  <c r="J4047" s="1"/>
  <c r="H2991"/>
  <c r="H3079" s="1"/>
  <c r="H3167" s="1"/>
  <c r="H3255" s="1"/>
  <c r="H3343" s="1"/>
  <c r="H3431" s="1"/>
  <c r="H3519" s="1"/>
  <c r="H3607" s="1"/>
  <c r="H3695" s="1"/>
  <c r="H3783" s="1"/>
  <c r="H3871" s="1"/>
  <c r="H3959" s="1"/>
  <c r="H4047" s="1"/>
  <c r="N2990"/>
  <c r="J2990"/>
  <c r="J3078" s="1"/>
  <c r="J3166" s="1"/>
  <c r="J3254" s="1"/>
  <c r="J3342" s="1"/>
  <c r="J3430" s="1"/>
  <c r="J3518" s="1"/>
  <c r="J3606" s="1"/>
  <c r="J3694" s="1"/>
  <c r="J3782" s="1"/>
  <c r="J3870" s="1"/>
  <c r="J3958" s="1"/>
  <c r="J4046" s="1"/>
  <c r="H2990"/>
  <c r="H3078" s="1"/>
  <c r="H3166" s="1"/>
  <c r="H3254" s="1"/>
  <c r="H3342" s="1"/>
  <c r="H3430" s="1"/>
  <c r="H3518" s="1"/>
  <c r="H3606" s="1"/>
  <c r="H3694" s="1"/>
  <c r="H3782" s="1"/>
  <c r="H3870" s="1"/>
  <c r="H3958" s="1"/>
  <c r="H4046" s="1"/>
  <c r="N2989"/>
  <c r="J2989"/>
  <c r="J3077" s="1"/>
  <c r="J3165" s="1"/>
  <c r="J3253" s="1"/>
  <c r="J3341" s="1"/>
  <c r="J3429" s="1"/>
  <c r="J3517" s="1"/>
  <c r="J3605" s="1"/>
  <c r="J3693" s="1"/>
  <c r="J3781" s="1"/>
  <c r="J3869" s="1"/>
  <c r="J3957" s="1"/>
  <c r="J4045" s="1"/>
  <c r="H2989"/>
  <c r="H3077" s="1"/>
  <c r="H3165" s="1"/>
  <c r="H3253" s="1"/>
  <c r="H3341" s="1"/>
  <c r="H3429" s="1"/>
  <c r="H3517" s="1"/>
  <c r="H3605" s="1"/>
  <c r="H3693" s="1"/>
  <c r="H3781" s="1"/>
  <c r="H3869" s="1"/>
  <c r="H3957" s="1"/>
  <c r="H4045" s="1"/>
  <c r="N2988"/>
  <c r="J2988"/>
  <c r="J3076" s="1"/>
  <c r="J3164" s="1"/>
  <c r="J3252" s="1"/>
  <c r="J3340" s="1"/>
  <c r="J3428" s="1"/>
  <c r="J3516" s="1"/>
  <c r="J3604" s="1"/>
  <c r="J3692" s="1"/>
  <c r="J3780" s="1"/>
  <c r="J3868" s="1"/>
  <c r="J3956" s="1"/>
  <c r="J4044" s="1"/>
  <c r="H2988"/>
  <c r="H3076" s="1"/>
  <c r="H3164" s="1"/>
  <c r="H3252" s="1"/>
  <c r="H3340" s="1"/>
  <c r="H3428" s="1"/>
  <c r="H3516" s="1"/>
  <c r="H3604" s="1"/>
  <c r="H3692" s="1"/>
  <c r="H3780" s="1"/>
  <c r="H3868" s="1"/>
  <c r="H3956" s="1"/>
  <c r="H4044" s="1"/>
  <c r="N2987"/>
  <c r="N3075" s="1"/>
  <c r="N3163" s="1"/>
  <c r="N3251" s="1"/>
  <c r="J2987"/>
  <c r="J3075" s="1"/>
  <c r="J3163" s="1"/>
  <c r="J3251" s="1"/>
  <c r="J3339" s="1"/>
  <c r="J3427" s="1"/>
  <c r="J3515" s="1"/>
  <c r="J3603" s="1"/>
  <c r="J3691" s="1"/>
  <c r="J3779" s="1"/>
  <c r="J3867" s="1"/>
  <c r="J3955" s="1"/>
  <c r="J4043" s="1"/>
  <c r="H2987"/>
  <c r="H3075" s="1"/>
  <c r="H3163" s="1"/>
  <c r="H3251" s="1"/>
  <c r="H3339" s="1"/>
  <c r="H3427" s="1"/>
  <c r="H3515" s="1"/>
  <c r="H3603" s="1"/>
  <c r="H3691" s="1"/>
  <c r="H3779" s="1"/>
  <c r="H3867" s="1"/>
  <c r="H3955" s="1"/>
  <c r="H4043" s="1"/>
  <c r="N2986"/>
  <c r="J2986"/>
  <c r="J3074" s="1"/>
  <c r="J3162" s="1"/>
  <c r="J3250" s="1"/>
  <c r="J3338" s="1"/>
  <c r="J3426" s="1"/>
  <c r="J3514" s="1"/>
  <c r="J3602" s="1"/>
  <c r="J3690" s="1"/>
  <c r="J3778" s="1"/>
  <c r="J3866" s="1"/>
  <c r="J3954" s="1"/>
  <c r="J4042" s="1"/>
  <c r="H2986"/>
  <c r="H3074" s="1"/>
  <c r="H3162" s="1"/>
  <c r="H3250" s="1"/>
  <c r="H3338" s="1"/>
  <c r="H3426" s="1"/>
  <c r="H3514" s="1"/>
  <c r="H3602" s="1"/>
  <c r="H3690" s="1"/>
  <c r="H3778" s="1"/>
  <c r="H3866" s="1"/>
  <c r="H3954" s="1"/>
  <c r="H4042" s="1"/>
  <c r="N2985"/>
  <c r="J2985"/>
  <c r="J3073" s="1"/>
  <c r="J3161" s="1"/>
  <c r="J3249" s="1"/>
  <c r="J3337" s="1"/>
  <c r="J3425" s="1"/>
  <c r="J3513" s="1"/>
  <c r="J3601" s="1"/>
  <c r="J3689" s="1"/>
  <c r="J3777" s="1"/>
  <c r="J3865" s="1"/>
  <c r="J3953" s="1"/>
  <c r="J4041" s="1"/>
  <c r="H2985"/>
  <c r="H3073" s="1"/>
  <c r="H3161" s="1"/>
  <c r="H3249" s="1"/>
  <c r="H3337" s="1"/>
  <c r="H3425" s="1"/>
  <c r="H3513" s="1"/>
  <c r="H3601" s="1"/>
  <c r="H3689" s="1"/>
  <c r="H3777" s="1"/>
  <c r="H3865" s="1"/>
  <c r="H3953" s="1"/>
  <c r="H4041" s="1"/>
  <c r="N2984"/>
  <c r="M2984" s="1"/>
  <c r="J2984"/>
  <c r="J3072" s="1"/>
  <c r="J3160" s="1"/>
  <c r="J3248" s="1"/>
  <c r="J3336" s="1"/>
  <c r="J3424" s="1"/>
  <c r="J3512" s="1"/>
  <c r="J3600" s="1"/>
  <c r="J3688" s="1"/>
  <c r="J3776" s="1"/>
  <c r="J3864" s="1"/>
  <c r="J3952" s="1"/>
  <c r="J4040" s="1"/>
  <c r="H2984"/>
  <c r="H3072" s="1"/>
  <c r="H3160" s="1"/>
  <c r="H3248" s="1"/>
  <c r="H3336" s="1"/>
  <c r="H3424" s="1"/>
  <c r="H3512" s="1"/>
  <c r="H3600" s="1"/>
  <c r="H3688" s="1"/>
  <c r="H3776" s="1"/>
  <c r="H3864" s="1"/>
  <c r="H3952" s="1"/>
  <c r="H4040" s="1"/>
  <c r="N2983"/>
  <c r="J2983"/>
  <c r="J3071" s="1"/>
  <c r="J3159" s="1"/>
  <c r="J3247" s="1"/>
  <c r="J3335" s="1"/>
  <c r="J3423" s="1"/>
  <c r="J3511" s="1"/>
  <c r="J3599" s="1"/>
  <c r="J3687" s="1"/>
  <c r="J3775" s="1"/>
  <c r="J3863" s="1"/>
  <c r="J3951" s="1"/>
  <c r="J4039" s="1"/>
  <c r="H2983"/>
  <c r="H3071" s="1"/>
  <c r="H3159" s="1"/>
  <c r="H3247" s="1"/>
  <c r="H3335" s="1"/>
  <c r="H3423" s="1"/>
  <c r="H3511" s="1"/>
  <c r="H3599" s="1"/>
  <c r="H3687" s="1"/>
  <c r="H3775" s="1"/>
  <c r="H3863" s="1"/>
  <c r="H3951" s="1"/>
  <c r="H4039" s="1"/>
  <c r="N2982"/>
  <c r="N3070" s="1"/>
  <c r="J2982"/>
  <c r="J3070" s="1"/>
  <c r="J3158" s="1"/>
  <c r="J3246" s="1"/>
  <c r="J3334" s="1"/>
  <c r="J3422" s="1"/>
  <c r="J3510" s="1"/>
  <c r="J3598" s="1"/>
  <c r="J3686" s="1"/>
  <c r="J3774" s="1"/>
  <c r="J3862" s="1"/>
  <c r="J3950" s="1"/>
  <c r="J4038" s="1"/>
  <c r="H2982"/>
  <c r="H3070" s="1"/>
  <c r="H3158" s="1"/>
  <c r="H3246" s="1"/>
  <c r="H3334" s="1"/>
  <c r="H3422" s="1"/>
  <c r="H3510" s="1"/>
  <c r="H3598" s="1"/>
  <c r="H3686" s="1"/>
  <c r="H3774" s="1"/>
  <c r="H3862" s="1"/>
  <c r="H3950" s="1"/>
  <c r="H4038" s="1"/>
  <c r="N2981"/>
  <c r="N3069" s="1"/>
  <c r="J2981"/>
  <c r="J3069" s="1"/>
  <c r="J3157" s="1"/>
  <c r="J3245" s="1"/>
  <c r="J3333" s="1"/>
  <c r="J3421" s="1"/>
  <c r="J3509" s="1"/>
  <c r="J3597" s="1"/>
  <c r="J3685" s="1"/>
  <c r="J3773" s="1"/>
  <c r="J3861" s="1"/>
  <c r="J3949" s="1"/>
  <c r="J4037" s="1"/>
  <c r="H2981"/>
  <c r="H3069" s="1"/>
  <c r="H3157" s="1"/>
  <c r="H3245" s="1"/>
  <c r="H3333" s="1"/>
  <c r="H3421" s="1"/>
  <c r="H3509" s="1"/>
  <c r="H3597" s="1"/>
  <c r="H3685" s="1"/>
  <c r="H3773" s="1"/>
  <c r="H3861" s="1"/>
  <c r="H3949" s="1"/>
  <c r="H4037" s="1"/>
  <c r="N2980"/>
  <c r="J2980"/>
  <c r="J3068" s="1"/>
  <c r="J3156" s="1"/>
  <c r="J3244" s="1"/>
  <c r="J3332" s="1"/>
  <c r="J3420" s="1"/>
  <c r="J3508" s="1"/>
  <c r="J3596" s="1"/>
  <c r="J3684" s="1"/>
  <c r="J3772" s="1"/>
  <c r="J3860" s="1"/>
  <c r="J3948" s="1"/>
  <c r="J4036" s="1"/>
  <c r="H2980"/>
  <c r="H3068" s="1"/>
  <c r="H3156" s="1"/>
  <c r="H3244" s="1"/>
  <c r="H3332" s="1"/>
  <c r="H3420" s="1"/>
  <c r="H3508" s="1"/>
  <c r="H3596" s="1"/>
  <c r="H3684" s="1"/>
  <c r="H3772" s="1"/>
  <c r="H3860" s="1"/>
  <c r="H3948" s="1"/>
  <c r="H4036" s="1"/>
  <c r="N2979"/>
  <c r="J2979"/>
  <c r="J3067" s="1"/>
  <c r="J3155" s="1"/>
  <c r="J3243" s="1"/>
  <c r="J3331" s="1"/>
  <c r="J3419" s="1"/>
  <c r="J3507" s="1"/>
  <c r="J3595" s="1"/>
  <c r="J3683" s="1"/>
  <c r="J3771" s="1"/>
  <c r="J3859" s="1"/>
  <c r="J3947" s="1"/>
  <c r="J4035" s="1"/>
  <c r="H2979"/>
  <c r="H3067" s="1"/>
  <c r="H3155" s="1"/>
  <c r="H3243" s="1"/>
  <c r="H3331" s="1"/>
  <c r="H3419" s="1"/>
  <c r="H3507" s="1"/>
  <c r="H3595" s="1"/>
  <c r="H3683" s="1"/>
  <c r="H3771" s="1"/>
  <c r="H3859" s="1"/>
  <c r="H3947" s="1"/>
  <c r="H4035" s="1"/>
  <c r="N2978"/>
  <c r="J2978"/>
  <c r="J3066" s="1"/>
  <c r="J3154" s="1"/>
  <c r="J3242" s="1"/>
  <c r="J3330" s="1"/>
  <c r="J3418" s="1"/>
  <c r="J3506" s="1"/>
  <c r="J3594" s="1"/>
  <c r="J3682" s="1"/>
  <c r="J3770" s="1"/>
  <c r="J3858" s="1"/>
  <c r="J3946" s="1"/>
  <c r="J4034" s="1"/>
  <c r="H2978"/>
  <c r="H3066" s="1"/>
  <c r="H3154" s="1"/>
  <c r="H3242" s="1"/>
  <c r="H3330" s="1"/>
  <c r="H3418" s="1"/>
  <c r="H3506" s="1"/>
  <c r="H3594" s="1"/>
  <c r="H3682" s="1"/>
  <c r="H3770" s="1"/>
  <c r="H3858" s="1"/>
  <c r="H3946" s="1"/>
  <c r="H4034" s="1"/>
  <c r="N2977"/>
  <c r="N3065" s="1"/>
  <c r="N3153" s="1"/>
  <c r="M3153" s="1"/>
  <c r="J2977"/>
  <c r="J3065" s="1"/>
  <c r="J3153" s="1"/>
  <c r="J3241" s="1"/>
  <c r="J3329" s="1"/>
  <c r="J3417" s="1"/>
  <c r="J3505" s="1"/>
  <c r="J3593" s="1"/>
  <c r="J3681" s="1"/>
  <c r="J3769" s="1"/>
  <c r="J3857" s="1"/>
  <c r="J3945" s="1"/>
  <c r="J4033" s="1"/>
  <c r="H2977"/>
  <c r="H3065" s="1"/>
  <c r="H3153" s="1"/>
  <c r="H3241" s="1"/>
  <c r="H3329" s="1"/>
  <c r="H3417" s="1"/>
  <c r="H3505" s="1"/>
  <c r="H3593" s="1"/>
  <c r="H3681" s="1"/>
  <c r="H3769" s="1"/>
  <c r="H3857" s="1"/>
  <c r="H3945" s="1"/>
  <c r="H4033" s="1"/>
  <c r="G2977"/>
  <c r="J2976"/>
  <c r="J3064" s="1"/>
  <c r="J3152" s="1"/>
  <c r="J3240" s="1"/>
  <c r="J3328" s="1"/>
  <c r="J3416" s="1"/>
  <c r="J3504" s="1"/>
  <c r="J3592" s="1"/>
  <c r="J3680" s="1"/>
  <c r="J3768" s="1"/>
  <c r="J3856" s="1"/>
  <c r="J3944" s="1"/>
  <c r="J4032" s="1"/>
  <c r="H2976"/>
  <c r="H3064" s="1"/>
  <c r="H3152" s="1"/>
  <c r="H3240" s="1"/>
  <c r="H3328" s="1"/>
  <c r="H3416" s="1"/>
  <c r="H3504" s="1"/>
  <c r="H3592" s="1"/>
  <c r="H3680" s="1"/>
  <c r="H3768" s="1"/>
  <c r="H3856" s="1"/>
  <c r="H3944" s="1"/>
  <c r="H4032" s="1"/>
  <c r="G2976"/>
  <c r="J2975"/>
  <c r="J3063" s="1"/>
  <c r="J3151" s="1"/>
  <c r="J3239" s="1"/>
  <c r="J3327" s="1"/>
  <c r="J3415" s="1"/>
  <c r="J3503" s="1"/>
  <c r="J3591" s="1"/>
  <c r="J3679" s="1"/>
  <c r="J3767" s="1"/>
  <c r="J3855" s="1"/>
  <c r="J3943" s="1"/>
  <c r="J4031" s="1"/>
  <c r="H2975"/>
  <c r="G2975"/>
  <c r="J2974"/>
  <c r="J3062" s="1"/>
  <c r="J3150" s="1"/>
  <c r="J3238" s="1"/>
  <c r="J3326" s="1"/>
  <c r="J3414" s="1"/>
  <c r="J3502" s="1"/>
  <c r="J3590" s="1"/>
  <c r="J3678" s="1"/>
  <c r="J3766" s="1"/>
  <c r="J3854" s="1"/>
  <c r="J3942" s="1"/>
  <c r="J4030" s="1"/>
  <c r="H2974"/>
  <c r="H3062" s="1"/>
  <c r="H3150" s="1"/>
  <c r="H3238" s="1"/>
  <c r="H3326" s="1"/>
  <c r="H3414" s="1"/>
  <c r="H3502" s="1"/>
  <c r="H3590" s="1"/>
  <c r="H3678" s="1"/>
  <c r="H3766" s="1"/>
  <c r="H3854" s="1"/>
  <c r="H3942" s="1"/>
  <c r="H4030" s="1"/>
  <c r="G2974"/>
  <c r="J2973"/>
  <c r="J3061" s="1"/>
  <c r="J3149" s="1"/>
  <c r="J3237" s="1"/>
  <c r="J3325" s="1"/>
  <c r="J3413" s="1"/>
  <c r="J3501" s="1"/>
  <c r="J3589" s="1"/>
  <c r="J3677" s="1"/>
  <c r="J3765" s="1"/>
  <c r="J3853" s="1"/>
  <c r="J3941" s="1"/>
  <c r="J4029" s="1"/>
  <c r="H2973"/>
  <c r="H3061" s="1"/>
  <c r="H3149" s="1"/>
  <c r="H3237" s="1"/>
  <c r="H3325" s="1"/>
  <c r="H3413" s="1"/>
  <c r="H3501" s="1"/>
  <c r="H3589" s="1"/>
  <c r="H3677" s="1"/>
  <c r="H3765" s="1"/>
  <c r="H3853" s="1"/>
  <c r="H3941" s="1"/>
  <c r="H4029" s="1"/>
  <c r="G2973"/>
  <c r="J2972"/>
  <c r="J3060" s="1"/>
  <c r="J3148" s="1"/>
  <c r="J3236" s="1"/>
  <c r="J3324" s="1"/>
  <c r="J3412" s="1"/>
  <c r="J3500" s="1"/>
  <c r="J3588" s="1"/>
  <c r="J3676" s="1"/>
  <c r="J3764" s="1"/>
  <c r="J3852" s="1"/>
  <c r="J3940" s="1"/>
  <c r="J4028" s="1"/>
  <c r="H2972"/>
  <c r="H3060" s="1"/>
  <c r="H3148" s="1"/>
  <c r="H3236" s="1"/>
  <c r="H3324" s="1"/>
  <c r="H3412" s="1"/>
  <c r="H3500" s="1"/>
  <c r="H3588" s="1"/>
  <c r="H3676" s="1"/>
  <c r="H3764" s="1"/>
  <c r="H3852" s="1"/>
  <c r="H3940" s="1"/>
  <c r="H4028" s="1"/>
  <c r="G2972"/>
  <c r="J2971"/>
  <c r="J3059" s="1"/>
  <c r="J3147" s="1"/>
  <c r="J3235" s="1"/>
  <c r="J3323" s="1"/>
  <c r="J3411" s="1"/>
  <c r="J3499" s="1"/>
  <c r="J3587" s="1"/>
  <c r="J3675" s="1"/>
  <c r="J3763" s="1"/>
  <c r="J3851" s="1"/>
  <c r="J3939" s="1"/>
  <c r="J4027" s="1"/>
  <c r="H2971"/>
  <c r="H3059" s="1"/>
  <c r="H3147" s="1"/>
  <c r="H3235" s="1"/>
  <c r="H3323" s="1"/>
  <c r="H3411" s="1"/>
  <c r="H3499" s="1"/>
  <c r="H3587" s="1"/>
  <c r="H3675" s="1"/>
  <c r="H3763" s="1"/>
  <c r="H3851" s="1"/>
  <c r="H3939" s="1"/>
  <c r="H4027" s="1"/>
  <c r="G2971"/>
  <c r="J2970"/>
  <c r="J3058" s="1"/>
  <c r="J3146" s="1"/>
  <c r="J3234" s="1"/>
  <c r="J3322" s="1"/>
  <c r="J3410" s="1"/>
  <c r="J3498" s="1"/>
  <c r="J3586" s="1"/>
  <c r="J3674" s="1"/>
  <c r="J3762" s="1"/>
  <c r="J3850" s="1"/>
  <c r="J3938" s="1"/>
  <c r="J4026" s="1"/>
  <c r="H2970"/>
  <c r="H3058" s="1"/>
  <c r="H3146" s="1"/>
  <c r="H3234" s="1"/>
  <c r="H3322" s="1"/>
  <c r="H3410" s="1"/>
  <c r="H3498" s="1"/>
  <c r="H3586" s="1"/>
  <c r="H3674" s="1"/>
  <c r="H3762" s="1"/>
  <c r="H3850" s="1"/>
  <c r="H3938" s="1"/>
  <c r="H4026" s="1"/>
  <c r="G2970"/>
  <c r="J2969"/>
  <c r="J3057" s="1"/>
  <c r="J3145" s="1"/>
  <c r="J3233" s="1"/>
  <c r="J3321" s="1"/>
  <c r="J3409" s="1"/>
  <c r="J3497" s="1"/>
  <c r="J3585" s="1"/>
  <c r="J3673" s="1"/>
  <c r="J3761" s="1"/>
  <c r="J3849" s="1"/>
  <c r="J3937" s="1"/>
  <c r="J4025" s="1"/>
  <c r="H2969"/>
  <c r="H3057" s="1"/>
  <c r="H3145" s="1"/>
  <c r="H3233" s="1"/>
  <c r="H3321" s="1"/>
  <c r="H3409" s="1"/>
  <c r="H3497" s="1"/>
  <c r="H3585" s="1"/>
  <c r="H3673" s="1"/>
  <c r="H3761" s="1"/>
  <c r="H3849" s="1"/>
  <c r="H3937" s="1"/>
  <c r="H4025" s="1"/>
  <c r="G2969"/>
  <c r="J2968"/>
  <c r="J3056" s="1"/>
  <c r="J3144" s="1"/>
  <c r="J3232" s="1"/>
  <c r="J3320" s="1"/>
  <c r="J3408" s="1"/>
  <c r="J3496" s="1"/>
  <c r="J3584" s="1"/>
  <c r="J3672" s="1"/>
  <c r="J3760" s="1"/>
  <c r="J3848" s="1"/>
  <c r="J3936" s="1"/>
  <c r="J4024" s="1"/>
  <c r="H2968"/>
  <c r="H3056" s="1"/>
  <c r="H3144" s="1"/>
  <c r="H3232" s="1"/>
  <c r="H3320" s="1"/>
  <c r="H3408" s="1"/>
  <c r="H3496" s="1"/>
  <c r="H3584" s="1"/>
  <c r="H3672" s="1"/>
  <c r="H3760" s="1"/>
  <c r="H3848" s="1"/>
  <c r="H3936" s="1"/>
  <c r="H4024" s="1"/>
  <c r="G2968"/>
  <c r="J2967"/>
  <c r="J3055" s="1"/>
  <c r="J3143" s="1"/>
  <c r="J3231" s="1"/>
  <c r="J3319" s="1"/>
  <c r="J3407" s="1"/>
  <c r="J3495" s="1"/>
  <c r="J3583" s="1"/>
  <c r="J3671" s="1"/>
  <c r="J3759" s="1"/>
  <c r="J3847" s="1"/>
  <c r="J3935" s="1"/>
  <c r="J4023" s="1"/>
  <c r="H2967"/>
  <c r="H3055" s="1"/>
  <c r="H3143" s="1"/>
  <c r="H3231" s="1"/>
  <c r="H3319" s="1"/>
  <c r="H3407" s="1"/>
  <c r="H3495" s="1"/>
  <c r="H3583" s="1"/>
  <c r="H3671" s="1"/>
  <c r="H3759" s="1"/>
  <c r="H3847" s="1"/>
  <c r="H3935" s="1"/>
  <c r="H4023" s="1"/>
  <c r="G2967"/>
  <c r="J2966"/>
  <c r="J3054" s="1"/>
  <c r="J3142" s="1"/>
  <c r="J3230" s="1"/>
  <c r="J3318" s="1"/>
  <c r="J3406" s="1"/>
  <c r="J3494" s="1"/>
  <c r="J3582" s="1"/>
  <c r="J3670" s="1"/>
  <c r="J3758" s="1"/>
  <c r="J3846" s="1"/>
  <c r="J3934" s="1"/>
  <c r="J4022" s="1"/>
  <c r="H2966"/>
  <c r="H3054" s="1"/>
  <c r="H3142" s="1"/>
  <c r="H3230" s="1"/>
  <c r="H3318" s="1"/>
  <c r="H3406" s="1"/>
  <c r="H3494" s="1"/>
  <c r="H3582" s="1"/>
  <c r="H3670" s="1"/>
  <c r="H3758" s="1"/>
  <c r="H3846" s="1"/>
  <c r="H3934" s="1"/>
  <c r="H4022" s="1"/>
  <c r="G2966"/>
  <c r="J2965"/>
  <c r="J3053" s="1"/>
  <c r="J3141" s="1"/>
  <c r="J3229" s="1"/>
  <c r="J3317" s="1"/>
  <c r="J3405" s="1"/>
  <c r="J3493" s="1"/>
  <c r="J3581" s="1"/>
  <c r="J3669" s="1"/>
  <c r="J3757" s="1"/>
  <c r="J3845" s="1"/>
  <c r="J3933" s="1"/>
  <c r="J4021" s="1"/>
  <c r="H2965"/>
  <c r="H3053" s="1"/>
  <c r="H3141" s="1"/>
  <c r="H3229" s="1"/>
  <c r="H3317" s="1"/>
  <c r="H3405" s="1"/>
  <c r="H3493" s="1"/>
  <c r="H3581" s="1"/>
  <c r="H3669" s="1"/>
  <c r="H3757" s="1"/>
  <c r="H3845" s="1"/>
  <c r="H3933" s="1"/>
  <c r="H4021" s="1"/>
  <c r="G2965"/>
  <c r="J2964"/>
  <c r="J3052" s="1"/>
  <c r="J3140" s="1"/>
  <c r="J3228" s="1"/>
  <c r="J3316" s="1"/>
  <c r="J3404" s="1"/>
  <c r="J3492" s="1"/>
  <c r="J3580" s="1"/>
  <c r="J3668" s="1"/>
  <c r="J3756" s="1"/>
  <c r="J3844" s="1"/>
  <c r="J3932" s="1"/>
  <c r="J4020" s="1"/>
  <c r="H2964"/>
  <c r="H3052" s="1"/>
  <c r="H3140" s="1"/>
  <c r="H3228" s="1"/>
  <c r="H3316" s="1"/>
  <c r="H3404" s="1"/>
  <c r="H3492" s="1"/>
  <c r="H3580" s="1"/>
  <c r="H3668" s="1"/>
  <c r="H3756" s="1"/>
  <c r="H3844" s="1"/>
  <c r="H3932" s="1"/>
  <c r="H4020" s="1"/>
  <c r="G2964"/>
  <c r="J2963"/>
  <c r="J3051" s="1"/>
  <c r="J3139" s="1"/>
  <c r="J3227" s="1"/>
  <c r="J3315" s="1"/>
  <c r="J3403" s="1"/>
  <c r="J3491" s="1"/>
  <c r="J3579" s="1"/>
  <c r="J3667" s="1"/>
  <c r="J3755" s="1"/>
  <c r="J3843" s="1"/>
  <c r="J3931" s="1"/>
  <c r="J4019" s="1"/>
  <c r="H2963"/>
  <c r="H3051" s="1"/>
  <c r="H3139" s="1"/>
  <c r="H3227" s="1"/>
  <c r="H3315" s="1"/>
  <c r="H3403" s="1"/>
  <c r="H3491" s="1"/>
  <c r="H3579" s="1"/>
  <c r="H3667" s="1"/>
  <c r="H3755" s="1"/>
  <c r="H3843" s="1"/>
  <c r="H3931" s="1"/>
  <c r="H4019" s="1"/>
  <c r="G2963"/>
  <c r="J2962"/>
  <c r="J3050" s="1"/>
  <c r="J3138" s="1"/>
  <c r="J3226" s="1"/>
  <c r="J3314" s="1"/>
  <c r="J3402" s="1"/>
  <c r="J3490" s="1"/>
  <c r="J3578" s="1"/>
  <c r="J3666" s="1"/>
  <c r="J3754" s="1"/>
  <c r="J3842" s="1"/>
  <c r="J3930" s="1"/>
  <c r="J4018" s="1"/>
  <c r="H2962"/>
  <c r="H3050" s="1"/>
  <c r="H3138" s="1"/>
  <c r="H3226" s="1"/>
  <c r="H3314" s="1"/>
  <c r="H3402" s="1"/>
  <c r="H3490" s="1"/>
  <c r="H3578" s="1"/>
  <c r="H3666" s="1"/>
  <c r="H3754" s="1"/>
  <c r="H3842" s="1"/>
  <c r="H3930" s="1"/>
  <c r="H4018" s="1"/>
  <c r="G2962"/>
  <c r="J2961"/>
  <c r="J3049" s="1"/>
  <c r="J3137" s="1"/>
  <c r="J3225" s="1"/>
  <c r="J3313" s="1"/>
  <c r="J3401" s="1"/>
  <c r="J3489" s="1"/>
  <c r="J3577" s="1"/>
  <c r="J3665" s="1"/>
  <c r="J3753" s="1"/>
  <c r="J3841" s="1"/>
  <c r="J3929" s="1"/>
  <c r="J4017" s="1"/>
  <c r="H2961"/>
  <c r="H3049" s="1"/>
  <c r="H3137" s="1"/>
  <c r="H3225" s="1"/>
  <c r="H3313" s="1"/>
  <c r="H3401" s="1"/>
  <c r="H3489" s="1"/>
  <c r="H3577" s="1"/>
  <c r="H3665" s="1"/>
  <c r="H3753" s="1"/>
  <c r="H3841" s="1"/>
  <c r="H3929" s="1"/>
  <c r="H4017" s="1"/>
  <c r="G2961"/>
  <c r="J2960"/>
  <c r="J3048" s="1"/>
  <c r="J3136" s="1"/>
  <c r="J3224" s="1"/>
  <c r="J3312" s="1"/>
  <c r="J3400" s="1"/>
  <c r="J3488" s="1"/>
  <c r="J3576" s="1"/>
  <c r="J3664" s="1"/>
  <c r="J3752" s="1"/>
  <c r="J3840" s="1"/>
  <c r="J3928" s="1"/>
  <c r="J4016" s="1"/>
  <c r="H2960"/>
  <c r="H3048" s="1"/>
  <c r="H3136" s="1"/>
  <c r="H3224" s="1"/>
  <c r="H3312" s="1"/>
  <c r="H3400" s="1"/>
  <c r="H3488" s="1"/>
  <c r="H3576" s="1"/>
  <c r="H3664" s="1"/>
  <c r="H3752" s="1"/>
  <c r="H3840" s="1"/>
  <c r="H3928" s="1"/>
  <c r="H4016" s="1"/>
  <c r="G2960"/>
  <c r="J2959"/>
  <c r="J3047" s="1"/>
  <c r="J3135" s="1"/>
  <c r="J3223" s="1"/>
  <c r="J3311" s="1"/>
  <c r="J3399" s="1"/>
  <c r="J3487" s="1"/>
  <c r="J3575" s="1"/>
  <c r="J3663" s="1"/>
  <c r="J3751" s="1"/>
  <c r="J3839" s="1"/>
  <c r="J3927" s="1"/>
  <c r="J4015" s="1"/>
  <c r="H2959"/>
  <c r="H3047" s="1"/>
  <c r="H3135" s="1"/>
  <c r="H3223" s="1"/>
  <c r="H3311" s="1"/>
  <c r="H3399" s="1"/>
  <c r="H3487" s="1"/>
  <c r="H3575" s="1"/>
  <c r="H3663" s="1"/>
  <c r="H3751" s="1"/>
  <c r="H3839" s="1"/>
  <c r="H3927" s="1"/>
  <c r="H4015" s="1"/>
  <c r="G2959"/>
  <c r="J2958"/>
  <c r="J3046" s="1"/>
  <c r="J3134" s="1"/>
  <c r="J3222" s="1"/>
  <c r="J3310" s="1"/>
  <c r="J3398" s="1"/>
  <c r="J3486" s="1"/>
  <c r="J3574" s="1"/>
  <c r="J3662" s="1"/>
  <c r="J3750" s="1"/>
  <c r="J3838" s="1"/>
  <c r="J3926" s="1"/>
  <c r="J4014" s="1"/>
  <c r="H2958"/>
  <c r="H3046" s="1"/>
  <c r="H3134" s="1"/>
  <c r="H3222" s="1"/>
  <c r="H3310" s="1"/>
  <c r="H3398" s="1"/>
  <c r="H3486" s="1"/>
  <c r="H3574" s="1"/>
  <c r="H3662" s="1"/>
  <c r="H3750" s="1"/>
  <c r="H3838" s="1"/>
  <c r="H3926" s="1"/>
  <c r="H4014" s="1"/>
  <c r="G2958"/>
  <c r="J2957"/>
  <c r="J3045" s="1"/>
  <c r="J3133" s="1"/>
  <c r="J3221" s="1"/>
  <c r="J3309" s="1"/>
  <c r="J3397" s="1"/>
  <c r="J3485" s="1"/>
  <c r="J3573" s="1"/>
  <c r="J3661" s="1"/>
  <c r="J3749" s="1"/>
  <c r="J3837" s="1"/>
  <c r="J3925" s="1"/>
  <c r="J4013" s="1"/>
  <c r="H2957"/>
  <c r="H3045" s="1"/>
  <c r="H3133" s="1"/>
  <c r="H3221" s="1"/>
  <c r="H3309" s="1"/>
  <c r="H3397" s="1"/>
  <c r="H3485" s="1"/>
  <c r="H3573" s="1"/>
  <c r="H3661" s="1"/>
  <c r="H3749" s="1"/>
  <c r="H3837" s="1"/>
  <c r="H3925" s="1"/>
  <c r="H4013" s="1"/>
  <c r="G2957"/>
  <c r="J2956"/>
  <c r="J3044" s="1"/>
  <c r="J3132" s="1"/>
  <c r="J3220" s="1"/>
  <c r="J3308" s="1"/>
  <c r="J3396" s="1"/>
  <c r="J3484" s="1"/>
  <c r="J3572" s="1"/>
  <c r="J3660" s="1"/>
  <c r="J3748" s="1"/>
  <c r="J3836" s="1"/>
  <c r="J3924" s="1"/>
  <c r="J4012" s="1"/>
  <c r="H2956"/>
  <c r="H3044" s="1"/>
  <c r="H3132" s="1"/>
  <c r="H3220" s="1"/>
  <c r="H3308" s="1"/>
  <c r="H3396" s="1"/>
  <c r="H3484" s="1"/>
  <c r="H3572" s="1"/>
  <c r="H3660" s="1"/>
  <c r="H3748" s="1"/>
  <c r="H3836" s="1"/>
  <c r="H3924" s="1"/>
  <c r="H4012" s="1"/>
  <c r="G2956"/>
  <c r="N2955"/>
  <c r="J2955"/>
  <c r="J3043" s="1"/>
  <c r="J3131" s="1"/>
  <c r="J3219" s="1"/>
  <c r="J3307" s="1"/>
  <c r="J3395" s="1"/>
  <c r="J3483" s="1"/>
  <c r="J3571" s="1"/>
  <c r="J3659" s="1"/>
  <c r="J3747" s="1"/>
  <c r="J3835" s="1"/>
  <c r="J3923" s="1"/>
  <c r="J4011" s="1"/>
  <c r="H2955"/>
  <c r="H3043" s="1"/>
  <c r="H3131" s="1"/>
  <c r="H3219" s="1"/>
  <c r="H3307" s="1"/>
  <c r="H3395" s="1"/>
  <c r="H3483" s="1"/>
  <c r="H3571" s="1"/>
  <c r="H3659" s="1"/>
  <c r="H3747" s="1"/>
  <c r="H3835" s="1"/>
  <c r="H3923" s="1"/>
  <c r="H4011" s="1"/>
  <c r="G2955"/>
  <c r="N2954"/>
  <c r="M2954" s="1"/>
  <c r="J2954"/>
  <c r="J3042" s="1"/>
  <c r="J3130" s="1"/>
  <c r="J3218" s="1"/>
  <c r="J3306" s="1"/>
  <c r="J3394" s="1"/>
  <c r="J3482" s="1"/>
  <c r="J3570" s="1"/>
  <c r="J3658" s="1"/>
  <c r="J3746" s="1"/>
  <c r="J3834" s="1"/>
  <c r="J3922" s="1"/>
  <c r="J4010" s="1"/>
  <c r="H2954"/>
  <c r="G2954"/>
  <c r="N2953"/>
  <c r="J2953"/>
  <c r="J3041" s="1"/>
  <c r="J3129" s="1"/>
  <c r="J3217" s="1"/>
  <c r="J3305" s="1"/>
  <c r="J3393" s="1"/>
  <c r="J3481" s="1"/>
  <c r="J3569" s="1"/>
  <c r="J3657" s="1"/>
  <c r="J3745" s="1"/>
  <c r="J3833" s="1"/>
  <c r="J3921" s="1"/>
  <c r="J4009" s="1"/>
  <c r="H2953"/>
  <c r="H3041" s="1"/>
  <c r="H3129" s="1"/>
  <c r="H3217" s="1"/>
  <c r="H3305" s="1"/>
  <c r="H3393" s="1"/>
  <c r="H3481" s="1"/>
  <c r="H3569" s="1"/>
  <c r="H3657" s="1"/>
  <c r="H3745" s="1"/>
  <c r="H3833" s="1"/>
  <c r="H3921" s="1"/>
  <c r="H4009" s="1"/>
  <c r="G2953"/>
  <c r="N2952"/>
  <c r="J2952"/>
  <c r="J3040" s="1"/>
  <c r="J3128" s="1"/>
  <c r="J3216" s="1"/>
  <c r="J3304" s="1"/>
  <c r="J3392" s="1"/>
  <c r="J3480" s="1"/>
  <c r="J3568" s="1"/>
  <c r="J3656" s="1"/>
  <c r="J3744" s="1"/>
  <c r="J3832" s="1"/>
  <c r="J3920" s="1"/>
  <c r="J4008" s="1"/>
  <c r="H2952"/>
  <c r="H3040" s="1"/>
  <c r="H3128" s="1"/>
  <c r="H3216" s="1"/>
  <c r="H3304" s="1"/>
  <c r="H3392" s="1"/>
  <c r="H3480" s="1"/>
  <c r="H3568" s="1"/>
  <c r="H3656" s="1"/>
  <c r="H3744" s="1"/>
  <c r="H3832" s="1"/>
  <c r="H3920" s="1"/>
  <c r="H4008" s="1"/>
  <c r="G2952"/>
  <c r="N2951"/>
  <c r="N3039" s="1"/>
  <c r="N3127" s="1"/>
  <c r="N3215" s="1"/>
  <c r="N3303" s="1"/>
  <c r="N3391" s="1"/>
  <c r="N3479" s="1"/>
  <c r="M3479" s="1"/>
  <c r="J2951"/>
  <c r="J3039" s="1"/>
  <c r="J3127" s="1"/>
  <c r="J3215" s="1"/>
  <c r="J3303" s="1"/>
  <c r="J3391" s="1"/>
  <c r="J3479" s="1"/>
  <c r="J3567" s="1"/>
  <c r="J3655" s="1"/>
  <c r="J3743" s="1"/>
  <c r="J3831" s="1"/>
  <c r="J3919" s="1"/>
  <c r="J4007" s="1"/>
  <c r="H2951"/>
  <c r="H3039" s="1"/>
  <c r="H3127" s="1"/>
  <c r="H3215" s="1"/>
  <c r="H3303" s="1"/>
  <c r="H3391" s="1"/>
  <c r="H3479" s="1"/>
  <c r="H3567" s="1"/>
  <c r="H3655" s="1"/>
  <c r="H3743" s="1"/>
  <c r="H3831" s="1"/>
  <c r="H3919" s="1"/>
  <c r="H4007" s="1"/>
  <c r="G2951"/>
  <c r="N2950"/>
  <c r="M2950" s="1"/>
  <c r="J2950"/>
  <c r="J3038" s="1"/>
  <c r="J3126" s="1"/>
  <c r="J3214" s="1"/>
  <c r="J3302" s="1"/>
  <c r="J3390" s="1"/>
  <c r="J3478" s="1"/>
  <c r="J3566" s="1"/>
  <c r="J3654" s="1"/>
  <c r="J3742" s="1"/>
  <c r="J3830" s="1"/>
  <c r="J3918" s="1"/>
  <c r="J4006" s="1"/>
  <c r="H2950"/>
  <c r="H3038" s="1"/>
  <c r="H3126" s="1"/>
  <c r="H3214" s="1"/>
  <c r="H3302" s="1"/>
  <c r="H3390" s="1"/>
  <c r="H3478" s="1"/>
  <c r="H3566" s="1"/>
  <c r="H3654" s="1"/>
  <c r="H3742" s="1"/>
  <c r="H3830" s="1"/>
  <c r="H3918" s="1"/>
  <c r="H4006" s="1"/>
  <c r="G2950"/>
  <c r="N2949"/>
  <c r="J2949"/>
  <c r="J3037" s="1"/>
  <c r="J3125" s="1"/>
  <c r="J3213" s="1"/>
  <c r="J3301" s="1"/>
  <c r="J3389" s="1"/>
  <c r="J3477" s="1"/>
  <c r="J3565" s="1"/>
  <c r="J3653" s="1"/>
  <c r="J3741" s="1"/>
  <c r="J3829" s="1"/>
  <c r="J3917" s="1"/>
  <c r="J4005" s="1"/>
  <c r="H2949"/>
  <c r="H3037" s="1"/>
  <c r="H3125" s="1"/>
  <c r="H3213" s="1"/>
  <c r="H3301" s="1"/>
  <c r="H3389" s="1"/>
  <c r="H3477" s="1"/>
  <c r="H3565" s="1"/>
  <c r="H3653" s="1"/>
  <c r="H3741" s="1"/>
  <c r="H3829" s="1"/>
  <c r="H3917" s="1"/>
  <c r="H4005" s="1"/>
  <c r="G2949"/>
  <c r="N2948"/>
  <c r="J2948"/>
  <c r="J3036" s="1"/>
  <c r="J3124" s="1"/>
  <c r="J3212" s="1"/>
  <c r="J3300" s="1"/>
  <c r="J3388" s="1"/>
  <c r="J3476" s="1"/>
  <c r="J3564" s="1"/>
  <c r="J3652" s="1"/>
  <c r="J3740" s="1"/>
  <c r="J3828" s="1"/>
  <c r="J3916" s="1"/>
  <c r="J4004" s="1"/>
  <c r="H2948"/>
  <c r="H3036" s="1"/>
  <c r="H3124" s="1"/>
  <c r="H3212" s="1"/>
  <c r="H3300" s="1"/>
  <c r="H3388" s="1"/>
  <c r="H3476" s="1"/>
  <c r="H3564" s="1"/>
  <c r="H3652" s="1"/>
  <c r="H3740" s="1"/>
  <c r="H3828" s="1"/>
  <c r="H3916" s="1"/>
  <c r="H4004" s="1"/>
  <c r="G2948"/>
  <c r="N2947"/>
  <c r="N3035" s="1"/>
  <c r="N3123" s="1"/>
  <c r="N3211" s="1"/>
  <c r="N3299" s="1"/>
  <c r="N3387" s="1"/>
  <c r="N3475" s="1"/>
  <c r="M3475" s="1"/>
  <c r="J2947"/>
  <c r="J3035" s="1"/>
  <c r="J3123" s="1"/>
  <c r="J3211" s="1"/>
  <c r="J3299" s="1"/>
  <c r="J3387" s="1"/>
  <c r="J3475" s="1"/>
  <c r="J3563" s="1"/>
  <c r="J3651" s="1"/>
  <c r="J3739" s="1"/>
  <c r="J3827" s="1"/>
  <c r="J3915" s="1"/>
  <c r="J4003" s="1"/>
  <c r="H2947"/>
  <c r="G2947"/>
  <c r="N2946"/>
  <c r="M2946" s="1"/>
  <c r="J2946"/>
  <c r="J3034" s="1"/>
  <c r="J3122" s="1"/>
  <c r="J3210" s="1"/>
  <c r="J3298" s="1"/>
  <c r="J3386" s="1"/>
  <c r="J3474" s="1"/>
  <c r="J3562" s="1"/>
  <c r="J3650" s="1"/>
  <c r="J3738" s="1"/>
  <c r="J3826" s="1"/>
  <c r="J3914" s="1"/>
  <c r="J4002" s="1"/>
  <c r="H2946"/>
  <c r="H3034" s="1"/>
  <c r="H3122" s="1"/>
  <c r="H3210" s="1"/>
  <c r="H3298" s="1"/>
  <c r="H3386" s="1"/>
  <c r="H3474" s="1"/>
  <c r="H3562" s="1"/>
  <c r="H3650" s="1"/>
  <c r="H3738" s="1"/>
  <c r="H3826" s="1"/>
  <c r="H3914" s="1"/>
  <c r="H4002" s="1"/>
  <c r="G2946"/>
  <c r="N2945"/>
  <c r="J2945"/>
  <c r="J3033" s="1"/>
  <c r="J3121" s="1"/>
  <c r="J3209" s="1"/>
  <c r="J3297" s="1"/>
  <c r="J3385" s="1"/>
  <c r="J3473" s="1"/>
  <c r="J3561" s="1"/>
  <c r="J3649" s="1"/>
  <c r="J3737" s="1"/>
  <c r="J3825" s="1"/>
  <c r="J3913" s="1"/>
  <c r="J4001" s="1"/>
  <c r="H2945"/>
  <c r="H3033" s="1"/>
  <c r="H3121" s="1"/>
  <c r="H3209" s="1"/>
  <c r="H3297" s="1"/>
  <c r="H3385" s="1"/>
  <c r="H3473" s="1"/>
  <c r="H3561" s="1"/>
  <c r="H3649" s="1"/>
  <c r="H3737" s="1"/>
  <c r="H3825" s="1"/>
  <c r="H3913" s="1"/>
  <c r="H4001" s="1"/>
  <c r="G2945"/>
  <c r="N2944"/>
  <c r="J2944"/>
  <c r="J3032" s="1"/>
  <c r="J3120" s="1"/>
  <c r="J3208" s="1"/>
  <c r="J3296" s="1"/>
  <c r="J3384" s="1"/>
  <c r="J3472" s="1"/>
  <c r="J3560" s="1"/>
  <c r="J3648" s="1"/>
  <c r="J3736" s="1"/>
  <c r="J3824" s="1"/>
  <c r="J3912" s="1"/>
  <c r="J4000" s="1"/>
  <c r="H2944"/>
  <c r="H3032" s="1"/>
  <c r="H3120" s="1"/>
  <c r="H3208" s="1"/>
  <c r="H3296" s="1"/>
  <c r="H3384" s="1"/>
  <c r="H3472" s="1"/>
  <c r="H3560" s="1"/>
  <c r="H3648" s="1"/>
  <c r="H3736" s="1"/>
  <c r="H3824" s="1"/>
  <c r="H3912" s="1"/>
  <c r="H4000" s="1"/>
  <c r="G2944"/>
  <c r="N2943"/>
  <c r="N3031" s="1"/>
  <c r="N3119" s="1"/>
  <c r="N3207" s="1"/>
  <c r="N3295" s="1"/>
  <c r="N3383" s="1"/>
  <c r="N3471" s="1"/>
  <c r="M3471" s="1"/>
  <c r="J2943"/>
  <c r="J3031" s="1"/>
  <c r="J3119" s="1"/>
  <c r="J3207" s="1"/>
  <c r="J3295" s="1"/>
  <c r="J3383" s="1"/>
  <c r="J3471" s="1"/>
  <c r="J3559" s="1"/>
  <c r="J3647" s="1"/>
  <c r="J3735" s="1"/>
  <c r="J3823" s="1"/>
  <c r="J3911" s="1"/>
  <c r="J3999" s="1"/>
  <c r="H2943"/>
  <c r="H3031" s="1"/>
  <c r="H3119" s="1"/>
  <c r="H3207" s="1"/>
  <c r="H3295" s="1"/>
  <c r="H3383" s="1"/>
  <c r="H3471" s="1"/>
  <c r="H3559" s="1"/>
  <c r="H3647" s="1"/>
  <c r="H3735" s="1"/>
  <c r="H3823" s="1"/>
  <c r="H3911" s="1"/>
  <c r="H3999" s="1"/>
  <c r="G2943"/>
  <c r="N2942"/>
  <c r="J2942"/>
  <c r="J3030" s="1"/>
  <c r="J3118" s="1"/>
  <c r="J3206" s="1"/>
  <c r="J3294" s="1"/>
  <c r="J3382" s="1"/>
  <c r="J3470" s="1"/>
  <c r="J3558" s="1"/>
  <c r="J3646" s="1"/>
  <c r="J3734" s="1"/>
  <c r="J3822" s="1"/>
  <c r="J3910" s="1"/>
  <c r="J3998" s="1"/>
  <c r="H2942"/>
  <c r="H3030" s="1"/>
  <c r="H3118" s="1"/>
  <c r="H3206" s="1"/>
  <c r="H3294" s="1"/>
  <c r="H3382" s="1"/>
  <c r="H3470" s="1"/>
  <c r="H3558" s="1"/>
  <c r="H3646" s="1"/>
  <c r="H3734" s="1"/>
  <c r="H3822" s="1"/>
  <c r="H3910" s="1"/>
  <c r="H3998" s="1"/>
  <c r="G2942"/>
  <c r="N2941"/>
  <c r="J2941"/>
  <c r="J3029" s="1"/>
  <c r="J3117" s="1"/>
  <c r="J3205" s="1"/>
  <c r="J3293" s="1"/>
  <c r="J3381" s="1"/>
  <c r="J3469" s="1"/>
  <c r="J3557" s="1"/>
  <c r="J3645" s="1"/>
  <c r="J3733" s="1"/>
  <c r="J3821" s="1"/>
  <c r="J3909" s="1"/>
  <c r="J3997" s="1"/>
  <c r="H2941"/>
  <c r="H3029" s="1"/>
  <c r="H3117" s="1"/>
  <c r="H3205" s="1"/>
  <c r="H3293" s="1"/>
  <c r="H3381" s="1"/>
  <c r="H3469" s="1"/>
  <c r="H3557" s="1"/>
  <c r="H3645" s="1"/>
  <c r="H3733" s="1"/>
  <c r="H3821" s="1"/>
  <c r="H3909" s="1"/>
  <c r="H3997" s="1"/>
  <c r="G2941"/>
  <c r="N2940"/>
  <c r="J2940"/>
  <c r="J3028" s="1"/>
  <c r="J3116" s="1"/>
  <c r="J3204" s="1"/>
  <c r="J3292" s="1"/>
  <c r="J3380" s="1"/>
  <c r="J3468" s="1"/>
  <c r="J3556" s="1"/>
  <c r="J3644" s="1"/>
  <c r="J3732" s="1"/>
  <c r="J3820" s="1"/>
  <c r="J3908" s="1"/>
  <c r="J3996" s="1"/>
  <c r="H2940"/>
  <c r="H3028" s="1"/>
  <c r="H3116" s="1"/>
  <c r="H3204" s="1"/>
  <c r="H3292" s="1"/>
  <c r="H3380" s="1"/>
  <c r="H3468" s="1"/>
  <c r="H3556" s="1"/>
  <c r="H3644" s="1"/>
  <c r="H3732" s="1"/>
  <c r="H3820" s="1"/>
  <c r="H3908" s="1"/>
  <c r="H3996" s="1"/>
  <c r="G2940"/>
  <c r="N2939"/>
  <c r="J2939"/>
  <c r="J3027" s="1"/>
  <c r="J3115" s="1"/>
  <c r="J3203" s="1"/>
  <c r="J3291" s="1"/>
  <c r="J3379" s="1"/>
  <c r="J3467" s="1"/>
  <c r="J3555" s="1"/>
  <c r="J3643" s="1"/>
  <c r="J3731" s="1"/>
  <c r="J3819" s="1"/>
  <c r="J3907" s="1"/>
  <c r="J3995" s="1"/>
  <c r="H2939"/>
  <c r="H3027" s="1"/>
  <c r="H3115" s="1"/>
  <c r="H3203" s="1"/>
  <c r="H3291" s="1"/>
  <c r="H3379" s="1"/>
  <c r="H3467" s="1"/>
  <c r="H3555" s="1"/>
  <c r="H3643" s="1"/>
  <c r="H3731" s="1"/>
  <c r="H3819" s="1"/>
  <c r="H3907" s="1"/>
  <c r="H3995" s="1"/>
  <c r="G2939"/>
  <c r="N2938"/>
  <c r="N3026" s="1"/>
  <c r="J2938"/>
  <c r="J3026" s="1"/>
  <c r="J3114" s="1"/>
  <c r="J3202" s="1"/>
  <c r="J3290" s="1"/>
  <c r="J3378" s="1"/>
  <c r="J3466" s="1"/>
  <c r="J3554" s="1"/>
  <c r="J3642" s="1"/>
  <c r="J3730" s="1"/>
  <c r="J3818" s="1"/>
  <c r="J3906" s="1"/>
  <c r="J3994" s="1"/>
  <c r="H2938"/>
  <c r="H3026" s="1"/>
  <c r="H3114" s="1"/>
  <c r="H3202" s="1"/>
  <c r="H3290" s="1"/>
  <c r="H3378" s="1"/>
  <c r="H3466" s="1"/>
  <c r="H3554" s="1"/>
  <c r="H3642" s="1"/>
  <c r="H3730" s="1"/>
  <c r="H3818" s="1"/>
  <c r="H3906" s="1"/>
  <c r="H3994" s="1"/>
  <c r="G2938"/>
  <c r="N2937"/>
  <c r="N3025" s="1"/>
  <c r="J2937"/>
  <c r="J3025" s="1"/>
  <c r="J3113" s="1"/>
  <c r="J3201" s="1"/>
  <c r="J3289" s="1"/>
  <c r="J3377" s="1"/>
  <c r="J3465" s="1"/>
  <c r="J3553" s="1"/>
  <c r="J3641" s="1"/>
  <c r="J3729" s="1"/>
  <c r="J3817" s="1"/>
  <c r="J3905" s="1"/>
  <c r="J3993" s="1"/>
  <c r="H2937"/>
  <c r="H3025" s="1"/>
  <c r="H3113" s="1"/>
  <c r="H3201" s="1"/>
  <c r="H3289" s="1"/>
  <c r="H3377" s="1"/>
  <c r="H3465" s="1"/>
  <c r="H3553" s="1"/>
  <c r="H3641" s="1"/>
  <c r="H3729" s="1"/>
  <c r="H3817" s="1"/>
  <c r="H3905" s="1"/>
  <c r="H3993" s="1"/>
  <c r="G2937"/>
  <c r="N2936"/>
  <c r="J2936"/>
  <c r="J3024" s="1"/>
  <c r="J3112" s="1"/>
  <c r="J3200" s="1"/>
  <c r="J3288" s="1"/>
  <c r="J3376" s="1"/>
  <c r="J3464" s="1"/>
  <c r="J3552" s="1"/>
  <c r="J3640" s="1"/>
  <c r="J3728" s="1"/>
  <c r="J3816" s="1"/>
  <c r="J3904" s="1"/>
  <c r="J3992" s="1"/>
  <c r="H2936"/>
  <c r="H3024" s="1"/>
  <c r="H3112" s="1"/>
  <c r="H3200" s="1"/>
  <c r="H3288" s="1"/>
  <c r="H3376" s="1"/>
  <c r="H3464" s="1"/>
  <c r="H3552" s="1"/>
  <c r="H3640" s="1"/>
  <c r="H3728" s="1"/>
  <c r="H3816" s="1"/>
  <c r="H3904" s="1"/>
  <c r="H3992" s="1"/>
  <c r="G2936"/>
  <c r="N2935"/>
  <c r="J2935"/>
  <c r="J3023" s="1"/>
  <c r="J3111" s="1"/>
  <c r="J3199" s="1"/>
  <c r="J3287" s="1"/>
  <c r="J3375" s="1"/>
  <c r="J3463" s="1"/>
  <c r="J3551" s="1"/>
  <c r="J3639" s="1"/>
  <c r="J3727" s="1"/>
  <c r="J3815" s="1"/>
  <c r="J3903" s="1"/>
  <c r="J3991" s="1"/>
  <c r="H2935"/>
  <c r="H3023" s="1"/>
  <c r="H3111" s="1"/>
  <c r="H3199" s="1"/>
  <c r="H3287" s="1"/>
  <c r="H3375" s="1"/>
  <c r="H3463" s="1"/>
  <c r="H3551" s="1"/>
  <c r="H3639" s="1"/>
  <c r="H3727" s="1"/>
  <c r="H3815" s="1"/>
  <c r="H3903" s="1"/>
  <c r="H3991" s="1"/>
  <c r="G2935"/>
  <c r="J2934"/>
  <c r="J3022" s="1"/>
  <c r="J3110" s="1"/>
  <c r="J3198" s="1"/>
  <c r="J3286" s="1"/>
  <c r="J3374" s="1"/>
  <c r="J3462" s="1"/>
  <c r="J3550" s="1"/>
  <c r="J3638" s="1"/>
  <c r="J3726" s="1"/>
  <c r="J3814" s="1"/>
  <c r="J3902" s="1"/>
  <c r="J3990" s="1"/>
  <c r="H2934"/>
  <c r="H3022" s="1"/>
  <c r="H3110" s="1"/>
  <c r="H3198" s="1"/>
  <c r="H3286" s="1"/>
  <c r="H3374" s="1"/>
  <c r="H3462" s="1"/>
  <c r="H3550" s="1"/>
  <c r="H3638" s="1"/>
  <c r="H3726" s="1"/>
  <c r="H3814" s="1"/>
  <c r="H3902" s="1"/>
  <c r="H3990" s="1"/>
  <c r="G2934"/>
  <c r="N3021"/>
  <c r="N3109" s="1"/>
  <c r="N3197" s="1"/>
  <c r="M3197" s="1"/>
  <c r="G2889"/>
  <c r="N2888"/>
  <c r="M2888" s="1"/>
  <c r="G2888"/>
  <c r="N2887"/>
  <c r="M2887" s="1"/>
  <c r="G2887"/>
  <c r="N2886"/>
  <c r="M2886" s="1"/>
  <c r="G2886"/>
  <c r="N2885"/>
  <c r="G2885"/>
  <c r="N2884"/>
  <c r="M2884" s="1"/>
  <c r="G2884"/>
  <c r="N2883"/>
  <c r="M2883" s="1"/>
  <c r="G2883"/>
  <c r="N2882"/>
  <c r="M2882" s="1"/>
  <c r="G2882"/>
  <c r="N2881"/>
  <c r="G2881"/>
  <c r="N2880"/>
  <c r="M2880" s="1"/>
  <c r="G2880"/>
  <c r="N2879"/>
  <c r="M2879" s="1"/>
  <c r="G2879"/>
  <c r="N2878"/>
  <c r="M2878" s="1"/>
  <c r="G2878"/>
  <c r="N2877"/>
  <c r="G2877"/>
  <c r="N2876"/>
  <c r="M2876" s="1"/>
  <c r="G2876"/>
  <c r="N2875"/>
  <c r="M2875" s="1"/>
  <c r="G2875"/>
  <c r="N2874"/>
  <c r="M2874" s="1"/>
  <c r="G2874"/>
  <c r="N2873"/>
  <c r="M2873" s="1"/>
  <c r="G2873"/>
  <c r="N2872"/>
  <c r="G2872"/>
  <c r="N2871"/>
  <c r="G2871"/>
  <c r="N2870"/>
  <c r="M2870" s="1"/>
  <c r="G2870"/>
  <c r="N2869"/>
  <c r="M2869" s="1"/>
  <c r="G2869"/>
  <c r="N2868"/>
  <c r="M2868" s="1"/>
  <c r="G2868"/>
  <c r="G2867"/>
  <c r="G2866"/>
  <c r="G2865"/>
  <c r="G2864"/>
  <c r="G2863"/>
  <c r="G2862"/>
  <c r="G2861"/>
  <c r="G2860"/>
  <c r="G2859"/>
  <c r="G2858"/>
  <c r="G2857"/>
  <c r="G2856"/>
  <c r="G2855"/>
  <c r="G2854"/>
  <c r="G2853"/>
  <c r="G2852"/>
  <c r="G2851"/>
  <c r="G2850"/>
  <c r="G2849"/>
  <c r="G2848"/>
  <c r="G2847"/>
  <c r="G2846"/>
  <c r="J5337"/>
  <c r="J5324"/>
  <c r="J5333" s="1"/>
  <c r="J5342" s="1"/>
  <c r="J5323"/>
  <c r="J5332" s="1"/>
  <c r="J5341" s="1"/>
  <c r="J5322"/>
  <c r="J5331" s="1"/>
  <c r="J5340" s="1"/>
  <c r="J5321"/>
  <c r="J5330" s="1"/>
  <c r="J5339" s="1"/>
  <c r="J5320"/>
  <c r="J5329" s="1"/>
  <c r="J5338" s="1"/>
  <c r="M2339"/>
  <c r="M2338"/>
  <c r="M2337"/>
  <c r="M2336"/>
  <c r="M2335"/>
  <c r="M2334"/>
  <c r="M2333"/>
  <c r="M2332"/>
  <c r="M2331"/>
  <c r="M2330"/>
  <c r="M2329"/>
  <c r="M2328"/>
  <c r="M2327"/>
  <c r="M2326"/>
  <c r="M2325"/>
  <c r="M2324"/>
  <c r="M2323"/>
  <c r="M2322"/>
  <c r="M2321"/>
  <c r="M2320"/>
  <c r="M2319"/>
  <c r="M2318"/>
  <c r="M1811"/>
  <c r="M1810"/>
  <c r="M1809"/>
  <c r="M1808"/>
  <c r="M1807"/>
  <c r="M1806"/>
  <c r="M1805"/>
  <c r="M1804"/>
  <c r="M1803"/>
  <c r="M1802"/>
  <c r="M1801"/>
  <c r="M1800"/>
  <c r="M1799"/>
  <c r="M1798"/>
  <c r="M1797"/>
  <c r="M1796"/>
  <c r="M1795"/>
  <c r="M1794"/>
  <c r="M1793"/>
  <c r="M1792"/>
  <c r="M1791"/>
  <c r="M1790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2259"/>
  <c r="M2261"/>
  <c r="M2263"/>
  <c r="M2265"/>
  <c r="M2267"/>
  <c r="M2269"/>
  <c r="M2303"/>
  <c r="M2305"/>
  <c r="M2307"/>
  <c r="M2309"/>
  <c r="M2311"/>
  <c r="M2313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N1835"/>
  <c r="M1835" s="1"/>
  <c r="N1836"/>
  <c r="M1836" s="1"/>
  <c r="N1837"/>
  <c r="M1837" s="1"/>
  <c r="N1838"/>
  <c r="M1838" s="1"/>
  <c r="N1839"/>
  <c r="M1839" s="1"/>
  <c r="N1840"/>
  <c r="M1840" s="1"/>
  <c r="N1841"/>
  <c r="N1885" s="1"/>
  <c r="M1885" s="1"/>
  <c r="N1842"/>
  <c r="M1842" s="1"/>
  <c r="N1843"/>
  <c r="N1887" s="1"/>
  <c r="N1844"/>
  <c r="M1844" s="1"/>
  <c r="N1845"/>
  <c r="N1889" s="1"/>
  <c r="M1889" s="1"/>
  <c r="N1846"/>
  <c r="M1846" s="1"/>
  <c r="N1847"/>
  <c r="N1891" s="1"/>
  <c r="N1848"/>
  <c r="M1848" s="1"/>
  <c r="N1849"/>
  <c r="N1893" s="1"/>
  <c r="M1893" s="1"/>
  <c r="N1850"/>
  <c r="M1850" s="1"/>
  <c r="N1851"/>
  <c r="N1895" s="1"/>
  <c r="N1852"/>
  <c r="M1852" s="1"/>
  <c r="N1853"/>
  <c r="N1897" s="1"/>
  <c r="M1897" s="1"/>
  <c r="N1854"/>
  <c r="M1854" s="1"/>
  <c r="N1855"/>
  <c r="N1899" s="1"/>
  <c r="N1856"/>
  <c r="M1856" s="1"/>
  <c r="N1857"/>
  <c r="M1857" s="1"/>
  <c r="N1858"/>
  <c r="M1858" s="1"/>
  <c r="N1859"/>
  <c r="M1859" s="1"/>
  <c r="N1860"/>
  <c r="M1860" s="1"/>
  <c r="N1861"/>
  <c r="M1861" s="1"/>
  <c r="N1862"/>
  <c r="M1862" s="1"/>
  <c r="N1863"/>
  <c r="M1863" s="1"/>
  <c r="N1864"/>
  <c r="M1864" s="1"/>
  <c r="N1865"/>
  <c r="M1865" s="1"/>
  <c r="N1866"/>
  <c r="M1866" s="1"/>
  <c r="N1867"/>
  <c r="M1867" s="1"/>
  <c r="N1868"/>
  <c r="M1868" s="1"/>
  <c r="N1869"/>
  <c r="M1869" s="1"/>
  <c r="N1870"/>
  <c r="M1870" s="1"/>
  <c r="N1871"/>
  <c r="M1871" s="1"/>
  <c r="N1872"/>
  <c r="M1872" s="1"/>
  <c r="N1873"/>
  <c r="M1873" s="1"/>
  <c r="N1874"/>
  <c r="M1874" s="1"/>
  <c r="N1875"/>
  <c r="M1875" s="1"/>
  <c r="N1876"/>
  <c r="M1876" s="1"/>
  <c r="N1877"/>
  <c r="M1877" s="1"/>
  <c r="N1882"/>
  <c r="M1882" s="1"/>
  <c r="N1890"/>
  <c r="M1890" s="1"/>
  <c r="M1902"/>
  <c r="M1910"/>
  <c r="N1926"/>
  <c r="M1926" s="1"/>
  <c r="M1946"/>
  <c r="N1834"/>
  <c r="M1834" s="1"/>
  <c r="N3023" l="1"/>
  <c r="M3023" s="1"/>
  <c r="M2935"/>
  <c r="N3024"/>
  <c r="M3024" s="1"/>
  <c r="M2936"/>
  <c r="N3113"/>
  <c r="M3113" s="1"/>
  <c r="M3025"/>
  <c r="N3114"/>
  <c r="M3114" s="1"/>
  <c r="M3026"/>
  <c r="N3027"/>
  <c r="N3115" s="1"/>
  <c r="M3115" s="1"/>
  <c r="M2939"/>
  <c r="N3028"/>
  <c r="M2940"/>
  <c r="N3029"/>
  <c r="M2941"/>
  <c r="N3030"/>
  <c r="M2942"/>
  <c r="N3032"/>
  <c r="M3032" s="1"/>
  <c r="M2944"/>
  <c r="N3033"/>
  <c r="M2945"/>
  <c r="N3036"/>
  <c r="M2948"/>
  <c r="N3037"/>
  <c r="M3037" s="1"/>
  <c r="M2949"/>
  <c r="N3040"/>
  <c r="M3040" s="1"/>
  <c r="M2952"/>
  <c r="N3041"/>
  <c r="N3129" s="1"/>
  <c r="N3217" s="1"/>
  <c r="M3217" s="1"/>
  <c r="M2953"/>
  <c r="N3043"/>
  <c r="N3131" s="1"/>
  <c r="N3219" s="1"/>
  <c r="M3219" s="1"/>
  <c r="M2955"/>
  <c r="N3066"/>
  <c r="M2978"/>
  <c r="N3067"/>
  <c r="M2979"/>
  <c r="N3068"/>
  <c r="M2980"/>
  <c r="N3157"/>
  <c r="M3157" s="1"/>
  <c r="M3069"/>
  <c r="N3158"/>
  <c r="M3158" s="1"/>
  <c r="M3070"/>
  <c r="N3071"/>
  <c r="N3159" s="1"/>
  <c r="M3159" s="1"/>
  <c r="M2983"/>
  <c r="N3073"/>
  <c r="M3073" s="1"/>
  <c r="M2985"/>
  <c r="N3074"/>
  <c r="M2986"/>
  <c r="N3076"/>
  <c r="M2988"/>
  <c r="N3077"/>
  <c r="M2989"/>
  <c r="N3078"/>
  <c r="M2990"/>
  <c r="N3080"/>
  <c r="M3080" s="1"/>
  <c r="M2992"/>
  <c r="N3081"/>
  <c r="M3081" s="1"/>
  <c r="M2993"/>
  <c r="N3082"/>
  <c r="M2994"/>
  <c r="N3084"/>
  <c r="M2996"/>
  <c r="N3085"/>
  <c r="N3173" s="1"/>
  <c r="N3261" s="1"/>
  <c r="M3261" s="1"/>
  <c r="M2997"/>
  <c r="N3086"/>
  <c r="M2998"/>
  <c r="N3087"/>
  <c r="N3175" s="1"/>
  <c r="N3263" s="1"/>
  <c r="M3263" s="1"/>
  <c r="M2999"/>
  <c r="N4356"/>
  <c r="M4268"/>
  <c r="N4360"/>
  <c r="M4272"/>
  <c r="N4452"/>
  <c r="M4364"/>
  <c r="N4368"/>
  <c r="M4280"/>
  <c r="N4372"/>
  <c r="M4284"/>
  <c r="N4376"/>
  <c r="M4288"/>
  <c r="N4380"/>
  <c r="M4292"/>
  <c r="N4384"/>
  <c r="M4296"/>
  <c r="N4433"/>
  <c r="M4345"/>
  <c r="N4349"/>
  <c r="M4261"/>
  <c r="N4353"/>
  <c r="M4265"/>
  <c r="N4389"/>
  <c r="M4301"/>
  <c r="N4305"/>
  <c r="M4217"/>
  <c r="N4309"/>
  <c r="M4221"/>
  <c r="N4313"/>
  <c r="M4225"/>
  <c r="N4581"/>
  <c r="N4669" s="1"/>
  <c r="M4493"/>
  <c r="N4321"/>
  <c r="N4409" s="1"/>
  <c r="M4233"/>
  <c r="N4413"/>
  <c r="M4325"/>
  <c r="N5033"/>
  <c r="M4945"/>
  <c r="N5037"/>
  <c r="M4949"/>
  <c r="N5041"/>
  <c r="M4953"/>
  <c r="N4327"/>
  <c r="M4239"/>
  <c r="N4331"/>
  <c r="M4243"/>
  <c r="N4335"/>
  <c r="M4247"/>
  <c r="N4367"/>
  <c r="M4279"/>
  <c r="N4583"/>
  <c r="N4671" s="1"/>
  <c r="M4495"/>
  <c r="N4551"/>
  <c r="M4463"/>
  <c r="N5059"/>
  <c r="M4971"/>
  <c r="N4539"/>
  <c r="N4627" s="1"/>
  <c r="M4451"/>
  <c r="N4371"/>
  <c r="N4459" s="1"/>
  <c r="M4283"/>
  <c r="N4379"/>
  <c r="M4291"/>
  <c r="N4344"/>
  <c r="M4256"/>
  <c r="N4348"/>
  <c r="M4260"/>
  <c r="N4352"/>
  <c r="M4264"/>
  <c r="N4388"/>
  <c r="M4300"/>
  <c r="N4304"/>
  <c r="M4216"/>
  <c r="N4308"/>
  <c r="M4220"/>
  <c r="N4312"/>
  <c r="M4224"/>
  <c r="N4316"/>
  <c r="M4228"/>
  <c r="N4320"/>
  <c r="N4408" s="1"/>
  <c r="M4232"/>
  <c r="N4412"/>
  <c r="M4324"/>
  <c r="N4328"/>
  <c r="M4240"/>
  <c r="N4332"/>
  <c r="M4244"/>
  <c r="N4336"/>
  <c r="M4248"/>
  <c r="N4340"/>
  <c r="M4252"/>
  <c r="N4411"/>
  <c r="M4323"/>
  <c r="N4515"/>
  <c r="N4603" s="1"/>
  <c r="M4427"/>
  <c r="N4354"/>
  <c r="M4266"/>
  <c r="N4358"/>
  <c r="M4270"/>
  <c r="N4362"/>
  <c r="M4274"/>
  <c r="N4366"/>
  <c r="M4278"/>
  <c r="N4370"/>
  <c r="M4282"/>
  <c r="N4374"/>
  <c r="M4286"/>
  <c r="N4378"/>
  <c r="M4290"/>
  <c r="N4382"/>
  <c r="M4294"/>
  <c r="M4255"/>
  <c r="N4343"/>
  <c r="N4431" s="1"/>
  <c r="N4435"/>
  <c r="M4347"/>
  <c r="N4387"/>
  <c r="N4475" s="1"/>
  <c r="M4299"/>
  <c r="N4479"/>
  <c r="M4391"/>
  <c r="N5099"/>
  <c r="M5011"/>
  <c r="N5107"/>
  <c r="M5019"/>
  <c r="N4357"/>
  <c r="M4269"/>
  <c r="N4537"/>
  <c r="N4625" s="1"/>
  <c r="M4449"/>
  <c r="N4453"/>
  <c r="M4365"/>
  <c r="N4457"/>
  <c r="M4369"/>
  <c r="N4989"/>
  <c r="M4901"/>
  <c r="N4993"/>
  <c r="M4905"/>
  <c r="N4997"/>
  <c r="M4909"/>
  <c r="N4649"/>
  <c r="N4737" s="1"/>
  <c r="N4825" s="1"/>
  <c r="M4561"/>
  <c r="N4434"/>
  <c r="M4346"/>
  <c r="N4350"/>
  <c r="M4262"/>
  <c r="N4342"/>
  <c r="N4430" s="1"/>
  <c r="M4254"/>
  <c r="N4390"/>
  <c r="M4302"/>
  <c r="N4306"/>
  <c r="M4218"/>
  <c r="N4310"/>
  <c r="M4222"/>
  <c r="N4314"/>
  <c r="M4226"/>
  <c r="N4406"/>
  <c r="M4318"/>
  <c r="N4322"/>
  <c r="M4234"/>
  <c r="N4326"/>
  <c r="M4238"/>
  <c r="N4330"/>
  <c r="M4242"/>
  <c r="N4334"/>
  <c r="M4246"/>
  <c r="N4338"/>
  <c r="M4250"/>
  <c r="N4386"/>
  <c r="N4474" s="1"/>
  <c r="M4298"/>
  <c r="N4517"/>
  <c r="N4605" s="1"/>
  <c r="M4429"/>
  <c r="N4647"/>
  <c r="M4559"/>
  <c r="N5055"/>
  <c r="M4967"/>
  <c r="N5103"/>
  <c r="M5015"/>
  <c r="N5063"/>
  <c r="M4975"/>
  <c r="N2912"/>
  <c r="N2957"/>
  <c r="N2913"/>
  <c r="M2913" s="1"/>
  <c r="N2914"/>
  <c r="M2914" s="1"/>
  <c r="N2959"/>
  <c r="N2915"/>
  <c r="N3003" s="1"/>
  <c r="M3003" s="1"/>
  <c r="N2960"/>
  <c r="M2960" s="1"/>
  <c r="N2916"/>
  <c r="N3004" s="1"/>
  <c r="M3004" s="1"/>
  <c r="N2961"/>
  <c r="N3049" s="1"/>
  <c r="M3049" s="1"/>
  <c r="N2917"/>
  <c r="N2962"/>
  <c r="N2918"/>
  <c r="N2963"/>
  <c r="N2919"/>
  <c r="N2964"/>
  <c r="M2964" s="1"/>
  <c r="N2920"/>
  <c r="M2920" s="1"/>
  <c r="N2965"/>
  <c r="N3053" s="1"/>
  <c r="N3141" s="1"/>
  <c r="N3229" s="1"/>
  <c r="N3317" s="1"/>
  <c r="N3405" s="1"/>
  <c r="M3405" s="1"/>
  <c r="N2921"/>
  <c r="N3009" s="1"/>
  <c r="N3097" s="1"/>
  <c r="N3185" s="1"/>
  <c r="N3273" s="1"/>
  <c r="N2966"/>
  <c r="N2922"/>
  <c r="M2922" s="1"/>
  <c r="N2967"/>
  <c r="N2923"/>
  <c r="N2968"/>
  <c r="M2968" s="1"/>
  <c r="N2924"/>
  <c r="M2924" s="1"/>
  <c r="N2969"/>
  <c r="N3057" s="1"/>
  <c r="N3145" s="1"/>
  <c r="N3233" s="1"/>
  <c r="N3321" s="1"/>
  <c r="N3409" s="1"/>
  <c r="M3409" s="1"/>
  <c r="N2925"/>
  <c r="N3013" s="1"/>
  <c r="N3101" s="1"/>
  <c r="N3189" s="1"/>
  <c r="N3277" s="1"/>
  <c r="N2926"/>
  <c r="M2926" s="1"/>
  <c r="N2971"/>
  <c r="N2927"/>
  <c r="N2928"/>
  <c r="M2928" s="1"/>
  <c r="N2973"/>
  <c r="N3061" s="1"/>
  <c r="N3149" s="1"/>
  <c r="N3237" s="1"/>
  <c r="N3325" s="1"/>
  <c r="N3413" s="1"/>
  <c r="M3413" s="1"/>
  <c r="N2929"/>
  <c r="N3017" s="1"/>
  <c r="N3105" s="1"/>
  <c r="N3193" s="1"/>
  <c r="N3281" s="1"/>
  <c r="N2974"/>
  <c r="M2974" s="1"/>
  <c r="N2930"/>
  <c r="M2930" s="1"/>
  <c r="N2975"/>
  <c r="N3063" s="1"/>
  <c r="N3151" s="1"/>
  <c r="M3151" s="1"/>
  <c r="N2931"/>
  <c r="N2976"/>
  <c r="M2976" s="1"/>
  <c r="N2932"/>
  <c r="M1914"/>
  <c r="M1901"/>
  <c r="N1934"/>
  <c r="M1934" s="1"/>
  <c r="M1917"/>
  <c r="N1894"/>
  <c r="M1894" s="1"/>
  <c r="M1909"/>
  <c r="N1898"/>
  <c r="N1886"/>
  <c r="N2970"/>
  <c r="M2970" s="1"/>
  <c r="N2958"/>
  <c r="M2958" s="1"/>
  <c r="N3012"/>
  <c r="M3012" s="1"/>
  <c r="M1954"/>
  <c r="M1921"/>
  <c r="M1913"/>
  <c r="M1905"/>
  <c r="N1881"/>
  <c r="M1881" s="1"/>
  <c r="N3125"/>
  <c r="M3125" s="1"/>
  <c r="M1899"/>
  <c r="N1943"/>
  <c r="M1895"/>
  <c r="N1939"/>
  <c r="M1891"/>
  <c r="N1935"/>
  <c r="M1887"/>
  <c r="N1931"/>
  <c r="N3161"/>
  <c r="M3161" s="1"/>
  <c r="N3169"/>
  <c r="M3169" s="1"/>
  <c r="N1883"/>
  <c r="N1879"/>
  <c r="N3038"/>
  <c r="N1978"/>
  <c r="N1970"/>
  <c r="N1941"/>
  <c r="N1937"/>
  <c r="N1933"/>
  <c r="N1929"/>
  <c r="N1896"/>
  <c r="N1892"/>
  <c r="N1888"/>
  <c r="N1884"/>
  <c r="N1880"/>
  <c r="N3072"/>
  <c r="M3072" s="1"/>
  <c r="N3010"/>
  <c r="M3010" s="1"/>
  <c r="N3022"/>
  <c r="N3034"/>
  <c r="N3042"/>
  <c r="N3515"/>
  <c r="M3515" s="1"/>
  <c r="N3523"/>
  <c r="M3523" s="1"/>
  <c r="N3056"/>
  <c r="M3056" s="1"/>
  <c r="N3064"/>
  <c r="M3064" s="1"/>
  <c r="N3052"/>
  <c r="N1878"/>
  <c r="N2956"/>
  <c r="M2956" s="1"/>
  <c r="N2972"/>
  <c r="M2972" s="1"/>
  <c r="N3001"/>
  <c r="M3001" s="1"/>
  <c r="N3092"/>
  <c r="N3241"/>
  <c r="N3329" s="1"/>
  <c r="N3249"/>
  <c r="N3137"/>
  <c r="M3137" s="1"/>
  <c r="N3239"/>
  <c r="N3327" s="1"/>
  <c r="N3201"/>
  <c r="M3201" s="1"/>
  <c r="N3202"/>
  <c r="M3202" s="1"/>
  <c r="N3305"/>
  <c r="N3393" s="1"/>
  <c r="N3246"/>
  <c r="M3246" s="1"/>
  <c r="N3285"/>
  <c r="N3046"/>
  <c r="M3046" s="1"/>
  <c r="N3058"/>
  <c r="M3058" s="1"/>
  <c r="N3062"/>
  <c r="M3062" s="1"/>
  <c r="N3098"/>
  <c r="M3098" s="1"/>
  <c r="N3112"/>
  <c r="M3112" s="1"/>
  <c r="N3168"/>
  <c r="M3168" s="1"/>
  <c r="N3527"/>
  <c r="N3615" s="1"/>
  <c r="N3703" s="1"/>
  <c r="M3703" s="1"/>
  <c r="N3537"/>
  <c r="N3625" s="1"/>
  <c r="N3541"/>
  <c r="N3629" s="1"/>
  <c r="N3545"/>
  <c r="N3633" s="1"/>
  <c r="N3549"/>
  <c r="N3637" s="1"/>
  <c r="M3637" s="1"/>
  <c r="N3559"/>
  <c r="N3647" s="1"/>
  <c r="N3563"/>
  <c r="N3651" s="1"/>
  <c r="N3567"/>
  <c r="N3655" s="1"/>
  <c r="N3493"/>
  <c r="N3581" s="1"/>
  <c r="N3497"/>
  <c r="N3585" s="1"/>
  <c r="N3603"/>
  <c r="N3691" s="1"/>
  <c r="N3607"/>
  <c r="N3695" s="1"/>
  <c r="N3611" l="1"/>
  <c r="N3699" s="1"/>
  <c r="N3501"/>
  <c r="N3589" s="1"/>
  <c r="N3307"/>
  <c r="N3395" s="1"/>
  <c r="N3120"/>
  <c r="M3120" s="1"/>
  <c r="N3016"/>
  <c r="N3048"/>
  <c r="N1925"/>
  <c r="N3014"/>
  <c r="M3014" s="1"/>
  <c r="N3091"/>
  <c r="N3128"/>
  <c r="M3128" s="1"/>
  <c r="N3213"/>
  <c r="M3213" s="1"/>
  <c r="N3245"/>
  <c r="M3245" s="1"/>
  <c r="N3100"/>
  <c r="M3100" s="1"/>
  <c r="N3018"/>
  <c r="N3111"/>
  <c r="N3199" s="1"/>
  <c r="N3247"/>
  <c r="M3247" s="1"/>
  <c r="N3203"/>
  <c r="M3203" s="1"/>
  <c r="N3483"/>
  <c r="N3571" s="1"/>
  <c r="N3659" s="1"/>
  <c r="M3659" s="1"/>
  <c r="M3395"/>
  <c r="N3481"/>
  <c r="M3481" s="1"/>
  <c r="M3393"/>
  <c r="N3415"/>
  <c r="M3415" s="1"/>
  <c r="M3327"/>
  <c r="N3417"/>
  <c r="N3505" s="1"/>
  <c r="N3593" s="1"/>
  <c r="M3593" s="1"/>
  <c r="M3329"/>
  <c r="N3180"/>
  <c r="M3092"/>
  <c r="N3140"/>
  <c r="M3052"/>
  <c r="N3130"/>
  <c r="M3042"/>
  <c r="N3122"/>
  <c r="M3122" s="1"/>
  <c r="M3034"/>
  <c r="N3110"/>
  <c r="N3198" s="1"/>
  <c r="M3198" s="1"/>
  <c r="M3022"/>
  <c r="N3126"/>
  <c r="M3038"/>
  <c r="N3287"/>
  <c r="M3199"/>
  <c r="N3020"/>
  <c r="M2932"/>
  <c r="N3019"/>
  <c r="N3107" s="1"/>
  <c r="N3195" s="1"/>
  <c r="M2931"/>
  <c r="N3015"/>
  <c r="M2927"/>
  <c r="N3059"/>
  <c r="M2971"/>
  <c r="N3011"/>
  <c r="M2923"/>
  <c r="N3055"/>
  <c r="M2967"/>
  <c r="N3054"/>
  <c r="M2966"/>
  <c r="N3007"/>
  <c r="M2919"/>
  <c r="N3051"/>
  <c r="M2963"/>
  <c r="N3006"/>
  <c r="M2918"/>
  <c r="N3050"/>
  <c r="M2962"/>
  <c r="N3005"/>
  <c r="N3093" s="1"/>
  <c r="M2917"/>
  <c r="N3047"/>
  <c r="M2959"/>
  <c r="N3045"/>
  <c r="N3133" s="1"/>
  <c r="M2957"/>
  <c r="N3000"/>
  <c r="M2912"/>
  <c r="N5151"/>
  <c r="N5239" s="1"/>
  <c r="M5063"/>
  <c r="N5191"/>
  <c r="N5279" s="1"/>
  <c r="M5103"/>
  <c r="N5143"/>
  <c r="N5231" s="1"/>
  <c r="M5055"/>
  <c r="N4735"/>
  <c r="N4823" s="1"/>
  <c r="M4647"/>
  <c r="N4693"/>
  <c r="N4781" s="1"/>
  <c r="N4869" s="1"/>
  <c r="M4605"/>
  <c r="N4562"/>
  <c r="M4474"/>
  <c r="N4426"/>
  <c r="M4338"/>
  <c r="N4422"/>
  <c r="M4334"/>
  <c r="N4418"/>
  <c r="M4330"/>
  <c r="N4414"/>
  <c r="M4326"/>
  <c r="N4410"/>
  <c r="M4322"/>
  <c r="N4494"/>
  <c r="M4406"/>
  <c r="N4402"/>
  <c r="M4314"/>
  <c r="N4398"/>
  <c r="M4310"/>
  <c r="N4394"/>
  <c r="M4306"/>
  <c r="N4478"/>
  <c r="M4390"/>
  <c r="N4518"/>
  <c r="M4430"/>
  <c r="N4438"/>
  <c r="M4350"/>
  <c r="N4522"/>
  <c r="M4434"/>
  <c r="N4913"/>
  <c r="N5001" s="1"/>
  <c r="N5089" s="1"/>
  <c r="M4825"/>
  <c r="N5085"/>
  <c r="N5173" s="1"/>
  <c r="N5261" s="1"/>
  <c r="M4997"/>
  <c r="N5081"/>
  <c r="N5169" s="1"/>
  <c r="N5257" s="1"/>
  <c r="M4993"/>
  <c r="N5077"/>
  <c r="N5165" s="1"/>
  <c r="N5253" s="1"/>
  <c r="M4989"/>
  <c r="N4545"/>
  <c r="M4457"/>
  <c r="N4541"/>
  <c r="M4453"/>
  <c r="N4713"/>
  <c r="M4625"/>
  <c r="N4445"/>
  <c r="M4357"/>
  <c r="N5195"/>
  <c r="N5283" s="1"/>
  <c r="M5107"/>
  <c r="N5187"/>
  <c r="N5275" s="1"/>
  <c r="M5099"/>
  <c r="N4567"/>
  <c r="M4479"/>
  <c r="N4563"/>
  <c r="M4475"/>
  <c r="N4523"/>
  <c r="M4435"/>
  <c r="N4519"/>
  <c r="M4431"/>
  <c r="N4470"/>
  <c r="M4382"/>
  <c r="N4466"/>
  <c r="M4378"/>
  <c r="N4462"/>
  <c r="M4374"/>
  <c r="N4458"/>
  <c r="M4370"/>
  <c r="N4454"/>
  <c r="M4366"/>
  <c r="N4450"/>
  <c r="M4362"/>
  <c r="N4446"/>
  <c r="M4358"/>
  <c r="N4442"/>
  <c r="M4354"/>
  <c r="N4691"/>
  <c r="M4603"/>
  <c r="N4499"/>
  <c r="M4411"/>
  <c r="N4428"/>
  <c r="M4340"/>
  <c r="N4424"/>
  <c r="M4336"/>
  <c r="N4420"/>
  <c r="M4332"/>
  <c r="N4416"/>
  <c r="M4328"/>
  <c r="N4500"/>
  <c r="M4412"/>
  <c r="N4496"/>
  <c r="M4408"/>
  <c r="N4404"/>
  <c r="M4316"/>
  <c r="N4400"/>
  <c r="M4312"/>
  <c r="N4396"/>
  <c r="M4308"/>
  <c r="N4392"/>
  <c r="M4304"/>
  <c r="N4476"/>
  <c r="M4388"/>
  <c r="N4440"/>
  <c r="M4352"/>
  <c r="N4436"/>
  <c r="M4348"/>
  <c r="N4432"/>
  <c r="M4344"/>
  <c r="N4467"/>
  <c r="N4555" s="1"/>
  <c r="M4379"/>
  <c r="N4547"/>
  <c r="M4459"/>
  <c r="N4715"/>
  <c r="N4803" s="1"/>
  <c r="N4891" s="1"/>
  <c r="M4627"/>
  <c r="N5147"/>
  <c r="N5235" s="1"/>
  <c r="M5059"/>
  <c r="N4639"/>
  <c r="N4727" s="1"/>
  <c r="M4551"/>
  <c r="N4759"/>
  <c r="N4847" s="1"/>
  <c r="N4935" s="1"/>
  <c r="M4671"/>
  <c r="N4455"/>
  <c r="M4367"/>
  <c r="N4423"/>
  <c r="M4335"/>
  <c r="N4419"/>
  <c r="N4507" s="1"/>
  <c r="M4331"/>
  <c r="N4415"/>
  <c r="N4503" s="1"/>
  <c r="M4327"/>
  <c r="N5129"/>
  <c r="N5217" s="1"/>
  <c r="N5305" s="1"/>
  <c r="M5041"/>
  <c r="N5125"/>
  <c r="N5213" s="1"/>
  <c r="N5301" s="1"/>
  <c r="M5037"/>
  <c r="N5121"/>
  <c r="N5209" s="1"/>
  <c r="N5297" s="1"/>
  <c r="M5033"/>
  <c r="N4501"/>
  <c r="M4413"/>
  <c r="N4497"/>
  <c r="M4409"/>
  <c r="N4757"/>
  <c r="M4669"/>
  <c r="N4401"/>
  <c r="M4313"/>
  <c r="N4397"/>
  <c r="M4309"/>
  <c r="N4393"/>
  <c r="M4305"/>
  <c r="N4477"/>
  <c r="M4389"/>
  <c r="N4441"/>
  <c r="N4529" s="1"/>
  <c r="M4353"/>
  <c r="N4437"/>
  <c r="N4525" s="1"/>
  <c r="M4349"/>
  <c r="N4521"/>
  <c r="M4433"/>
  <c r="N4472"/>
  <c r="M4384"/>
  <c r="N4468"/>
  <c r="M4380"/>
  <c r="N4464"/>
  <c r="M4376"/>
  <c r="N4460"/>
  <c r="M4372"/>
  <c r="N4456"/>
  <c r="M4368"/>
  <c r="N4540"/>
  <c r="M4452"/>
  <c r="N4448"/>
  <c r="M4360"/>
  <c r="N4444"/>
  <c r="M4356"/>
  <c r="N3174"/>
  <c r="M3086"/>
  <c r="N3172"/>
  <c r="M3084"/>
  <c r="N3170"/>
  <c r="M3082"/>
  <c r="N3166"/>
  <c r="M3078"/>
  <c r="N3165"/>
  <c r="M3077"/>
  <c r="N3164"/>
  <c r="M3076"/>
  <c r="N3162"/>
  <c r="M3074"/>
  <c r="N3156"/>
  <c r="M3068"/>
  <c r="N3155"/>
  <c r="N3243" s="1"/>
  <c r="M3243" s="1"/>
  <c r="M3067"/>
  <c r="N3154"/>
  <c r="N3242" s="1"/>
  <c r="M3242" s="1"/>
  <c r="M3066"/>
  <c r="N3124"/>
  <c r="M3036"/>
  <c r="N3121"/>
  <c r="M3033"/>
  <c r="N3118"/>
  <c r="M3030"/>
  <c r="N3117"/>
  <c r="M3029"/>
  <c r="N3116"/>
  <c r="M3028"/>
  <c r="N3008"/>
  <c r="M3008" s="1"/>
  <c r="N3002"/>
  <c r="M3002" s="1"/>
  <c r="N3286"/>
  <c r="M3286" s="1"/>
  <c r="N3102"/>
  <c r="M3102" s="1"/>
  <c r="N3257"/>
  <c r="M3257" s="1"/>
  <c r="N3160"/>
  <c r="M3160" s="1"/>
  <c r="N3152"/>
  <c r="M3152" s="1"/>
  <c r="N3144"/>
  <c r="N3210"/>
  <c r="M3210" s="1"/>
  <c r="M1953"/>
  <c r="M1886"/>
  <c r="N1930"/>
  <c r="M1906"/>
  <c r="N1938"/>
  <c r="M1918"/>
  <c r="M1898"/>
  <c r="N1942"/>
  <c r="M1884"/>
  <c r="N1928"/>
  <c r="M1900"/>
  <c r="M1916"/>
  <c r="M1933"/>
  <c r="N1977"/>
  <c r="M1949"/>
  <c r="M1965"/>
  <c r="M1998"/>
  <c r="M1883"/>
  <c r="N1927"/>
  <c r="M1915"/>
  <c r="M1880"/>
  <c r="N1924"/>
  <c r="M1896"/>
  <c r="N1940"/>
  <c r="M1912"/>
  <c r="M1929"/>
  <c r="N1973"/>
  <c r="M1945"/>
  <c r="M1961"/>
  <c r="M1978"/>
  <c r="N2022"/>
  <c r="M1879"/>
  <c r="N1923"/>
  <c r="M1911"/>
  <c r="M1931"/>
  <c r="N1975"/>
  <c r="M1939"/>
  <c r="N1983"/>
  <c r="M1892"/>
  <c r="N1936"/>
  <c r="M1908"/>
  <c r="M1925"/>
  <c r="N1969"/>
  <c r="M1941"/>
  <c r="N1985"/>
  <c r="M1957"/>
  <c r="M1990"/>
  <c r="M1907"/>
  <c r="M1888"/>
  <c r="N1932"/>
  <c r="M1904"/>
  <c r="M1920"/>
  <c r="M1937"/>
  <c r="N1981"/>
  <c r="M1970"/>
  <c r="N2014"/>
  <c r="M1903"/>
  <c r="M1919"/>
  <c r="M1935"/>
  <c r="N1979"/>
  <c r="M1943"/>
  <c r="N1987"/>
  <c r="N3089"/>
  <c r="N3177" s="1"/>
  <c r="M3177" s="1"/>
  <c r="N3060"/>
  <c r="M3060" s="1"/>
  <c r="N3044"/>
  <c r="N3132" s="1"/>
  <c r="M3132" s="1"/>
  <c r="N1922"/>
  <c r="M1878"/>
  <c r="N3256"/>
  <c r="M3256" s="1"/>
  <c r="N3146"/>
  <c r="M3146" s="1"/>
  <c r="N3200"/>
  <c r="M3200" s="1"/>
  <c r="N3150"/>
  <c r="M3150" s="1"/>
  <c r="N3290"/>
  <c r="N3240"/>
  <c r="M3240" s="1"/>
  <c r="N3208"/>
  <c r="M3208" s="1"/>
  <c r="N3186"/>
  <c r="M3186" s="1"/>
  <c r="N3301"/>
  <c r="N3389" s="1"/>
  <c r="N3289"/>
  <c r="N3225"/>
  <c r="M3225" s="1"/>
  <c r="N3216"/>
  <c r="M3216" s="1"/>
  <c r="N3134"/>
  <c r="M3134" s="1"/>
  <c r="N3787"/>
  <c r="M3787" s="1"/>
  <c r="N3783"/>
  <c r="M3783" s="1"/>
  <c r="N3779"/>
  <c r="M3779" s="1"/>
  <c r="N3511"/>
  <c r="M3511" s="1"/>
  <c r="N3507"/>
  <c r="M3507" s="1"/>
  <c r="N3506"/>
  <c r="M3506" s="1"/>
  <c r="N3503"/>
  <c r="N3591" s="1"/>
  <c r="M3591" s="1"/>
  <c r="N3747"/>
  <c r="N3835" s="1"/>
  <c r="N3923" s="1"/>
  <c r="M3923" s="1"/>
  <c r="N3769"/>
  <c r="N3857" s="1"/>
  <c r="M3857" s="1"/>
  <c r="N3569"/>
  <c r="N3657" s="1"/>
  <c r="M3657" s="1"/>
  <c r="N3743"/>
  <c r="M3743" s="1"/>
  <c r="N3739"/>
  <c r="M3739" s="1"/>
  <c r="N3735"/>
  <c r="M3735" s="1"/>
  <c r="N3547"/>
  <c r="N3635" s="1"/>
  <c r="M3635" s="1"/>
  <c r="N3791"/>
  <c r="N3879" s="1"/>
  <c r="N3967" s="1"/>
  <c r="M3967" s="1"/>
  <c r="N3813"/>
  <c r="N3901" s="1"/>
  <c r="M3901" s="1"/>
  <c r="N3525"/>
  <c r="M3525" s="1"/>
  <c r="N3521"/>
  <c r="N3609" s="1"/>
  <c r="M3609" s="1"/>
  <c r="N3517"/>
  <c r="N3605" s="1"/>
  <c r="M3605" s="1"/>
  <c r="N3513"/>
  <c r="N3601" s="1"/>
  <c r="M3601" s="1"/>
  <c r="M3091" l="1"/>
  <c r="N3179"/>
  <c r="M3016"/>
  <c r="N3104"/>
  <c r="M3116"/>
  <c r="N3204"/>
  <c r="M3118"/>
  <c r="N3206"/>
  <c r="M3124"/>
  <c r="N3212"/>
  <c r="M3162"/>
  <c r="N3250"/>
  <c r="M3250" s="1"/>
  <c r="M3165"/>
  <c r="N3253"/>
  <c r="M3170"/>
  <c r="N3258"/>
  <c r="M3258" s="1"/>
  <c r="M3174"/>
  <c r="N3262"/>
  <c r="M3262" s="1"/>
  <c r="M3133"/>
  <c r="N3221"/>
  <c r="M3093"/>
  <c r="N3181"/>
  <c r="M3006"/>
  <c r="N3094"/>
  <c r="M3055"/>
  <c r="N3143"/>
  <c r="N3231" s="1"/>
  <c r="M3059"/>
  <c r="N3147"/>
  <c r="M3195"/>
  <c r="N3283"/>
  <c r="M3140"/>
  <c r="N3228"/>
  <c r="M3018"/>
  <c r="N3106"/>
  <c r="M3048"/>
  <c r="N3136"/>
  <c r="N3190"/>
  <c r="M3190" s="1"/>
  <c r="N3188"/>
  <c r="N3248"/>
  <c r="M3248" s="1"/>
  <c r="M3117"/>
  <c r="N3205"/>
  <c r="N3293" s="1"/>
  <c r="M3121"/>
  <c r="N3209"/>
  <c r="N3297" s="1"/>
  <c r="M3156"/>
  <c r="N3244"/>
  <c r="M3244" s="1"/>
  <c r="M3164"/>
  <c r="N3252"/>
  <c r="M3252" s="1"/>
  <c r="M3166"/>
  <c r="N3254"/>
  <c r="M3254" s="1"/>
  <c r="M3172"/>
  <c r="N3260"/>
  <c r="M3260" s="1"/>
  <c r="M3000"/>
  <c r="N3088"/>
  <c r="N3176" s="1"/>
  <c r="M3047"/>
  <c r="N3135"/>
  <c r="M3050"/>
  <c r="N3138"/>
  <c r="M3051"/>
  <c r="N3139"/>
  <c r="N3227" s="1"/>
  <c r="M3054"/>
  <c r="N3142"/>
  <c r="M3011"/>
  <c r="N3099"/>
  <c r="M3015"/>
  <c r="N3103"/>
  <c r="M3020"/>
  <c r="N3108"/>
  <c r="M3126"/>
  <c r="N3214"/>
  <c r="M3130"/>
  <c r="N3218"/>
  <c r="M3180"/>
  <c r="N3268"/>
  <c r="M3268" s="1"/>
  <c r="N3298"/>
  <c r="N3291"/>
  <c r="N3379" s="1"/>
  <c r="N3377"/>
  <c r="M3289"/>
  <c r="N3477"/>
  <c r="M3389"/>
  <c r="N3378"/>
  <c r="M3290"/>
  <c r="N3386"/>
  <c r="M3298"/>
  <c r="M3291"/>
  <c r="N3232"/>
  <c r="M3232" s="1"/>
  <c r="M3144"/>
  <c r="N4532"/>
  <c r="M4444"/>
  <c r="N4536"/>
  <c r="M4448"/>
  <c r="N4628"/>
  <c r="M4540"/>
  <c r="N4544"/>
  <c r="M4456"/>
  <c r="N4548"/>
  <c r="M4460"/>
  <c r="N4552"/>
  <c r="M4464"/>
  <c r="N4556"/>
  <c r="M4468"/>
  <c r="N4560"/>
  <c r="M4472"/>
  <c r="N4609"/>
  <c r="M4521"/>
  <c r="N4613"/>
  <c r="M4525"/>
  <c r="N4617"/>
  <c r="M4529"/>
  <c r="N4565"/>
  <c r="M4477"/>
  <c r="N4481"/>
  <c r="N4569" s="1"/>
  <c r="M4393"/>
  <c r="N4485"/>
  <c r="N4573" s="1"/>
  <c r="M4397"/>
  <c r="N4489"/>
  <c r="M4401"/>
  <c r="N4845"/>
  <c r="N4933" s="1"/>
  <c r="M4757"/>
  <c r="N4585"/>
  <c r="M4497"/>
  <c r="N4589"/>
  <c r="M4501"/>
  <c r="N4591"/>
  <c r="M4503"/>
  <c r="N4595"/>
  <c r="M4507"/>
  <c r="N4511"/>
  <c r="N4599" s="1"/>
  <c r="M4423"/>
  <c r="N4543"/>
  <c r="M4455"/>
  <c r="N5023"/>
  <c r="N5111" s="1"/>
  <c r="N5199" s="1"/>
  <c r="M4935"/>
  <c r="N4815"/>
  <c r="N4903" s="1"/>
  <c r="M4727"/>
  <c r="N4979"/>
  <c r="N5067" s="1"/>
  <c r="N5155" s="1"/>
  <c r="M4891"/>
  <c r="N4635"/>
  <c r="N4723" s="1"/>
  <c r="M4547"/>
  <c r="N4643"/>
  <c r="N4731" s="1"/>
  <c r="M4555"/>
  <c r="N4520"/>
  <c r="M4432"/>
  <c r="N4524"/>
  <c r="M4436"/>
  <c r="N4528"/>
  <c r="M4440"/>
  <c r="N4564"/>
  <c r="M4476"/>
  <c r="N4480"/>
  <c r="M4392"/>
  <c r="N4484"/>
  <c r="M4396"/>
  <c r="N4488"/>
  <c r="M4400"/>
  <c r="N4492"/>
  <c r="M4404"/>
  <c r="N4584"/>
  <c r="M4496"/>
  <c r="N4588"/>
  <c r="M4500"/>
  <c r="N4504"/>
  <c r="M4416"/>
  <c r="N4508"/>
  <c r="M4420"/>
  <c r="N4512"/>
  <c r="M4424"/>
  <c r="N4516"/>
  <c r="M4428"/>
  <c r="N4587"/>
  <c r="M4499"/>
  <c r="N4779"/>
  <c r="N4867" s="1"/>
  <c r="M4691"/>
  <c r="N4530"/>
  <c r="M4442"/>
  <c r="N4534"/>
  <c r="M4446"/>
  <c r="N4538"/>
  <c r="M4450"/>
  <c r="N4542"/>
  <c r="M4454"/>
  <c r="N4546"/>
  <c r="M4458"/>
  <c r="N4550"/>
  <c r="M4462"/>
  <c r="N4554"/>
  <c r="M4466"/>
  <c r="N4558"/>
  <c r="M4470"/>
  <c r="N4607"/>
  <c r="M4519"/>
  <c r="N4611"/>
  <c r="M4523"/>
  <c r="N4651"/>
  <c r="M4563"/>
  <c r="N4655"/>
  <c r="M4567"/>
  <c r="N4533"/>
  <c r="N4621" s="1"/>
  <c r="M4445"/>
  <c r="N4801"/>
  <c r="N4889" s="1"/>
  <c r="M4713"/>
  <c r="N4629"/>
  <c r="M4541"/>
  <c r="N4633"/>
  <c r="M4545"/>
  <c r="N5177"/>
  <c r="N5265" s="1"/>
  <c r="M5089"/>
  <c r="N4610"/>
  <c r="M4522"/>
  <c r="N4526"/>
  <c r="M4438"/>
  <c r="N4606"/>
  <c r="M4518"/>
  <c r="N4566"/>
  <c r="M4478"/>
  <c r="N4482"/>
  <c r="M4394"/>
  <c r="N4486"/>
  <c r="M4398"/>
  <c r="N4490"/>
  <c r="M4402"/>
  <c r="N4582"/>
  <c r="M4494"/>
  <c r="N4498"/>
  <c r="M4410"/>
  <c r="N4502"/>
  <c r="M4414"/>
  <c r="N4506"/>
  <c r="M4418"/>
  <c r="N4510"/>
  <c r="M4422"/>
  <c r="N4514"/>
  <c r="M4426"/>
  <c r="N4650"/>
  <c r="M4562"/>
  <c r="N4957"/>
  <c r="N5045" s="1"/>
  <c r="N5133" s="1"/>
  <c r="M4869"/>
  <c r="N4911"/>
  <c r="N4999" s="1"/>
  <c r="N5087" s="1"/>
  <c r="N5175" s="1"/>
  <c r="N5263" s="1"/>
  <c r="M4823"/>
  <c r="N3095"/>
  <c r="M3007"/>
  <c r="N3375"/>
  <c r="M3287"/>
  <c r="N3096"/>
  <c r="M3096" s="1"/>
  <c r="N3090"/>
  <c r="M3090" s="1"/>
  <c r="N3374"/>
  <c r="M3374" s="1"/>
  <c r="M1958"/>
  <c r="M1942"/>
  <c r="N1986"/>
  <c r="M1938"/>
  <c r="N1982"/>
  <c r="M1930"/>
  <c r="N1974"/>
  <c r="M1962"/>
  <c r="M1950"/>
  <c r="M1987"/>
  <c r="N2031"/>
  <c r="M1963"/>
  <c r="M2014"/>
  <c r="N2058"/>
  <c r="M1981"/>
  <c r="N2025"/>
  <c r="M1948"/>
  <c r="M1951"/>
  <c r="M2034"/>
  <c r="M2001"/>
  <c r="M1969"/>
  <c r="N2013"/>
  <c r="M1936"/>
  <c r="N1980"/>
  <c r="M1975"/>
  <c r="N2019"/>
  <c r="M1923"/>
  <c r="N1967"/>
  <c r="M2022"/>
  <c r="N2066"/>
  <c r="M1989"/>
  <c r="M1956"/>
  <c r="M1924"/>
  <c r="N1968"/>
  <c r="M1927"/>
  <c r="N1971"/>
  <c r="M1993"/>
  <c r="M1960"/>
  <c r="M1928"/>
  <c r="N1972"/>
  <c r="M1979"/>
  <c r="N2023"/>
  <c r="M1947"/>
  <c r="M1997"/>
  <c r="M1964"/>
  <c r="M1932"/>
  <c r="N1976"/>
  <c r="M1985"/>
  <c r="N2029"/>
  <c r="M1952"/>
  <c r="M1983"/>
  <c r="N2027"/>
  <c r="M1955"/>
  <c r="M2005"/>
  <c r="M1973"/>
  <c r="N2017"/>
  <c r="M1940"/>
  <c r="N1984"/>
  <c r="M1959"/>
  <c r="M2042"/>
  <c r="M2009"/>
  <c r="M1977"/>
  <c r="N2021"/>
  <c r="M1944"/>
  <c r="N3265"/>
  <c r="M3265" s="1"/>
  <c r="N3220"/>
  <c r="M3220" s="1"/>
  <c r="N3148"/>
  <c r="M3148" s="1"/>
  <c r="N1966"/>
  <c r="M1922"/>
  <c r="N3313"/>
  <c r="N3543"/>
  <c r="M3543" s="1"/>
  <c r="N3238"/>
  <c r="M3238" s="1"/>
  <c r="N3234"/>
  <c r="M3234" s="1"/>
  <c r="N3328"/>
  <c r="N3288"/>
  <c r="N3222"/>
  <c r="M3222" s="1"/>
  <c r="N3535"/>
  <c r="M3535" s="1"/>
  <c r="N3565"/>
  <c r="M3565" s="1"/>
  <c r="N3274"/>
  <c r="M3274" s="1"/>
  <c r="N3539"/>
  <c r="M3539" s="1"/>
  <c r="N3304"/>
  <c r="N3296"/>
  <c r="N3320"/>
  <c r="N3509"/>
  <c r="M3509" s="1"/>
  <c r="N3689"/>
  <c r="N3693"/>
  <c r="N3697"/>
  <c r="M3697" s="1"/>
  <c r="N3524"/>
  <c r="M3524" s="1"/>
  <c r="N3613"/>
  <c r="N3701" s="1"/>
  <c r="M3701" s="1"/>
  <c r="N3989"/>
  <c r="N3528"/>
  <c r="M3528" s="1"/>
  <c r="N3532"/>
  <c r="M3532" s="1"/>
  <c r="N3536"/>
  <c r="M3536" s="1"/>
  <c r="N3540"/>
  <c r="M3540" s="1"/>
  <c r="N3544"/>
  <c r="M3544" s="1"/>
  <c r="N3757"/>
  <c r="M3757" s="1"/>
  <c r="N3823"/>
  <c r="M3823" s="1"/>
  <c r="N3761"/>
  <c r="M3761" s="1"/>
  <c r="N3827"/>
  <c r="M3827" s="1"/>
  <c r="N3765"/>
  <c r="M3765" s="1"/>
  <c r="N3831"/>
  <c r="M3831" s="1"/>
  <c r="N3767"/>
  <c r="N3855" s="1"/>
  <c r="N3943" s="1"/>
  <c r="N3745"/>
  <c r="N3833" s="1"/>
  <c r="N3921" s="1"/>
  <c r="N3945"/>
  <c r="N3594"/>
  <c r="M3594" s="1"/>
  <c r="N3595"/>
  <c r="M3595" s="1"/>
  <c r="N3510"/>
  <c r="M3510" s="1"/>
  <c r="N3599"/>
  <c r="M3599" s="1"/>
  <c r="N3514"/>
  <c r="M3514" s="1"/>
  <c r="N3801"/>
  <c r="M3801" s="1"/>
  <c r="N3867"/>
  <c r="M3867" s="1"/>
  <c r="N3518"/>
  <c r="M3518" s="1"/>
  <c r="N3805"/>
  <c r="M3805" s="1"/>
  <c r="N3871"/>
  <c r="M3871" s="1"/>
  <c r="N3522"/>
  <c r="M3522" s="1"/>
  <c r="N3809"/>
  <c r="M3809" s="1"/>
  <c r="N3875"/>
  <c r="M3875" s="1"/>
  <c r="N3526"/>
  <c r="M3526" s="1"/>
  <c r="M3214" l="1"/>
  <c r="N3302"/>
  <c r="M3103"/>
  <c r="N3191"/>
  <c r="M3142"/>
  <c r="N3230"/>
  <c r="M3138"/>
  <c r="N3226"/>
  <c r="M3176"/>
  <c r="N3264"/>
  <c r="M3264" s="1"/>
  <c r="N3381"/>
  <c r="M3293"/>
  <c r="M3188"/>
  <c r="N3276"/>
  <c r="M3276" s="1"/>
  <c r="M3106"/>
  <c r="N3194"/>
  <c r="M3231"/>
  <c r="N3319"/>
  <c r="M3181"/>
  <c r="N3269"/>
  <c r="M3269" s="1"/>
  <c r="M3212"/>
  <c r="N3300"/>
  <c r="M3204"/>
  <c r="N3292"/>
  <c r="M3179"/>
  <c r="N3267"/>
  <c r="M3267" s="1"/>
  <c r="N3278"/>
  <c r="M3278" s="1"/>
  <c r="M3218"/>
  <c r="N3306"/>
  <c r="M3108"/>
  <c r="N3196"/>
  <c r="M3099"/>
  <c r="N3187"/>
  <c r="N3275" s="1"/>
  <c r="M3275" s="1"/>
  <c r="M3227"/>
  <c r="N3315"/>
  <c r="M3135"/>
  <c r="N3223"/>
  <c r="N3385"/>
  <c r="M3297"/>
  <c r="M3095"/>
  <c r="N3183"/>
  <c r="N3271" s="1"/>
  <c r="M3271" s="1"/>
  <c r="M3136"/>
  <c r="N3224"/>
  <c r="M3228"/>
  <c r="N3316"/>
  <c r="M3147"/>
  <c r="N3235"/>
  <c r="N3323" s="1"/>
  <c r="M3094"/>
  <c r="N3182"/>
  <c r="M3221"/>
  <c r="N3309"/>
  <c r="M3206"/>
  <c r="N3294"/>
  <c r="M3104"/>
  <c r="N3192"/>
  <c r="N3408"/>
  <c r="M3408" s="1"/>
  <c r="M3320"/>
  <c r="N3384"/>
  <c r="M3296"/>
  <c r="N3392"/>
  <c r="M3304"/>
  <c r="N3376"/>
  <c r="M3288"/>
  <c r="N3416"/>
  <c r="M3416" s="1"/>
  <c r="M3328"/>
  <c r="N3401"/>
  <c r="M3401" s="1"/>
  <c r="M3313"/>
  <c r="N3463"/>
  <c r="M3375"/>
  <c r="N5221"/>
  <c r="N5309" s="1"/>
  <c r="M5133"/>
  <c r="N4738"/>
  <c r="M4650"/>
  <c r="N4602"/>
  <c r="M4514"/>
  <c r="N4598"/>
  <c r="M4510"/>
  <c r="N4594"/>
  <c r="M4506"/>
  <c r="N4590"/>
  <c r="M4502"/>
  <c r="N4586"/>
  <c r="M4498"/>
  <c r="N4670"/>
  <c r="M4582"/>
  <c r="N4578"/>
  <c r="M4490"/>
  <c r="N4574"/>
  <c r="M4486"/>
  <c r="N4570"/>
  <c r="M4482"/>
  <c r="N4654"/>
  <c r="M4566"/>
  <c r="N4694"/>
  <c r="M4606"/>
  <c r="N4614"/>
  <c r="M4526"/>
  <c r="N4698"/>
  <c r="M4610"/>
  <c r="N4721"/>
  <c r="M4633"/>
  <c r="N4717"/>
  <c r="M4629"/>
  <c r="N4977"/>
  <c r="N5065" s="1"/>
  <c r="N5153" s="1"/>
  <c r="N5241" s="1"/>
  <c r="M4889"/>
  <c r="N4709"/>
  <c r="N4797" s="1"/>
  <c r="M4621"/>
  <c r="N4743"/>
  <c r="M4655"/>
  <c r="N4739"/>
  <c r="M4651"/>
  <c r="N4699"/>
  <c r="M4611"/>
  <c r="N4695"/>
  <c r="M4607"/>
  <c r="N4646"/>
  <c r="M4558"/>
  <c r="N4642"/>
  <c r="M4554"/>
  <c r="N4638"/>
  <c r="M4550"/>
  <c r="N4634"/>
  <c r="M4546"/>
  <c r="N4630"/>
  <c r="M4542"/>
  <c r="N4626"/>
  <c r="M4538"/>
  <c r="N4622"/>
  <c r="M4534"/>
  <c r="N4618"/>
  <c r="M4530"/>
  <c r="N4955"/>
  <c r="N5043" s="1"/>
  <c r="N5131" s="1"/>
  <c r="N5219" s="1"/>
  <c r="N5307" s="1"/>
  <c r="M4867"/>
  <c r="N4675"/>
  <c r="M4587"/>
  <c r="N4604"/>
  <c r="M4516"/>
  <c r="N4600"/>
  <c r="M4512"/>
  <c r="N4596"/>
  <c r="M4508"/>
  <c r="N4592"/>
  <c r="M4504"/>
  <c r="N4676"/>
  <c r="M4588"/>
  <c r="N4672"/>
  <c r="M4584"/>
  <c r="N4580"/>
  <c r="M4492"/>
  <c r="N4576"/>
  <c r="M4488"/>
  <c r="N4572"/>
  <c r="M4484"/>
  <c r="N4568"/>
  <c r="M4480"/>
  <c r="N4652"/>
  <c r="M4564"/>
  <c r="N4616"/>
  <c r="M4528"/>
  <c r="N4612"/>
  <c r="M4524"/>
  <c r="N4608"/>
  <c r="M4520"/>
  <c r="N4819"/>
  <c r="M4731"/>
  <c r="N4811"/>
  <c r="N4899" s="1"/>
  <c r="M4723"/>
  <c r="N5243"/>
  <c r="M5155"/>
  <c r="N4991"/>
  <c r="N5079" s="1"/>
  <c r="N5167" s="1"/>
  <c r="N5255" s="1"/>
  <c r="M4903"/>
  <c r="N5287"/>
  <c r="M5199"/>
  <c r="N4631"/>
  <c r="M4543"/>
  <c r="N4687"/>
  <c r="N4775" s="1"/>
  <c r="M4599"/>
  <c r="N4683"/>
  <c r="N4771" s="1"/>
  <c r="M4595"/>
  <c r="N4679"/>
  <c r="N4767" s="1"/>
  <c r="M4591"/>
  <c r="N4677"/>
  <c r="M4589"/>
  <c r="N4673"/>
  <c r="M4585"/>
  <c r="N5021"/>
  <c r="N5109" s="1"/>
  <c r="N5197" s="1"/>
  <c r="N5285" s="1"/>
  <c r="M4933"/>
  <c r="N4577"/>
  <c r="N4665" s="1"/>
  <c r="M4489"/>
  <c r="N4661"/>
  <c r="M4573"/>
  <c r="N4657"/>
  <c r="M4569"/>
  <c r="N4653"/>
  <c r="M4565"/>
  <c r="N4705"/>
  <c r="N4793" s="1"/>
  <c r="M4617"/>
  <c r="N4701"/>
  <c r="N4789" s="1"/>
  <c r="M4613"/>
  <c r="N4697"/>
  <c r="M4609"/>
  <c r="N4648"/>
  <c r="M4560"/>
  <c r="N4644"/>
  <c r="M4556"/>
  <c r="N4640"/>
  <c r="M4552"/>
  <c r="N4636"/>
  <c r="M4548"/>
  <c r="N4632"/>
  <c r="M4544"/>
  <c r="N4716"/>
  <c r="M4628"/>
  <c r="N4624"/>
  <c r="M4536"/>
  <c r="N4620"/>
  <c r="M4532"/>
  <c r="N3467"/>
  <c r="M3467" s="1"/>
  <c r="M3379"/>
  <c r="N3474"/>
  <c r="M3474" s="1"/>
  <c r="M3386"/>
  <c r="N3466"/>
  <c r="M3466" s="1"/>
  <c r="M3378"/>
  <c r="N3465"/>
  <c r="M3465" s="1"/>
  <c r="M3377"/>
  <c r="N3184"/>
  <c r="M3184" s="1"/>
  <c r="N3178"/>
  <c r="M3178" s="1"/>
  <c r="N3462"/>
  <c r="M3462" s="1"/>
  <c r="M2002"/>
  <c r="M1994"/>
  <c r="N2018"/>
  <c r="M1974"/>
  <c r="N2030"/>
  <c r="M1986"/>
  <c r="M2006"/>
  <c r="N2026"/>
  <c r="M1982"/>
  <c r="M1988"/>
  <c r="M2053"/>
  <c r="M2003"/>
  <c r="M2017"/>
  <c r="N2061"/>
  <c r="M2027"/>
  <c r="N2071"/>
  <c r="M2029"/>
  <c r="N2073"/>
  <c r="M2008"/>
  <c r="M2023"/>
  <c r="N2067"/>
  <c r="M2004"/>
  <c r="M1968"/>
  <c r="N2012"/>
  <c r="M2033"/>
  <c r="M1967"/>
  <c r="N2011"/>
  <c r="M1980"/>
  <c r="N2024"/>
  <c r="M2045"/>
  <c r="M1995"/>
  <c r="M2025"/>
  <c r="N2069"/>
  <c r="M2031"/>
  <c r="N2075"/>
  <c r="M2021"/>
  <c r="N2065"/>
  <c r="M2086"/>
  <c r="N2130"/>
  <c r="M1984"/>
  <c r="N2028"/>
  <c r="M2049"/>
  <c r="M1999"/>
  <c r="M1996"/>
  <c r="M1976"/>
  <c r="N2020"/>
  <c r="M2041"/>
  <c r="M1991"/>
  <c r="M1972"/>
  <c r="N2016"/>
  <c r="M2037"/>
  <c r="M1971"/>
  <c r="N2015"/>
  <c r="M2000"/>
  <c r="M2066"/>
  <c r="N2110"/>
  <c r="M2019"/>
  <c r="N2063"/>
  <c r="M2013"/>
  <c r="N2057"/>
  <c r="M2078"/>
  <c r="N2122"/>
  <c r="M1992"/>
  <c r="M2058"/>
  <c r="N2102"/>
  <c r="M2007"/>
  <c r="N3236"/>
  <c r="M3236" s="1"/>
  <c r="N3308"/>
  <c r="N2010"/>
  <c r="M1966"/>
  <c r="N3623"/>
  <c r="N3310"/>
  <c r="N3326"/>
  <c r="N3631"/>
  <c r="M3631" s="1"/>
  <c r="N3653"/>
  <c r="M3653" s="1"/>
  <c r="N3555"/>
  <c r="M3555" s="1"/>
  <c r="N3322"/>
  <c r="N3508"/>
  <c r="M3508" s="1"/>
  <c r="N3627"/>
  <c r="N3516"/>
  <c r="M3516" s="1"/>
  <c r="N3614"/>
  <c r="M3614" s="1"/>
  <c r="N3963"/>
  <c r="N3897"/>
  <c r="N3985" s="1"/>
  <c r="N3610"/>
  <c r="M3610" s="1"/>
  <c r="N3959"/>
  <c r="N3893"/>
  <c r="N3981" s="1"/>
  <c r="N3606"/>
  <c r="M3606" s="1"/>
  <c r="N3955"/>
  <c r="N3889"/>
  <c r="N3977" s="1"/>
  <c r="N3602"/>
  <c r="M3602" s="1"/>
  <c r="N3687"/>
  <c r="M3687" s="1"/>
  <c r="N3598"/>
  <c r="M3598" s="1"/>
  <c r="N3683"/>
  <c r="M3683" s="1"/>
  <c r="N3682"/>
  <c r="M3682" s="1"/>
  <c r="N3919"/>
  <c r="N3853"/>
  <c r="N3941" s="1"/>
  <c r="N3915"/>
  <c r="N3849"/>
  <c r="N3937" s="1"/>
  <c r="N3911"/>
  <c r="N3845"/>
  <c r="N3933" s="1"/>
  <c r="N3632"/>
  <c r="M3632" s="1"/>
  <c r="N3628"/>
  <c r="M3628" s="1"/>
  <c r="N3624"/>
  <c r="M3624" s="1"/>
  <c r="N3620"/>
  <c r="M3620" s="1"/>
  <c r="N3616"/>
  <c r="M3616" s="1"/>
  <c r="N3811"/>
  <c r="N3899" s="1"/>
  <c r="N3987" s="1"/>
  <c r="N3789"/>
  <c r="N3877" s="1"/>
  <c r="N3965" s="1"/>
  <c r="N3612"/>
  <c r="M3612" s="1"/>
  <c r="N3785"/>
  <c r="M3785" s="1"/>
  <c r="N3781"/>
  <c r="M3781" s="1"/>
  <c r="N3777"/>
  <c r="M3777" s="1"/>
  <c r="N3597"/>
  <c r="M3597" s="1"/>
  <c r="N3382" l="1"/>
  <c r="M3294"/>
  <c r="M3182"/>
  <c r="N3270"/>
  <c r="M3270" s="1"/>
  <c r="M3316"/>
  <c r="N3404"/>
  <c r="M3223"/>
  <c r="N3311"/>
  <c r="N3394"/>
  <c r="M3306"/>
  <c r="N3473"/>
  <c r="N3561" s="1"/>
  <c r="M3385"/>
  <c r="N3388"/>
  <c r="M3300"/>
  <c r="M3319"/>
  <c r="N3407"/>
  <c r="N3495" s="1"/>
  <c r="M3230"/>
  <c r="N3318"/>
  <c r="M3302"/>
  <c r="N3390"/>
  <c r="N3280"/>
  <c r="M3280" s="1"/>
  <c r="M3192"/>
  <c r="M3309"/>
  <c r="N3397"/>
  <c r="N3411"/>
  <c r="N3499" s="1"/>
  <c r="M3323"/>
  <c r="M3224"/>
  <c r="N3312"/>
  <c r="N3403"/>
  <c r="N3491" s="1"/>
  <c r="M3315"/>
  <c r="M3196"/>
  <c r="N3284"/>
  <c r="M3284" s="1"/>
  <c r="N3469"/>
  <c r="N3557" s="1"/>
  <c r="M3381"/>
  <c r="M3463"/>
  <c r="N3551"/>
  <c r="N3380"/>
  <c r="M3292"/>
  <c r="M3194"/>
  <c r="N3282"/>
  <c r="M3282" s="1"/>
  <c r="M3226"/>
  <c r="N3314"/>
  <c r="M3191"/>
  <c r="N3279"/>
  <c r="N3410"/>
  <c r="M3410" s="1"/>
  <c r="M3322"/>
  <c r="N3414"/>
  <c r="M3414" s="1"/>
  <c r="M3326"/>
  <c r="N3398"/>
  <c r="M3398" s="1"/>
  <c r="M3310"/>
  <c r="N3396"/>
  <c r="M3308"/>
  <c r="N4708"/>
  <c r="M4620"/>
  <c r="N4712"/>
  <c r="M4624"/>
  <c r="N4804"/>
  <c r="M4716"/>
  <c r="N4720"/>
  <c r="M4632"/>
  <c r="N4724"/>
  <c r="M4636"/>
  <c r="N4728"/>
  <c r="M4640"/>
  <c r="N4732"/>
  <c r="M4644"/>
  <c r="N4736"/>
  <c r="M4648"/>
  <c r="N4785"/>
  <c r="M4697"/>
  <c r="N4877"/>
  <c r="N4965" s="1"/>
  <c r="M4789"/>
  <c r="N4881"/>
  <c r="N4969" s="1"/>
  <c r="M4793"/>
  <c r="N4741"/>
  <c r="M4653"/>
  <c r="N4745"/>
  <c r="N4833" s="1"/>
  <c r="M4657"/>
  <c r="N4749"/>
  <c r="N4837" s="1"/>
  <c r="M4661"/>
  <c r="N4753"/>
  <c r="N4841" s="1"/>
  <c r="M4665"/>
  <c r="N4761"/>
  <c r="M4673"/>
  <c r="N4765"/>
  <c r="M4677"/>
  <c r="N4855"/>
  <c r="N4943" s="1"/>
  <c r="M4767"/>
  <c r="N4859"/>
  <c r="N4947" s="1"/>
  <c r="M4771"/>
  <c r="N4863"/>
  <c r="M4775"/>
  <c r="N4719"/>
  <c r="M4631"/>
  <c r="N4987"/>
  <c r="N5075" s="1"/>
  <c r="M4899"/>
  <c r="N4907"/>
  <c r="M4819"/>
  <c r="N4696"/>
  <c r="M4608"/>
  <c r="N4700"/>
  <c r="M4612"/>
  <c r="N4704"/>
  <c r="M4616"/>
  <c r="N4740"/>
  <c r="M4652"/>
  <c r="N4656"/>
  <c r="M4568"/>
  <c r="N4660"/>
  <c r="M4572"/>
  <c r="N4664"/>
  <c r="M4576"/>
  <c r="N4668"/>
  <c r="M4580"/>
  <c r="N4760"/>
  <c r="M4672"/>
  <c r="N4764"/>
  <c r="M4676"/>
  <c r="N4680"/>
  <c r="M4592"/>
  <c r="N4684"/>
  <c r="M4596"/>
  <c r="N4688"/>
  <c r="M4600"/>
  <c r="N4692"/>
  <c r="M4604"/>
  <c r="N4763"/>
  <c r="M4675"/>
  <c r="N4706"/>
  <c r="M4618"/>
  <c r="N4710"/>
  <c r="M4622"/>
  <c r="N4714"/>
  <c r="M4626"/>
  <c r="N4718"/>
  <c r="M4630"/>
  <c r="N4722"/>
  <c r="M4634"/>
  <c r="N4726"/>
  <c r="M4638"/>
  <c r="N4730"/>
  <c r="M4642"/>
  <c r="N4734"/>
  <c r="M4646"/>
  <c r="N4783"/>
  <c r="M4695"/>
  <c r="N4787"/>
  <c r="M4699"/>
  <c r="N4827"/>
  <c r="M4739"/>
  <c r="N4831"/>
  <c r="M4743"/>
  <c r="N4885"/>
  <c r="M4797"/>
  <c r="N4805"/>
  <c r="M4717"/>
  <c r="N4809"/>
  <c r="M4721"/>
  <c r="N4786"/>
  <c r="M4698"/>
  <c r="N4702"/>
  <c r="M4614"/>
  <c r="N4782"/>
  <c r="M4694"/>
  <c r="N4742"/>
  <c r="M4654"/>
  <c r="N4658"/>
  <c r="M4570"/>
  <c r="N4662"/>
  <c r="M4574"/>
  <c r="N4666"/>
  <c r="M4578"/>
  <c r="N4758"/>
  <c r="M4670"/>
  <c r="N4674"/>
  <c r="M4586"/>
  <c r="N4678"/>
  <c r="M4590"/>
  <c r="N4682"/>
  <c r="M4594"/>
  <c r="N4686"/>
  <c r="M4598"/>
  <c r="N4690"/>
  <c r="M4602"/>
  <c r="N4826"/>
  <c r="M4738"/>
  <c r="N3464"/>
  <c r="M3464" s="1"/>
  <c r="M3376"/>
  <c r="N3480"/>
  <c r="M3480" s="1"/>
  <c r="M3392"/>
  <c r="N3472"/>
  <c r="M3472" s="1"/>
  <c r="M3384"/>
  <c r="N3272"/>
  <c r="M3272" s="1"/>
  <c r="N3266"/>
  <c r="M3266" s="1"/>
  <c r="N3550"/>
  <c r="M3550" s="1"/>
  <c r="M2046"/>
  <c r="N2070"/>
  <c r="M2026"/>
  <c r="N2074"/>
  <c r="M2030"/>
  <c r="M2038"/>
  <c r="M2050"/>
  <c r="N2062"/>
  <c r="M2018"/>
  <c r="M2051"/>
  <c r="M2036"/>
  <c r="M2057"/>
  <c r="N2101"/>
  <c r="M2110"/>
  <c r="N2154"/>
  <c r="M2015"/>
  <c r="N2059"/>
  <c r="M2016"/>
  <c r="N2060"/>
  <c r="N2129"/>
  <c r="M2085"/>
  <c r="M2043"/>
  <c r="M2028"/>
  <c r="N2072"/>
  <c r="M2065"/>
  <c r="N2109"/>
  <c r="M2039"/>
  <c r="M2024"/>
  <c r="N2068"/>
  <c r="N2121"/>
  <c r="M2077"/>
  <c r="M2067"/>
  <c r="N2111"/>
  <c r="M2052"/>
  <c r="M2073"/>
  <c r="N2117"/>
  <c r="M2047"/>
  <c r="M2032"/>
  <c r="M2102"/>
  <c r="N2146"/>
  <c r="M2122"/>
  <c r="M2063"/>
  <c r="N2107"/>
  <c r="M2044"/>
  <c r="N2125"/>
  <c r="M2081"/>
  <c r="M2035"/>
  <c r="M2020"/>
  <c r="N2064"/>
  <c r="M2040"/>
  <c r="M2093"/>
  <c r="N2137"/>
  <c r="M2130"/>
  <c r="M2075"/>
  <c r="N2119"/>
  <c r="N2113"/>
  <c r="M2069"/>
  <c r="M2089"/>
  <c r="N2133"/>
  <c r="M2011"/>
  <c r="N2055"/>
  <c r="M2012"/>
  <c r="N2056"/>
  <c r="M2048"/>
  <c r="M2071"/>
  <c r="N2115"/>
  <c r="M2061"/>
  <c r="N2105"/>
  <c r="M2097"/>
  <c r="N2141"/>
  <c r="N3324"/>
  <c r="N2054"/>
  <c r="M2010"/>
  <c r="N3604"/>
  <c r="M3604" s="1"/>
  <c r="N3596"/>
  <c r="M3596" s="1"/>
  <c r="N3489"/>
  <c r="M3489" s="1"/>
  <c r="N3531"/>
  <c r="M3531" s="1"/>
  <c r="N3533"/>
  <c r="M3533" s="1"/>
  <c r="N3643"/>
  <c r="M3643" s="1"/>
  <c r="N3741"/>
  <c r="M3741" s="1"/>
  <c r="N3554"/>
  <c r="M3554" s="1"/>
  <c r="N3512"/>
  <c r="M3512" s="1"/>
  <c r="N3520"/>
  <c r="M3520" s="1"/>
  <c r="N3504"/>
  <c r="M3504" s="1"/>
  <c r="N3553"/>
  <c r="M3553" s="1"/>
  <c r="N3562"/>
  <c r="M3562" s="1"/>
  <c r="N3496"/>
  <c r="M3496" s="1"/>
  <c r="N3685"/>
  <c r="M3685" s="1"/>
  <c r="N3799"/>
  <c r="N3887" s="1"/>
  <c r="M3887" s="1"/>
  <c r="N3865"/>
  <c r="N3953" s="1"/>
  <c r="M3953" s="1"/>
  <c r="N3803"/>
  <c r="N3891" s="1"/>
  <c r="N3979" s="1"/>
  <c r="N3869"/>
  <c r="N3957" s="1"/>
  <c r="N3873"/>
  <c r="N3961" s="1"/>
  <c r="N3807"/>
  <c r="N3895" s="1"/>
  <c r="N3983" s="1"/>
  <c r="N3700"/>
  <c r="M3700" s="1"/>
  <c r="N3749"/>
  <c r="M3749" s="1"/>
  <c r="N3755"/>
  <c r="N3843" s="1"/>
  <c r="M3843" s="1"/>
  <c r="N3759"/>
  <c r="N3847" s="1"/>
  <c r="N3935" s="1"/>
  <c r="N3770"/>
  <c r="M3770" s="1"/>
  <c r="N3771"/>
  <c r="M3771" s="1"/>
  <c r="N3686"/>
  <c r="M3686" s="1"/>
  <c r="N3775"/>
  <c r="M3775" s="1"/>
  <c r="N3690"/>
  <c r="M3690" s="1"/>
  <c r="N3694"/>
  <c r="M3694" s="1"/>
  <c r="N3698"/>
  <c r="M3698" s="1"/>
  <c r="N3702"/>
  <c r="M3702" s="1"/>
  <c r="M3561" l="1"/>
  <c r="N3649"/>
  <c r="N3737" s="1"/>
  <c r="N3468"/>
  <c r="M3380"/>
  <c r="M3557"/>
  <c r="N3645"/>
  <c r="N3733" s="1"/>
  <c r="M3491"/>
  <c r="N3579"/>
  <c r="M3499"/>
  <c r="N3587"/>
  <c r="M3587" s="1"/>
  <c r="N3476"/>
  <c r="M3388"/>
  <c r="N3482"/>
  <c r="M3394"/>
  <c r="M3382"/>
  <c r="N3470"/>
  <c r="N3402"/>
  <c r="M3314"/>
  <c r="M3318"/>
  <c r="N3406"/>
  <c r="M3404"/>
  <c r="N3492"/>
  <c r="M3551"/>
  <c r="N3639"/>
  <c r="N3400"/>
  <c r="M3312"/>
  <c r="N3485"/>
  <c r="M3397"/>
  <c r="N3478"/>
  <c r="M3390"/>
  <c r="M3495"/>
  <c r="N3583"/>
  <c r="N3399"/>
  <c r="M3311"/>
  <c r="N3412"/>
  <c r="M3412" s="1"/>
  <c r="M3324"/>
  <c r="N4914"/>
  <c r="M4826"/>
  <c r="N4778"/>
  <c r="M4690"/>
  <c r="N4774"/>
  <c r="M4686"/>
  <c r="N4770"/>
  <c r="M4682"/>
  <c r="N4766"/>
  <c r="M4678"/>
  <c r="N4762"/>
  <c r="M4674"/>
  <c r="N4846"/>
  <c r="M4758"/>
  <c r="N4754"/>
  <c r="M4666"/>
  <c r="N4750"/>
  <c r="M4662"/>
  <c r="N4746"/>
  <c r="M4658"/>
  <c r="N4830"/>
  <c r="M4742"/>
  <c r="N4870"/>
  <c r="M4782"/>
  <c r="N4790"/>
  <c r="M4702"/>
  <c r="N4874"/>
  <c r="M4786"/>
  <c r="N4897"/>
  <c r="M4809"/>
  <c r="N4893"/>
  <c r="M4805"/>
  <c r="N4973"/>
  <c r="M4885"/>
  <c r="N4919"/>
  <c r="M4831"/>
  <c r="N4915"/>
  <c r="M4827"/>
  <c r="N4875"/>
  <c r="M4787"/>
  <c r="N4871"/>
  <c r="M4783"/>
  <c r="N4822"/>
  <c r="M4734"/>
  <c r="N4818"/>
  <c r="M4730"/>
  <c r="N4814"/>
  <c r="M4726"/>
  <c r="N4810"/>
  <c r="M4722"/>
  <c r="N4806"/>
  <c r="M4718"/>
  <c r="N4802"/>
  <c r="M4714"/>
  <c r="N4798"/>
  <c r="M4710"/>
  <c r="N4794"/>
  <c r="M4706"/>
  <c r="N4851"/>
  <c r="M4763"/>
  <c r="N4780"/>
  <c r="M4692"/>
  <c r="N4776"/>
  <c r="M4688"/>
  <c r="N4772"/>
  <c r="M4684"/>
  <c r="N4768"/>
  <c r="M4680"/>
  <c r="N4852"/>
  <c r="M4764"/>
  <c r="N4848"/>
  <c r="M4760"/>
  <c r="N4756"/>
  <c r="M4668"/>
  <c r="N4752"/>
  <c r="M4664"/>
  <c r="N4748"/>
  <c r="M4660"/>
  <c r="N4744"/>
  <c r="M4656"/>
  <c r="N4828"/>
  <c r="M4740"/>
  <c r="N4792"/>
  <c r="M4704"/>
  <c r="N4788"/>
  <c r="M4700"/>
  <c r="N4784"/>
  <c r="M4696"/>
  <c r="N4995"/>
  <c r="N5083" s="1"/>
  <c r="N5171" s="1"/>
  <c r="N5259" s="1"/>
  <c r="M4907"/>
  <c r="N5163"/>
  <c r="N5251" s="1"/>
  <c r="M5075"/>
  <c r="N4807"/>
  <c r="M4719"/>
  <c r="N4951"/>
  <c r="M4863"/>
  <c r="N5035"/>
  <c r="N5123" s="1"/>
  <c r="N5211" s="1"/>
  <c r="N5299" s="1"/>
  <c r="M4947"/>
  <c r="N5031"/>
  <c r="N5119" s="1"/>
  <c r="M4943"/>
  <c r="N4853"/>
  <c r="M4765"/>
  <c r="N4849"/>
  <c r="M4761"/>
  <c r="N4929"/>
  <c r="M4841"/>
  <c r="N4925"/>
  <c r="N5013" s="1"/>
  <c r="M4837"/>
  <c r="N4921"/>
  <c r="N5009" s="1"/>
  <c r="M4833"/>
  <c r="N4829"/>
  <c r="M4741"/>
  <c r="N5057"/>
  <c r="N5145" s="1"/>
  <c r="N5233" s="1"/>
  <c r="M4969"/>
  <c r="N5053"/>
  <c r="N5141" s="1"/>
  <c r="M4965"/>
  <c r="N4873"/>
  <c r="M4785"/>
  <c r="N4824"/>
  <c r="M4736"/>
  <c r="N4820"/>
  <c r="M4732"/>
  <c r="N4816"/>
  <c r="M4728"/>
  <c r="N4812"/>
  <c r="M4724"/>
  <c r="N4808"/>
  <c r="M4720"/>
  <c r="N4892"/>
  <c r="M4804"/>
  <c r="N4800"/>
  <c r="M4712"/>
  <c r="N4796"/>
  <c r="M4708"/>
  <c r="N3484"/>
  <c r="M3484" s="1"/>
  <c r="M3396"/>
  <c r="N3638"/>
  <c r="M3638" s="1"/>
  <c r="N2134"/>
  <c r="M2090"/>
  <c r="N2106"/>
  <c r="M2062"/>
  <c r="N2126"/>
  <c r="M2082"/>
  <c r="N2114"/>
  <c r="M2070"/>
  <c r="N2138"/>
  <c r="M2094"/>
  <c r="N2118"/>
  <c r="M2074"/>
  <c r="M2125"/>
  <c r="M2121"/>
  <c r="M2129"/>
  <c r="M2141"/>
  <c r="M2115"/>
  <c r="N2159"/>
  <c r="M2056"/>
  <c r="N2100"/>
  <c r="M2133"/>
  <c r="M2119"/>
  <c r="N2163"/>
  <c r="M2137"/>
  <c r="M2064"/>
  <c r="N2108"/>
  <c r="M2107"/>
  <c r="N2151"/>
  <c r="M2146"/>
  <c r="N2190"/>
  <c r="M2091"/>
  <c r="N2135"/>
  <c r="M2117"/>
  <c r="N2161"/>
  <c r="M2111"/>
  <c r="N2155"/>
  <c r="M2083"/>
  <c r="N2127"/>
  <c r="N2153"/>
  <c r="M2109"/>
  <c r="M2087"/>
  <c r="N2131"/>
  <c r="M2059"/>
  <c r="N2103"/>
  <c r="M2101"/>
  <c r="N2145"/>
  <c r="M2095"/>
  <c r="N2139"/>
  <c r="M2113"/>
  <c r="N2157"/>
  <c r="M2105"/>
  <c r="N2149"/>
  <c r="M2092"/>
  <c r="N2136"/>
  <c r="M2055"/>
  <c r="N2099"/>
  <c r="M2174"/>
  <c r="N2218"/>
  <c r="M2084"/>
  <c r="N2128"/>
  <c r="M2079"/>
  <c r="N2123"/>
  <c r="M2088"/>
  <c r="N2132"/>
  <c r="M2166"/>
  <c r="N2210"/>
  <c r="M2076"/>
  <c r="N2120"/>
  <c r="M2096"/>
  <c r="N2140"/>
  <c r="M2068"/>
  <c r="N2112"/>
  <c r="M2072"/>
  <c r="N2116"/>
  <c r="M2060"/>
  <c r="N2104"/>
  <c r="M2154"/>
  <c r="N2198"/>
  <c r="M2080"/>
  <c r="N2124"/>
  <c r="N3529"/>
  <c r="M3529" s="1"/>
  <c r="N2098"/>
  <c r="M2054"/>
  <c r="N3650"/>
  <c r="M3650" s="1"/>
  <c r="N3642"/>
  <c r="M3642" s="1"/>
  <c r="N3692"/>
  <c r="M3692" s="1"/>
  <c r="N3731"/>
  <c r="M3731" s="1"/>
  <c r="N3641"/>
  <c r="M3641" s="1"/>
  <c r="N3829"/>
  <c r="N3917" s="1"/>
  <c r="N3684"/>
  <c r="M3684" s="1"/>
  <c r="N3763"/>
  <c r="N3851" s="1"/>
  <c r="N3939" s="1"/>
  <c r="N3621"/>
  <c r="M3621" s="1"/>
  <c r="N3584"/>
  <c r="M3584" s="1"/>
  <c r="N3560"/>
  <c r="M3560" s="1"/>
  <c r="N3530"/>
  <c r="M3530" s="1"/>
  <c r="N3534"/>
  <c r="M3534" s="1"/>
  <c r="N3538"/>
  <c r="M3538" s="1"/>
  <c r="N3486"/>
  <c r="M3486" s="1"/>
  <c r="N3548"/>
  <c r="M3548" s="1"/>
  <c r="N3592"/>
  <c r="M3592" s="1"/>
  <c r="N3608"/>
  <c r="M3608" s="1"/>
  <c r="N3502"/>
  <c r="M3502" s="1"/>
  <c r="N3542"/>
  <c r="M3542" s="1"/>
  <c r="N3600"/>
  <c r="M3600" s="1"/>
  <c r="N3568"/>
  <c r="M3568" s="1"/>
  <c r="N3552"/>
  <c r="M3552" s="1"/>
  <c r="N3546"/>
  <c r="M3546" s="1"/>
  <c r="N3498"/>
  <c r="M3498" s="1"/>
  <c r="N3619"/>
  <c r="M3619" s="1"/>
  <c r="N3577"/>
  <c r="M3577" s="1"/>
  <c r="N3748"/>
  <c r="M3748" s="1"/>
  <c r="N3790"/>
  <c r="M3790" s="1"/>
  <c r="N3786"/>
  <c r="M3786" s="1"/>
  <c r="N3782"/>
  <c r="M3782" s="1"/>
  <c r="N3778"/>
  <c r="M3778" s="1"/>
  <c r="N3797"/>
  <c r="M3797" s="1"/>
  <c r="N3863"/>
  <c r="M3863" s="1"/>
  <c r="N3774"/>
  <c r="M3774" s="1"/>
  <c r="N3793"/>
  <c r="M3793" s="1"/>
  <c r="N3859"/>
  <c r="M3859" s="1"/>
  <c r="N3858"/>
  <c r="M3858" s="1"/>
  <c r="N3792"/>
  <c r="M3792" s="1"/>
  <c r="N3931"/>
  <c r="N3837"/>
  <c r="M3837" s="1"/>
  <c r="N3788"/>
  <c r="M3788" s="1"/>
  <c r="N3975"/>
  <c r="N3773"/>
  <c r="M3773" s="1"/>
  <c r="M3639" l="1"/>
  <c r="N3727"/>
  <c r="M3406"/>
  <c r="N3494"/>
  <c r="M3470"/>
  <c r="N3558"/>
  <c r="M3399"/>
  <c r="N3487"/>
  <c r="M3478"/>
  <c r="N3566"/>
  <c r="M3400"/>
  <c r="N3488"/>
  <c r="M3402"/>
  <c r="N3490"/>
  <c r="M3482"/>
  <c r="N3570"/>
  <c r="M3492"/>
  <c r="N3580"/>
  <c r="M3580" s="1"/>
  <c r="M3733"/>
  <c r="N3821"/>
  <c r="N3909" s="1"/>
  <c r="M3909" s="1"/>
  <c r="M3737"/>
  <c r="N3825"/>
  <c r="N3913" s="1"/>
  <c r="M3485"/>
  <c r="N3573"/>
  <c r="M3573" s="1"/>
  <c r="M3476"/>
  <c r="N3564"/>
  <c r="M3468"/>
  <c r="N3556"/>
  <c r="N4884"/>
  <c r="M4796"/>
  <c r="N4888"/>
  <c r="M4800"/>
  <c r="N4980"/>
  <c r="M4892"/>
  <c r="N4896"/>
  <c r="M4808"/>
  <c r="N4900"/>
  <c r="M4812"/>
  <c r="N4904"/>
  <c r="M4816"/>
  <c r="N4908"/>
  <c r="M4820"/>
  <c r="N4912"/>
  <c r="M4824"/>
  <c r="N4961"/>
  <c r="M4873"/>
  <c r="N5229"/>
  <c r="M5141"/>
  <c r="N4917"/>
  <c r="M4829"/>
  <c r="N5097"/>
  <c r="N5185" s="1"/>
  <c r="M5009"/>
  <c r="N5101"/>
  <c r="N5189" s="1"/>
  <c r="N5277" s="1"/>
  <c r="M5013"/>
  <c r="N5017"/>
  <c r="M4929"/>
  <c r="N4937"/>
  <c r="M4849"/>
  <c r="N4941"/>
  <c r="M4853"/>
  <c r="N5207"/>
  <c r="N5295" s="1"/>
  <c r="M5119"/>
  <c r="N5039"/>
  <c r="N5127" s="1"/>
  <c r="N5215" s="1"/>
  <c r="N5303" s="1"/>
  <c r="M4951"/>
  <c r="N4895"/>
  <c r="M4807"/>
  <c r="N4872"/>
  <c r="M4784"/>
  <c r="N4876"/>
  <c r="M4788"/>
  <c r="N4880"/>
  <c r="M4792"/>
  <c r="N4916"/>
  <c r="M4828"/>
  <c r="N4832"/>
  <c r="M4744"/>
  <c r="N4836"/>
  <c r="M4748"/>
  <c r="N4840"/>
  <c r="M4752"/>
  <c r="N4844"/>
  <c r="M4756"/>
  <c r="N4936"/>
  <c r="M4848"/>
  <c r="N4940"/>
  <c r="M4852"/>
  <c r="N4856"/>
  <c r="M4768"/>
  <c r="N4860"/>
  <c r="M4772"/>
  <c r="N4864"/>
  <c r="M4776"/>
  <c r="N4868"/>
  <c r="M4780"/>
  <c r="N4939"/>
  <c r="M4851"/>
  <c r="N4882"/>
  <c r="M4794"/>
  <c r="N4886"/>
  <c r="M4798"/>
  <c r="N4890"/>
  <c r="M4802"/>
  <c r="N4894"/>
  <c r="M4806"/>
  <c r="N4898"/>
  <c r="M4810"/>
  <c r="N4902"/>
  <c r="M4814"/>
  <c r="N4906"/>
  <c r="M4818"/>
  <c r="N4910"/>
  <c r="M4822"/>
  <c r="N4959"/>
  <c r="M4871"/>
  <c r="N4963"/>
  <c r="M4875"/>
  <c r="N5003"/>
  <c r="M4915"/>
  <c r="N5007"/>
  <c r="M4919"/>
  <c r="N5061"/>
  <c r="N5149" s="1"/>
  <c r="N5237" s="1"/>
  <c r="M4973"/>
  <c r="N4981"/>
  <c r="M4893"/>
  <c r="N4985"/>
  <c r="M4897"/>
  <c r="N4962"/>
  <c r="M4874"/>
  <c r="N4878"/>
  <c r="M4790"/>
  <c r="N4958"/>
  <c r="M4870"/>
  <c r="N4918"/>
  <c r="M4830"/>
  <c r="N4834"/>
  <c r="M4746"/>
  <c r="N4838"/>
  <c r="M4750"/>
  <c r="N4842"/>
  <c r="M4754"/>
  <c r="N4934"/>
  <c r="M4846"/>
  <c r="N4850"/>
  <c r="M4762"/>
  <c r="N4854"/>
  <c r="M4766"/>
  <c r="N4858"/>
  <c r="M4770"/>
  <c r="N4862"/>
  <c r="M4774"/>
  <c r="N4866"/>
  <c r="M4778"/>
  <c r="N5002"/>
  <c r="M4914"/>
  <c r="N3726"/>
  <c r="M3726" s="1"/>
  <c r="M2134"/>
  <c r="N2162"/>
  <c r="M2118"/>
  <c r="N2158"/>
  <c r="M2114"/>
  <c r="N2150"/>
  <c r="M2106"/>
  <c r="M2138"/>
  <c r="M2126"/>
  <c r="N2217"/>
  <c r="M2173"/>
  <c r="M2124"/>
  <c r="M2104"/>
  <c r="N2148"/>
  <c r="M2116"/>
  <c r="N2160"/>
  <c r="M2112"/>
  <c r="N2156"/>
  <c r="M2140"/>
  <c r="M2120"/>
  <c r="M2132"/>
  <c r="M2128"/>
  <c r="M2099"/>
  <c r="N2143"/>
  <c r="N2201"/>
  <c r="M2157"/>
  <c r="M2145"/>
  <c r="N2189"/>
  <c r="M2131"/>
  <c r="M2127"/>
  <c r="N2205"/>
  <c r="M2161"/>
  <c r="M2190"/>
  <c r="N2234"/>
  <c r="M2108"/>
  <c r="N2152"/>
  <c r="M2163"/>
  <c r="N2207"/>
  <c r="M2100"/>
  <c r="N2144"/>
  <c r="M2159"/>
  <c r="N2203"/>
  <c r="N2213"/>
  <c r="M2169"/>
  <c r="N2197"/>
  <c r="M2153"/>
  <c r="M2198"/>
  <c r="N2242"/>
  <c r="M2210"/>
  <c r="M2123"/>
  <c r="M2218"/>
  <c r="M2136"/>
  <c r="N2193"/>
  <c r="M2149"/>
  <c r="M2139"/>
  <c r="M2103"/>
  <c r="N2147"/>
  <c r="M2155"/>
  <c r="N2199"/>
  <c r="M2135"/>
  <c r="M2151"/>
  <c r="N2195"/>
  <c r="N2225"/>
  <c r="M2181"/>
  <c r="M2177"/>
  <c r="N2221"/>
  <c r="M2185"/>
  <c r="N2209"/>
  <c r="M2165"/>
  <c r="N3500"/>
  <c r="M3500" s="1"/>
  <c r="N3572"/>
  <c r="M3572" s="1"/>
  <c r="N3617"/>
  <c r="M3617" s="1"/>
  <c r="N2142"/>
  <c r="M2098"/>
  <c r="N3634"/>
  <c r="M3634" s="1"/>
  <c r="N3622"/>
  <c r="M3622" s="1"/>
  <c r="N3618"/>
  <c r="M3618" s="1"/>
  <c r="N3729"/>
  <c r="M3729" s="1"/>
  <c r="N3819"/>
  <c r="M3819" s="1"/>
  <c r="N3780"/>
  <c r="M3780" s="1"/>
  <c r="N3730"/>
  <c r="M3730" s="1"/>
  <c r="N3738"/>
  <c r="M3738" s="1"/>
  <c r="N3688"/>
  <c r="M3688" s="1"/>
  <c r="N3696"/>
  <c r="M3696" s="1"/>
  <c r="N3640"/>
  <c r="M3640" s="1"/>
  <c r="N3636"/>
  <c r="M3636" s="1"/>
  <c r="N3626"/>
  <c r="M3626" s="1"/>
  <c r="N3648"/>
  <c r="M3648" s="1"/>
  <c r="N3656"/>
  <c r="M3656" s="1"/>
  <c r="N3630"/>
  <c r="M3630" s="1"/>
  <c r="N3772"/>
  <c r="M3772" s="1"/>
  <c r="N3753"/>
  <c r="M3753" s="1"/>
  <c r="N3586"/>
  <c r="M3586" s="1"/>
  <c r="N3590"/>
  <c r="M3590" s="1"/>
  <c r="N3574"/>
  <c r="M3574" s="1"/>
  <c r="N3795"/>
  <c r="M3795" s="1"/>
  <c r="N3861"/>
  <c r="M3861" s="1"/>
  <c r="N3810"/>
  <c r="M3810" s="1"/>
  <c r="N3876"/>
  <c r="M3876" s="1"/>
  <c r="N3925"/>
  <c r="M3925" s="1"/>
  <c r="N3880"/>
  <c r="M3880" s="1"/>
  <c r="N3946"/>
  <c r="M3946" s="1"/>
  <c r="N3947"/>
  <c r="M3947" s="1"/>
  <c r="N3881"/>
  <c r="M3881" s="1"/>
  <c r="N3862"/>
  <c r="N3950" s="1"/>
  <c r="M3950" s="1"/>
  <c r="N3796"/>
  <c r="N3884" s="1"/>
  <c r="M3884" s="1"/>
  <c r="N3951"/>
  <c r="M3951" s="1"/>
  <c r="N3885"/>
  <c r="M3885" s="1"/>
  <c r="N3866"/>
  <c r="M3866" s="1"/>
  <c r="N3800"/>
  <c r="M3800" s="1"/>
  <c r="N3870"/>
  <c r="M3870" s="1"/>
  <c r="N3804"/>
  <c r="M3804" s="1"/>
  <c r="N3874"/>
  <c r="M3874" s="1"/>
  <c r="N3808"/>
  <c r="M3808" s="1"/>
  <c r="N3878"/>
  <c r="M3878" s="1"/>
  <c r="N3812"/>
  <c r="M3812" s="1"/>
  <c r="N3836"/>
  <c r="M3836" s="1"/>
  <c r="M3556" l="1"/>
  <c r="N3644"/>
  <c r="M3564"/>
  <c r="N3652"/>
  <c r="M3490"/>
  <c r="N3578"/>
  <c r="M3578" s="1"/>
  <c r="M3566"/>
  <c r="N3654"/>
  <c r="M3558"/>
  <c r="N3646"/>
  <c r="M3727"/>
  <c r="N3815"/>
  <c r="M3570"/>
  <c r="N3658"/>
  <c r="M3488"/>
  <c r="N3576"/>
  <c r="M3576" s="1"/>
  <c r="M3487"/>
  <c r="N3575"/>
  <c r="M3575" s="1"/>
  <c r="M3494"/>
  <c r="N3582"/>
  <c r="M3582" s="1"/>
  <c r="N5090"/>
  <c r="M5002"/>
  <c r="N4954"/>
  <c r="M4866"/>
  <c r="N4950"/>
  <c r="M4862"/>
  <c r="N4946"/>
  <c r="M4858"/>
  <c r="N4942"/>
  <c r="M4854"/>
  <c r="N4938"/>
  <c r="M4850"/>
  <c r="N5022"/>
  <c r="M4934"/>
  <c r="N4930"/>
  <c r="M4842"/>
  <c r="N4926"/>
  <c r="M4838"/>
  <c r="N4922"/>
  <c r="M4834"/>
  <c r="N5006"/>
  <c r="M4918"/>
  <c r="N5046"/>
  <c r="M4958"/>
  <c r="N4966"/>
  <c r="M4878"/>
  <c r="N5050"/>
  <c r="N5138" s="1"/>
  <c r="M4962"/>
  <c r="N5073"/>
  <c r="M4985"/>
  <c r="N5069"/>
  <c r="M4981"/>
  <c r="N5095"/>
  <c r="M5007"/>
  <c r="N5091"/>
  <c r="M5003"/>
  <c r="N5051"/>
  <c r="M4963"/>
  <c r="N5047"/>
  <c r="M4959"/>
  <c r="N4998"/>
  <c r="M4910"/>
  <c r="N4994"/>
  <c r="M4906"/>
  <c r="N4990"/>
  <c r="M4902"/>
  <c r="N4986"/>
  <c r="M4898"/>
  <c r="N4982"/>
  <c r="M4894"/>
  <c r="N4978"/>
  <c r="M4890"/>
  <c r="N4974"/>
  <c r="M4886"/>
  <c r="N4970"/>
  <c r="M4882"/>
  <c r="N5027"/>
  <c r="M4939"/>
  <c r="N4956"/>
  <c r="M4868"/>
  <c r="N4952"/>
  <c r="M4864"/>
  <c r="N4948"/>
  <c r="M4860"/>
  <c r="N4944"/>
  <c r="M4856"/>
  <c r="N5028"/>
  <c r="N5116" s="1"/>
  <c r="M4940"/>
  <c r="N5024"/>
  <c r="M4936"/>
  <c r="N4932"/>
  <c r="M4844"/>
  <c r="N4928"/>
  <c r="M4840"/>
  <c r="N4924"/>
  <c r="M4836"/>
  <c r="N4920"/>
  <c r="M4832"/>
  <c r="N5004"/>
  <c r="M4916"/>
  <c r="N4968"/>
  <c r="M4880"/>
  <c r="N4964"/>
  <c r="M4876"/>
  <c r="N4960"/>
  <c r="M4872"/>
  <c r="N4983"/>
  <c r="M4895"/>
  <c r="N5029"/>
  <c r="M4941"/>
  <c r="N5025"/>
  <c r="M4937"/>
  <c r="N5105"/>
  <c r="N5193" s="1"/>
  <c r="N5281" s="1"/>
  <c r="M5017"/>
  <c r="N5273"/>
  <c r="M5185"/>
  <c r="N5005"/>
  <c r="M4917"/>
  <c r="N5049"/>
  <c r="M4961"/>
  <c r="N5000"/>
  <c r="M4912"/>
  <c r="N4996"/>
  <c r="M4908"/>
  <c r="N4992"/>
  <c r="M4904"/>
  <c r="N4988"/>
  <c r="M4900"/>
  <c r="N4984"/>
  <c r="N5072" s="1"/>
  <c r="M4896"/>
  <c r="N5068"/>
  <c r="M4980"/>
  <c r="N4976"/>
  <c r="M4888"/>
  <c r="N4972"/>
  <c r="M4884"/>
  <c r="N3814"/>
  <c r="M3814" s="1"/>
  <c r="N2222"/>
  <c r="M2178"/>
  <c r="N2214"/>
  <c r="M2170"/>
  <c r="N2194"/>
  <c r="M2150"/>
  <c r="N2206"/>
  <c r="M2162"/>
  <c r="N2226"/>
  <c r="M2182"/>
  <c r="N2202"/>
  <c r="M2158"/>
  <c r="M2209"/>
  <c r="M2225"/>
  <c r="N2313"/>
  <c r="M2193"/>
  <c r="N2237"/>
  <c r="M2197"/>
  <c r="N2241"/>
  <c r="M2217"/>
  <c r="N2305"/>
  <c r="M2179"/>
  <c r="N2223"/>
  <c r="M2147"/>
  <c r="N2191"/>
  <c r="M2262"/>
  <c r="N2306"/>
  <c r="M2306" s="1"/>
  <c r="M2254"/>
  <c r="N2298"/>
  <c r="M2298" s="1"/>
  <c r="M2203"/>
  <c r="N2247"/>
  <c r="M2207"/>
  <c r="N2251"/>
  <c r="M2234"/>
  <c r="N2278"/>
  <c r="M2278" s="1"/>
  <c r="M2171"/>
  <c r="N2215"/>
  <c r="M2189"/>
  <c r="N2233"/>
  <c r="M2172"/>
  <c r="N2216"/>
  <c r="M2164"/>
  <c r="N2208"/>
  <c r="M2156"/>
  <c r="N2200"/>
  <c r="M2148"/>
  <c r="N2192"/>
  <c r="M2229"/>
  <c r="M2213"/>
  <c r="M2205"/>
  <c r="N2249"/>
  <c r="M2201"/>
  <c r="N2245"/>
  <c r="M2221"/>
  <c r="N2309"/>
  <c r="M2195"/>
  <c r="N2239"/>
  <c r="M2199"/>
  <c r="N2243"/>
  <c r="M2183"/>
  <c r="N2227"/>
  <c r="M2180"/>
  <c r="N2224"/>
  <c r="M2167"/>
  <c r="N2211"/>
  <c r="M2242"/>
  <c r="N2286"/>
  <c r="M2286" s="1"/>
  <c r="M2144"/>
  <c r="N2188"/>
  <c r="M2152"/>
  <c r="N2196"/>
  <c r="M2175"/>
  <c r="N2219"/>
  <c r="M2143"/>
  <c r="N2187"/>
  <c r="M2176"/>
  <c r="N2220"/>
  <c r="M2184"/>
  <c r="N2228"/>
  <c r="M2160"/>
  <c r="N2204"/>
  <c r="M2168"/>
  <c r="N2212"/>
  <c r="N3588"/>
  <c r="M3588" s="1"/>
  <c r="N2186"/>
  <c r="M2142"/>
  <c r="N3860"/>
  <c r="M3860" s="1"/>
  <c r="N3744"/>
  <c r="M3744" s="1"/>
  <c r="N3736"/>
  <c r="M3736" s="1"/>
  <c r="N3754"/>
  <c r="M3754" s="1"/>
  <c r="N3776"/>
  <c r="M3776" s="1"/>
  <c r="N3752"/>
  <c r="N3840" s="1"/>
  <c r="M3840" s="1"/>
  <c r="N3802"/>
  <c r="M3802" s="1"/>
  <c r="N3762"/>
  <c r="M3762" s="1"/>
  <c r="N3794"/>
  <c r="M3794" s="1"/>
  <c r="N3768"/>
  <c r="M3768" s="1"/>
  <c r="N3760"/>
  <c r="M3760" s="1"/>
  <c r="N3907"/>
  <c r="M3907" s="1"/>
  <c r="N3841"/>
  <c r="M3841" s="1"/>
  <c r="N3756"/>
  <c r="M3756" s="1"/>
  <c r="N3784"/>
  <c r="M3784" s="1"/>
  <c r="N3826"/>
  <c r="M3826" s="1"/>
  <c r="N3818"/>
  <c r="N3906" s="1"/>
  <c r="M3906" s="1"/>
  <c r="N3817"/>
  <c r="M3817" s="1"/>
  <c r="N3764"/>
  <c r="M3764" s="1"/>
  <c r="N3728"/>
  <c r="M3728" s="1"/>
  <c r="N3868"/>
  <c r="M3868" s="1"/>
  <c r="N3751"/>
  <c r="M3751" s="1"/>
  <c r="N3924"/>
  <c r="M3924" s="1"/>
  <c r="N3900"/>
  <c r="M3900" s="1"/>
  <c r="N3966"/>
  <c r="M3966" s="1"/>
  <c r="N3896"/>
  <c r="M3896" s="1"/>
  <c r="N3962"/>
  <c r="M3962" s="1"/>
  <c r="N3892"/>
  <c r="M3892" s="1"/>
  <c r="N3958"/>
  <c r="M3958" s="1"/>
  <c r="N3888"/>
  <c r="M3888" s="1"/>
  <c r="N3954"/>
  <c r="M3954" s="1"/>
  <c r="N3973"/>
  <c r="M3973" s="1"/>
  <c r="N3972"/>
  <c r="M3972" s="1"/>
  <c r="N3969"/>
  <c r="M3969" s="1"/>
  <c r="N3968"/>
  <c r="M3968" s="1"/>
  <c r="N3964"/>
  <c r="M3964" s="1"/>
  <c r="N3898"/>
  <c r="M3898" s="1"/>
  <c r="N3949"/>
  <c r="M3949" s="1"/>
  <c r="N3883"/>
  <c r="M3883" s="1"/>
  <c r="M3658" l="1"/>
  <c r="N3746"/>
  <c r="M3646"/>
  <c r="N3734"/>
  <c r="M3644"/>
  <c r="N3732"/>
  <c r="M3815"/>
  <c r="N3903"/>
  <c r="M3903" s="1"/>
  <c r="M3654"/>
  <c r="N3742"/>
  <c r="M3652"/>
  <c r="N3740"/>
  <c r="N5060"/>
  <c r="M4972"/>
  <c r="N5064"/>
  <c r="M4976"/>
  <c r="N5156"/>
  <c r="M5068"/>
  <c r="N5160"/>
  <c r="M5072"/>
  <c r="N5076"/>
  <c r="M4988"/>
  <c r="N5080"/>
  <c r="M4992"/>
  <c r="N5084"/>
  <c r="M4996"/>
  <c r="N5088"/>
  <c r="M5000"/>
  <c r="N5137"/>
  <c r="M5049"/>
  <c r="N5093"/>
  <c r="M5005"/>
  <c r="N5113"/>
  <c r="M5025"/>
  <c r="N5117"/>
  <c r="M5029"/>
  <c r="N5071"/>
  <c r="M4983"/>
  <c r="N5048"/>
  <c r="M4960"/>
  <c r="N5052"/>
  <c r="M4964"/>
  <c r="N5056"/>
  <c r="M4968"/>
  <c r="N5092"/>
  <c r="M5004"/>
  <c r="N5008"/>
  <c r="M4920"/>
  <c r="N5012"/>
  <c r="M4924"/>
  <c r="N5016"/>
  <c r="M4928"/>
  <c r="N5020"/>
  <c r="M4932"/>
  <c r="N5112"/>
  <c r="M5024"/>
  <c r="N5204"/>
  <c r="M5116"/>
  <c r="N5032"/>
  <c r="M4944"/>
  <c r="N5036"/>
  <c r="M4948"/>
  <c r="N5040"/>
  <c r="M4952"/>
  <c r="N5044"/>
  <c r="M4956"/>
  <c r="N5115"/>
  <c r="M5027"/>
  <c r="N5058"/>
  <c r="M4970"/>
  <c r="N5062"/>
  <c r="M4974"/>
  <c r="N5066"/>
  <c r="M4978"/>
  <c r="N5070"/>
  <c r="M4982"/>
  <c r="N5074"/>
  <c r="M4986"/>
  <c r="N5078"/>
  <c r="M4990"/>
  <c r="N5082"/>
  <c r="M4994"/>
  <c r="N5086"/>
  <c r="M4998"/>
  <c r="N5135"/>
  <c r="M5047"/>
  <c r="N5139"/>
  <c r="M5051"/>
  <c r="N5179"/>
  <c r="M5091"/>
  <c r="N5183"/>
  <c r="M5095"/>
  <c r="N5157"/>
  <c r="M5069"/>
  <c r="N5161"/>
  <c r="M5073"/>
  <c r="N5226"/>
  <c r="M5226" s="1"/>
  <c r="M5138"/>
  <c r="N5054"/>
  <c r="M4966"/>
  <c r="N5134"/>
  <c r="M5046"/>
  <c r="N5094"/>
  <c r="N5182" s="1"/>
  <c r="M5006"/>
  <c r="N5010"/>
  <c r="M4922"/>
  <c r="N5014"/>
  <c r="M4926"/>
  <c r="N5018"/>
  <c r="M4930"/>
  <c r="N5110"/>
  <c r="M5022"/>
  <c r="N5026"/>
  <c r="M4938"/>
  <c r="N5030"/>
  <c r="M4942"/>
  <c r="N5034"/>
  <c r="M4946"/>
  <c r="N5038"/>
  <c r="M4950"/>
  <c r="N5042"/>
  <c r="M4954"/>
  <c r="N5178"/>
  <c r="M5090"/>
  <c r="N3902"/>
  <c r="M3902" s="1"/>
  <c r="M2222"/>
  <c r="N2246"/>
  <c r="M2202"/>
  <c r="N2250"/>
  <c r="M2206"/>
  <c r="M2214"/>
  <c r="M2226"/>
  <c r="N2238"/>
  <c r="M2194"/>
  <c r="M2212"/>
  <c r="M2228"/>
  <c r="M2187"/>
  <c r="N2231"/>
  <c r="M2196"/>
  <c r="N2240"/>
  <c r="M2224"/>
  <c r="M2243"/>
  <c r="N2287"/>
  <c r="M2287" s="1"/>
  <c r="M2249"/>
  <c r="N2293"/>
  <c r="M2293" s="1"/>
  <c r="M2273"/>
  <c r="N2317"/>
  <c r="M2317" s="1"/>
  <c r="M2200"/>
  <c r="N2244"/>
  <c r="M2216"/>
  <c r="M2233"/>
  <c r="N2277"/>
  <c r="M2277" s="1"/>
  <c r="M2247"/>
  <c r="N2291"/>
  <c r="M2291" s="1"/>
  <c r="M2223"/>
  <c r="N2311"/>
  <c r="M2237"/>
  <c r="N2281"/>
  <c r="M2281" s="1"/>
  <c r="N2297"/>
  <c r="M2297" s="1"/>
  <c r="M2253"/>
  <c r="M2204"/>
  <c r="N2248"/>
  <c r="M2220"/>
  <c r="M2219"/>
  <c r="N2307"/>
  <c r="M2188"/>
  <c r="N2232"/>
  <c r="M2211"/>
  <c r="M2227"/>
  <c r="M2239"/>
  <c r="N2283"/>
  <c r="M2283" s="1"/>
  <c r="N2289"/>
  <c r="M2289" s="1"/>
  <c r="M2245"/>
  <c r="M2257"/>
  <c r="N2301"/>
  <c r="M2301" s="1"/>
  <c r="M2192"/>
  <c r="N2236"/>
  <c r="M2208"/>
  <c r="M2215"/>
  <c r="N2303"/>
  <c r="M2251"/>
  <c r="N2295"/>
  <c r="M2295" s="1"/>
  <c r="M2191"/>
  <c r="N2235"/>
  <c r="N2285"/>
  <c r="M2285" s="1"/>
  <c r="M2241"/>
  <c r="N2230"/>
  <c r="M2186"/>
  <c r="N3956"/>
  <c r="M3956" s="1"/>
  <c r="N3929"/>
  <c r="M3929" s="1"/>
  <c r="N3848"/>
  <c r="M3848" s="1"/>
  <c r="N3850"/>
  <c r="M3850" s="1"/>
  <c r="N3798"/>
  <c r="M3798" s="1"/>
  <c r="N3766"/>
  <c r="M3766" s="1"/>
  <c r="N3905"/>
  <c r="M3905" s="1"/>
  <c r="N3914"/>
  <c r="M3914" s="1"/>
  <c r="N3844"/>
  <c r="M3844" s="1"/>
  <c r="N3882"/>
  <c r="M3882" s="1"/>
  <c r="N3824"/>
  <c r="M3824" s="1"/>
  <c r="N3839"/>
  <c r="M3839" s="1"/>
  <c r="N3816"/>
  <c r="M3816" s="1"/>
  <c r="N3872"/>
  <c r="M3872" s="1"/>
  <c r="N3856"/>
  <c r="M3856" s="1"/>
  <c r="N3890"/>
  <c r="M3890" s="1"/>
  <c r="N3864"/>
  <c r="M3864" s="1"/>
  <c r="N3832"/>
  <c r="M3832" s="1"/>
  <c r="N3948"/>
  <c r="M3948" s="1"/>
  <c r="N3750"/>
  <c r="M3750" s="1"/>
  <c r="N3852"/>
  <c r="M3852" s="1"/>
  <c r="N3806"/>
  <c r="M3806" s="1"/>
  <c r="N3928"/>
  <c r="M3928" s="1"/>
  <c r="N3842"/>
  <c r="M3842" s="1"/>
  <c r="N3758"/>
  <c r="M3758" s="1"/>
  <c r="N3971"/>
  <c r="M3971" s="1"/>
  <c r="N3986"/>
  <c r="M3986" s="1"/>
  <c r="N3976"/>
  <c r="M3976" s="1"/>
  <c r="N3980"/>
  <c r="M3980" s="1"/>
  <c r="N3984"/>
  <c r="M3984" s="1"/>
  <c r="N3988"/>
  <c r="M3988" s="1"/>
  <c r="M3742" l="1"/>
  <c r="N3830"/>
  <c r="M3732"/>
  <c r="N3820"/>
  <c r="M3746"/>
  <c r="N3834"/>
  <c r="M3740"/>
  <c r="N3828"/>
  <c r="M3734"/>
  <c r="N3822"/>
  <c r="N5266"/>
  <c r="M5266" s="1"/>
  <c r="M5178"/>
  <c r="N5130"/>
  <c r="M5042"/>
  <c r="N5126"/>
  <c r="M5038"/>
  <c r="N5122"/>
  <c r="M5034"/>
  <c r="N5118"/>
  <c r="M5030"/>
  <c r="N5114"/>
  <c r="M5026"/>
  <c r="N5198"/>
  <c r="M5110"/>
  <c r="N5106"/>
  <c r="M5018"/>
  <c r="N5102"/>
  <c r="M5014"/>
  <c r="N5098"/>
  <c r="M5010"/>
  <c r="N5270"/>
  <c r="M5270" s="1"/>
  <c r="M5182"/>
  <c r="N5222"/>
  <c r="M5222" s="1"/>
  <c r="M5134"/>
  <c r="N5142"/>
  <c r="M5054"/>
  <c r="N5249"/>
  <c r="M5249" s="1"/>
  <c r="M5161"/>
  <c r="N5245"/>
  <c r="M5245" s="1"/>
  <c r="M5157"/>
  <c r="N5271"/>
  <c r="M5271" s="1"/>
  <c r="M5183"/>
  <c r="N5267"/>
  <c r="M5267" s="1"/>
  <c r="M5179"/>
  <c r="N5227"/>
  <c r="M5227" s="1"/>
  <c r="M5139"/>
  <c r="N5223"/>
  <c r="M5223" s="1"/>
  <c r="M5135"/>
  <c r="N5174"/>
  <c r="M5086"/>
  <c r="N5170"/>
  <c r="M5082"/>
  <c r="N5166"/>
  <c r="M5078"/>
  <c r="N5162"/>
  <c r="M5074"/>
  <c r="N5158"/>
  <c r="M5070"/>
  <c r="N5154"/>
  <c r="M5066"/>
  <c r="N5150"/>
  <c r="M5062"/>
  <c r="N5146"/>
  <c r="M5058"/>
  <c r="N5203"/>
  <c r="M5115"/>
  <c r="N5132"/>
  <c r="M5044"/>
  <c r="N5128"/>
  <c r="M5040"/>
  <c r="N5124"/>
  <c r="M5036"/>
  <c r="N5120"/>
  <c r="M5032"/>
  <c r="N5292"/>
  <c r="M5292" s="1"/>
  <c r="M5204"/>
  <c r="N5200"/>
  <c r="M5112"/>
  <c r="N5108"/>
  <c r="M5020"/>
  <c r="N5104"/>
  <c r="M5016"/>
  <c r="N5100"/>
  <c r="M5012"/>
  <c r="N5096"/>
  <c r="M5008"/>
  <c r="N5180"/>
  <c r="M5092"/>
  <c r="N5144"/>
  <c r="M5056"/>
  <c r="N5140"/>
  <c r="M5052"/>
  <c r="N5136"/>
  <c r="M5048"/>
  <c r="N5159"/>
  <c r="M5071"/>
  <c r="N5205"/>
  <c r="M5117"/>
  <c r="N5201"/>
  <c r="M5113"/>
  <c r="N5181"/>
  <c r="M5093"/>
  <c r="N5225"/>
  <c r="M5225" s="1"/>
  <c r="M5137"/>
  <c r="N5176"/>
  <c r="M5088"/>
  <c r="N5172"/>
  <c r="M5084"/>
  <c r="N5168"/>
  <c r="M5080"/>
  <c r="N5164"/>
  <c r="M5076"/>
  <c r="N5248"/>
  <c r="M5248" s="1"/>
  <c r="M5160"/>
  <c r="N5244"/>
  <c r="M5244" s="1"/>
  <c r="M5156"/>
  <c r="N5152"/>
  <c r="M5064"/>
  <c r="N5148"/>
  <c r="M5060"/>
  <c r="N2310"/>
  <c r="M2310" s="1"/>
  <c r="M2266"/>
  <c r="N2282"/>
  <c r="M2282" s="1"/>
  <c r="M2238"/>
  <c r="N2302"/>
  <c r="M2302" s="1"/>
  <c r="M2258"/>
  <c r="N2290"/>
  <c r="M2290" s="1"/>
  <c r="M2246"/>
  <c r="N2314"/>
  <c r="M2314" s="1"/>
  <c r="M2270"/>
  <c r="N2294"/>
  <c r="M2294" s="1"/>
  <c r="M2250"/>
  <c r="M2235"/>
  <c r="N2279"/>
  <c r="M2279" s="1"/>
  <c r="M2236"/>
  <c r="N2280"/>
  <c r="M2280" s="1"/>
  <c r="M2271"/>
  <c r="N2315"/>
  <c r="M2315" s="1"/>
  <c r="M2232"/>
  <c r="N2276"/>
  <c r="M2276" s="1"/>
  <c r="M2264"/>
  <c r="N2308"/>
  <c r="M2308" s="1"/>
  <c r="M2244"/>
  <c r="N2288"/>
  <c r="M2288" s="1"/>
  <c r="M2268"/>
  <c r="N2312"/>
  <c r="M2312" s="1"/>
  <c r="M2231"/>
  <c r="N2275"/>
  <c r="M2275" s="1"/>
  <c r="M2256"/>
  <c r="N2300"/>
  <c r="M2300" s="1"/>
  <c r="M2252"/>
  <c r="N2296"/>
  <c r="M2296" s="1"/>
  <c r="M2255"/>
  <c r="N2299"/>
  <c r="M2299" s="1"/>
  <c r="M2248"/>
  <c r="N2292"/>
  <c r="M2292" s="1"/>
  <c r="M2260"/>
  <c r="N2304"/>
  <c r="M2304" s="1"/>
  <c r="M2240"/>
  <c r="N2284"/>
  <c r="M2284" s="1"/>
  <c r="M2272"/>
  <c r="N2316"/>
  <c r="M2316" s="1"/>
  <c r="N2274"/>
  <c r="M2274" s="1"/>
  <c r="M2230"/>
  <c r="N3940"/>
  <c r="M3940" s="1"/>
  <c r="N3952"/>
  <c r="M3952" s="1"/>
  <c r="N3944"/>
  <c r="M3944" s="1"/>
  <c r="N3904"/>
  <c r="M3904" s="1"/>
  <c r="N3936"/>
  <c r="M3936" s="1"/>
  <c r="N3930"/>
  <c r="M3930" s="1"/>
  <c r="N3927"/>
  <c r="M3927" s="1"/>
  <c r="N3970"/>
  <c r="M3970" s="1"/>
  <c r="N3854"/>
  <c r="M3854" s="1"/>
  <c r="N3938"/>
  <c r="M3938" s="1"/>
  <c r="N3838"/>
  <c r="M3838" s="1"/>
  <c r="N3920"/>
  <c r="M3920" s="1"/>
  <c r="N3912"/>
  <c r="M3912" s="1"/>
  <c r="N3932"/>
  <c r="M3932" s="1"/>
  <c r="N3886"/>
  <c r="M3886" s="1"/>
  <c r="N3846"/>
  <c r="M3846" s="1"/>
  <c r="N3894"/>
  <c r="M3894" s="1"/>
  <c r="N3978"/>
  <c r="M3978" s="1"/>
  <c r="N3960"/>
  <c r="M3960" s="1"/>
  <c r="M3822" l="1"/>
  <c r="N3910"/>
  <c r="M3910" s="1"/>
  <c r="M3834"/>
  <c r="N3922"/>
  <c r="M3922" s="1"/>
  <c r="M3830"/>
  <c r="N3918"/>
  <c r="M3918" s="1"/>
  <c r="M3828"/>
  <c r="N3916"/>
  <c r="M3916" s="1"/>
  <c r="M3820"/>
  <c r="N3908"/>
  <c r="M3908" s="1"/>
  <c r="N5236"/>
  <c r="M5236" s="1"/>
  <c r="M5148"/>
  <c r="N5240"/>
  <c r="M5240" s="1"/>
  <c r="M5152"/>
  <c r="N5252"/>
  <c r="M5252" s="1"/>
  <c r="M5164"/>
  <c r="N5256"/>
  <c r="M5256" s="1"/>
  <c r="M5168"/>
  <c r="N5260"/>
  <c r="M5260" s="1"/>
  <c r="M5172"/>
  <c r="N5264"/>
  <c r="M5264" s="1"/>
  <c r="M5176"/>
  <c r="N5269"/>
  <c r="M5269" s="1"/>
  <c r="M5181"/>
  <c r="N5289"/>
  <c r="M5289" s="1"/>
  <c r="M5201"/>
  <c r="N5293"/>
  <c r="M5293" s="1"/>
  <c r="M5205"/>
  <c r="N5247"/>
  <c r="M5247" s="1"/>
  <c r="M5159"/>
  <c r="N5224"/>
  <c r="M5224" s="1"/>
  <c r="M5136"/>
  <c r="N5228"/>
  <c r="M5228" s="1"/>
  <c r="M5140"/>
  <c r="N5232"/>
  <c r="M5232" s="1"/>
  <c r="M5144"/>
  <c r="N5268"/>
  <c r="M5268" s="1"/>
  <c r="M5180"/>
  <c r="N5184"/>
  <c r="M5096"/>
  <c r="N5188"/>
  <c r="M5100"/>
  <c r="N5192"/>
  <c r="M5104"/>
  <c r="N5196"/>
  <c r="M5108"/>
  <c r="N5288"/>
  <c r="M5288" s="1"/>
  <c r="M5200"/>
  <c r="N5208"/>
  <c r="M5120"/>
  <c r="N5212"/>
  <c r="M5124"/>
  <c r="N5216"/>
  <c r="M5128"/>
  <c r="N5220"/>
  <c r="M5132"/>
  <c r="N5291"/>
  <c r="M5291" s="1"/>
  <c r="M5203"/>
  <c r="N5234"/>
  <c r="M5234" s="1"/>
  <c r="M5146"/>
  <c r="N5238"/>
  <c r="M5238" s="1"/>
  <c r="M5150"/>
  <c r="N5242"/>
  <c r="M5242" s="1"/>
  <c r="M5154"/>
  <c r="N5246"/>
  <c r="M5246" s="1"/>
  <c r="M5158"/>
  <c r="N5250"/>
  <c r="M5250" s="1"/>
  <c r="M5162"/>
  <c r="N5254"/>
  <c r="M5254" s="1"/>
  <c r="M5166"/>
  <c r="N5258"/>
  <c r="M5258" s="1"/>
  <c r="M5170"/>
  <c r="N5262"/>
  <c r="M5262" s="1"/>
  <c r="M5174"/>
  <c r="N5230"/>
  <c r="M5230" s="1"/>
  <c r="M5142"/>
  <c r="N5186"/>
  <c r="M5098"/>
  <c r="N5190"/>
  <c r="M5102"/>
  <c r="N5194"/>
  <c r="M5106"/>
  <c r="N5286"/>
  <c r="M5286" s="1"/>
  <c r="M5198"/>
  <c r="N5202"/>
  <c r="M5114"/>
  <c r="N5206"/>
  <c r="M5118"/>
  <c r="N5210"/>
  <c r="M5122"/>
  <c r="N5214"/>
  <c r="M5126"/>
  <c r="N5218"/>
  <c r="M5130"/>
  <c r="N3974"/>
  <c r="M3974" s="1"/>
  <c r="N3926"/>
  <c r="M3926" s="1"/>
  <c r="N3942"/>
  <c r="M3942" s="1"/>
  <c r="N3982"/>
  <c r="M3982" s="1"/>
  <c r="N3934"/>
  <c r="M3934" s="1"/>
  <c r="N5306" l="1"/>
  <c r="M5306" s="1"/>
  <c r="M5218"/>
  <c r="N5302"/>
  <c r="M5302" s="1"/>
  <c r="M5214"/>
  <c r="N5298"/>
  <c r="M5298" s="1"/>
  <c r="M5210"/>
  <c r="N5294"/>
  <c r="M5294" s="1"/>
  <c r="M5206"/>
  <c r="N5290"/>
  <c r="M5290" s="1"/>
  <c r="M5202"/>
  <c r="N5282"/>
  <c r="M5282" s="1"/>
  <c r="M5194"/>
  <c r="N5278"/>
  <c r="M5278" s="1"/>
  <c r="M5190"/>
  <c r="N5274"/>
  <c r="M5274" s="1"/>
  <c r="M5186"/>
  <c r="N5308"/>
  <c r="M5308" s="1"/>
  <c r="M5220"/>
  <c r="N5304"/>
  <c r="M5304" s="1"/>
  <c r="M5216"/>
  <c r="N5300"/>
  <c r="M5300" s="1"/>
  <c r="M5212"/>
  <c r="N5296"/>
  <c r="M5296" s="1"/>
  <c r="M5208"/>
  <c r="N5284"/>
  <c r="M5284" s="1"/>
  <c r="M5196"/>
  <c r="N5280"/>
  <c r="M5280" s="1"/>
  <c r="M5192"/>
  <c r="N5276"/>
  <c r="M5276" s="1"/>
  <c r="M5188"/>
  <c r="N5272"/>
  <c r="M5272" s="1"/>
  <c r="M5184"/>
  <c r="A1263"/>
  <c r="A1791" s="1"/>
  <c r="A2319" s="1"/>
  <c r="A1264"/>
  <c r="A1792" s="1"/>
  <c r="A2320" s="1"/>
  <c r="A1265"/>
  <c r="A1793" s="1"/>
  <c r="A2321" s="1"/>
  <c r="A1266"/>
  <c r="A1794" s="1"/>
  <c r="A2322" s="1"/>
  <c r="A1267"/>
  <c r="A1795" s="1"/>
  <c r="A2323" s="1"/>
  <c r="A1268"/>
  <c r="A1796" s="1"/>
  <c r="A2324" s="1"/>
  <c r="A1269"/>
  <c r="A1797" s="1"/>
  <c r="A2325" s="1"/>
  <c r="A1270"/>
  <c r="A1798" s="1"/>
  <c r="A2326" s="1"/>
  <c r="A1271"/>
  <c r="A1799" s="1"/>
  <c r="A2327" s="1"/>
  <c r="A1272"/>
  <c r="A1800" s="1"/>
  <c r="A2328" s="1"/>
  <c r="A1273"/>
  <c r="A1801" s="1"/>
  <c r="A2329" s="1"/>
  <c r="A1274"/>
  <c r="A1802" s="1"/>
  <c r="A2330" s="1"/>
  <c r="A1275"/>
  <c r="A1803" s="1"/>
  <c r="A2331" s="1"/>
  <c r="A1276"/>
  <c r="A1804" s="1"/>
  <c r="A2332" s="1"/>
  <c r="A1277"/>
  <c r="A1805" s="1"/>
  <c r="A2333" s="1"/>
  <c r="A1278"/>
  <c r="A1806" s="1"/>
  <c r="A2334" s="1"/>
  <c r="A1279"/>
  <c r="A1807" s="1"/>
  <c r="A2335" s="1"/>
  <c r="A1280"/>
  <c r="A1808" s="1"/>
  <c r="A2336" s="1"/>
  <c r="A1281"/>
  <c r="A1809" s="1"/>
  <c r="A2337" s="1"/>
  <c r="A1282"/>
  <c r="A1810" s="1"/>
  <c r="A2338" s="1"/>
  <c r="A1283"/>
  <c r="A1811" s="1"/>
  <c r="A2339" s="1"/>
  <c r="A1284"/>
  <c r="A1812" s="1"/>
  <c r="A2340" s="1"/>
  <c r="A1285"/>
  <c r="A1813" s="1"/>
  <c r="A2341" s="1"/>
  <c r="A1286"/>
  <c r="A1814" s="1"/>
  <c r="A2342" s="1"/>
  <c r="A1287"/>
  <c r="A1815" s="1"/>
  <c r="A2343" s="1"/>
  <c r="A1288"/>
  <c r="A1816" s="1"/>
  <c r="A2344" s="1"/>
  <c r="A1289"/>
  <c r="A1817" s="1"/>
  <c r="A2345" s="1"/>
  <c r="A1290"/>
  <c r="A1818" s="1"/>
  <c r="A2346" s="1"/>
  <c r="A1291"/>
  <c r="A1819" s="1"/>
  <c r="A2347" s="1"/>
  <c r="A1292"/>
  <c r="A1820" s="1"/>
  <c r="A2348" s="1"/>
  <c r="A1293"/>
  <c r="A1821" s="1"/>
  <c r="A2349" s="1"/>
  <c r="A1294"/>
  <c r="A1822" s="1"/>
  <c r="A2350" s="1"/>
  <c r="A1295"/>
  <c r="A1823" s="1"/>
  <c r="A2351" s="1"/>
  <c r="A1296"/>
  <c r="A1824" s="1"/>
  <c r="A2352" s="1"/>
  <c r="A1297"/>
  <c r="A1825" s="1"/>
  <c r="A2353" s="1"/>
  <c r="A1298"/>
  <c r="A1826" s="1"/>
  <c r="A2354" s="1"/>
  <c r="A1299"/>
  <c r="A1827" s="1"/>
  <c r="A2355" s="1"/>
  <c r="A1300"/>
  <c r="A1828" s="1"/>
  <c r="A2356" s="1"/>
  <c r="A1301"/>
  <c r="A1829" s="1"/>
  <c r="A2357" s="1"/>
  <c r="A1302"/>
  <c r="A1830" s="1"/>
  <c r="A2358" s="1"/>
  <c r="A1303"/>
  <c r="A1831" s="1"/>
  <c r="A2359" s="1"/>
  <c r="A1304"/>
  <c r="A1832" s="1"/>
  <c r="A2360" s="1"/>
  <c r="A1305"/>
  <c r="A1833" s="1"/>
  <c r="A2361" s="1"/>
  <c r="A1306"/>
  <c r="A1834" s="1"/>
  <c r="A2362" s="1"/>
  <c r="A1307"/>
  <c r="A1835" s="1"/>
  <c r="A2363" s="1"/>
  <c r="A1308"/>
  <c r="A1836" s="1"/>
  <c r="A2364" s="1"/>
  <c r="A1309"/>
  <c r="A1837" s="1"/>
  <c r="A2365" s="1"/>
  <c r="A1310"/>
  <c r="A1838" s="1"/>
  <c r="A2366" s="1"/>
  <c r="A1311"/>
  <c r="A1839" s="1"/>
  <c r="A2367" s="1"/>
  <c r="A1312"/>
  <c r="A1840" s="1"/>
  <c r="A2368" s="1"/>
  <c r="A1313"/>
  <c r="A1841" s="1"/>
  <c r="A2369" s="1"/>
  <c r="A1314"/>
  <c r="A1842" s="1"/>
  <c r="A2370" s="1"/>
  <c r="A1315"/>
  <c r="A1843" s="1"/>
  <c r="A2371" s="1"/>
  <c r="A1316"/>
  <c r="A1844" s="1"/>
  <c r="A2372" s="1"/>
  <c r="A1317"/>
  <c r="A1845" s="1"/>
  <c r="A2373" s="1"/>
  <c r="A1318"/>
  <c r="A1846" s="1"/>
  <c r="A2374" s="1"/>
  <c r="A1319"/>
  <c r="A1847" s="1"/>
  <c r="A2375" s="1"/>
  <c r="A1320"/>
  <c r="A1848" s="1"/>
  <c r="A2376" s="1"/>
  <c r="A1321"/>
  <c r="A1849" s="1"/>
  <c r="A2377" s="1"/>
  <c r="A1322"/>
  <c r="A1850" s="1"/>
  <c r="A2378" s="1"/>
  <c r="A1323"/>
  <c r="A1851" s="1"/>
  <c r="A2379" s="1"/>
  <c r="A1324"/>
  <c r="A1852" s="1"/>
  <c r="A2380" s="1"/>
  <c r="A1325"/>
  <c r="A1853" s="1"/>
  <c r="A2381" s="1"/>
  <c r="A1326"/>
  <c r="A1854" s="1"/>
  <c r="A2382" s="1"/>
  <c r="A1327"/>
  <c r="A1855" s="1"/>
  <c r="A2383" s="1"/>
  <c r="A1328"/>
  <c r="A1856" s="1"/>
  <c r="A2384" s="1"/>
  <c r="A1329"/>
  <c r="A1857" s="1"/>
  <c r="A2385" s="1"/>
  <c r="A1330"/>
  <c r="A1858" s="1"/>
  <c r="A2386" s="1"/>
  <c r="A1331"/>
  <c r="A1859" s="1"/>
  <c r="A2387" s="1"/>
  <c r="A1332"/>
  <c r="A1860" s="1"/>
  <c r="A2388" s="1"/>
  <c r="A1333"/>
  <c r="A1861" s="1"/>
  <c r="A2389" s="1"/>
  <c r="A1334"/>
  <c r="A1862" s="1"/>
  <c r="A2390" s="1"/>
  <c r="A1335"/>
  <c r="A1863" s="1"/>
  <c r="A2391" s="1"/>
  <c r="A1336"/>
  <c r="A1864" s="1"/>
  <c r="A2392" s="1"/>
  <c r="A1337"/>
  <c r="A1865" s="1"/>
  <c r="A2393" s="1"/>
  <c r="A1338"/>
  <c r="A1866" s="1"/>
  <c r="A2394" s="1"/>
  <c r="A1339"/>
  <c r="A1867" s="1"/>
  <c r="A2395" s="1"/>
  <c r="A1340"/>
  <c r="A1868" s="1"/>
  <c r="A2396" s="1"/>
  <c r="A1341"/>
  <c r="A1869" s="1"/>
  <c r="A2397" s="1"/>
  <c r="A1342"/>
  <c r="A1870" s="1"/>
  <c r="A2398" s="1"/>
  <c r="A1343"/>
  <c r="A1871" s="1"/>
  <c r="A2399" s="1"/>
  <c r="A1344"/>
  <c r="A1872" s="1"/>
  <c r="A2400" s="1"/>
  <c r="A1345"/>
  <c r="A1873" s="1"/>
  <c r="A2401" s="1"/>
  <c r="A1346"/>
  <c r="A1874" s="1"/>
  <c r="A2402" s="1"/>
  <c r="A1347"/>
  <c r="A1875" s="1"/>
  <c r="A2403" s="1"/>
  <c r="A1348"/>
  <c r="A1876" s="1"/>
  <c r="A2404" s="1"/>
  <c r="A1349"/>
  <c r="A1877" s="1"/>
  <c r="A2405" s="1"/>
  <c r="A1353"/>
  <c r="A1881" s="1"/>
  <c r="A2409" s="1"/>
  <c r="A1354"/>
  <c r="A1882" s="1"/>
  <c r="A2410" s="1"/>
  <c r="A1357"/>
  <c r="A1885" s="1"/>
  <c r="A2413" s="1"/>
  <c r="A1358"/>
  <c r="A1886" s="1"/>
  <c r="A2414" s="1"/>
  <c r="A1360"/>
  <c r="A1888" s="1"/>
  <c r="A2416" s="1"/>
  <c r="A1361"/>
  <c r="A1889" s="1"/>
  <c r="A2417" s="1"/>
  <c r="A1362"/>
  <c r="A1890" s="1"/>
  <c r="A2418" s="1"/>
  <c r="A1365"/>
  <c r="A1893" s="1"/>
  <c r="A2421" s="1"/>
  <c r="A1366"/>
  <c r="A1894" s="1"/>
  <c r="A2422" s="1"/>
  <c r="A1369"/>
  <c r="A1897" s="1"/>
  <c r="A2425" s="1"/>
  <c r="A1370"/>
  <c r="A1898" s="1"/>
  <c r="A2426" s="1"/>
  <c r="A1373"/>
  <c r="A1901" s="1"/>
  <c r="A2429" s="1"/>
  <c r="A1374"/>
  <c r="A1902" s="1"/>
  <c r="A2430" s="1"/>
  <c r="A1376"/>
  <c r="A1904" s="1"/>
  <c r="A2432" s="1"/>
  <c r="A1377"/>
  <c r="A1905" s="1"/>
  <c r="A2433" s="1"/>
  <c r="A1378"/>
  <c r="A1906" s="1"/>
  <c r="A2434" s="1"/>
  <c r="A1381"/>
  <c r="A1909" s="1"/>
  <c r="A2437" s="1"/>
  <c r="A1382"/>
  <c r="A1910" s="1"/>
  <c r="A2438" s="1"/>
  <c r="A1385"/>
  <c r="A1913" s="1"/>
  <c r="A2441" s="1"/>
  <c r="A1386"/>
  <c r="A1914" s="1"/>
  <c r="A2442" s="1"/>
  <c r="A1389"/>
  <c r="A1917" s="1"/>
  <c r="A2445" s="1"/>
  <c r="A1390"/>
  <c r="A1918" s="1"/>
  <c r="A2446" s="1"/>
  <c r="A1392"/>
  <c r="A1920" s="1"/>
  <c r="A2448" s="1"/>
  <c r="A1393"/>
  <c r="A1921" s="1"/>
  <c r="A2449" s="1"/>
  <c r="A1394"/>
  <c r="A1922" s="1"/>
  <c r="A2450" s="1"/>
  <c r="A1397"/>
  <c r="A1925" s="1"/>
  <c r="A2453" s="1"/>
  <c r="A1398"/>
  <c r="A1926" s="1"/>
  <c r="A2454" s="1"/>
  <c r="A1401"/>
  <c r="A1929" s="1"/>
  <c r="A2457" s="1"/>
  <c r="A1402"/>
  <c r="A1930" s="1"/>
  <c r="A2458" s="1"/>
  <c r="A1405"/>
  <c r="A1933" s="1"/>
  <c r="A2461" s="1"/>
  <c r="A1406"/>
  <c r="A1934" s="1"/>
  <c r="A2462" s="1"/>
  <c r="A1408"/>
  <c r="A1936" s="1"/>
  <c r="A2464" s="1"/>
  <c r="A1409"/>
  <c r="A1937" s="1"/>
  <c r="A2465" s="1"/>
  <c r="A1410"/>
  <c r="A1938" s="1"/>
  <c r="A2466" s="1"/>
  <c r="A1413"/>
  <c r="A1941" s="1"/>
  <c r="A2469" s="1"/>
  <c r="A1414"/>
  <c r="A1942" s="1"/>
  <c r="A2470" s="1"/>
  <c r="A1417"/>
  <c r="A1945" s="1"/>
  <c r="A2473" s="1"/>
  <c r="A1418"/>
  <c r="A1946" s="1"/>
  <c r="A2474" s="1"/>
  <c r="A1421"/>
  <c r="A1949" s="1"/>
  <c r="A2477" s="1"/>
  <c r="A1422"/>
  <c r="A1950" s="1"/>
  <c r="A2478" s="1"/>
  <c r="A1424"/>
  <c r="A1952" s="1"/>
  <c r="A2480" s="1"/>
  <c r="A1425"/>
  <c r="A1953" s="1"/>
  <c r="A2481" s="1"/>
  <c r="A1426"/>
  <c r="A1954" s="1"/>
  <c r="A2482" s="1"/>
  <c r="A1429"/>
  <c r="A1957" s="1"/>
  <c r="A2485" s="1"/>
  <c r="A1430"/>
  <c r="A1958" s="1"/>
  <c r="A2486" s="1"/>
  <c r="A1433"/>
  <c r="A1961" s="1"/>
  <c r="A2489" s="1"/>
  <c r="A1434"/>
  <c r="A1962" s="1"/>
  <c r="A2490" s="1"/>
  <c r="A1437"/>
  <c r="A1965" s="1"/>
  <c r="A2493" s="1"/>
  <c r="A1441"/>
  <c r="A1969" s="1"/>
  <c r="A2497" s="1"/>
  <c r="A1442"/>
  <c r="A1970" s="1"/>
  <c r="A2498" s="1"/>
  <c r="A1445"/>
  <c r="A1973" s="1"/>
  <c r="A2501" s="1"/>
  <c r="A1446"/>
  <c r="A1974" s="1"/>
  <c r="A2502" s="1"/>
  <c r="A1449"/>
  <c r="A1977" s="1"/>
  <c r="A2505" s="1"/>
  <c r="A1450"/>
  <c r="A1978" s="1"/>
  <c r="A2506" s="1"/>
  <c r="A1454"/>
  <c r="A1982" s="1"/>
  <c r="A2510" s="1"/>
  <c r="A1457"/>
  <c r="A1985" s="1"/>
  <c r="A2513" s="1"/>
  <c r="A1458"/>
  <c r="A1986" s="1"/>
  <c r="A2514" s="1"/>
  <c r="A1461"/>
  <c r="A1989" s="1"/>
  <c r="A2517" s="1"/>
  <c r="A1462"/>
  <c r="A1990" s="1"/>
  <c r="A2518" s="1"/>
  <c r="A1465"/>
  <c r="A1993" s="1"/>
  <c r="A2521" s="1"/>
  <c r="A1466"/>
  <c r="A1994" s="1"/>
  <c r="A2522" s="1"/>
  <c r="A1470"/>
  <c r="A1998" s="1"/>
  <c r="A2526" s="1"/>
  <c r="A1473"/>
  <c r="A2001" s="1"/>
  <c r="A2529" s="1"/>
  <c r="A1474"/>
  <c r="A2002" s="1"/>
  <c r="A2530" s="1"/>
  <c r="A1477"/>
  <c r="A2005" s="1"/>
  <c r="A2533" s="1"/>
  <c r="A1478"/>
  <c r="A2006" s="1"/>
  <c r="A2534" s="1"/>
  <c r="A1481"/>
  <c r="A2009" s="1"/>
  <c r="A2537" s="1"/>
  <c r="A1482"/>
  <c r="A2010" s="1"/>
  <c r="A2538" s="1"/>
  <c r="A1486"/>
  <c r="A2014" s="1"/>
  <c r="A2542" s="1"/>
  <c r="A1489"/>
  <c r="A2017" s="1"/>
  <c r="A2545" s="1"/>
  <c r="A1490"/>
  <c r="A2018" s="1"/>
  <c r="A2546" s="1"/>
  <c r="A1493"/>
  <c r="A2021" s="1"/>
  <c r="A2549" s="1"/>
  <c r="A1494"/>
  <c r="A2022" s="1"/>
  <c r="A2550" s="1"/>
  <c r="A1497"/>
  <c r="A2025" s="1"/>
  <c r="A2553" s="1"/>
  <c r="A1498"/>
  <c r="A2026" s="1"/>
  <c r="A2554" s="1"/>
  <c r="A1502"/>
  <c r="A2030" s="1"/>
  <c r="A2558" s="1"/>
  <c r="A1505"/>
  <c r="A2033" s="1"/>
  <c r="A2561" s="1"/>
  <c r="A1506"/>
  <c r="A2034" s="1"/>
  <c r="A2562" s="1"/>
  <c r="A1509"/>
  <c r="A2037" s="1"/>
  <c r="A2565" s="1"/>
  <c r="A1510"/>
  <c r="A2038" s="1"/>
  <c r="A2566" s="1"/>
  <c r="A1513"/>
  <c r="A2041" s="1"/>
  <c r="A2569" s="1"/>
  <c r="A1514"/>
  <c r="A2042" s="1"/>
  <c r="A2570" s="1"/>
  <c r="A1518"/>
  <c r="A2046" s="1"/>
  <c r="A2574" s="1"/>
  <c r="A1521"/>
  <c r="A2049" s="1"/>
  <c r="A2577" s="1"/>
  <c r="A1522"/>
  <c r="A2050" s="1"/>
  <c r="A2578" s="1"/>
  <c r="A1525"/>
  <c r="A2053" s="1"/>
  <c r="A2581" s="1"/>
  <c r="A1534"/>
  <c r="A2062" s="1"/>
  <c r="A2590" s="1"/>
  <c r="A1538"/>
  <c r="A2066" s="1"/>
  <c r="A2594" s="1"/>
  <c r="A1542"/>
  <c r="A2070" s="1"/>
  <c r="A2598" s="1"/>
  <c r="A1550"/>
  <c r="A2078" s="1"/>
  <c r="A2606" s="1"/>
  <c r="A1554"/>
  <c r="A2082" s="1"/>
  <c r="A2610" s="1"/>
  <c r="A1558"/>
  <c r="A2086" s="1"/>
  <c r="A2614" s="1"/>
  <c r="A1566"/>
  <c r="A2094" s="1"/>
  <c r="A2622" s="1"/>
  <c r="A1570"/>
  <c r="A2098" s="1"/>
  <c r="A2626" s="1"/>
  <c r="A1574"/>
  <c r="A2102" s="1"/>
  <c r="A2630" s="1"/>
  <c r="A1582"/>
  <c r="A2110" s="1"/>
  <c r="A2638" s="1"/>
  <c r="A1590"/>
  <c r="A2118" s="1"/>
  <c r="A2646" s="1"/>
  <c r="A1598"/>
  <c r="A2126" s="1"/>
  <c r="A2654" s="1"/>
  <c r="A1606"/>
  <c r="A2134" s="1"/>
  <c r="A2662" s="1"/>
  <c r="A1262"/>
  <c r="A1790" s="1"/>
  <c r="A2318" s="1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51"/>
  <c r="D1352"/>
  <c r="D1353"/>
  <c r="D1354"/>
  <c r="D1350"/>
  <c r="G1363"/>
  <c r="G1367"/>
  <c r="G1355"/>
  <c r="G1358"/>
  <c r="G1359"/>
  <c r="G1362"/>
  <c r="G1371"/>
  <c r="D1303"/>
  <c r="D1304"/>
  <c r="D1305"/>
  <c r="D1299"/>
  <c r="D1343" s="1"/>
  <c r="D1300"/>
  <c r="D1344" s="1"/>
  <c r="D1301"/>
  <c r="D1302"/>
  <c r="D1346" s="1"/>
  <c r="D1285"/>
  <c r="D1329" s="1"/>
  <c r="D1286"/>
  <c r="D1330" s="1"/>
  <c r="D1287"/>
  <c r="D1331" s="1"/>
  <c r="D1288"/>
  <c r="D1289"/>
  <c r="D1290"/>
  <c r="D1291"/>
  <c r="D1292"/>
  <c r="D1293"/>
  <c r="D1294"/>
  <c r="D1295"/>
  <c r="D1339" s="1"/>
  <c r="D1296"/>
  <c r="D1297"/>
  <c r="D1298"/>
  <c r="D1284"/>
  <c r="D1328" s="1"/>
  <c r="G1262"/>
  <c r="G1263"/>
  <c r="G1264"/>
  <c r="G1265"/>
  <c r="G1266"/>
  <c r="G1267"/>
  <c r="G1268"/>
  <c r="M1264"/>
  <c r="M1265"/>
  <c r="M1266"/>
  <c r="M1267"/>
  <c r="M1268"/>
  <c r="G1269"/>
  <c r="M1269"/>
  <c r="G1270"/>
  <c r="M1270"/>
  <c r="G1271"/>
  <c r="M1271"/>
  <c r="G1272"/>
  <c r="M1272"/>
  <c r="G1273"/>
  <c r="M1273"/>
  <c r="G1274"/>
  <c r="M1274"/>
  <c r="G1275"/>
  <c r="M1275"/>
  <c r="G1276"/>
  <c r="M1276"/>
  <c r="G1277"/>
  <c r="M1277"/>
  <c r="G1278"/>
  <c r="M1278"/>
  <c r="G1279"/>
  <c r="M1279"/>
  <c r="G1280"/>
  <c r="M1280"/>
  <c r="G1281"/>
  <c r="M1281"/>
  <c r="G1282"/>
  <c r="M1282"/>
  <c r="G1283"/>
  <c r="M1283"/>
  <c r="M1262"/>
  <c r="M1263"/>
  <c r="G309"/>
  <c r="G305"/>
  <c r="G301"/>
  <c r="G235"/>
  <c r="G243"/>
  <c r="G239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6"/>
  <c r="G237"/>
  <c r="G238"/>
  <c r="G240"/>
  <c r="G241"/>
  <c r="G242"/>
  <c r="G244"/>
  <c r="G245"/>
  <c r="G246"/>
  <c r="G247"/>
  <c r="G248"/>
  <c r="G249"/>
  <c r="G294"/>
  <c r="G295"/>
  <c r="G296"/>
  <c r="G297"/>
  <c r="G298"/>
  <c r="G299"/>
  <c r="G300"/>
  <c r="G302"/>
  <c r="G303"/>
  <c r="G304"/>
  <c r="G306"/>
  <c r="G307"/>
  <c r="G308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910"/>
  <c r="G911"/>
  <c r="G912"/>
  <c r="G913"/>
  <c r="G914"/>
  <c r="G915"/>
  <c r="G916"/>
  <c r="G917"/>
  <c r="G918"/>
  <c r="G919"/>
  <c r="G920"/>
  <c r="G921"/>
  <c r="G922"/>
  <c r="G923"/>
  <c r="G924"/>
  <c r="G925"/>
  <c r="G926"/>
  <c r="G927"/>
  <c r="G928"/>
  <c r="G929"/>
  <c r="G930"/>
  <c r="G931"/>
  <c r="G932"/>
  <c r="G933"/>
  <c r="G934"/>
  <c r="G935"/>
  <c r="G936"/>
  <c r="G937"/>
  <c r="G938"/>
  <c r="G939"/>
  <c r="G940"/>
  <c r="G941"/>
  <c r="G942"/>
  <c r="G943"/>
  <c r="G944"/>
  <c r="G945"/>
  <c r="G946"/>
  <c r="G947"/>
  <c r="G948"/>
  <c r="G949"/>
  <c r="G950"/>
  <c r="G951"/>
  <c r="G952"/>
  <c r="G953"/>
  <c r="G998"/>
  <c r="G999"/>
  <c r="G1000"/>
  <c r="G1001"/>
  <c r="G1002"/>
  <c r="G1003"/>
  <c r="G1004"/>
  <c r="G1005"/>
  <c r="G1006"/>
  <c r="G1007"/>
  <c r="G1008"/>
  <c r="G1009"/>
  <c r="G1010"/>
  <c r="G1011"/>
  <c r="G1012"/>
  <c r="G1013"/>
  <c r="G1014"/>
  <c r="G1015"/>
  <c r="G1016"/>
  <c r="G1017"/>
  <c r="G1018"/>
  <c r="G1019"/>
  <c r="G1020"/>
  <c r="G1021"/>
  <c r="G1022"/>
  <c r="G1023"/>
  <c r="G1024"/>
  <c r="G1025"/>
  <c r="G1026"/>
  <c r="G1027"/>
  <c r="G1028"/>
  <c r="G1029"/>
  <c r="G1030"/>
  <c r="G1031"/>
  <c r="G1032"/>
  <c r="G1033"/>
  <c r="G1034"/>
  <c r="G1035"/>
  <c r="G1036"/>
  <c r="G1037"/>
  <c r="G1038"/>
  <c r="G1039"/>
  <c r="G1040"/>
  <c r="G1041"/>
  <c r="G1086"/>
  <c r="G1087"/>
  <c r="G1088"/>
  <c r="G1089"/>
  <c r="G1090"/>
  <c r="G1091"/>
  <c r="G1092"/>
  <c r="G1093"/>
  <c r="G1094"/>
  <c r="G1095"/>
  <c r="G1096"/>
  <c r="G1097"/>
  <c r="G1098"/>
  <c r="G1099"/>
  <c r="G1100"/>
  <c r="G1101"/>
  <c r="G1102"/>
  <c r="G1103"/>
  <c r="G1104"/>
  <c r="G1105"/>
  <c r="G1106"/>
  <c r="G1107"/>
  <c r="G1108"/>
  <c r="G1109"/>
  <c r="G1110"/>
  <c r="G1111"/>
  <c r="G1112"/>
  <c r="G1113"/>
  <c r="G1114"/>
  <c r="G1115"/>
  <c r="G1116"/>
  <c r="G1117"/>
  <c r="G1118"/>
  <c r="G1119"/>
  <c r="G1120"/>
  <c r="G1121"/>
  <c r="G1122"/>
  <c r="G1123"/>
  <c r="G1124"/>
  <c r="G1125"/>
  <c r="G1126"/>
  <c r="G1127"/>
  <c r="G1128"/>
  <c r="G1129"/>
  <c r="G1174"/>
  <c r="G1175"/>
  <c r="G1176"/>
  <c r="G1177"/>
  <c r="G1178"/>
  <c r="G1179"/>
  <c r="G1180"/>
  <c r="G1181"/>
  <c r="G1182"/>
  <c r="G1183"/>
  <c r="G1184"/>
  <c r="G1185"/>
  <c r="G1186"/>
  <c r="G1187"/>
  <c r="G1188"/>
  <c r="G1189"/>
  <c r="G1190"/>
  <c r="G1191"/>
  <c r="G1192"/>
  <c r="G1193"/>
  <c r="G1194"/>
  <c r="G1195"/>
  <c r="G1196"/>
  <c r="G1197"/>
  <c r="G1198"/>
  <c r="G1199"/>
  <c r="G1200"/>
  <c r="G1201"/>
  <c r="G1202"/>
  <c r="G1203"/>
  <c r="G1204"/>
  <c r="G1205"/>
  <c r="G1206"/>
  <c r="G1207"/>
  <c r="G1208"/>
  <c r="G1209"/>
  <c r="G1210"/>
  <c r="G1211"/>
  <c r="G1212"/>
  <c r="G1213"/>
  <c r="G1214"/>
  <c r="G1215"/>
  <c r="G1216"/>
  <c r="G1217"/>
  <c r="A85" i="1"/>
  <c r="B85"/>
  <c r="D85"/>
  <c r="A82"/>
  <c r="B82"/>
  <c r="D82"/>
  <c r="A83"/>
  <c r="B83"/>
  <c r="D83"/>
  <c r="A84"/>
  <c r="B84"/>
  <c r="D84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A80"/>
  <c r="B80"/>
  <c r="A81"/>
  <c r="B81"/>
  <c r="A71"/>
  <c r="A75" s="1"/>
  <c r="A79" s="1"/>
  <c r="B71"/>
  <c r="A72"/>
  <c r="B72"/>
  <c r="A73"/>
  <c r="B73"/>
  <c r="A74"/>
  <c r="B74"/>
  <c r="B75"/>
  <c r="A76"/>
  <c r="B76"/>
  <c r="A77"/>
  <c r="B77"/>
  <c r="A78"/>
  <c r="B78"/>
  <c r="B79"/>
  <c r="A65"/>
  <c r="B65"/>
  <c r="A66"/>
  <c r="B66"/>
  <c r="A67"/>
  <c r="B67"/>
  <c r="A68"/>
  <c r="B68"/>
  <c r="A69"/>
  <c r="B69"/>
  <c r="A70"/>
  <c r="B70"/>
  <c r="B64"/>
  <c r="A64"/>
  <c r="B63"/>
  <c r="A63"/>
  <c r="B62"/>
  <c r="A62"/>
  <c r="A1602" i="2" l="1"/>
  <c r="A2130" s="1"/>
  <c r="A2658" s="1"/>
  <c r="A1428"/>
  <c r="A1956" s="1"/>
  <c r="A2484" s="1"/>
  <c r="A1412"/>
  <c r="A1940" s="1"/>
  <c r="A2468" s="1"/>
  <c r="A1396"/>
  <c r="A1924" s="1"/>
  <c r="A2452" s="1"/>
  <c r="A1380"/>
  <c r="A1908" s="1"/>
  <c r="A2436" s="1"/>
  <c r="A1364"/>
  <c r="A1892" s="1"/>
  <c r="A2420" s="1"/>
  <c r="A1610"/>
  <c r="A2138" s="1"/>
  <c r="A2666" s="1"/>
  <c r="A1594"/>
  <c r="A2122" s="1"/>
  <c r="A2650" s="1"/>
  <c r="A1517"/>
  <c r="A2045" s="1"/>
  <c r="A2573" s="1"/>
  <c r="A1501"/>
  <c r="A2029" s="1"/>
  <c r="A2557" s="1"/>
  <c r="A1485"/>
  <c r="A2013" s="1"/>
  <c r="A2541" s="1"/>
  <c r="A1469"/>
  <c r="A1997" s="1"/>
  <c r="A2525" s="1"/>
  <c r="A1453"/>
  <c r="A1981" s="1"/>
  <c r="A2509" s="1"/>
  <c r="A1436"/>
  <c r="A1964" s="1"/>
  <c r="A2492" s="1"/>
  <c r="A1420"/>
  <c r="A1948" s="1"/>
  <c r="A2476" s="1"/>
  <c r="A1404"/>
  <c r="A1932" s="1"/>
  <c r="A2460" s="1"/>
  <c r="A1388"/>
  <c r="A1916" s="1"/>
  <c r="A2444" s="1"/>
  <c r="A1372"/>
  <c r="A1900" s="1"/>
  <c r="A2428" s="1"/>
  <c r="A1356"/>
  <c r="A1884" s="1"/>
  <c r="A2412" s="1"/>
  <c r="A1578"/>
  <c r="A2106" s="1"/>
  <c r="A2634" s="1"/>
  <c r="A1562"/>
  <c r="A2090" s="1"/>
  <c r="A2618" s="1"/>
  <c r="A1546"/>
  <c r="A2074" s="1"/>
  <c r="A2602" s="1"/>
  <c r="A1530"/>
  <c r="A2058" s="1"/>
  <c r="A2586" s="1"/>
  <c r="A1432"/>
  <c r="A1960" s="1"/>
  <c r="A2488" s="1"/>
  <c r="A1416"/>
  <c r="A1944" s="1"/>
  <c r="A2472" s="1"/>
  <c r="A1400"/>
  <c r="A1928" s="1"/>
  <c r="A2456" s="1"/>
  <c r="A1384"/>
  <c r="A1912" s="1"/>
  <c r="A2440" s="1"/>
  <c r="A1368"/>
  <c r="A1896" s="1"/>
  <c r="A2424" s="1"/>
  <c r="A1352"/>
  <c r="A1880" s="1"/>
  <c r="A2408" s="1"/>
  <c r="M1328"/>
  <c r="G1328"/>
  <c r="G1298"/>
  <c r="D1342"/>
  <c r="D1385"/>
  <c r="D1341"/>
  <c r="D1384"/>
  <c r="D1340"/>
  <c r="M1339"/>
  <c r="G1339"/>
  <c r="M1294"/>
  <c r="D1338"/>
  <c r="D1381"/>
  <c r="D1337"/>
  <c r="D1380"/>
  <c r="D1336"/>
  <c r="D1379"/>
  <c r="D1335"/>
  <c r="D1378"/>
  <c r="D1422" s="1"/>
  <c r="D1334"/>
  <c r="M1289"/>
  <c r="D1333"/>
  <c r="G1288"/>
  <c r="D1332"/>
  <c r="M1331"/>
  <c r="G1331"/>
  <c r="M1330"/>
  <c r="G1330"/>
  <c r="M1329"/>
  <c r="G1329"/>
  <c r="M1346"/>
  <c r="G1346"/>
  <c r="D1389"/>
  <c r="D1345"/>
  <c r="M1344"/>
  <c r="G1344"/>
  <c r="M1343"/>
  <c r="G1343"/>
  <c r="D1393"/>
  <c r="D1349"/>
  <c r="D1392"/>
  <c r="D1348"/>
  <c r="D1391"/>
  <c r="D1435" s="1"/>
  <c r="D1347"/>
  <c r="M1350"/>
  <c r="D1394"/>
  <c r="D1442"/>
  <c r="D1398"/>
  <c r="G1353"/>
  <c r="D1397"/>
  <c r="M1352"/>
  <c r="D1396"/>
  <c r="M1351"/>
  <c r="D1395"/>
  <c r="M1371"/>
  <c r="D1415"/>
  <c r="D1458"/>
  <c r="D1414"/>
  <c r="D1457"/>
  <c r="D1413"/>
  <c r="M1368"/>
  <c r="D1412"/>
  <c r="M1412" s="1"/>
  <c r="M1367"/>
  <c r="D1411"/>
  <c r="G1366"/>
  <c r="D1410"/>
  <c r="M1410" s="1"/>
  <c r="M1365"/>
  <c r="D1409"/>
  <c r="G1409" s="1"/>
  <c r="M1364"/>
  <c r="D1408"/>
  <c r="D1451"/>
  <c r="D1407"/>
  <c r="D1450"/>
  <c r="D1406"/>
  <c r="G1406" s="1"/>
  <c r="M1361"/>
  <c r="D1405"/>
  <c r="D1448"/>
  <c r="D1404"/>
  <c r="M1404" s="1"/>
  <c r="M1359"/>
  <c r="D1403"/>
  <c r="M1358"/>
  <c r="D1402"/>
  <c r="M1357"/>
  <c r="D1401"/>
  <c r="M1356"/>
  <c r="D1400"/>
  <c r="M1355"/>
  <c r="D1399"/>
  <c r="A1586"/>
  <c r="A2114" s="1"/>
  <c r="A2642" s="1"/>
  <c r="M1369"/>
  <c r="M1293"/>
  <c r="D1455"/>
  <c r="G1285"/>
  <c r="A1698"/>
  <c r="A1694"/>
  <c r="A1690"/>
  <c r="A1686"/>
  <c r="A1682"/>
  <c r="A1678"/>
  <c r="A1670"/>
  <c r="A1666"/>
  <c r="A1662"/>
  <c r="A1658"/>
  <c r="A1654"/>
  <c r="A1650"/>
  <c r="A1646"/>
  <c r="A1642"/>
  <c r="A1638"/>
  <c r="A1634"/>
  <c r="A1630"/>
  <c r="A1626"/>
  <c r="A1622"/>
  <c r="A1618"/>
  <c r="A1613"/>
  <c r="A1609"/>
  <c r="A1605"/>
  <c r="A1601"/>
  <c r="A1597"/>
  <c r="A1593"/>
  <c r="A1589"/>
  <c r="A1585"/>
  <c r="A1581"/>
  <c r="A1577"/>
  <c r="A1573"/>
  <c r="A1569"/>
  <c r="A1565"/>
  <c r="A1561"/>
  <c r="A1557"/>
  <c r="A1553"/>
  <c r="A1549"/>
  <c r="A1545"/>
  <c r="A1541"/>
  <c r="A1537"/>
  <c r="A1533"/>
  <c r="A1529"/>
  <c r="A1524"/>
  <c r="A1520"/>
  <c r="A1516"/>
  <c r="A1512"/>
  <c r="A1508"/>
  <c r="A1504"/>
  <c r="A1500"/>
  <c r="A1496"/>
  <c r="A1492"/>
  <c r="A1488"/>
  <c r="A1484"/>
  <c r="A1480"/>
  <c r="A1476"/>
  <c r="A1472"/>
  <c r="A1468"/>
  <c r="A1464"/>
  <c r="A1460"/>
  <c r="A1456"/>
  <c r="A1452"/>
  <c r="A1448"/>
  <c r="A1444"/>
  <c r="A1440"/>
  <c r="A1435"/>
  <c r="A1431"/>
  <c r="A1427"/>
  <c r="A1423"/>
  <c r="A1419"/>
  <c r="A1415"/>
  <c r="A1411"/>
  <c r="A1407"/>
  <c r="A1403"/>
  <c r="A1399"/>
  <c r="A1395"/>
  <c r="A1391"/>
  <c r="A1387"/>
  <c r="A1383"/>
  <c r="A1379"/>
  <c r="A1375"/>
  <c r="A1371"/>
  <c r="A1367"/>
  <c r="A1363"/>
  <c r="A1359"/>
  <c r="A1355"/>
  <c r="A1351"/>
  <c r="G1297"/>
  <c r="M1285"/>
  <c r="D1459"/>
  <c r="D1443"/>
  <c r="M1363"/>
  <c r="D1373"/>
  <c r="M1401"/>
  <c r="D1447"/>
  <c r="M1297"/>
  <c r="G1455"/>
  <c r="M1396"/>
  <c r="M1409"/>
  <c r="D1387"/>
  <c r="M1353"/>
  <c r="A1350"/>
  <c r="G1378"/>
  <c r="M1378"/>
  <c r="M1391"/>
  <c r="G1391"/>
  <c r="D1382"/>
  <c r="G1459"/>
  <c r="G1354"/>
  <c r="G1360"/>
  <c r="D1386"/>
  <c r="D1430" s="1"/>
  <c r="D1454"/>
  <c r="D1446"/>
  <c r="D1490" s="1"/>
  <c r="D1535"/>
  <c r="M1406"/>
  <c r="M1370"/>
  <c r="M1366"/>
  <c r="M1362"/>
  <c r="M1354"/>
  <c r="M1290"/>
  <c r="G1380"/>
  <c r="M1405"/>
  <c r="M1397"/>
  <c r="M1455"/>
  <c r="M1447"/>
  <c r="G1370"/>
  <c r="G1448"/>
  <c r="M1400"/>
  <c r="M1411"/>
  <c r="M1448"/>
  <c r="M1380"/>
  <c r="M1360"/>
  <c r="G1379"/>
  <c r="D1467"/>
  <c r="D1480"/>
  <c r="G1392"/>
  <c r="D1623"/>
  <c r="G1405"/>
  <c r="G1373"/>
  <c r="D1473"/>
  <c r="G1385"/>
  <c r="D1469"/>
  <c r="D1472"/>
  <c r="G1384"/>
  <c r="D1481"/>
  <c r="G1393"/>
  <c r="G1404"/>
  <c r="G1451"/>
  <c r="D1539"/>
  <c r="D1531"/>
  <c r="G1443"/>
  <c r="D1372"/>
  <c r="D1383"/>
  <c r="G1291"/>
  <c r="M1291"/>
  <c r="D1375"/>
  <c r="D1477"/>
  <c r="G1389"/>
  <c r="G1304"/>
  <c r="M1304"/>
  <c r="M1403"/>
  <c r="M1394"/>
  <c r="M1490"/>
  <c r="M1398"/>
  <c r="M1413"/>
  <c r="M1430"/>
  <c r="G1350"/>
  <c r="D1438"/>
  <c r="G1352"/>
  <c r="D1440"/>
  <c r="D1479"/>
  <c r="D1546"/>
  <c r="D1538"/>
  <c r="D1530"/>
  <c r="G1369"/>
  <c r="G1412"/>
  <c r="D1439"/>
  <c r="G1351"/>
  <c r="D1545"/>
  <c r="G1457"/>
  <c r="G1365"/>
  <c r="D1453"/>
  <c r="G1361"/>
  <c r="D1449"/>
  <c r="G1357"/>
  <c r="D1445"/>
  <c r="G1400"/>
  <c r="G1411"/>
  <c r="D1466"/>
  <c r="G1290"/>
  <c r="G1286"/>
  <c r="D1374"/>
  <c r="D1388"/>
  <c r="G1303"/>
  <c r="M1303"/>
  <c r="D1456"/>
  <c r="G1364"/>
  <c r="D1452"/>
  <c r="G1356"/>
  <c r="D1444"/>
  <c r="G1396"/>
  <c r="G1401"/>
  <c r="G1293"/>
  <c r="M1299"/>
  <c r="D1377"/>
  <c r="D1390"/>
  <c r="M1407"/>
  <c r="D1441"/>
  <c r="D1376"/>
  <c r="G1414"/>
  <c r="G1458"/>
  <c r="G1450"/>
  <c r="G1446"/>
  <c r="G1442"/>
  <c r="G1410"/>
  <c r="G1399"/>
  <c r="G1381"/>
  <c r="G1372"/>
  <c r="G1368"/>
  <c r="G1305"/>
  <c r="M1305"/>
  <c r="G1302"/>
  <c r="M1302"/>
  <c r="G1301"/>
  <c r="M1301"/>
  <c r="M1300"/>
  <c r="G1300"/>
  <c r="G1299"/>
  <c r="M1298"/>
  <c r="G1296"/>
  <c r="M1296"/>
  <c r="G1295"/>
  <c r="M1295"/>
  <c r="G1294"/>
  <c r="M1292"/>
  <c r="G1292"/>
  <c r="G1289"/>
  <c r="M1288"/>
  <c r="G1287"/>
  <c r="M1287"/>
  <c r="M1286"/>
  <c r="M1284"/>
  <c r="G1284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206"/>
  <c r="G30"/>
  <c r="M1402" l="1"/>
  <c r="G1402"/>
  <c r="M1376"/>
  <c r="D1420"/>
  <c r="M1441"/>
  <c r="D1485"/>
  <c r="G1485" s="1"/>
  <c r="M1390"/>
  <c r="D1434"/>
  <c r="M1434" s="1"/>
  <c r="M1377"/>
  <c r="D1421"/>
  <c r="M1421" s="1"/>
  <c r="M1444"/>
  <c r="D1488"/>
  <c r="M1452"/>
  <c r="D1496"/>
  <c r="M1456"/>
  <c r="D1500"/>
  <c r="M1500" s="1"/>
  <c r="M1388"/>
  <c r="D1432"/>
  <c r="M1374"/>
  <c r="D1418"/>
  <c r="M1466"/>
  <c r="D1510"/>
  <c r="M1445"/>
  <c r="D1489"/>
  <c r="M1489" s="1"/>
  <c r="M1449"/>
  <c r="D1493"/>
  <c r="M1493" s="1"/>
  <c r="M1453"/>
  <c r="D1497"/>
  <c r="M1545"/>
  <c r="D1589"/>
  <c r="M1439"/>
  <c r="D1483"/>
  <c r="M1483" s="1"/>
  <c r="M1530"/>
  <c r="D1574"/>
  <c r="M1538"/>
  <c r="D1582"/>
  <c r="M1582" s="1"/>
  <c r="M1546"/>
  <c r="D1590"/>
  <c r="M1479"/>
  <c r="D1523"/>
  <c r="M1440"/>
  <c r="D1484"/>
  <c r="M1484" s="1"/>
  <c r="M1438"/>
  <c r="D1482"/>
  <c r="M1477"/>
  <c r="D1521"/>
  <c r="M1375"/>
  <c r="D1419"/>
  <c r="M1383"/>
  <c r="D1427"/>
  <c r="M1372"/>
  <c r="D1416"/>
  <c r="M1531"/>
  <c r="D1575"/>
  <c r="M1539"/>
  <c r="D1583"/>
  <c r="M1481"/>
  <c r="D1525"/>
  <c r="M1472"/>
  <c r="D1516"/>
  <c r="M1469"/>
  <c r="D1513"/>
  <c r="M1473"/>
  <c r="D1517"/>
  <c r="M1623"/>
  <c r="D1667"/>
  <c r="M1480"/>
  <c r="D1524"/>
  <c r="M1467"/>
  <c r="D1511"/>
  <c r="M1535"/>
  <c r="D1579"/>
  <c r="G1454"/>
  <c r="D1498"/>
  <c r="M1498" s="1"/>
  <c r="D1470"/>
  <c r="D1514" s="1"/>
  <c r="D1426"/>
  <c r="M1387"/>
  <c r="D1431"/>
  <c r="M1431" s="1"/>
  <c r="G1447"/>
  <c r="D1491"/>
  <c r="M1373"/>
  <c r="D1417"/>
  <c r="M1443"/>
  <c r="D1487"/>
  <c r="G1487" s="1"/>
  <c r="D1547"/>
  <c r="G1547" s="1"/>
  <c r="D1503"/>
  <c r="D1543"/>
  <c r="D1499"/>
  <c r="M1499" s="1"/>
  <c r="D1536"/>
  <c r="D1492"/>
  <c r="M1492" s="1"/>
  <c r="M1450"/>
  <c r="D1494"/>
  <c r="M1494" s="1"/>
  <c r="M1451"/>
  <c r="D1495"/>
  <c r="M1457"/>
  <c r="D1501"/>
  <c r="M1501" s="1"/>
  <c r="M1458"/>
  <c r="D1502"/>
  <c r="M1442"/>
  <c r="D1486"/>
  <c r="M1486" s="1"/>
  <c r="M1347"/>
  <c r="G1347"/>
  <c r="M1348"/>
  <c r="G1348"/>
  <c r="M1392"/>
  <c r="D1436"/>
  <c r="M1349"/>
  <c r="G1349"/>
  <c r="M1393"/>
  <c r="D1437"/>
  <c r="M1345"/>
  <c r="G1345"/>
  <c r="M1389"/>
  <c r="D1433"/>
  <c r="M1332"/>
  <c r="G1332"/>
  <c r="M1333"/>
  <c r="G1333"/>
  <c r="M1334"/>
  <c r="G1334"/>
  <c r="M1335"/>
  <c r="G1335"/>
  <c r="M1379"/>
  <c r="D1423"/>
  <c r="M1423" s="1"/>
  <c r="M1336"/>
  <c r="G1336"/>
  <c r="D1468"/>
  <c r="D1424"/>
  <c r="M1424" s="1"/>
  <c r="M1337"/>
  <c r="G1337"/>
  <c r="M1381"/>
  <c r="D1425"/>
  <c r="G1425" s="1"/>
  <c r="M1338"/>
  <c r="G1338"/>
  <c r="M1340"/>
  <c r="G1340"/>
  <c r="M1384"/>
  <c r="D1428"/>
  <c r="M1341"/>
  <c r="G1341"/>
  <c r="M1385"/>
  <c r="D1429"/>
  <c r="M1342"/>
  <c r="G1342"/>
  <c r="D1635"/>
  <c r="D1723" s="1"/>
  <c r="D1461"/>
  <c r="M1459"/>
  <c r="M1488"/>
  <c r="G1397"/>
  <c r="G1535"/>
  <c r="A1674"/>
  <c r="A2202" s="1"/>
  <c r="A2730" s="1"/>
  <c r="A1883"/>
  <c r="A2411" s="1"/>
  <c r="A1443"/>
  <c r="A1899"/>
  <c r="A2427" s="1"/>
  <c r="A1459"/>
  <c r="A1915"/>
  <c r="A2443" s="1"/>
  <c r="A1475"/>
  <c r="A1931"/>
  <c r="A2459" s="1"/>
  <c r="A1491"/>
  <c r="A1947"/>
  <c r="A2475" s="1"/>
  <c r="A1507"/>
  <c r="A1963"/>
  <c r="A2491" s="1"/>
  <c r="A1523"/>
  <c r="A1980"/>
  <c r="A2508" s="1"/>
  <c r="A1540"/>
  <c r="A1996"/>
  <c r="A2524" s="1"/>
  <c r="A1556"/>
  <c r="A2012"/>
  <c r="A2540" s="1"/>
  <c r="A1572"/>
  <c r="A2028"/>
  <c r="A2556" s="1"/>
  <c r="A1588"/>
  <c r="A2044"/>
  <c r="A2572" s="1"/>
  <c r="A1604"/>
  <c r="A2061"/>
  <c r="A2589" s="1"/>
  <c r="A1621"/>
  <c r="A2077"/>
  <c r="A2605" s="1"/>
  <c r="A1637"/>
  <c r="A2093"/>
  <c r="A2621" s="1"/>
  <c r="A1653"/>
  <c r="A2109"/>
  <c r="A2637" s="1"/>
  <c r="A1669"/>
  <c r="A2125"/>
  <c r="A2653" s="1"/>
  <c r="A1685"/>
  <c r="A2141"/>
  <c r="A2669" s="1"/>
  <c r="A1701"/>
  <c r="A2158"/>
  <c r="A2686" s="1"/>
  <c r="A1718"/>
  <c r="A2246" s="1"/>
  <c r="A2774" s="1"/>
  <c r="A2174"/>
  <c r="A2702" s="1"/>
  <c r="A1734"/>
  <c r="A2262" s="1"/>
  <c r="A2790" s="1"/>
  <c r="A2190"/>
  <c r="A2718" s="1"/>
  <c r="A1750"/>
  <c r="A2278" s="1"/>
  <c r="A2806" s="1"/>
  <c r="A2206"/>
  <c r="A2734" s="1"/>
  <c r="A1766"/>
  <c r="A2294" s="1"/>
  <c r="A2822" s="1"/>
  <c r="A2222"/>
  <c r="A2750" s="1"/>
  <c r="A1782"/>
  <c r="A2310" s="1"/>
  <c r="A2838" s="1"/>
  <c r="A1879"/>
  <c r="A2407" s="1"/>
  <c r="A1439"/>
  <c r="A1895"/>
  <c r="A2423" s="1"/>
  <c r="A1455"/>
  <c r="A1911"/>
  <c r="A2439" s="1"/>
  <c r="A1471"/>
  <c r="A1927"/>
  <c r="A2455" s="1"/>
  <c r="A1487"/>
  <c r="A1943"/>
  <c r="A2471" s="1"/>
  <c r="A1503"/>
  <c r="A1959"/>
  <c r="A2487" s="1"/>
  <c r="A1519"/>
  <c r="A1976"/>
  <c r="A2504" s="1"/>
  <c r="A1536"/>
  <c r="A1992"/>
  <c r="A2520" s="1"/>
  <c r="A1552"/>
  <c r="A2008"/>
  <c r="A2536" s="1"/>
  <c r="A1568"/>
  <c r="A2024"/>
  <c r="A2552" s="1"/>
  <c r="A1584"/>
  <c r="A2040"/>
  <c r="A2568" s="1"/>
  <c r="A1600"/>
  <c r="A2057"/>
  <c r="A2585" s="1"/>
  <c r="A1617"/>
  <c r="A2073"/>
  <c r="A2601" s="1"/>
  <c r="A1633"/>
  <c r="A2089"/>
  <c r="A2617" s="1"/>
  <c r="A1649"/>
  <c r="A2105"/>
  <c r="A2633" s="1"/>
  <c r="A1665"/>
  <c r="A2121"/>
  <c r="A2649" s="1"/>
  <c r="A1681"/>
  <c r="A2137"/>
  <c r="A2665" s="1"/>
  <c r="A1697"/>
  <c r="A2154"/>
  <c r="A2682" s="1"/>
  <c r="A1714"/>
  <c r="A2242" s="1"/>
  <c r="A2770" s="1"/>
  <c r="A2170"/>
  <c r="A2698" s="1"/>
  <c r="A1730"/>
  <c r="A2258" s="1"/>
  <c r="A2786" s="1"/>
  <c r="A2186"/>
  <c r="A2714" s="1"/>
  <c r="A1746"/>
  <c r="A2274" s="1"/>
  <c r="A2802" s="1"/>
  <c r="A1762"/>
  <c r="A2290" s="1"/>
  <c r="A2818" s="1"/>
  <c r="A2218"/>
  <c r="A2746" s="1"/>
  <c r="A1778"/>
  <c r="A2306" s="1"/>
  <c r="A2834" s="1"/>
  <c r="A1891"/>
  <c r="A2419" s="1"/>
  <c r="A1451"/>
  <c r="A1907"/>
  <c r="A2435" s="1"/>
  <c r="A1467"/>
  <c r="A1923"/>
  <c r="A2451" s="1"/>
  <c r="A1483"/>
  <c r="A1939"/>
  <c r="A2467" s="1"/>
  <c r="A1499"/>
  <c r="A1955"/>
  <c r="A2483" s="1"/>
  <c r="A1515"/>
  <c r="A1972"/>
  <c r="A2500" s="1"/>
  <c r="A1532"/>
  <c r="A1988"/>
  <c r="A2516" s="1"/>
  <c r="A1548"/>
  <c r="A2004"/>
  <c r="A2532" s="1"/>
  <c r="A1564"/>
  <c r="A2020"/>
  <c r="A2548" s="1"/>
  <c r="A1580"/>
  <c r="A2036"/>
  <c r="A2564" s="1"/>
  <c r="A1596"/>
  <c r="A2052"/>
  <c r="A2580" s="1"/>
  <c r="A1612"/>
  <c r="A2069"/>
  <c r="A2597" s="1"/>
  <c r="A1629"/>
  <c r="A2085"/>
  <c r="A2613" s="1"/>
  <c r="A1645"/>
  <c r="A2101"/>
  <c r="A2629" s="1"/>
  <c r="A1661"/>
  <c r="A2117"/>
  <c r="A2645" s="1"/>
  <c r="A1677"/>
  <c r="A2133"/>
  <c r="A2661" s="1"/>
  <c r="A1693"/>
  <c r="A2150"/>
  <c r="A2678" s="1"/>
  <c r="A1710"/>
  <c r="A2238" s="1"/>
  <c r="A2766" s="1"/>
  <c r="A2166"/>
  <c r="A2694" s="1"/>
  <c r="A1726"/>
  <c r="A2254" s="1"/>
  <c r="A2782" s="1"/>
  <c r="A2182"/>
  <c r="A2710" s="1"/>
  <c r="A1742"/>
  <c r="A2270" s="1"/>
  <c r="A2798" s="1"/>
  <c r="A2198"/>
  <c r="A2726" s="1"/>
  <c r="A1758"/>
  <c r="A2286" s="1"/>
  <c r="A2814" s="1"/>
  <c r="A2214"/>
  <c r="A2742" s="1"/>
  <c r="A1774"/>
  <c r="A2302" s="1"/>
  <c r="A2830" s="1"/>
  <c r="A1887"/>
  <c r="A2415" s="1"/>
  <c r="A1447"/>
  <c r="A1903"/>
  <c r="A2431" s="1"/>
  <c r="A1463"/>
  <c r="A1919"/>
  <c r="A2447" s="1"/>
  <c r="A1479"/>
  <c r="A1935"/>
  <c r="A2463" s="1"/>
  <c r="A1495"/>
  <c r="A1951"/>
  <c r="A2479" s="1"/>
  <c r="A1511"/>
  <c r="A1968"/>
  <c r="A2496" s="1"/>
  <c r="A1528"/>
  <c r="A1984"/>
  <c r="A2512" s="1"/>
  <c r="A1544"/>
  <c r="A2000"/>
  <c r="A2528" s="1"/>
  <c r="A1560"/>
  <c r="A2016"/>
  <c r="A2544" s="1"/>
  <c r="A1576"/>
  <c r="A2032"/>
  <c r="A2560" s="1"/>
  <c r="A1592"/>
  <c r="A2048"/>
  <c r="A2576" s="1"/>
  <c r="A1608"/>
  <c r="A2065"/>
  <c r="A2593" s="1"/>
  <c r="A1625"/>
  <c r="A2081"/>
  <c r="A2609" s="1"/>
  <c r="A1641"/>
  <c r="A2097"/>
  <c r="A2625" s="1"/>
  <c r="A1657"/>
  <c r="A2113"/>
  <c r="A2641" s="1"/>
  <c r="A1673"/>
  <c r="A2129"/>
  <c r="A2657" s="1"/>
  <c r="A1689"/>
  <c r="A2146"/>
  <c r="A2674" s="1"/>
  <c r="A1706"/>
  <c r="A2234" s="1"/>
  <c r="A2762" s="1"/>
  <c r="A2162"/>
  <c r="A2690" s="1"/>
  <c r="A1722"/>
  <c r="A2250" s="1"/>
  <c r="A2778" s="1"/>
  <c r="A2178"/>
  <c r="A2706" s="1"/>
  <c r="A1738"/>
  <c r="A2266" s="1"/>
  <c r="A2794" s="1"/>
  <c r="A2194"/>
  <c r="A2722" s="1"/>
  <c r="A1754"/>
  <c r="A2282" s="1"/>
  <c r="A2810" s="1"/>
  <c r="A2210"/>
  <c r="A2738" s="1"/>
  <c r="A1770"/>
  <c r="A2298" s="1"/>
  <c r="A2826" s="1"/>
  <c r="A2226"/>
  <c r="A2754" s="1"/>
  <c r="A1786"/>
  <c r="A2314" s="1"/>
  <c r="A2842" s="1"/>
  <c r="D1475"/>
  <c r="D1519" s="1"/>
  <c r="M1519" s="1"/>
  <c r="G1387"/>
  <c r="A1878"/>
  <c r="A2406" s="1"/>
  <c r="A1438"/>
  <c r="M1470"/>
  <c r="G1470"/>
  <c r="G1466"/>
  <c r="G1398"/>
  <c r="M1408"/>
  <c r="G1408"/>
  <c r="M1415"/>
  <c r="G1415"/>
  <c r="G1386"/>
  <c r="M1386"/>
  <c r="D1474"/>
  <c r="D1518" s="1"/>
  <c r="G1382"/>
  <c r="M1382"/>
  <c r="M1514"/>
  <c r="G1434"/>
  <c r="M1487"/>
  <c r="M1399"/>
  <c r="M1395"/>
  <c r="G1395"/>
  <c r="M1414"/>
  <c r="D1542"/>
  <c r="D1586" s="1"/>
  <c r="M1454"/>
  <c r="M1446"/>
  <c r="D1534"/>
  <c r="D1578" s="1"/>
  <c r="G1430"/>
  <c r="M1495"/>
  <c r="G1407"/>
  <c r="M1428"/>
  <c r="D1532"/>
  <c r="G1444"/>
  <c r="D1540"/>
  <c r="G1452"/>
  <c r="D1476"/>
  <c r="G1388"/>
  <c r="M1422"/>
  <c r="G1413"/>
  <c r="M1436"/>
  <c r="M1575"/>
  <c r="M1416"/>
  <c r="G1539"/>
  <c r="D1627"/>
  <c r="D1569"/>
  <c r="G1481"/>
  <c r="G1431"/>
  <c r="M1586"/>
  <c r="G1498"/>
  <c r="D1529"/>
  <c r="G1441"/>
  <c r="M1437"/>
  <c r="G1484"/>
  <c r="M1432"/>
  <c r="D1537"/>
  <c r="G1449"/>
  <c r="G1439"/>
  <c r="D1527"/>
  <c r="D1618"/>
  <c r="G1530"/>
  <c r="D1634"/>
  <c r="G1546"/>
  <c r="D1528"/>
  <c r="G1440"/>
  <c r="M1518"/>
  <c r="M1578"/>
  <c r="G1490"/>
  <c r="G1477"/>
  <c r="D1565"/>
  <c r="M1427"/>
  <c r="G1531"/>
  <c r="D1619"/>
  <c r="D1558"/>
  <c r="G1493"/>
  <c r="G1467"/>
  <c r="D1555"/>
  <c r="D1464"/>
  <c r="G1376"/>
  <c r="G1377"/>
  <c r="D1465"/>
  <c r="D1544"/>
  <c r="G1456"/>
  <c r="G1374"/>
  <c r="D1462"/>
  <c r="D1554"/>
  <c r="G1479"/>
  <c r="D1567"/>
  <c r="M1482"/>
  <c r="G1394"/>
  <c r="G1403"/>
  <c r="M1491"/>
  <c r="G1375"/>
  <c r="D1463"/>
  <c r="D1471"/>
  <c r="G1383"/>
  <c r="G1635"/>
  <c r="G1492"/>
  <c r="D1557"/>
  <c r="G1469"/>
  <c r="D1561"/>
  <c r="G1473"/>
  <c r="G1461"/>
  <c r="D1549"/>
  <c r="G1623"/>
  <c r="D1711"/>
  <c r="D1568"/>
  <c r="G1480"/>
  <c r="G1390"/>
  <c r="D1478"/>
  <c r="M1435"/>
  <c r="M1418"/>
  <c r="G1445"/>
  <c r="D1533"/>
  <c r="D1541"/>
  <c r="G1453"/>
  <c r="D1633"/>
  <c r="G1545"/>
  <c r="D1626"/>
  <c r="G1538"/>
  <c r="G1438"/>
  <c r="D1526"/>
  <c r="M1513"/>
  <c r="M1433"/>
  <c r="M1419"/>
  <c r="D1460"/>
  <c r="D1560"/>
  <c r="G1472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328"/>
  <c r="B329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463"/>
  <c r="B464"/>
  <c r="B465"/>
  <c r="B466"/>
  <c r="B467"/>
  <c r="B468"/>
  <c r="B469"/>
  <c r="B470"/>
  <c r="B471"/>
  <c r="B472"/>
  <c r="B473"/>
  <c r="B474"/>
  <c r="B475"/>
  <c r="B476"/>
  <c r="B477"/>
  <c r="B478"/>
  <c r="B479"/>
  <c r="B480"/>
  <c r="B481"/>
  <c r="B482"/>
  <c r="B483"/>
  <c r="B484"/>
  <c r="B485"/>
  <c r="B486"/>
  <c r="B487"/>
  <c r="B488"/>
  <c r="B489"/>
  <c r="B490"/>
  <c r="B491"/>
  <c r="B492"/>
  <c r="B493"/>
  <c r="B494"/>
  <c r="B495"/>
  <c r="B496"/>
  <c r="B497"/>
  <c r="B498"/>
  <c r="B499"/>
  <c r="B500"/>
  <c r="B501"/>
  <c r="B502"/>
  <c r="B503"/>
  <c r="B504"/>
  <c r="B505"/>
  <c r="B506"/>
  <c r="B507"/>
  <c r="B508"/>
  <c r="B509"/>
  <c r="B510"/>
  <c r="B511"/>
  <c r="B512"/>
  <c r="B513"/>
  <c r="B514"/>
  <c r="B515"/>
  <c r="B516"/>
  <c r="B517"/>
  <c r="B518"/>
  <c r="B519"/>
  <c r="B520"/>
  <c r="B521"/>
  <c r="B522"/>
  <c r="B523"/>
  <c r="B524"/>
  <c r="B525"/>
  <c r="B526"/>
  <c r="B527"/>
  <c r="B528"/>
  <c r="B529"/>
  <c r="B530"/>
  <c r="B531"/>
  <c r="B532"/>
  <c r="B533"/>
  <c r="B534"/>
  <c r="B535"/>
  <c r="B536"/>
  <c r="B537"/>
  <c r="B538"/>
  <c r="B539"/>
  <c r="B540"/>
  <c r="B541"/>
  <c r="B542"/>
  <c r="B543"/>
  <c r="B544"/>
  <c r="B545"/>
  <c r="B546"/>
  <c r="B547"/>
  <c r="B548"/>
  <c r="B549"/>
  <c r="B550"/>
  <c r="B551"/>
  <c r="B552"/>
  <c r="B553"/>
  <c r="B554"/>
  <c r="B555"/>
  <c r="B556"/>
  <c r="B557"/>
  <c r="B558"/>
  <c r="B559"/>
  <c r="B560"/>
  <c r="B561"/>
  <c r="B562"/>
  <c r="B563"/>
  <c r="B564"/>
  <c r="B565"/>
  <c r="B566"/>
  <c r="B567"/>
  <c r="B568"/>
  <c r="B569"/>
  <c r="B570"/>
  <c r="B571"/>
  <c r="B572"/>
  <c r="B573"/>
  <c r="B574"/>
  <c r="B575"/>
  <c r="B576"/>
  <c r="B577"/>
  <c r="B665" s="1"/>
  <c r="B753" s="1"/>
  <c r="B841" s="1"/>
  <c r="B929" s="1"/>
  <c r="B1017" s="1"/>
  <c r="B1105" s="1"/>
  <c r="B1193" s="1"/>
  <c r="B1281" s="1"/>
  <c r="B1369" s="1"/>
  <c r="B1457" s="1"/>
  <c r="B1545" s="1"/>
  <c r="B1633" s="1"/>
  <c r="B1721" s="1"/>
  <c r="B578"/>
  <c r="B666" s="1"/>
  <c r="B754" s="1"/>
  <c r="B842" s="1"/>
  <c r="B930" s="1"/>
  <c r="B1018" s="1"/>
  <c r="B1106" s="1"/>
  <c r="B1194" s="1"/>
  <c r="B1282" s="1"/>
  <c r="B1370" s="1"/>
  <c r="B1458" s="1"/>
  <c r="B1546" s="1"/>
  <c r="B1634" s="1"/>
  <c r="B1722" s="1"/>
  <c r="B579"/>
  <c r="B667" s="1"/>
  <c r="B755" s="1"/>
  <c r="B843" s="1"/>
  <c r="B931" s="1"/>
  <c r="B1019" s="1"/>
  <c r="B1107" s="1"/>
  <c r="B1195" s="1"/>
  <c r="B1283" s="1"/>
  <c r="B1371" s="1"/>
  <c r="B1459" s="1"/>
  <c r="B1547" s="1"/>
  <c r="B1635" s="1"/>
  <c r="B1723" s="1"/>
  <c r="B580"/>
  <c r="B668" s="1"/>
  <c r="B756" s="1"/>
  <c r="B844" s="1"/>
  <c r="B932" s="1"/>
  <c r="B1020" s="1"/>
  <c r="B1108" s="1"/>
  <c r="B1196" s="1"/>
  <c r="B1284" s="1"/>
  <c r="B1372" s="1"/>
  <c r="B1460" s="1"/>
  <c r="B1548" s="1"/>
  <c r="B1636" s="1"/>
  <c r="B1724" s="1"/>
  <c r="B581"/>
  <c r="B669" s="1"/>
  <c r="B757" s="1"/>
  <c r="B845" s="1"/>
  <c r="B933" s="1"/>
  <c r="B1021" s="1"/>
  <c r="B1109" s="1"/>
  <c r="B1197" s="1"/>
  <c r="B1285" s="1"/>
  <c r="B1373" s="1"/>
  <c r="B1461" s="1"/>
  <c r="B1549" s="1"/>
  <c r="B1637" s="1"/>
  <c r="B1725" s="1"/>
  <c r="B582"/>
  <c r="B670" s="1"/>
  <c r="B758" s="1"/>
  <c r="B846" s="1"/>
  <c r="B934" s="1"/>
  <c r="B1022" s="1"/>
  <c r="B1110" s="1"/>
  <c r="B1198" s="1"/>
  <c r="B1286" s="1"/>
  <c r="B1374" s="1"/>
  <c r="B1462" s="1"/>
  <c r="B1550" s="1"/>
  <c r="B1638" s="1"/>
  <c r="B1726" s="1"/>
  <c r="B583"/>
  <c r="B671" s="1"/>
  <c r="B759" s="1"/>
  <c r="B847" s="1"/>
  <c r="B935" s="1"/>
  <c r="B1023" s="1"/>
  <c r="B1111" s="1"/>
  <c r="B1199" s="1"/>
  <c r="B1287" s="1"/>
  <c r="B1375" s="1"/>
  <c r="B1463" s="1"/>
  <c r="B1551" s="1"/>
  <c r="B1639" s="1"/>
  <c r="B1727" s="1"/>
  <c r="B584"/>
  <c r="B672" s="1"/>
  <c r="B760" s="1"/>
  <c r="B848" s="1"/>
  <c r="B936" s="1"/>
  <c r="B1024" s="1"/>
  <c r="B1112" s="1"/>
  <c r="B1200" s="1"/>
  <c r="B1288" s="1"/>
  <c r="B1376" s="1"/>
  <c r="B1464" s="1"/>
  <c r="B1552" s="1"/>
  <c r="B1640" s="1"/>
  <c r="B1728" s="1"/>
  <c r="B585"/>
  <c r="B673" s="1"/>
  <c r="B761" s="1"/>
  <c r="B849" s="1"/>
  <c r="B937" s="1"/>
  <c r="B1025" s="1"/>
  <c r="B1113" s="1"/>
  <c r="B1201" s="1"/>
  <c r="B1289" s="1"/>
  <c r="B1377" s="1"/>
  <c r="B1465" s="1"/>
  <c r="B1553" s="1"/>
  <c r="B1641" s="1"/>
  <c r="B1729" s="1"/>
  <c r="B586"/>
  <c r="B587"/>
  <c r="B675" s="1"/>
  <c r="B763" s="1"/>
  <c r="B851" s="1"/>
  <c r="B939" s="1"/>
  <c r="B1027" s="1"/>
  <c r="B1115" s="1"/>
  <c r="B1203" s="1"/>
  <c r="B1291" s="1"/>
  <c r="B1379" s="1"/>
  <c r="B1467" s="1"/>
  <c r="B1555" s="1"/>
  <c r="B1643" s="1"/>
  <c r="B1731" s="1"/>
  <c r="B588"/>
  <c r="B676" s="1"/>
  <c r="B764" s="1"/>
  <c r="B852" s="1"/>
  <c r="B940" s="1"/>
  <c r="B1028" s="1"/>
  <c r="B1116" s="1"/>
  <c r="B1204" s="1"/>
  <c r="B1292" s="1"/>
  <c r="B1380" s="1"/>
  <c r="B1468" s="1"/>
  <c r="B1556" s="1"/>
  <c r="B1644" s="1"/>
  <c r="B1732" s="1"/>
  <c r="B589"/>
  <c r="B677" s="1"/>
  <c r="B765" s="1"/>
  <c r="B853" s="1"/>
  <c r="B941" s="1"/>
  <c r="B1029" s="1"/>
  <c r="B1117" s="1"/>
  <c r="B1205" s="1"/>
  <c r="B1293" s="1"/>
  <c r="B1381" s="1"/>
  <c r="B1469" s="1"/>
  <c r="B1557" s="1"/>
  <c r="B1645" s="1"/>
  <c r="B1733" s="1"/>
  <c r="B590"/>
  <c r="B678" s="1"/>
  <c r="B766" s="1"/>
  <c r="B854" s="1"/>
  <c r="B942" s="1"/>
  <c r="B1030" s="1"/>
  <c r="B1118" s="1"/>
  <c r="B1206" s="1"/>
  <c r="B1294" s="1"/>
  <c r="B1382" s="1"/>
  <c r="B1470" s="1"/>
  <c r="B1558" s="1"/>
  <c r="B1646" s="1"/>
  <c r="B1734" s="1"/>
  <c r="B591"/>
  <c r="B679" s="1"/>
  <c r="B767" s="1"/>
  <c r="B855" s="1"/>
  <c r="B943" s="1"/>
  <c r="B1031" s="1"/>
  <c r="B1119" s="1"/>
  <c r="B1207" s="1"/>
  <c r="B1295" s="1"/>
  <c r="B1383" s="1"/>
  <c r="B1471" s="1"/>
  <c r="B1559" s="1"/>
  <c r="B1647" s="1"/>
  <c r="B1735" s="1"/>
  <c r="B592"/>
  <c r="B680" s="1"/>
  <c r="B768" s="1"/>
  <c r="B856" s="1"/>
  <c r="B944" s="1"/>
  <c r="B1032" s="1"/>
  <c r="B1120" s="1"/>
  <c r="B1208" s="1"/>
  <c r="B1296" s="1"/>
  <c r="B1384" s="1"/>
  <c r="B1472" s="1"/>
  <c r="B1560" s="1"/>
  <c r="B1648" s="1"/>
  <c r="B1736" s="1"/>
  <c r="B593"/>
  <c r="B681" s="1"/>
  <c r="B769" s="1"/>
  <c r="B857" s="1"/>
  <c r="B945" s="1"/>
  <c r="B1033" s="1"/>
  <c r="B1121" s="1"/>
  <c r="B1209" s="1"/>
  <c r="B1297" s="1"/>
  <c r="B1385" s="1"/>
  <c r="B1473" s="1"/>
  <c r="B1561" s="1"/>
  <c r="B1649" s="1"/>
  <c r="B1737" s="1"/>
  <c r="B594"/>
  <c r="B682" s="1"/>
  <c r="B770" s="1"/>
  <c r="B858" s="1"/>
  <c r="B946" s="1"/>
  <c r="B1034" s="1"/>
  <c r="B1122" s="1"/>
  <c r="B1210" s="1"/>
  <c r="B1298" s="1"/>
  <c r="B1386" s="1"/>
  <c r="B1474" s="1"/>
  <c r="B1562" s="1"/>
  <c r="B1650" s="1"/>
  <c r="B1738" s="1"/>
  <c r="B595"/>
  <c r="B683" s="1"/>
  <c r="B771" s="1"/>
  <c r="B859" s="1"/>
  <c r="B947" s="1"/>
  <c r="B1035" s="1"/>
  <c r="B1123" s="1"/>
  <c r="B1211" s="1"/>
  <c r="B1299" s="1"/>
  <c r="B1387" s="1"/>
  <c r="B1475" s="1"/>
  <c r="B1563" s="1"/>
  <c r="B1651" s="1"/>
  <c r="B1739" s="1"/>
  <c r="B596"/>
  <c r="B684" s="1"/>
  <c r="B772" s="1"/>
  <c r="B860" s="1"/>
  <c r="B948" s="1"/>
  <c r="B1036" s="1"/>
  <c r="B1124" s="1"/>
  <c r="B1212" s="1"/>
  <c r="B1300" s="1"/>
  <c r="B1388" s="1"/>
  <c r="B1476" s="1"/>
  <c r="B1564" s="1"/>
  <c r="B1652" s="1"/>
  <c r="B1740" s="1"/>
  <c r="B597"/>
  <c r="B685" s="1"/>
  <c r="B773" s="1"/>
  <c r="B861" s="1"/>
  <c r="B949" s="1"/>
  <c r="B1037" s="1"/>
  <c r="B1125" s="1"/>
  <c r="B1213" s="1"/>
  <c r="B1301" s="1"/>
  <c r="B1389" s="1"/>
  <c r="B1477" s="1"/>
  <c r="B1565" s="1"/>
  <c r="B1653" s="1"/>
  <c r="B1741" s="1"/>
  <c r="B598"/>
  <c r="B686" s="1"/>
  <c r="B774" s="1"/>
  <c r="B862" s="1"/>
  <c r="B950" s="1"/>
  <c r="B1038" s="1"/>
  <c r="B1126" s="1"/>
  <c r="B1214" s="1"/>
  <c r="B1302" s="1"/>
  <c r="B1390" s="1"/>
  <c r="B1478" s="1"/>
  <c r="B1566" s="1"/>
  <c r="B1654" s="1"/>
  <c r="B1742" s="1"/>
  <c r="B599"/>
  <c r="B687" s="1"/>
  <c r="B775" s="1"/>
  <c r="B863" s="1"/>
  <c r="B951" s="1"/>
  <c r="B1039" s="1"/>
  <c r="B1127" s="1"/>
  <c r="B1215" s="1"/>
  <c r="B1303" s="1"/>
  <c r="B1391" s="1"/>
  <c r="B1479" s="1"/>
  <c r="B1567" s="1"/>
  <c r="B1655" s="1"/>
  <c r="B1743" s="1"/>
  <c r="B600"/>
  <c r="B688" s="1"/>
  <c r="B776" s="1"/>
  <c r="B864" s="1"/>
  <c r="B952" s="1"/>
  <c r="B1040" s="1"/>
  <c r="B1128" s="1"/>
  <c r="B1216" s="1"/>
  <c r="B1304" s="1"/>
  <c r="B1392" s="1"/>
  <c r="B1480" s="1"/>
  <c r="B1568" s="1"/>
  <c r="B1656" s="1"/>
  <c r="B1744" s="1"/>
  <c r="B601"/>
  <c r="B689" s="1"/>
  <c r="B777" s="1"/>
  <c r="B865" s="1"/>
  <c r="B953" s="1"/>
  <c r="B1041" s="1"/>
  <c r="B1129" s="1"/>
  <c r="B1217" s="1"/>
  <c r="B1305" s="1"/>
  <c r="B1393" s="1"/>
  <c r="B1481" s="1"/>
  <c r="B1569" s="1"/>
  <c r="B1657" s="1"/>
  <c r="B1745" s="1"/>
  <c r="B602"/>
  <c r="B603"/>
  <c r="B691" s="1"/>
  <c r="B779" s="1"/>
  <c r="B867" s="1"/>
  <c r="B955" s="1"/>
  <c r="B1043" s="1"/>
  <c r="B1131" s="1"/>
  <c r="B1219" s="1"/>
  <c r="B1307" s="1"/>
  <c r="B1395" s="1"/>
  <c r="B1483" s="1"/>
  <c r="B1571" s="1"/>
  <c r="B1659" s="1"/>
  <c r="B1747" s="1"/>
  <c r="B604"/>
  <c r="B692" s="1"/>
  <c r="B780" s="1"/>
  <c r="B868" s="1"/>
  <c r="B956" s="1"/>
  <c r="B1044" s="1"/>
  <c r="B1132" s="1"/>
  <c r="B1220" s="1"/>
  <c r="B1308" s="1"/>
  <c r="B1396" s="1"/>
  <c r="B1484" s="1"/>
  <c r="B1572" s="1"/>
  <c r="B1660" s="1"/>
  <c r="B1748" s="1"/>
  <c r="B605"/>
  <c r="B693" s="1"/>
  <c r="B781" s="1"/>
  <c r="B869" s="1"/>
  <c r="B957" s="1"/>
  <c r="B1045" s="1"/>
  <c r="B1133" s="1"/>
  <c r="B1221" s="1"/>
  <c r="B1309" s="1"/>
  <c r="B1397" s="1"/>
  <c r="B1485" s="1"/>
  <c r="B1573" s="1"/>
  <c r="B1661" s="1"/>
  <c r="B1749" s="1"/>
  <c r="B606"/>
  <c r="B694" s="1"/>
  <c r="B782" s="1"/>
  <c r="B870" s="1"/>
  <c r="B958" s="1"/>
  <c r="B1046" s="1"/>
  <c r="B1134" s="1"/>
  <c r="B1222" s="1"/>
  <c r="B1310" s="1"/>
  <c r="B1398" s="1"/>
  <c r="B1486" s="1"/>
  <c r="B1574" s="1"/>
  <c r="B1662" s="1"/>
  <c r="B1750" s="1"/>
  <c r="B607"/>
  <c r="B695" s="1"/>
  <c r="B783" s="1"/>
  <c r="B871" s="1"/>
  <c r="B959" s="1"/>
  <c r="B1047" s="1"/>
  <c r="B1135" s="1"/>
  <c r="B1223" s="1"/>
  <c r="B1311" s="1"/>
  <c r="B1399" s="1"/>
  <c r="B1487" s="1"/>
  <c r="B1575" s="1"/>
  <c r="B1663" s="1"/>
  <c r="B1751" s="1"/>
  <c r="B608"/>
  <c r="B696" s="1"/>
  <c r="B784" s="1"/>
  <c r="B872" s="1"/>
  <c r="B960" s="1"/>
  <c r="B1048" s="1"/>
  <c r="B1136" s="1"/>
  <c r="B1224" s="1"/>
  <c r="B1312" s="1"/>
  <c r="B1400" s="1"/>
  <c r="B1488" s="1"/>
  <c r="B1576" s="1"/>
  <c r="B1664" s="1"/>
  <c r="B1752" s="1"/>
  <c r="B609"/>
  <c r="B697" s="1"/>
  <c r="B785" s="1"/>
  <c r="B873" s="1"/>
  <c r="B961" s="1"/>
  <c r="B1049" s="1"/>
  <c r="B1137" s="1"/>
  <c r="B1225" s="1"/>
  <c r="B1313" s="1"/>
  <c r="B1401" s="1"/>
  <c r="B1489" s="1"/>
  <c r="B1577" s="1"/>
  <c r="B1665" s="1"/>
  <c r="B1753" s="1"/>
  <c r="B610"/>
  <c r="B698" s="1"/>
  <c r="B786" s="1"/>
  <c r="B874" s="1"/>
  <c r="B962" s="1"/>
  <c r="B1050" s="1"/>
  <c r="B1138" s="1"/>
  <c r="B1226" s="1"/>
  <c r="B1314" s="1"/>
  <c r="B1402" s="1"/>
  <c r="B1490" s="1"/>
  <c r="B1578" s="1"/>
  <c r="B1666" s="1"/>
  <c r="B1754" s="1"/>
  <c r="B611"/>
  <c r="B699" s="1"/>
  <c r="B787" s="1"/>
  <c r="B875" s="1"/>
  <c r="B963" s="1"/>
  <c r="B1051" s="1"/>
  <c r="B1139" s="1"/>
  <c r="B1227" s="1"/>
  <c r="B1315" s="1"/>
  <c r="B1403" s="1"/>
  <c r="B1491" s="1"/>
  <c r="B1579" s="1"/>
  <c r="B1667" s="1"/>
  <c r="B1755" s="1"/>
  <c r="B612"/>
  <c r="B700" s="1"/>
  <c r="B788" s="1"/>
  <c r="B876" s="1"/>
  <c r="B964" s="1"/>
  <c r="B1052" s="1"/>
  <c r="B1140" s="1"/>
  <c r="B1228" s="1"/>
  <c r="B1316" s="1"/>
  <c r="B1404" s="1"/>
  <c r="B1492" s="1"/>
  <c r="B1580" s="1"/>
  <c r="B1668" s="1"/>
  <c r="B1756" s="1"/>
  <c r="B613"/>
  <c r="B701" s="1"/>
  <c r="B789" s="1"/>
  <c r="B877" s="1"/>
  <c r="B965" s="1"/>
  <c r="B1053" s="1"/>
  <c r="B1141" s="1"/>
  <c r="B1229" s="1"/>
  <c r="B1317" s="1"/>
  <c r="B1405" s="1"/>
  <c r="B1493" s="1"/>
  <c r="B1581" s="1"/>
  <c r="B1669" s="1"/>
  <c r="B1757" s="1"/>
  <c r="B614"/>
  <c r="B702" s="1"/>
  <c r="B790" s="1"/>
  <c r="B878" s="1"/>
  <c r="B966" s="1"/>
  <c r="B1054" s="1"/>
  <c r="B1142" s="1"/>
  <c r="B1230" s="1"/>
  <c r="B1318" s="1"/>
  <c r="B1406" s="1"/>
  <c r="B1494" s="1"/>
  <c r="B1582" s="1"/>
  <c r="B1670" s="1"/>
  <c r="B1758" s="1"/>
  <c r="B615"/>
  <c r="B703" s="1"/>
  <c r="B791" s="1"/>
  <c r="B879" s="1"/>
  <c r="B967" s="1"/>
  <c r="B1055" s="1"/>
  <c r="B1143" s="1"/>
  <c r="B1231" s="1"/>
  <c r="B1319" s="1"/>
  <c r="B1407" s="1"/>
  <c r="B1495" s="1"/>
  <c r="B1583" s="1"/>
  <c r="B1671" s="1"/>
  <c r="B1759" s="1"/>
  <c r="B616"/>
  <c r="B704" s="1"/>
  <c r="B792" s="1"/>
  <c r="B880" s="1"/>
  <c r="B968" s="1"/>
  <c r="B1056" s="1"/>
  <c r="B1144" s="1"/>
  <c r="B1232" s="1"/>
  <c r="B1320" s="1"/>
  <c r="B1408" s="1"/>
  <c r="B1496" s="1"/>
  <c r="B1584" s="1"/>
  <c r="B1672" s="1"/>
  <c r="B1760" s="1"/>
  <c r="B617"/>
  <c r="B705" s="1"/>
  <c r="B793" s="1"/>
  <c r="B881" s="1"/>
  <c r="B969" s="1"/>
  <c r="B1057" s="1"/>
  <c r="B1145" s="1"/>
  <c r="B1233" s="1"/>
  <c r="B1321" s="1"/>
  <c r="B1409" s="1"/>
  <c r="B1497" s="1"/>
  <c r="B1585" s="1"/>
  <c r="B1673" s="1"/>
  <c r="B1761" s="1"/>
  <c r="B618"/>
  <c r="B706" s="1"/>
  <c r="B794" s="1"/>
  <c r="B882" s="1"/>
  <c r="B970" s="1"/>
  <c r="B1058" s="1"/>
  <c r="B1146" s="1"/>
  <c r="B1234" s="1"/>
  <c r="B1322" s="1"/>
  <c r="B1410" s="1"/>
  <c r="B1498" s="1"/>
  <c r="B1586" s="1"/>
  <c r="B1674" s="1"/>
  <c r="B1762" s="1"/>
  <c r="B619"/>
  <c r="B707" s="1"/>
  <c r="B795" s="1"/>
  <c r="B883" s="1"/>
  <c r="B971" s="1"/>
  <c r="B1059" s="1"/>
  <c r="B1147" s="1"/>
  <c r="B1235" s="1"/>
  <c r="B1323" s="1"/>
  <c r="B1411" s="1"/>
  <c r="B1499" s="1"/>
  <c r="B1587" s="1"/>
  <c r="B1675" s="1"/>
  <c r="B1763" s="1"/>
  <c r="B620"/>
  <c r="B708" s="1"/>
  <c r="B796" s="1"/>
  <c r="B884" s="1"/>
  <c r="B972" s="1"/>
  <c r="B1060" s="1"/>
  <c r="B1148" s="1"/>
  <c r="B1236" s="1"/>
  <c r="B1324" s="1"/>
  <c r="B1412" s="1"/>
  <c r="B1500" s="1"/>
  <c r="B1588" s="1"/>
  <c r="B1676" s="1"/>
  <c r="B1764" s="1"/>
  <c r="B621"/>
  <c r="B709" s="1"/>
  <c r="B797" s="1"/>
  <c r="B885" s="1"/>
  <c r="B973" s="1"/>
  <c r="B1061" s="1"/>
  <c r="B1149" s="1"/>
  <c r="B1237" s="1"/>
  <c r="B1325" s="1"/>
  <c r="B1413" s="1"/>
  <c r="B1501" s="1"/>
  <c r="B1589" s="1"/>
  <c r="B1677" s="1"/>
  <c r="B1765" s="1"/>
  <c r="B622"/>
  <c r="B710" s="1"/>
  <c r="B798" s="1"/>
  <c r="B886" s="1"/>
  <c r="B974" s="1"/>
  <c r="B1062" s="1"/>
  <c r="B1150" s="1"/>
  <c r="B1238" s="1"/>
  <c r="B1326" s="1"/>
  <c r="B1414" s="1"/>
  <c r="B1502" s="1"/>
  <c r="B1590" s="1"/>
  <c r="B1678" s="1"/>
  <c r="B1766" s="1"/>
  <c r="B623"/>
  <c r="B711" s="1"/>
  <c r="B799" s="1"/>
  <c r="B887" s="1"/>
  <c r="B975" s="1"/>
  <c r="B1063" s="1"/>
  <c r="B1151" s="1"/>
  <c r="B1239" s="1"/>
  <c r="B1327" s="1"/>
  <c r="B1415" s="1"/>
  <c r="B1503" s="1"/>
  <c r="B1591" s="1"/>
  <c r="B1679" s="1"/>
  <c r="B1767" s="1"/>
  <c r="B624"/>
  <c r="B712" s="1"/>
  <c r="B800" s="1"/>
  <c r="B888" s="1"/>
  <c r="B976" s="1"/>
  <c r="B1064" s="1"/>
  <c r="B1152" s="1"/>
  <c r="B1240" s="1"/>
  <c r="B1328" s="1"/>
  <c r="B1416" s="1"/>
  <c r="B1504" s="1"/>
  <c r="B1592" s="1"/>
  <c r="B1680" s="1"/>
  <c r="B1768" s="1"/>
  <c r="B625"/>
  <c r="B713" s="1"/>
  <c r="B801" s="1"/>
  <c r="B889" s="1"/>
  <c r="B977" s="1"/>
  <c r="B1065" s="1"/>
  <c r="B1153" s="1"/>
  <c r="B1241" s="1"/>
  <c r="B1329" s="1"/>
  <c r="B1417" s="1"/>
  <c r="B1505" s="1"/>
  <c r="B1593" s="1"/>
  <c r="B1681" s="1"/>
  <c r="B1769" s="1"/>
  <c r="B626"/>
  <c r="B714" s="1"/>
  <c r="B802" s="1"/>
  <c r="B890" s="1"/>
  <c r="B978" s="1"/>
  <c r="B1066" s="1"/>
  <c r="B1154" s="1"/>
  <c r="B1242" s="1"/>
  <c r="B1330" s="1"/>
  <c r="B1418" s="1"/>
  <c r="B1506" s="1"/>
  <c r="B1594" s="1"/>
  <c r="B1682" s="1"/>
  <c r="B1770" s="1"/>
  <c r="B627"/>
  <c r="B715" s="1"/>
  <c r="B803" s="1"/>
  <c r="B891" s="1"/>
  <c r="B979" s="1"/>
  <c r="B1067" s="1"/>
  <c r="B1155" s="1"/>
  <c r="B1243" s="1"/>
  <c r="B1331" s="1"/>
  <c r="B1419" s="1"/>
  <c r="B1507" s="1"/>
  <c r="B1595" s="1"/>
  <c r="B1683" s="1"/>
  <c r="B1771" s="1"/>
  <c r="B628"/>
  <c r="B716" s="1"/>
  <c r="B804" s="1"/>
  <c r="B892" s="1"/>
  <c r="B980" s="1"/>
  <c r="B1068" s="1"/>
  <c r="B1156" s="1"/>
  <c r="B1244" s="1"/>
  <c r="B1332" s="1"/>
  <c r="B1420" s="1"/>
  <c r="B1508" s="1"/>
  <c r="B1596" s="1"/>
  <c r="B1684" s="1"/>
  <c r="B1772" s="1"/>
  <c r="B629"/>
  <c r="B717" s="1"/>
  <c r="B805" s="1"/>
  <c r="B893" s="1"/>
  <c r="B981" s="1"/>
  <c r="B1069" s="1"/>
  <c r="B1157" s="1"/>
  <c r="B1245" s="1"/>
  <c r="B1333" s="1"/>
  <c r="B1421" s="1"/>
  <c r="B1509" s="1"/>
  <c r="B1597" s="1"/>
  <c r="B1685" s="1"/>
  <c r="B1773" s="1"/>
  <c r="B630"/>
  <c r="B718" s="1"/>
  <c r="B806" s="1"/>
  <c r="B894" s="1"/>
  <c r="B982" s="1"/>
  <c r="B1070" s="1"/>
  <c r="B1158" s="1"/>
  <c r="B1246" s="1"/>
  <c r="B1334" s="1"/>
  <c r="B1422" s="1"/>
  <c r="B1510" s="1"/>
  <c r="B1598" s="1"/>
  <c r="B1686" s="1"/>
  <c r="B1774" s="1"/>
  <c r="B631"/>
  <c r="B719" s="1"/>
  <c r="B807" s="1"/>
  <c r="B895" s="1"/>
  <c r="B983" s="1"/>
  <c r="B1071" s="1"/>
  <c r="B1159" s="1"/>
  <c r="B1247" s="1"/>
  <c r="B1335" s="1"/>
  <c r="B1423" s="1"/>
  <c r="B1511" s="1"/>
  <c r="B1599" s="1"/>
  <c r="B1687" s="1"/>
  <c r="B1775" s="1"/>
  <c r="B632"/>
  <c r="B720" s="1"/>
  <c r="B808" s="1"/>
  <c r="B896" s="1"/>
  <c r="B984" s="1"/>
  <c r="B1072" s="1"/>
  <c r="B1160" s="1"/>
  <c r="B1248" s="1"/>
  <c r="B1336" s="1"/>
  <c r="B1424" s="1"/>
  <c r="B1512" s="1"/>
  <c r="B1600" s="1"/>
  <c r="B1688" s="1"/>
  <c r="B1776" s="1"/>
  <c r="B633"/>
  <c r="B721" s="1"/>
  <c r="B809" s="1"/>
  <c r="B897" s="1"/>
  <c r="B985" s="1"/>
  <c r="B1073" s="1"/>
  <c r="B1161" s="1"/>
  <c r="B1249" s="1"/>
  <c r="B1337" s="1"/>
  <c r="B1425" s="1"/>
  <c r="B1513" s="1"/>
  <c r="B1601" s="1"/>
  <c r="B1689" s="1"/>
  <c r="B1777" s="1"/>
  <c r="B634"/>
  <c r="B722" s="1"/>
  <c r="B810" s="1"/>
  <c r="B898" s="1"/>
  <c r="B986" s="1"/>
  <c r="B1074" s="1"/>
  <c r="B1162" s="1"/>
  <c r="B1250" s="1"/>
  <c r="B1338" s="1"/>
  <c r="B1426" s="1"/>
  <c r="B1514" s="1"/>
  <c r="B1602" s="1"/>
  <c r="B1690" s="1"/>
  <c r="B1778" s="1"/>
  <c r="B635"/>
  <c r="B723" s="1"/>
  <c r="B811" s="1"/>
  <c r="B899" s="1"/>
  <c r="B987" s="1"/>
  <c r="B1075" s="1"/>
  <c r="B1163" s="1"/>
  <c r="B1251" s="1"/>
  <c r="B1339" s="1"/>
  <c r="B1427" s="1"/>
  <c r="B1515" s="1"/>
  <c r="B1603" s="1"/>
  <c r="B1691" s="1"/>
  <c r="B1779" s="1"/>
  <c r="B636"/>
  <c r="B724" s="1"/>
  <c r="B812" s="1"/>
  <c r="B900" s="1"/>
  <c r="B988" s="1"/>
  <c r="B1076" s="1"/>
  <c r="B1164" s="1"/>
  <c r="B1252" s="1"/>
  <c r="B1340" s="1"/>
  <c r="B1428" s="1"/>
  <c r="B1516" s="1"/>
  <c r="B1604" s="1"/>
  <c r="B1692" s="1"/>
  <c r="B1780" s="1"/>
  <c r="B637"/>
  <c r="B725" s="1"/>
  <c r="B813" s="1"/>
  <c r="B901" s="1"/>
  <c r="B989" s="1"/>
  <c r="B1077" s="1"/>
  <c r="B1165" s="1"/>
  <c r="B1253" s="1"/>
  <c r="B1341" s="1"/>
  <c r="B1429" s="1"/>
  <c r="B1517" s="1"/>
  <c r="B1605" s="1"/>
  <c r="B1693" s="1"/>
  <c r="B1781" s="1"/>
  <c r="B638"/>
  <c r="B726" s="1"/>
  <c r="B814" s="1"/>
  <c r="B902" s="1"/>
  <c r="B990" s="1"/>
  <c r="B1078" s="1"/>
  <c r="B1166" s="1"/>
  <c r="B1254" s="1"/>
  <c r="B1342" s="1"/>
  <c r="B1430" s="1"/>
  <c r="B1518" s="1"/>
  <c r="B1606" s="1"/>
  <c r="B1694" s="1"/>
  <c r="B1782" s="1"/>
  <c r="B639"/>
  <c r="B727" s="1"/>
  <c r="B815" s="1"/>
  <c r="B903" s="1"/>
  <c r="B991" s="1"/>
  <c r="B1079" s="1"/>
  <c r="B1167" s="1"/>
  <c r="B1255" s="1"/>
  <c r="B1343" s="1"/>
  <c r="B1431" s="1"/>
  <c r="B1519" s="1"/>
  <c r="B1607" s="1"/>
  <c r="B1695" s="1"/>
  <c r="B1783" s="1"/>
  <c r="B640"/>
  <c r="B728" s="1"/>
  <c r="B816" s="1"/>
  <c r="B904" s="1"/>
  <c r="B992" s="1"/>
  <c r="B1080" s="1"/>
  <c r="B1168" s="1"/>
  <c r="B1256" s="1"/>
  <c r="B1344" s="1"/>
  <c r="B1432" s="1"/>
  <c r="B1520" s="1"/>
  <c r="B1608" s="1"/>
  <c r="B1696" s="1"/>
  <c r="B1784" s="1"/>
  <c r="B641"/>
  <c r="B729" s="1"/>
  <c r="B817" s="1"/>
  <c r="B905" s="1"/>
  <c r="B993" s="1"/>
  <c r="B1081" s="1"/>
  <c r="B1169" s="1"/>
  <c r="B1257" s="1"/>
  <c r="B1345" s="1"/>
  <c r="B1433" s="1"/>
  <c r="B1521" s="1"/>
  <c r="B1609" s="1"/>
  <c r="B1697" s="1"/>
  <c r="B1785" s="1"/>
  <c r="B642"/>
  <c r="B730" s="1"/>
  <c r="B818" s="1"/>
  <c r="B906" s="1"/>
  <c r="B994" s="1"/>
  <c r="B1082" s="1"/>
  <c r="B1170" s="1"/>
  <c r="B1258" s="1"/>
  <c r="B1346" s="1"/>
  <c r="B1434" s="1"/>
  <c r="B1522" s="1"/>
  <c r="B1610" s="1"/>
  <c r="B1698" s="1"/>
  <c r="B1786" s="1"/>
  <c r="B643"/>
  <c r="B731" s="1"/>
  <c r="B819" s="1"/>
  <c r="B907" s="1"/>
  <c r="B995" s="1"/>
  <c r="B1083" s="1"/>
  <c r="B1171" s="1"/>
  <c r="B1259" s="1"/>
  <c r="B1347" s="1"/>
  <c r="B1435" s="1"/>
  <c r="B1523" s="1"/>
  <c r="B1611" s="1"/>
  <c r="B1699" s="1"/>
  <c r="B1787" s="1"/>
  <c r="B644"/>
  <c r="B732" s="1"/>
  <c r="B820" s="1"/>
  <c r="B908" s="1"/>
  <c r="B996" s="1"/>
  <c r="B1084" s="1"/>
  <c r="B1172" s="1"/>
  <c r="B1260" s="1"/>
  <c r="B1348" s="1"/>
  <c r="B1436" s="1"/>
  <c r="B1524" s="1"/>
  <c r="B1612" s="1"/>
  <c r="B1700" s="1"/>
  <c r="B1788" s="1"/>
  <c r="B645"/>
  <c r="B733" s="1"/>
  <c r="B821" s="1"/>
  <c r="B909" s="1"/>
  <c r="B997" s="1"/>
  <c r="B1085" s="1"/>
  <c r="B1173" s="1"/>
  <c r="B1261" s="1"/>
  <c r="B1349" s="1"/>
  <c r="B1437" s="1"/>
  <c r="B1525" s="1"/>
  <c r="B1613" s="1"/>
  <c r="B1701" s="1"/>
  <c r="B1789" s="1"/>
  <c r="B646"/>
  <c r="B734" s="1"/>
  <c r="B822" s="1"/>
  <c r="B910" s="1"/>
  <c r="B998" s="1"/>
  <c r="B1086" s="1"/>
  <c r="B1174" s="1"/>
  <c r="B1262" s="1"/>
  <c r="B1350" s="1"/>
  <c r="B1438" s="1"/>
  <c r="B1526" s="1"/>
  <c r="B1614" s="1"/>
  <c r="B1702" s="1"/>
  <c r="B647"/>
  <c r="B735" s="1"/>
  <c r="B823" s="1"/>
  <c r="B911" s="1"/>
  <c r="B999" s="1"/>
  <c r="B1087" s="1"/>
  <c r="B1175" s="1"/>
  <c r="B1263" s="1"/>
  <c r="B1351" s="1"/>
  <c r="B1439" s="1"/>
  <c r="B1527" s="1"/>
  <c r="B1615" s="1"/>
  <c r="B1703" s="1"/>
  <c r="B648"/>
  <c r="B736" s="1"/>
  <c r="B824" s="1"/>
  <c r="B912" s="1"/>
  <c r="B1000" s="1"/>
  <c r="B1088" s="1"/>
  <c r="B1176" s="1"/>
  <c r="B1264" s="1"/>
  <c r="B1352" s="1"/>
  <c r="B1440" s="1"/>
  <c r="B1528" s="1"/>
  <c r="B1616" s="1"/>
  <c r="B1704" s="1"/>
  <c r="B649"/>
  <c r="B737" s="1"/>
  <c r="B825" s="1"/>
  <c r="B913" s="1"/>
  <c r="B1001" s="1"/>
  <c r="B1089" s="1"/>
  <c r="B1177" s="1"/>
  <c r="B1265" s="1"/>
  <c r="B1353" s="1"/>
  <c r="B1441" s="1"/>
  <c r="B1529" s="1"/>
  <c r="B1617" s="1"/>
  <c r="B1705" s="1"/>
  <c r="B650"/>
  <c r="B738" s="1"/>
  <c r="B826" s="1"/>
  <c r="B914" s="1"/>
  <c r="B1002" s="1"/>
  <c r="B1090" s="1"/>
  <c r="B1178" s="1"/>
  <c r="B1266" s="1"/>
  <c r="B1354" s="1"/>
  <c r="B1442" s="1"/>
  <c r="B1530" s="1"/>
  <c r="B1618" s="1"/>
  <c r="B1706" s="1"/>
  <c r="B651"/>
  <c r="B739" s="1"/>
  <c r="B827" s="1"/>
  <c r="B915" s="1"/>
  <c r="B1003" s="1"/>
  <c r="B1091" s="1"/>
  <c r="B1179" s="1"/>
  <c r="B1267" s="1"/>
  <c r="B1355" s="1"/>
  <c r="B1443" s="1"/>
  <c r="B1531" s="1"/>
  <c r="B1619" s="1"/>
  <c r="B1707" s="1"/>
  <c r="B652"/>
  <c r="B740" s="1"/>
  <c r="B828" s="1"/>
  <c r="B916" s="1"/>
  <c r="B1004" s="1"/>
  <c r="B1092" s="1"/>
  <c r="B1180" s="1"/>
  <c r="B1268" s="1"/>
  <c r="B1356" s="1"/>
  <c r="B1444" s="1"/>
  <c r="B1532" s="1"/>
  <c r="B1620" s="1"/>
  <c r="B1708" s="1"/>
  <c r="B653"/>
  <c r="B741" s="1"/>
  <c r="B829" s="1"/>
  <c r="B917" s="1"/>
  <c r="B1005" s="1"/>
  <c r="B1093" s="1"/>
  <c r="B1181" s="1"/>
  <c r="B1269" s="1"/>
  <c r="B1357" s="1"/>
  <c r="B1445" s="1"/>
  <c r="B1533" s="1"/>
  <c r="B1621" s="1"/>
  <c r="B1709" s="1"/>
  <c r="B654"/>
  <c r="B742" s="1"/>
  <c r="B830" s="1"/>
  <c r="B918" s="1"/>
  <c r="B1006" s="1"/>
  <c r="B1094" s="1"/>
  <c r="B1182" s="1"/>
  <c r="B1270" s="1"/>
  <c r="B1358" s="1"/>
  <c r="B1446" s="1"/>
  <c r="B1534" s="1"/>
  <c r="B1622" s="1"/>
  <c r="B1710" s="1"/>
  <c r="B655"/>
  <c r="B743" s="1"/>
  <c r="B831" s="1"/>
  <c r="B919" s="1"/>
  <c r="B1007" s="1"/>
  <c r="B1095" s="1"/>
  <c r="B1183" s="1"/>
  <c r="B1271" s="1"/>
  <c r="B1359" s="1"/>
  <c r="B1447" s="1"/>
  <c r="B1535" s="1"/>
  <c r="B1623" s="1"/>
  <c r="B1711" s="1"/>
  <c r="B656"/>
  <c r="B657"/>
  <c r="B745" s="1"/>
  <c r="B833" s="1"/>
  <c r="B921" s="1"/>
  <c r="B1009" s="1"/>
  <c r="B1097" s="1"/>
  <c r="B1185" s="1"/>
  <c r="B1273" s="1"/>
  <c r="B1361" s="1"/>
  <c r="B1449" s="1"/>
  <c r="B1537" s="1"/>
  <c r="B1625" s="1"/>
  <c r="B1713" s="1"/>
  <c r="B658"/>
  <c r="B746" s="1"/>
  <c r="B834" s="1"/>
  <c r="B922" s="1"/>
  <c r="B1010" s="1"/>
  <c r="B1098" s="1"/>
  <c r="B1186" s="1"/>
  <c r="B1274" s="1"/>
  <c r="B1362" s="1"/>
  <c r="B1450" s="1"/>
  <c r="B1538" s="1"/>
  <c r="B1626" s="1"/>
  <c r="B1714" s="1"/>
  <c r="B659"/>
  <c r="B747" s="1"/>
  <c r="B835" s="1"/>
  <c r="B923" s="1"/>
  <c r="B1011" s="1"/>
  <c r="B1099" s="1"/>
  <c r="B1187" s="1"/>
  <c r="B1275" s="1"/>
  <c r="B1363" s="1"/>
  <c r="B1451" s="1"/>
  <c r="B1539" s="1"/>
  <c r="B1627" s="1"/>
  <c r="B1715" s="1"/>
  <c r="B660"/>
  <c r="B748" s="1"/>
  <c r="B836" s="1"/>
  <c r="B924" s="1"/>
  <c r="B1012" s="1"/>
  <c r="B1100" s="1"/>
  <c r="B1188" s="1"/>
  <c r="B1276" s="1"/>
  <c r="B1364" s="1"/>
  <c r="B1452" s="1"/>
  <c r="B1540" s="1"/>
  <c r="B1628" s="1"/>
  <c r="B1716" s="1"/>
  <c r="B661"/>
  <c r="B749" s="1"/>
  <c r="B837" s="1"/>
  <c r="B925" s="1"/>
  <c r="B1013" s="1"/>
  <c r="B1101" s="1"/>
  <c r="B1189" s="1"/>
  <c r="B1277" s="1"/>
  <c r="B1365" s="1"/>
  <c r="B1453" s="1"/>
  <c r="B1541" s="1"/>
  <c r="B1629" s="1"/>
  <c r="B1717" s="1"/>
  <c r="B662"/>
  <c r="B750" s="1"/>
  <c r="B838" s="1"/>
  <c r="B926" s="1"/>
  <c r="B1014" s="1"/>
  <c r="B1102" s="1"/>
  <c r="B1190" s="1"/>
  <c r="B1278" s="1"/>
  <c r="B1366" s="1"/>
  <c r="B1454" s="1"/>
  <c r="B1542" s="1"/>
  <c r="B1630" s="1"/>
  <c r="B1718" s="1"/>
  <c r="B663"/>
  <c r="B751" s="1"/>
  <c r="B839" s="1"/>
  <c r="B927" s="1"/>
  <c r="B1015" s="1"/>
  <c r="B1103" s="1"/>
  <c r="B1191" s="1"/>
  <c r="B1279" s="1"/>
  <c r="B1367" s="1"/>
  <c r="B1455" s="1"/>
  <c r="B1543" s="1"/>
  <c r="B1631" s="1"/>
  <c r="B1719" s="1"/>
  <c r="B664"/>
  <c r="B752" s="1"/>
  <c r="B840" s="1"/>
  <c r="B928" s="1"/>
  <c r="B1016" s="1"/>
  <c r="B1104" s="1"/>
  <c r="B1192" s="1"/>
  <c r="B1280" s="1"/>
  <c r="B1368" s="1"/>
  <c r="B1456" s="1"/>
  <c r="B1544" s="1"/>
  <c r="B1632" s="1"/>
  <c r="B1720" s="1"/>
  <c r="B674"/>
  <c r="B762" s="1"/>
  <c r="B850" s="1"/>
  <c r="B938" s="1"/>
  <c r="B1026" s="1"/>
  <c r="B1114" s="1"/>
  <c r="B1202" s="1"/>
  <c r="B1290" s="1"/>
  <c r="B1378" s="1"/>
  <c r="B1466" s="1"/>
  <c r="B1554" s="1"/>
  <c r="B1642" s="1"/>
  <c r="B1730" s="1"/>
  <c r="B690"/>
  <c r="B778" s="1"/>
  <c r="B866" s="1"/>
  <c r="B954" s="1"/>
  <c r="B1042" s="1"/>
  <c r="B1130" s="1"/>
  <c r="B1218" s="1"/>
  <c r="B1306" s="1"/>
  <c r="B1394" s="1"/>
  <c r="B1482" s="1"/>
  <c r="B1570" s="1"/>
  <c r="B1658" s="1"/>
  <c r="B1746" s="1"/>
  <c r="B744"/>
  <c r="B832" s="1"/>
  <c r="B920" s="1"/>
  <c r="B1008" s="1"/>
  <c r="B1096" s="1"/>
  <c r="B1184" s="1"/>
  <c r="B1272" s="1"/>
  <c r="B1360" s="1"/>
  <c r="B1448" s="1"/>
  <c r="B1536" s="1"/>
  <c r="B1624" s="1"/>
  <c r="B1712" s="1"/>
  <c r="D1556" l="1"/>
  <c r="G1468"/>
  <c r="D1587"/>
  <c r="M1587" s="1"/>
  <c r="D1631"/>
  <c r="M1543"/>
  <c r="G1543"/>
  <c r="G1500"/>
  <c r="G1424"/>
  <c r="M1485"/>
  <c r="D1624"/>
  <c r="G1536"/>
  <c r="G1499"/>
  <c r="M1425"/>
  <c r="G1497"/>
  <c r="M1497"/>
  <c r="G1417"/>
  <c r="M1417"/>
  <c r="G1421"/>
  <c r="G1483"/>
  <c r="G1494"/>
  <c r="G1489"/>
  <c r="M1560"/>
  <c r="D1604"/>
  <c r="M1460"/>
  <c r="D1504"/>
  <c r="M1526"/>
  <c r="D1570"/>
  <c r="M1626"/>
  <c r="D1670"/>
  <c r="M1633"/>
  <c r="D1677"/>
  <c r="M1541"/>
  <c r="D1585"/>
  <c r="M1533"/>
  <c r="D1577"/>
  <c r="M1577" s="1"/>
  <c r="M1478"/>
  <c r="D1522"/>
  <c r="M1568"/>
  <c r="D1612"/>
  <c r="M1711"/>
  <c r="D1755"/>
  <c r="M1549"/>
  <c r="D1593"/>
  <c r="M1593" s="1"/>
  <c r="M1561"/>
  <c r="D1605"/>
  <c r="M1557"/>
  <c r="D1601"/>
  <c r="M1723"/>
  <c r="D1767"/>
  <c r="M1471"/>
  <c r="D1515"/>
  <c r="M1463"/>
  <c r="D1507"/>
  <c r="M1567"/>
  <c r="D1611"/>
  <c r="M1554"/>
  <c r="D1598"/>
  <c r="M1462"/>
  <c r="D1506"/>
  <c r="M1544"/>
  <c r="D1588"/>
  <c r="M1588" s="1"/>
  <c r="M1465"/>
  <c r="D1509"/>
  <c r="M1509" s="1"/>
  <c r="M1464"/>
  <c r="D1508"/>
  <c r="M1555"/>
  <c r="D1599"/>
  <c r="M1558"/>
  <c r="D1602"/>
  <c r="M1619"/>
  <c r="D1663"/>
  <c r="M1565"/>
  <c r="D1609"/>
  <c r="M1528"/>
  <c r="D1572"/>
  <c r="M1572" s="1"/>
  <c r="M1634"/>
  <c r="D1678"/>
  <c r="M1618"/>
  <c r="D1662"/>
  <c r="M1527"/>
  <c r="D1571"/>
  <c r="M1571" s="1"/>
  <c r="M1537"/>
  <c r="D1581"/>
  <c r="M1581" s="1"/>
  <c r="M1529"/>
  <c r="D1573"/>
  <c r="M1573" s="1"/>
  <c r="M1569"/>
  <c r="D1613"/>
  <c r="M1627"/>
  <c r="D1671"/>
  <c r="M1476"/>
  <c r="D1520"/>
  <c r="M1540"/>
  <c r="D1584"/>
  <c r="M1532"/>
  <c r="D1576"/>
  <c r="M1461"/>
  <c r="D1505"/>
  <c r="M1505" s="1"/>
  <c r="M1635"/>
  <c r="D1679"/>
  <c r="M1468"/>
  <c r="D1512"/>
  <c r="M1512" s="1"/>
  <c r="M1536"/>
  <c r="D1580"/>
  <c r="M1580" s="1"/>
  <c r="M1547"/>
  <c r="D1591"/>
  <c r="G1505"/>
  <c r="M1576"/>
  <c r="G1488"/>
  <c r="A2217"/>
  <c r="A2745" s="1"/>
  <c r="A1777"/>
  <c r="A2305" s="1"/>
  <c r="A2833" s="1"/>
  <c r="A2185"/>
  <c r="A2713" s="1"/>
  <c r="A1745"/>
  <c r="A2273" s="1"/>
  <c r="A2801" s="1"/>
  <c r="A2153"/>
  <c r="A2681" s="1"/>
  <c r="A1713"/>
  <c r="A2241" s="1"/>
  <c r="A2769" s="1"/>
  <c r="A2120"/>
  <c r="A2648" s="1"/>
  <c r="A1680"/>
  <c r="A2088"/>
  <c r="A2616" s="1"/>
  <c r="A1648"/>
  <c r="A2056"/>
  <c r="A2584" s="1"/>
  <c r="A1616"/>
  <c r="A2023"/>
  <c r="A2551" s="1"/>
  <c r="A1583"/>
  <c r="A1991"/>
  <c r="A2519" s="1"/>
  <c r="A1551"/>
  <c r="A2205"/>
  <c r="A2733" s="1"/>
  <c r="A1765"/>
  <c r="A2293" s="1"/>
  <c r="A2821" s="1"/>
  <c r="A2173"/>
  <c r="A2701" s="1"/>
  <c r="A1733"/>
  <c r="A2261" s="1"/>
  <c r="A2789" s="1"/>
  <c r="A2140"/>
  <c r="A2668" s="1"/>
  <c r="A1700"/>
  <c r="A2108"/>
  <c r="A2636" s="1"/>
  <c r="A1668"/>
  <c r="A2076"/>
  <c r="A2604" s="1"/>
  <c r="A1636"/>
  <c r="A2043"/>
  <c r="A2571" s="1"/>
  <c r="A1603"/>
  <c r="A2011"/>
  <c r="A2539" s="1"/>
  <c r="A1571"/>
  <c r="A1979"/>
  <c r="A2507" s="1"/>
  <c r="A1539"/>
  <c r="A2225"/>
  <c r="A2753" s="1"/>
  <c r="A1785"/>
  <c r="A2313" s="1"/>
  <c r="A2841" s="1"/>
  <c r="A2193"/>
  <c r="A2721" s="1"/>
  <c r="A1753"/>
  <c r="A2281" s="1"/>
  <c r="A2809" s="1"/>
  <c r="A2161"/>
  <c r="A2689" s="1"/>
  <c r="A1721"/>
  <c r="A2249" s="1"/>
  <c r="A2777" s="1"/>
  <c r="A2128"/>
  <c r="A2656" s="1"/>
  <c r="A1688"/>
  <c r="A2096"/>
  <c r="A2624" s="1"/>
  <c r="A1656"/>
  <c r="A2064"/>
  <c r="A2592" s="1"/>
  <c r="A1624"/>
  <c r="A2031"/>
  <c r="A2559" s="1"/>
  <c r="A1591"/>
  <c r="A1999"/>
  <c r="A2527" s="1"/>
  <c r="A1559"/>
  <c r="A1967"/>
  <c r="A2495" s="1"/>
  <c r="A1527"/>
  <c r="A2229"/>
  <c r="A2757" s="1"/>
  <c r="A1789"/>
  <c r="A2317" s="1"/>
  <c r="A2845" s="1"/>
  <c r="A2197"/>
  <c r="A2725" s="1"/>
  <c r="A1757"/>
  <c r="A2285" s="1"/>
  <c r="A2813" s="1"/>
  <c r="A2165"/>
  <c r="A2693" s="1"/>
  <c r="A1725"/>
  <c r="A2253" s="1"/>
  <c r="A2781" s="1"/>
  <c r="A2132"/>
  <c r="A2660" s="1"/>
  <c r="A1692"/>
  <c r="A2100"/>
  <c r="A2628" s="1"/>
  <c r="A1660"/>
  <c r="A2068"/>
  <c r="A2596" s="1"/>
  <c r="A1628"/>
  <c r="A2035"/>
  <c r="A2563" s="1"/>
  <c r="A1595"/>
  <c r="A2003"/>
  <c r="A2531" s="1"/>
  <c r="A1563"/>
  <c r="A1971"/>
  <c r="A2499" s="1"/>
  <c r="A1531"/>
  <c r="A2201"/>
  <c r="A2729" s="1"/>
  <c r="A1761"/>
  <c r="A2289" s="1"/>
  <c r="A2817" s="1"/>
  <c r="A2169"/>
  <c r="A2697" s="1"/>
  <c r="A1729"/>
  <c r="A2257" s="1"/>
  <c r="A2785" s="1"/>
  <c r="A2136"/>
  <c r="A2664" s="1"/>
  <c r="A1696"/>
  <c r="A2104"/>
  <c r="A2632" s="1"/>
  <c r="A1664"/>
  <c r="A2072"/>
  <c r="A2600" s="1"/>
  <c r="A1632"/>
  <c r="A2039"/>
  <c r="A2567" s="1"/>
  <c r="A1599"/>
  <c r="A2007"/>
  <c r="A2535" s="1"/>
  <c r="A1567"/>
  <c r="A1975"/>
  <c r="A2503" s="1"/>
  <c r="A1535"/>
  <c r="A2221"/>
  <c r="A2749" s="1"/>
  <c r="A1781"/>
  <c r="A2309" s="1"/>
  <c r="A2837" s="1"/>
  <c r="A2189"/>
  <c r="A2717" s="1"/>
  <c r="A1749"/>
  <c r="A2277" s="1"/>
  <c r="A2805" s="1"/>
  <c r="A2157"/>
  <c r="A2685" s="1"/>
  <c r="A1717"/>
  <c r="A2245" s="1"/>
  <c r="A2773" s="1"/>
  <c r="A2124"/>
  <c r="A2652" s="1"/>
  <c r="A1684"/>
  <c r="A2092"/>
  <c r="A2620" s="1"/>
  <c r="A1652"/>
  <c r="A2060"/>
  <c r="A2588" s="1"/>
  <c r="A1620"/>
  <c r="A2027"/>
  <c r="A2555" s="1"/>
  <c r="A1587"/>
  <c r="A1995"/>
  <c r="A2523" s="1"/>
  <c r="A1555"/>
  <c r="A2209"/>
  <c r="A2737" s="1"/>
  <c r="A1769"/>
  <c r="A2297" s="1"/>
  <c r="A2825" s="1"/>
  <c r="A2177"/>
  <c r="A2705" s="1"/>
  <c r="A1737"/>
  <c r="A2265" s="1"/>
  <c r="A2793" s="1"/>
  <c r="A2145"/>
  <c r="A2673" s="1"/>
  <c r="A1705"/>
  <c r="A2233" s="1"/>
  <c r="A2761" s="1"/>
  <c r="A2112"/>
  <c r="A2640" s="1"/>
  <c r="A1672"/>
  <c r="A2080"/>
  <c r="A2608" s="1"/>
  <c r="A1640"/>
  <c r="A2047"/>
  <c r="A2575" s="1"/>
  <c r="A1607"/>
  <c r="A2015"/>
  <c r="A2543" s="1"/>
  <c r="A1575"/>
  <c r="A1983"/>
  <c r="A2511" s="1"/>
  <c r="A1543"/>
  <c r="A2213"/>
  <c r="A2741" s="1"/>
  <c r="A1773"/>
  <c r="A2301" s="1"/>
  <c r="A2829" s="1"/>
  <c r="A2181"/>
  <c r="A2709" s="1"/>
  <c r="A1741"/>
  <c r="A2269" s="1"/>
  <c r="A2797" s="1"/>
  <c r="A2149"/>
  <c r="A2677" s="1"/>
  <c r="A1709"/>
  <c r="A2237" s="1"/>
  <c r="A2765" s="1"/>
  <c r="A2116"/>
  <c r="A2644" s="1"/>
  <c r="A1676"/>
  <c r="A2084"/>
  <c r="A2612" s="1"/>
  <c r="A1644"/>
  <c r="A2051"/>
  <c r="A2579" s="1"/>
  <c r="A1611"/>
  <c r="A2019"/>
  <c r="A2547" s="1"/>
  <c r="A1579"/>
  <c r="A1987"/>
  <c r="A2515" s="1"/>
  <c r="A1547"/>
  <c r="M1475"/>
  <c r="G1475"/>
  <c r="D1563"/>
  <c r="D1607" s="1"/>
  <c r="A1966"/>
  <c r="A2494" s="1"/>
  <c r="A1526"/>
  <c r="M1420"/>
  <c r="G1420"/>
  <c r="M1426"/>
  <c r="G1426"/>
  <c r="M1474"/>
  <c r="G1474"/>
  <c r="D1562"/>
  <c r="D1606" s="1"/>
  <c r="M1606" s="1"/>
  <c r="M1496"/>
  <c r="G1496"/>
  <c r="M1534"/>
  <c r="D1622"/>
  <c r="D1666" s="1"/>
  <c r="M1666" s="1"/>
  <c r="G1534"/>
  <c r="M1429"/>
  <c r="G1429"/>
  <c r="G1502"/>
  <c r="M1502"/>
  <c r="M1542"/>
  <c r="G1542"/>
  <c r="D1630"/>
  <c r="D1674" s="1"/>
  <c r="M1503"/>
  <c r="G1503"/>
  <c r="G1573"/>
  <c r="D1648"/>
  <c r="G1560"/>
  <c r="D1548"/>
  <c r="G1460"/>
  <c r="D1721"/>
  <c r="G1633"/>
  <c r="G1418"/>
  <c r="M1506"/>
  <c r="G1711"/>
  <c r="D1559"/>
  <c r="G1471"/>
  <c r="G1491"/>
  <c r="M1579"/>
  <c r="D1550"/>
  <c r="G1462"/>
  <c r="D1553"/>
  <c r="G1465"/>
  <c r="D1552"/>
  <c r="G1464"/>
  <c r="G1619"/>
  <c r="D1707"/>
  <c r="G1582"/>
  <c r="M1670"/>
  <c r="G1578"/>
  <c r="M1520"/>
  <c r="G1432"/>
  <c r="G1437"/>
  <c r="M1525"/>
  <c r="M1674"/>
  <c r="G1586"/>
  <c r="D1657"/>
  <c r="G1569"/>
  <c r="M1511"/>
  <c r="G1423"/>
  <c r="G1532"/>
  <c r="D1620"/>
  <c r="G1495"/>
  <c r="M1583"/>
  <c r="G1541"/>
  <c r="D1629"/>
  <c r="G1723"/>
  <c r="G1486"/>
  <c r="M1574"/>
  <c r="G1518"/>
  <c r="G1528"/>
  <c r="D1616"/>
  <c r="G1588"/>
  <c r="G1512"/>
  <c r="D1617"/>
  <c r="G1529"/>
  <c r="M1524"/>
  <c r="G1436"/>
  <c r="G1422"/>
  <c r="M1510"/>
  <c r="D1564"/>
  <c r="G1476"/>
  <c r="G1577"/>
  <c r="G1509"/>
  <c r="G1419"/>
  <c r="M1507"/>
  <c r="M1521"/>
  <c r="G1433"/>
  <c r="G1526"/>
  <c r="D1614"/>
  <c r="M1523"/>
  <c r="G1435"/>
  <c r="D1656"/>
  <c r="G1568"/>
  <c r="G1549"/>
  <c r="D1637"/>
  <c r="D1649"/>
  <c r="G1561"/>
  <c r="G1571"/>
  <c r="D1642"/>
  <c r="G1554"/>
  <c r="G1555"/>
  <c r="D1643"/>
  <c r="G1558"/>
  <c r="D1646"/>
  <c r="M1602"/>
  <c r="G1514"/>
  <c r="G1427"/>
  <c r="M1515"/>
  <c r="G1565"/>
  <c r="D1653"/>
  <c r="G1527"/>
  <c r="D1615"/>
  <c r="D1625"/>
  <c r="G1537"/>
  <c r="G1627"/>
  <c r="D1715"/>
  <c r="M1504"/>
  <c r="G1416"/>
  <c r="G1501"/>
  <c r="M1589"/>
  <c r="M1601"/>
  <c r="G1513"/>
  <c r="D1714"/>
  <c r="G1626"/>
  <c r="G1593"/>
  <c r="G1533"/>
  <c r="D1621"/>
  <c r="D1566"/>
  <c r="G1478"/>
  <c r="G1557"/>
  <c r="D1645"/>
  <c r="G1580"/>
  <c r="G1463"/>
  <c r="D1551"/>
  <c r="M1570"/>
  <c r="G1482"/>
  <c r="G1567"/>
  <c r="D1655"/>
  <c r="D1632"/>
  <c r="G1544"/>
  <c r="G1581"/>
  <c r="D1722"/>
  <c r="G1634"/>
  <c r="D1706"/>
  <c r="G1618"/>
  <c r="G1587"/>
  <c r="G1572"/>
  <c r="G1519"/>
  <c r="M1607"/>
  <c r="G1575"/>
  <c r="M1663"/>
  <c r="D1628"/>
  <c r="G1540"/>
  <c r="M1516"/>
  <c r="G1428"/>
  <c r="D11" i="1"/>
  <c r="D12"/>
  <c r="D13"/>
  <c r="D15"/>
  <c r="D16"/>
  <c r="D17"/>
  <c r="D19"/>
  <c r="D20"/>
  <c r="D21"/>
  <c r="D23"/>
  <c r="D24"/>
  <c r="D25"/>
  <c r="D27"/>
  <c r="D28"/>
  <c r="D29"/>
  <c r="D31"/>
  <c r="D32"/>
  <c r="D33"/>
  <c r="D35"/>
  <c r="D36"/>
  <c r="D37"/>
  <c r="D39"/>
  <c r="D40"/>
  <c r="D41"/>
  <c r="D43"/>
  <c r="D44"/>
  <c r="D45"/>
  <c r="D47"/>
  <c r="D48"/>
  <c r="D49"/>
  <c r="D51"/>
  <c r="D52"/>
  <c r="D53"/>
  <c r="D55"/>
  <c r="D56"/>
  <c r="D57"/>
  <c r="D59"/>
  <c r="D60"/>
  <c r="D61"/>
  <c r="D10"/>
  <c r="D14" s="1"/>
  <c r="D18" s="1"/>
  <c r="D22" s="1"/>
  <c r="D26" s="1"/>
  <c r="D30" s="1"/>
  <c r="D34" s="1"/>
  <c r="D38" s="1"/>
  <c r="D42" s="1"/>
  <c r="D46" s="1"/>
  <c r="D50" s="1"/>
  <c r="D54" s="1"/>
  <c r="D58" s="1"/>
  <c r="E11"/>
  <c r="E15" s="1"/>
  <c r="E19" s="1"/>
  <c r="E23" s="1"/>
  <c r="E27" s="1"/>
  <c r="E31" s="1"/>
  <c r="E35" s="1"/>
  <c r="E39" s="1"/>
  <c r="E43" s="1"/>
  <c r="E47" s="1"/>
  <c r="E51" s="1"/>
  <c r="E55" s="1"/>
  <c r="E59" s="1"/>
  <c r="E63" s="1"/>
  <c r="E67" s="1"/>
  <c r="E71" s="1"/>
  <c r="E75" s="1"/>
  <c r="E79" s="1"/>
  <c r="E83" s="1"/>
  <c r="E12"/>
  <c r="E16" s="1"/>
  <c r="E20" s="1"/>
  <c r="E24" s="1"/>
  <c r="E28" s="1"/>
  <c r="E32" s="1"/>
  <c r="E36" s="1"/>
  <c r="E40" s="1"/>
  <c r="E44" s="1"/>
  <c r="E48" s="1"/>
  <c r="E52" s="1"/>
  <c r="E56" s="1"/>
  <c r="E60" s="1"/>
  <c r="E64" s="1"/>
  <c r="E68" s="1"/>
  <c r="E72" s="1"/>
  <c r="E76" s="1"/>
  <c r="E80" s="1"/>
  <c r="E84" s="1"/>
  <c r="E13"/>
  <c r="E17"/>
  <c r="E21" s="1"/>
  <c r="E25" s="1"/>
  <c r="E29" s="1"/>
  <c r="E33" s="1"/>
  <c r="E37" s="1"/>
  <c r="E41" s="1"/>
  <c r="E45" s="1"/>
  <c r="E49" s="1"/>
  <c r="E53" s="1"/>
  <c r="E57" s="1"/>
  <c r="E61" s="1"/>
  <c r="E65" s="1"/>
  <c r="E69" s="1"/>
  <c r="E73" s="1"/>
  <c r="E77" s="1"/>
  <c r="E81" s="1"/>
  <c r="E85" s="1"/>
  <c r="E10"/>
  <c r="E14" s="1"/>
  <c r="E18" s="1"/>
  <c r="E22" s="1"/>
  <c r="E26" s="1"/>
  <c r="E30" s="1"/>
  <c r="E34" s="1"/>
  <c r="E38" s="1"/>
  <c r="E42" s="1"/>
  <c r="E46" s="1"/>
  <c r="E50" s="1"/>
  <c r="E54" s="1"/>
  <c r="E58" s="1"/>
  <c r="E62" s="1"/>
  <c r="E66" s="1"/>
  <c r="E70" s="1"/>
  <c r="E74" s="1"/>
  <c r="E78" s="1"/>
  <c r="E82" s="1"/>
  <c r="J119" i="2"/>
  <c r="J207" s="1"/>
  <c r="J295" s="1"/>
  <c r="J383" s="1"/>
  <c r="J471" s="1"/>
  <c r="J559" s="1"/>
  <c r="J647" s="1"/>
  <c r="J735" s="1"/>
  <c r="J823" s="1"/>
  <c r="J911" s="1"/>
  <c r="J999" s="1"/>
  <c r="J1087" s="1"/>
  <c r="J1175" s="1"/>
  <c r="J1263" s="1"/>
  <c r="J1351" s="1"/>
  <c r="J1439" s="1"/>
  <c r="J1527" s="1"/>
  <c r="J1615" s="1"/>
  <c r="J1703" s="1"/>
  <c r="J120"/>
  <c r="J208" s="1"/>
  <c r="J296" s="1"/>
  <c r="J384" s="1"/>
  <c r="J472" s="1"/>
  <c r="J560" s="1"/>
  <c r="J648" s="1"/>
  <c r="J736" s="1"/>
  <c r="J824" s="1"/>
  <c r="J912" s="1"/>
  <c r="J1000" s="1"/>
  <c r="J1088" s="1"/>
  <c r="J1176" s="1"/>
  <c r="J1264" s="1"/>
  <c r="J1352" s="1"/>
  <c r="J1440" s="1"/>
  <c r="J1528" s="1"/>
  <c r="J1616" s="1"/>
  <c r="J1704" s="1"/>
  <c r="J121"/>
  <c r="J209" s="1"/>
  <c r="J297" s="1"/>
  <c r="J385" s="1"/>
  <c r="J473" s="1"/>
  <c r="J561" s="1"/>
  <c r="J649" s="1"/>
  <c r="J737" s="1"/>
  <c r="J825" s="1"/>
  <c r="J913" s="1"/>
  <c r="J1001" s="1"/>
  <c r="J1089" s="1"/>
  <c r="J1177" s="1"/>
  <c r="J1265" s="1"/>
  <c r="J1353" s="1"/>
  <c r="J1441" s="1"/>
  <c r="J1529" s="1"/>
  <c r="J1617" s="1"/>
  <c r="J1705" s="1"/>
  <c r="J122"/>
  <c r="J210" s="1"/>
  <c r="J298" s="1"/>
  <c r="J386" s="1"/>
  <c r="J474" s="1"/>
  <c r="J562" s="1"/>
  <c r="J650" s="1"/>
  <c r="J738" s="1"/>
  <c r="J826" s="1"/>
  <c r="J914" s="1"/>
  <c r="J1002" s="1"/>
  <c r="J1090" s="1"/>
  <c r="J1178" s="1"/>
  <c r="J1266" s="1"/>
  <c r="J1354" s="1"/>
  <c r="J1442" s="1"/>
  <c r="J1530" s="1"/>
  <c r="J1618" s="1"/>
  <c r="J1706" s="1"/>
  <c r="J123"/>
  <c r="J211" s="1"/>
  <c r="J299" s="1"/>
  <c r="J387" s="1"/>
  <c r="J475" s="1"/>
  <c r="J563" s="1"/>
  <c r="J651" s="1"/>
  <c r="J739" s="1"/>
  <c r="J827" s="1"/>
  <c r="J915" s="1"/>
  <c r="J1003" s="1"/>
  <c r="J1091" s="1"/>
  <c r="J1179" s="1"/>
  <c r="J1267" s="1"/>
  <c r="J1355" s="1"/>
  <c r="J1443" s="1"/>
  <c r="J1531" s="1"/>
  <c r="J1619" s="1"/>
  <c r="J1707" s="1"/>
  <c r="J124"/>
  <c r="J212" s="1"/>
  <c r="J300" s="1"/>
  <c r="J388" s="1"/>
  <c r="J476" s="1"/>
  <c r="J564" s="1"/>
  <c r="J652" s="1"/>
  <c r="J740" s="1"/>
  <c r="J828" s="1"/>
  <c r="J916" s="1"/>
  <c r="J1004" s="1"/>
  <c r="J1092" s="1"/>
  <c r="J1180" s="1"/>
  <c r="J1268" s="1"/>
  <c r="J1356" s="1"/>
  <c r="J1444" s="1"/>
  <c r="J1532" s="1"/>
  <c r="J1620" s="1"/>
  <c r="J1708" s="1"/>
  <c r="J125"/>
  <c r="J213" s="1"/>
  <c r="J301" s="1"/>
  <c r="J389" s="1"/>
  <c r="J477" s="1"/>
  <c r="J565" s="1"/>
  <c r="J653" s="1"/>
  <c r="J741" s="1"/>
  <c r="J829" s="1"/>
  <c r="J917" s="1"/>
  <c r="J1005" s="1"/>
  <c r="J1093" s="1"/>
  <c r="J1181" s="1"/>
  <c r="J1269" s="1"/>
  <c r="J1357" s="1"/>
  <c r="J1445" s="1"/>
  <c r="J1533" s="1"/>
  <c r="J1621" s="1"/>
  <c r="J1709" s="1"/>
  <c r="J126"/>
  <c r="J214" s="1"/>
  <c r="J302" s="1"/>
  <c r="J390" s="1"/>
  <c r="J478" s="1"/>
  <c r="J566" s="1"/>
  <c r="J654" s="1"/>
  <c r="J742" s="1"/>
  <c r="J830" s="1"/>
  <c r="J918" s="1"/>
  <c r="J1006" s="1"/>
  <c r="J1094" s="1"/>
  <c r="J1182" s="1"/>
  <c r="J1270" s="1"/>
  <c r="J1358" s="1"/>
  <c r="J1446" s="1"/>
  <c r="J1534" s="1"/>
  <c r="J1622" s="1"/>
  <c r="J1710" s="1"/>
  <c r="J127"/>
  <c r="J215" s="1"/>
  <c r="J303" s="1"/>
  <c r="J391" s="1"/>
  <c r="J479" s="1"/>
  <c r="J567" s="1"/>
  <c r="J655" s="1"/>
  <c r="J743" s="1"/>
  <c r="J831" s="1"/>
  <c r="J919" s="1"/>
  <c r="J1007" s="1"/>
  <c r="J1095" s="1"/>
  <c r="J1183" s="1"/>
  <c r="J1271" s="1"/>
  <c r="J1359" s="1"/>
  <c r="J1447" s="1"/>
  <c r="J1535" s="1"/>
  <c r="J1623" s="1"/>
  <c r="J1711" s="1"/>
  <c r="J128"/>
  <c r="J216" s="1"/>
  <c r="J304" s="1"/>
  <c r="J392" s="1"/>
  <c r="J480" s="1"/>
  <c r="J568" s="1"/>
  <c r="J656" s="1"/>
  <c r="J744" s="1"/>
  <c r="J832" s="1"/>
  <c r="J920" s="1"/>
  <c r="J1008" s="1"/>
  <c r="J1096" s="1"/>
  <c r="J1184" s="1"/>
  <c r="J1272" s="1"/>
  <c r="J1360" s="1"/>
  <c r="J1448" s="1"/>
  <c r="J1536" s="1"/>
  <c r="J1624" s="1"/>
  <c r="J1712" s="1"/>
  <c r="J129"/>
  <c r="J217" s="1"/>
  <c r="J305" s="1"/>
  <c r="J393" s="1"/>
  <c r="J481" s="1"/>
  <c r="J569" s="1"/>
  <c r="J657" s="1"/>
  <c r="J745" s="1"/>
  <c r="J833" s="1"/>
  <c r="J921" s="1"/>
  <c r="J1009" s="1"/>
  <c r="J1097" s="1"/>
  <c r="J1185" s="1"/>
  <c r="J1273" s="1"/>
  <c r="J1361" s="1"/>
  <c r="J1449" s="1"/>
  <c r="J1537" s="1"/>
  <c r="J1625" s="1"/>
  <c r="J1713" s="1"/>
  <c r="J130"/>
  <c r="J218" s="1"/>
  <c r="J306" s="1"/>
  <c r="J394" s="1"/>
  <c r="J131"/>
  <c r="J219" s="1"/>
  <c r="J307" s="1"/>
  <c r="J395" s="1"/>
  <c r="J483" s="1"/>
  <c r="J571" s="1"/>
  <c r="J659" s="1"/>
  <c r="J747" s="1"/>
  <c r="J835" s="1"/>
  <c r="J923" s="1"/>
  <c r="J1011" s="1"/>
  <c r="J1099" s="1"/>
  <c r="J1187" s="1"/>
  <c r="J1275" s="1"/>
  <c r="J1363" s="1"/>
  <c r="J1451" s="1"/>
  <c r="J1539" s="1"/>
  <c r="J1627" s="1"/>
  <c r="J1715" s="1"/>
  <c r="J132"/>
  <c r="J220" s="1"/>
  <c r="J308" s="1"/>
  <c r="J396" s="1"/>
  <c r="J484" s="1"/>
  <c r="J572" s="1"/>
  <c r="J660" s="1"/>
  <c r="J748" s="1"/>
  <c r="J836" s="1"/>
  <c r="J924" s="1"/>
  <c r="J1012" s="1"/>
  <c r="J1100" s="1"/>
  <c r="J1188" s="1"/>
  <c r="J1276" s="1"/>
  <c r="J1364" s="1"/>
  <c r="J1452" s="1"/>
  <c r="J1540" s="1"/>
  <c r="J1628" s="1"/>
  <c r="J1716" s="1"/>
  <c r="J133"/>
  <c r="J221" s="1"/>
  <c r="J309" s="1"/>
  <c r="J397" s="1"/>
  <c r="J485" s="1"/>
  <c r="J573" s="1"/>
  <c r="J661" s="1"/>
  <c r="J749" s="1"/>
  <c r="J837" s="1"/>
  <c r="J925" s="1"/>
  <c r="J1013" s="1"/>
  <c r="J1101" s="1"/>
  <c r="J1189" s="1"/>
  <c r="J1277" s="1"/>
  <c r="J1365" s="1"/>
  <c r="J1453" s="1"/>
  <c r="J1541" s="1"/>
  <c r="J1629" s="1"/>
  <c r="J1717" s="1"/>
  <c r="J134"/>
  <c r="J222" s="1"/>
  <c r="J310" s="1"/>
  <c r="J398" s="1"/>
  <c r="J486" s="1"/>
  <c r="J574" s="1"/>
  <c r="J662" s="1"/>
  <c r="J750" s="1"/>
  <c r="J838" s="1"/>
  <c r="J926" s="1"/>
  <c r="J1014" s="1"/>
  <c r="J1102" s="1"/>
  <c r="J1190" s="1"/>
  <c r="J1278" s="1"/>
  <c r="J1366" s="1"/>
  <c r="J1454" s="1"/>
  <c r="J1542" s="1"/>
  <c r="J1630" s="1"/>
  <c r="J1718" s="1"/>
  <c r="J135"/>
  <c r="J223" s="1"/>
  <c r="J311" s="1"/>
  <c r="J399" s="1"/>
  <c r="J487" s="1"/>
  <c r="J575" s="1"/>
  <c r="J663" s="1"/>
  <c r="J751" s="1"/>
  <c r="J839" s="1"/>
  <c r="J927" s="1"/>
  <c r="J1015" s="1"/>
  <c r="J1103" s="1"/>
  <c r="J1191" s="1"/>
  <c r="J1279" s="1"/>
  <c r="J1367" s="1"/>
  <c r="J1455" s="1"/>
  <c r="J1543" s="1"/>
  <c r="J1631" s="1"/>
  <c r="J1719" s="1"/>
  <c r="J136"/>
  <c r="J224" s="1"/>
  <c r="J312" s="1"/>
  <c r="J400" s="1"/>
  <c r="J488" s="1"/>
  <c r="J576" s="1"/>
  <c r="J664" s="1"/>
  <c r="J752" s="1"/>
  <c r="J840" s="1"/>
  <c r="J928" s="1"/>
  <c r="J1016" s="1"/>
  <c r="J1104" s="1"/>
  <c r="J1192" s="1"/>
  <c r="J1280" s="1"/>
  <c r="J1368" s="1"/>
  <c r="J1456" s="1"/>
  <c r="J1544" s="1"/>
  <c r="J1632" s="1"/>
  <c r="J1720" s="1"/>
  <c r="J137"/>
  <c r="J225" s="1"/>
  <c r="J313" s="1"/>
  <c r="J401" s="1"/>
  <c r="J489" s="1"/>
  <c r="J577" s="1"/>
  <c r="J665" s="1"/>
  <c r="J753" s="1"/>
  <c r="J841" s="1"/>
  <c r="J929" s="1"/>
  <c r="J1017" s="1"/>
  <c r="J1105" s="1"/>
  <c r="J1193" s="1"/>
  <c r="J1281" s="1"/>
  <c r="J1369" s="1"/>
  <c r="J1457" s="1"/>
  <c r="J1545" s="1"/>
  <c r="J1633" s="1"/>
  <c r="J1721" s="1"/>
  <c r="J138"/>
  <c r="J226" s="1"/>
  <c r="J314" s="1"/>
  <c r="J402" s="1"/>
  <c r="J490" s="1"/>
  <c r="J578" s="1"/>
  <c r="J666" s="1"/>
  <c r="J754" s="1"/>
  <c r="J842" s="1"/>
  <c r="J930" s="1"/>
  <c r="J1018" s="1"/>
  <c r="J1106" s="1"/>
  <c r="J1194" s="1"/>
  <c r="J1282" s="1"/>
  <c r="J1370" s="1"/>
  <c r="J1458" s="1"/>
  <c r="J1546" s="1"/>
  <c r="J1634" s="1"/>
  <c r="J1722" s="1"/>
  <c r="J139"/>
  <c r="J227" s="1"/>
  <c r="J315" s="1"/>
  <c r="J403" s="1"/>
  <c r="J491" s="1"/>
  <c r="J579" s="1"/>
  <c r="J667" s="1"/>
  <c r="J755" s="1"/>
  <c r="J843" s="1"/>
  <c r="J931" s="1"/>
  <c r="J1019" s="1"/>
  <c r="J1107" s="1"/>
  <c r="J1195" s="1"/>
  <c r="J1283" s="1"/>
  <c r="J1371" s="1"/>
  <c r="J1459" s="1"/>
  <c r="J1547" s="1"/>
  <c r="J1635" s="1"/>
  <c r="J1723" s="1"/>
  <c r="J140"/>
  <c r="J228" s="1"/>
  <c r="J316" s="1"/>
  <c r="J404" s="1"/>
  <c r="J492" s="1"/>
  <c r="J580" s="1"/>
  <c r="J668" s="1"/>
  <c r="J756" s="1"/>
  <c r="J844" s="1"/>
  <c r="J932" s="1"/>
  <c r="J1020" s="1"/>
  <c r="J1108" s="1"/>
  <c r="J1196" s="1"/>
  <c r="J1284" s="1"/>
  <c r="J1372" s="1"/>
  <c r="J1460" s="1"/>
  <c r="J1548" s="1"/>
  <c r="J1636" s="1"/>
  <c r="J1724" s="1"/>
  <c r="J141"/>
  <c r="J229" s="1"/>
  <c r="J317" s="1"/>
  <c r="J405" s="1"/>
  <c r="J493" s="1"/>
  <c r="J581" s="1"/>
  <c r="J669" s="1"/>
  <c r="J757" s="1"/>
  <c r="J845" s="1"/>
  <c r="J933" s="1"/>
  <c r="J1021" s="1"/>
  <c r="J1109" s="1"/>
  <c r="J1197" s="1"/>
  <c r="J1285" s="1"/>
  <c r="J1373" s="1"/>
  <c r="J1461" s="1"/>
  <c r="J1549" s="1"/>
  <c r="J1637" s="1"/>
  <c r="J1725" s="1"/>
  <c r="J142"/>
  <c r="J230" s="1"/>
  <c r="J318" s="1"/>
  <c r="J406" s="1"/>
  <c r="J494" s="1"/>
  <c r="J582" s="1"/>
  <c r="J670" s="1"/>
  <c r="J758" s="1"/>
  <c r="J846" s="1"/>
  <c r="J934" s="1"/>
  <c r="J1022" s="1"/>
  <c r="J1110" s="1"/>
  <c r="J1198" s="1"/>
  <c r="J1286" s="1"/>
  <c r="J1374" s="1"/>
  <c r="J1462" s="1"/>
  <c r="J1550" s="1"/>
  <c r="J1638" s="1"/>
  <c r="J1726" s="1"/>
  <c r="J143"/>
  <c r="J231" s="1"/>
  <c r="J319" s="1"/>
  <c r="J407" s="1"/>
  <c r="J495" s="1"/>
  <c r="J583" s="1"/>
  <c r="J671" s="1"/>
  <c r="J759" s="1"/>
  <c r="J847" s="1"/>
  <c r="J935" s="1"/>
  <c r="J1023" s="1"/>
  <c r="J1111" s="1"/>
  <c r="J1199" s="1"/>
  <c r="J1287" s="1"/>
  <c r="J1375" s="1"/>
  <c r="J1463" s="1"/>
  <c r="J1551" s="1"/>
  <c r="J1639" s="1"/>
  <c r="J1727" s="1"/>
  <c r="J144"/>
  <c r="J232" s="1"/>
  <c r="J320" s="1"/>
  <c r="J408" s="1"/>
  <c r="J496" s="1"/>
  <c r="J584" s="1"/>
  <c r="J672" s="1"/>
  <c r="J760" s="1"/>
  <c r="J848" s="1"/>
  <c r="J936" s="1"/>
  <c r="J1024" s="1"/>
  <c r="J1112" s="1"/>
  <c r="J1200" s="1"/>
  <c r="J1288" s="1"/>
  <c r="J1376" s="1"/>
  <c r="J1464" s="1"/>
  <c r="J1552" s="1"/>
  <c r="J1640" s="1"/>
  <c r="J1728" s="1"/>
  <c r="J145"/>
  <c r="J233" s="1"/>
  <c r="J321" s="1"/>
  <c r="J409" s="1"/>
  <c r="J497" s="1"/>
  <c r="J585" s="1"/>
  <c r="J673" s="1"/>
  <c r="J761" s="1"/>
  <c r="J849" s="1"/>
  <c r="J937" s="1"/>
  <c r="J1025" s="1"/>
  <c r="J1113" s="1"/>
  <c r="J1201" s="1"/>
  <c r="J1289" s="1"/>
  <c r="J1377" s="1"/>
  <c r="J1465" s="1"/>
  <c r="J1553" s="1"/>
  <c r="J1641" s="1"/>
  <c r="J1729" s="1"/>
  <c r="J146"/>
  <c r="J234" s="1"/>
  <c r="J322" s="1"/>
  <c r="J410" s="1"/>
  <c r="J498" s="1"/>
  <c r="J586" s="1"/>
  <c r="J674" s="1"/>
  <c r="J762" s="1"/>
  <c r="J850" s="1"/>
  <c r="J938" s="1"/>
  <c r="J1026" s="1"/>
  <c r="J1114" s="1"/>
  <c r="J1202" s="1"/>
  <c r="J1290" s="1"/>
  <c r="J1378" s="1"/>
  <c r="J1466" s="1"/>
  <c r="J1554" s="1"/>
  <c r="J1642" s="1"/>
  <c r="J1730" s="1"/>
  <c r="J147"/>
  <c r="J235" s="1"/>
  <c r="J323" s="1"/>
  <c r="J411" s="1"/>
  <c r="J499" s="1"/>
  <c r="J587" s="1"/>
  <c r="J675" s="1"/>
  <c r="J763" s="1"/>
  <c r="J851" s="1"/>
  <c r="J939" s="1"/>
  <c r="J1027" s="1"/>
  <c r="J1115" s="1"/>
  <c r="J1203" s="1"/>
  <c r="J1291" s="1"/>
  <c r="J1379" s="1"/>
  <c r="J1467" s="1"/>
  <c r="J1555" s="1"/>
  <c r="J1643" s="1"/>
  <c r="J1731" s="1"/>
  <c r="J148"/>
  <c r="J236" s="1"/>
  <c r="J324" s="1"/>
  <c r="J412" s="1"/>
  <c r="J500" s="1"/>
  <c r="J588" s="1"/>
  <c r="J676" s="1"/>
  <c r="J764" s="1"/>
  <c r="J852" s="1"/>
  <c r="J940" s="1"/>
  <c r="J1028" s="1"/>
  <c r="J1116" s="1"/>
  <c r="J1204" s="1"/>
  <c r="J1292" s="1"/>
  <c r="J1380" s="1"/>
  <c r="J1468" s="1"/>
  <c r="J1556" s="1"/>
  <c r="J1644" s="1"/>
  <c r="J1732" s="1"/>
  <c r="J149"/>
  <c r="J237" s="1"/>
  <c r="J325" s="1"/>
  <c r="J413" s="1"/>
  <c r="J501" s="1"/>
  <c r="J589" s="1"/>
  <c r="J677" s="1"/>
  <c r="J765" s="1"/>
  <c r="J853" s="1"/>
  <c r="J941" s="1"/>
  <c r="J1029" s="1"/>
  <c r="J1117" s="1"/>
  <c r="J1205" s="1"/>
  <c r="J1293" s="1"/>
  <c r="J1381" s="1"/>
  <c r="J1469" s="1"/>
  <c r="J1557" s="1"/>
  <c r="J1645" s="1"/>
  <c r="J1733" s="1"/>
  <c r="J150"/>
  <c r="J238" s="1"/>
  <c r="J326" s="1"/>
  <c r="J414" s="1"/>
  <c r="J502" s="1"/>
  <c r="J590" s="1"/>
  <c r="J678" s="1"/>
  <c r="J766" s="1"/>
  <c r="J854" s="1"/>
  <c r="J942" s="1"/>
  <c r="J1030" s="1"/>
  <c r="J1118" s="1"/>
  <c r="J1206" s="1"/>
  <c r="J1294" s="1"/>
  <c r="J1382" s="1"/>
  <c r="J1470" s="1"/>
  <c r="J1558" s="1"/>
  <c r="J1646" s="1"/>
  <c r="J1734" s="1"/>
  <c r="J151"/>
  <c r="J239" s="1"/>
  <c r="J327" s="1"/>
  <c r="J415" s="1"/>
  <c r="J503" s="1"/>
  <c r="J591" s="1"/>
  <c r="J679" s="1"/>
  <c r="J767" s="1"/>
  <c r="J855" s="1"/>
  <c r="J943" s="1"/>
  <c r="J1031" s="1"/>
  <c r="J1119" s="1"/>
  <c r="J1207" s="1"/>
  <c r="J1295" s="1"/>
  <c r="J1383" s="1"/>
  <c r="J1471" s="1"/>
  <c r="J1559" s="1"/>
  <c r="J1647" s="1"/>
  <c r="J1735" s="1"/>
  <c r="J152"/>
  <c r="J240" s="1"/>
  <c r="J328" s="1"/>
  <c r="J416" s="1"/>
  <c r="J504" s="1"/>
  <c r="J592" s="1"/>
  <c r="J680" s="1"/>
  <c r="J768" s="1"/>
  <c r="J856" s="1"/>
  <c r="J944" s="1"/>
  <c r="J1032" s="1"/>
  <c r="J1120" s="1"/>
  <c r="J1208" s="1"/>
  <c r="J1296" s="1"/>
  <c r="J1384" s="1"/>
  <c r="J1472" s="1"/>
  <c r="J1560" s="1"/>
  <c r="J1648" s="1"/>
  <c r="J1736" s="1"/>
  <c r="J153"/>
  <c r="J241" s="1"/>
  <c r="J329" s="1"/>
  <c r="J417" s="1"/>
  <c r="J505" s="1"/>
  <c r="J593" s="1"/>
  <c r="J681" s="1"/>
  <c r="J769" s="1"/>
  <c r="J857" s="1"/>
  <c r="J945" s="1"/>
  <c r="J1033" s="1"/>
  <c r="J1121" s="1"/>
  <c r="J1209" s="1"/>
  <c r="J1297" s="1"/>
  <c r="J1385" s="1"/>
  <c r="J1473" s="1"/>
  <c r="J1561" s="1"/>
  <c r="J1649" s="1"/>
  <c r="J1737" s="1"/>
  <c r="J154"/>
  <c r="J242" s="1"/>
  <c r="J330" s="1"/>
  <c r="J418" s="1"/>
  <c r="J506" s="1"/>
  <c r="J594" s="1"/>
  <c r="J682" s="1"/>
  <c r="J770" s="1"/>
  <c r="J858" s="1"/>
  <c r="J946" s="1"/>
  <c r="J1034" s="1"/>
  <c r="J1122" s="1"/>
  <c r="J1210" s="1"/>
  <c r="J1298" s="1"/>
  <c r="J1386" s="1"/>
  <c r="J1474" s="1"/>
  <c r="J1562" s="1"/>
  <c r="J1650" s="1"/>
  <c r="J1738" s="1"/>
  <c r="J155"/>
  <c r="J243" s="1"/>
  <c r="J331" s="1"/>
  <c r="J419" s="1"/>
  <c r="J507" s="1"/>
  <c r="J595" s="1"/>
  <c r="J683" s="1"/>
  <c r="J771" s="1"/>
  <c r="J859" s="1"/>
  <c r="J947" s="1"/>
  <c r="J1035" s="1"/>
  <c r="J1123" s="1"/>
  <c r="J1211" s="1"/>
  <c r="J1299" s="1"/>
  <c r="J1387" s="1"/>
  <c r="J1475" s="1"/>
  <c r="J1563" s="1"/>
  <c r="J1651" s="1"/>
  <c r="J1739" s="1"/>
  <c r="J156"/>
  <c r="J244" s="1"/>
  <c r="J332" s="1"/>
  <c r="J420" s="1"/>
  <c r="J508" s="1"/>
  <c r="J596" s="1"/>
  <c r="J684" s="1"/>
  <c r="J772" s="1"/>
  <c r="J860" s="1"/>
  <c r="J948" s="1"/>
  <c r="J1036" s="1"/>
  <c r="J1124" s="1"/>
  <c r="J1212" s="1"/>
  <c r="J1300" s="1"/>
  <c r="J1388" s="1"/>
  <c r="J1476" s="1"/>
  <c r="J1564" s="1"/>
  <c r="J1652" s="1"/>
  <c r="J1740" s="1"/>
  <c r="J157"/>
  <c r="J245" s="1"/>
  <c r="J333" s="1"/>
  <c r="J421" s="1"/>
  <c r="J509" s="1"/>
  <c r="J597" s="1"/>
  <c r="J685" s="1"/>
  <c r="J773" s="1"/>
  <c r="J861" s="1"/>
  <c r="J949" s="1"/>
  <c r="J1037" s="1"/>
  <c r="J1125" s="1"/>
  <c r="J1213" s="1"/>
  <c r="J1301" s="1"/>
  <c r="J1389" s="1"/>
  <c r="J1477" s="1"/>
  <c r="J1565" s="1"/>
  <c r="J1653" s="1"/>
  <c r="J1741" s="1"/>
  <c r="J158"/>
  <c r="J246" s="1"/>
  <c r="J334" s="1"/>
  <c r="J422" s="1"/>
  <c r="J510" s="1"/>
  <c r="J598" s="1"/>
  <c r="J686" s="1"/>
  <c r="J774" s="1"/>
  <c r="J862" s="1"/>
  <c r="J950" s="1"/>
  <c r="J1038" s="1"/>
  <c r="J1126" s="1"/>
  <c r="J1214" s="1"/>
  <c r="J1302" s="1"/>
  <c r="J1390" s="1"/>
  <c r="J1478" s="1"/>
  <c r="J1566" s="1"/>
  <c r="J1654" s="1"/>
  <c r="J1742" s="1"/>
  <c r="J159"/>
  <c r="J247" s="1"/>
  <c r="J335" s="1"/>
  <c r="J423" s="1"/>
  <c r="J511" s="1"/>
  <c r="J599" s="1"/>
  <c r="J687" s="1"/>
  <c r="J775" s="1"/>
  <c r="J863" s="1"/>
  <c r="J951" s="1"/>
  <c r="J1039" s="1"/>
  <c r="J1127" s="1"/>
  <c r="J1215" s="1"/>
  <c r="J1303" s="1"/>
  <c r="J1391" s="1"/>
  <c r="J1479" s="1"/>
  <c r="J1567" s="1"/>
  <c r="J1655" s="1"/>
  <c r="J1743" s="1"/>
  <c r="J160"/>
  <c r="J248" s="1"/>
  <c r="J336" s="1"/>
  <c r="J424" s="1"/>
  <c r="J512" s="1"/>
  <c r="J600" s="1"/>
  <c r="J688" s="1"/>
  <c r="J776" s="1"/>
  <c r="J864" s="1"/>
  <c r="J952" s="1"/>
  <c r="J1040" s="1"/>
  <c r="J1128" s="1"/>
  <c r="J1216" s="1"/>
  <c r="J1304" s="1"/>
  <c r="J1392" s="1"/>
  <c r="J1480" s="1"/>
  <c r="J1568" s="1"/>
  <c r="J1656" s="1"/>
  <c r="J1744" s="1"/>
  <c r="J161"/>
  <c r="J249" s="1"/>
  <c r="J337" s="1"/>
  <c r="J425" s="1"/>
  <c r="J513" s="1"/>
  <c r="J601" s="1"/>
  <c r="J689" s="1"/>
  <c r="J777" s="1"/>
  <c r="J865" s="1"/>
  <c r="J953" s="1"/>
  <c r="J1041" s="1"/>
  <c r="J1129" s="1"/>
  <c r="J1217" s="1"/>
  <c r="J1305" s="1"/>
  <c r="J1393" s="1"/>
  <c r="J1481" s="1"/>
  <c r="J1569" s="1"/>
  <c r="J1657" s="1"/>
  <c r="J1745" s="1"/>
  <c r="J162"/>
  <c r="J250" s="1"/>
  <c r="J338" s="1"/>
  <c r="J426" s="1"/>
  <c r="J514" s="1"/>
  <c r="J602" s="1"/>
  <c r="J690" s="1"/>
  <c r="J778" s="1"/>
  <c r="J866" s="1"/>
  <c r="J954" s="1"/>
  <c r="J1042" s="1"/>
  <c r="J1130" s="1"/>
  <c r="J1218" s="1"/>
  <c r="J1306" s="1"/>
  <c r="J1394" s="1"/>
  <c r="J1482" s="1"/>
  <c r="J1570" s="1"/>
  <c r="J1658" s="1"/>
  <c r="J1746" s="1"/>
  <c r="J163"/>
  <c r="J251" s="1"/>
  <c r="J339" s="1"/>
  <c r="J427" s="1"/>
  <c r="J515" s="1"/>
  <c r="J603" s="1"/>
  <c r="J691" s="1"/>
  <c r="J779" s="1"/>
  <c r="J867" s="1"/>
  <c r="J955" s="1"/>
  <c r="J1043" s="1"/>
  <c r="J1131" s="1"/>
  <c r="J1219" s="1"/>
  <c r="J1307" s="1"/>
  <c r="J1395" s="1"/>
  <c r="J1483" s="1"/>
  <c r="J1571" s="1"/>
  <c r="J1659" s="1"/>
  <c r="J1747" s="1"/>
  <c r="J164"/>
  <c r="J252" s="1"/>
  <c r="J340" s="1"/>
  <c r="J428" s="1"/>
  <c r="J516" s="1"/>
  <c r="J604" s="1"/>
  <c r="J692" s="1"/>
  <c r="J780" s="1"/>
  <c r="J868" s="1"/>
  <c r="J956" s="1"/>
  <c r="J1044" s="1"/>
  <c r="J1132" s="1"/>
  <c r="J1220" s="1"/>
  <c r="J1308" s="1"/>
  <c r="J1396" s="1"/>
  <c r="J1484" s="1"/>
  <c r="J1572" s="1"/>
  <c r="J1660" s="1"/>
  <c r="J1748" s="1"/>
  <c r="J165"/>
  <c r="J253" s="1"/>
  <c r="J341" s="1"/>
  <c r="J429" s="1"/>
  <c r="J517" s="1"/>
  <c r="J605" s="1"/>
  <c r="J693" s="1"/>
  <c r="J781" s="1"/>
  <c r="J869" s="1"/>
  <c r="J957" s="1"/>
  <c r="J1045" s="1"/>
  <c r="J1133" s="1"/>
  <c r="J1221" s="1"/>
  <c r="J1309" s="1"/>
  <c r="J1397" s="1"/>
  <c r="J1485" s="1"/>
  <c r="J1573" s="1"/>
  <c r="J1661" s="1"/>
  <c r="J1749" s="1"/>
  <c r="J166"/>
  <c r="J254" s="1"/>
  <c r="J342" s="1"/>
  <c r="J430" s="1"/>
  <c r="J518" s="1"/>
  <c r="J606" s="1"/>
  <c r="J694" s="1"/>
  <c r="J782" s="1"/>
  <c r="J870" s="1"/>
  <c r="J958" s="1"/>
  <c r="J1046" s="1"/>
  <c r="J1134" s="1"/>
  <c r="J1222" s="1"/>
  <c r="J1310" s="1"/>
  <c r="J1398" s="1"/>
  <c r="J1486" s="1"/>
  <c r="J1574" s="1"/>
  <c r="J1662" s="1"/>
  <c r="J1750" s="1"/>
  <c r="J167"/>
  <c r="J255" s="1"/>
  <c r="J343" s="1"/>
  <c r="J431" s="1"/>
  <c r="J519" s="1"/>
  <c r="J607" s="1"/>
  <c r="J695" s="1"/>
  <c r="J783" s="1"/>
  <c r="J871" s="1"/>
  <c r="J959" s="1"/>
  <c r="J1047" s="1"/>
  <c r="J1135" s="1"/>
  <c r="J1223" s="1"/>
  <c r="J1311" s="1"/>
  <c r="J1399" s="1"/>
  <c r="J1487" s="1"/>
  <c r="J1575" s="1"/>
  <c r="J1663" s="1"/>
  <c r="J1751" s="1"/>
  <c r="J168"/>
  <c r="J256" s="1"/>
  <c r="J344" s="1"/>
  <c r="J432" s="1"/>
  <c r="J520" s="1"/>
  <c r="J608" s="1"/>
  <c r="J696" s="1"/>
  <c r="J784" s="1"/>
  <c r="J872" s="1"/>
  <c r="J960" s="1"/>
  <c r="J1048" s="1"/>
  <c r="J1136" s="1"/>
  <c r="J1224" s="1"/>
  <c r="J1312" s="1"/>
  <c r="J1400" s="1"/>
  <c r="J1488" s="1"/>
  <c r="J1576" s="1"/>
  <c r="J1664" s="1"/>
  <c r="J1752" s="1"/>
  <c r="J169"/>
  <c r="J257" s="1"/>
  <c r="J345" s="1"/>
  <c r="J433" s="1"/>
  <c r="J521" s="1"/>
  <c r="J609" s="1"/>
  <c r="J697" s="1"/>
  <c r="J785" s="1"/>
  <c r="J873" s="1"/>
  <c r="J961" s="1"/>
  <c r="J1049" s="1"/>
  <c r="J1137" s="1"/>
  <c r="J1225" s="1"/>
  <c r="J1313" s="1"/>
  <c r="J1401" s="1"/>
  <c r="J1489" s="1"/>
  <c r="J1577" s="1"/>
  <c r="J1665" s="1"/>
  <c r="J1753" s="1"/>
  <c r="J170"/>
  <c r="J258" s="1"/>
  <c r="J346" s="1"/>
  <c r="J434" s="1"/>
  <c r="J522" s="1"/>
  <c r="J610" s="1"/>
  <c r="J698" s="1"/>
  <c r="J786" s="1"/>
  <c r="J874" s="1"/>
  <c r="J962" s="1"/>
  <c r="J1050" s="1"/>
  <c r="J1138" s="1"/>
  <c r="J1226" s="1"/>
  <c r="J1314" s="1"/>
  <c r="J1402" s="1"/>
  <c r="J1490" s="1"/>
  <c r="J1578" s="1"/>
  <c r="J1666" s="1"/>
  <c r="J1754" s="1"/>
  <c r="J171"/>
  <c r="J259" s="1"/>
  <c r="J347" s="1"/>
  <c r="J435" s="1"/>
  <c r="J523" s="1"/>
  <c r="J611" s="1"/>
  <c r="J699" s="1"/>
  <c r="J787" s="1"/>
  <c r="J875" s="1"/>
  <c r="J963" s="1"/>
  <c r="J1051" s="1"/>
  <c r="J1139" s="1"/>
  <c r="J1227" s="1"/>
  <c r="J1315" s="1"/>
  <c r="J1403" s="1"/>
  <c r="J1491" s="1"/>
  <c r="J1579" s="1"/>
  <c r="J1667" s="1"/>
  <c r="J1755" s="1"/>
  <c r="J172"/>
  <c r="J260" s="1"/>
  <c r="J348" s="1"/>
  <c r="J436" s="1"/>
  <c r="J524" s="1"/>
  <c r="J612" s="1"/>
  <c r="J700" s="1"/>
  <c r="J788" s="1"/>
  <c r="J876" s="1"/>
  <c r="J964" s="1"/>
  <c r="J1052" s="1"/>
  <c r="J1140" s="1"/>
  <c r="J1228" s="1"/>
  <c r="J1316" s="1"/>
  <c r="J1404" s="1"/>
  <c r="J1492" s="1"/>
  <c r="J1580" s="1"/>
  <c r="J1668" s="1"/>
  <c r="J1756" s="1"/>
  <c r="J173"/>
  <c r="J261" s="1"/>
  <c r="J349" s="1"/>
  <c r="J437" s="1"/>
  <c r="J525" s="1"/>
  <c r="J613" s="1"/>
  <c r="J701" s="1"/>
  <c r="J789" s="1"/>
  <c r="J877" s="1"/>
  <c r="J965" s="1"/>
  <c r="J1053" s="1"/>
  <c r="J1141" s="1"/>
  <c r="J1229" s="1"/>
  <c r="J1317" s="1"/>
  <c r="J1405" s="1"/>
  <c r="J1493" s="1"/>
  <c r="J1581" s="1"/>
  <c r="J1669" s="1"/>
  <c r="J1757" s="1"/>
  <c r="J174"/>
  <c r="J262" s="1"/>
  <c r="J350" s="1"/>
  <c r="J438" s="1"/>
  <c r="J526" s="1"/>
  <c r="J614" s="1"/>
  <c r="J702" s="1"/>
  <c r="J790" s="1"/>
  <c r="J878" s="1"/>
  <c r="J966" s="1"/>
  <c r="J1054" s="1"/>
  <c r="J1142" s="1"/>
  <c r="J1230" s="1"/>
  <c r="J1318" s="1"/>
  <c r="J1406" s="1"/>
  <c r="J1494" s="1"/>
  <c r="J1582" s="1"/>
  <c r="J1670" s="1"/>
  <c r="J1758" s="1"/>
  <c r="J175"/>
  <c r="J263" s="1"/>
  <c r="J351" s="1"/>
  <c r="J439" s="1"/>
  <c r="J527" s="1"/>
  <c r="J615" s="1"/>
  <c r="J703" s="1"/>
  <c r="J791" s="1"/>
  <c r="J879" s="1"/>
  <c r="J967" s="1"/>
  <c r="J1055" s="1"/>
  <c r="J1143" s="1"/>
  <c r="J1231" s="1"/>
  <c r="J1319" s="1"/>
  <c r="J1407" s="1"/>
  <c r="J1495" s="1"/>
  <c r="J1583" s="1"/>
  <c r="J1671" s="1"/>
  <c r="J1759" s="1"/>
  <c r="J176"/>
  <c r="J264" s="1"/>
  <c r="J352" s="1"/>
  <c r="J440" s="1"/>
  <c r="J528" s="1"/>
  <c r="J616" s="1"/>
  <c r="J704" s="1"/>
  <c r="J792" s="1"/>
  <c r="J880" s="1"/>
  <c r="J968" s="1"/>
  <c r="J1056" s="1"/>
  <c r="J1144" s="1"/>
  <c r="J1232" s="1"/>
  <c r="J1320" s="1"/>
  <c r="J1408" s="1"/>
  <c r="J1496" s="1"/>
  <c r="J1584" s="1"/>
  <c r="J1672" s="1"/>
  <c r="J1760" s="1"/>
  <c r="J177"/>
  <c r="J265" s="1"/>
  <c r="J353" s="1"/>
  <c r="J441" s="1"/>
  <c r="J529" s="1"/>
  <c r="J617" s="1"/>
  <c r="J705" s="1"/>
  <c r="J793" s="1"/>
  <c r="J881" s="1"/>
  <c r="J969" s="1"/>
  <c r="J1057" s="1"/>
  <c r="J1145" s="1"/>
  <c r="J1233" s="1"/>
  <c r="J1321" s="1"/>
  <c r="J1409" s="1"/>
  <c r="J1497" s="1"/>
  <c r="J1585" s="1"/>
  <c r="J1673" s="1"/>
  <c r="J1761" s="1"/>
  <c r="J178"/>
  <c r="J266" s="1"/>
  <c r="J354" s="1"/>
  <c r="J442" s="1"/>
  <c r="J530" s="1"/>
  <c r="J618" s="1"/>
  <c r="J706" s="1"/>
  <c r="J794" s="1"/>
  <c r="J882" s="1"/>
  <c r="J970" s="1"/>
  <c r="J1058" s="1"/>
  <c r="J1146" s="1"/>
  <c r="J1234" s="1"/>
  <c r="J1322" s="1"/>
  <c r="J1410" s="1"/>
  <c r="J1498" s="1"/>
  <c r="J1586" s="1"/>
  <c r="J1674" s="1"/>
  <c r="J1762" s="1"/>
  <c r="J179"/>
  <c r="J267" s="1"/>
  <c r="J355" s="1"/>
  <c r="J443" s="1"/>
  <c r="J531" s="1"/>
  <c r="J619" s="1"/>
  <c r="J707" s="1"/>
  <c r="J795" s="1"/>
  <c r="J883" s="1"/>
  <c r="J971" s="1"/>
  <c r="J1059" s="1"/>
  <c r="J1147" s="1"/>
  <c r="J1235" s="1"/>
  <c r="J1323" s="1"/>
  <c r="J1411" s="1"/>
  <c r="J1499" s="1"/>
  <c r="J1587" s="1"/>
  <c r="J1675" s="1"/>
  <c r="J1763" s="1"/>
  <c r="J180"/>
  <c r="J268" s="1"/>
  <c r="J356" s="1"/>
  <c r="J444" s="1"/>
  <c r="J532" s="1"/>
  <c r="J620" s="1"/>
  <c r="J708" s="1"/>
  <c r="J796" s="1"/>
  <c r="J884" s="1"/>
  <c r="J972" s="1"/>
  <c r="J1060" s="1"/>
  <c r="J1148" s="1"/>
  <c r="J1236" s="1"/>
  <c r="J1324" s="1"/>
  <c r="J1412" s="1"/>
  <c r="J1500" s="1"/>
  <c r="J1588" s="1"/>
  <c r="J1676" s="1"/>
  <c r="J1764" s="1"/>
  <c r="J181"/>
  <c r="J269" s="1"/>
  <c r="J357" s="1"/>
  <c r="J445" s="1"/>
  <c r="J533" s="1"/>
  <c r="J621" s="1"/>
  <c r="J709" s="1"/>
  <c r="J797" s="1"/>
  <c r="J885" s="1"/>
  <c r="J973" s="1"/>
  <c r="J1061" s="1"/>
  <c r="J1149" s="1"/>
  <c r="J1237" s="1"/>
  <c r="J1325" s="1"/>
  <c r="J1413" s="1"/>
  <c r="J1501" s="1"/>
  <c r="J1589" s="1"/>
  <c r="J1677" s="1"/>
  <c r="J1765" s="1"/>
  <c r="J182"/>
  <c r="J270" s="1"/>
  <c r="J358" s="1"/>
  <c r="J446" s="1"/>
  <c r="J534" s="1"/>
  <c r="J622" s="1"/>
  <c r="J710" s="1"/>
  <c r="J798" s="1"/>
  <c r="J886" s="1"/>
  <c r="J974" s="1"/>
  <c r="J1062" s="1"/>
  <c r="J1150" s="1"/>
  <c r="J1238" s="1"/>
  <c r="J1326" s="1"/>
  <c r="J1414" s="1"/>
  <c r="J1502" s="1"/>
  <c r="J1590" s="1"/>
  <c r="J1678" s="1"/>
  <c r="J1766" s="1"/>
  <c r="J183"/>
  <c r="J271" s="1"/>
  <c r="J359" s="1"/>
  <c r="J447" s="1"/>
  <c r="J535" s="1"/>
  <c r="J623" s="1"/>
  <c r="J711" s="1"/>
  <c r="J799" s="1"/>
  <c r="J887" s="1"/>
  <c r="J975" s="1"/>
  <c r="J1063" s="1"/>
  <c r="J1151" s="1"/>
  <c r="J1239" s="1"/>
  <c r="J1327" s="1"/>
  <c r="J1415" s="1"/>
  <c r="J1503" s="1"/>
  <c r="J1591" s="1"/>
  <c r="J1679" s="1"/>
  <c r="J1767" s="1"/>
  <c r="J184"/>
  <c r="J272" s="1"/>
  <c r="J360" s="1"/>
  <c r="J448" s="1"/>
  <c r="J536" s="1"/>
  <c r="J624" s="1"/>
  <c r="J712" s="1"/>
  <c r="J800" s="1"/>
  <c r="J888" s="1"/>
  <c r="J976" s="1"/>
  <c r="J1064" s="1"/>
  <c r="J1152" s="1"/>
  <c r="J1240" s="1"/>
  <c r="J1328" s="1"/>
  <c r="J1416" s="1"/>
  <c r="J1504" s="1"/>
  <c r="J1592" s="1"/>
  <c r="J1680" s="1"/>
  <c r="J1768" s="1"/>
  <c r="J185"/>
  <c r="J273" s="1"/>
  <c r="J361" s="1"/>
  <c r="J449" s="1"/>
  <c r="J537" s="1"/>
  <c r="J625" s="1"/>
  <c r="J713" s="1"/>
  <c r="J801" s="1"/>
  <c r="J889" s="1"/>
  <c r="J977" s="1"/>
  <c r="J1065" s="1"/>
  <c r="J1153" s="1"/>
  <c r="J1241" s="1"/>
  <c r="J1329" s="1"/>
  <c r="J1417" s="1"/>
  <c r="J1505" s="1"/>
  <c r="J1593" s="1"/>
  <c r="J1681" s="1"/>
  <c r="J1769" s="1"/>
  <c r="J186"/>
  <c r="J274" s="1"/>
  <c r="J362" s="1"/>
  <c r="J450" s="1"/>
  <c r="J538" s="1"/>
  <c r="J626" s="1"/>
  <c r="J714" s="1"/>
  <c r="J802" s="1"/>
  <c r="J890" s="1"/>
  <c r="J978" s="1"/>
  <c r="J1066" s="1"/>
  <c r="J1154" s="1"/>
  <c r="J1242" s="1"/>
  <c r="J1330" s="1"/>
  <c r="J1418" s="1"/>
  <c r="J1506" s="1"/>
  <c r="J1594" s="1"/>
  <c r="J1682" s="1"/>
  <c r="J1770" s="1"/>
  <c r="J187"/>
  <c r="J275" s="1"/>
  <c r="J363" s="1"/>
  <c r="J451" s="1"/>
  <c r="J539" s="1"/>
  <c r="J627" s="1"/>
  <c r="J715" s="1"/>
  <c r="J803" s="1"/>
  <c r="J891" s="1"/>
  <c r="J979" s="1"/>
  <c r="J1067" s="1"/>
  <c r="J1155" s="1"/>
  <c r="J1243" s="1"/>
  <c r="J1331" s="1"/>
  <c r="J1419" s="1"/>
  <c r="J1507" s="1"/>
  <c r="J1595" s="1"/>
  <c r="J1683" s="1"/>
  <c r="J1771" s="1"/>
  <c r="J188"/>
  <c r="J276" s="1"/>
  <c r="J364" s="1"/>
  <c r="J452" s="1"/>
  <c r="J540" s="1"/>
  <c r="J628" s="1"/>
  <c r="J716" s="1"/>
  <c r="J804" s="1"/>
  <c r="J892" s="1"/>
  <c r="J980" s="1"/>
  <c r="J1068" s="1"/>
  <c r="J1156" s="1"/>
  <c r="J1244" s="1"/>
  <c r="J1332" s="1"/>
  <c r="J1420" s="1"/>
  <c r="J1508" s="1"/>
  <c r="J1596" s="1"/>
  <c r="J1684" s="1"/>
  <c r="J1772" s="1"/>
  <c r="J189"/>
  <c r="J277" s="1"/>
  <c r="J365" s="1"/>
  <c r="J453" s="1"/>
  <c r="J541" s="1"/>
  <c r="J629" s="1"/>
  <c r="J717" s="1"/>
  <c r="J805" s="1"/>
  <c r="J893" s="1"/>
  <c r="J981" s="1"/>
  <c r="J1069" s="1"/>
  <c r="J1157" s="1"/>
  <c r="J1245" s="1"/>
  <c r="J1333" s="1"/>
  <c r="J1421" s="1"/>
  <c r="J1509" s="1"/>
  <c r="J1597" s="1"/>
  <c r="J1685" s="1"/>
  <c r="J1773" s="1"/>
  <c r="J190"/>
  <c r="J278" s="1"/>
  <c r="J366" s="1"/>
  <c r="J454" s="1"/>
  <c r="J542" s="1"/>
  <c r="J630" s="1"/>
  <c r="J718" s="1"/>
  <c r="J806" s="1"/>
  <c r="J894" s="1"/>
  <c r="J982" s="1"/>
  <c r="J1070" s="1"/>
  <c r="J1158" s="1"/>
  <c r="J1246" s="1"/>
  <c r="J1334" s="1"/>
  <c r="J1422" s="1"/>
  <c r="J1510" s="1"/>
  <c r="J1598" s="1"/>
  <c r="J1686" s="1"/>
  <c r="J1774" s="1"/>
  <c r="J191"/>
  <c r="J279" s="1"/>
  <c r="J367" s="1"/>
  <c r="J455" s="1"/>
  <c r="J543" s="1"/>
  <c r="J631" s="1"/>
  <c r="J719" s="1"/>
  <c r="J807" s="1"/>
  <c r="J895" s="1"/>
  <c r="J983" s="1"/>
  <c r="J1071" s="1"/>
  <c r="J1159" s="1"/>
  <c r="J1247" s="1"/>
  <c r="J1335" s="1"/>
  <c r="J1423" s="1"/>
  <c r="J1511" s="1"/>
  <c r="J1599" s="1"/>
  <c r="J1687" s="1"/>
  <c r="J1775" s="1"/>
  <c r="J192"/>
  <c r="J280" s="1"/>
  <c r="J368" s="1"/>
  <c r="J456" s="1"/>
  <c r="J544" s="1"/>
  <c r="J632" s="1"/>
  <c r="J720" s="1"/>
  <c r="J808" s="1"/>
  <c r="J896" s="1"/>
  <c r="J984" s="1"/>
  <c r="J1072" s="1"/>
  <c r="J1160" s="1"/>
  <c r="J1248" s="1"/>
  <c r="J1336" s="1"/>
  <c r="J1424" s="1"/>
  <c r="J1512" s="1"/>
  <c r="J1600" s="1"/>
  <c r="J1688" s="1"/>
  <c r="J1776" s="1"/>
  <c r="J193"/>
  <c r="J281" s="1"/>
  <c r="J369" s="1"/>
  <c r="J457" s="1"/>
  <c r="J545" s="1"/>
  <c r="J633" s="1"/>
  <c r="J721" s="1"/>
  <c r="J809" s="1"/>
  <c r="J897" s="1"/>
  <c r="J985" s="1"/>
  <c r="J1073" s="1"/>
  <c r="J1161" s="1"/>
  <c r="J1249" s="1"/>
  <c r="J1337" s="1"/>
  <c r="J1425" s="1"/>
  <c r="J1513" s="1"/>
  <c r="J1601" s="1"/>
  <c r="J1689" s="1"/>
  <c r="J1777" s="1"/>
  <c r="J194"/>
  <c r="J282" s="1"/>
  <c r="J370" s="1"/>
  <c r="J458" s="1"/>
  <c r="J546" s="1"/>
  <c r="J634" s="1"/>
  <c r="J722" s="1"/>
  <c r="J810" s="1"/>
  <c r="J898" s="1"/>
  <c r="J986" s="1"/>
  <c r="J1074" s="1"/>
  <c r="J1162" s="1"/>
  <c r="J1250" s="1"/>
  <c r="J1338" s="1"/>
  <c r="J1426" s="1"/>
  <c r="J1514" s="1"/>
  <c r="J1602" s="1"/>
  <c r="J1690" s="1"/>
  <c r="J1778" s="1"/>
  <c r="J195"/>
  <c r="J283" s="1"/>
  <c r="J371" s="1"/>
  <c r="J459" s="1"/>
  <c r="J547" s="1"/>
  <c r="J635" s="1"/>
  <c r="J723" s="1"/>
  <c r="J811" s="1"/>
  <c r="J899" s="1"/>
  <c r="J987" s="1"/>
  <c r="J1075" s="1"/>
  <c r="J1163" s="1"/>
  <c r="J1251" s="1"/>
  <c r="J1339" s="1"/>
  <c r="J1427" s="1"/>
  <c r="J1515" s="1"/>
  <c r="J1603" s="1"/>
  <c r="J1691" s="1"/>
  <c r="J1779" s="1"/>
  <c r="J196"/>
  <c r="J284" s="1"/>
  <c r="J372" s="1"/>
  <c r="J460" s="1"/>
  <c r="J548" s="1"/>
  <c r="J636" s="1"/>
  <c r="J724" s="1"/>
  <c r="J812" s="1"/>
  <c r="J900" s="1"/>
  <c r="J988" s="1"/>
  <c r="J1076" s="1"/>
  <c r="J1164" s="1"/>
  <c r="J1252" s="1"/>
  <c r="J1340" s="1"/>
  <c r="J1428" s="1"/>
  <c r="J1516" s="1"/>
  <c r="J1604" s="1"/>
  <c r="J1692" s="1"/>
  <c r="J1780" s="1"/>
  <c r="J197"/>
  <c r="J285" s="1"/>
  <c r="J373" s="1"/>
  <c r="J461" s="1"/>
  <c r="J549" s="1"/>
  <c r="J637" s="1"/>
  <c r="J725" s="1"/>
  <c r="J813" s="1"/>
  <c r="J901" s="1"/>
  <c r="J989" s="1"/>
  <c r="J1077" s="1"/>
  <c r="J1165" s="1"/>
  <c r="J1253" s="1"/>
  <c r="J1341" s="1"/>
  <c r="J1429" s="1"/>
  <c r="J1517" s="1"/>
  <c r="J1605" s="1"/>
  <c r="J1693" s="1"/>
  <c r="J1781" s="1"/>
  <c r="J198"/>
  <c r="J286" s="1"/>
  <c r="J374" s="1"/>
  <c r="J462" s="1"/>
  <c r="J550" s="1"/>
  <c r="J638" s="1"/>
  <c r="J726" s="1"/>
  <c r="J814" s="1"/>
  <c r="J902" s="1"/>
  <c r="J990" s="1"/>
  <c r="J1078" s="1"/>
  <c r="J1166" s="1"/>
  <c r="J1254" s="1"/>
  <c r="J1342" s="1"/>
  <c r="J1430" s="1"/>
  <c r="J1518" s="1"/>
  <c r="J1606" s="1"/>
  <c r="J1694" s="1"/>
  <c r="J1782" s="1"/>
  <c r="J199"/>
  <c r="J287" s="1"/>
  <c r="J375" s="1"/>
  <c r="J463" s="1"/>
  <c r="J551" s="1"/>
  <c r="J639" s="1"/>
  <c r="J727" s="1"/>
  <c r="J815" s="1"/>
  <c r="J903" s="1"/>
  <c r="J991" s="1"/>
  <c r="J1079" s="1"/>
  <c r="J1167" s="1"/>
  <c r="J1255" s="1"/>
  <c r="J1343" s="1"/>
  <c r="J1431" s="1"/>
  <c r="J1519" s="1"/>
  <c r="J1607" s="1"/>
  <c r="J1695" s="1"/>
  <c r="J1783" s="1"/>
  <c r="J200"/>
  <c r="J288" s="1"/>
  <c r="J376" s="1"/>
  <c r="J464" s="1"/>
  <c r="J552" s="1"/>
  <c r="J640" s="1"/>
  <c r="J728" s="1"/>
  <c r="J816" s="1"/>
  <c r="J904" s="1"/>
  <c r="J992" s="1"/>
  <c r="J1080" s="1"/>
  <c r="J1168" s="1"/>
  <c r="J1256" s="1"/>
  <c r="J1344" s="1"/>
  <c r="J1432" s="1"/>
  <c r="J1520" s="1"/>
  <c r="J1608" s="1"/>
  <c r="J1696" s="1"/>
  <c r="J1784" s="1"/>
  <c r="J201"/>
  <c r="J289" s="1"/>
  <c r="J377" s="1"/>
  <c r="J465" s="1"/>
  <c r="J553" s="1"/>
  <c r="J641" s="1"/>
  <c r="J729" s="1"/>
  <c r="J817" s="1"/>
  <c r="J905" s="1"/>
  <c r="J993" s="1"/>
  <c r="J1081" s="1"/>
  <c r="J1169" s="1"/>
  <c r="J1257" s="1"/>
  <c r="J1345" s="1"/>
  <c r="J1433" s="1"/>
  <c r="J1521" s="1"/>
  <c r="J1609" s="1"/>
  <c r="J1697" s="1"/>
  <c r="J1785" s="1"/>
  <c r="J202"/>
  <c r="J290" s="1"/>
  <c r="J378" s="1"/>
  <c r="J466" s="1"/>
  <c r="J554" s="1"/>
  <c r="J642" s="1"/>
  <c r="J730" s="1"/>
  <c r="J818" s="1"/>
  <c r="J906" s="1"/>
  <c r="J994" s="1"/>
  <c r="J1082" s="1"/>
  <c r="J1170" s="1"/>
  <c r="J1258" s="1"/>
  <c r="J1346" s="1"/>
  <c r="J1434" s="1"/>
  <c r="J1522" s="1"/>
  <c r="J1610" s="1"/>
  <c r="J1698" s="1"/>
  <c r="J1786" s="1"/>
  <c r="J203"/>
  <c r="J291" s="1"/>
  <c r="J379" s="1"/>
  <c r="J467" s="1"/>
  <c r="J555" s="1"/>
  <c r="J643" s="1"/>
  <c r="J731" s="1"/>
  <c r="J819" s="1"/>
  <c r="J907" s="1"/>
  <c r="J995" s="1"/>
  <c r="J1083" s="1"/>
  <c r="J1171" s="1"/>
  <c r="J1259" s="1"/>
  <c r="J1347" s="1"/>
  <c r="J1435" s="1"/>
  <c r="J1523" s="1"/>
  <c r="J1611" s="1"/>
  <c r="J1699" s="1"/>
  <c r="J1787" s="1"/>
  <c r="J204"/>
  <c r="J292" s="1"/>
  <c r="J380" s="1"/>
  <c r="J468" s="1"/>
  <c r="J556" s="1"/>
  <c r="J644" s="1"/>
  <c r="J732" s="1"/>
  <c r="J820" s="1"/>
  <c r="J908" s="1"/>
  <c r="J996" s="1"/>
  <c r="J1084" s="1"/>
  <c r="J1172" s="1"/>
  <c r="J1260" s="1"/>
  <c r="J1348" s="1"/>
  <c r="J1436" s="1"/>
  <c r="J1524" s="1"/>
  <c r="J1612" s="1"/>
  <c r="J1700" s="1"/>
  <c r="J1788" s="1"/>
  <c r="J205"/>
  <c r="J293" s="1"/>
  <c r="J381" s="1"/>
  <c r="J469" s="1"/>
  <c r="J557" s="1"/>
  <c r="J645" s="1"/>
  <c r="J733" s="1"/>
  <c r="J821" s="1"/>
  <c r="J909" s="1"/>
  <c r="J997" s="1"/>
  <c r="J1085" s="1"/>
  <c r="J1173" s="1"/>
  <c r="J1261" s="1"/>
  <c r="J1349" s="1"/>
  <c r="J1437" s="1"/>
  <c r="J1525" s="1"/>
  <c r="J1613" s="1"/>
  <c r="J1701" s="1"/>
  <c r="J1789" s="1"/>
  <c r="J482"/>
  <c r="J570" s="1"/>
  <c r="J658" s="1"/>
  <c r="J746" s="1"/>
  <c r="J834" s="1"/>
  <c r="J922" s="1"/>
  <c r="J1010" s="1"/>
  <c r="J1098" s="1"/>
  <c r="J1186" s="1"/>
  <c r="J1274" s="1"/>
  <c r="J1362" s="1"/>
  <c r="J1450" s="1"/>
  <c r="J1538" s="1"/>
  <c r="J1626" s="1"/>
  <c r="J1714" s="1"/>
  <c r="J118"/>
  <c r="J206" s="1"/>
  <c r="J294" s="1"/>
  <c r="J382" s="1"/>
  <c r="J470" s="1"/>
  <c r="J558" s="1"/>
  <c r="J646" s="1"/>
  <c r="J734" s="1"/>
  <c r="J822" s="1"/>
  <c r="J910" s="1"/>
  <c r="J998" s="1"/>
  <c r="J1086" s="1"/>
  <c r="J1174" s="1"/>
  <c r="J1262" s="1"/>
  <c r="J1350" s="1"/>
  <c r="J1438" s="1"/>
  <c r="J1526" s="1"/>
  <c r="J1614" s="1"/>
  <c r="J1702" s="1"/>
  <c r="H119"/>
  <c r="H207" s="1"/>
  <c r="H295" s="1"/>
  <c r="H383" s="1"/>
  <c r="H471" s="1"/>
  <c r="H559" s="1"/>
  <c r="H647" s="1"/>
  <c r="H735" s="1"/>
  <c r="H823" s="1"/>
  <c r="H911" s="1"/>
  <c r="H999" s="1"/>
  <c r="H1087" s="1"/>
  <c r="H1175" s="1"/>
  <c r="H1263" s="1"/>
  <c r="H1351" s="1"/>
  <c r="H1439" s="1"/>
  <c r="H1527" s="1"/>
  <c r="H1615" s="1"/>
  <c r="H1703" s="1"/>
  <c r="H120"/>
  <c r="H208" s="1"/>
  <c r="H296" s="1"/>
  <c r="H384" s="1"/>
  <c r="H472" s="1"/>
  <c r="H560" s="1"/>
  <c r="H648" s="1"/>
  <c r="H736" s="1"/>
  <c r="H824" s="1"/>
  <c r="H912" s="1"/>
  <c r="H1000" s="1"/>
  <c r="H1088" s="1"/>
  <c r="H1176" s="1"/>
  <c r="H1264" s="1"/>
  <c r="H1352" s="1"/>
  <c r="H1440" s="1"/>
  <c r="H1528" s="1"/>
  <c r="H1616" s="1"/>
  <c r="H1704" s="1"/>
  <c r="H121"/>
  <c r="H209" s="1"/>
  <c r="H297" s="1"/>
  <c r="H385" s="1"/>
  <c r="H473" s="1"/>
  <c r="H561" s="1"/>
  <c r="H649" s="1"/>
  <c r="H737" s="1"/>
  <c r="H825" s="1"/>
  <c r="H913" s="1"/>
  <c r="H1001" s="1"/>
  <c r="H1089" s="1"/>
  <c r="H1177" s="1"/>
  <c r="H1265" s="1"/>
  <c r="H1353" s="1"/>
  <c r="H1441" s="1"/>
  <c r="H1529" s="1"/>
  <c r="H1617" s="1"/>
  <c r="H1705" s="1"/>
  <c r="H122"/>
  <c r="H210" s="1"/>
  <c r="H298" s="1"/>
  <c r="H386" s="1"/>
  <c r="H474" s="1"/>
  <c r="H562" s="1"/>
  <c r="H650" s="1"/>
  <c r="H738" s="1"/>
  <c r="H826" s="1"/>
  <c r="H914" s="1"/>
  <c r="H1002" s="1"/>
  <c r="H1090" s="1"/>
  <c r="H1178" s="1"/>
  <c r="H1266" s="1"/>
  <c r="H1354" s="1"/>
  <c r="H1442" s="1"/>
  <c r="H1530" s="1"/>
  <c r="H1618" s="1"/>
  <c r="H1706" s="1"/>
  <c r="H123"/>
  <c r="H211" s="1"/>
  <c r="H299" s="1"/>
  <c r="H387" s="1"/>
  <c r="H475" s="1"/>
  <c r="H563" s="1"/>
  <c r="H651" s="1"/>
  <c r="H739" s="1"/>
  <c r="H827" s="1"/>
  <c r="H915" s="1"/>
  <c r="H1003" s="1"/>
  <c r="H1091" s="1"/>
  <c r="H1179" s="1"/>
  <c r="H1267" s="1"/>
  <c r="H1355" s="1"/>
  <c r="H1443" s="1"/>
  <c r="H1531" s="1"/>
  <c r="H1619" s="1"/>
  <c r="H1707" s="1"/>
  <c r="H124"/>
  <c r="H212" s="1"/>
  <c r="H300" s="1"/>
  <c r="H388" s="1"/>
  <c r="H476" s="1"/>
  <c r="H564" s="1"/>
  <c r="H652" s="1"/>
  <c r="H740" s="1"/>
  <c r="H828" s="1"/>
  <c r="H916" s="1"/>
  <c r="H1004" s="1"/>
  <c r="H1092" s="1"/>
  <c r="H1180" s="1"/>
  <c r="H1268" s="1"/>
  <c r="H1356" s="1"/>
  <c r="H1444" s="1"/>
  <c r="H1532" s="1"/>
  <c r="H1620" s="1"/>
  <c r="H1708" s="1"/>
  <c r="H125"/>
  <c r="H213" s="1"/>
  <c r="H301" s="1"/>
  <c r="H389" s="1"/>
  <c r="H477" s="1"/>
  <c r="H565" s="1"/>
  <c r="H653" s="1"/>
  <c r="H741" s="1"/>
  <c r="H829" s="1"/>
  <c r="H917" s="1"/>
  <c r="H1005" s="1"/>
  <c r="H1093" s="1"/>
  <c r="H1181" s="1"/>
  <c r="H1269" s="1"/>
  <c r="H1357" s="1"/>
  <c r="H1445" s="1"/>
  <c r="H1533" s="1"/>
  <c r="H1621" s="1"/>
  <c r="H1709" s="1"/>
  <c r="H126"/>
  <c r="H214" s="1"/>
  <c r="H302" s="1"/>
  <c r="H390" s="1"/>
  <c r="H478" s="1"/>
  <c r="H566" s="1"/>
  <c r="H654" s="1"/>
  <c r="H742" s="1"/>
  <c r="H830" s="1"/>
  <c r="H918" s="1"/>
  <c r="H1006" s="1"/>
  <c r="H1094" s="1"/>
  <c r="H1182" s="1"/>
  <c r="H1270" s="1"/>
  <c r="H1358" s="1"/>
  <c r="H1446" s="1"/>
  <c r="H1534" s="1"/>
  <c r="H1622" s="1"/>
  <c r="H1710" s="1"/>
  <c r="H127"/>
  <c r="H215" s="1"/>
  <c r="H303" s="1"/>
  <c r="H391" s="1"/>
  <c r="H479" s="1"/>
  <c r="H567" s="1"/>
  <c r="H655" s="1"/>
  <c r="H743" s="1"/>
  <c r="H831" s="1"/>
  <c r="H919" s="1"/>
  <c r="H1007" s="1"/>
  <c r="H1095" s="1"/>
  <c r="H1183" s="1"/>
  <c r="H1271" s="1"/>
  <c r="H1359" s="1"/>
  <c r="H1447" s="1"/>
  <c r="H1535" s="1"/>
  <c r="H1623" s="1"/>
  <c r="H1711" s="1"/>
  <c r="H128"/>
  <c r="H216" s="1"/>
  <c r="H304" s="1"/>
  <c r="H392" s="1"/>
  <c r="H480" s="1"/>
  <c r="H568" s="1"/>
  <c r="H656" s="1"/>
  <c r="H744" s="1"/>
  <c r="H832" s="1"/>
  <c r="H920" s="1"/>
  <c r="H1008" s="1"/>
  <c r="H1096" s="1"/>
  <c r="H1184" s="1"/>
  <c r="H1272" s="1"/>
  <c r="H1360" s="1"/>
  <c r="H1448" s="1"/>
  <c r="H1536" s="1"/>
  <c r="H1624" s="1"/>
  <c r="H1712" s="1"/>
  <c r="H129"/>
  <c r="H217" s="1"/>
  <c r="H305" s="1"/>
  <c r="H393" s="1"/>
  <c r="H481" s="1"/>
  <c r="H569" s="1"/>
  <c r="H657" s="1"/>
  <c r="H745" s="1"/>
  <c r="H833" s="1"/>
  <c r="H921" s="1"/>
  <c r="H1009" s="1"/>
  <c r="H1097" s="1"/>
  <c r="H1185" s="1"/>
  <c r="H1273" s="1"/>
  <c r="H1361" s="1"/>
  <c r="H1449" s="1"/>
  <c r="H1537" s="1"/>
  <c r="H1625" s="1"/>
  <c r="H1713" s="1"/>
  <c r="H130"/>
  <c r="H218" s="1"/>
  <c r="H306" s="1"/>
  <c r="H394" s="1"/>
  <c r="H482" s="1"/>
  <c r="H570" s="1"/>
  <c r="H658" s="1"/>
  <c r="H746" s="1"/>
  <c r="H834" s="1"/>
  <c r="H922" s="1"/>
  <c r="H1010" s="1"/>
  <c r="H1098" s="1"/>
  <c r="H1186" s="1"/>
  <c r="H1274" s="1"/>
  <c r="H1362" s="1"/>
  <c r="H1450" s="1"/>
  <c r="H1538" s="1"/>
  <c r="H1626" s="1"/>
  <c r="H1714" s="1"/>
  <c r="H131"/>
  <c r="H219" s="1"/>
  <c r="H307" s="1"/>
  <c r="H395" s="1"/>
  <c r="H483" s="1"/>
  <c r="H571" s="1"/>
  <c r="H659" s="1"/>
  <c r="H747" s="1"/>
  <c r="H835" s="1"/>
  <c r="H923" s="1"/>
  <c r="H1011" s="1"/>
  <c r="H1099" s="1"/>
  <c r="H1187" s="1"/>
  <c r="H1275" s="1"/>
  <c r="H1363" s="1"/>
  <c r="H1451" s="1"/>
  <c r="H1539" s="1"/>
  <c r="H1627" s="1"/>
  <c r="H1715" s="1"/>
  <c r="H132"/>
  <c r="H220" s="1"/>
  <c r="H308" s="1"/>
  <c r="H396" s="1"/>
  <c r="H484" s="1"/>
  <c r="H572" s="1"/>
  <c r="H660" s="1"/>
  <c r="H748" s="1"/>
  <c r="H836" s="1"/>
  <c r="H924" s="1"/>
  <c r="H1012" s="1"/>
  <c r="H1100" s="1"/>
  <c r="H1188" s="1"/>
  <c r="H1276" s="1"/>
  <c r="H1364" s="1"/>
  <c r="H1452" s="1"/>
  <c r="H1540" s="1"/>
  <c r="H1628" s="1"/>
  <c r="H1716" s="1"/>
  <c r="H133"/>
  <c r="H221" s="1"/>
  <c r="H309" s="1"/>
  <c r="H397" s="1"/>
  <c r="H485" s="1"/>
  <c r="H573" s="1"/>
  <c r="H661" s="1"/>
  <c r="H749" s="1"/>
  <c r="H837" s="1"/>
  <c r="H925" s="1"/>
  <c r="H1013" s="1"/>
  <c r="H1101" s="1"/>
  <c r="H1189" s="1"/>
  <c r="H1277" s="1"/>
  <c r="H1365" s="1"/>
  <c r="H1453" s="1"/>
  <c r="H1541" s="1"/>
  <c r="H1629" s="1"/>
  <c r="H1717" s="1"/>
  <c r="H134"/>
  <c r="H222" s="1"/>
  <c r="H310" s="1"/>
  <c r="H398" s="1"/>
  <c r="H486" s="1"/>
  <c r="H574" s="1"/>
  <c r="H662" s="1"/>
  <c r="H750" s="1"/>
  <c r="H838" s="1"/>
  <c r="H926" s="1"/>
  <c r="H1014" s="1"/>
  <c r="H1102" s="1"/>
  <c r="H1190" s="1"/>
  <c r="H1278" s="1"/>
  <c r="H1366" s="1"/>
  <c r="H1454" s="1"/>
  <c r="H1542" s="1"/>
  <c r="H1630" s="1"/>
  <c r="H1718" s="1"/>
  <c r="H135"/>
  <c r="H223" s="1"/>
  <c r="H311" s="1"/>
  <c r="H399" s="1"/>
  <c r="H487" s="1"/>
  <c r="H575" s="1"/>
  <c r="H663" s="1"/>
  <c r="H751" s="1"/>
  <c r="H839" s="1"/>
  <c r="H927" s="1"/>
  <c r="H1015" s="1"/>
  <c r="H1103" s="1"/>
  <c r="H1191" s="1"/>
  <c r="H1279" s="1"/>
  <c r="H1367" s="1"/>
  <c r="H1455" s="1"/>
  <c r="H1543" s="1"/>
  <c r="H1631" s="1"/>
  <c r="H1719" s="1"/>
  <c r="H136"/>
  <c r="H224" s="1"/>
  <c r="H312" s="1"/>
  <c r="H400" s="1"/>
  <c r="H488" s="1"/>
  <c r="H576" s="1"/>
  <c r="H664" s="1"/>
  <c r="H752" s="1"/>
  <c r="H840" s="1"/>
  <c r="H928" s="1"/>
  <c r="H1016" s="1"/>
  <c r="H1104" s="1"/>
  <c r="H1192" s="1"/>
  <c r="H1280" s="1"/>
  <c r="H1368" s="1"/>
  <c r="H1456" s="1"/>
  <c r="H1544" s="1"/>
  <c r="H1632" s="1"/>
  <c r="H1720" s="1"/>
  <c r="H137"/>
  <c r="H225" s="1"/>
  <c r="H313" s="1"/>
  <c r="H401" s="1"/>
  <c r="H489" s="1"/>
  <c r="H577" s="1"/>
  <c r="H665" s="1"/>
  <c r="H753" s="1"/>
  <c r="H841" s="1"/>
  <c r="H929" s="1"/>
  <c r="H1017" s="1"/>
  <c r="H1105" s="1"/>
  <c r="H1193" s="1"/>
  <c r="H1281" s="1"/>
  <c r="H1369" s="1"/>
  <c r="H1457" s="1"/>
  <c r="H1545" s="1"/>
  <c r="H1633" s="1"/>
  <c r="H1721" s="1"/>
  <c r="H138"/>
  <c r="H226" s="1"/>
  <c r="H314" s="1"/>
  <c r="H402" s="1"/>
  <c r="H490" s="1"/>
  <c r="H578" s="1"/>
  <c r="H666" s="1"/>
  <c r="H754" s="1"/>
  <c r="H842" s="1"/>
  <c r="H930" s="1"/>
  <c r="H1018" s="1"/>
  <c r="H1106" s="1"/>
  <c r="H1194" s="1"/>
  <c r="H1282" s="1"/>
  <c r="H1370" s="1"/>
  <c r="H1458" s="1"/>
  <c r="H1546" s="1"/>
  <c r="H1634" s="1"/>
  <c r="H1722" s="1"/>
  <c r="H139"/>
  <c r="H227" s="1"/>
  <c r="H315" s="1"/>
  <c r="H403" s="1"/>
  <c r="H491" s="1"/>
  <c r="H579" s="1"/>
  <c r="H667" s="1"/>
  <c r="H755" s="1"/>
  <c r="H843" s="1"/>
  <c r="H931" s="1"/>
  <c r="H1019" s="1"/>
  <c r="H1107" s="1"/>
  <c r="H1195" s="1"/>
  <c r="H1283" s="1"/>
  <c r="H1371" s="1"/>
  <c r="H1459" s="1"/>
  <c r="H1547" s="1"/>
  <c r="H1635" s="1"/>
  <c r="H1723" s="1"/>
  <c r="H140"/>
  <c r="H228" s="1"/>
  <c r="H316" s="1"/>
  <c r="H404" s="1"/>
  <c r="H492" s="1"/>
  <c r="H580" s="1"/>
  <c r="H668" s="1"/>
  <c r="H756" s="1"/>
  <c r="H844" s="1"/>
  <c r="H932" s="1"/>
  <c r="H1020" s="1"/>
  <c r="H1108" s="1"/>
  <c r="H1196" s="1"/>
  <c r="H1284" s="1"/>
  <c r="H1372" s="1"/>
  <c r="H1460" s="1"/>
  <c r="H1548" s="1"/>
  <c r="H1636" s="1"/>
  <c r="H1724" s="1"/>
  <c r="H141"/>
  <c r="H229" s="1"/>
  <c r="H317" s="1"/>
  <c r="H405" s="1"/>
  <c r="H493" s="1"/>
  <c r="H581" s="1"/>
  <c r="H669" s="1"/>
  <c r="H757" s="1"/>
  <c r="H845" s="1"/>
  <c r="H933" s="1"/>
  <c r="H1021" s="1"/>
  <c r="H1109" s="1"/>
  <c r="H1197" s="1"/>
  <c r="H1285" s="1"/>
  <c r="H1373" s="1"/>
  <c r="H1461" s="1"/>
  <c r="H1549" s="1"/>
  <c r="H1637" s="1"/>
  <c r="H1725" s="1"/>
  <c r="H142"/>
  <c r="H230" s="1"/>
  <c r="H318" s="1"/>
  <c r="H406" s="1"/>
  <c r="H494" s="1"/>
  <c r="H582" s="1"/>
  <c r="H670" s="1"/>
  <c r="H758" s="1"/>
  <c r="H846" s="1"/>
  <c r="H934" s="1"/>
  <c r="H1022" s="1"/>
  <c r="H1110" s="1"/>
  <c r="H1198" s="1"/>
  <c r="H1286" s="1"/>
  <c r="H1374" s="1"/>
  <c r="H1462" s="1"/>
  <c r="H1550" s="1"/>
  <c r="H1638" s="1"/>
  <c r="H1726" s="1"/>
  <c r="H143"/>
  <c r="H231" s="1"/>
  <c r="H319" s="1"/>
  <c r="H407" s="1"/>
  <c r="H495" s="1"/>
  <c r="H583" s="1"/>
  <c r="H671" s="1"/>
  <c r="H759" s="1"/>
  <c r="H847" s="1"/>
  <c r="H935" s="1"/>
  <c r="H1023" s="1"/>
  <c r="H1111" s="1"/>
  <c r="H1199" s="1"/>
  <c r="H1287" s="1"/>
  <c r="H1375" s="1"/>
  <c r="H1463" s="1"/>
  <c r="H1551" s="1"/>
  <c r="H1639" s="1"/>
  <c r="H1727" s="1"/>
  <c r="H144"/>
  <c r="H232" s="1"/>
  <c r="H320" s="1"/>
  <c r="H408" s="1"/>
  <c r="H496" s="1"/>
  <c r="H584" s="1"/>
  <c r="H672" s="1"/>
  <c r="H760" s="1"/>
  <c r="H848" s="1"/>
  <c r="H936" s="1"/>
  <c r="H1024" s="1"/>
  <c r="H1112" s="1"/>
  <c r="H1200" s="1"/>
  <c r="H1288" s="1"/>
  <c r="H1376" s="1"/>
  <c r="H1464" s="1"/>
  <c r="H1552" s="1"/>
  <c r="H1640" s="1"/>
  <c r="H1728" s="1"/>
  <c r="H145"/>
  <c r="H233" s="1"/>
  <c r="H321" s="1"/>
  <c r="H409" s="1"/>
  <c r="H497" s="1"/>
  <c r="H585" s="1"/>
  <c r="H673" s="1"/>
  <c r="H761" s="1"/>
  <c r="H849" s="1"/>
  <c r="H937" s="1"/>
  <c r="H1025" s="1"/>
  <c r="H1113" s="1"/>
  <c r="H1201" s="1"/>
  <c r="H1289" s="1"/>
  <c r="H1377" s="1"/>
  <c r="H1465" s="1"/>
  <c r="H1553" s="1"/>
  <c r="H1641" s="1"/>
  <c r="H1729" s="1"/>
  <c r="H146"/>
  <c r="H234" s="1"/>
  <c r="H322" s="1"/>
  <c r="H410" s="1"/>
  <c r="H498" s="1"/>
  <c r="H586" s="1"/>
  <c r="H674" s="1"/>
  <c r="H762" s="1"/>
  <c r="H850" s="1"/>
  <c r="H938" s="1"/>
  <c r="H1026" s="1"/>
  <c r="H1114" s="1"/>
  <c r="H1202" s="1"/>
  <c r="H1290" s="1"/>
  <c r="H1378" s="1"/>
  <c r="H1466" s="1"/>
  <c r="H1554" s="1"/>
  <c r="H1642" s="1"/>
  <c r="H1730" s="1"/>
  <c r="H147"/>
  <c r="H235" s="1"/>
  <c r="H323" s="1"/>
  <c r="H411" s="1"/>
  <c r="H499" s="1"/>
  <c r="H587" s="1"/>
  <c r="H675" s="1"/>
  <c r="H763" s="1"/>
  <c r="H851" s="1"/>
  <c r="H939" s="1"/>
  <c r="H1027" s="1"/>
  <c r="H1115" s="1"/>
  <c r="H1203" s="1"/>
  <c r="H1291" s="1"/>
  <c r="H1379" s="1"/>
  <c r="H1467" s="1"/>
  <c r="H1555" s="1"/>
  <c r="H1643" s="1"/>
  <c r="H1731" s="1"/>
  <c r="H148"/>
  <c r="H236" s="1"/>
  <c r="H324" s="1"/>
  <c r="H412" s="1"/>
  <c r="H500" s="1"/>
  <c r="H588" s="1"/>
  <c r="H676" s="1"/>
  <c r="H764" s="1"/>
  <c r="H852" s="1"/>
  <c r="H940" s="1"/>
  <c r="H1028" s="1"/>
  <c r="H1116" s="1"/>
  <c r="H1204" s="1"/>
  <c r="H1292" s="1"/>
  <c r="H1380" s="1"/>
  <c r="H1468" s="1"/>
  <c r="H1556" s="1"/>
  <c r="H1644" s="1"/>
  <c r="H1732" s="1"/>
  <c r="H149"/>
  <c r="H237" s="1"/>
  <c r="H325" s="1"/>
  <c r="H413" s="1"/>
  <c r="H501" s="1"/>
  <c r="H589" s="1"/>
  <c r="H677" s="1"/>
  <c r="H765" s="1"/>
  <c r="H853" s="1"/>
  <c r="H941" s="1"/>
  <c r="H1029" s="1"/>
  <c r="H1117" s="1"/>
  <c r="H1205" s="1"/>
  <c r="H1293" s="1"/>
  <c r="H1381" s="1"/>
  <c r="H1469" s="1"/>
  <c r="H1557" s="1"/>
  <c r="H1645" s="1"/>
  <c r="H1733" s="1"/>
  <c r="H150"/>
  <c r="H238" s="1"/>
  <c r="H326" s="1"/>
  <c r="H414" s="1"/>
  <c r="H502" s="1"/>
  <c r="H590" s="1"/>
  <c r="H678" s="1"/>
  <c r="H766" s="1"/>
  <c r="H854" s="1"/>
  <c r="H942" s="1"/>
  <c r="H1030" s="1"/>
  <c r="H1118" s="1"/>
  <c r="H1206" s="1"/>
  <c r="H1294" s="1"/>
  <c r="H1382" s="1"/>
  <c r="H1470" s="1"/>
  <c r="H1558" s="1"/>
  <c r="H1646" s="1"/>
  <c r="H1734" s="1"/>
  <c r="H151"/>
  <c r="H239" s="1"/>
  <c r="H327" s="1"/>
  <c r="H415" s="1"/>
  <c r="H503" s="1"/>
  <c r="H591" s="1"/>
  <c r="H679" s="1"/>
  <c r="H767" s="1"/>
  <c r="H855" s="1"/>
  <c r="H943" s="1"/>
  <c r="H1031" s="1"/>
  <c r="H1119" s="1"/>
  <c r="H1207" s="1"/>
  <c r="H1295" s="1"/>
  <c r="H1383" s="1"/>
  <c r="H1471" s="1"/>
  <c r="H1559" s="1"/>
  <c r="H1647" s="1"/>
  <c r="H1735" s="1"/>
  <c r="H152"/>
  <c r="H240" s="1"/>
  <c r="H328" s="1"/>
  <c r="H416" s="1"/>
  <c r="H504" s="1"/>
  <c r="H592" s="1"/>
  <c r="H680" s="1"/>
  <c r="H768" s="1"/>
  <c r="H856" s="1"/>
  <c r="H944" s="1"/>
  <c r="H1032" s="1"/>
  <c r="H1120" s="1"/>
  <c r="H1208" s="1"/>
  <c r="H1296" s="1"/>
  <c r="H1384" s="1"/>
  <c r="H1472" s="1"/>
  <c r="H1560" s="1"/>
  <c r="H1648" s="1"/>
  <c r="H1736" s="1"/>
  <c r="H153"/>
  <c r="H241" s="1"/>
  <c r="H329" s="1"/>
  <c r="H417" s="1"/>
  <c r="H505" s="1"/>
  <c r="H593" s="1"/>
  <c r="H681" s="1"/>
  <c r="H769" s="1"/>
  <c r="H857" s="1"/>
  <c r="H945" s="1"/>
  <c r="H1033" s="1"/>
  <c r="H1121" s="1"/>
  <c r="H1209" s="1"/>
  <c r="H1297" s="1"/>
  <c r="H1385" s="1"/>
  <c r="H1473" s="1"/>
  <c r="H1561" s="1"/>
  <c r="H1649" s="1"/>
  <c r="H1737" s="1"/>
  <c r="H154"/>
  <c r="H242" s="1"/>
  <c r="H330" s="1"/>
  <c r="H418" s="1"/>
  <c r="H506" s="1"/>
  <c r="H594" s="1"/>
  <c r="H682" s="1"/>
  <c r="H770" s="1"/>
  <c r="H858" s="1"/>
  <c r="H946" s="1"/>
  <c r="H1034" s="1"/>
  <c r="H1122" s="1"/>
  <c r="H1210" s="1"/>
  <c r="H1298" s="1"/>
  <c r="H1386" s="1"/>
  <c r="H1474" s="1"/>
  <c r="H1562" s="1"/>
  <c r="H1650" s="1"/>
  <c r="H1738" s="1"/>
  <c r="H155"/>
  <c r="H243" s="1"/>
  <c r="H331" s="1"/>
  <c r="H419" s="1"/>
  <c r="H507" s="1"/>
  <c r="H595" s="1"/>
  <c r="H683" s="1"/>
  <c r="H771" s="1"/>
  <c r="H859" s="1"/>
  <c r="H947" s="1"/>
  <c r="H1035" s="1"/>
  <c r="H1123" s="1"/>
  <c r="H1211" s="1"/>
  <c r="H1299" s="1"/>
  <c r="H1387" s="1"/>
  <c r="H1475" s="1"/>
  <c r="H1563" s="1"/>
  <c r="H1651" s="1"/>
  <c r="H1739" s="1"/>
  <c r="H156"/>
  <c r="H244" s="1"/>
  <c r="H332" s="1"/>
  <c r="H420" s="1"/>
  <c r="H508" s="1"/>
  <c r="H596" s="1"/>
  <c r="H684" s="1"/>
  <c r="H772" s="1"/>
  <c r="H860" s="1"/>
  <c r="H948" s="1"/>
  <c r="H1036" s="1"/>
  <c r="H1124" s="1"/>
  <c r="H1212" s="1"/>
  <c r="H1300" s="1"/>
  <c r="H1388" s="1"/>
  <c r="H1476" s="1"/>
  <c r="H1564" s="1"/>
  <c r="H1652" s="1"/>
  <c r="H1740" s="1"/>
  <c r="H157"/>
  <c r="H245" s="1"/>
  <c r="H333" s="1"/>
  <c r="H421" s="1"/>
  <c r="H509" s="1"/>
  <c r="H597" s="1"/>
  <c r="H685" s="1"/>
  <c r="H773" s="1"/>
  <c r="H861" s="1"/>
  <c r="H949" s="1"/>
  <c r="H1037" s="1"/>
  <c r="H1125" s="1"/>
  <c r="H1213" s="1"/>
  <c r="H1301" s="1"/>
  <c r="H1389" s="1"/>
  <c r="H1477" s="1"/>
  <c r="H1565" s="1"/>
  <c r="H1653" s="1"/>
  <c r="H1741" s="1"/>
  <c r="H158"/>
  <c r="H246" s="1"/>
  <c r="H334" s="1"/>
  <c r="H422" s="1"/>
  <c r="H510" s="1"/>
  <c r="H598" s="1"/>
  <c r="H686" s="1"/>
  <c r="H774" s="1"/>
  <c r="H862" s="1"/>
  <c r="H950" s="1"/>
  <c r="H1038" s="1"/>
  <c r="H1126" s="1"/>
  <c r="H1214" s="1"/>
  <c r="H1302" s="1"/>
  <c r="H1390" s="1"/>
  <c r="H1478" s="1"/>
  <c r="H1566" s="1"/>
  <c r="H1654" s="1"/>
  <c r="H1742" s="1"/>
  <c r="H159"/>
  <c r="H247" s="1"/>
  <c r="H335" s="1"/>
  <c r="H423" s="1"/>
  <c r="H511" s="1"/>
  <c r="H599" s="1"/>
  <c r="H687" s="1"/>
  <c r="H775" s="1"/>
  <c r="H863" s="1"/>
  <c r="H951" s="1"/>
  <c r="H1039" s="1"/>
  <c r="H1127" s="1"/>
  <c r="H1215" s="1"/>
  <c r="H1303" s="1"/>
  <c r="H1391" s="1"/>
  <c r="H1479" s="1"/>
  <c r="H1567" s="1"/>
  <c r="H1655" s="1"/>
  <c r="H1743" s="1"/>
  <c r="H160"/>
  <c r="H161"/>
  <c r="H249" s="1"/>
  <c r="H337" s="1"/>
  <c r="H425" s="1"/>
  <c r="H513" s="1"/>
  <c r="H601" s="1"/>
  <c r="H689" s="1"/>
  <c r="H777" s="1"/>
  <c r="H865" s="1"/>
  <c r="H953" s="1"/>
  <c r="H1041" s="1"/>
  <c r="H1129" s="1"/>
  <c r="H1217" s="1"/>
  <c r="H1305" s="1"/>
  <c r="H1393" s="1"/>
  <c r="H1481" s="1"/>
  <c r="H1569" s="1"/>
  <c r="H1657" s="1"/>
  <c r="H1745" s="1"/>
  <c r="H162"/>
  <c r="H250" s="1"/>
  <c r="H338" s="1"/>
  <c r="H426" s="1"/>
  <c r="H514" s="1"/>
  <c r="H602" s="1"/>
  <c r="H690" s="1"/>
  <c r="H778" s="1"/>
  <c r="H866" s="1"/>
  <c r="H954" s="1"/>
  <c r="H1042" s="1"/>
  <c r="H1130" s="1"/>
  <c r="H1218" s="1"/>
  <c r="H1306" s="1"/>
  <c r="H1394" s="1"/>
  <c r="H1482" s="1"/>
  <c r="H1570" s="1"/>
  <c r="H1658" s="1"/>
  <c r="H1746" s="1"/>
  <c r="H163"/>
  <c r="H251" s="1"/>
  <c r="H339" s="1"/>
  <c r="H427" s="1"/>
  <c r="H515" s="1"/>
  <c r="H603" s="1"/>
  <c r="H691" s="1"/>
  <c r="H779" s="1"/>
  <c r="H867" s="1"/>
  <c r="H955" s="1"/>
  <c r="H1043" s="1"/>
  <c r="H1131" s="1"/>
  <c r="H1219" s="1"/>
  <c r="H1307" s="1"/>
  <c r="H1395" s="1"/>
  <c r="H1483" s="1"/>
  <c r="H1571" s="1"/>
  <c r="H1659" s="1"/>
  <c r="H1747" s="1"/>
  <c r="H164"/>
  <c r="H252" s="1"/>
  <c r="H340" s="1"/>
  <c r="H428" s="1"/>
  <c r="H516" s="1"/>
  <c r="H604" s="1"/>
  <c r="H692" s="1"/>
  <c r="H780" s="1"/>
  <c r="H868" s="1"/>
  <c r="H956" s="1"/>
  <c r="H1044" s="1"/>
  <c r="H1132" s="1"/>
  <c r="H1220" s="1"/>
  <c r="H1308" s="1"/>
  <c r="H1396" s="1"/>
  <c r="H1484" s="1"/>
  <c r="H1572" s="1"/>
  <c r="H1660" s="1"/>
  <c r="H1748" s="1"/>
  <c r="H165"/>
  <c r="H253" s="1"/>
  <c r="H341" s="1"/>
  <c r="H429" s="1"/>
  <c r="H517" s="1"/>
  <c r="H605" s="1"/>
  <c r="H693" s="1"/>
  <c r="H781" s="1"/>
  <c r="H869" s="1"/>
  <c r="H957" s="1"/>
  <c r="H1045" s="1"/>
  <c r="H1133" s="1"/>
  <c r="H1221" s="1"/>
  <c r="H1309" s="1"/>
  <c r="H1397" s="1"/>
  <c r="H1485" s="1"/>
  <c r="H1573" s="1"/>
  <c r="H1661" s="1"/>
  <c r="H1749" s="1"/>
  <c r="H166"/>
  <c r="H254" s="1"/>
  <c r="H342" s="1"/>
  <c r="H430" s="1"/>
  <c r="H518" s="1"/>
  <c r="H606" s="1"/>
  <c r="H694" s="1"/>
  <c r="H782" s="1"/>
  <c r="H870" s="1"/>
  <c r="H958" s="1"/>
  <c r="H1046" s="1"/>
  <c r="H1134" s="1"/>
  <c r="H1222" s="1"/>
  <c r="H1310" s="1"/>
  <c r="H1398" s="1"/>
  <c r="H1486" s="1"/>
  <c r="H1574" s="1"/>
  <c r="H1662" s="1"/>
  <c r="H1750" s="1"/>
  <c r="H167"/>
  <c r="H255" s="1"/>
  <c r="H343" s="1"/>
  <c r="H431" s="1"/>
  <c r="H519" s="1"/>
  <c r="H607" s="1"/>
  <c r="H695" s="1"/>
  <c r="H783" s="1"/>
  <c r="H871" s="1"/>
  <c r="H959" s="1"/>
  <c r="H1047" s="1"/>
  <c r="H1135" s="1"/>
  <c r="H1223" s="1"/>
  <c r="H1311" s="1"/>
  <c r="H1399" s="1"/>
  <c r="H1487" s="1"/>
  <c r="H1575" s="1"/>
  <c r="H1663" s="1"/>
  <c r="H1751" s="1"/>
  <c r="H168"/>
  <c r="H256" s="1"/>
  <c r="H344" s="1"/>
  <c r="H432" s="1"/>
  <c r="H520" s="1"/>
  <c r="H608" s="1"/>
  <c r="H696" s="1"/>
  <c r="H784" s="1"/>
  <c r="H872" s="1"/>
  <c r="H960" s="1"/>
  <c r="H1048" s="1"/>
  <c r="H1136" s="1"/>
  <c r="H1224" s="1"/>
  <c r="H1312" s="1"/>
  <c r="H1400" s="1"/>
  <c r="H1488" s="1"/>
  <c r="H1576" s="1"/>
  <c r="H1664" s="1"/>
  <c r="H1752" s="1"/>
  <c r="H169"/>
  <c r="H257" s="1"/>
  <c r="H345" s="1"/>
  <c r="H433" s="1"/>
  <c r="H521" s="1"/>
  <c r="H609" s="1"/>
  <c r="H697" s="1"/>
  <c r="H785" s="1"/>
  <c r="H873" s="1"/>
  <c r="H961" s="1"/>
  <c r="H1049" s="1"/>
  <c r="H1137" s="1"/>
  <c r="H1225" s="1"/>
  <c r="H1313" s="1"/>
  <c r="H1401" s="1"/>
  <c r="H1489" s="1"/>
  <c r="H1577" s="1"/>
  <c r="H1665" s="1"/>
  <c r="H1753" s="1"/>
  <c r="H170"/>
  <c r="H258" s="1"/>
  <c r="H346" s="1"/>
  <c r="H434" s="1"/>
  <c r="H522" s="1"/>
  <c r="H610" s="1"/>
  <c r="H698" s="1"/>
  <c r="H786" s="1"/>
  <c r="H874" s="1"/>
  <c r="H962" s="1"/>
  <c r="H1050" s="1"/>
  <c r="H1138" s="1"/>
  <c r="H1226" s="1"/>
  <c r="H1314" s="1"/>
  <c r="H1402" s="1"/>
  <c r="H1490" s="1"/>
  <c r="H1578" s="1"/>
  <c r="H1666" s="1"/>
  <c r="H1754" s="1"/>
  <c r="H171"/>
  <c r="H259" s="1"/>
  <c r="H347" s="1"/>
  <c r="H435" s="1"/>
  <c r="H523" s="1"/>
  <c r="H611" s="1"/>
  <c r="H699" s="1"/>
  <c r="H787" s="1"/>
  <c r="H875" s="1"/>
  <c r="H963" s="1"/>
  <c r="H1051" s="1"/>
  <c r="H1139" s="1"/>
  <c r="H1227" s="1"/>
  <c r="H1315" s="1"/>
  <c r="H1403" s="1"/>
  <c r="H1491" s="1"/>
  <c r="H1579" s="1"/>
  <c r="H1667" s="1"/>
  <c r="H1755" s="1"/>
  <c r="H172"/>
  <c r="H260" s="1"/>
  <c r="H348" s="1"/>
  <c r="H436" s="1"/>
  <c r="H524" s="1"/>
  <c r="H612" s="1"/>
  <c r="H700" s="1"/>
  <c r="H788" s="1"/>
  <c r="H876" s="1"/>
  <c r="H964" s="1"/>
  <c r="H1052" s="1"/>
  <c r="H1140" s="1"/>
  <c r="H1228" s="1"/>
  <c r="H1316" s="1"/>
  <c r="H1404" s="1"/>
  <c r="H1492" s="1"/>
  <c r="H1580" s="1"/>
  <c r="H1668" s="1"/>
  <c r="H1756" s="1"/>
  <c r="H173"/>
  <c r="H261" s="1"/>
  <c r="H349" s="1"/>
  <c r="H437" s="1"/>
  <c r="H525" s="1"/>
  <c r="H613" s="1"/>
  <c r="H701" s="1"/>
  <c r="H789" s="1"/>
  <c r="H877" s="1"/>
  <c r="H965" s="1"/>
  <c r="H1053" s="1"/>
  <c r="H1141" s="1"/>
  <c r="H1229" s="1"/>
  <c r="H1317" s="1"/>
  <c r="H1405" s="1"/>
  <c r="H1493" s="1"/>
  <c r="H1581" s="1"/>
  <c r="H1669" s="1"/>
  <c r="H1757" s="1"/>
  <c r="H174"/>
  <c r="H262" s="1"/>
  <c r="H350" s="1"/>
  <c r="H438" s="1"/>
  <c r="H526" s="1"/>
  <c r="H614" s="1"/>
  <c r="H702" s="1"/>
  <c r="H790" s="1"/>
  <c r="H878" s="1"/>
  <c r="H966" s="1"/>
  <c r="H1054" s="1"/>
  <c r="H1142" s="1"/>
  <c r="H1230" s="1"/>
  <c r="H1318" s="1"/>
  <c r="H1406" s="1"/>
  <c r="H1494" s="1"/>
  <c r="H1582" s="1"/>
  <c r="H1670" s="1"/>
  <c r="H1758" s="1"/>
  <c r="H175"/>
  <c r="H263" s="1"/>
  <c r="H351" s="1"/>
  <c r="H439" s="1"/>
  <c r="H527" s="1"/>
  <c r="H615" s="1"/>
  <c r="H703" s="1"/>
  <c r="H791" s="1"/>
  <c r="H879" s="1"/>
  <c r="H967" s="1"/>
  <c r="H1055" s="1"/>
  <c r="H1143" s="1"/>
  <c r="H1231" s="1"/>
  <c r="H1319" s="1"/>
  <c r="H1407" s="1"/>
  <c r="H1495" s="1"/>
  <c r="H1583" s="1"/>
  <c r="H1671" s="1"/>
  <c r="H1759" s="1"/>
  <c r="H176"/>
  <c r="H264" s="1"/>
  <c r="H352" s="1"/>
  <c r="H440" s="1"/>
  <c r="H528" s="1"/>
  <c r="H616" s="1"/>
  <c r="H704" s="1"/>
  <c r="H792" s="1"/>
  <c r="H880" s="1"/>
  <c r="H968" s="1"/>
  <c r="H1056" s="1"/>
  <c r="H1144" s="1"/>
  <c r="H1232" s="1"/>
  <c r="H1320" s="1"/>
  <c r="H1408" s="1"/>
  <c r="H1496" s="1"/>
  <c r="H1584" s="1"/>
  <c r="H1672" s="1"/>
  <c r="H1760" s="1"/>
  <c r="H177"/>
  <c r="H265" s="1"/>
  <c r="H353" s="1"/>
  <c r="H441" s="1"/>
  <c r="H529" s="1"/>
  <c r="H617" s="1"/>
  <c r="H705" s="1"/>
  <c r="H793" s="1"/>
  <c r="H881" s="1"/>
  <c r="H969" s="1"/>
  <c r="H1057" s="1"/>
  <c r="H1145" s="1"/>
  <c r="H1233" s="1"/>
  <c r="H1321" s="1"/>
  <c r="H1409" s="1"/>
  <c r="H1497" s="1"/>
  <c r="H1585" s="1"/>
  <c r="H1673" s="1"/>
  <c r="H1761" s="1"/>
  <c r="H178"/>
  <c r="H266" s="1"/>
  <c r="H354" s="1"/>
  <c r="H442" s="1"/>
  <c r="H530" s="1"/>
  <c r="H618" s="1"/>
  <c r="H706" s="1"/>
  <c r="H794" s="1"/>
  <c r="H882" s="1"/>
  <c r="H970" s="1"/>
  <c r="H1058" s="1"/>
  <c r="H1146" s="1"/>
  <c r="H1234" s="1"/>
  <c r="H1322" s="1"/>
  <c r="H1410" s="1"/>
  <c r="H1498" s="1"/>
  <c r="H1586" s="1"/>
  <c r="H1674" s="1"/>
  <c r="H1762" s="1"/>
  <c r="H179"/>
  <c r="H267" s="1"/>
  <c r="H355" s="1"/>
  <c r="H443" s="1"/>
  <c r="H531" s="1"/>
  <c r="H619" s="1"/>
  <c r="H707" s="1"/>
  <c r="H795" s="1"/>
  <c r="H883" s="1"/>
  <c r="H971" s="1"/>
  <c r="H1059" s="1"/>
  <c r="H1147" s="1"/>
  <c r="H1235" s="1"/>
  <c r="H1323" s="1"/>
  <c r="H1411" s="1"/>
  <c r="H1499" s="1"/>
  <c r="H1587" s="1"/>
  <c r="H1675" s="1"/>
  <c r="H1763" s="1"/>
  <c r="H180"/>
  <c r="H268" s="1"/>
  <c r="H356" s="1"/>
  <c r="H444" s="1"/>
  <c r="H532" s="1"/>
  <c r="H620" s="1"/>
  <c r="H708" s="1"/>
  <c r="H796" s="1"/>
  <c r="H884" s="1"/>
  <c r="H972" s="1"/>
  <c r="H1060" s="1"/>
  <c r="H1148" s="1"/>
  <c r="H1236" s="1"/>
  <c r="H1324" s="1"/>
  <c r="H1412" s="1"/>
  <c r="H1500" s="1"/>
  <c r="H1588" s="1"/>
  <c r="H1676" s="1"/>
  <c r="H1764" s="1"/>
  <c r="H181"/>
  <c r="H269" s="1"/>
  <c r="H357" s="1"/>
  <c r="H445" s="1"/>
  <c r="H533" s="1"/>
  <c r="H621" s="1"/>
  <c r="H709" s="1"/>
  <c r="H797" s="1"/>
  <c r="H885" s="1"/>
  <c r="H973" s="1"/>
  <c r="H1061" s="1"/>
  <c r="H1149" s="1"/>
  <c r="H1237" s="1"/>
  <c r="H1325" s="1"/>
  <c r="H1413" s="1"/>
  <c r="H1501" s="1"/>
  <c r="H1589" s="1"/>
  <c r="H1677" s="1"/>
  <c r="H1765" s="1"/>
  <c r="H182"/>
  <c r="H270" s="1"/>
  <c r="H358" s="1"/>
  <c r="H446" s="1"/>
  <c r="H534" s="1"/>
  <c r="H622" s="1"/>
  <c r="H710" s="1"/>
  <c r="H798" s="1"/>
  <c r="H886" s="1"/>
  <c r="H974" s="1"/>
  <c r="H1062" s="1"/>
  <c r="H1150" s="1"/>
  <c r="H1238" s="1"/>
  <c r="H1326" s="1"/>
  <c r="H1414" s="1"/>
  <c r="H1502" s="1"/>
  <c r="H1590" s="1"/>
  <c r="H1678" s="1"/>
  <c r="H1766" s="1"/>
  <c r="H183"/>
  <c r="H271" s="1"/>
  <c r="H359" s="1"/>
  <c r="H447" s="1"/>
  <c r="H535" s="1"/>
  <c r="H623" s="1"/>
  <c r="H711" s="1"/>
  <c r="H799" s="1"/>
  <c r="H887" s="1"/>
  <c r="H975" s="1"/>
  <c r="H1063" s="1"/>
  <c r="H1151" s="1"/>
  <c r="H1239" s="1"/>
  <c r="H1327" s="1"/>
  <c r="H1415" s="1"/>
  <c r="H1503" s="1"/>
  <c r="H1591" s="1"/>
  <c r="H1679" s="1"/>
  <c r="H1767" s="1"/>
  <c r="H184"/>
  <c r="H272" s="1"/>
  <c r="H360" s="1"/>
  <c r="H448" s="1"/>
  <c r="H536" s="1"/>
  <c r="H624" s="1"/>
  <c r="H712" s="1"/>
  <c r="H800" s="1"/>
  <c r="H888" s="1"/>
  <c r="H976" s="1"/>
  <c r="H1064" s="1"/>
  <c r="H1152" s="1"/>
  <c r="H1240" s="1"/>
  <c r="H1328" s="1"/>
  <c r="H1416" s="1"/>
  <c r="H1504" s="1"/>
  <c r="H1592" s="1"/>
  <c r="H1680" s="1"/>
  <c r="H1768" s="1"/>
  <c r="H185"/>
  <c r="H273" s="1"/>
  <c r="H361" s="1"/>
  <c r="H449" s="1"/>
  <c r="H537" s="1"/>
  <c r="H625" s="1"/>
  <c r="H713" s="1"/>
  <c r="H801" s="1"/>
  <c r="H889" s="1"/>
  <c r="H977" s="1"/>
  <c r="H1065" s="1"/>
  <c r="H1153" s="1"/>
  <c r="H1241" s="1"/>
  <c r="H1329" s="1"/>
  <c r="H1417" s="1"/>
  <c r="H1505" s="1"/>
  <c r="H1593" s="1"/>
  <c r="H1681" s="1"/>
  <c r="H1769" s="1"/>
  <c r="H186"/>
  <c r="H274" s="1"/>
  <c r="H362" s="1"/>
  <c r="H450" s="1"/>
  <c r="H538" s="1"/>
  <c r="H626" s="1"/>
  <c r="H714" s="1"/>
  <c r="H802" s="1"/>
  <c r="H890" s="1"/>
  <c r="H978" s="1"/>
  <c r="H1066" s="1"/>
  <c r="H1154" s="1"/>
  <c r="H1242" s="1"/>
  <c r="H1330" s="1"/>
  <c r="H1418" s="1"/>
  <c r="H1506" s="1"/>
  <c r="H1594" s="1"/>
  <c r="H1682" s="1"/>
  <c r="H1770" s="1"/>
  <c r="H187"/>
  <c r="H275" s="1"/>
  <c r="H363" s="1"/>
  <c r="H451" s="1"/>
  <c r="H539" s="1"/>
  <c r="H627" s="1"/>
  <c r="H715" s="1"/>
  <c r="H803" s="1"/>
  <c r="H891" s="1"/>
  <c r="H979" s="1"/>
  <c r="H1067" s="1"/>
  <c r="H1155" s="1"/>
  <c r="H1243" s="1"/>
  <c r="H1331" s="1"/>
  <c r="H1419" s="1"/>
  <c r="H1507" s="1"/>
  <c r="H1595" s="1"/>
  <c r="H1683" s="1"/>
  <c r="H1771" s="1"/>
  <c r="H188"/>
  <c r="H276" s="1"/>
  <c r="H364" s="1"/>
  <c r="H452" s="1"/>
  <c r="H540" s="1"/>
  <c r="H628" s="1"/>
  <c r="H716" s="1"/>
  <c r="H804" s="1"/>
  <c r="H892" s="1"/>
  <c r="H980" s="1"/>
  <c r="H1068" s="1"/>
  <c r="H1156" s="1"/>
  <c r="H1244" s="1"/>
  <c r="H1332" s="1"/>
  <c r="H1420" s="1"/>
  <c r="H1508" s="1"/>
  <c r="H1596" s="1"/>
  <c r="H1684" s="1"/>
  <c r="H1772" s="1"/>
  <c r="H189"/>
  <c r="H277" s="1"/>
  <c r="H365" s="1"/>
  <c r="H453" s="1"/>
  <c r="H541" s="1"/>
  <c r="H629" s="1"/>
  <c r="H717" s="1"/>
  <c r="H805" s="1"/>
  <c r="H893" s="1"/>
  <c r="H981" s="1"/>
  <c r="H1069" s="1"/>
  <c r="H1157" s="1"/>
  <c r="H1245" s="1"/>
  <c r="H1333" s="1"/>
  <c r="H1421" s="1"/>
  <c r="H1509" s="1"/>
  <c r="H1597" s="1"/>
  <c r="H1685" s="1"/>
  <c r="H1773" s="1"/>
  <c r="H190"/>
  <c r="H278" s="1"/>
  <c r="H366" s="1"/>
  <c r="H454" s="1"/>
  <c r="H542" s="1"/>
  <c r="H630" s="1"/>
  <c r="H718" s="1"/>
  <c r="H806" s="1"/>
  <c r="H894" s="1"/>
  <c r="H982" s="1"/>
  <c r="H1070" s="1"/>
  <c r="H1158" s="1"/>
  <c r="H1246" s="1"/>
  <c r="H1334" s="1"/>
  <c r="H1422" s="1"/>
  <c r="H1510" s="1"/>
  <c r="H1598" s="1"/>
  <c r="H1686" s="1"/>
  <c r="H1774" s="1"/>
  <c r="H191"/>
  <c r="H279" s="1"/>
  <c r="H367" s="1"/>
  <c r="H455" s="1"/>
  <c r="H543" s="1"/>
  <c r="H631" s="1"/>
  <c r="H719" s="1"/>
  <c r="H807" s="1"/>
  <c r="H895" s="1"/>
  <c r="H983" s="1"/>
  <c r="H1071" s="1"/>
  <c r="H1159" s="1"/>
  <c r="H1247" s="1"/>
  <c r="H1335" s="1"/>
  <c r="H1423" s="1"/>
  <c r="H1511" s="1"/>
  <c r="H1599" s="1"/>
  <c r="H1687" s="1"/>
  <c r="H1775" s="1"/>
  <c r="H192"/>
  <c r="H280" s="1"/>
  <c r="H368" s="1"/>
  <c r="H456" s="1"/>
  <c r="H544" s="1"/>
  <c r="H632" s="1"/>
  <c r="H720" s="1"/>
  <c r="H808" s="1"/>
  <c r="H896" s="1"/>
  <c r="H984" s="1"/>
  <c r="H1072" s="1"/>
  <c r="H1160" s="1"/>
  <c r="H1248" s="1"/>
  <c r="H1336" s="1"/>
  <c r="H1424" s="1"/>
  <c r="H1512" s="1"/>
  <c r="H1600" s="1"/>
  <c r="H1688" s="1"/>
  <c r="H1776" s="1"/>
  <c r="H193"/>
  <c r="H281" s="1"/>
  <c r="H369" s="1"/>
  <c r="H457" s="1"/>
  <c r="H545" s="1"/>
  <c r="H633" s="1"/>
  <c r="H721" s="1"/>
  <c r="H809" s="1"/>
  <c r="H897" s="1"/>
  <c r="H985" s="1"/>
  <c r="H1073" s="1"/>
  <c r="H1161" s="1"/>
  <c r="H1249" s="1"/>
  <c r="H1337" s="1"/>
  <c r="H1425" s="1"/>
  <c r="H1513" s="1"/>
  <c r="H1601" s="1"/>
  <c r="H1689" s="1"/>
  <c r="H1777" s="1"/>
  <c r="H194"/>
  <c r="H282" s="1"/>
  <c r="H370" s="1"/>
  <c r="H458" s="1"/>
  <c r="H546" s="1"/>
  <c r="H634" s="1"/>
  <c r="H722" s="1"/>
  <c r="H810" s="1"/>
  <c r="H898" s="1"/>
  <c r="H986" s="1"/>
  <c r="H1074" s="1"/>
  <c r="H1162" s="1"/>
  <c r="H1250" s="1"/>
  <c r="H1338" s="1"/>
  <c r="H1426" s="1"/>
  <c r="H1514" s="1"/>
  <c r="H1602" s="1"/>
  <c r="H1690" s="1"/>
  <c r="H1778" s="1"/>
  <c r="H195"/>
  <c r="H283" s="1"/>
  <c r="H371" s="1"/>
  <c r="H459" s="1"/>
  <c r="H547" s="1"/>
  <c r="H635" s="1"/>
  <c r="H723" s="1"/>
  <c r="H811" s="1"/>
  <c r="H899" s="1"/>
  <c r="H987" s="1"/>
  <c r="H1075" s="1"/>
  <c r="H1163" s="1"/>
  <c r="H1251" s="1"/>
  <c r="H1339" s="1"/>
  <c r="H1427" s="1"/>
  <c r="H1515" s="1"/>
  <c r="H1603" s="1"/>
  <c r="H1691" s="1"/>
  <c r="H1779" s="1"/>
  <c r="H196"/>
  <c r="H284" s="1"/>
  <c r="H372" s="1"/>
  <c r="H460" s="1"/>
  <c r="H548" s="1"/>
  <c r="H636" s="1"/>
  <c r="H724" s="1"/>
  <c r="H812" s="1"/>
  <c r="H900" s="1"/>
  <c r="H988" s="1"/>
  <c r="H1076" s="1"/>
  <c r="H1164" s="1"/>
  <c r="H1252" s="1"/>
  <c r="H1340" s="1"/>
  <c r="H1428" s="1"/>
  <c r="H1516" s="1"/>
  <c r="H1604" s="1"/>
  <c r="H1692" s="1"/>
  <c r="H1780" s="1"/>
  <c r="H197"/>
  <c r="H285" s="1"/>
  <c r="H373" s="1"/>
  <c r="H461" s="1"/>
  <c r="H549" s="1"/>
  <c r="H637" s="1"/>
  <c r="H725" s="1"/>
  <c r="H813" s="1"/>
  <c r="H901" s="1"/>
  <c r="H989" s="1"/>
  <c r="H1077" s="1"/>
  <c r="H1165" s="1"/>
  <c r="H1253" s="1"/>
  <c r="H1341" s="1"/>
  <c r="H1429" s="1"/>
  <c r="H1517" s="1"/>
  <c r="H1605" s="1"/>
  <c r="H1693" s="1"/>
  <c r="H1781" s="1"/>
  <c r="H198"/>
  <c r="H286" s="1"/>
  <c r="H374" s="1"/>
  <c r="H462" s="1"/>
  <c r="H550" s="1"/>
  <c r="H638" s="1"/>
  <c r="H726" s="1"/>
  <c r="H814" s="1"/>
  <c r="H902" s="1"/>
  <c r="H990" s="1"/>
  <c r="H1078" s="1"/>
  <c r="H1166" s="1"/>
  <c r="H1254" s="1"/>
  <c r="H1342" s="1"/>
  <c r="H1430" s="1"/>
  <c r="H1518" s="1"/>
  <c r="H1606" s="1"/>
  <c r="H1694" s="1"/>
  <c r="H1782" s="1"/>
  <c r="H199"/>
  <c r="H287" s="1"/>
  <c r="H375" s="1"/>
  <c r="H463" s="1"/>
  <c r="H551" s="1"/>
  <c r="H639" s="1"/>
  <c r="H727" s="1"/>
  <c r="H815" s="1"/>
  <c r="H903" s="1"/>
  <c r="H991" s="1"/>
  <c r="H1079" s="1"/>
  <c r="H1167" s="1"/>
  <c r="H1255" s="1"/>
  <c r="H1343" s="1"/>
  <c r="H1431" s="1"/>
  <c r="H1519" s="1"/>
  <c r="H1607" s="1"/>
  <c r="H1695" s="1"/>
  <c r="H1783" s="1"/>
  <c r="H200"/>
  <c r="H288" s="1"/>
  <c r="H376" s="1"/>
  <c r="H464" s="1"/>
  <c r="H552" s="1"/>
  <c r="H640" s="1"/>
  <c r="H728" s="1"/>
  <c r="H816" s="1"/>
  <c r="H904" s="1"/>
  <c r="H992" s="1"/>
  <c r="H1080" s="1"/>
  <c r="H1168" s="1"/>
  <c r="H1256" s="1"/>
  <c r="H1344" s="1"/>
  <c r="H1432" s="1"/>
  <c r="H1520" s="1"/>
  <c r="H1608" s="1"/>
  <c r="H1696" s="1"/>
  <c r="H1784" s="1"/>
  <c r="H201"/>
  <c r="H289" s="1"/>
  <c r="H377" s="1"/>
  <c r="H465" s="1"/>
  <c r="H553" s="1"/>
  <c r="H641" s="1"/>
  <c r="H729" s="1"/>
  <c r="H817" s="1"/>
  <c r="H905" s="1"/>
  <c r="H993" s="1"/>
  <c r="H1081" s="1"/>
  <c r="H1169" s="1"/>
  <c r="H1257" s="1"/>
  <c r="H1345" s="1"/>
  <c r="H1433" s="1"/>
  <c r="H1521" s="1"/>
  <c r="H1609" s="1"/>
  <c r="H1697" s="1"/>
  <c r="H1785" s="1"/>
  <c r="H202"/>
  <c r="H290" s="1"/>
  <c r="H378" s="1"/>
  <c r="H466" s="1"/>
  <c r="H554" s="1"/>
  <c r="H642" s="1"/>
  <c r="H730" s="1"/>
  <c r="H818" s="1"/>
  <c r="H906" s="1"/>
  <c r="H994" s="1"/>
  <c r="H1082" s="1"/>
  <c r="H1170" s="1"/>
  <c r="H1258" s="1"/>
  <c r="H1346" s="1"/>
  <c r="H1434" s="1"/>
  <c r="H1522" s="1"/>
  <c r="H1610" s="1"/>
  <c r="H1698" s="1"/>
  <c r="H1786" s="1"/>
  <c r="H203"/>
  <c r="H291" s="1"/>
  <c r="H379" s="1"/>
  <c r="H467" s="1"/>
  <c r="H555" s="1"/>
  <c r="H643" s="1"/>
  <c r="H731" s="1"/>
  <c r="H819" s="1"/>
  <c r="H907" s="1"/>
  <c r="H995" s="1"/>
  <c r="H1083" s="1"/>
  <c r="H1171" s="1"/>
  <c r="H1259" s="1"/>
  <c r="H1347" s="1"/>
  <c r="H1435" s="1"/>
  <c r="H1523" s="1"/>
  <c r="H1611" s="1"/>
  <c r="H1699" s="1"/>
  <c r="H1787" s="1"/>
  <c r="H204"/>
  <c r="H292" s="1"/>
  <c r="H380" s="1"/>
  <c r="H468" s="1"/>
  <c r="H556" s="1"/>
  <c r="H644" s="1"/>
  <c r="H732" s="1"/>
  <c r="H820" s="1"/>
  <c r="H908" s="1"/>
  <c r="H996" s="1"/>
  <c r="H1084" s="1"/>
  <c r="H1172" s="1"/>
  <c r="H1260" s="1"/>
  <c r="H1348" s="1"/>
  <c r="H1436" s="1"/>
  <c r="H1524" s="1"/>
  <c r="H1612" s="1"/>
  <c r="H1700" s="1"/>
  <c r="H1788" s="1"/>
  <c r="H205"/>
  <c r="H293" s="1"/>
  <c r="H381" s="1"/>
  <c r="H469" s="1"/>
  <c r="H557" s="1"/>
  <c r="H645" s="1"/>
  <c r="H733" s="1"/>
  <c r="H821" s="1"/>
  <c r="H909" s="1"/>
  <c r="H997" s="1"/>
  <c r="H1085" s="1"/>
  <c r="H1173" s="1"/>
  <c r="H1261" s="1"/>
  <c r="H1349" s="1"/>
  <c r="H1437" s="1"/>
  <c r="H1525" s="1"/>
  <c r="H1613" s="1"/>
  <c r="H1701" s="1"/>
  <c r="H1789" s="1"/>
  <c r="H248"/>
  <c r="H336" s="1"/>
  <c r="H424" s="1"/>
  <c r="H512" s="1"/>
  <c r="H600" s="1"/>
  <c r="H688" s="1"/>
  <c r="H776" s="1"/>
  <c r="H864" s="1"/>
  <c r="H952" s="1"/>
  <c r="H1040" s="1"/>
  <c r="H1128" s="1"/>
  <c r="H1216" s="1"/>
  <c r="H1304" s="1"/>
  <c r="H1392" s="1"/>
  <c r="H1480" s="1"/>
  <c r="H1568" s="1"/>
  <c r="H1656" s="1"/>
  <c r="H1744" s="1"/>
  <c r="H118"/>
  <c r="H206" s="1"/>
  <c r="H294" s="1"/>
  <c r="H382" s="1"/>
  <c r="H470" s="1"/>
  <c r="H558" s="1"/>
  <c r="H646" s="1"/>
  <c r="H734" s="1"/>
  <c r="H822" s="1"/>
  <c r="H910" s="1"/>
  <c r="H998" s="1"/>
  <c r="H1086" s="1"/>
  <c r="H1174" s="1"/>
  <c r="H1262" s="1"/>
  <c r="H1350" s="1"/>
  <c r="H1438" s="1"/>
  <c r="H1526" s="1"/>
  <c r="H1614" s="1"/>
  <c r="H1702" s="1"/>
  <c r="H11" i="1"/>
  <c r="H12"/>
  <c r="H13"/>
  <c r="H17" s="1"/>
  <c r="H21" s="1"/>
  <c r="H25" s="1"/>
  <c r="H29" s="1"/>
  <c r="H33" s="1"/>
  <c r="H37" s="1"/>
  <c r="H41" s="1"/>
  <c r="H45" s="1"/>
  <c r="H49" s="1"/>
  <c r="H53" s="1"/>
  <c r="H57" s="1"/>
  <c r="H61" s="1"/>
  <c r="H65" s="1"/>
  <c r="H69" s="1"/>
  <c r="H73" s="1"/>
  <c r="H77" s="1"/>
  <c r="H81" s="1"/>
  <c r="H85" s="1"/>
  <c r="H56"/>
  <c r="H60" s="1"/>
  <c r="H64" s="1"/>
  <c r="H68" s="1"/>
  <c r="H72" s="1"/>
  <c r="H76" s="1"/>
  <c r="H80" s="1"/>
  <c r="H84" s="1"/>
  <c r="H55"/>
  <c r="H59" s="1"/>
  <c r="H63" s="1"/>
  <c r="H67" s="1"/>
  <c r="H71" s="1"/>
  <c r="H75" s="1"/>
  <c r="H79" s="1"/>
  <c r="H83" s="1"/>
  <c r="H10"/>
  <c r="H54" s="1"/>
  <c r="H58" s="1"/>
  <c r="H62" s="1"/>
  <c r="H66" s="1"/>
  <c r="H70" s="1"/>
  <c r="H74" s="1"/>
  <c r="H78" s="1"/>
  <c r="H82" s="1"/>
  <c r="G11"/>
  <c r="G55" s="1"/>
  <c r="G59" s="1"/>
  <c r="G63" s="1"/>
  <c r="G67" s="1"/>
  <c r="G71" s="1"/>
  <c r="G75" s="1"/>
  <c r="G79" s="1"/>
  <c r="G83" s="1"/>
  <c r="G12"/>
  <c r="G56" s="1"/>
  <c r="G60" s="1"/>
  <c r="G64" s="1"/>
  <c r="G68" s="1"/>
  <c r="G72" s="1"/>
  <c r="G76" s="1"/>
  <c r="G80" s="1"/>
  <c r="G84" s="1"/>
  <c r="G13"/>
  <c r="G17" s="1"/>
  <c r="G21" s="1"/>
  <c r="G25" s="1"/>
  <c r="G29" s="1"/>
  <c r="G33" s="1"/>
  <c r="G37" s="1"/>
  <c r="G41" s="1"/>
  <c r="G45" s="1"/>
  <c r="G49" s="1"/>
  <c r="G53" s="1"/>
  <c r="G57"/>
  <c r="G61" s="1"/>
  <c r="G65" s="1"/>
  <c r="G69" s="1"/>
  <c r="G73" s="1"/>
  <c r="G77" s="1"/>
  <c r="G81" s="1"/>
  <c r="G85" s="1"/>
  <c r="G10"/>
  <c r="G54" s="1"/>
  <c r="G58" s="1"/>
  <c r="G62" s="1"/>
  <c r="G66" s="1"/>
  <c r="G70" s="1"/>
  <c r="G74" s="1"/>
  <c r="G78" s="1"/>
  <c r="G82" s="1"/>
  <c r="F55"/>
  <c r="F59" s="1"/>
  <c r="F63" s="1"/>
  <c r="F67" s="1"/>
  <c r="F71" s="1"/>
  <c r="F75" s="1"/>
  <c r="F79" s="1"/>
  <c r="F83" s="1"/>
  <c r="F56"/>
  <c r="F60" s="1"/>
  <c r="F64" s="1"/>
  <c r="F68" s="1"/>
  <c r="F72" s="1"/>
  <c r="F76" s="1"/>
  <c r="F80" s="1"/>
  <c r="F84" s="1"/>
  <c r="F57"/>
  <c r="F61" s="1"/>
  <c r="F65" s="1"/>
  <c r="F69" s="1"/>
  <c r="F73" s="1"/>
  <c r="F77" s="1"/>
  <c r="F81" s="1"/>
  <c r="F85" s="1"/>
  <c r="F54"/>
  <c r="F58" s="1"/>
  <c r="F62" s="1"/>
  <c r="F66" s="1"/>
  <c r="F70" s="1"/>
  <c r="F74" s="1"/>
  <c r="F78" s="1"/>
  <c r="F82" s="1"/>
  <c r="C207" i="2"/>
  <c r="C295" s="1"/>
  <c r="C383" s="1"/>
  <c r="C471" s="1"/>
  <c r="C559" s="1"/>
  <c r="C647" s="1"/>
  <c r="C735" s="1"/>
  <c r="C823" s="1"/>
  <c r="C911" s="1"/>
  <c r="C999" s="1"/>
  <c r="C1087" s="1"/>
  <c r="C1175" s="1"/>
  <c r="C1263" s="1"/>
  <c r="C1351" s="1"/>
  <c r="C1439" s="1"/>
  <c r="C1527" s="1"/>
  <c r="C1615" s="1"/>
  <c r="C1703" s="1"/>
  <c r="C208"/>
  <c r="C296" s="1"/>
  <c r="C384" s="1"/>
  <c r="C472" s="1"/>
  <c r="C560" s="1"/>
  <c r="C648" s="1"/>
  <c r="C736" s="1"/>
  <c r="C824" s="1"/>
  <c r="C912" s="1"/>
  <c r="C1000" s="1"/>
  <c r="C1088" s="1"/>
  <c r="C1176" s="1"/>
  <c r="C1264" s="1"/>
  <c r="C1352" s="1"/>
  <c r="C1440" s="1"/>
  <c r="C1528" s="1"/>
  <c r="C1616" s="1"/>
  <c r="C1704" s="1"/>
  <c r="C209"/>
  <c r="C297" s="1"/>
  <c r="C385" s="1"/>
  <c r="C473" s="1"/>
  <c r="C561" s="1"/>
  <c r="C649" s="1"/>
  <c r="C737" s="1"/>
  <c r="C825" s="1"/>
  <c r="C913" s="1"/>
  <c r="C1001" s="1"/>
  <c r="C1089" s="1"/>
  <c r="C1177" s="1"/>
  <c r="C1265" s="1"/>
  <c r="C1353" s="1"/>
  <c r="C1441" s="1"/>
  <c r="C1529" s="1"/>
  <c r="C1617" s="1"/>
  <c r="C1705" s="1"/>
  <c r="C210"/>
  <c r="C298" s="1"/>
  <c r="C386" s="1"/>
  <c r="C474" s="1"/>
  <c r="C562" s="1"/>
  <c r="C650" s="1"/>
  <c r="C738" s="1"/>
  <c r="C826" s="1"/>
  <c r="C914" s="1"/>
  <c r="C1002" s="1"/>
  <c r="C1090" s="1"/>
  <c r="C1178" s="1"/>
  <c r="C1266" s="1"/>
  <c r="C1354" s="1"/>
  <c r="C1442" s="1"/>
  <c r="C1530" s="1"/>
  <c r="C1618" s="1"/>
  <c r="C1706" s="1"/>
  <c r="C211"/>
  <c r="C299" s="1"/>
  <c r="C387" s="1"/>
  <c r="C475" s="1"/>
  <c r="C563" s="1"/>
  <c r="C651" s="1"/>
  <c r="C739" s="1"/>
  <c r="C827" s="1"/>
  <c r="C915" s="1"/>
  <c r="C1003" s="1"/>
  <c r="C1091" s="1"/>
  <c r="C1179" s="1"/>
  <c r="C1267" s="1"/>
  <c r="C1355" s="1"/>
  <c r="C1443" s="1"/>
  <c r="C1531" s="1"/>
  <c r="C1619" s="1"/>
  <c r="C1707" s="1"/>
  <c r="C212"/>
  <c r="C300" s="1"/>
  <c r="C388" s="1"/>
  <c r="C476" s="1"/>
  <c r="C564" s="1"/>
  <c r="C652" s="1"/>
  <c r="C740" s="1"/>
  <c r="C828" s="1"/>
  <c r="C916" s="1"/>
  <c r="C1004" s="1"/>
  <c r="C1092" s="1"/>
  <c r="C1180" s="1"/>
  <c r="C1268" s="1"/>
  <c r="C1356" s="1"/>
  <c r="C1444" s="1"/>
  <c r="C1532" s="1"/>
  <c r="C1620" s="1"/>
  <c r="C1708" s="1"/>
  <c r="C213"/>
  <c r="C301" s="1"/>
  <c r="C389" s="1"/>
  <c r="C477" s="1"/>
  <c r="C565" s="1"/>
  <c r="C653" s="1"/>
  <c r="C741" s="1"/>
  <c r="C829" s="1"/>
  <c r="C917" s="1"/>
  <c r="C1005" s="1"/>
  <c r="C1093" s="1"/>
  <c r="C1181" s="1"/>
  <c r="C1269" s="1"/>
  <c r="C1357" s="1"/>
  <c r="C1445" s="1"/>
  <c r="C1533" s="1"/>
  <c r="C1621" s="1"/>
  <c r="C1709" s="1"/>
  <c r="C214"/>
  <c r="C302" s="1"/>
  <c r="C390" s="1"/>
  <c r="C478" s="1"/>
  <c r="C566" s="1"/>
  <c r="C654" s="1"/>
  <c r="C742" s="1"/>
  <c r="C830" s="1"/>
  <c r="C918" s="1"/>
  <c r="C1006" s="1"/>
  <c r="C1094" s="1"/>
  <c r="C1182" s="1"/>
  <c r="C1270" s="1"/>
  <c r="C1358" s="1"/>
  <c r="C1446" s="1"/>
  <c r="C1534" s="1"/>
  <c r="C1622" s="1"/>
  <c r="C1710" s="1"/>
  <c r="C215"/>
  <c r="C303" s="1"/>
  <c r="C391" s="1"/>
  <c r="C479" s="1"/>
  <c r="C567" s="1"/>
  <c r="C655" s="1"/>
  <c r="C743" s="1"/>
  <c r="C831" s="1"/>
  <c r="C919" s="1"/>
  <c r="C1007" s="1"/>
  <c r="C1095" s="1"/>
  <c r="C1183" s="1"/>
  <c r="C1271" s="1"/>
  <c r="C1359" s="1"/>
  <c r="C1447" s="1"/>
  <c r="C1535" s="1"/>
  <c r="C1623" s="1"/>
  <c r="C1711" s="1"/>
  <c r="C216"/>
  <c r="C304" s="1"/>
  <c r="C392" s="1"/>
  <c r="C480" s="1"/>
  <c r="C568" s="1"/>
  <c r="C656" s="1"/>
  <c r="C744" s="1"/>
  <c r="C832" s="1"/>
  <c r="C920" s="1"/>
  <c r="C1008" s="1"/>
  <c r="C1096" s="1"/>
  <c r="C1184" s="1"/>
  <c r="C1272" s="1"/>
  <c r="C1360" s="1"/>
  <c r="C1448" s="1"/>
  <c r="C1536" s="1"/>
  <c r="C1624" s="1"/>
  <c r="C1712" s="1"/>
  <c r="C217"/>
  <c r="C305" s="1"/>
  <c r="C393" s="1"/>
  <c r="C481" s="1"/>
  <c r="C569" s="1"/>
  <c r="C657" s="1"/>
  <c r="C745" s="1"/>
  <c r="C833" s="1"/>
  <c r="C921" s="1"/>
  <c r="C1009" s="1"/>
  <c r="C1097" s="1"/>
  <c r="C1185" s="1"/>
  <c r="C1273" s="1"/>
  <c r="C1361" s="1"/>
  <c r="C1449" s="1"/>
  <c r="C1537" s="1"/>
  <c r="C1625" s="1"/>
  <c r="C1713" s="1"/>
  <c r="C218"/>
  <c r="C306" s="1"/>
  <c r="C394" s="1"/>
  <c r="C482" s="1"/>
  <c r="C570" s="1"/>
  <c r="C658" s="1"/>
  <c r="C746" s="1"/>
  <c r="C834" s="1"/>
  <c r="C922" s="1"/>
  <c r="C1010" s="1"/>
  <c r="C1098" s="1"/>
  <c r="C1186" s="1"/>
  <c r="C1274" s="1"/>
  <c r="C1362" s="1"/>
  <c r="C1450" s="1"/>
  <c r="C1538" s="1"/>
  <c r="C1626" s="1"/>
  <c r="C1714" s="1"/>
  <c r="C219"/>
  <c r="C307" s="1"/>
  <c r="C395" s="1"/>
  <c r="C483" s="1"/>
  <c r="C571" s="1"/>
  <c r="C659" s="1"/>
  <c r="C747" s="1"/>
  <c r="C835" s="1"/>
  <c r="C923" s="1"/>
  <c r="C1011" s="1"/>
  <c r="C1099" s="1"/>
  <c r="C1187" s="1"/>
  <c r="C1275" s="1"/>
  <c r="C1363" s="1"/>
  <c r="C1451" s="1"/>
  <c r="C1539" s="1"/>
  <c r="C1627" s="1"/>
  <c r="C1715" s="1"/>
  <c r="C220"/>
  <c r="C308" s="1"/>
  <c r="C396" s="1"/>
  <c r="C484" s="1"/>
  <c r="C572" s="1"/>
  <c r="C660" s="1"/>
  <c r="C748" s="1"/>
  <c r="C836" s="1"/>
  <c r="C924" s="1"/>
  <c r="C1012" s="1"/>
  <c r="C1100" s="1"/>
  <c r="C1188" s="1"/>
  <c r="C1276" s="1"/>
  <c r="C1364" s="1"/>
  <c r="C1452" s="1"/>
  <c r="C1540" s="1"/>
  <c r="C1628" s="1"/>
  <c r="C1716" s="1"/>
  <c r="C221"/>
  <c r="C309" s="1"/>
  <c r="C397" s="1"/>
  <c r="C485" s="1"/>
  <c r="C573" s="1"/>
  <c r="C661" s="1"/>
  <c r="C749" s="1"/>
  <c r="C837" s="1"/>
  <c r="C925" s="1"/>
  <c r="C1013" s="1"/>
  <c r="C1101" s="1"/>
  <c r="C1189" s="1"/>
  <c r="C1277" s="1"/>
  <c r="C1365" s="1"/>
  <c r="C1453" s="1"/>
  <c r="C1541" s="1"/>
  <c r="C1629" s="1"/>
  <c r="C1717" s="1"/>
  <c r="C222"/>
  <c r="C310" s="1"/>
  <c r="C398" s="1"/>
  <c r="C486" s="1"/>
  <c r="C574" s="1"/>
  <c r="C662" s="1"/>
  <c r="C750" s="1"/>
  <c r="C838" s="1"/>
  <c r="C926" s="1"/>
  <c r="C1014" s="1"/>
  <c r="C1102" s="1"/>
  <c r="C1190" s="1"/>
  <c r="C1278" s="1"/>
  <c r="C1366" s="1"/>
  <c r="C1454" s="1"/>
  <c r="C1542" s="1"/>
  <c r="C1630" s="1"/>
  <c r="C1718" s="1"/>
  <c r="C223"/>
  <c r="C311" s="1"/>
  <c r="C399" s="1"/>
  <c r="C487" s="1"/>
  <c r="C575" s="1"/>
  <c r="C663" s="1"/>
  <c r="C751" s="1"/>
  <c r="C839" s="1"/>
  <c r="C927" s="1"/>
  <c r="C1015" s="1"/>
  <c r="C1103" s="1"/>
  <c r="C1191" s="1"/>
  <c r="C1279" s="1"/>
  <c r="C1367" s="1"/>
  <c r="C1455" s="1"/>
  <c r="C1543" s="1"/>
  <c r="C1631" s="1"/>
  <c r="C1719" s="1"/>
  <c r="C224"/>
  <c r="C312" s="1"/>
  <c r="C400" s="1"/>
  <c r="C488" s="1"/>
  <c r="C576" s="1"/>
  <c r="C664" s="1"/>
  <c r="C752" s="1"/>
  <c r="C840" s="1"/>
  <c r="C928" s="1"/>
  <c r="C1016" s="1"/>
  <c r="C1104" s="1"/>
  <c r="C1192" s="1"/>
  <c r="C1280" s="1"/>
  <c r="C1368" s="1"/>
  <c r="C1456" s="1"/>
  <c r="C1544" s="1"/>
  <c r="C1632" s="1"/>
  <c r="C1720" s="1"/>
  <c r="C225"/>
  <c r="C313" s="1"/>
  <c r="C401" s="1"/>
  <c r="C489" s="1"/>
  <c r="C577" s="1"/>
  <c r="C665" s="1"/>
  <c r="C753" s="1"/>
  <c r="C841" s="1"/>
  <c r="C929" s="1"/>
  <c r="C1017" s="1"/>
  <c r="C1105" s="1"/>
  <c r="C1193" s="1"/>
  <c r="C1281" s="1"/>
  <c r="C1369" s="1"/>
  <c r="C1457" s="1"/>
  <c r="C1545" s="1"/>
  <c r="C1633" s="1"/>
  <c r="C1721" s="1"/>
  <c r="C226"/>
  <c r="C314" s="1"/>
  <c r="C402" s="1"/>
  <c r="C490" s="1"/>
  <c r="C578" s="1"/>
  <c r="C666" s="1"/>
  <c r="C754" s="1"/>
  <c r="C842" s="1"/>
  <c r="C930" s="1"/>
  <c r="C1018" s="1"/>
  <c r="C1106" s="1"/>
  <c r="C1194" s="1"/>
  <c r="C1282" s="1"/>
  <c r="C1370" s="1"/>
  <c r="C1458" s="1"/>
  <c r="C1546" s="1"/>
  <c r="C1634" s="1"/>
  <c r="C1722" s="1"/>
  <c r="C227"/>
  <c r="C315" s="1"/>
  <c r="C403" s="1"/>
  <c r="C491" s="1"/>
  <c r="C579" s="1"/>
  <c r="C667" s="1"/>
  <c r="C755" s="1"/>
  <c r="C843" s="1"/>
  <c r="C931" s="1"/>
  <c r="C1019" s="1"/>
  <c r="C1107" s="1"/>
  <c r="C1195" s="1"/>
  <c r="C1283" s="1"/>
  <c r="C1371" s="1"/>
  <c r="C1459" s="1"/>
  <c r="C1547" s="1"/>
  <c r="C1635" s="1"/>
  <c r="C1723" s="1"/>
  <c r="C228"/>
  <c r="C316" s="1"/>
  <c r="C404" s="1"/>
  <c r="C492" s="1"/>
  <c r="C580" s="1"/>
  <c r="C668" s="1"/>
  <c r="C756" s="1"/>
  <c r="C844" s="1"/>
  <c r="C932" s="1"/>
  <c r="C1020" s="1"/>
  <c r="C1108" s="1"/>
  <c r="C1196" s="1"/>
  <c r="C1284" s="1"/>
  <c r="C1372" s="1"/>
  <c r="C1460" s="1"/>
  <c r="C1548" s="1"/>
  <c r="C1636" s="1"/>
  <c r="C1724" s="1"/>
  <c r="C229"/>
  <c r="C317" s="1"/>
  <c r="C405" s="1"/>
  <c r="C493" s="1"/>
  <c r="C581" s="1"/>
  <c r="C669" s="1"/>
  <c r="C757" s="1"/>
  <c r="C845" s="1"/>
  <c r="C933" s="1"/>
  <c r="C1021" s="1"/>
  <c r="C1109" s="1"/>
  <c r="C1197" s="1"/>
  <c r="C1285" s="1"/>
  <c r="C1373" s="1"/>
  <c r="C1461" s="1"/>
  <c r="C1549" s="1"/>
  <c r="C1637" s="1"/>
  <c r="C1725" s="1"/>
  <c r="C230"/>
  <c r="C318" s="1"/>
  <c r="C406" s="1"/>
  <c r="C494" s="1"/>
  <c r="C582" s="1"/>
  <c r="C670" s="1"/>
  <c r="C758" s="1"/>
  <c r="C846" s="1"/>
  <c r="C934" s="1"/>
  <c r="C1022" s="1"/>
  <c r="C1110" s="1"/>
  <c r="C1198" s="1"/>
  <c r="C1286" s="1"/>
  <c r="C1374" s="1"/>
  <c r="C1462" s="1"/>
  <c r="C1550" s="1"/>
  <c r="C1638" s="1"/>
  <c r="C1726" s="1"/>
  <c r="C231"/>
  <c r="C319" s="1"/>
  <c r="C407" s="1"/>
  <c r="C495" s="1"/>
  <c r="C583" s="1"/>
  <c r="C671" s="1"/>
  <c r="C759" s="1"/>
  <c r="C847" s="1"/>
  <c r="C935" s="1"/>
  <c r="C1023" s="1"/>
  <c r="C1111" s="1"/>
  <c r="C1199" s="1"/>
  <c r="C1287" s="1"/>
  <c r="C1375" s="1"/>
  <c r="C1463" s="1"/>
  <c r="C1551" s="1"/>
  <c r="C1639" s="1"/>
  <c r="C1727" s="1"/>
  <c r="C232"/>
  <c r="C320" s="1"/>
  <c r="C408" s="1"/>
  <c r="C496" s="1"/>
  <c r="C584" s="1"/>
  <c r="C672" s="1"/>
  <c r="C760" s="1"/>
  <c r="C848" s="1"/>
  <c r="C936" s="1"/>
  <c r="C1024" s="1"/>
  <c r="C1112" s="1"/>
  <c r="C1200" s="1"/>
  <c r="C1288" s="1"/>
  <c r="C1376" s="1"/>
  <c r="C1464" s="1"/>
  <c r="C1552" s="1"/>
  <c r="C1640" s="1"/>
  <c r="C1728" s="1"/>
  <c r="C233"/>
  <c r="C321" s="1"/>
  <c r="C409" s="1"/>
  <c r="C497" s="1"/>
  <c r="C585" s="1"/>
  <c r="C673" s="1"/>
  <c r="C761" s="1"/>
  <c r="C849" s="1"/>
  <c r="C937" s="1"/>
  <c r="C1025" s="1"/>
  <c r="C1113" s="1"/>
  <c r="C1201" s="1"/>
  <c r="C1289" s="1"/>
  <c r="C1377" s="1"/>
  <c r="C1465" s="1"/>
  <c r="C1553" s="1"/>
  <c r="C1641" s="1"/>
  <c r="C1729" s="1"/>
  <c r="C234"/>
  <c r="C322" s="1"/>
  <c r="C410" s="1"/>
  <c r="C498" s="1"/>
  <c r="C586" s="1"/>
  <c r="C674" s="1"/>
  <c r="C762" s="1"/>
  <c r="C850" s="1"/>
  <c r="C938" s="1"/>
  <c r="C1026" s="1"/>
  <c r="C1114" s="1"/>
  <c r="C1202" s="1"/>
  <c r="C1290" s="1"/>
  <c r="C1378" s="1"/>
  <c r="C1466" s="1"/>
  <c r="C1554" s="1"/>
  <c r="C1642" s="1"/>
  <c r="C1730" s="1"/>
  <c r="C235"/>
  <c r="C323" s="1"/>
  <c r="C411" s="1"/>
  <c r="C499" s="1"/>
  <c r="C587" s="1"/>
  <c r="C675" s="1"/>
  <c r="C763" s="1"/>
  <c r="C851" s="1"/>
  <c r="C939" s="1"/>
  <c r="C1027" s="1"/>
  <c r="C1115" s="1"/>
  <c r="C1203" s="1"/>
  <c r="C1291" s="1"/>
  <c r="C1379" s="1"/>
  <c r="C1467" s="1"/>
  <c r="C1555" s="1"/>
  <c r="C1643" s="1"/>
  <c r="C1731" s="1"/>
  <c r="C236"/>
  <c r="C324" s="1"/>
  <c r="C412" s="1"/>
  <c r="C500" s="1"/>
  <c r="C588" s="1"/>
  <c r="C676" s="1"/>
  <c r="C764" s="1"/>
  <c r="C852" s="1"/>
  <c r="C940" s="1"/>
  <c r="C1028" s="1"/>
  <c r="C1116" s="1"/>
  <c r="C1204" s="1"/>
  <c r="C1292" s="1"/>
  <c r="C1380" s="1"/>
  <c r="C1468" s="1"/>
  <c r="C1556" s="1"/>
  <c r="C1644" s="1"/>
  <c r="C1732" s="1"/>
  <c r="C237"/>
  <c r="C325" s="1"/>
  <c r="C413" s="1"/>
  <c r="C501" s="1"/>
  <c r="C589" s="1"/>
  <c r="C677" s="1"/>
  <c r="C765" s="1"/>
  <c r="C853" s="1"/>
  <c r="C941" s="1"/>
  <c r="C1029" s="1"/>
  <c r="C1117" s="1"/>
  <c r="C1205" s="1"/>
  <c r="C1293" s="1"/>
  <c r="C1381" s="1"/>
  <c r="C1469" s="1"/>
  <c r="C1557" s="1"/>
  <c r="C1645" s="1"/>
  <c r="C1733" s="1"/>
  <c r="C238"/>
  <c r="C326" s="1"/>
  <c r="C414" s="1"/>
  <c r="C502" s="1"/>
  <c r="C590" s="1"/>
  <c r="C678" s="1"/>
  <c r="C766" s="1"/>
  <c r="C854" s="1"/>
  <c r="C942" s="1"/>
  <c r="C1030" s="1"/>
  <c r="C1118" s="1"/>
  <c r="C1206" s="1"/>
  <c r="C1294" s="1"/>
  <c r="C1382" s="1"/>
  <c r="C1470" s="1"/>
  <c r="C1558" s="1"/>
  <c r="C1646" s="1"/>
  <c r="C1734" s="1"/>
  <c r="C239"/>
  <c r="C327" s="1"/>
  <c r="C415" s="1"/>
  <c r="C503" s="1"/>
  <c r="C591" s="1"/>
  <c r="C679" s="1"/>
  <c r="C767" s="1"/>
  <c r="C855" s="1"/>
  <c r="C943" s="1"/>
  <c r="C1031" s="1"/>
  <c r="C1119" s="1"/>
  <c r="C1207" s="1"/>
  <c r="C1295" s="1"/>
  <c r="C1383" s="1"/>
  <c r="C1471" s="1"/>
  <c r="C1559" s="1"/>
  <c r="C1647" s="1"/>
  <c r="C1735" s="1"/>
  <c r="C240"/>
  <c r="C328" s="1"/>
  <c r="C416" s="1"/>
  <c r="C504" s="1"/>
  <c r="C592" s="1"/>
  <c r="C680" s="1"/>
  <c r="C768" s="1"/>
  <c r="C856" s="1"/>
  <c r="C944" s="1"/>
  <c r="C1032" s="1"/>
  <c r="C1120" s="1"/>
  <c r="C1208" s="1"/>
  <c r="C1296" s="1"/>
  <c r="C1384" s="1"/>
  <c r="C1472" s="1"/>
  <c r="C1560" s="1"/>
  <c r="C1648" s="1"/>
  <c r="C1736" s="1"/>
  <c r="C241"/>
  <c r="C329" s="1"/>
  <c r="C417" s="1"/>
  <c r="C505" s="1"/>
  <c r="C593" s="1"/>
  <c r="C681" s="1"/>
  <c r="C769" s="1"/>
  <c r="C857" s="1"/>
  <c r="C945" s="1"/>
  <c r="C1033" s="1"/>
  <c r="C1121" s="1"/>
  <c r="C1209" s="1"/>
  <c r="C1297" s="1"/>
  <c r="C1385" s="1"/>
  <c r="C1473" s="1"/>
  <c r="C1561" s="1"/>
  <c r="C1649" s="1"/>
  <c r="C1737" s="1"/>
  <c r="C242"/>
  <c r="C330" s="1"/>
  <c r="C418" s="1"/>
  <c r="C506" s="1"/>
  <c r="C594" s="1"/>
  <c r="C682" s="1"/>
  <c r="C770" s="1"/>
  <c r="C858" s="1"/>
  <c r="C946" s="1"/>
  <c r="C1034" s="1"/>
  <c r="C1122" s="1"/>
  <c r="C1210" s="1"/>
  <c r="C1298" s="1"/>
  <c r="C1386" s="1"/>
  <c r="C1474" s="1"/>
  <c r="C1562" s="1"/>
  <c r="C1650" s="1"/>
  <c r="C1738" s="1"/>
  <c r="C243"/>
  <c r="C331" s="1"/>
  <c r="C419" s="1"/>
  <c r="C507" s="1"/>
  <c r="C595" s="1"/>
  <c r="C683" s="1"/>
  <c r="C771" s="1"/>
  <c r="C859" s="1"/>
  <c r="C947" s="1"/>
  <c r="C1035" s="1"/>
  <c r="C1123" s="1"/>
  <c r="C1211" s="1"/>
  <c r="C1299" s="1"/>
  <c r="C1387" s="1"/>
  <c r="C1475" s="1"/>
  <c r="C1563" s="1"/>
  <c r="C1651" s="1"/>
  <c r="C1739" s="1"/>
  <c r="C244"/>
  <c r="C332" s="1"/>
  <c r="C420" s="1"/>
  <c r="C508" s="1"/>
  <c r="C596" s="1"/>
  <c r="C684" s="1"/>
  <c r="C772" s="1"/>
  <c r="C860" s="1"/>
  <c r="C948" s="1"/>
  <c r="C1036" s="1"/>
  <c r="C1124" s="1"/>
  <c r="C1212" s="1"/>
  <c r="C1300" s="1"/>
  <c r="C1388" s="1"/>
  <c r="C1476" s="1"/>
  <c r="C1564" s="1"/>
  <c r="C1652" s="1"/>
  <c r="C1740" s="1"/>
  <c r="C245"/>
  <c r="C333" s="1"/>
  <c r="C421" s="1"/>
  <c r="C509" s="1"/>
  <c r="C597" s="1"/>
  <c r="C685" s="1"/>
  <c r="C773" s="1"/>
  <c r="C861" s="1"/>
  <c r="C949" s="1"/>
  <c r="C1037" s="1"/>
  <c r="C1125" s="1"/>
  <c r="C1213" s="1"/>
  <c r="C1301" s="1"/>
  <c r="C1389" s="1"/>
  <c r="C1477" s="1"/>
  <c r="C1565" s="1"/>
  <c r="C1653" s="1"/>
  <c r="C1741" s="1"/>
  <c r="C246"/>
  <c r="C334" s="1"/>
  <c r="C422" s="1"/>
  <c r="C510" s="1"/>
  <c r="C598" s="1"/>
  <c r="C686" s="1"/>
  <c r="C774" s="1"/>
  <c r="C862" s="1"/>
  <c r="C950" s="1"/>
  <c r="C1038" s="1"/>
  <c r="C1126" s="1"/>
  <c r="C1214" s="1"/>
  <c r="C1302" s="1"/>
  <c r="C1390" s="1"/>
  <c r="C1478" s="1"/>
  <c r="C1566" s="1"/>
  <c r="C1654" s="1"/>
  <c r="C1742" s="1"/>
  <c r="C247"/>
  <c r="C335" s="1"/>
  <c r="C423" s="1"/>
  <c r="C511" s="1"/>
  <c r="C599" s="1"/>
  <c r="C687" s="1"/>
  <c r="C775" s="1"/>
  <c r="C863" s="1"/>
  <c r="C951" s="1"/>
  <c r="C1039" s="1"/>
  <c r="C1127" s="1"/>
  <c r="C1215" s="1"/>
  <c r="C1303" s="1"/>
  <c r="C1391" s="1"/>
  <c r="C1479" s="1"/>
  <c r="C1567" s="1"/>
  <c r="C1655" s="1"/>
  <c r="C1743" s="1"/>
  <c r="C248"/>
  <c r="C336" s="1"/>
  <c r="C424" s="1"/>
  <c r="C512" s="1"/>
  <c r="C600" s="1"/>
  <c r="C688" s="1"/>
  <c r="C776" s="1"/>
  <c r="C864" s="1"/>
  <c r="C952" s="1"/>
  <c r="C1040" s="1"/>
  <c r="C1128" s="1"/>
  <c r="C1216" s="1"/>
  <c r="C1304" s="1"/>
  <c r="C1392" s="1"/>
  <c r="C1480" s="1"/>
  <c r="C1568" s="1"/>
  <c r="C1656" s="1"/>
  <c r="C1744" s="1"/>
  <c r="C249"/>
  <c r="C337" s="1"/>
  <c r="C425" s="1"/>
  <c r="C513" s="1"/>
  <c r="C601" s="1"/>
  <c r="C689" s="1"/>
  <c r="C777" s="1"/>
  <c r="C865" s="1"/>
  <c r="C953" s="1"/>
  <c r="C1041" s="1"/>
  <c r="C1129" s="1"/>
  <c r="C1217" s="1"/>
  <c r="C1305" s="1"/>
  <c r="C1393" s="1"/>
  <c r="C1481" s="1"/>
  <c r="C1569" s="1"/>
  <c r="C1657" s="1"/>
  <c r="C1745" s="1"/>
  <c r="C250"/>
  <c r="C338" s="1"/>
  <c r="C426" s="1"/>
  <c r="C514" s="1"/>
  <c r="C602" s="1"/>
  <c r="C690" s="1"/>
  <c r="C778" s="1"/>
  <c r="C866" s="1"/>
  <c r="C954" s="1"/>
  <c r="C1042" s="1"/>
  <c r="C1130" s="1"/>
  <c r="C1218" s="1"/>
  <c r="C1306" s="1"/>
  <c r="C1394" s="1"/>
  <c r="C1482" s="1"/>
  <c r="C1570" s="1"/>
  <c r="C1658" s="1"/>
  <c r="C1746" s="1"/>
  <c r="C251"/>
  <c r="C339" s="1"/>
  <c r="C427" s="1"/>
  <c r="C515" s="1"/>
  <c r="C603" s="1"/>
  <c r="C691" s="1"/>
  <c r="C779" s="1"/>
  <c r="C867" s="1"/>
  <c r="C955" s="1"/>
  <c r="C1043" s="1"/>
  <c r="C1131" s="1"/>
  <c r="C1219" s="1"/>
  <c r="C1307" s="1"/>
  <c r="C1395" s="1"/>
  <c r="C1483" s="1"/>
  <c r="C1571" s="1"/>
  <c r="C1659" s="1"/>
  <c r="C1747" s="1"/>
  <c r="C252"/>
  <c r="C340" s="1"/>
  <c r="C428" s="1"/>
  <c r="C516" s="1"/>
  <c r="C604" s="1"/>
  <c r="C692" s="1"/>
  <c r="C780" s="1"/>
  <c r="C868" s="1"/>
  <c r="C956" s="1"/>
  <c r="C1044" s="1"/>
  <c r="C1132" s="1"/>
  <c r="C1220" s="1"/>
  <c r="C1308" s="1"/>
  <c r="C1396" s="1"/>
  <c r="C1484" s="1"/>
  <c r="C1572" s="1"/>
  <c r="C1660" s="1"/>
  <c r="C1748" s="1"/>
  <c r="C253"/>
  <c r="C341" s="1"/>
  <c r="C429" s="1"/>
  <c r="C517" s="1"/>
  <c r="C605" s="1"/>
  <c r="C693" s="1"/>
  <c r="C781" s="1"/>
  <c r="C869" s="1"/>
  <c r="C957" s="1"/>
  <c r="C1045" s="1"/>
  <c r="C1133" s="1"/>
  <c r="C1221" s="1"/>
  <c r="C1309" s="1"/>
  <c r="C1397" s="1"/>
  <c r="C1485" s="1"/>
  <c r="C1573" s="1"/>
  <c r="C1661" s="1"/>
  <c r="C1749" s="1"/>
  <c r="C254"/>
  <c r="C342" s="1"/>
  <c r="C430" s="1"/>
  <c r="C518" s="1"/>
  <c r="C606" s="1"/>
  <c r="C694" s="1"/>
  <c r="C782" s="1"/>
  <c r="C870" s="1"/>
  <c r="C958" s="1"/>
  <c r="C1046" s="1"/>
  <c r="C1134" s="1"/>
  <c r="C1222" s="1"/>
  <c r="C1310" s="1"/>
  <c r="C1398" s="1"/>
  <c r="C1486" s="1"/>
  <c r="C1574" s="1"/>
  <c r="C1662" s="1"/>
  <c r="C1750" s="1"/>
  <c r="C255"/>
  <c r="C343" s="1"/>
  <c r="C431" s="1"/>
  <c r="C519" s="1"/>
  <c r="C607" s="1"/>
  <c r="C695" s="1"/>
  <c r="C783" s="1"/>
  <c r="C871" s="1"/>
  <c r="C959" s="1"/>
  <c r="C1047" s="1"/>
  <c r="C1135" s="1"/>
  <c r="C1223" s="1"/>
  <c r="C1311" s="1"/>
  <c r="C1399" s="1"/>
  <c r="C1487" s="1"/>
  <c r="C1575" s="1"/>
  <c r="C1663" s="1"/>
  <c r="C1751" s="1"/>
  <c r="C256"/>
  <c r="C344" s="1"/>
  <c r="C432" s="1"/>
  <c r="C520" s="1"/>
  <c r="C608" s="1"/>
  <c r="C696" s="1"/>
  <c r="C784" s="1"/>
  <c r="C872" s="1"/>
  <c r="C960" s="1"/>
  <c r="C1048" s="1"/>
  <c r="C1136" s="1"/>
  <c r="C1224" s="1"/>
  <c r="C1312" s="1"/>
  <c r="C1400" s="1"/>
  <c r="C1488" s="1"/>
  <c r="C1576" s="1"/>
  <c r="C1664" s="1"/>
  <c r="C1752" s="1"/>
  <c r="C257"/>
  <c r="C345" s="1"/>
  <c r="C433" s="1"/>
  <c r="C521" s="1"/>
  <c r="C609" s="1"/>
  <c r="C697" s="1"/>
  <c r="C785" s="1"/>
  <c r="C873" s="1"/>
  <c r="C961" s="1"/>
  <c r="C1049" s="1"/>
  <c r="C1137" s="1"/>
  <c r="C1225" s="1"/>
  <c r="C1313" s="1"/>
  <c r="C1401" s="1"/>
  <c r="C1489" s="1"/>
  <c r="C1577" s="1"/>
  <c r="C1665" s="1"/>
  <c r="C1753" s="1"/>
  <c r="C258"/>
  <c r="C346" s="1"/>
  <c r="C434" s="1"/>
  <c r="C522" s="1"/>
  <c r="C610" s="1"/>
  <c r="C698" s="1"/>
  <c r="C786" s="1"/>
  <c r="C874" s="1"/>
  <c r="C962" s="1"/>
  <c r="C1050" s="1"/>
  <c r="C1138" s="1"/>
  <c r="C1226" s="1"/>
  <c r="C1314" s="1"/>
  <c r="C1402" s="1"/>
  <c r="C1490" s="1"/>
  <c r="C1578" s="1"/>
  <c r="C1666" s="1"/>
  <c r="C1754" s="1"/>
  <c r="C259"/>
  <c r="C347" s="1"/>
  <c r="C435" s="1"/>
  <c r="C523" s="1"/>
  <c r="C611" s="1"/>
  <c r="C699" s="1"/>
  <c r="C787" s="1"/>
  <c r="C875" s="1"/>
  <c r="C963" s="1"/>
  <c r="C1051" s="1"/>
  <c r="C1139" s="1"/>
  <c r="C1227" s="1"/>
  <c r="C1315" s="1"/>
  <c r="C1403" s="1"/>
  <c r="C1491" s="1"/>
  <c r="C1579" s="1"/>
  <c r="C1667" s="1"/>
  <c r="C1755" s="1"/>
  <c r="C260"/>
  <c r="C348" s="1"/>
  <c r="C436" s="1"/>
  <c r="C524" s="1"/>
  <c r="C612" s="1"/>
  <c r="C700" s="1"/>
  <c r="C788" s="1"/>
  <c r="C876" s="1"/>
  <c r="C964" s="1"/>
  <c r="C1052" s="1"/>
  <c r="C1140" s="1"/>
  <c r="C1228" s="1"/>
  <c r="C1316" s="1"/>
  <c r="C1404" s="1"/>
  <c r="C1492" s="1"/>
  <c r="C1580" s="1"/>
  <c r="C1668" s="1"/>
  <c r="C1756" s="1"/>
  <c r="C261"/>
  <c r="C349" s="1"/>
  <c r="C437" s="1"/>
  <c r="C525" s="1"/>
  <c r="C613" s="1"/>
  <c r="C701" s="1"/>
  <c r="C789" s="1"/>
  <c r="C877" s="1"/>
  <c r="C965" s="1"/>
  <c r="C1053" s="1"/>
  <c r="C1141" s="1"/>
  <c r="C1229" s="1"/>
  <c r="C1317" s="1"/>
  <c r="C1405" s="1"/>
  <c r="C1493" s="1"/>
  <c r="C1581" s="1"/>
  <c r="C1669" s="1"/>
  <c r="C1757" s="1"/>
  <c r="C262"/>
  <c r="C350" s="1"/>
  <c r="C438" s="1"/>
  <c r="C526" s="1"/>
  <c r="C614" s="1"/>
  <c r="C702" s="1"/>
  <c r="C790" s="1"/>
  <c r="C878" s="1"/>
  <c r="C966" s="1"/>
  <c r="C1054" s="1"/>
  <c r="C1142" s="1"/>
  <c r="C1230" s="1"/>
  <c r="C1318" s="1"/>
  <c r="C1406" s="1"/>
  <c r="C1494" s="1"/>
  <c r="C1582" s="1"/>
  <c r="C1670" s="1"/>
  <c r="C1758" s="1"/>
  <c r="C263"/>
  <c r="C351" s="1"/>
  <c r="C439" s="1"/>
  <c r="C527" s="1"/>
  <c r="C615" s="1"/>
  <c r="C703" s="1"/>
  <c r="C791" s="1"/>
  <c r="C879" s="1"/>
  <c r="C967" s="1"/>
  <c r="C1055" s="1"/>
  <c r="C1143" s="1"/>
  <c r="C1231" s="1"/>
  <c r="C1319" s="1"/>
  <c r="C1407" s="1"/>
  <c r="C1495" s="1"/>
  <c r="C1583" s="1"/>
  <c r="C1671" s="1"/>
  <c r="C1759" s="1"/>
  <c r="C264"/>
  <c r="C352" s="1"/>
  <c r="C440" s="1"/>
  <c r="C528" s="1"/>
  <c r="C616" s="1"/>
  <c r="C704" s="1"/>
  <c r="C792" s="1"/>
  <c r="C880" s="1"/>
  <c r="C968" s="1"/>
  <c r="C1056" s="1"/>
  <c r="C1144" s="1"/>
  <c r="C1232" s="1"/>
  <c r="C1320" s="1"/>
  <c r="C1408" s="1"/>
  <c r="C1496" s="1"/>
  <c r="C1584" s="1"/>
  <c r="C1672" s="1"/>
  <c r="C1760" s="1"/>
  <c r="C265"/>
  <c r="C353" s="1"/>
  <c r="C441" s="1"/>
  <c r="C529" s="1"/>
  <c r="C617" s="1"/>
  <c r="C705" s="1"/>
  <c r="C793" s="1"/>
  <c r="C881" s="1"/>
  <c r="C969" s="1"/>
  <c r="C1057" s="1"/>
  <c r="C1145" s="1"/>
  <c r="C1233" s="1"/>
  <c r="C1321" s="1"/>
  <c r="C1409" s="1"/>
  <c r="C1497" s="1"/>
  <c r="C1585" s="1"/>
  <c r="C1673" s="1"/>
  <c r="C1761" s="1"/>
  <c r="C266"/>
  <c r="C354" s="1"/>
  <c r="C442" s="1"/>
  <c r="C530" s="1"/>
  <c r="C618" s="1"/>
  <c r="C706" s="1"/>
  <c r="C794" s="1"/>
  <c r="C882" s="1"/>
  <c r="C970" s="1"/>
  <c r="C1058" s="1"/>
  <c r="C1146" s="1"/>
  <c r="C1234" s="1"/>
  <c r="C1322" s="1"/>
  <c r="C1410" s="1"/>
  <c r="C1498" s="1"/>
  <c r="C1586" s="1"/>
  <c r="C1674" s="1"/>
  <c r="C1762" s="1"/>
  <c r="C267"/>
  <c r="C355" s="1"/>
  <c r="C443" s="1"/>
  <c r="C531" s="1"/>
  <c r="C619" s="1"/>
  <c r="C707" s="1"/>
  <c r="C795" s="1"/>
  <c r="C883" s="1"/>
  <c r="C971" s="1"/>
  <c r="C1059" s="1"/>
  <c r="C1147" s="1"/>
  <c r="C1235" s="1"/>
  <c r="C1323" s="1"/>
  <c r="C1411" s="1"/>
  <c r="C1499" s="1"/>
  <c r="C1587" s="1"/>
  <c r="C1675" s="1"/>
  <c r="C1763" s="1"/>
  <c r="C268"/>
  <c r="C356" s="1"/>
  <c r="C444" s="1"/>
  <c r="C532" s="1"/>
  <c r="C620" s="1"/>
  <c r="C708" s="1"/>
  <c r="C796" s="1"/>
  <c r="C884" s="1"/>
  <c r="C972" s="1"/>
  <c r="C1060" s="1"/>
  <c r="C1148" s="1"/>
  <c r="C1236" s="1"/>
  <c r="C1324" s="1"/>
  <c r="C1412" s="1"/>
  <c r="C1500" s="1"/>
  <c r="C1588" s="1"/>
  <c r="C1676" s="1"/>
  <c r="C1764" s="1"/>
  <c r="C269"/>
  <c r="C357" s="1"/>
  <c r="C445" s="1"/>
  <c r="C533" s="1"/>
  <c r="C621" s="1"/>
  <c r="C709" s="1"/>
  <c r="C797" s="1"/>
  <c r="C885" s="1"/>
  <c r="C973" s="1"/>
  <c r="C1061" s="1"/>
  <c r="C1149" s="1"/>
  <c r="C1237" s="1"/>
  <c r="C1325" s="1"/>
  <c r="C1413" s="1"/>
  <c r="C1501" s="1"/>
  <c r="C1589" s="1"/>
  <c r="C1677" s="1"/>
  <c r="C1765" s="1"/>
  <c r="C270"/>
  <c r="C358" s="1"/>
  <c r="C446" s="1"/>
  <c r="C534" s="1"/>
  <c r="C622" s="1"/>
  <c r="C710" s="1"/>
  <c r="C798" s="1"/>
  <c r="C886" s="1"/>
  <c r="C974" s="1"/>
  <c r="C1062" s="1"/>
  <c r="C1150" s="1"/>
  <c r="C1238" s="1"/>
  <c r="C1326" s="1"/>
  <c r="C1414" s="1"/>
  <c r="C1502" s="1"/>
  <c r="C1590" s="1"/>
  <c r="C1678" s="1"/>
  <c r="C1766" s="1"/>
  <c r="C271"/>
  <c r="C359" s="1"/>
  <c r="C447" s="1"/>
  <c r="C535" s="1"/>
  <c r="C623" s="1"/>
  <c r="C711" s="1"/>
  <c r="C799" s="1"/>
  <c r="C887" s="1"/>
  <c r="C975" s="1"/>
  <c r="C1063" s="1"/>
  <c r="C1151" s="1"/>
  <c r="C1239" s="1"/>
  <c r="C1327" s="1"/>
  <c r="C1415" s="1"/>
  <c r="C1503" s="1"/>
  <c r="C1591" s="1"/>
  <c r="C1679" s="1"/>
  <c r="C1767" s="1"/>
  <c r="C272"/>
  <c r="C360" s="1"/>
  <c r="C448" s="1"/>
  <c r="C536" s="1"/>
  <c r="C624" s="1"/>
  <c r="C712" s="1"/>
  <c r="C800" s="1"/>
  <c r="C888" s="1"/>
  <c r="C976" s="1"/>
  <c r="C1064" s="1"/>
  <c r="C1152" s="1"/>
  <c r="C1240" s="1"/>
  <c r="C1328" s="1"/>
  <c r="C1416" s="1"/>
  <c r="C1504" s="1"/>
  <c r="C1592" s="1"/>
  <c r="C1680" s="1"/>
  <c r="C1768" s="1"/>
  <c r="C273"/>
  <c r="C361" s="1"/>
  <c r="C449" s="1"/>
  <c r="C537" s="1"/>
  <c r="C625" s="1"/>
  <c r="C713" s="1"/>
  <c r="C801" s="1"/>
  <c r="C889" s="1"/>
  <c r="C977" s="1"/>
  <c r="C1065" s="1"/>
  <c r="C1153" s="1"/>
  <c r="C1241" s="1"/>
  <c r="C1329" s="1"/>
  <c r="C1417" s="1"/>
  <c r="C1505" s="1"/>
  <c r="C1593" s="1"/>
  <c r="C1681" s="1"/>
  <c r="C1769" s="1"/>
  <c r="C274"/>
  <c r="C362" s="1"/>
  <c r="C450" s="1"/>
  <c r="C538" s="1"/>
  <c r="C626" s="1"/>
  <c r="C714" s="1"/>
  <c r="C802" s="1"/>
  <c r="C890" s="1"/>
  <c r="C978" s="1"/>
  <c r="C1066" s="1"/>
  <c r="C1154" s="1"/>
  <c r="C1242" s="1"/>
  <c r="C1330" s="1"/>
  <c r="C1418" s="1"/>
  <c r="C1506" s="1"/>
  <c r="C1594" s="1"/>
  <c r="C1682" s="1"/>
  <c r="C1770" s="1"/>
  <c r="C275"/>
  <c r="C363" s="1"/>
  <c r="C451" s="1"/>
  <c r="C539" s="1"/>
  <c r="C627" s="1"/>
  <c r="C715" s="1"/>
  <c r="C803" s="1"/>
  <c r="C891" s="1"/>
  <c r="C979" s="1"/>
  <c r="C1067" s="1"/>
  <c r="C1155" s="1"/>
  <c r="C1243" s="1"/>
  <c r="C1331" s="1"/>
  <c r="C1419" s="1"/>
  <c r="C1507" s="1"/>
  <c r="C1595" s="1"/>
  <c r="C1683" s="1"/>
  <c r="C1771" s="1"/>
  <c r="C276"/>
  <c r="C364" s="1"/>
  <c r="C452" s="1"/>
  <c r="C540" s="1"/>
  <c r="C628" s="1"/>
  <c r="C716" s="1"/>
  <c r="C804" s="1"/>
  <c r="C892" s="1"/>
  <c r="C980" s="1"/>
  <c r="C1068" s="1"/>
  <c r="C1156" s="1"/>
  <c r="C1244" s="1"/>
  <c r="C1332" s="1"/>
  <c r="C1420" s="1"/>
  <c r="C1508" s="1"/>
  <c r="C1596" s="1"/>
  <c r="C1684" s="1"/>
  <c r="C1772" s="1"/>
  <c r="C277"/>
  <c r="C365" s="1"/>
  <c r="C453" s="1"/>
  <c r="C541" s="1"/>
  <c r="C629" s="1"/>
  <c r="C717" s="1"/>
  <c r="C805" s="1"/>
  <c r="C893" s="1"/>
  <c r="C981" s="1"/>
  <c r="C1069" s="1"/>
  <c r="C1157" s="1"/>
  <c r="C1245" s="1"/>
  <c r="C1333" s="1"/>
  <c r="C1421" s="1"/>
  <c r="C1509" s="1"/>
  <c r="C1597" s="1"/>
  <c r="C1685" s="1"/>
  <c r="C1773" s="1"/>
  <c r="C278"/>
  <c r="C366" s="1"/>
  <c r="C454" s="1"/>
  <c r="C542" s="1"/>
  <c r="C630" s="1"/>
  <c r="C718" s="1"/>
  <c r="C806" s="1"/>
  <c r="C894" s="1"/>
  <c r="C982" s="1"/>
  <c r="C1070" s="1"/>
  <c r="C1158" s="1"/>
  <c r="C1246" s="1"/>
  <c r="C1334" s="1"/>
  <c r="C1422" s="1"/>
  <c r="C1510" s="1"/>
  <c r="C1598" s="1"/>
  <c r="C1686" s="1"/>
  <c r="C1774" s="1"/>
  <c r="C279"/>
  <c r="C367" s="1"/>
  <c r="C455" s="1"/>
  <c r="C543" s="1"/>
  <c r="C631" s="1"/>
  <c r="C719" s="1"/>
  <c r="C807" s="1"/>
  <c r="C895" s="1"/>
  <c r="C983" s="1"/>
  <c r="C1071" s="1"/>
  <c r="C1159" s="1"/>
  <c r="C1247" s="1"/>
  <c r="C1335" s="1"/>
  <c r="C1423" s="1"/>
  <c r="C1511" s="1"/>
  <c r="C1599" s="1"/>
  <c r="C1687" s="1"/>
  <c r="C1775" s="1"/>
  <c r="C280"/>
  <c r="C368" s="1"/>
  <c r="C456" s="1"/>
  <c r="C544" s="1"/>
  <c r="C632" s="1"/>
  <c r="C720" s="1"/>
  <c r="C808" s="1"/>
  <c r="C896" s="1"/>
  <c r="C984" s="1"/>
  <c r="C1072" s="1"/>
  <c r="C1160" s="1"/>
  <c r="C1248" s="1"/>
  <c r="C1336" s="1"/>
  <c r="C1424" s="1"/>
  <c r="C1512" s="1"/>
  <c r="C1600" s="1"/>
  <c r="C1688" s="1"/>
  <c r="C1776" s="1"/>
  <c r="C281"/>
  <c r="C369" s="1"/>
  <c r="C457" s="1"/>
  <c r="C545" s="1"/>
  <c r="C633" s="1"/>
  <c r="C721" s="1"/>
  <c r="C809" s="1"/>
  <c r="C897" s="1"/>
  <c r="C985" s="1"/>
  <c r="C1073" s="1"/>
  <c r="C1161" s="1"/>
  <c r="C1249" s="1"/>
  <c r="C1337" s="1"/>
  <c r="C1425" s="1"/>
  <c r="C1513" s="1"/>
  <c r="C1601" s="1"/>
  <c r="C1689" s="1"/>
  <c r="C1777" s="1"/>
  <c r="C282"/>
  <c r="C370" s="1"/>
  <c r="C458" s="1"/>
  <c r="C546" s="1"/>
  <c r="C634" s="1"/>
  <c r="C722" s="1"/>
  <c r="C810" s="1"/>
  <c r="C898" s="1"/>
  <c r="C986" s="1"/>
  <c r="C1074" s="1"/>
  <c r="C1162" s="1"/>
  <c r="C1250" s="1"/>
  <c r="C1338" s="1"/>
  <c r="C1426" s="1"/>
  <c r="C1514" s="1"/>
  <c r="C1602" s="1"/>
  <c r="C1690" s="1"/>
  <c r="C1778" s="1"/>
  <c r="C283"/>
  <c r="C371" s="1"/>
  <c r="C459" s="1"/>
  <c r="C547" s="1"/>
  <c r="C635" s="1"/>
  <c r="C723" s="1"/>
  <c r="C811" s="1"/>
  <c r="C899" s="1"/>
  <c r="C987" s="1"/>
  <c r="C1075" s="1"/>
  <c r="C1163" s="1"/>
  <c r="C1251" s="1"/>
  <c r="C1339" s="1"/>
  <c r="C1427" s="1"/>
  <c r="C1515" s="1"/>
  <c r="C1603" s="1"/>
  <c r="C1691" s="1"/>
  <c r="C1779" s="1"/>
  <c r="C284"/>
  <c r="C372" s="1"/>
  <c r="C460" s="1"/>
  <c r="C548" s="1"/>
  <c r="C636" s="1"/>
  <c r="C724" s="1"/>
  <c r="C812" s="1"/>
  <c r="C900" s="1"/>
  <c r="C988" s="1"/>
  <c r="C1076" s="1"/>
  <c r="C1164" s="1"/>
  <c r="C1252" s="1"/>
  <c r="C1340" s="1"/>
  <c r="C1428" s="1"/>
  <c r="C1516" s="1"/>
  <c r="C1604" s="1"/>
  <c r="C1692" s="1"/>
  <c r="C1780" s="1"/>
  <c r="C285"/>
  <c r="C373" s="1"/>
  <c r="C461" s="1"/>
  <c r="C549" s="1"/>
  <c r="C637" s="1"/>
  <c r="C725" s="1"/>
  <c r="C813" s="1"/>
  <c r="C901" s="1"/>
  <c r="C989" s="1"/>
  <c r="C1077" s="1"/>
  <c r="C1165" s="1"/>
  <c r="C1253" s="1"/>
  <c r="C1341" s="1"/>
  <c r="C1429" s="1"/>
  <c r="C1517" s="1"/>
  <c r="C1605" s="1"/>
  <c r="C1693" s="1"/>
  <c r="C1781" s="1"/>
  <c r="C286"/>
  <c r="C374" s="1"/>
  <c r="C462" s="1"/>
  <c r="C550" s="1"/>
  <c r="C638" s="1"/>
  <c r="C726" s="1"/>
  <c r="C814" s="1"/>
  <c r="C902" s="1"/>
  <c r="C990" s="1"/>
  <c r="C1078" s="1"/>
  <c r="C1166" s="1"/>
  <c r="C1254" s="1"/>
  <c r="C1342" s="1"/>
  <c r="C1430" s="1"/>
  <c r="C1518" s="1"/>
  <c r="C1606" s="1"/>
  <c r="C1694" s="1"/>
  <c r="C1782" s="1"/>
  <c r="C287"/>
  <c r="C375" s="1"/>
  <c r="C463" s="1"/>
  <c r="C551" s="1"/>
  <c r="C639" s="1"/>
  <c r="C727" s="1"/>
  <c r="C815" s="1"/>
  <c r="C903" s="1"/>
  <c r="C991" s="1"/>
  <c r="C1079" s="1"/>
  <c r="C1167" s="1"/>
  <c r="C1255" s="1"/>
  <c r="C1343" s="1"/>
  <c r="C1431" s="1"/>
  <c r="C1519" s="1"/>
  <c r="C1607" s="1"/>
  <c r="C1695" s="1"/>
  <c r="C1783" s="1"/>
  <c r="C288"/>
  <c r="C376" s="1"/>
  <c r="C464" s="1"/>
  <c r="C552" s="1"/>
  <c r="C640" s="1"/>
  <c r="C728" s="1"/>
  <c r="C816" s="1"/>
  <c r="C904" s="1"/>
  <c r="C992" s="1"/>
  <c r="C1080" s="1"/>
  <c r="C1168" s="1"/>
  <c r="C1256" s="1"/>
  <c r="C1344" s="1"/>
  <c r="C1432" s="1"/>
  <c r="C1520" s="1"/>
  <c r="C1608" s="1"/>
  <c r="C1696" s="1"/>
  <c r="C1784" s="1"/>
  <c r="C289"/>
  <c r="C377" s="1"/>
  <c r="C465" s="1"/>
  <c r="C553" s="1"/>
  <c r="C641" s="1"/>
  <c r="C729" s="1"/>
  <c r="C817" s="1"/>
  <c r="C905" s="1"/>
  <c r="C993" s="1"/>
  <c r="C1081" s="1"/>
  <c r="C1169" s="1"/>
  <c r="C1257" s="1"/>
  <c r="C1345" s="1"/>
  <c r="C1433" s="1"/>
  <c r="C1521" s="1"/>
  <c r="C1609" s="1"/>
  <c r="C1697" s="1"/>
  <c r="C1785" s="1"/>
  <c r="C290"/>
  <c r="C378" s="1"/>
  <c r="C466" s="1"/>
  <c r="C554" s="1"/>
  <c r="C642" s="1"/>
  <c r="C730" s="1"/>
  <c r="C818" s="1"/>
  <c r="C906" s="1"/>
  <c r="C994" s="1"/>
  <c r="C1082" s="1"/>
  <c r="C1170" s="1"/>
  <c r="C1258" s="1"/>
  <c r="C1346" s="1"/>
  <c r="C1434" s="1"/>
  <c r="C1522" s="1"/>
  <c r="C1610" s="1"/>
  <c r="C1698" s="1"/>
  <c r="C1786" s="1"/>
  <c r="C291"/>
  <c r="C379" s="1"/>
  <c r="C467" s="1"/>
  <c r="C555" s="1"/>
  <c r="C643" s="1"/>
  <c r="C731" s="1"/>
  <c r="C819" s="1"/>
  <c r="C907" s="1"/>
  <c r="C995" s="1"/>
  <c r="C1083" s="1"/>
  <c r="C1171" s="1"/>
  <c r="C1259" s="1"/>
  <c r="C1347" s="1"/>
  <c r="C1435" s="1"/>
  <c r="C1523" s="1"/>
  <c r="C1611" s="1"/>
  <c r="C1699" s="1"/>
  <c r="C1787" s="1"/>
  <c r="C292"/>
  <c r="C380" s="1"/>
  <c r="C468" s="1"/>
  <c r="C556" s="1"/>
  <c r="C644" s="1"/>
  <c r="C732" s="1"/>
  <c r="C820" s="1"/>
  <c r="C908" s="1"/>
  <c r="C996" s="1"/>
  <c r="C1084" s="1"/>
  <c r="C1172" s="1"/>
  <c r="C1260" s="1"/>
  <c r="C1348" s="1"/>
  <c r="C1436" s="1"/>
  <c r="C1524" s="1"/>
  <c r="C1612" s="1"/>
  <c r="C1700" s="1"/>
  <c r="C1788" s="1"/>
  <c r="C293"/>
  <c r="C381" s="1"/>
  <c r="C469" s="1"/>
  <c r="C557" s="1"/>
  <c r="C645" s="1"/>
  <c r="C733" s="1"/>
  <c r="C821" s="1"/>
  <c r="C909" s="1"/>
  <c r="C997" s="1"/>
  <c r="C1085" s="1"/>
  <c r="C1173" s="1"/>
  <c r="C1261" s="1"/>
  <c r="C1349" s="1"/>
  <c r="C1437" s="1"/>
  <c r="C1525" s="1"/>
  <c r="C1613" s="1"/>
  <c r="C1701" s="1"/>
  <c r="C1789" s="1"/>
  <c r="C206"/>
  <c r="C294" s="1"/>
  <c r="C382" s="1"/>
  <c r="C470" s="1"/>
  <c r="C558" s="1"/>
  <c r="C646" s="1"/>
  <c r="C734" s="1"/>
  <c r="C822" s="1"/>
  <c r="C910" s="1"/>
  <c r="C998" s="1"/>
  <c r="C1086" s="1"/>
  <c r="C1174" s="1"/>
  <c r="C1262" s="1"/>
  <c r="C1350" s="1"/>
  <c r="C1438" s="1"/>
  <c r="C1526" s="1"/>
  <c r="C1614" s="1"/>
  <c r="C1702" s="1"/>
  <c r="I735"/>
  <c r="I823" s="1"/>
  <c r="I911" s="1"/>
  <c r="I999" s="1"/>
  <c r="I1087" s="1"/>
  <c r="I1175" s="1"/>
  <c r="I1263" s="1"/>
  <c r="I1351" s="1"/>
  <c r="I1439" s="1"/>
  <c r="I1527" s="1"/>
  <c r="I1615" s="1"/>
  <c r="I1703" s="1"/>
  <c r="I736"/>
  <c r="I824" s="1"/>
  <c r="I912" s="1"/>
  <c r="I1000" s="1"/>
  <c r="I1088" s="1"/>
  <c r="I1176" s="1"/>
  <c r="I1264" s="1"/>
  <c r="I1352" s="1"/>
  <c r="I1440" s="1"/>
  <c r="I1528" s="1"/>
  <c r="I1616" s="1"/>
  <c r="I1704" s="1"/>
  <c r="I737"/>
  <c r="I825" s="1"/>
  <c r="I913" s="1"/>
  <c r="I1001" s="1"/>
  <c r="I1089" s="1"/>
  <c r="I1177" s="1"/>
  <c r="I1265" s="1"/>
  <c r="I1353" s="1"/>
  <c r="I1441" s="1"/>
  <c r="I1529" s="1"/>
  <c r="I1617" s="1"/>
  <c r="I1705" s="1"/>
  <c r="I738"/>
  <c r="I826" s="1"/>
  <c r="I914" s="1"/>
  <c r="I1002" s="1"/>
  <c r="I1090" s="1"/>
  <c r="I1178" s="1"/>
  <c r="I1266" s="1"/>
  <c r="I1354" s="1"/>
  <c r="I1442" s="1"/>
  <c r="I1530" s="1"/>
  <c r="I1618" s="1"/>
  <c r="I1706" s="1"/>
  <c r="I739"/>
  <c r="I827" s="1"/>
  <c r="I915" s="1"/>
  <c r="I1003" s="1"/>
  <c r="I1091" s="1"/>
  <c r="I1179" s="1"/>
  <c r="I1267" s="1"/>
  <c r="I1355" s="1"/>
  <c r="I1443" s="1"/>
  <c r="I1531" s="1"/>
  <c r="I1619" s="1"/>
  <c r="I1707" s="1"/>
  <c r="I740"/>
  <c r="I828" s="1"/>
  <c r="I916" s="1"/>
  <c r="I1004" s="1"/>
  <c r="I1092" s="1"/>
  <c r="I1180" s="1"/>
  <c r="I1268" s="1"/>
  <c r="I1356" s="1"/>
  <c r="I1444" s="1"/>
  <c r="I1532" s="1"/>
  <c r="I1620" s="1"/>
  <c r="I1708" s="1"/>
  <c r="I741"/>
  <c r="I829" s="1"/>
  <c r="I917" s="1"/>
  <c r="I1005" s="1"/>
  <c r="I1093" s="1"/>
  <c r="I1181" s="1"/>
  <c r="I1269" s="1"/>
  <c r="I1357" s="1"/>
  <c r="I1445" s="1"/>
  <c r="I1533" s="1"/>
  <c r="I1621" s="1"/>
  <c r="I1709" s="1"/>
  <c r="I742"/>
  <c r="I830" s="1"/>
  <c r="I918" s="1"/>
  <c r="I1006" s="1"/>
  <c r="I1094" s="1"/>
  <c r="I1182" s="1"/>
  <c r="I1270" s="1"/>
  <c r="I1358" s="1"/>
  <c r="I1446" s="1"/>
  <c r="I1534" s="1"/>
  <c r="I1622" s="1"/>
  <c r="I1710" s="1"/>
  <c r="I743"/>
  <c r="I831" s="1"/>
  <c r="I919" s="1"/>
  <c r="I1007" s="1"/>
  <c r="I1095" s="1"/>
  <c r="I1183" s="1"/>
  <c r="I1271" s="1"/>
  <c r="I1359" s="1"/>
  <c r="I1447" s="1"/>
  <c r="I1535" s="1"/>
  <c r="I1623" s="1"/>
  <c r="I1711" s="1"/>
  <c r="I744"/>
  <c r="I832" s="1"/>
  <c r="I920" s="1"/>
  <c r="I1008" s="1"/>
  <c r="I1096" s="1"/>
  <c r="I1184" s="1"/>
  <c r="I1272" s="1"/>
  <c r="I1360" s="1"/>
  <c r="I1448" s="1"/>
  <c r="I1536" s="1"/>
  <c r="I1624" s="1"/>
  <c r="I1712" s="1"/>
  <c r="I745"/>
  <c r="I833" s="1"/>
  <c r="I921" s="1"/>
  <c r="I1009" s="1"/>
  <c r="I1097" s="1"/>
  <c r="I1185" s="1"/>
  <c r="I1273" s="1"/>
  <c r="I1361" s="1"/>
  <c r="I1449" s="1"/>
  <c r="I1537" s="1"/>
  <c r="I1625" s="1"/>
  <c r="I1713" s="1"/>
  <c r="I746"/>
  <c r="I834" s="1"/>
  <c r="I922" s="1"/>
  <c r="I1010" s="1"/>
  <c r="I1098" s="1"/>
  <c r="I1186" s="1"/>
  <c r="I1274" s="1"/>
  <c r="I1362" s="1"/>
  <c r="I1450" s="1"/>
  <c r="I1538" s="1"/>
  <c r="I1626" s="1"/>
  <c r="I1714" s="1"/>
  <c r="I747"/>
  <c r="I835" s="1"/>
  <c r="I923" s="1"/>
  <c r="I1011" s="1"/>
  <c r="I1099" s="1"/>
  <c r="I1187" s="1"/>
  <c r="I1275" s="1"/>
  <c r="I1363" s="1"/>
  <c r="I1451" s="1"/>
  <c r="I1539" s="1"/>
  <c r="I1627" s="1"/>
  <c r="I1715" s="1"/>
  <c r="I748"/>
  <c r="I836" s="1"/>
  <c r="I924" s="1"/>
  <c r="I1012" s="1"/>
  <c r="I1100" s="1"/>
  <c r="I1188" s="1"/>
  <c r="I1276" s="1"/>
  <c r="I1364" s="1"/>
  <c r="I1452" s="1"/>
  <c r="I1540" s="1"/>
  <c r="I1628" s="1"/>
  <c r="I1716" s="1"/>
  <c r="I749"/>
  <c r="I837" s="1"/>
  <c r="I925" s="1"/>
  <c r="I1013" s="1"/>
  <c r="I1101" s="1"/>
  <c r="I1189" s="1"/>
  <c r="I1277" s="1"/>
  <c r="I1365" s="1"/>
  <c r="I1453" s="1"/>
  <c r="I1541" s="1"/>
  <c r="I1629" s="1"/>
  <c r="I1717" s="1"/>
  <c r="I750"/>
  <c r="I838" s="1"/>
  <c r="I926" s="1"/>
  <c r="I1014" s="1"/>
  <c r="I1102" s="1"/>
  <c r="I1190" s="1"/>
  <c r="I1278" s="1"/>
  <c r="I1366" s="1"/>
  <c r="I1454" s="1"/>
  <c r="I1542" s="1"/>
  <c r="I1630" s="1"/>
  <c r="I1718" s="1"/>
  <c r="I751"/>
  <c r="I839" s="1"/>
  <c r="I927" s="1"/>
  <c r="I1015" s="1"/>
  <c r="I1103" s="1"/>
  <c r="I1191" s="1"/>
  <c r="I1279" s="1"/>
  <c r="I1367" s="1"/>
  <c r="I1455" s="1"/>
  <c r="I1543" s="1"/>
  <c r="I1631" s="1"/>
  <c r="I1719" s="1"/>
  <c r="I752"/>
  <c r="I840" s="1"/>
  <c r="I928" s="1"/>
  <c r="I1016" s="1"/>
  <c r="I1104" s="1"/>
  <c r="I1192" s="1"/>
  <c r="I1280" s="1"/>
  <c r="I1368" s="1"/>
  <c r="I1456" s="1"/>
  <c r="I1544" s="1"/>
  <c r="I1632" s="1"/>
  <c r="I1720" s="1"/>
  <c r="I753"/>
  <c r="I841" s="1"/>
  <c r="I929" s="1"/>
  <c r="I1017" s="1"/>
  <c r="I1105" s="1"/>
  <c r="I1193" s="1"/>
  <c r="I1281" s="1"/>
  <c r="I1369" s="1"/>
  <c r="I1457" s="1"/>
  <c r="I1545" s="1"/>
  <c r="I1633" s="1"/>
  <c r="I1721" s="1"/>
  <c r="I754"/>
  <c r="I842" s="1"/>
  <c r="I930" s="1"/>
  <c r="I1018" s="1"/>
  <c r="I1106" s="1"/>
  <c r="I1194" s="1"/>
  <c r="I1282" s="1"/>
  <c r="I1370" s="1"/>
  <c r="I1458" s="1"/>
  <c r="I1546" s="1"/>
  <c r="I1634" s="1"/>
  <c r="I1722" s="1"/>
  <c r="I755"/>
  <c r="I843" s="1"/>
  <c r="I931" s="1"/>
  <c r="I1019" s="1"/>
  <c r="I1107" s="1"/>
  <c r="I1195" s="1"/>
  <c r="I1283" s="1"/>
  <c r="I1371" s="1"/>
  <c r="I1459" s="1"/>
  <c r="I1547" s="1"/>
  <c r="I1635" s="1"/>
  <c r="I1723" s="1"/>
  <c r="I756"/>
  <c r="I844" s="1"/>
  <c r="I932" s="1"/>
  <c r="I1020" s="1"/>
  <c r="I1108" s="1"/>
  <c r="I1196" s="1"/>
  <c r="I1284" s="1"/>
  <c r="I1372" s="1"/>
  <c r="I1460" s="1"/>
  <c r="I1548" s="1"/>
  <c r="I1636" s="1"/>
  <c r="I1724" s="1"/>
  <c r="I757"/>
  <c r="I845" s="1"/>
  <c r="I933" s="1"/>
  <c r="I1021" s="1"/>
  <c r="I1109" s="1"/>
  <c r="I1197" s="1"/>
  <c r="I1285" s="1"/>
  <c r="I1373" s="1"/>
  <c r="I1461" s="1"/>
  <c r="I1549" s="1"/>
  <c r="I1637" s="1"/>
  <c r="I1725" s="1"/>
  <c r="I758"/>
  <c r="I846" s="1"/>
  <c r="I934" s="1"/>
  <c r="I1022" s="1"/>
  <c r="I1110" s="1"/>
  <c r="I1198" s="1"/>
  <c r="I1286" s="1"/>
  <c r="I1374" s="1"/>
  <c r="I1462" s="1"/>
  <c r="I1550" s="1"/>
  <c r="I1638" s="1"/>
  <c r="I1726" s="1"/>
  <c r="I759"/>
  <c r="I847" s="1"/>
  <c r="I935" s="1"/>
  <c r="I1023" s="1"/>
  <c r="I1111" s="1"/>
  <c r="I1199" s="1"/>
  <c r="I1287" s="1"/>
  <c r="I1375" s="1"/>
  <c r="I1463" s="1"/>
  <c r="I1551" s="1"/>
  <c r="I1639" s="1"/>
  <c r="I1727" s="1"/>
  <c r="I760"/>
  <c r="I848" s="1"/>
  <c r="I936" s="1"/>
  <c r="I1024" s="1"/>
  <c r="I1112" s="1"/>
  <c r="I1200" s="1"/>
  <c r="I1288" s="1"/>
  <c r="I1376" s="1"/>
  <c r="I1464" s="1"/>
  <c r="I1552" s="1"/>
  <c r="I1640" s="1"/>
  <c r="I1728" s="1"/>
  <c r="I761"/>
  <c r="I849" s="1"/>
  <c r="I937" s="1"/>
  <c r="I1025" s="1"/>
  <c r="I1113" s="1"/>
  <c r="I1201" s="1"/>
  <c r="I1289" s="1"/>
  <c r="I1377" s="1"/>
  <c r="I1465" s="1"/>
  <c r="I1553" s="1"/>
  <c r="I1641" s="1"/>
  <c r="I1729" s="1"/>
  <c r="I762"/>
  <c r="I850" s="1"/>
  <c r="I938" s="1"/>
  <c r="I1026" s="1"/>
  <c r="I1114" s="1"/>
  <c r="I1202" s="1"/>
  <c r="I1290" s="1"/>
  <c r="I1378" s="1"/>
  <c r="I1466" s="1"/>
  <c r="I1554" s="1"/>
  <c r="I1642" s="1"/>
  <c r="I1730" s="1"/>
  <c r="I763"/>
  <c r="I851" s="1"/>
  <c r="I939" s="1"/>
  <c r="I1027" s="1"/>
  <c r="I1115" s="1"/>
  <c r="I1203" s="1"/>
  <c r="I1291" s="1"/>
  <c r="I1379" s="1"/>
  <c r="I1467" s="1"/>
  <c r="I1555" s="1"/>
  <c r="I1643" s="1"/>
  <c r="I1731" s="1"/>
  <c r="I764"/>
  <c r="I852" s="1"/>
  <c r="I940" s="1"/>
  <c r="I1028" s="1"/>
  <c r="I1116" s="1"/>
  <c r="I1204" s="1"/>
  <c r="I1292" s="1"/>
  <c r="I1380" s="1"/>
  <c r="I1468" s="1"/>
  <c r="I1556" s="1"/>
  <c r="I1644" s="1"/>
  <c r="I1732" s="1"/>
  <c r="I765"/>
  <c r="I853" s="1"/>
  <c r="I941" s="1"/>
  <c r="I1029" s="1"/>
  <c r="I1117" s="1"/>
  <c r="I1205" s="1"/>
  <c r="I1293" s="1"/>
  <c r="I1381" s="1"/>
  <c r="I1469" s="1"/>
  <c r="I1557" s="1"/>
  <c r="I1645" s="1"/>
  <c r="I1733" s="1"/>
  <c r="I766"/>
  <c r="I854" s="1"/>
  <c r="I942" s="1"/>
  <c r="I1030" s="1"/>
  <c r="I1118" s="1"/>
  <c r="I1206" s="1"/>
  <c r="I1294" s="1"/>
  <c r="I1382" s="1"/>
  <c r="I1470" s="1"/>
  <c r="I1558" s="1"/>
  <c r="I1646" s="1"/>
  <c r="I1734" s="1"/>
  <c r="I767"/>
  <c r="I855" s="1"/>
  <c r="I943" s="1"/>
  <c r="I1031" s="1"/>
  <c r="I1119" s="1"/>
  <c r="I1207" s="1"/>
  <c r="I1295" s="1"/>
  <c r="I1383" s="1"/>
  <c r="I1471" s="1"/>
  <c r="I1559" s="1"/>
  <c r="I1647" s="1"/>
  <c r="I1735" s="1"/>
  <c r="I768"/>
  <c r="I856" s="1"/>
  <c r="I944" s="1"/>
  <c r="I1032" s="1"/>
  <c r="I1120" s="1"/>
  <c r="I1208" s="1"/>
  <c r="I1296" s="1"/>
  <c r="I1384" s="1"/>
  <c r="I1472" s="1"/>
  <c r="I1560" s="1"/>
  <c r="I1648" s="1"/>
  <c r="I1736" s="1"/>
  <c r="I769"/>
  <c r="I857" s="1"/>
  <c r="I945" s="1"/>
  <c r="I1033" s="1"/>
  <c r="I1121" s="1"/>
  <c r="I1209" s="1"/>
  <c r="I1297" s="1"/>
  <c r="I1385" s="1"/>
  <c r="I1473" s="1"/>
  <c r="I1561" s="1"/>
  <c r="I1649" s="1"/>
  <c r="I1737" s="1"/>
  <c r="I770"/>
  <c r="I858" s="1"/>
  <c r="I946" s="1"/>
  <c r="I1034" s="1"/>
  <c r="I1122" s="1"/>
  <c r="I1210" s="1"/>
  <c r="I1298" s="1"/>
  <c r="I1386" s="1"/>
  <c r="I1474" s="1"/>
  <c r="I1562" s="1"/>
  <c r="I1650" s="1"/>
  <c r="I1738" s="1"/>
  <c r="I771"/>
  <c r="I859" s="1"/>
  <c r="I947" s="1"/>
  <c r="I1035" s="1"/>
  <c r="I1123" s="1"/>
  <c r="I1211" s="1"/>
  <c r="I1299" s="1"/>
  <c r="I1387" s="1"/>
  <c r="I1475" s="1"/>
  <c r="I1563" s="1"/>
  <c r="I1651" s="1"/>
  <c r="I1739" s="1"/>
  <c r="I772"/>
  <c r="I860" s="1"/>
  <c r="I948" s="1"/>
  <c r="I1036" s="1"/>
  <c r="I1124" s="1"/>
  <c r="I1212" s="1"/>
  <c r="I1300" s="1"/>
  <c r="I1388" s="1"/>
  <c r="I1476" s="1"/>
  <c r="I1564" s="1"/>
  <c r="I1652" s="1"/>
  <c r="I1740" s="1"/>
  <c r="I773"/>
  <c r="I861" s="1"/>
  <c r="I949" s="1"/>
  <c r="I1037" s="1"/>
  <c r="I1125" s="1"/>
  <c r="I1213" s="1"/>
  <c r="I1301" s="1"/>
  <c r="I1389" s="1"/>
  <c r="I1477" s="1"/>
  <c r="I1565" s="1"/>
  <c r="I1653" s="1"/>
  <c r="I1741" s="1"/>
  <c r="I774"/>
  <c r="I862" s="1"/>
  <c r="I950" s="1"/>
  <c r="I1038" s="1"/>
  <c r="I1126" s="1"/>
  <c r="I1214" s="1"/>
  <c r="I1302" s="1"/>
  <c r="I1390" s="1"/>
  <c r="I1478" s="1"/>
  <c r="I1566" s="1"/>
  <c r="I1654" s="1"/>
  <c r="I1742" s="1"/>
  <c r="I775"/>
  <c r="I863" s="1"/>
  <c r="I951" s="1"/>
  <c r="I1039" s="1"/>
  <c r="I1127" s="1"/>
  <c r="I1215" s="1"/>
  <c r="I1303" s="1"/>
  <c r="I1391" s="1"/>
  <c r="I1479" s="1"/>
  <c r="I1567" s="1"/>
  <c r="I1655" s="1"/>
  <c r="I1743" s="1"/>
  <c r="I776"/>
  <c r="I864" s="1"/>
  <c r="I952" s="1"/>
  <c r="I1040" s="1"/>
  <c r="I1128" s="1"/>
  <c r="I1216" s="1"/>
  <c r="I1304" s="1"/>
  <c r="I1392" s="1"/>
  <c r="I1480" s="1"/>
  <c r="I1568" s="1"/>
  <c r="I1656" s="1"/>
  <c r="I1744" s="1"/>
  <c r="I777"/>
  <c r="I865" s="1"/>
  <c r="I953" s="1"/>
  <c r="I1041" s="1"/>
  <c r="I1129" s="1"/>
  <c r="I1217" s="1"/>
  <c r="I1305" s="1"/>
  <c r="I1393" s="1"/>
  <c r="I1481" s="1"/>
  <c r="I1569" s="1"/>
  <c r="I1657" s="1"/>
  <c r="I1745" s="1"/>
  <c r="I1306"/>
  <c r="I1394" s="1"/>
  <c r="I1482" s="1"/>
  <c r="I1570" s="1"/>
  <c r="I1658" s="1"/>
  <c r="I1746" s="1"/>
  <c r="I1307"/>
  <c r="I1395" s="1"/>
  <c r="I1483" s="1"/>
  <c r="I1571" s="1"/>
  <c r="I1659" s="1"/>
  <c r="I1747" s="1"/>
  <c r="I1308"/>
  <c r="I1396" s="1"/>
  <c r="I1484" s="1"/>
  <c r="I1572" s="1"/>
  <c r="I1660" s="1"/>
  <c r="I1748" s="1"/>
  <c r="I1309"/>
  <c r="I1397" s="1"/>
  <c r="I1485" s="1"/>
  <c r="I1573" s="1"/>
  <c r="I1661" s="1"/>
  <c r="I1749" s="1"/>
  <c r="I1310"/>
  <c r="I1398" s="1"/>
  <c r="I1486" s="1"/>
  <c r="I1574" s="1"/>
  <c r="I1662" s="1"/>
  <c r="I1750" s="1"/>
  <c r="I1311"/>
  <c r="I1399" s="1"/>
  <c r="I1487" s="1"/>
  <c r="I1575" s="1"/>
  <c r="I1663" s="1"/>
  <c r="I1751" s="1"/>
  <c r="I1312"/>
  <c r="I1400" s="1"/>
  <c r="I1488" s="1"/>
  <c r="I1576" s="1"/>
  <c r="I1664" s="1"/>
  <c r="I1752" s="1"/>
  <c r="I1313"/>
  <c r="I1401" s="1"/>
  <c r="I1489" s="1"/>
  <c r="I1577" s="1"/>
  <c r="I1665" s="1"/>
  <c r="I1753" s="1"/>
  <c r="I1314"/>
  <c r="I1402" s="1"/>
  <c r="I1490" s="1"/>
  <c r="I1578" s="1"/>
  <c r="I1666" s="1"/>
  <c r="I1754" s="1"/>
  <c r="I1315"/>
  <c r="I1403" s="1"/>
  <c r="I1491" s="1"/>
  <c r="I1579" s="1"/>
  <c r="I1667" s="1"/>
  <c r="I1755" s="1"/>
  <c r="I1316"/>
  <c r="I1404" s="1"/>
  <c r="I1492" s="1"/>
  <c r="I1580" s="1"/>
  <c r="I1668" s="1"/>
  <c r="I1756" s="1"/>
  <c r="I1317"/>
  <c r="I1405" s="1"/>
  <c r="I1493" s="1"/>
  <c r="I1581" s="1"/>
  <c r="I1669" s="1"/>
  <c r="I1757" s="1"/>
  <c r="I1318"/>
  <c r="I1406" s="1"/>
  <c r="I1494" s="1"/>
  <c r="I1582" s="1"/>
  <c r="I1670" s="1"/>
  <c r="I1758" s="1"/>
  <c r="I1319"/>
  <c r="I1407" s="1"/>
  <c r="I1495" s="1"/>
  <c r="I1583" s="1"/>
  <c r="I1671" s="1"/>
  <c r="I1759" s="1"/>
  <c r="I1320"/>
  <c r="I1408" s="1"/>
  <c r="I1496" s="1"/>
  <c r="I1584" s="1"/>
  <c r="I1672" s="1"/>
  <c r="I1760" s="1"/>
  <c r="I1321"/>
  <c r="I1409" s="1"/>
  <c r="I1497" s="1"/>
  <c r="I1585" s="1"/>
  <c r="I1673" s="1"/>
  <c r="I1761" s="1"/>
  <c r="I1322"/>
  <c r="I1410" s="1"/>
  <c r="I1498" s="1"/>
  <c r="I1586" s="1"/>
  <c r="I1674" s="1"/>
  <c r="I1762" s="1"/>
  <c r="I1323"/>
  <c r="I1411" s="1"/>
  <c r="I1499" s="1"/>
  <c r="I1587" s="1"/>
  <c r="I1675" s="1"/>
  <c r="I1763" s="1"/>
  <c r="I1324"/>
  <c r="I1412" s="1"/>
  <c r="I1500" s="1"/>
  <c r="I1588" s="1"/>
  <c r="I1676" s="1"/>
  <c r="I1764" s="1"/>
  <c r="I1325"/>
  <c r="I1413" s="1"/>
  <c r="I1501" s="1"/>
  <c r="I1589" s="1"/>
  <c r="I1677" s="1"/>
  <c r="I1765" s="1"/>
  <c r="I1326"/>
  <c r="I1414" s="1"/>
  <c r="I1502" s="1"/>
  <c r="I1590" s="1"/>
  <c r="I1678" s="1"/>
  <c r="I1766" s="1"/>
  <c r="I1327"/>
  <c r="I1415" s="1"/>
  <c r="I1503" s="1"/>
  <c r="I1591" s="1"/>
  <c r="I1679" s="1"/>
  <c r="I1767" s="1"/>
  <c r="I1328"/>
  <c r="I1416" s="1"/>
  <c r="I1504" s="1"/>
  <c r="I1592" s="1"/>
  <c r="I1680" s="1"/>
  <c r="I1768" s="1"/>
  <c r="I1329"/>
  <c r="I1417" s="1"/>
  <c r="I1505" s="1"/>
  <c r="I1593" s="1"/>
  <c r="I1681" s="1"/>
  <c r="I1769" s="1"/>
  <c r="I1330"/>
  <c r="I1418" s="1"/>
  <c r="I1506" s="1"/>
  <c r="I1594" s="1"/>
  <c r="I1682" s="1"/>
  <c r="I1770" s="1"/>
  <c r="I1331"/>
  <c r="I1419" s="1"/>
  <c r="I1507" s="1"/>
  <c r="I1595" s="1"/>
  <c r="I1683" s="1"/>
  <c r="I1771" s="1"/>
  <c r="I1332"/>
  <c r="I1420" s="1"/>
  <c r="I1508" s="1"/>
  <c r="I1596" s="1"/>
  <c r="I1684" s="1"/>
  <c r="I1772" s="1"/>
  <c r="I1333"/>
  <c r="I1421" s="1"/>
  <c r="I1509" s="1"/>
  <c r="I1597" s="1"/>
  <c r="I1685" s="1"/>
  <c r="I1773" s="1"/>
  <c r="I1334"/>
  <c r="I1422" s="1"/>
  <c r="I1510" s="1"/>
  <c r="I1598" s="1"/>
  <c r="I1686" s="1"/>
  <c r="I1774" s="1"/>
  <c r="I1335"/>
  <c r="I1423" s="1"/>
  <c r="I1511" s="1"/>
  <c r="I1599" s="1"/>
  <c r="I1687" s="1"/>
  <c r="I1775" s="1"/>
  <c r="I1336"/>
  <c r="I1424" s="1"/>
  <c r="I1512" s="1"/>
  <c r="I1600" s="1"/>
  <c r="I1688" s="1"/>
  <c r="I1776" s="1"/>
  <c r="I1337"/>
  <c r="I1425" s="1"/>
  <c r="I1513" s="1"/>
  <c r="I1601" s="1"/>
  <c r="I1689" s="1"/>
  <c r="I1777" s="1"/>
  <c r="I1338"/>
  <c r="I1426" s="1"/>
  <c r="I1514" s="1"/>
  <c r="I1602" s="1"/>
  <c r="I1690" s="1"/>
  <c r="I1778" s="1"/>
  <c r="I1339"/>
  <c r="I1427" s="1"/>
  <c r="I1515" s="1"/>
  <c r="I1603" s="1"/>
  <c r="I1691" s="1"/>
  <c r="I1779" s="1"/>
  <c r="I1340"/>
  <c r="I1428" s="1"/>
  <c r="I1516" s="1"/>
  <c r="I1604" s="1"/>
  <c r="I1692" s="1"/>
  <c r="I1780" s="1"/>
  <c r="I1341"/>
  <c r="I1429" s="1"/>
  <c r="I1517" s="1"/>
  <c r="I1605" s="1"/>
  <c r="I1693" s="1"/>
  <c r="I1781" s="1"/>
  <c r="I1342"/>
  <c r="I1430" s="1"/>
  <c r="I1518" s="1"/>
  <c r="I1606" s="1"/>
  <c r="I1694" s="1"/>
  <c r="I1782" s="1"/>
  <c r="I1343"/>
  <c r="I1431" s="1"/>
  <c r="I1519" s="1"/>
  <c r="I1607" s="1"/>
  <c r="I1695" s="1"/>
  <c r="I1783" s="1"/>
  <c r="I1344"/>
  <c r="I1432" s="1"/>
  <c r="I1520" s="1"/>
  <c r="I1608" s="1"/>
  <c r="I1696" s="1"/>
  <c r="I1784" s="1"/>
  <c r="I1345"/>
  <c r="I1433" s="1"/>
  <c r="I1521" s="1"/>
  <c r="I1609" s="1"/>
  <c r="I1697" s="1"/>
  <c r="I1785" s="1"/>
  <c r="I1346"/>
  <c r="I1434" s="1"/>
  <c r="I1522" s="1"/>
  <c r="I1610" s="1"/>
  <c r="I1698" s="1"/>
  <c r="I1786" s="1"/>
  <c r="I1347"/>
  <c r="I1435" s="1"/>
  <c r="I1523" s="1"/>
  <c r="I1611" s="1"/>
  <c r="I1699" s="1"/>
  <c r="I1787" s="1"/>
  <c r="I1348"/>
  <c r="I1436" s="1"/>
  <c r="I1524" s="1"/>
  <c r="I1612" s="1"/>
  <c r="I1700" s="1"/>
  <c r="I1788" s="1"/>
  <c r="I1349"/>
  <c r="I1437" s="1"/>
  <c r="I1525" s="1"/>
  <c r="I1613" s="1"/>
  <c r="I1701" s="1"/>
  <c r="I1789" s="1"/>
  <c r="I734"/>
  <c r="I822" s="1"/>
  <c r="I910" s="1"/>
  <c r="I998" s="1"/>
  <c r="I1086" s="1"/>
  <c r="I1174" s="1"/>
  <c r="I1262" s="1"/>
  <c r="I1350" s="1"/>
  <c r="I1438" s="1"/>
  <c r="I1526" s="1"/>
  <c r="I1614" s="1"/>
  <c r="I1702" s="1"/>
  <c r="N119"/>
  <c r="M119" s="1"/>
  <c r="N120"/>
  <c r="M120" s="1"/>
  <c r="N121"/>
  <c r="N209" s="1"/>
  <c r="M209" s="1"/>
  <c r="N122"/>
  <c r="N210" s="1"/>
  <c r="M210" s="1"/>
  <c r="N123"/>
  <c r="M123" s="1"/>
  <c r="N124"/>
  <c r="M124" s="1"/>
  <c r="N125"/>
  <c r="M125" s="1"/>
  <c r="N126"/>
  <c r="M126" s="1"/>
  <c r="N127"/>
  <c r="N215" s="1"/>
  <c r="N303" s="1"/>
  <c r="N391" s="1"/>
  <c r="N479" s="1"/>
  <c r="N567" s="1"/>
  <c r="N128"/>
  <c r="M128" s="1"/>
  <c r="N129"/>
  <c r="M129" s="1"/>
  <c r="N130"/>
  <c r="M130" s="1"/>
  <c r="N131"/>
  <c r="N219" s="1"/>
  <c r="N307" s="1"/>
  <c r="N395" s="1"/>
  <c r="N483" s="1"/>
  <c r="N571" s="1"/>
  <c r="N132"/>
  <c r="M132" s="1"/>
  <c r="N133"/>
  <c r="M133" s="1"/>
  <c r="N134"/>
  <c r="M134" s="1"/>
  <c r="N135"/>
  <c r="N223" s="1"/>
  <c r="N311" s="1"/>
  <c r="N399" s="1"/>
  <c r="N487" s="1"/>
  <c r="N575" s="1"/>
  <c r="N136"/>
  <c r="M136" s="1"/>
  <c r="N137"/>
  <c r="M137" s="1"/>
  <c r="N138"/>
  <c r="M138" s="1"/>
  <c r="N139"/>
  <c r="M139" s="1"/>
  <c r="N161"/>
  <c r="N249" s="1"/>
  <c r="N337" s="1"/>
  <c r="M337" s="1"/>
  <c r="N162"/>
  <c r="M162" s="1"/>
  <c r="N163"/>
  <c r="M163" s="1"/>
  <c r="N164"/>
  <c r="M164" s="1"/>
  <c r="N165"/>
  <c r="N253" s="1"/>
  <c r="M253" s="1"/>
  <c r="N166"/>
  <c r="N254" s="1"/>
  <c r="M254" s="1"/>
  <c r="N167"/>
  <c r="M167" s="1"/>
  <c r="N168"/>
  <c r="M168" s="1"/>
  <c r="N169"/>
  <c r="M169" s="1"/>
  <c r="N170"/>
  <c r="M170" s="1"/>
  <c r="N171"/>
  <c r="N259" s="1"/>
  <c r="N347" s="1"/>
  <c r="N435" s="1"/>
  <c r="N523" s="1"/>
  <c r="N611" s="1"/>
  <c r="N172"/>
  <c r="M172" s="1"/>
  <c r="N173"/>
  <c r="M173" s="1"/>
  <c r="N174"/>
  <c r="M174" s="1"/>
  <c r="N175"/>
  <c r="N263" s="1"/>
  <c r="N351" s="1"/>
  <c r="N439" s="1"/>
  <c r="N527" s="1"/>
  <c r="N615" s="1"/>
  <c r="N176"/>
  <c r="M176" s="1"/>
  <c r="N177"/>
  <c r="M177" s="1"/>
  <c r="N178"/>
  <c r="M178" s="1"/>
  <c r="N179"/>
  <c r="N267" s="1"/>
  <c r="N355" s="1"/>
  <c r="N443" s="1"/>
  <c r="N531" s="1"/>
  <c r="N619" s="1"/>
  <c r="N180"/>
  <c r="M180" s="1"/>
  <c r="N181"/>
  <c r="M181" s="1"/>
  <c r="N182"/>
  <c r="M182" s="1"/>
  <c r="N183"/>
  <c r="M183" s="1"/>
  <c r="N118"/>
  <c r="M118" s="1"/>
  <c r="N117"/>
  <c r="M117" s="1"/>
  <c r="N116"/>
  <c r="M116" s="1"/>
  <c r="N115"/>
  <c r="M115" s="1"/>
  <c r="N114"/>
  <c r="M114" s="1"/>
  <c r="N113"/>
  <c r="N201" s="1"/>
  <c r="N289" s="1"/>
  <c r="N377" s="1"/>
  <c r="N465" s="1"/>
  <c r="N553" s="1"/>
  <c r="N112"/>
  <c r="M112" s="1"/>
  <c r="N111"/>
  <c r="M111" s="1"/>
  <c r="N110"/>
  <c r="M110" s="1"/>
  <c r="N109"/>
  <c r="N197" s="1"/>
  <c r="N285" s="1"/>
  <c r="N373" s="1"/>
  <c r="N461" s="1"/>
  <c r="N549" s="1"/>
  <c r="N108"/>
  <c r="M108" s="1"/>
  <c r="N107"/>
  <c r="M107" s="1"/>
  <c r="N106"/>
  <c r="M106" s="1"/>
  <c r="N105"/>
  <c r="N193" s="1"/>
  <c r="N281" s="1"/>
  <c r="N369" s="1"/>
  <c r="N457" s="1"/>
  <c r="N545" s="1"/>
  <c r="N104"/>
  <c r="M104" s="1"/>
  <c r="N103"/>
  <c r="M103" s="1"/>
  <c r="N102"/>
  <c r="M102" s="1"/>
  <c r="N101"/>
  <c r="M101" s="1"/>
  <c r="N100"/>
  <c r="N188" s="1"/>
  <c r="M188" s="1"/>
  <c r="N99"/>
  <c r="N187" s="1"/>
  <c r="M187" s="1"/>
  <c r="N98"/>
  <c r="M98" s="1"/>
  <c r="N97"/>
  <c r="M97" s="1"/>
  <c r="N96"/>
  <c r="M96" s="1"/>
  <c r="N72"/>
  <c r="M72" s="1"/>
  <c r="N71"/>
  <c r="M71" s="1"/>
  <c r="N70"/>
  <c r="M70" s="1"/>
  <c r="N69"/>
  <c r="N157" s="1"/>
  <c r="N245" s="1"/>
  <c r="N333" s="1"/>
  <c r="N421" s="1"/>
  <c r="N509" s="1"/>
  <c r="N68"/>
  <c r="M68" s="1"/>
  <c r="N67"/>
  <c r="M67" s="1"/>
  <c r="N66"/>
  <c r="M66" s="1"/>
  <c r="N65"/>
  <c r="N153" s="1"/>
  <c r="N241" s="1"/>
  <c r="N329" s="1"/>
  <c r="N417" s="1"/>
  <c r="N505" s="1"/>
  <c r="N64"/>
  <c r="M64" s="1"/>
  <c r="N63"/>
  <c r="M63" s="1"/>
  <c r="N62"/>
  <c r="M62" s="1"/>
  <c r="N61"/>
  <c r="N149" s="1"/>
  <c r="N237" s="1"/>
  <c r="N325" s="1"/>
  <c r="N413" s="1"/>
  <c r="N501" s="1"/>
  <c r="N60"/>
  <c r="M60" s="1"/>
  <c r="N59"/>
  <c r="M59" s="1"/>
  <c r="N58"/>
  <c r="M58" s="1"/>
  <c r="N57"/>
  <c r="M57" s="1"/>
  <c r="N56"/>
  <c r="N144" s="1"/>
  <c r="M144" s="1"/>
  <c r="N55"/>
  <c r="N143" s="1"/>
  <c r="M143" s="1"/>
  <c r="N54"/>
  <c r="M54" s="1"/>
  <c r="N53"/>
  <c r="M53" s="1"/>
  <c r="N52"/>
  <c r="M52" s="1"/>
  <c r="J13"/>
  <c r="J19" s="1"/>
  <c r="J25" s="1"/>
  <c r="J14"/>
  <c r="J20" s="1"/>
  <c r="J26" s="1"/>
  <c r="J15"/>
  <c r="J21" s="1"/>
  <c r="J27" s="1"/>
  <c r="J16"/>
  <c r="J22" s="1"/>
  <c r="J28" s="1"/>
  <c r="J17"/>
  <c r="J23" s="1"/>
  <c r="J29" s="1"/>
  <c r="J24"/>
  <c r="B11" i="1"/>
  <c r="B15" s="1"/>
  <c r="B19" s="1"/>
  <c r="B23" s="1"/>
  <c r="B27" s="1"/>
  <c r="B31" s="1"/>
  <c r="B35" s="1"/>
  <c r="B39" s="1"/>
  <c r="B43" s="1"/>
  <c r="B47" s="1"/>
  <c r="B51" s="1"/>
  <c r="B55" s="1"/>
  <c r="B59" s="1"/>
  <c r="B12"/>
  <c r="B16" s="1"/>
  <c r="B20" s="1"/>
  <c r="B24" s="1"/>
  <c r="B28" s="1"/>
  <c r="B32" s="1"/>
  <c r="B36" s="1"/>
  <c r="B40" s="1"/>
  <c r="B44" s="1"/>
  <c r="B48" s="1"/>
  <c r="B52" s="1"/>
  <c r="B56" s="1"/>
  <c r="B60" s="1"/>
  <c r="B13"/>
  <c r="B17" s="1"/>
  <c r="B21" s="1"/>
  <c r="B25" s="1"/>
  <c r="B29" s="1"/>
  <c r="B33" s="1"/>
  <c r="B37" s="1"/>
  <c r="B41" s="1"/>
  <c r="B45" s="1"/>
  <c r="B49" s="1"/>
  <c r="B53" s="1"/>
  <c r="B57" s="1"/>
  <c r="B61" s="1"/>
  <c r="B10"/>
  <c r="B14" s="1"/>
  <c r="B18" s="1"/>
  <c r="B22" s="1"/>
  <c r="B26" s="1"/>
  <c r="B30" s="1"/>
  <c r="B34" s="1"/>
  <c r="B38" s="1"/>
  <c r="B42" s="1"/>
  <c r="B46" s="1"/>
  <c r="B50" s="1"/>
  <c r="B54" s="1"/>
  <c r="B58" s="1"/>
  <c r="A11"/>
  <c r="A15" s="1"/>
  <c r="A19" s="1"/>
  <c r="A23" s="1"/>
  <c r="A27" s="1"/>
  <c r="A31" s="1"/>
  <c r="A35" s="1"/>
  <c r="A39" s="1"/>
  <c r="A43" s="1"/>
  <c r="A47" s="1"/>
  <c r="A51" s="1"/>
  <c r="A55" s="1"/>
  <c r="A59" s="1"/>
  <c r="A12"/>
  <c r="A16" s="1"/>
  <c r="A20" s="1"/>
  <c r="A24" s="1"/>
  <c r="A28" s="1"/>
  <c r="A32" s="1"/>
  <c r="A36" s="1"/>
  <c r="A40" s="1"/>
  <c r="A44" s="1"/>
  <c r="A48" s="1"/>
  <c r="A52" s="1"/>
  <c r="A56" s="1"/>
  <c r="A60" s="1"/>
  <c r="A13"/>
  <c r="A17"/>
  <c r="A21" s="1"/>
  <c r="A25" s="1"/>
  <c r="A29" s="1"/>
  <c r="A33" s="1"/>
  <c r="A37" s="1"/>
  <c r="A41" s="1"/>
  <c r="A45" s="1"/>
  <c r="A49" s="1"/>
  <c r="A53" s="1"/>
  <c r="A57" s="1"/>
  <c r="A61" s="1"/>
  <c r="A10"/>
  <c r="A14" s="1"/>
  <c r="A18" s="1"/>
  <c r="A22" s="1"/>
  <c r="A26" s="1"/>
  <c r="A30" s="1"/>
  <c r="A34" s="1"/>
  <c r="A38" s="1"/>
  <c r="A42" s="1"/>
  <c r="A46" s="1"/>
  <c r="A50" s="1"/>
  <c r="A54" s="1"/>
  <c r="A58" s="1"/>
  <c r="M1522" i="2" l="1"/>
  <c r="G1522"/>
  <c r="M1585"/>
  <c r="G1585"/>
  <c r="D1644"/>
  <c r="D1600"/>
  <c r="M1600" s="1"/>
  <c r="M1556"/>
  <c r="G1556"/>
  <c r="G1624"/>
  <c r="D1712"/>
  <c r="D1668"/>
  <c r="M1668" s="1"/>
  <c r="M1624"/>
  <c r="G1631"/>
  <c r="D1675"/>
  <c r="M1675" s="1"/>
  <c r="D1719"/>
  <c r="M1631"/>
  <c r="M1628"/>
  <c r="D1672"/>
  <c r="M1706"/>
  <c r="D1750"/>
  <c r="M1722"/>
  <c r="D1766"/>
  <c r="M1632"/>
  <c r="D1676"/>
  <c r="M1676" s="1"/>
  <c r="M1655"/>
  <c r="D1699"/>
  <c r="M1551"/>
  <c r="D1595"/>
  <c r="M1645"/>
  <c r="D1689"/>
  <c r="M1566"/>
  <c r="D1610"/>
  <c r="M1621"/>
  <c r="D1665"/>
  <c r="M1665" s="1"/>
  <c r="M1714"/>
  <c r="D1758"/>
  <c r="M1715"/>
  <c r="D1759"/>
  <c r="M1625"/>
  <c r="D1669"/>
  <c r="M1669" s="1"/>
  <c r="M1615"/>
  <c r="D1659"/>
  <c r="M1659" s="1"/>
  <c r="M1653"/>
  <c r="D1697"/>
  <c r="M1646"/>
  <c r="D1690"/>
  <c r="M1643"/>
  <c r="D1687"/>
  <c r="M1642"/>
  <c r="D1686"/>
  <c r="M1649"/>
  <c r="D1693"/>
  <c r="M1637"/>
  <c r="D1681"/>
  <c r="M1681" s="1"/>
  <c r="M1656"/>
  <c r="D1700"/>
  <c r="M1614"/>
  <c r="D1658"/>
  <c r="M1564"/>
  <c r="D1608"/>
  <c r="M1617"/>
  <c r="D1661"/>
  <c r="M1661" s="1"/>
  <c r="M1616"/>
  <c r="D1660"/>
  <c r="M1660" s="1"/>
  <c r="M1629"/>
  <c r="D1673"/>
  <c r="M1620"/>
  <c r="D1664"/>
  <c r="M1657"/>
  <c r="D1701"/>
  <c r="M1707"/>
  <c r="D1751"/>
  <c r="M1552"/>
  <c r="D1596"/>
  <c r="M1553"/>
  <c r="D1597"/>
  <c r="M1597" s="1"/>
  <c r="M1550"/>
  <c r="D1594"/>
  <c r="M1559"/>
  <c r="D1603"/>
  <c r="M1721"/>
  <c r="D1765"/>
  <c r="M1548"/>
  <c r="D1592"/>
  <c r="M1648"/>
  <c r="D1692"/>
  <c r="M1664"/>
  <c r="G1576"/>
  <c r="A2107"/>
  <c r="A2635" s="1"/>
  <c r="A1667"/>
  <c r="A2172"/>
  <c r="A2700" s="1"/>
  <c r="A1732"/>
  <c r="A2260" s="1"/>
  <c r="A2788" s="1"/>
  <c r="A2103"/>
  <c r="A2631" s="1"/>
  <c r="A1663"/>
  <c r="A2168"/>
  <c r="A2696" s="1"/>
  <c r="A1728"/>
  <c r="A2256" s="1"/>
  <c r="A2784" s="1"/>
  <c r="A2115"/>
  <c r="A2643" s="1"/>
  <c r="A1675"/>
  <c r="A2180"/>
  <c r="A2708" s="1"/>
  <c r="A1740"/>
  <c r="A2268" s="1"/>
  <c r="A2796" s="1"/>
  <c r="A2095"/>
  <c r="A2623" s="1"/>
  <c r="A1655"/>
  <c r="A2160"/>
  <c r="A2688" s="1"/>
  <c r="A1720"/>
  <c r="A2248" s="1"/>
  <c r="A2776" s="1"/>
  <c r="A2224"/>
  <c r="A2752" s="1"/>
  <c r="A1784"/>
  <c r="A2312" s="1"/>
  <c r="A2840" s="1"/>
  <c r="A2091"/>
  <c r="A2619" s="1"/>
  <c r="A1651"/>
  <c r="A2156"/>
  <c r="A2684" s="1"/>
  <c r="A1716"/>
  <c r="A2244" s="1"/>
  <c r="A2772" s="1"/>
  <c r="A2220"/>
  <c r="A2748" s="1"/>
  <c r="A1780"/>
  <c r="A2308" s="1"/>
  <c r="A2836" s="1"/>
  <c r="A2055"/>
  <c r="A2583" s="1"/>
  <c r="A1615"/>
  <c r="A2119"/>
  <c r="A2647" s="1"/>
  <c r="A1679"/>
  <c r="A2184"/>
  <c r="A2712" s="1"/>
  <c r="A1744"/>
  <c r="A2272" s="1"/>
  <c r="A2800" s="1"/>
  <c r="A2099"/>
  <c r="A2627" s="1"/>
  <c r="A1659"/>
  <c r="A2164"/>
  <c r="A2692" s="1"/>
  <c r="A1724"/>
  <c r="A2252" s="1"/>
  <c r="A2780" s="1"/>
  <c r="A2228"/>
  <c r="A2756" s="1"/>
  <c r="A1788"/>
  <c r="A2316" s="1"/>
  <c r="A2844" s="1"/>
  <c r="A2111"/>
  <c r="A2639" s="1"/>
  <c r="A1671"/>
  <c r="A2176"/>
  <c r="A2704" s="1"/>
  <c r="A1736"/>
  <c r="A2264" s="1"/>
  <c r="A2792" s="1"/>
  <c r="A2075"/>
  <c r="A2603" s="1"/>
  <c r="A1635"/>
  <c r="A2139"/>
  <c r="A2667" s="1"/>
  <c r="A1699"/>
  <c r="A2204"/>
  <c r="A2732" s="1"/>
  <c r="A1764"/>
  <c r="A2292" s="1"/>
  <c r="A2820" s="1"/>
  <c r="A2071"/>
  <c r="A2599" s="1"/>
  <c r="A1631"/>
  <c r="A2135"/>
  <c r="A2663" s="1"/>
  <c r="A1695"/>
  <c r="A2200"/>
  <c r="A2728" s="1"/>
  <c r="A1760"/>
  <c r="A2288" s="1"/>
  <c r="A2816" s="1"/>
  <c r="A2083"/>
  <c r="A2611" s="1"/>
  <c r="A1643"/>
  <c r="A2148"/>
  <c r="A2676" s="1"/>
  <c r="A1708"/>
  <c r="A2236" s="1"/>
  <c r="A2764" s="1"/>
  <c r="A2212"/>
  <c r="A2740" s="1"/>
  <c r="A1772"/>
  <c r="A2300" s="1"/>
  <c r="A2828" s="1"/>
  <c r="A2063"/>
  <c r="A2591" s="1"/>
  <c r="A1623"/>
  <c r="A2127"/>
  <c r="A2655" s="1"/>
  <c r="A1687"/>
  <c r="A2192"/>
  <c r="A2720" s="1"/>
  <c r="A1752"/>
  <c r="A2280" s="1"/>
  <c r="A2808" s="1"/>
  <c r="A2059"/>
  <c r="A2587" s="1"/>
  <c r="A1619"/>
  <c r="A2123"/>
  <c r="A2651" s="1"/>
  <c r="A1683"/>
  <c r="A2188"/>
  <c r="A2716" s="1"/>
  <c r="A1748"/>
  <c r="A2276" s="1"/>
  <c r="A2804" s="1"/>
  <c r="A2087"/>
  <c r="A2615" s="1"/>
  <c r="A1647"/>
  <c r="A2152"/>
  <c r="A2680" s="1"/>
  <c r="A1712"/>
  <c r="A2240" s="1"/>
  <c r="A2768" s="1"/>
  <c r="A2216"/>
  <c r="A2744" s="1"/>
  <c r="A1776"/>
  <c r="A2304" s="1"/>
  <c r="A2832" s="1"/>
  <c r="A2067"/>
  <c r="A2595" s="1"/>
  <c r="A1627"/>
  <c r="A2131"/>
  <c r="A2659" s="1"/>
  <c r="A1691"/>
  <c r="A2196"/>
  <c r="A2724" s="1"/>
  <c r="A1756"/>
  <c r="A2284" s="1"/>
  <c r="A2812" s="1"/>
  <c r="A2079"/>
  <c r="A2607" s="1"/>
  <c r="A1639"/>
  <c r="A2144"/>
  <c r="A2672" s="1"/>
  <c r="A1704"/>
  <c r="A2232" s="1"/>
  <c r="A2760" s="1"/>
  <c r="A2208"/>
  <c r="A2736" s="1"/>
  <c r="A1768"/>
  <c r="A2296" s="1"/>
  <c r="A2824" s="1"/>
  <c r="A2054"/>
  <c r="A2582" s="1"/>
  <c r="A1614"/>
  <c r="M1563"/>
  <c r="D1651"/>
  <c r="D1695" s="1"/>
  <c r="G1563"/>
  <c r="M1622"/>
  <c r="D1710"/>
  <c r="D1754" s="1"/>
  <c r="M1754" s="1"/>
  <c r="G1622"/>
  <c r="M1508"/>
  <c r="G1508"/>
  <c r="M1591"/>
  <c r="G1591"/>
  <c r="M1630"/>
  <c r="D1718"/>
  <c r="D1762" s="1"/>
  <c r="G1630"/>
  <c r="M1517"/>
  <c r="G1517"/>
  <c r="M1584"/>
  <c r="G1584"/>
  <c r="M1590"/>
  <c r="G1590"/>
  <c r="M1562"/>
  <c r="G1562"/>
  <c r="D1650"/>
  <c r="D1694" s="1"/>
  <c r="G1607"/>
  <c r="M1695"/>
  <c r="G1706"/>
  <c r="M1658"/>
  <c r="G1570"/>
  <c r="G1566"/>
  <c r="D1654"/>
  <c r="G1637"/>
  <c r="D1725"/>
  <c r="G1600"/>
  <c r="G1606"/>
  <c r="M1694"/>
  <c r="D1708"/>
  <c r="G1620"/>
  <c r="G1550"/>
  <c r="D1638"/>
  <c r="D1736"/>
  <c r="G1648"/>
  <c r="D1716"/>
  <c r="G1628"/>
  <c r="G1675"/>
  <c r="G1722"/>
  <c r="G1669"/>
  <c r="G1551"/>
  <c r="D1639"/>
  <c r="G1621"/>
  <c r="D1709"/>
  <c r="G1681"/>
  <c r="G1589"/>
  <c r="M1677"/>
  <c r="G1504"/>
  <c r="M1592"/>
  <c r="G1615"/>
  <c r="D1703"/>
  <c r="G1646"/>
  <c r="D1734"/>
  <c r="D1744"/>
  <c r="G1656"/>
  <c r="G1523"/>
  <c r="M1611"/>
  <c r="G1507"/>
  <c r="M1595"/>
  <c r="G1510"/>
  <c r="M1598"/>
  <c r="G1524"/>
  <c r="M1612"/>
  <c r="G1511"/>
  <c r="M1599"/>
  <c r="G1666"/>
  <c r="G1707"/>
  <c r="D1640"/>
  <c r="G1552"/>
  <c r="G1721"/>
  <c r="G1661"/>
  <c r="D1720"/>
  <c r="G1632"/>
  <c r="G1668"/>
  <c r="G1714"/>
  <c r="G1653"/>
  <c r="D1741"/>
  <c r="G1643"/>
  <c r="D1731"/>
  <c r="D1737"/>
  <c r="G1649"/>
  <c r="G1597"/>
  <c r="G1665"/>
  <c r="D1705"/>
  <c r="G1617"/>
  <c r="G1676"/>
  <c r="G1629"/>
  <c r="D1717"/>
  <c r="D1745"/>
  <c r="G1657"/>
  <c r="G1670"/>
  <c r="M1758"/>
  <c r="D1641"/>
  <c r="G1553"/>
  <c r="G1579"/>
  <c r="M1667"/>
  <c r="G1559"/>
  <c r="D1647"/>
  <c r="M1594"/>
  <c r="G1506"/>
  <c r="D1636"/>
  <c r="G1548"/>
  <c r="G1516"/>
  <c r="M1604"/>
  <c r="M1751"/>
  <c r="G1663"/>
  <c r="G1660"/>
  <c r="G1655"/>
  <c r="D1743"/>
  <c r="D1733"/>
  <c r="G1645"/>
  <c r="M1689"/>
  <c r="G1601"/>
  <c r="G1715"/>
  <c r="D1713"/>
  <c r="G1625"/>
  <c r="G1515"/>
  <c r="M1603"/>
  <c r="M1690"/>
  <c r="G1602"/>
  <c r="G1642"/>
  <c r="D1730"/>
  <c r="G1659"/>
  <c r="G1614"/>
  <c r="D1702"/>
  <c r="M1609"/>
  <c r="G1521"/>
  <c r="D1652"/>
  <c r="G1564"/>
  <c r="D1704"/>
  <c r="G1616"/>
  <c r="G1574"/>
  <c r="M1662"/>
  <c r="G1583"/>
  <c r="M1671"/>
  <c r="G1674"/>
  <c r="M1762"/>
  <c r="G1525"/>
  <c r="M1613"/>
  <c r="G1520"/>
  <c r="M1608"/>
  <c r="N142"/>
  <c r="M142" s="1"/>
  <c r="N208"/>
  <c r="M208" s="1"/>
  <c r="N186"/>
  <c r="M186" s="1"/>
  <c r="N252"/>
  <c r="M252" s="1"/>
  <c r="N230"/>
  <c r="M230" s="1"/>
  <c r="N232"/>
  <c r="M232" s="1"/>
  <c r="N185"/>
  <c r="M185" s="1"/>
  <c r="N189"/>
  <c r="N277" s="1"/>
  <c r="M277" s="1"/>
  <c r="N195"/>
  <c r="M195" s="1"/>
  <c r="N203"/>
  <c r="N291" s="1"/>
  <c r="N379" s="1"/>
  <c r="M379" s="1"/>
  <c r="N271"/>
  <c r="N359" s="1"/>
  <c r="N447" s="1"/>
  <c r="M447" s="1"/>
  <c r="N269"/>
  <c r="N357" s="1"/>
  <c r="N445" s="1"/>
  <c r="M445" s="1"/>
  <c r="N261"/>
  <c r="M261" s="1"/>
  <c r="N257"/>
  <c r="M257" s="1"/>
  <c r="N341"/>
  <c r="M341" s="1"/>
  <c r="N227"/>
  <c r="N315" s="1"/>
  <c r="N403" s="1"/>
  <c r="M403" s="1"/>
  <c r="N225"/>
  <c r="N313" s="1"/>
  <c r="N401" s="1"/>
  <c r="M401" s="1"/>
  <c r="N217"/>
  <c r="M217" s="1"/>
  <c r="N213"/>
  <c r="M213" s="1"/>
  <c r="N141"/>
  <c r="M141" s="1"/>
  <c r="N231"/>
  <c r="M231" s="1"/>
  <c r="N145"/>
  <c r="N233" s="1"/>
  <c r="M233" s="1"/>
  <c r="N147"/>
  <c r="M147" s="1"/>
  <c r="N151"/>
  <c r="M151" s="1"/>
  <c r="N155"/>
  <c r="M155" s="1"/>
  <c r="N159"/>
  <c r="N247" s="1"/>
  <c r="N335" s="1"/>
  <c r="M335" s="1"/>
  <c r="N184"/>
  <c r="M184" s="1"/>
  <c r="N274"/>
  <c r="M274" s="1"/>
  <c r="N276"/>
  <c r="M276" s="1"/>
  <c r="N190"/>
  <c r="M190" s="1"/>
  <c r="N192"/>
  <c r="M192" s="1"/>
  <c r="N194"/>
  <c r="M194" s="1"/>
  <c r="N196"/>
  <c r="M196" s="1"/>
  <c r="N198"/>
  <c r="M198" s="1"/>
  <c r="N200"/>
  <c r="M200" s="1"/>
  <c r="N202"/>
  <c r="M202" s="1"/>
  <c r="N204"/>
  <c r="M204" s="1"/>
  <c r="N206"/>
  <c r="M206" s="1"/>
  <c r="N270"/>
  <c r="M270" s="1"/>
  <c r="N268"/>
  <c r="M268" s="1"/>
  <c r="N266"/>
  <c r="M266" s="1"/>
  <c r="N264"/>
  <c r="M264" s="1"/>
  <c r="N262"/>
  <c r="M262" s="1"/>
  <c r="N260"/>
  <c r="M260" s="1"/>
  <c r="N258"/>
  <c r="M258" s="1"/>
  <c r="N256"/>
  <c r="M256" s="1"/>
  <c r="N342"/>
  <c r="M342" s="1"/>
  <c r="N340"/>
  <c r="M340" s="1"/>
  <c r="N250"/>
  <c r="M250" s="1"/>
  <c r="N226"/>
  <c r="M226" s="1"/>
  <c r="N224"/>
  <c r="M224" s="1"/>
  <c r="N222"/>
  <c r="M222" s="1"/>
  <c r="N220"/>
  <c r="M220" s="1"/>
  <c r="N218"/>
  <c r="M218" s="1"/>
  <c r="N216"/>
  <c r="M216" s="1"/>
  <c r="N214"/>
  <c r="M214" s="1"/>
  <c r="N212"/>
  <c r="M212" s="1"/>
  <c r="N298"/>
  <c r="M298" s="1"/>
  <c r="N296"/>
  <c r="M296" s="1"/>
  <c r="N158"/>
  <c r="M158" s="1"/>
  <c r="N154"/>
  <c r="M154" s="1"/>
  <c r="N150"/>
  <c r="M150" s="1"/>
  <c r="N146"/>
  <c r="M146" s="1"/>
  <c r="N160"/>
  <c r="M160" s="1"/>
  <c r="N156"/>
  <c r="M156" s="1"/>
  <c r="N152"/>
  <c r="M152" s="1"/>
  <c r="N148"/>
  <c r="M148" s="1"/>
  <c r="N140"/>
  <c r="M140" s="1"/>
  <c r="N275"/>
  <c r="M275" s="1"/>
  <c r="N191"/>
  <c r="M191" s="1"/>
  <c r="N199"/>
  <c r="M199" s="1"/>
  <c r="N205"/>
  <c r="N293" s="1"/>
  <c r="N381" s="1"/>
  <c r="M381" s="1"/>
  <c r="N265"/>
  <c r="M265" s="1"/>
  <c r="N255"/>
  <c r="N343" s="1"/>
  <c r="M343" s="1"/>
  <c r="N251"/>
  <c r="M251" s="1"/>
  <c r="N221"/>
  <c r="M221" s="1"/>
  <c r="N211"/>
  <c r="N299" s="1"/>
  <c r="M299" s="1"/>
  <c r="N297"/>
  <c r="M297" s="1"/>
  <c r="N207"/>
  <c r="M207" s="1"/>
  <c r="N633"/>
  <c r="M633" s="1"/>
  <c r="N641"/>
  <c r="M641" s="1"/>
  <c r="N467"/>
  <c r="N555" s="1"/>
  <c r="M555" s="1"/>
  <c r="N535"/>
  <c r="N623" s="1"/>
  <c r="M623" s="1"/>
  <c r="N533"/>
  <c r="N621" s="1"/>
  <c r="M621" s="1"/>
  <c r="N707"/>
  <c r="M707" s="1"/>
  <c r="N703"/>
  <c r="M703" s="1"/>
  <c r="N699"/>
  <c r="M699" s="1"/>
  <c r="N431"/>
  <c r="M431" s="1"/>
  <c r="N429"/>
  <c r="M429" s="1"/>
  <c r="N425"/>
  <c r="N513" s="1"/>
  <c r="M513" s="1"/>
  <c r="N489"/>
  <c r="N577" s="1"/>
  <c r="M577" s="1"/>
  <c r="N663"/>
  <c r="M663" s="1"/>
  <c r="N659"/>
  <c r="M659" s="1"/>
  <c r="N655"/>
  <c r="M655" s="1"/>
  <c r="N637"/>
  <c r="M637" s="1"/>
  <c r="N589"/>
  <c r="M589" s="1"/>
  <c r="N593"/>
  <c r="M593" s="1"/>
  <c r="N597"/>
  <c r="M597" s="1"/>
  <c r="N423"/>
  <c r="N511" s="1"/>
  <c r="M511" s="1"/>
  <c r="N430"/>
  <c r="M430" s="1"/>
  <c r="N386"/>
  <c r="M386" s="1"/>
  <c r="N384"/>
  <c r="M384" s="1"/>
  <c r="M1644" l="1"/>
  <c r="D1732"/>
  <c r="G1644"/>
  <c r="D1688"/>
  <c r="M1688" s="1"/>
  <c r="M1673"/>
  <c r="G1673"/>
  <c r="G1712"/>
  <c r="M1712"/>
  <c r="D1756"/>
  <c r="M1756" s="1"/>
  <c r="G1719"/>
  <c r="M1719"/>
  <c r="D1763"/>
  <c r="M1763" s="1"/>
  <c r="M1610"/>
  <c r="G1610"/>
  <c r="N428"/>
  <c r="M428" s="1"/>
  <c r="N491"/>
  <c r="N579" s="1"/>
  <c r="M579" s="1"/>
  <c r="M1704"/>
  <c r="D1748"/>
  <c r="M1748" s="1"/>
  <c r="M1652"/>
  <c r="D1696"/>
  <c r="M1702"/>
  <c r="D1746"/>
  <c r="M1730"/>
  <c r="D1774"/>
  <c r="M1713"/>
  <c r="D1757"/>
  <c r="M1757" s="1"/>
  <c r="M1733"/>
  <c r="D1777"/>
  <c r="M1743"/>
  <c r="D1787"/>
  <c r="M1636"/>
  <c r="D1680"/>
  <c r="M1647"/>
  <c r="D1691"/>
  <c r="M1641"/>
  <c r="D1685"/>
  <c r="M1685" s="1"/>
  <c r="M1745"/>
  <c r="D1789"/>
  <c r="M1717"/>
  <c r="D1761"/>
  <c r="M1705"/>
  <c r="D1749"/>
  <c r="M1749" s="1"/>
  <c r="M1737"/>
  <c r="D1781"/>
  <c r="M1731"/>
  <c r="D1775"/>
  <c r="M1741"/>
  <c r="D1785"/>
  <c r="M1720"/>
  <c r="D1764"/>
  <c r="M1764" s="1"/>
  <c r="M1640"/>
  <c r="D1684"/>
  <c r="M1744"/>
  <c r="D1788"/>
  <c r="M1734"/>
  <c r="D1778"/>
  <c r="M1703"/>
  <c r="D1747"/>
  <c r="M1747" s="1"/>
  <c r="M1709"/>
  <c r="D1753"/>
  <c r="M1753" s="1"/>
  <c r="M1639"/>
  <c r="D1683"/>
  <c r="M1716"/>
  <c r="D1760"/>
  <c r="M1736"/>
  <c r="D1780"/>
  <c r="M1638"/>
  <c r="D1682"/>
  <c r="M1708"/>
  <c r="D1752"/>
  <c r="M1725"/>
  <c r="D1769"/>
  <c r="M1769" s="1"/>
  <c r="M1654"/>
  <c r="D1698"/>
  <c r="G1664"/>
  <c r="M1752"/>
  <c r="A2155"/>
  <c r="A2683" s="1"/>
  <c r="A1715"/>
  <c r="A2243" s="1"/>
  <c r="A2771" s="1"/>
  <c r="A2147"/>
  <c r="A2675" s="1"/>
  <c r="A1707"/>
  <c r="A2235" s="1"/>
  <c r="A2763" s="1"/>
  <c r="A2215"/>
  <c r="A2743" s="1"/>
  <c r="A1775"/>
  <c r="A2303" s="1"/>
  <c r="A2831" s="1"/>
  <c r="A2171"/>
  <c r="A2699" s="1"/>
  <c r="A1731"/>
  <c r="A2259" s="1"/>
  <c r="A2787" s="1"/>
  <c r="A2223"/>
  <c r="A2751" s="1"/>
  <c r="A1783"/>
  <c r="A2311" s="1"/>
  <c r="A2839" s="1"/>
  <c r="A2163"/>
  <c r="A2691" s="1"/>
  <c r="A1723"/>
  <c r="A2251" s="1"/>
  <c r="A2779" s="1"/>
  <c r="A2199"/>
  <c r="A2727" s="1"/>
  <c r="A1759"/>
  <c r="A2287" s="1"/>
  <c r="A2815" s="1"/>
  <c r="A2143"/>
  <c r="A2671" s="1"/>
  <c r="A1703"/>
  <c r="A2231" s="1"/>
  <c r="A2759" s="1"/>
  <c r="A2183"/>
  <c r="A2711" s="1"/>
  <c r="A1743"/>
  <c r="A2271" s="1"/>
  <c r="A2799" s="1"/>
  <c r="A2203"/>
  <c r="A2731" s="1"/>
  <c r="A1763"/>
  <c r="A2291" s="1"/>
  <c r="A2819" s="1"/>
  <c r="A2191"/>
  <c r="A2719" s="1"/>
  <c r="A1751"/>
  <c r="A2279" s="1"/>
  <c r="A2807" s="1"/>
  <c r="A2195"/>
  <c r="A2723" s="1"/>
  <c r="A1755"/>
  <c r="A2283" s="1"/>
  <c r="A2811" s="1"/>
  <c r="A2167"/>
  <c r="A2695" s="1"/>
  <c r="A1727"/>
  <c r="A2255" s="1"/>
  <c r="A2783" s="1"/>
  <c r="A2219"/>
  <c r="A2747" s="1"/>
  <c r="A1779"/>
  <c r="A2307" s="1"/>
  <c r="A2835" s="1"/>
  <c r="A2175"/>
  <c r="A2703" s="1"/>
  <c r="A1735"/>
  <c r="A2263" s="1"/>
  <c r="A2791" s="1"/>
  <c r="A2211"/>
  <c r="A2739" s="1"/>
  <c r="A1771"/>
  <c r="A2299" s="1"/>
  <c r="A2827" s="1"/>
  <c r="A2151"/>
  <c r="A2679" s="1"/>
  <c r="A1711"/>
  <c r="A2239" s="1"/>
  <c r="A2767" s="1"/>
  <c r="A2159"/>
  <c r="A2687" s="1"/>
  <c r="A1719"/>
  <c r="A2247" s="1"/>
  <c r="A2775" s="1"/>
  <c r="A2227"/>
  <c r="A2755" s="1"/>
  <c r="A1787"/>
  <c r="A2315" s="1"/>
  <c r="A2843" s="1"/>
  <c r="A2187"/>
  <c r="A2715" s="1"/>
  <c r="A1747"/>
  <c r="A2275" s="1"/>
  <c r="A2803" s="1"/>
  <c r="A2207"/>
  <c r="A2735" s="1"/>
  <c r="A1767"/>
  <c r="A2295" s="1"/>
  <c r="A2823" s="1"/>
  <c r="A2179"/>
  <c r="A2707" s="1"/>
  <c r="A1739"/>
  <c r="A2267" s="1"/>
  <c r="A2795" s="1"/>
  <c r="A2142"/>
  <c r="A2670" s="1"/>
  <c r="A1702"/>
  <c r="A2230" s="1"/>
  <c r="A2758" s="1"/>
  <c r="M1651"/>
  <c r="D1739"/>
  <c r="D1783" s="1"/>
  <c r="G1651"/>
  <c r="M1672"/>
  <c r="G1672"/>
  <c r="M1596"/>
  <c r="G1596"/>
  <c r="M1605"/>
  <c r="G1605"/>
  <c r="M1710"/>
  <c r="G1710"/>
  <c r="M1718"/>
  <c r="G1718"/>
  <c r="M1650"/>
  <c r="D1738"/>
  <c r="D1782" s="1"/>
  <c r="G1650"/>
  <c r="M1678"/>
  <c r="G1678"/>
  <c r="M1679"/>
  <c r="G1679"/>
  <c r="G1671"/>
  <c r="M1759"/>
  <c r="G1743"/>
  <c r="G1748"/>
  <c r="D1724"/>
  <c r="G1636"/>
  <c r="G1594"/>
  <c r="M1682"/>
  <c r="G1705"/>
  <c r="G1611"/>
  <c r="M1699"/>
  <c r="G1744"/>
  <c r="M1680"/>
  <c r="G1592"/>
  <c r="G1639"/>
  <c r="D1727"/>
  <c r="G1725"/>
  <c r="N517"/>
  <c r="M517" s="1"/>
  <c r="M1696"/>
  <c r="G1608"/>
  <c r="G1702"/>
  <c r="G1690"/>
  <c r="M1778"/>
  <c r="M1777"/>
  <c r="G1689"/>
  <c r="G1751"/>
  <c r="G1758"/>
  <c r="G1745"/>
  <c r="G1753"/>
  <c r="G1731"/>
  <c r="G1720"/>
  <c r="G1754"/>
  <c r="M1700"/>
  <c r="G1612"/>
  <c r="M1765"/>
  <c r="G1677"/>
  <c r="G1769"/>
  <c r="G1757"/>
  <c r="G1638"/>
  <c r="D1726"/>
  <c r="G1708"/>
  <c r="G1694"/>
  <c r="M1782"/>
  <c r="G1654"/>
  <c r="D1742"/>
  <c r="G1658"/>
  <c r="M1746"/>
  <c r="M1783"/>
  <c r="G1695"/>
  <c r="G1613"/>
  <c r="M1701"/>
  <c r="G1662"/>
  <c r="M1750"/>
  <c r="G1704"/>
  <c r="G1747"/>
  <c r="G1733"/>
  <c r="D1735"/>
  <c r="G1647"/>
  <c r="G1741"/>
  <c r="G1599"/>
  <c r="M1687"/>
  <c r="G1598"/>
  <c r="M1686"/>
  <c r="G1734"/>
  <c r="G1716"/>
  <c r="G1736"/>
  <c r="G1762"/>
  <c r="D1740"/>
  <c r="G1652"/>
  <c r="M1697"/>
  <c r="G1609"/>
  <c r="G1730"/>
  <c r="G1603"/>
  <c r="M1691"/>
  <c r="G1713"/>
  <c r="M1692"/>
  <c r="G1604"/>
  <c r="G1667"/>
  <c r="M1755"/>
  <c r="D1729"/>
  <c r="G1641"/>
  <c r="G1717"/>
  <c r="G1764"/>
  <c r="G1685"/>
  <c r="G1737"/>
  <c r="G1756"/>
  <c r="G1749"/>
  <c r="D1728"/>
  <c r="G1640"/>
  <c r="G1595"/>
  <c r="M1683"/>
  <c r="G1703"/>
  <c r="G1709"/>
  <c r="G1763"/>
  <c r="G1688"/>
  <c r="N385"/>
  <c r="M385" s="1"/>
  <c r="N387"/>
  <c r="M387" s="1"/>
  <c r="N469"/>
  <c r="N557" s="1"/>
  <c r="M557" s="1"/>
  <c r="N228"/>
  <c r="N316" s="1"/>
  <c r="M316" s="1"/>
  <c r="N240"/>
  <c r="M240" s="1"/>
  <c r="N248"/>
  <c r="M248" s="1"/>
  <c r="N238"/>
  <c r="M238" s="1"/>
  <c r="N246"/>
  <c r="M246" s="1"/>
  <c r="N300"/>
  <c r="M300" s="1"/>
  <c r="N302"/>
  <c r="M302" s="1"/>
  <c r="N304"/>
  <c r="M304" s="1"/>
  <c r="N306"/>
  <c r="M306" s="1"/>
  <c r="N308"/>
  <c r="M308" s="1"/>
  <c r="N310"/>
  <c r="M310" s="1"/>
  <c r="N312"/>
  <c r="M312" s="1"/>
  <c r="N314"/>
  <c r="M314" s="1"/>
  <c r="N338"/>
  <c r="N426" s="1"/>
  <c r="M426" s="1"/>
  <c r="N344"/>
  <c r="M344" s="1"/>
  <c r="N346"/>
  <c r="M346" s="1"/>
  <c r="N348"/>
  <c r="M348" s="1"/>
  <c r="N350"/>
  <c r="M350" s="1"/>
  <c r="N352"/>
  <c r="M352" s="1"/>
  <c r="N354"/>
  <c r="M354" s="1"/>
  <c r="N356"/>
  <c r="M356" s="1"/>
  <c r="N358"/>
  <c r="M358" s="1"/>
  <c r="N294"/>
  <c r="N382" s="1"/>
  <c r="M382" s="1"/>
  <c r="N292"/>
  <c r="M292" s="1"/>
  <c r="N290"/>
  <c r="M290" s="1"/>
  <c r="N288"/>
  <c r="M288" s="1"/>
  <c r="N286"/>
  <c r="M286" s="1"/>
  <c r="N284"/>
  <c r="M284" s="1"/>
  <c r="N282"/>
  <c r="M282" s="1"/>
  <c r="N280"/>
  <c r="M280" s="1"/>
  <c r="N278"/>
  <c r="M278" s="1"/>
  <c r="N364"/>
  <c r="M364" s="1"/>
  <c r="N362"/>
  <c r="M362" s="1"/>
  <c r="N272"/>
  <c r="N360" s="1"/>
  <c r="M360" s="1"/>
  <c r="N243"/>
  <c r="M243" s="1"/>
  <c r="N239"/>
  <c r="M239" s="1"/>
  <c r="N235"/>
  <c r="M235" s="1"/>
  <c r="N321"/>
  <c r="M321" s="1"/>
  <c r="N319"/>
  <c r="M319" s="1"/>
  <c r="N229"/>
  <c r="N317" s="1"/>
  <c r="M317" s="1"/>
  <c r="N301"/>
  <c r="M301" s="1"/>
  <c r="N305"/>
  <c r="M305" s="1"/>
  <c r="N345"/>
  <c r="M345" s="1"/>
  <c r="N349"/>
  <c r="M349" s="1"/>
  <c r="N283"/>
  <c r="M283" s="1"/>
  <c r="N365"/>
  <c r="M365" s="1"/>
  <c r="N273"/>
  <c r="N361" s="1"/>
  <c r="M361" s="1"/>
  <c r="N320"/>
  <c r="M320" s="1"/>
  <c r="N318"/>
  <c r="M318" s="1"/>
  <c r="N295"/>
  <c r="N383" s="1"/>
  <c r="M383" s="1"/>
  <c r="N309"/>
  <c r="M309" s="1"/>
  <c r="N339"/>
  <c r="N427" s="1"/>
  <c r="M427" s="1"/>
  <c r="N353"/>
  <c r="M353" s="1"/>
  <c r="N287"/>
  <c r="M287" s="1"/>
  <c r="N279"/>
  <c r="M279" s="1"/>
  <c r="N363"/>
  <c r="M363" s="1"/>
  <c r="N236"/>
  <c r="M236" s="1"/>
  <c r="N244"/>
  <c r="M244" s="1"/>
  <c r="N234"/>
  <c r="M234" s="1"/>
  <c r="N242"/>
  <c r="M242" s="1"/>
  <c r="N472"/>
  <c r="M472" s="1"/>
  <c r="N474"/>
  <c r="M474" s="1"/>
  <c r="N516"/>
  <c r="M516" s="1"/>
  <c r="N518"/>
  <c r="M518" s="1"/>
  <c r="N599"/>
  <c r="M599" s="1"/>
  <c r="N685"/>
  <c r="N773" s="1"/>
  <c r="N681"/>
  <c r="N769" s="1"/>
  <c r="N677"/>
  <c r="N765" s="1"/>
  <c r="N725"/>
  <c r="N813" s="1"/>
  <c r="N475"/>
  <c r="M475" s="1"/>
  <c r="N743"/>
  <c r="N831" s="1"/>
  <c r="N747"/>
  <c r="N835" s="1"/>
  <c r="N751"/>
  <c r="N839" s="1"/>
  <c r="N665"/>
  <c r="M665" s="1"/>
  <c r="N667"/>
  <c r="N755" s="1"/>
  <c r="N843" s="1"/>
  <c r="M843" s="1"/>
  <c r="N601"/>
  <c r="N689" s="1"/>
  <c r="N777" s="1"/>
  <c r="M777" s="1"/>
  <c r="N605"/>
  <c r="M605" s="1"/>
  <c r="N519"/>
  <c r="M519" s="1"/>
  <c r="N787"/>
  <c r="N875" s="1"/>
  <c r="N791"/>
  <c r="N879" s="1"/>
  <c r="N795"/>
  <c r="N883" s="1"/>
  <c r="N709"/>
  <c r="M709" s="1"/>
  <c r="N711"/>
  <c r="N799" s="1"/>
  <c r="N887" s="1"/>
  <c r="M887" s="1"/>
  <c r="N643"/>
  <c r="M643" s="1"/>
  <c r="N729"/>
  <c r="N817" s="1"/>
  <c r="N721"/>
  <c r="N809" s="1"/>
  <c r="M1698" l="1"/>
  <c r="G1698"/>
  <c r="G1732"/>
  <c r="M1732"/>
  <c r="D1776"/>
  <c r="M1776" s="1"/>
  <c r="M1761"/>
  <c r="G1761"/>
  <c r="M1728"/>
  <c r="D1772"/>
  <c r="M1729"/>
  <c r="D1773"/>
  <c r="M1773" s="1"/>
  <c r="M1740"/>
  <c r="D1784"/>
  <c r="M1735"/>
  <c r="D1779"/>
  <c r="M1742"/>
  <c r="D1786"/>
  <c r="M1726"/>
  <c r="D1770"/>
  <c r="M1727"/>
  <c r="D1771"/>
  <c r="M1724"/>
  <c r="D1768"/>
  <c r="G1752"/>
  <c r="M1739"/>
  <c r="G1739"/>
  <c r="M1767"/>
  <c r="G1767"/>
  <c r="M1766"/>
  <c r="G1766"/>
  <c r="M1738"/>
  <c r="G1738"/>
  <c r="M1693"/>
  <c r="G1693"/>
  <c r="M1684"/>
  <c r="G1684"/>
  <c r="M1760"/>
  <c r="G1760"/>
  <c r="G1776"/>
  <c r="G1755"/>
  <c r="M1780"/>
  <c r="G1692"/>
  <c r="G1697"/>
  <c r="M1785"/>
  <c r="G1750"/>
  <c r="G1742"/>
  <c r="G1777"/>
  <c r="G1696"/>
  <c r="M1784"/>
  <c r="M1768"/>
  <c r="G1680"/>
  <c r="G1682"/>
  <c r="M1770"/>
  <c r="G1724"/>
  <c r="N562"/>
  <c r="M562" s="1"/>
  <c r="N473"/>
  <c r="M473" s="1"/>
  <c r="G1729"/>
  <c r="G1740"/>
  <c r="G1735"/>
  <c r="G1701"/>
  <c r="M1789"/>
  <c r="G1783"/>
  <c r="G1782"/>
  <c r="M1788"/>
  <c r="G1700"/>
  <c r="G1759"/>
  <c r="N407"/>
  <c r="M407" s="1"/>
  <c r="G1683"/>
  <c r="M1771"/>
  <c r="G1728"/>
  <c r="G1773"/>
  <c r="G1686"/>
  <c r="M1774"/>
  <c r="G1778"/>
  <c r="N606"/>
  <c r="M606" s="1"/>
  <c r="N451"/>
  <c r="M451" s="1"/>
  <c r="G1691"/>
  <c r="M1779"/>
  <c r="G1687"/>
  <c r="M1775"/>
  <c r="G1746"/>
  <c r="G1726"/>
  <c r="G1765"/>
  <c r="G1727"/>
  <c r="M1787"/>
  <c r="G1699"/>
  <c r="N645"/>
  <c r="N733" s="1"/>
  <c r="N821" s="1"/>
  <c r="M821" s="1"/>
  <c r="N561"/>
  <c r="M561" s="1"/>
  <c r="N909"/>
  <c r="N997" s="1"/>
  <c r="N1085" s="1"/>
  <c r="M1085" s="1"/>
  <c r="N865"/>
  <c r="N971"/>
  <c r="M971" s="1"/>
  <c r="N905"/>
  <c r="M905" s="1"/>
  <c r="N967"/>
  <c r="M967" s="1"/>
  <c r="N901"/>
  <c r="M901" s="1"/>
  <c r="N963"/>
  <c r="M963" s="1"/>
  <c r="N897"/>
  <c r="M897" s="1"/>
  <c r="N927"/>
  <c r="M927" s="1"/>
  <c r="N861"/>
  <c r="M861" s="1"/>
  <c r="N923"/>
  <c r="M923" s="1"/>
  <c r="N857"/>
  <c r="M857" s="1"/>
  <c r="N919"/>
  <c r="M919" s="1"/>
  <c r="N853"/>
  <c r="M853" s="1"/>
  <c r="N731"/>
  <c r="N819" s="1"/>
  <c r="M819" s="1"/>
  <c r="N797"/>
  <c r="N885" s="1"/>
  <c r="M885" s="1"/>
  <c r="N753"/>
  <c r="N841" s="1"/>
  <c r="M841" s="1"/>
  <c r="N687"/>
  <c r="N775" s="1"/>
  <c r="M775" s="1"/>
  <c r="N330"/>
  <c r="M330" s="1"/>
  <c r="N322"/>
  <c r="M322" s="1"/>
  <c r="N332"/>
  <c r="M332" s="1"/>
  <c r="N324"/>
  <c r="M324" s="1"/>
  <c r="N539"/>
  <c r="M539" s="1"/>
  <c r="N367"/>
  <c r="N455" s="1"/>
  <c r="M455" s="1"/>
  <c r="N375"/>
  <c r="M375" s="1"/>
  <c r="N441"/>
  <c r="M441" s="1"/>
  <c r="N515"/>
  <c r="M515" s="1"/>
  <c r="N397"/>
  <c r="M397" s="1"/>
  <c r="N471"/>
  <c r="M471" s="1"/>
  <c r="N406"/>
  <c r="M406" s="1"/>
  <c r="N408"/>
  <c r="M408" s="1"/>
  <c r="N449"/>
  <c r="M449" s="1"/>
  <c r="N453"/>
  <c r="M453" s="1"/>
  <c r="N371"/>
  <c r="N459" s="1"/>
  <c r="M459" s="1"/>
  <c r="N437"/>
  <c r="N525" s="1"/>
  <c r="M525" s="1"/>
  <c r="N433"/>
  <c r="N521" s="1"/>
  <c r="M521" s="1"/>
  <c r="N393"/>
  <c r="N481" s="1"/>
  <c r="M481" s="1"/>
  <c r="N389"/>
  <c r="N477" s="1"/>
  <c r="M477" s="1"/>
  <c r="N405"/>
  <c r="M405" s="1"/>
  <c r="N495"/>
  <c r="M495" s="1"/>
  <c r="N409"/>
  <c r="M409" s="1"/>
  <c r="N323"/>
  <c r="N411" s="1"/>
  <c r="M411" s="1"/>
  <c r="N327"/>
  <c r="N415" s="1"/>
  <c r="M415" s="1"/>
  <c r="N331"/>
  <c r="M331" s="1"/>
  <c r="N448"/>
  <c r="M448" s="1"/>
  <c r="N450"/>
  <c r="M450" s="1"/>
  <c r="N452"/>
  <c r="M452" s="1"/>
  <c r="N366"/>
  <c r="M366" s="1"/>
  <c r="N368"/>
  <c r="M368" s="1"/>
  <c r="N370"/>
  <c r="M370" s="1"/>
  <c r="N372"/>
  <c r="M372" s="1"/>
  <c r="N374"/>
  <c r="M374" s="1"/>
  <c r="N376"/>
  <c r="M376" s="1"/>
  <c r="N378"/>
  <c r="M378" s="1"/>
  <c r="N380"/>
  <c r="M380" s="1"/>
  <c r="N470"/>
  <c r="M470" s="1"/>
  <c r="N446"/>
  <c r="M446" s="1"/>
  <c r="N444"/>
  <c r="M444" s="1"/>
  <c r="N442"/>
  <c r="M442" s="1"/>
  <c r="N440"/>
  <c r="M440" s="1"/>
  <c r="N438"/>
  <c r="M438" s="1"/>
  <c r="N436"/>
  <c r="M436" s="1"/>
  <c r="N434"/>
  <c r="M434" s="1"/>
  <c r="N432"/>
  <c r="M432" s="1"/>
  <c r="N514"/>
  <c r="M514" s="1"/>
  <c r="N402"/>
  <c r="M402" s="1"/>
  <c r="N400"/>
  <c r="M400" s="1"/>
  <c r="N398"/>
  <c r="M398" s="1"/>
  <c r="N396"/>
  <c r="M396" s="1"/>
  <c r="N394"/>
  <c r="M394" s="1"/>
  <c r="N392"/>
  <c r="M392" s="1"/>
  <c r="N390"/>
  <c r="M390" s="1"/>
  <c r="N388"/>
  <c r="M388" s="1"/>
  <c r="N334"/>
  <c r="M334" s="1"/>
  <c r="N326"/>
  <c r="M326" s="1"/>
  <c r="N336"/>
  <c r="M336" s="1"/>
  <c r="N328"/>
  <c r="M328" s="1"/>
  <c r="N404"/>
  <c r="M404" s="1"/>
  <c r="N975"/>
  <c r="N1063" s="1"/>
  <c r="N1151" s="1"/>
  <c r="M1151" s="1"/>
  <c r="N973"/>
  <c r="N1061" s="1"/>
  <c r="N1149" s="1"/>
  <c r="N1059"/>
  <c r="M1059" s="1"/>
  <c r="N1051"/>
  <c r="M1051" s="1"/>
  <c r="N607"/>
  <c r="M607" s="1"/>
  <c r="N693"/>
  <c r="M693" s="1"/>
  <c r="N953"/>
  <c r="N1041" s="1"/>
  <c r="M1041" s="1"/>
  <c r="N931"/>
  <c r="N1019" s="1"/>
  <c r="N1107" s="1"/>
  <c r="M1107" s="1"/>
  <c r="N929"/>
  <c r="N1017" s="1"/>
  <c r="N1105" s="1"/>
  <c r="N1015"/>
  <c r="M1015" s="1"/>
  <c r="N1011"/>
  <c r="M1011" s="1"/>
  <c r="N563"/>
  <c r="M563" s="1"/>
  <c r="N649"/>
  <c r="M649" s="1"/>
  <c r="N694"/>
  <c r="M694" s="1"/>
  <c r="N604"/>
  <c r="M604" s="1"/>
  <c r="N650"/>
  <c r="M650" s="1"/>
  <c r="N560"/>
  <c r="M560" s="1"/>
  <c r="M1786" l="1"/>
  <c r="G1786"/>
  <c r="N1007"/>
  <c r="M1007" s="1"/>
  <c r="N1055"/>
  <c r="M1055" s="1"/>
  <c r="M1772"/>
  <c r="G1772"/>
  <c r="M1781"/>
  <c r="G1781"/>
  <c r="N648"/>
  <c r="M648" s="1"/>
  <c r="N692"/>
  <c r="M692" s="1"/>
  <c r="N540"/>
  <c r="M540" s="1"/>
  <c r="N496"/>
  <c r="M496" s="1"/>
  <c r="G1787"/>
  <c r="G1775"/>
  <c r="G1779"/>
  <c r="G1774"/>
  <c r="G1771"/>
  <c r="G1788"/>
  <c r="G1789"/>
  <c r="G1770"/>
  <c r="G1768"/>
  <c r="G1784"/>
  <c r="G1785"/>
  <c r="G1780"/>
  <c r="N863"/>
  <c r="N951" s="1"/>
  <c r="N1039" s="1"/>
  <c r="N1127" s="1"/>
  <c r="N907"/>
  <c r="N995" s="1"/>
  <c r="N1083" s="1"/>
  <c r="N1171" s="1"/>
  <c r="N941"/>
  <c r="M941" s="1"/>
  <c r="N945"/>
  <c r="M945" s="1"/>
  <c r="N949"/>
  <c r="M949" s="1"/>
  <c r="N985"/>
  <c r="M985" s="1"/>
  <c r="N989"/>
  <c r="M989" s="1"/>
  <c r="N993"/>
  <c r="M993" s="1"/>
  <c r="N492"/>
  <c r="M492" s="1"/>
  <c r="N416"/>
  <c r="M416" s="1"/>
  <c r="N424"/>
  <c r="M424" s="1"/>
  <c r="N414"/>
  <c r="M414" s="1"/>
  <c r="N422"/>
  <c r="M422" s="1"/>
  <c r="N476"/>
  <c r="M476" s="1"/>
  <c r="N478"/>
  <c r="M478" s="1"/>
  <c r="N480"/>
  <c r="M480" s="1"/>
  <c r="N482"/>
  <c r="M482" s="1"/>
  <c r="N484"/>
  <c r="M484" s="1"/>
  <c r="N486"/>
  <c r="M486" s="1"/>
  <c r="N488"/>
  <c r="M488" s="1"/>
  <c r="N490"/>
  <c r="M490" s="1"/>
  <c r="N602"/>
  <c r="M602" s="1"/>
  <c r="N520"/>
  <c r="M520" s="1"/>
  <c r="N522"/>
  <c r="M522" s="1"/>
  <c r="N524"/>
  <c r="M524" s="1"/>
  <c r="N526"/>
  <c r="M526" s="1"/>
  <c r="N528"/>
  <c r="M528" s="1"/>
  <c r="N530"/>
  <c r="M530" s="1"/>
  <c r="N532"/>
  <c r="M532" s="1"/>
  <c r="N534"/>
  <c r="M534" s="1"/>
  <c r="N558"/>
  <c r="M558" s="1"/>
  <c r="N468"/>
  <c r="M468" s="1"/>
  <c r="N466"/>
  <c r="M466" s="1"/>
  <c r="N464"/>
  <c r="M464" s="1"/>
  <c r="N462"/>
  <c r="M462" s="1"/>
  <c r="N460"/>
  <c r="M460" s="1"/>
  <c r="N458"/>
  <c r="M458" s="1"/>
  <c r="N456"/>
  <c r="M456" s="1"/>
  <c r="N454"/>
  <c r="M454" s="1"/>
  <c r="N538"/>
  <c r="M538" s="1"/>
  <c r="N536"/>
  <c r="M536" s="1"/>
  <c r="N419"/>
  <c r="N503"/>
  <c r="M503" s="1"/>
  <c r="N499"/>
  <c r="M499" s="1"/>
  <c r="N497"/>
  <c r="M497" s="1"/>
  <c r="N583"/>
  <c r="M583" s="1"/>
  <c r="N493"/>
  <c r="M493" s="1"/>
  <c r="N565"/>
  <c r="M565" s="1"/>
  <c r="N569"/>
  <c r="M569" s="1"/>
  <c r="N609"/>
  <c r="M609" s="1"/>
  <c r="N613"/>
  <c r="M613" s="1"/>
  <c r="N547"/>
  <c r="M547" s="1"/>
  <c r="N541"/>
  <c r="M541" s="1"/>
  <c r="N537"/>
  <c r="M537" s="1"/>
  <c r="N494"/>
  <c r="M494" s="1"/>
  <c r="N559"/>
  <c r="M559" s="1"/>
  <c r="N485"/>
  <c r="N603"/>
  <c r="M603" s="1"/>
  <c r="N529"/>
  <c r="N463"/>
  <c r="N543"/>
  <c r="M543" s="1"/>
  <c r="N627"/>
  <c r="M627" s="1"/>
  <c r="N412"/>
  <c r="M412" s="1"/>
  <c r="N420"/>
  <c r="M420" s="1"/>
  <c r="N410"/>
  <c r="M410" s="1"/>
  <c r="N418"/>
  <c r="M418" s="1"/>
  <c r="N738"/>
  <c r="M738" s="1"/>
  <c r="N780"/>
  <c r="M780" s="1"/>
  <c r="N782"/>
  <c r="M782" s="1"/>
  <c r="N1173"/>
  <c r="N1077"/>
  <c r="N1165" s="1"/>
  <c r="N737"/>
  <c r="M737" s="1"/>
  <c r="N651"/>
  <c r="M651" s="1"/>
  <c r="N1095"/>
  <c r="N1099"/>
  <c r="N1103"/>
  <c r="N1129"/>
  <c r="N781"/>
  <c r="M781" s="1"/>
  <c r="N695"/>
  <c r="M695" s="1"/>
  <c r="N1139"/>
  <c r="N1143"/>
  <c r="N1147"/>
  <c r="N1037" l="1"/>
  <c r="N1125" s="1"/>
  <c r="N1081"/>
  <c r="N1169" s="1"/>
  <c r="N1033"/>
  <c r="N1121" s="1"/>
  <c r="N736"/>
  <c r="M736" s="1"/>
  <c r="N628"/>
  <c r="M628" s="1"/>
  <c r="N1073"/>
  <c r="N1161" s="1"/>
  <c r="N1029"/>
  <c r="N1117" s="1"/>
  <c r="N584"/>
  <c r="M584" s="1"/>
  <c r="N582"/>
  <c r="M582" s="1"/>
  <c r="N626"/>
  <c r="M626" s="1"/>
  <c r="N506"/>
  <c r="M506" s="1"/>
  <c r="N498"/>
  <c r="M498" s="1"/>
  <c r="N508"/>
  <c r="M508" s="1"/>
  <c r="N500"/>
  <c r="M500" s="1"/>
  <c r="N631"/>
  <c r="N719" s="1"/>
  <c r="M719" s="1"/>
  <c r="N551"/>
  <c r="M551" s="1"/>
  <c r="N617"/>
  <c r="M617" s="1"/>
  <c r="N647"/>
  <c r="M647" s="1"/>
  <c r="N625"/>
  <c r="M625" s="1"/>
  <c r="N635"/>
  <c r="N723" s="1"/>
  <c r="M723" s="1"/>
  <c r="N701"/>
  <c r="N789" s="1"/>
  <c r="M789" s="1"/>
  <c r="N697"/>
  <c r="N785" s="1"/>
  <c r="M785" s="1"/>
  <c r="N581"/>
  <c r="M581" s="1"/>
  <c r="N585"/>
  <c r="M585" s="1"/>
  <c r="N587"/>
  <c r="N675" s="1"/>
  <c r="M675" s="1"/>
  <c r="N591"/>
  <c r="N679" s="1"/>
  <c r="M679" s="1"/>
  <c r="N507"/>
  <c r="M507" s="1"/>
  <c r="N624"/>
  <c r="M624" s="1"/>
  <c r="N542"/>
  <c r="M542" s="1"/>
  <c r="N544"/>
  <c r="M544" s="1"/>
  <c r="N546"/>
  <c r="M546" s="1"/>
  <c r="N548"/>
  <c r="M548" s="1"/>
  <c r="N550"/>
  <c r="M550" s="1"/>
  <c r="N552"/>
  <c r="M552" s="1"/>
  <c r="N554"/>
  <c r="M554" s="1"/>
  <c r="N556"/>
  <c r="M556" s="1"/>
  <c r="N646"/>
  <c r="M646" s="1"/>
  <c r="N620"/>
  <c r="M620" s="1"/>
  <c r="N616"/>
  <c r="M616" s="1"/>
  <c r="N612"/>
  <c r="M612" s="1"/>
  <c r="N608"/>
  <c r="M608" s="1"/>
  <c r="N690"/>
  <c r="M690" s="1"/>
  <c r="N578"/>
  <c r="M578" s="1"/>
  <c r="N574"/>
  <c r="M574" s="1"/>
  <c r="N570"/>
  <c r="M570" s="1"/>
  <c r="N566"/>
  <c r="M566" s="1"/>
  <c r="N510"/>
  <c r="M510" s="1"/>
  <c r="N502"/>
  <c r="M502" s="1"/>
  <c r="N512"/>
  <c r="M512" s="1"/>
  <c r="N504"/>
  <c r="M504" s="1"/>
  <c r="N715"/>
  <c r="M715" s="1"/>
  <c r="N691"/>
  <c r="M691" s="1"/>
  <c r="N573"/>
  <c r="M573" s="1"/>
  <c r="N629"/>
  <c r="M629" s="1"/>
  <c r="N657"/>
  <c r="N745" s="1"/>
  <c r="M745" s="1"/>
  <c r="N653"/>
  <c r="N741" s="1"/>
  <c r="M741" s="1"/>
  <c r="N671"/>
  <c r="M671" s="1"/>
  <c r="N714"/>
  <c r="M714" s="1"/>
  <c r="N622"/>
  <c r="M622" s="1"/>
  <c r="N618"/>
  <c r="M618" s="1"/>
  <c r="N614"/>
  <c r="M614" s="1"/>
  <c r="N610"/>
  <c r="M610" s="1"/>
  <c r="N576"/>
  <c r="M576" s="1"/>
  <c r="N572"/>
  <c r="M572" s="1"/>
  <c r="N568"/>
  <c r="M568" s="1"/>
  <c r="N564"/>
  <c r="M564" s="1"/>
  <c r="N580"/>
  <c r="M580" s="1"/>
  <c r="N783"/>
  <c r="M783" s="1"/>
  <c r="N869"/>
  <c r="M869" s="1"/>
  <c r="N739"/>
  <c r="M739" s="1"/>
  <c r="N825"/>
  <c r="M825" s="1"/>
  <c r="N870"/>
  <c r="M870" s="1"/>
  <c r="N868"/>
  <c r="M868" s="1"/>
  <c r="N826"/>
  <c r="M826" s="1"/>
  <c r="N824"/>
  <c r="M824" s="1"/>
  <c r="N670" l="1"/>
  <c r="M670" s="1"/>
  <c r="N716"/>
  <c r="M716" s="1"/>
  <c r="N672"/>
  <c r="M672" s="1"/>
  <c r="N827"/>
  <c r="M827" s="1"/>
  <c r="N871"/>
  <c r="M871" s="1"/>
  <c r="N846"/>
  <c r="M846" s="1"/>
  <c r="N890"/>
  <c r="M890" s="1"/>
  <c r="N847"/>
  <c r="M847" s="1"/>
  <c r="N891"/>
  <c r="M891" s="1"/>
  <c r="N848"/>
  <c r="M848" s="1"/>
  <c r="N892"/>
  <c r="M892" s="1"/>
  <c r="N668"/>
  <c r="M668" s="1"/>
  <c r="N652"/>
  <c r="M652" s="1"/>
  <c r="N656"/>
  <c r="M656" s="1"/>
  <c r="N660"/>
  <c r="M660" s="1"/>
  <c r="N664"/>
  <c r="M664" s="1"/>
  <c r="N698"/>
  <c r="M698" s="1"/>
  <c r="N702"/>
  <c r="M702" s="1"/>
  <c r="N706"/>
  <c r="M706" s="1"/>
  <c r="N710"/>
  <c r="M710" s="1"/>
  <c r="N802"/>
  <c r="M802" s="1"/>
  <c r="N759"/>
  <c r="M759" s="1"/>
  <c r="N779"/>
  <c r="M779" s="1"/>
  <c r="N803"/>
  <c r="M803" s="1"/>
  <c r="N592"/>
  <c r="M592" s="1"/>
  <c r="N600"/>
  <c r="M600" s="1"/>
  <c r="N778"/>
  <c r="M778" s="1"/>
  <c r="N644"/>
  <c r="M644" s="1"/>
  <c r="N640"/>
  <c r="M640" s="1"/>
  <c r="N636"/>
  <c r="M636" s="1"/>
  <c r="N632"/>
  <c r="M632" s="1"/>
  <c r="N713"/>
  <c r="M713" s="1"/>
  <c r="N639"/>
  <c r="N727" s="1"/>
  <c r="M727" s="1"/>
  <c r="N807"/>
  <c r="N586"/>
  <c r="M586" s="1"/>
  <c r="N594"/>
  <c r="M594" s="1"/>
  <c r="N829"/>
  <c r="N833"/>
  <c r="N717"/>
  <c r="M717" s="1"/>
  <c r="N758"/>
  <c r="M758" s="1"/>
  <c r="N661"/>
  <c r="N749" s="1"/>
  <c r="M749" s="1"/>
  <c r="N590"/>
  <c r="M590" s="1"/>
  <c r="N598"/>
  <c r="M598" s="1"/>
  <c r="N654"/>
  <c r="M654" s="1"/>
  <c r="N658"/>
  <c r="M658" s="1"/>
  <c r="N662"/>
  <c r="M662" s="1"/>
  <c r="N666"/>
  <c r="M666" s="1"/>
  <c r="N696"/>
  <c r="M696" s="1"/>
  <c r="N700"/>
  <c r="M700" s="1"/>
  <c r="N704"/>
  <c r="M704" s="1"/>
  <c r="N708"/>
  <c r="M708" s="1"/>
  <c r="N734"/>
  <c r="M734" s="1"/>
  <c r="N642"/>
  <c r="M642" s="1"/>
  <c r="N638"/>
  <c r="M638" s="1"/>
  <c r="N634"/>
  <c r="M634" s="1"/>
  <c r="N630"/>
  <c r="M630" s="1"/>
  <c r="N712"/>
  <c r="M712" s="1"/>
  <c r="N595"/>
  <c r="N683" s="1"/>
  <c r="M683" s="1"/>
  <c r="N767"/>
  <c r="N763"/>
  <c r="N673"/>
  <c r="M673" s="1"/>
  <c r="N669"/>
  <c r="M669" s="1"/>
  <c r="N873"/>
  <c r="N877"/>
  <c r="N811"/>
  <c r="N760"/>
  <c r="M760" s="1"/>
  <c r="N735"/>
  <c r="M735" s="1"/>
  <c r="N705"/>
  <c r="N793" s="1"/>
  <c r="M793" s="1"/>
  <c r="N588"/>
  <c r="M588" s="1"/>
  <c r="N596"/>
  <c r="M596" s="1"/>
  <c r="N912"/>
  <c r="M912" s="1"/>
  <c r="N914"/>
  <c r="M914" s="1"/>
  <c r="N956"/>
  <c r="M956" s="1"/>
  <c r="N958"/>
  <c r="M958" s="1"/>
  <c r="N913"/>
  <c r="M913" s="1"/>
  <c r="N957"/>
  <c r="M957" s="1"/>
  <c r="N893" l="1"/>
  <c r="M893" s="1"/>
  <c r="N804"/>
  <c r="M804" s="1"/>
  <c r="N959"/>
  <c r="M959" s="1"/>
  <c r="N915"/>
  <c r="M915" s="1"/>
  <c r="N849"/>
  <c r="M849" s="1"/>
  <c r="N1045"/>
  <c r="M1045" s="1"/>
  <c r="N1001"/>
  <c r="M1001" s="1"/>
  <c r="N761"/>
  <c r="M761" s="1"/>
  <c r="N805"/>
  <c r="M805" s="1"/>
  <c r="N917"/>
  <c r="M917" s="1"/>
  <c r="N851"/>
  <c r="M851" s="1"/>
  <c r="N965"/>
  <c r="M965" s="1"/>
  <c r="N899"/>
  <c r="M899" s="1"/>
  <c r="N961"/>
  <c r="M961" s="1"/>
  <c r="N895"/>
  <c r="M895" s="1"/>
  <c r="N921"/>
  <c r="M921" s="1"/>
  <c r="N855"/>
  <c r="M855" s="1"/>
  <c r="N684"/>
  <c r="M684" s="1"/>
  <c r="N676"/>
  <c r="M676" s="1"/>
  <c r="N771"/>
  <c r="M771" s="1"/>
  <c r="N718"/>
  <c r="M718" s="1"/>
  <c r="N722"/>
  <c r="M722" s="1"/>
  <c r="N822"/>
  <c r="M822" s="1"/>
  <c r="N796"/>
  <c r="M796" s="1"/>
  <c r="N792"/>
  <c r="M792" s="1"/>
  <c r="N788"/>
  <c r="M788" s="1"/>
  <c r="N784"/>
  <c r="M784" s="1"/>
  <c r="N754"/>
  <c r="M754" s="1"/>
  <c r="N686"/>
  <c r="M686" s="1"/>
  <c r="N1005"/>
  <c r="N1093" s="1"/>
  <c r="M1093" s="1"/>
  <c r="N674"/>
  <c r="M674" s="1"/>
  <c r="N724"/>
  <c r="M724" s="1"/>
  <c r="N728"/>
  <c r="M728" s="1"/>
  <c r="N732"/>
  <c r="M732" s="1"/>
  <c r="N979"/>
  <c r="M979" s="1"/>
  <c r="N935"/>
  <c r="M935" s="1"/>
  <c r="N752"/>
  <c r="M752" s="1"/>
  <c r="N748"/>
  <c r="M748" s="1"/>
  <c r="N744"/>
  <c r="M744" s="1"/>
  <c r="N740"/>
  <c r="M740" s="1"/>
  <c r="N881"/>
  <c r="M881" s="1"/>
  <c r="N823"/>
  <c r="M823" s="1"/>
  <c r="N757"/>
  <c r="M757" s="1"/>
  <c r="N800"/>
  <c r="M800" s="1"/>
  <c r="N726"/>
  <c r="M726" s="1"/>
  <c r="N730"/>
  <c r="M730" s="1"/>
  <c r="N750"/>
  <c r="M750" s="1"/>
  <c r="N746"/>
  <c r="M746" s="1"/>
  <c r="N742"/>
  <c r="M742" s="1"/>
  <c r="N678"/>
  <c r="M678" s="1"/>
  <c r="N837"/>
  <c r="M837" s="1"/>
  <c r="N682"/>
  <c r="M682" s="1"/>
  <c r="N815"/>
  <c r="M815" s="1"/>
  <c r="N801"/>
  <c r="M801" s="1"/>
  <c r="N720"/>
  <c r="M720" s="1"/>
  <c r="N866"/>
  <c r="M866" s="1"/>
  <c r="N688"/>
  <c r="M688" s="1"/>
  <c r="N680"/>
  <c r="M680" s="1"/>
  <c r="N867"/>
  <c r="M867" s="1"/>
  <c r="N798"/>
  <c r="M798" s="1"/>
  <c r="N794"/>
  <c r="M794" s="1"/>
  <c r="N790"/>
  <c r="M790" s="1"/>
  <c r="N786"/>
  <c r="M786" s="1"/>
  <c r="N756"/>
  <c r="M756" s="1"/>
  <c r="N1047"/>
  <c r="M1047" s="1"/>
  <c r="N1089"/>
  <c r="M1089" s="1"/>
  <c r="N1046"/>
  <c r="N1134" s="1"/>
  <c r="M1134" s="1"/>
  <c r="N1044"/>
  <c r="M1044" s="1"/>
  <c r="N1002"/>
  <c r="N1090" s="1"/>
  <c r="M1090" s="1"/>
  <c r="N1000"/>
  <c r="M1000" s="1"/>
  <c r="N1133" l="1"/>
  <c r="M1133" s="1"/>
  <c r="N983"/>
  <c r="N1071" s="1"/>
  <c r="M1071" s="1"/>
  <c r="N1049"/>
  <c r="N1137" s="1"/>
  <c r="M1137" s="1"/>
  <c r="N1003"/>
  <c r="M1003" s="1"/>
  <c r="N939"/>
  <c r="N1027" s="1"/>
  <c r="M1027" s="1"/>
  <c r="N1053"/>
  <c r="N1141" s="1"/>
  <c r="N1009"/>
  <c r="N1097" s="1"/>
  <c r="N1088"/>
  <c r="M1088" s="1"/>
  <c r="N1132"/>
  <c r="M1132" s="1"/>
  <c r="N987"/>
  <c r="N1075" s="1"/>
  <c r="N1163" s="1"/>
  <c r="N859"/>
  <c r="M859" s="1"/>
  <c r="N903"/>
  <c r="M903" s="1"/>
  <c r="N943"/>
  <c r="N1031" s="1"/>
  <c r="N1119" s="1"/>
  <c r="N954"/>
  <c r="M954" s="1"/>
  <c r="N888"/>
  <c r="M888" s="1"/>
  <c r="N911"/>
  <c r="M911" s="1"/>
  <c r="N845"/>
  <c r="M845" s="1"/>
  <c r="N955"/>
  <c r="M955" s="1"/>
  <c r="N889"/>
  <c r="M889" s="1"/>
  <c r="N910"/>
  <c r="M910" s="1"/>
  <c r="N844"/>
  <c r="M844" s="1"/>
  <c r="N874"/>
  <c r="M874" s="1"/>
  <c r="N878"/>
  <c r="M878" s="1"/>
  <c r="N882"/>
  <c r="M882" s="1"/>
  <c r="N886"/>
  <c r="M886" s="1"/>
  <c r="N768"/>
  <c r="M768" s="1"/>
  <c r="N776"/>
  <c r="M776" s="1"/>
  <c r="N934"/>
  <c r="M934" s="1"/>
  <c r="N830"/>
  <c r="M830" s="1"/>
  <c r="N818"/>
  <c r="M818" s="1"/>
  <c r="N814"/>
  <c r="M814" s="1"/>
  <c r="N937"/>
  <c r="M937" s="1"/>
  <c r="N832"/>
  <c r="M832" s="1"/>
  <c r="N836"/>
  <c r="M836" s="1"/>
  <c r="N840"/>
  <c r="M840" s="1"/>
  <c r="N978"/>
  <c r="M978" s="1"/>
  <c r="N1067"/>
  <c r="M1067" s="1"/>
  <c r="N998"/>
  <c r="M998" s="1"/>
  <c r="N810"/>
  <c r="M810" s="1"/>
  <c r="N806"/>
  <c r="M806" s="1"/>
  <c r="N1115"/>
  <c r="N808"/>
  <c r="M808" s="1"/>
  <c r="N977"/>
  <c r="M977" s="1"/>
  <c r="N1159"/>
  <c r="N770"/>
  <c r="M770" s="1"/>
  <c r="N925"/>
  <c r="M925" s="1"/>
  <c r="N766"/>
  <c r="M766" s="1"/>
  <c r="N834"/>
  <c r="M834" s="1"/>
  <c r="N838"/>
  <c r="M838" s="1"/>
  <c r="N980"/>
  <c r="N1068" s="1"/>
  <c r="M1068" s="1"/>
  <c r="N976"/>
  <c r="M976" s="1"/>
  <c r="N969"/>
  <c r="M969" s="1"/>
  <c r="N828"/>
  <c r="M828" s="1"/>
  <c r="N1023"/>
  <c r="M1023" s="1"/>
  <c r="N820"/>
  <c r="M820" s="1"/>
  <c r="N816"/>
  <c r="M816" s="1"/>
  <c r="N812"/>
  <c r="M812" s="1"/>
  <c r="N762"/>
  <c r="M762" s="1"/>
  <c r="N981"/>
  <c r="M981" s="1"/>
  <c r="N774"/>
  <c r="M774" s="1"/>
  <c r="N842"/>
  <c r="M842" s="1"/>
  <c r="N872"/>
  <c r="M872" s="1"/>
  <c r="N876"/>
  <c r="M876" s="1"/>
  <c r="N880"/>
  <c r="M880" s="1"/>
  <c r="N884"/>
  <c r="M884" s="1"/>
  <c r="N936"/>
  <c r="N1024" s="1"/>
  <c r="M1024" s="1"/>
  <c r="N764"/>
  <c r="M764" s="1"/>
  <c r="N772"/>
  <c r="M772" s="1"/>
  <c r="N1135"/>
  <c r="M1135" s="1"/>
  <c r="N1091" l="1"/>
  <c r="M1091" s="1"/>
  <c r="N933"/>
  <c r="M933" s="1"/>
  <c r="N1043"/>
  <c r="M1043" s="1"/>
  <c r="N1042"/>
  <c r="M1042" s="1"/>
  <c r="N999"/>
  <c r="M999" s="1"/>
  <c r="N1066"/>
  <c r="M1066" s="1"/>
  <c r="N1022"/>
  <c r="M1022" s="1"/>
  <c r="N932"/>
  <c r="M932" s="1"/>
  <c r="N906"/>
  <c r="M906" s="1"/>
  <c r="N898"/>
  <c r="M898" s="1"/>
  <c r="N864"/>
  <c r="M864" s="1"/>
  <c r="N850"/>
  <c r="M850" s="1"/>
  <c r="N856"/>
  <c r="M856" s="1"/>
  <c r="N858"/>
  <c r="M858" s="1"/>
  <c r="N908"/>
  <c r="M908" s="1"/>
  <c r="N900"/>
  <c r="M900" s="1"/>
  <c r="N902"/>
  <c r="M902" s="1"/>
  <c r="N894"/>
  <c r="M894" s="1"/>
  <c r="N860"/>
  <c r="M860" s="1"/>
  <c r="N862"/>
  <c r="M862" s="1"/>
  <c r="N854"/>
  <c r="M854" s="1"/>
  <c r="N852"/>
  <c r="M852" s="1"/>
  <c r="N904"/>
  <c r="M904" s="1"/>
  <c r="N896"/>
  <c r="M896" s="1"/>
  <c r="N1112"/>
  <c r="M1112" s="1"/>
  <c r="N972"/>
  <c r="M972" s="1"/>
  <c r="N968"/>
  <c r="M968" s="1"/>
  <c r="N964"/>
  <c r="M964" s="1"/>
  <c r="N960"/>
  <c r="M960" s="1"/>
  <c r="N930"/>
  <c r="M930" s="1"/>
  <c r="N1057"/>
  <c r="N1145" s="1"/>
  <c r="N926"/>
  <c r="M926" s="1"/>
  <c r="N922"/>
  <c r="M922" s="1"/>
  <c r="N991"/>
  <c r="N1079" s="1"/>
  <c r="N1065"/>
  <c r="M1065" s="1"/>
  <c r="N947"/>
  <c r="N1035" s="1"/>
  <c r="N1086"/>
  <c r="M1086" s="1"/>
  <c r="N1154"/>
  <c r="M1154" s="1"/>
  <c r="N1025"/>
  <c r="M1025" s="1"/>
  <c r="N918"/>
  <c r="M918" s="1"/>
  <c r="N1069"/>
  <c r="M1069" s="1"/>
  <c r="N1111"/>
  <c r="M1111" s="1"/>
  <c r="N916"/>
  <c r="M916" s="1"/>
  <c r="N1064"/>
  <c r="M1064" s="1"/>
  <c r="N1156"/>
  <c r="M1156" s="1"/>
  <c r="N1013"/>
  <c r="N1101" s="1"/>
  <c r="N1155"/>
  <c r="M1155" s="1"/>
  <c r="N928"/>
  <c r="M928" s="1"/>
  <c r="N924"/>
  <c r="M924" s="1"/>
  <c r="N920"/>
  <c r="M920" s="1"/>
  <c r="N1130"/>
  <c r="M1130" s="1"/>
  <c r="N974"/>
  <c r="M974" s="1"/>
  <c r="N970"/>
  <c r="M970" s="1"/>
  <c r="N966"/>
  <c r="M966" s="1"/>
  <c r="N962"/>
  <c r="M962" s="1"/>
  <c r="N1020"/>
  <c r="M1020" s="1"/>
  <c r="N1110" l="1"/>
  <c r="M1110" s="1"/>
  <c r="N1131"/>
  <c r="M1131" s="1"/>
  <c r="N1021"/>
  <c r="M1021" s="1"/>
  <c r="N994"/>
  <c r="M994" s="1"/>
  <c r="N950"/>
  <c r="M950" s="1"/>
  <c r="N1087"/>
  <c r="M1087" s="1"/>
  <c r="N1016"/>
  <c r="M1016" s="1"/>
  <c r="N1060"/>
  <c r="M1060" s="1"/>
  <c r="N1108"/>
  <c r="M1108" s="1"/>
  <c r="N1050"/>
  <c r="M1050" s="1"/>
  <c r="N1054"/>
  <c r="M1054" s="1"/>
  <c r="N1058"/>
  <c r="M1058" s="1"/>
  <c r="N1062"/>
  <c r="M1062" s="1"/>
  <c r="N944"/>
  <c r="M944" s="1"/>
  <c r="N952"/>
  <c r="M952" s="1"/>
  <c r="N1008"/>
  <c r="M1008" s="1"/>
  <c r="N1012"/>
  <c r="M1012" s="1"/>
  <c r="N1152"/>
  <c r="M1152" s="1"/>
  <c r="N1004"/>
  <c r="M1004" s="1"/>
  <c r="N1157"/>
  <c r="M1157" s="1"/>
  <c r="N990"/>
  <c r="M990" s="1"/>
  <c r="N1113"/>
  <c r="M1113" s="1"/>
  <c r="N986"/>
  <c r="M986" s="1"/>
  <c r="N982"/>
  <c r="M982" s="1"/>
  <c r="N1123"/>
  <c r="N942"/>
  <c r="M942" s="1"/>
  <c r="N984"/>
  <c r="M984" s="1"/>
  <c r="N946"/>
  <c r="M946" s="1"/>
  <c r="N996"/>
  <c r="M996" s="1"/>
  <c r="N992"/>
  <c r="M992" s="1"/>
  <c r="N988"/>
  <c r="M988" s="1"/>
  <c r="N938"/>
  <c r="M938" s="1"/>
  <c r="N1006"/>
  <c r="M1006" s="1"/>
  <c r="N1153"/>
  <c r="M1153" s="1"/>
  <c r="N1167"/>
  <c r="N1010"/>
  <c r="M1010" s="1"/>
  <c r="N1014"/>
  <c r="M1014" s="1"/>
  <c r="N1018"/>
  <c r="M1018" s="1"/>
  <c r="N1048"/>
  <c r="M1048" s="1"/>
  <c r="N1052"/>
  <c r="M1052" s="1"/>
  <c r="N1056"/>
  <c r="M1056" s="1"/>
  <c r="N1148"/>
  <c r="M1148" s="1"/>
  <c r="N940"/>
  <c r="M940" s="1"/>
  <c r="N948"/>
  <c r="M948" s="1"/>
  <c r="N1038" l="1"/>
  <c r="M1038" s="1"/>
  <c r="N1109"/>
  <c r="M1109" s="1"/>
  <c r="N1104"/>
  <c r="M1104" s="1"/>
  <c r="N1082"/>
  <c r="M1082" s="1"/>
  <c r="N1036"/>
  <c r="M1036" s="1"/>
  <c r="N1028"/>
  <c r="M1028" s="1"/>
  <c r="N1106"/>
  <c r="M1106" s="1"/>
  <c r="N1102"/>
  <c r="M1102" s="1"/>
  <c r="N1026"/>
  <c r="M1026" s="1"/>
  <c r="N1076"/>
  <c r="M1076" s="1"/>
  <c r="N1080"/>
  <c r="M1080" s="1"/>
  <c r="N1084"/>
  <c r="M1084" s="1"/>
  <c r="N1034"/>
  <c r="M1034" s="1"/>
  <c r="N1072"/>
  <c r="M1072" s="1"/>
  <c r="N1144"/>
  <c r="M1144" s="1"/>
  <c r="N1140"/>
  <c r="M1140" s="1"/>
  <c r="N1136"/>
  <c r="M1136" s="1"/>
  <c r="N1126"/>
  <c r="M1126" s="1"/>
  <c r="N1098"/>
  <c r="M1098" s="1"/>
  <c r="N1094"/>
  <c r="M1094" s="1"/>
  <c r="N1030"/>
  <c r="M1030" s="1"/>
  <c r="N1070"/>
  <c r="M1070" s="1"/>
  <c r="N1074"/>
  <c r="M1074" s="1"/>
  <c r="N1078"/>
  <c r="M1078" s="1"/>
  <c r="N1092"/>
  <c r="M1092" s="1"/>
  <c r="N1100"/>
  <c r="M1100" s="1"/>
  <c r="N1096"/>
  <c r="M1096" s="1"/>
  <c r="N1040"/>
  <c r="M1040" s="1"/>
  <c r="N1032"/>
  <c r="M1032" s="1"/>
  <c r="N1150"/>
  <c r="M1150" s="1"/>
  <c r="N1146"/>
  <c r="M1146" s="1"/>
  <c r="N1142"/>
  <c r="M1142" s="1"/>
  <c r="N1138"/>
  <c r="M1138" s="1"/>
  <c r="N1170" l="1"/>
  <c r="M1170" s="1"/>
  <c r="N1120"/>
  <c r="M1120" s="1"/>
  <c r="N1128"/>
  <c r="M1128" s="1"/>
  <c r="N1166"/>
  <c r="M1166" s="1"/>
  <c r="N1162"/>
  <c r="M1162" s="1"/>
  <c r="N1158"/>
  <c r="M1158" s="1"/>
  <c r="N1118"/>
  <c r="M1118" s="1"/>
  <c r="N1160"/>
  <c r="M1160" s="1"/>
  <c r="N1122"/>
  <c r="M1122" s="1"/>
  <c r="N1172"/>
  <c r="M1172" s="1"/>
  <c r="N1168"/>
  <c r="M1168" s="1"/>
  <c r="N1164"/>
  <c r="M1164" s="1"/>
  <c r="N1114"/>
  <c r="M1114" s="1"/>
  <c r="N1116"/>
  <c r="M1116" s="1"/>
  <c r="N1124"/>
  <c r="M1124" s="1"/>
</calcChain>
</file>

<file path=xl/sharedStrings.xml><?xml version="1.0" encoding="utf-8"?>
<sst xmlns="http://schemas.openxmlformats.org/spreadsheetml/2006/main" count="9443" uniqueCount="327">
  <si>
    <t>最小等级(minLevel)</t>
  </si>
  <si>
    <t>最大等级(maxLevel)</t>
  </si>
  <si>
    <t>minLevel</t>
    <phoneticPr fontId="1" type="noConversion"/>
  </si>
  <si>
    <t>maxLevel</t>
    <phoneticPr fontId="1" type="noConversion"/>
  </si>
  <si>
    <t>data</t>
    <phoneticPr fontId="1" type="noConversion"/>
  </si>
  <si>
    <t>战士商品列表</t>
    <phoneticPr fontId="1" type="noConversion"/>
  </si>
  <si>
    <t>warriorItems</t>
    <phoneticPr fontId="1" type="noConversion"/>
  </si>
  <si>
    <t>hunterItems</t>
    <phoneticPr fontId="1" type="noConversion"/>
  </si>
  <si>
    <t>法师商品列表</t>
    <phoneticPr fontId="1" type="noConversion"/>
  </si>
  <si>
    <t>magicItems</t>
    <phoneticPr fontId="1" type="noConversion"/>
  </si>
  <si>
    <t>列表ID</t>
    <phoneticPr fontId="1" type="noConversion"/>
  </si>
  <si>
    <t>物品类型</t>
    <phoneticPr fontId="1" type="noConversion"/>
  </si>
  <si>
    <t>物品ID</t>
    <phoneticPr fontId="1" type="noConversion"/>
  </si>
  <si>
    <t>金币售价</t>
    <phoneticPr fontId="1" type="noConversion"/>
  </si>
  <si>
    <t>钻石售价</t>
    <phoneticPr fontId="1" type="noConversion"/>
  </si>
  <si>
    <t>刷出金币售价权重</t>
    <phoneticPr fontId="1" type="noConversion"/>
  </si>
  <si>
    <t>刷出钻石售价权重</t>
    <phoneticPr fontId="1" type="noConversion"/>
  </si>
  <si>
    <t>出现该物品权重</t>
    <phoneticPr fontId="1" type="noConversion"/>
  </si>
  <si>
    <t>需要运气值</t>
    <phoneticPr fontId="1" type="noConversion"/>
  </si>
  <si>
    <t>公用列表</t>
    <phoneticPr fontId="1" type="noConversion"/>
  </si>
  <si>
    <t>金币折扣概率</t>
    <phoneticPr fontId="1" type="noConversion"/>
  </si>
  <si>
    <t>钻石折扣概率</t>
    <phoneticPr fontId="1" type="noConversion"/>
  </si>
  <si>
    <t>listId</t>
    <phoneticPr fontId="1" type="noConversion"/>
  </si>
  <si>
    <t>itemType</t>
    <phoneticPr fontId="1" type="noConversion"/>
  </si>
  <si>
    <t>itemID</t>
    <phoneticPr fontId="1" type="noConversion"/>
  </si>
  <si>
    <t>gold</t>
    <phoneticPr fontId="1" type="noConversion"/>
  </si>
  <si>
    <t>goldDiscount</t>
    <phoneticPr fontId="1" type="noConversion"/>
  </si>
  <si>
    <t>refreshGoldRate</t>
    <phoneticPr fontId="1" type="noConversion"/>
  </si>
  <si>
    <t>weight</t>
    <phoneticPr fontId="1" type="noConversion"/>
  </si>
  <si>
    <t>baseItems</t>
    <phoneticPr fontId="1" type="noConversion"/>
  </si>
  <si>
    <t>data</t>
    <phoneticPr fontId="1" type="noConversion"/>
  </si>
  <si>
    <t>10_10,50_20,80_30</t>
    <phoneticPr fontId="1" type="noConversion"/>
  </si>
  <si>
    <t>公用列表权重</t>
    <phoneticPr fontId="1" type="noConversion"/>
  </si>
  <si>
    <t>猎人商品列表</t>
    <phoneticPr fontId="1" type="noConversion"/>
  </si>
  <si>
    <t>0,140</t>
    <phoneticPr fontId="1" type="noConversion"/>
  </si>
  <si>
    <t>物品数量</t>
    <phoneticPr fontId="1" type="noConversion"/>
  </si>
  <si>
    <t>itemCount</t>
    <phoneticPr fontId="1" type="noConversion"/>
  </si>
  <si>
    <t>道具</t>
    <phoneticPr fontId="1" type="noConversion"/>
  </si>
  <si>
    <t>物品名称</t>
    <phoneticPr fontId="1" type="noConversion"/>
  </si>
  <si>
    <t>神器碎片</t>
    <phoneticPr fontId="1" type="noConversion"/>
  </si>
  <si>
    <t>金钥匙</t>
    <phoneticPr fontId="1" type="noConversion"/>
  </si>
  <si>
    <t>银钥匙</t>
    <phoneticPr fontId="1" type="noConversion"/>
  </si>
  <si>
    <t>铜钥匙</t>
    <phoneticPr fontId="1" type="noConversion"/>
  </si>
  <si>
    <t>No</t>
    <phoneticPr fontId="1" type="noConversion"/>
  </si>
  <si>
    <t>40010010</t>
  </si>
  <si>
    <t>40010020</t>
  </si>
  <si>
    <t>40010030</t>
  </si>
  <si>
    <t>40010080</t>
  </si>
  <si>
    <t>40010090</t>
  </si>
  <si>
    <t>40010100</t>
  </si>
  <si>
    <t>40011050</t>
  </si>
  <si>
    <t>40011051</t>
  </si>
  <si>
    <t>40011060</t>
  </si>
  <si>
    <t>40011061</t>
  </si>
  <si>
    <t>40012050</t>
  </si>
  <si>
    <t>40012051</t>
  </si>
  <si>
    <t>40012060</t>
  </si>
  <si>
    <t>40012061</t>
  </si>
  <si>
    <t>40013050</t>
  </si>
  <si>
    <t>40013051</t>
  </si>
  <si>
    <t>40013060</t>
  </si>
  <si>
    <t>40013061</t>
  </si>
  <si>
    <t>40010040</t>
  </si>
  <si>
    <t>40010041</t>
  </si>
  <si>
    <t>40010070</t>
  </si>
  <si>
    <t>40010071</t>
  </si>
  <si>
    <t>40050010</t>
  </si>
  <si>
    <t>40050020</t>
  </si>
  <si>
    <t>40050030</t>
  </si>
  <si>
    <t>40050080</t>
  </si>
  <si>
    <t>40050090</t>
  </si>
  <si>
    <t>40050100</t>
  </si>
  <si>
    <t>40051050</t>
  </si>
  <si>
    <t>40051051</t>
  </si>
  <si>
    <t>40051060</t>
  </si>
  <si>
    <t>40051061</t>
  </si>
  <si>
    <t>40052050</t>
  </si>
  <si>
    <t>40052051</t>
  </si>
  <si>
    <t>40052060</t>
  </si>
  <si>
    <t>40052061</t>
  </si>
  <si>
    <t>40053050</t>
  </si>
  <si>
    <t>40053051</t>
  </si>
  <si>
    <t>40053060</t>
  </si>
  <si>
    <t>40053061</t>
  </si>
  <si>
    <t>40050040</t>
  </si>
  <si>
    <t>40050041</t>
  </si>
  <si>
    <t>40050070</t>
  </si>
  <si>
    <t>40050071</t>
  </si>
  <si>
    <t>1级全职业紫头盔</t>
  </si>
  <si>
    <t>1级全职业紫戒指</t>
  </si>
  <si>
    <t>1级全职业紫腰带</t>
  </si>
  <si>
    <t>1级全职业紫鞋子</t>
  </si>
  <si>
    <t>1级全职业紫手套</t>
  </si>
  <si>
    <t>1级全职业紫项链</t>
  </si>
  <si>
    <t>1级战士紫主手武器</t>
  </si>
  <si>
    <t>1级战士紫极品主手武器</t>
  </si>
  <si>
    <t>1级战士紫副手武器</t>
  </si>
  <si>
    <t>1级战士紫极品副手武器</t>
  </si>
  <si>
    <t>1级猎人紫主手武器</t>
  </si>
  <si>
    <t>1级猎人紫极品主手武器</t>
  </si>
  <si>
    <t>1级猎人紫副手武器</t>
  </si>
  <si>
    <t>1级猎人紫极品副手武器</t>
  </si>
  <si>
    <t>1级法师紫主手武器</t>
  </si>
  <si>
    <t>1级法师紫极品主手武器</t>
  </si>
  <si>
    <t>1级法师紫副手武器</t>
  </si>
  <si>
    <t>1级法师紫极品副手武器</t>
  </si>
  <si>
    <t>1级全职业紫胸甲</t>
  </si>
  <si>
    <t>1级全职业紫极品胸甲</t>
  </si>
  <si>
    <t>1级全职业紫护腿</t>
  </si>
  <si>
    <t>1级全职业紫极品护腿</t>
  </si>
  <si>
    <t>5级全职业紫头盔</t>
  </si>
  <si>
    <t>5级全职业紫戒指</t>
  </si>
  <si>
    <t>5级全职业紫腰带</t>
  </si>
  <si>
    <t>5级全职业紫鞋子</t>
  </si>
  <si>
    <t>5级全职业紫手套</t>
  </si>
  <si>
    <t>5级全职业紫项链</t>
  </si>
  <si>
    <t>5级战士紫主手武器</t>
  </si>
  <si>
    <t>5级战士紫极品主手武器</t>
  </si>
  <si>
    <t>5级战士紫副手武器</t>
  </si>
  <si>
    <t>5级战士紫极品副手武器</t>
  </si>
  <si>
    <t>5级猎人紫主手武器</t>
  </si>
  <si>
    <t>5级猎人紫极品主手武器</t>
  </si>
  <si>
    <t>5级猎人紫副手武器</t>
  </si>
  <si>
    <t>5级猎人紫极品副手武器</t>
  </si>
  <si>
    <t>5级法师紫主手武器</t>
  </si>
  <si>
    <t>5级法师紫极品主手武器</t>
  </si>
  <si>
    <t>5级法师紫副手武器</t>
  </si>
  <si>
    <t>5级法师紫极品副手武器</t>
  </si>
  <si>
    <t>5级全职业紫胸甲</t>
  </si>
  <si>
    <t>5级全职业紫极品胸甲</t>
  </si>
  <si>
    <t>5级全职业紫护腿</t>
  </si>
  <si>
    <t>5级全职业紫极品护腿</t>
  </si>
  <si>
    <t>装备</t>
    <phoneticPr fontId="1" type="noConversion"/>
  </si>
  <si>
    <t>1级全职业橙头盔</t>
  </si>
  <si>
    <t>1级全职业橙戒指</t>
  </si>
  <si>
    <t>1级全职业橙腰带</t>
  </si>
  <si>
    <t>1级全职业橙鞋子</t>
  </si>
  <si>
    <t>1级全职业橙手套</t>
  </si>
  <si>
    <t>1级全职业橙项链</t>
  </si>
  <si>
    <t>1级战士橙主手武器</t>
  </si>
  <si>
    <t>1级战士橙极品主手武器</t>
  </si>
  <si>
    <t>1级战士橙副手武器</t>
  </si>
  <si>
    <t>1级战士橙极品副手武器</t>
  </si>
  <si>
    <t>1级猎人橙主手武器</t>
  </si>
  <si>
    <t>1级猎人橙极品主手武器</t>
  </si>
  <si>
    <t>1级猎人橙副手武器</t>
  </si>
  <si>
    <t>1级猎人橙极品副手武器</t>
  </si>
  <si>
    <t>1级法师橙主手武器</t>
  </si>
  <si>
    <t>1级法师橙极品主手武器</t>
  </si>
  <si>
    <t>1级法师橙副手武器</t>
  </si>
  <si>
    <t>1级法师橙极品副手武器</t>
  </si>
  <si>
    <t>1级全职业橙胸甲</t>
  </si>
  <si>
    <t>1级全职业橙极品胸甲</t>
  </si>
  <si>
    <t>1级全职业橙护腿</t>
  </si>
  <si>
    <t>1级全职业橙极品护腿</t>
  </si>
  <si>
    <t>5级全职业橙头盔</t>
  </si>
  <si>
    <t>5级全职业橙戒指</t>
  </si>
  <si>
    <t>5级全职业橙腰带</t>
  </si>
  <si>
    <t>5级全职业橙鞋子</t>
  </si>
  <si>
    <t>5级全职业橙手套</t>
  </si>
  <si>
    <t>5级全职业橙项链</t>
  </si>
  <si>
    <t>5级战士橙主手武器</t>
  </si>
  <si>
    <t>5级战士橙极品主手武器</t>
  </si>
  <si>
    <t>5级战士橙副手武器</t>
  </si>
  <si>
    <t>5级战士橙极品副手武器</t>
  </si>
  <si>
    <t>5级猎人橙主手武器</t>
  </si>
  <si>
    <t>5级猎人橙极品主手武器</t>
  </si>
  <si>
    <t>5级猎人橙副手武器</t>
  </si>
  <si>
    <t>5级猎人橙极品副手武器</t>
  </si>
  <si>
    <t>5级法师橙主手武器</t>
  </si>
  <si>
    <t>5级法师橙极品主手武器</t>
  </si>
  <si>
    <t>5级法师橙副手武器</t>
  </si>
  <si>
    <t>5级法师橙极品副手武器</t>
  </si>
  <si>
    <t>5级全职业橙胸甲</t>
  </si>
  <si>
    <t>5级全职业橙极品胸甲</t>
  </si>
  <si>
    <t>5级全职业橙护腿</t>
  </si>
  <si>
    <t>5级全职业橙极品护腿</t>
  </si>
  <si>
    <t>40100010</t>
  </si>
  <si>
    <t>10级全职业紫头盔</t>
  </si>
  <si>
    <t>40100020</t>
  </si>
  <si>
    <t>10级全职业紫戒指</t>
  </si>
  <si>
    <t>40100030</t>
  </si>
  <si>
    <t>10级全职业紫腰带</t>
  </si>
  <si>
    <t>40100080</t>
  </si>
  <si>
    <t>10级全职业紫鞋子</t>
  </si>
  <si>
    <t>40100090</t>
  </si>
  <si>
    <t>10级全职业紫手套</t>
  </si>
  <si>
    <t>40100100</t>
  </si>
  <si>
    <t>10级全职业紫项链</t>
  </si>
  <si>
    <t>40101050</t>
  </si>
  <si>
    <t>10级战士紫主手武器</t>
  </si>
  <si>
    <t>40101051</t>
  </si>
  <si>
    <t>10级战士紫极品主手武器</t>
  </si>
  <si>
    <t>40101060</t>
  </si>
  <si>
    <t>10级战士紫副手武器</t>
  </si>
  <si>
    <t>40101061</t>
  </si>
  <si>
    <t>10级战士紫极品副手武器</t>
  </si>
  <si>
    <t>40102050</t>
  </si>
  <si>
    <t>10级猎人紫主手武器</t>
  </si>
  <si>
    <t>40102051</t>
  </si>
  <si>
    <t>10级猎人紫极品主手武器</t>
  </si>
  <si>
    <t>40102060</t>
  </si>
  <si>
    <t>10级猎人紫副手武器</t>
  </si>
  <si>
    <t>40102061</t>
  </si>
  <si>
    <t>10级猎人紫极品副手武器</t>
  </si>
  <si>
    <t>40103050</t>
  </si>
  <si>
    <t>10级法师紫主手武器</t>
  </si>
  <si>
    <t>40103051</t>
  </si>
  <si>
    <t>10级法师紫极品主手武器</t>
  </si>
  <si>
    <t>40103060</t>
  </si>
  <si>
    <t>10级法师紫副手武器</t>
  </si>
  <si>
    <t>40103061</t>
  </si>
  <si>
    <t>10级法师紫极品副手武器</t>
  </si>
  <si>
    <t>40100040</t>
  </si>
  <si>
    <t>10级全职业紫胸甲</t>
  </si>
  <si>
    <t>40100041</t>
  </si>
  <si>
    <t>10级全职业紫极品胸甲</t>
  </si>
  <si>
    <t>40100070</t>
  </si>
  <si>
    <t>10级全职业紫护腿</t>
  </si>
  <si>
    <t>40100071</t>
  </si>
  <si>
    <t>10级全职业紫极品护腿</t>
  </si>
  <si>
    <t>10级全职业橙头盔</t>
  </si>
  <si>
    <t>10级全职业橙戒指</t>
  </si>
  <si>
    <t>10级全职业橙腰带</t>
  </si>
  <si>
    <t>10级全职业橙鞋子</t>
  </si>
  <si>
    <t>10级全职业橙手套</t>
  </si>
  <si>
    <t>10级全职业橙项链</t>
  </si>
  <si>
    <t>10级战士橙主手武器</t>
  </si>
  <si>
    <t>10级战士橙极品主手武器</t>
  </si>
  <si>
    <t>10级战士橙副手武器</t>
  </si>
  <si>
    <t>10级战士橙极品副手武器</t>
  </si>
  <si>
    <t>10级猎人橙主手武器</t>
  </si>
  <si>
    <t>10级猎人橙极品主手武器</t>
  </si>
  <si>
    <t>10级猎人橙副手武器</t>
  </si>
  <si>
    <t>10级猎人橙极品副手武器</t>
  </si>
  <si>
    <t>10级法师橙主手武器</t>
  </si>
  <si>
    <t>10级法师橙极品主手武器</t>
  </si>
  <si>
    <t>10级法师橙副手武器</t>
  </si>
  <si>
    <t>10级法师橙极品副手武器</t>
  </si>
  <si>
    <t>10级全职业橙胸甲</t>
  </si>
  <si>
    <t>10级全职业橙极品胸甲</t>
  </si>
  <si>
    <t>10级全职业橙护腿</t>
  </si>
  <si>
    <t>10级全职业橙极品护腿</t>
  </si>
  <si>
    <t>listRate</t>
    <phoneticPr fontId="1" type="noConversion"/>
  </si>
  <si>
    <t>coin</t>
    <phoneticPr fontId="1" type="noConversion"/>
  </si>
  <si>
    <t>coinDiscount</t>
    <phoneticPr fontId="1" type="noConversion"/>
  </si>
  <si>
    <t>refreshCoinRate</t>
    <phoneticPr fontId="1" type="noConversion"/>
  </si>
  <si>
    <t>40100010</t>
    <phoneticPr fontId="1" type="noConversion"/>
  </si>
  <si>
    <t>40100020</t>
    <phoneticPr fontId="1" type="noConversion"/>
  </si>
  <si>
    <t>40100030</t>
    <phoneticPr fontId="1" type="noConversion"/>
  </si>
  <si>
    <t>40100080</t>
    <phoneticPr fontId="1" type="noConversion"/>
  </si>
  <si>
    <t>40100090</t>
    <phoneticPr fontId="1" type="noConversion"/>
  </si>
  <si>
    <t>40100100</t>
    <phoneticPr fontId="1" type="noConversion"/>
  </si>
  <si>
    <t>40101051</t>
    <phoneticPr fontId="1" type="noConversion"/>
  </si>
  <si>
    <t>40101060</t>
    <phoneticPr fontId="1" type="noConversion"/>
  </si>
  <si>
    <t>40101061</t>
    <phoneticPr fontId="1" type="noConversion"/>
  </si>
  <si>
    <t>40102050</t>
    <phoneticPr fontId="1" type="noConversion"/>
  </si>
  <si>
    <t>40102051</t>
    <phoneticPr fontId="1" type="noConversion"/>
  </si>
  <si>
    <t>40101050</t>
    <phoneticPr fontId="1" type="noConversion"/>
  </si>
  <si>
    <t>40102060</t>
    <phoneticPr fontId="1" type="noConversion"/>
  </si>
  <si>
    <t>40102061</t>
    <phoneticPr fontId="1" type="noConversion"/>
  </si>
  <si>
    <t>40103050</t>
    <phoneticPr fontId="1" type="noConversion"/>
  </si>
  <si>
    <t>40103051</t>
    <phoneticPr fontId="1" type="noConversion"/>
  </si>
  <si>
    <t>40103060</t>
    <phoneticPr fontId="1" type="noConversion"/>
  </si>
  <si>
    <t>40103061</t>
    <phoneticPr fontId="1" type="noConversion"/>
  </si>
  <si>
    <t>40100040</t>
    <phoneticPr fontId="1" type="noConversion"/>
  </si>
  <si>
    <t>40100070</t>
    <phoneticPr fontId="1" type="noConversion"/>
  </si>
  <si>
    <t>40100071</t>
    <phoneticPr fontId="1" type="noConversion"/>
  </si>
  <si>
    <t>40150010</t>
    <phoneticPr fontId="1" type="noConversion"/>
  </si>
  <si>
    <t>40150020</t>
    <phoneticPr fontId="1" type="noConversion"/>
  </si>
  <si>
    <t>40150030</t>
    <phoneticPr fontId="1" type="noConversion"/>
  </si>
  <si>
    <t>40150080</t>
    <phoneticPr fontId="1" type="noConversion"/>
  </si>
  <si>
    <t>40150090</t>
    <phoneticPr fontId="1" type="noConversion"/>
  </si>
  <si>
    <t>40150100</t>
    <phoneticPr fontId="1" type="noConversion"/>
  </si>
  <si>
    <t>40151050</t>
    <phoneticPr fontId="1" type="noConversion"/>
  </si>
  <si>
    <t>luckyRange</t>
    <phoneticPr fontId="1" type="noConversion"/>
  </si>
  <si>
    <t>141,700</t>
    <phoneticPr fontId="1" type="noConversion"/>
  </si>
  <si>
    <t>701,1690</t>
    <phoneticPr fontId="1" type="noConversion"/>
  </si>
  <si>
    <t>1691,1000000</t>
    <phoneticPr fontId="1" type="noConversion"/>
  </si>
  <si>
    <t>job</t>
    <phoneticPr fontId="1" type="noConversion"/>
  </si>
  <si>
    <t>itemId</t>
    <phoneticPr fontId="1" type="noConversion"/>
  </si>
  <si>
    <t>itemCount</t>
    <phoneticPr fontId="1" type="noConversion"/>
  </si>
  <si>
    <t>price</t>
    <phoneticPr fontId="1" type="noConversion"/>
  </si>
  <si>
    <t>buyType</t>
    <phoneticPr fontId="1" type="noConversion"/>
  </si>
  <si>
    <t>discount</t>
    <phoneticPr fontId="1" type="noConversion"/>
  </si>
  <si>
    <t>data</t>
    <phoneticPr fontId="1" type="noConversion"/>
  </si>
  <si>
    <t>职业</t>
    <phoneticPr fontId="1" type="noConversion"/>
  </si>
  <si>
    <t>物品类型</t>
    <phoneticPr fontId="1" type="noConversion"/>
  </si>
  <si>
    <t>物品ID</t>
    <phoneticPr fontId="1" type="noConversion"/>
  </si>
  <si>
    <t>物品数量</t>
    <phoneticPr fontId="1" type="noConversion"/>
  </si>
  <si>
    <t>价格</t>
    <phoneticPr fontId="1" type="noConversion"/>
  </si>
  <si>
    <t>价格类型</t>
    <phoneticPr fontId="1" type="noConversion"/>
  </si>
  <si>
    <t>折扣</t>
    <phoneticPr fontId="1" type="noConversion"/>
  </si>
  <si>
    <t>10_5,50_20,80_30</t>
  </si>
  <si>
    <t>10,13</t>
    <phoneticPr fontId="1" type="noConversion"/>
  </si>
  <si>
    <t>6,13</t>
    <phoneticPr fontId="1" type="noConversion"/>
  </si>
  <si>
    <t>12,13</t>
    <phoneticPr fontId="1" type="noConversion"/>
  </si>
  <si>
    <t>8,13</t>
    <phoneticPr fontId="1" type="noConversion"/>
  </si>
  <si>
    <t>装备</t>
  </si>
  <si>
    <t>10_10,50_20,80_30</t>
  </si>
  <si>
    <t>国庆礼包</t>
  </si>
  <si>
    <t>国庆礼包</t>
    <phoneticPr fontId="1" type="noConversion"/>
  </si>
  <si>
    <t>10_0,50_30,80_50</t>
  </si>
  <si>
    <t>10_0,50_30,80_50</t>
    <phoneticPr fontId="1" type="noConversion"/>
  </si>
  <si>
    <t>道具</t>
  </si>
  <si>
    <t>国庆小礼包</t>
  </si>
  <si>
    <t>国庆小礼包</t>
    <phoneticPr fontId="1" type="noConversion"/>
  </si>
  <si>
    <t>10_0,50_20,80_30</t>
  </si>
  <si>
    <t>10_3,50_20,80_30</t>
  </si>
  <si>
    <t>10_4,50_20,80_30</t>
  </si>
  <si>
    <t>10_3,50_15,80_30</t>
  </si>
  <si>
    <t>10_2,50_12,80_30</t>
  </si>
  <si>
    <t>10_1,50_10,80_40</t>
  </si>
  <si>
    <t>10_1,50_10,80_40</t>
    <phoneticPr fontId="1" type="noConversion"/>
  </si>
  <si>
    <t>10_0,50_10,80_70</t>
  </si>
  <si>
    <t>10_0,50_10,80_70</t>
    <phoneticPr fontId="1" type="noConversion"/>
  </si>
  <si>
    <t>10_0,50_5,80_45</t>
  </si>
  <si>
    <t>10_0,50_5,80_45</t>
    <phoneticPr fontId="1" type="noConversion"/>
  </si>
  <si>
    <t>10_10,50_20,80_30</t>
    <phoneticPr fontId="1" type="noConversion"/>
  </si>
  <si>
    <t>40150010</t>
  </si>
  <si>
    <t>40150020</t>
  </si>
  <si>
    <t>40150030</t>
  </si>
  <si>
    <t>40150080</t>
  </si>
  <si>
    <t>40150090</t>
  </si>
  <si>
    <t>40150100</t>
  </si>
  <si>
    <t>40151050</t>
  </si>
  <si>
    <t>5级法师紫极品主手武器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</si>
</sst>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"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3" borderId="0" xfId="0" applyFill="1">
      <alignment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0" fillId="3" borderId="0" xfId="0" applyNumberForma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1">
          <cell r="A1" t="str">
            <v>data</v>
          </cell>
        </row>
        <row r="3">
          <cell r="A3" t="str">
            <v>id</v>
          </cell>
          <cell r="B3" t="str">
            <v>是否开放</v>
          </cell>
          <cell r="I3" t="str">
            <v>售出价(sellPrice)</v>
          </cell>
        </row>
        <row r="4">
          <cell r="A4" t="str">
            <v>id</v>
          </cell>
          <cell r="B4" t="str">
            <v>isOpen</v>
          </cell>
          <cell r="I4" t="str">
            <v>sellPrice</v>
          </cell>
        </row>
        <row r="6">
          <cell r="A6" t="str">
            <v>10010010</v>
          </cell>
          <cell r="B6">
            <v>0</v>
          </cell>
          <cell r="I6">
            <v>100</v>
          </cell>
        </row>
        <row r="7">
          <cell r="A7" t="str">
            <v>10010020</v>
          </cell>
          <cell r="B7">
            <v>0</v>
          </cell>
          <cell r="I7">
            <v>100</v>
          </cell>
        </row>
        <row r="8">
          <cell r="A8" t="str">
            <v>10010030</v>
          </cell>
          <cell r="B8">
            <v>0</v>
          </cell>
          <cell r="I8">
            <v>100</v>
          </cell>
        </row>
        <row r="9">
          <cell r="A9" t="str">
            <v>10010080</v>
          </cell>
          <cell r="B9">
            <v>1</v>
          </cell>
          <cell r="I9">
            <v>100</v>
          </cell>
        </row>
        <row r="10">
          <cell r="A10" t="str">
            <v>10010090</v>
          </cell>
          <cell r="B10">
            <v>1</v>
          </cell>
          <cell r="I10">
            <v>100</v>
          </cell>
        </row>
        <row r="11">
          <cell r="A11" t="str">
            <v>10010100</v>
          </cell>
          <cell r="B11">
            <v>0</v>
          </cell>
          <cell r="I11">
            <v>100</v>
          </cell>
        </row>
        <row r="12">
          <cell r="A12" t="str">
            <v>10011050</v>
          </cell>
          <cell r="B12">
            <v>1</v>
          </cell>
          <cell r="I12">
            <v>100</v>
          </cell>
        </row>
        <row r="13">
          <cell r="A13" t="str">
            <v>10011051</v>
          </cell>
          <cell r="B13">
            <v>1</v>
          </cell>
          <cell r="I13">
            <v>400</v>
          </cell>
        </row>
        <row r="14">
          <cell r="A14" t="str">
            <v>10011060</v>
          </cell>
          <cell r="B14">
            <v>1</v>
          </cell>
          <cell r="I14">
            <v>100</v>
          </cell>
        </row>
        <row r="15">
          <cell r="A15" t="str">
            <v>10011061</v>
          </cell>
          <cell r="B15">
            <v>0</v>
          </cell>
          <cell r="I15">
            <v>400</v>
          </cell>
        </row>
        <row r="16">
          <cell r="A16" t="str">
            <v>10012050</v>
          </cell>
          <cell r="B16">
            <v>1</v>
          </cell>
          <cell r="I16">
            <v>100</v>
          </cell>
        </row>
        <row r="17">
          <cell r="A17" t="str">
            <v>10012051</v>
          </cell>
          <cell r="B17">
            <v>1</v>
          </cell>
          <cell r="I17">
            <v>400</v>
          </cell>
        </row>
        <row r="18">
          <cell r="A18" t="str">
            <v>10012060</v>
          </cell>
          <cell r="B18">
            <v>1</v>
          </cell>
          <cell r="I18">
            <v>100</v>
          </cell>
        </row>
        <row r="19">
          <cell r="A19" t="str">
            <v>10012061</v>
          </cell>
          <cell r="B19">
            <v>0</v>
          </cell>
          <cell r="I19">
            <v>400</v>
          </cell>
        </row>
        <row r="20">
          <cell r="A20" t="str">
            <v>10013050</v>
          </cell>
          <cell r="B20">
            <v>1</v>
          </cell>
          <cell r="I20">
            <v>100</v>
          </cell>
        </row>
        <row r="21">
          <cell r="A21" t="str">
            <v>10013051</v>
          </cell>
          <cell r="B21">
            <v>1</v>
          </cell>
          <cell r="I21">
            <v>400</v>
          </cell>
        </row>
        <row r="22">
          <cell r="A22" t="str">
            <v>10013060</v>
          </cell>
          <cell r="B22">
            <v>1</v>
          </cell>
          <cell r="I22">
            <v>100</v>
          </cell>
        </row>
        <row r="23">
          <cell r="A23" t="str">
            <v>10013061</v>
          </cell>
          <cell r="B23">
            <v>0</v>
          </cell>
          <cell r="I23">
            <v>400</v>
          </cell>
        </row>
        <row r="24">
          <cell r="A24" t="str">
            <v>10010040</v>
          </cell>
          <cell r="B24">
            <v>1</v>
          </cell>
          <cell r="I24">
            <v>100</v>
          </cell>
        </row>
        <row r="25">
          <cell r="A25" t="str">
            <v>10010041</v>
          </cell>
          <cell r="B25">
            <v>0</v>
          </cell>
          <cell r="I25">
            <v>400</v>
          </cell>
        </row>
        <row r="26">
          <cell r="A26" t="str">
            <v>10010070</v>
          </cell>
          <cell r="B26">
            <v>0</v>
          </cell>
          <cell r="I26">
            <v>100</v>
          </cell>
        </row>
        <row r="27">
          <cell r="A27" t="str">
            <v>10010071</v>
          </cell>
          <cell r="B27">
            <v>0</v>
          </cell>
          <cell r="I27">
            <v>400</v>
          </cell>
        </row>
        <row r="28">
          <cell r="A28" t="str">
            <v>10050010</v>
          </cell>
          <cell r="B28">
            <v>1</v>
          </cell>
          <cell r="I28">
            <v>500</v>
          </cell>
        </row>
        <row r="29">
          <cell r="A29" t="str">
            <v>10050020</v>
          </cell>
          <cell r="B29">
            <v>1</v>
          </cell>
          <cell r="I29">
            <v>500</v>
          </cell>
        </row>
        <row r="30">
          <cell r="A30" t="str">
            <v>10050030</v>
          </cell>
          <cell r="B30">
            <v>1</v>
          </cell>
          <cell r="I30">
            <v>500</v>
          </cell>
        </row>
        <row r="31">
          <cell r="A31" t="str">
            <v>10050080</v>
          </cell>
          <cell r="B31">
            <v>0</v>
          </cell>
          <cell r="I31">
            <v>500</v>
          </cell>
        </row>
        <row r="32">
          <cell r="A32" t="str">
            <v>10050090</v>
          </cell>
          <cell r="B32">
            <v>0</v>
          </cell>
          <cell r="I32">
            <v>500</v>
          </cell>
        </row>
        <row r="33">
          <cell r="A33" t="str">
            <v>10050100</v>
          </cell>
          <cell r="B33">
            <v>1</v>
          </cell>
          <cell r="I33">
            <v>500</v>
          </cell>
        </row>
        <row r="34">
          <cell r="A34" t="str">
            <v>10051050</v>
          </cell>
          <cell r="B34">
            <v>1</v>
          </cell>
          <cell r="I34">
            <v>500</v>
          </cell>
        </row>
        <row r="35">
          <cell r="A35" t="str">
            <v>10051051</v>
          </cell>
          <cell r="B35">
            <v>1</v>
          </cell>
          <cell r="I35">
            <v>800</v>
          </cell>
        </row>
        <row r="36">
          <cell r="A36" t="str">
            <v>10051060</v>
          </cell>
          <cell r="B36">
            <v>1</v>
          </cell>
          <cell r="I36">
            <v>500</v>
          </cell>
        </row>
        <row r="37">
          <cell r="A37" t="str">
            <v>10051061</v>
          </cell>
          <cell r="B37">
            <v>0</v>
          </cell>
          <cell r="I37">
            <v>800</v>
          </cell>
        </row>
        <row r="38">
          <cell r="A38" t="str">
            <v>10052050</v>
          </cell>
          <cell r="B38">
            <v>1</v>
          </cell>
          <cell r="I38">
            <v>500</v>
          </cell>
        </row>
        <row r="39">
          <cell r="A39" t="str">
            <v>10052051</v>
          </cell>
          <cell r="B39">
            <v>1</v>
          </cell>
          <cell r="I39">
            <v>800</v>
          </cell>
        </row>
        <row r="40">
          <cell r="A40" t="str">
            <v>10052060</v>
          </cell>
          <cell r="B40">
            <v>1</v>
          </cell>
          <cell r="I40">
            <v>500</v>
          </cell>
        </row>
        <row r="41">
          <cell r="A41" t="str">
            <v>10052061</v>
          </cell>
          <cell r="B41">
            <v>0</v>
          </cell>
          <cell r="I41">
            <v>800</v>
          </cell>
        </row>
        <row r="42">
          <cell r="A42" t="str">
            <v>10053050</v>
          </cell>
          <cell r="B42">
            <v>1</v>
          </cell>
          <cell r="I42">
            <v>500</v>
          </cell>
        </row>
        <row r="43">
          <cell r="A43" t="str">
            <v>10053051</v>
          </cell>
          <cell r="B43">
            <v>1</v>
          </cell>
          <cell r="I43">
            <v>800</v>
          </cell>
        </row>
        <row r="44">
          <cell r="A44" t="str">
            <v>10053060</v>
          </cell>
          <cell r="B44">
            <v>1</v>
          </cell>
          <cell r="I44">
            <v>500</v>
          </cell>
        </row>
        <row r="45">
          <cell r="A45" t="str">
            <v>10053061</v>
          </cell>
          <cell r="B45">
            <v>0</v>
          </cell>
          <cell r="I45">
            <v>800</v>
          </cell>
        </row>
        <row r="46">
          <cell r="A46" t="str">
            <v>10050040</v>
          </cell>
          <cell r="B46">
            <v>1</v>
          </cell>
          <cell r="I46">
            <v>500</v>
          </cell>
        </row>
        <row r="47">
          <cell r="A47" t="str">
            <v>10050041</v>
          </cell>
          <cell r="B47">
            <v>1</v>
          </cell>
          <cell r="I47">
            <v>800</v>
          </cell>
        </row>
        <row r="48">
          <cell r="A48" t="str">
            <v>10050070</v>
          </cell>
          <cell r="B48">
            <v>1</v>
          </cell>
          <cell r="I48">
            <v>500</v>
          </cell>
        </row>
        <row r="49">
          <cell r="A49" t="str">
            <v>10050071</v>
          </cell>
          <cell r="B49">
            <v>1</v>
          </cell>
          <cell r="I49">
            <v>800</v>
          </cell>
        </row>
        <row r="50">
          <cell r="A50" t="str">
            <v>10100010</v>
          </cell>
          <cell r="B50">
            <v>1</v>
          </cell>
          <cell r="I50">
            <v>1000</v>
          </cell>
        </row>
        <row r="51">
          <cell r="A51" t="str">
            <v>10100020</v>
          </cell>
          <cell r="B51">
            <v>1</v>
          </cell>
          <cell r="I51">
            <v>1000</v>
          </cell>
        </row>
        <row r="52">
          <cell r="A52" t="str">
            <v>10100030</v>
          </cell>
          <cell r="B52">
            <v>1</v>
          </cell>
          <cell r="I52">
            <v>1000</v>
          </cell>
        </row>
        <row r="53">
          <cell r="A53" t="str">
            <v>10100080</v>
          </cell>
          <cell r="B53">
            <v>1</v>
          </cell>
          <cell r="I53">
            <v>1000</v>
          </cell>
        </row>
        <row r="54">
          <cell r="A54" t="str">
            <v>10100090</v>
          </cell>
          <cell r="B54">
            <v>1</v>
          </cell>
          <cell r="I54">
            <v>1000</v>
          </cell>
        </row>
        <row r="55">
          <cell r="A55" t="str">
            <v>10100100</v>
          </cell>
          <cell r="B55">
            <v>0</v>
          </cell>
          <cell r="I55">
            <v>1000</v>
          </cell>
        </row>
        <row r="56">
          <cell r="A56" t="str">
            <v>10101050</v>
          </cell>
          <cell r="B56">
            <v>1</v>
          </cell>
          <cell r="I56">
            <v>1000</v>
          </cell>
        </row>
        <row r="57">
          <cell r="A57" t="str">
            <v>10101051</v>
          </cell>
          <cell r="B57">
            <v>1</v>
          </cell>
          <cell r="I57">
            <v>1300</v>
          </cell>
        </row>
        <row r="58">
          <cell r="A58" t="str">
            <v>10101060</v>
          </cell>
          <cell r="B58">
            <v>1</v>
          </cell>
          <cell r="I58">
            <v>1000</v>
          </cell>
        </row>
        <row r="59">
          <cell r="A59" t="str">
            <v>10101061</v>
          </cell>
          <cell r="B59">
            <v>0</v>
          </cell>
          <cell r="I59">
            <v>1300</v>
          </cell>
        </row>
        <row r="60">
          <cell r="A60" t="str">
            <v>10102050</v>
          </cell>
          <cell r="B60">
            <v>1</v>
          </cell>
          <cell r="I60">
            <v>1000</v>
          </cell>
        </row>
        <row r="61">
          <cell r="A61" t="str">
            <v>10102051</v>
          </cell>
          <cell r="B61">
            <v>1</v>
          </cell>
          <cell r="I61">
            <v>1300</v>
          </cell>
        </row>
        <row r="62">
          <cell r="A62" t="str">
            <v>10102060</v>
          </cell>
          <cell r="B62">
            <v>1</v>
          </cell>
          <cell r="I62">
            <v>1000</v>
          </cell>
        </row>
        <row r="63">
          <cell r="A63" t="str">
            <v>10102061</v>
          </cell>
          <cell r="B63">
            <v>0</v>
          </cell>
          <cell r="I63">
            <v>1300</v>
          </cell>
        </row>
        <row r="64">
          <cell r="A64" t="str">
            <v>10103050</v>
          </cell>
          <cell r="B64">
            <v>1</v>
          </cell>
          <cell r="I64">
            <v>1000</v>
          </cell>
        </row>
        <row r="65">
          <cell r="A65" t="str">
            <v>10103051</v>
          </cell>
          <cell r="B65">
            <v>1</v>
          </cell>
          <cell r="I65">
            <v>1300</v>
          </cell>
        </row>
        <row r="66">
          <cell r="A66" t="str">
            <v>10103060</v>
          </cell>
          <cell r="B66">
            <v>1</v>
          </cell>
          <cell r="I66">
            <v>1000</v>
          </cell>
        </row>
        <row r="67">
          <cell r="A67" t="str">
            <v>10103061</v>
          </cell>
          <cell r="B67">
            <v>0</v>
          </cell>
          <cell r="I67">
            <v>1300</v>
          </cell>
        </row>
        <row r="68">
          <cell r="A68" t="str">
            <v>10100040</v>
          </cell>
          <cell r="B68">
            <v>1</v>
          </cell>
          <cell r="I68">
            <v>1000</v>
          </cell>
        </row>
        <row r="69">
          <cell r="A69" t="str">
            <v>10100041</v>
          </cell>
          <cell r="B69">
            <v>0</v>
          </cell>
          <cell r="I69">
            <v>1300</v>
          </cell>
        </row>
        <row r="70">
          <cell r="A70" t="str">
            <v>10100070</v>
          </cell>
          <cell r="B70">
            <v>1</v>
          </cell>
          <cell r="I70">
            <v>1000</v>
          </cell>
        </row>
        <row r="71">
          <cell r="A71" t="str">
            <v>10100071</v>
          </cell>
          <cell r="B71">
            <v>0</v>
          </cell>
          <cell r="I71">
            <v>1300</v>
          </cell>
        </row>
        <row r="72">
          <cell r="A72" t="str">
            <v>10150010</v>
          </cell>
          <cell r="B72">
            <v>0</v>
          </cell>
          <cell r="I72">
            <v>1500</v>
          </cell>
        </row>
        <row r="73">
          <cell r="A73" t="str">
            <v>10150020</v>
          </cell>
          <cell r="B73">
            <v>0</v>
          </cell>
          <cell r="I73">
            <v>1500</v>
          </cell>
        </row>
        <row r="74">
          <cell r="A74" t="str">
            <v>10150030</v>
          </cell>
          <cell r="B74">
            <v>1</v>
          </cell>
          <cell r="I74">
            <v>1500</v>
          </cell>
        </row>
        <row r="75">
          <cell r="A75" t="str">
            <v>10150080</v>
          </cell>
          <cell r="B75">
            <v>1</v>
          </cell>
          <cell r="I75">
            <v>1500</v>
          </cell>
        </row>
        <row r="76">
          <cell r="A76" t="str">
            <v>10150090</v>
          </cell>
          <cell r="B76">
            <v>1</v>
          </cell>
          <cell r="I76">
            <v>1500</v>
          </cell>
        </row>
        <row r="77">
          <cell r="A77" t="str">
            <v>10150100</v>
          </cell>
          <cell r="B77">
            <v>1</v>
          </cell>
          <cell r="I77">
            <v>1500</v>
          </cell>
        </row>
        <row r="78">
          <cell r="A78" t="str">
            <v>10151050</v>
          </cell>
          <cell r="B78">
            <v>1</v>
          </cell>
          <cell r="I78">
            <v>1500</v>
          </cell>
        </row>
        <row r="79">
          <cell r="A79" t="str">
            <v>10151051</v>
          </cell>
          <cell r="B79">
            <v>1</v>
          </cell>
          <cell r="I79">
            <v>1800</v>
          </cell>
        </row>
        <row r="80">
          <cell r="A80" t="str">
            <v>10151060</v>
          </cell>
          <cell r="B80">
            <v>1</v>
          </cell>
          <cell r="I80">
            <v>1500</v>
          </cell>
        </row>
        <row r="81">
          <cell r="A81" t="str">
            <v>10151061</v>
          </cell>
          <cell r="B81">
            <v>0</v>
          </cell>
          <cell r="I81">
            <v>1800</v>
          </cell>
        </row>
        <row r="82">
          <cell r="A82" t="str">
            <v>10152050</v>
          </cell>
          <cell r="B82">
            <v>1</v>
          </cell>
          <cell r="I82">
            <v>1500</v>
          </cell>
        </row>
        <row r="83">
          <cell r="A83" t="str">
            <v>10152051</v>
          </cell>
          <cell r="B83">
            <v>1</v>
          </cell>
          <cell r="I83">
            <v>1800</v>
          </cell>
        </row>
        <row r="84">
          <cell r="A84" t="str">
            <v>10152060</v>
          </cell>
          <cell r="B84">
            <v>1</v>
          </cell>
          <cell r="I84">
            <v>1500</v>
          </cell>
        </row>
        <row r="85">
          <cell r="A85" t="str">
            <v>10152061</v>
          </cell>
          <cell r="B85">
            <v>0</v>
          </cell>
          <cell r="I85">
            <v>1800</v>
          </cell>
        </row>
        <row r="86">
          <cell r="A86" t="str">
            <v>10153050</v>
          </cell>
          <cell r="B86">
            <v>1</v>
          </cell>
          <cell r="I86">
            <v>1500</v>
          </cell>
        </row>
        <row r="87">
          <cell r="A87" t="str">
            <v>10153051</v>
          </cell>
          <cell r="B87">
            <v>1</v>
          </cell>
          <cell r="I87">
            <v>1800</v>
          </cell>
        </row>
        <row r="88">
          <cell r="A88" t="str">
            <v>10153060</v>
          </cell>
          <cell r="B88">
            <v>1</v>
          </cell>
          <cell r="I88">
            <v>1500</v>
          </cell>
        </row>
        <row r="89">
          <cell r="A89" t="str">
            <v>10153061</v>
          </cell>
          <cell r="B89">
            <v>0</v>
          </cell>
          <cell r="I89">
            <v>1800</v>
          </cell>
        </row>
        <row r="90">
          <cell r="A90" t="str">
            <v>10150040</v>
          </cell>
          <cell r="B90">
            <v>1</v>
          </cell>
          <cell r="I90">
            <v>1500</v>
          </cell>
        </row>
        <row r="91">
          <cell r="A91" t="str">
            <v>10150041</v>
          </cell>
          <cell r="B91">
            <v>0</v>
          </cell>
          <cell r="I91">
            <v>1800</v>
          </cell>
        </row>
        <row r="92">
          <cell r="A92" t="str">
            <v>10150070</v>
          </cell>
          <cell r="B92">
            <v>1</v>
          </cell>
          <cell r="I92">
            <v>1500</v>
          </cell>
        </row>
        <row r="93">
          <cell r="A93" t="str">
            <v>10150071</v>
          </cell>
          <cell r="B93">
            <v>0</v>
          </cell>
          <cell r="I93">
            <v>1800</v>
          </cell>
        </row>
        <row r="94">
          <cell r="A94" t="str">
            <v>10200010</v>
          </cell>
          <cell r="B94">
            <v>1</v>
          </cell>
          <cell r="I94">
            <v>2000</v>
          </cell>
        </row>
        <row r="95">
          <cell r="A95" t="str">
            <v>10200020</v>
          </cell>
          <cell r="B95">
            <v>1</v>
          </cell>
          <cell r="I95">
            <v>2000</v>
          </cell>
        </row>
        <row r="96">
          <cell r="A96" t="str">
            <v>10200030</v>
          </cell>
          <cell r="B96">
            <v>1</v>
          </cell>
          <cell r="I96">
            <v>2000</v>
          </cell>
        </row>
        <row r="97">
          <cell r="A97" t="str">
            <v>10200080</v>
          </cell>
          <cell r="B97">
            <v>1</v>
          </cell>
          <cell r="I97">
            <v>2000</v>
          </cell>
        </row>
        <row r="98">
          <cell r="A98" t="str">
            <v>10200090</v>
          </cell>
          <cell r="B98">
            <v>1</v>
          </cell>
          <cell r="I98">
            <v>2000</v>
          </cell>
        </row>
        <row r="99">
          <cell r="A99" t="str">
            <v>10200100</v>
          </cell>
          <cell r="B99">
            <v>1</v>
          </cell>
          <cell r="I99">
            <v>2000</v>
          </cell>
        </row>
        <row r="100">
          <cell r="A100" t="str">
            <v>10201050</v>
          </cell>
          <cell r="B100">
            <v>1</v>
          </cell>
          <cell r="I100">
            <v>2000</v>
          </cell>
        </row>
        <row r="101">
          <cell r="A101" t="str">
            <v>10201051</v>
          </cell>
          <cell r="B101">
            <v>0</v>
          </cell>
          <cell r="I101">
            <v>2300</v>
          </cell>
        </row>
        <row r="102">
          <cell r="A102" t="str">
            <v>10201060</v>
          </cell>
          <cell r="B102">
            <v>1</v>
          </cell>
          <cell r="I102">
            <v>2000</v>
          </cell>
        </row>
        <row r="103">
          <cell r="A103" t="str">
            <v>10201061</v>
          </cell>
          <cell r="B103">
            <v>0</v>
          </cell>
          <cell r="I103">
            <v>2300</v>
          </cell>
        </row>
        <row r="104">
          <cell r="A104" t="str">
            <v>10202050</v>
          </cell>
          <cell r="B104">
            <v>1</v>
          </cell>
          <cell r="I104">
            <v>2000</v>
          </cell>
        </row>
        <row r="105">
          <cell r="A105" t="str">
            <v>10202051</v>
          </cell>
          <cell r="B105">
            <v>0</v>
          </cell>
          <cell r="I105">
            <v>2300</v>
          </cell>
        </row>
        <row r="106">
          <cell r="A106" t="str">
            <v>10202060</v>
          </cell>
          <cell r="B106">
            <v>1</v>
          </cell>
          <cell r="I106">
            <v>2000</v>
          </cell>
        </row>
        <row r="107">
          <cell r="A107" t="str">
            <v>10202061</v>
          </cell>
          <cell r="B107">
            <v>0</v>
          </cell>
          <cell r="I107">
            <v>2300</v>
          </cell>
        </row>
        <row r="108">
          <cell r="A108" t="str">
            <v>10203050</v>
          </cell>
          <cell r="B108">
            <v>1</v>
          </cell>
          <cell r="I108">
            <v>2000</v>
          </cell>
        </row>
        <row r="109">
          <cell r="A109" t="str">
            <v>10203051</v>
          </cell>
          <cell r="B109">
            <v>1</v>
          </cell>
          <cell r="I109">
            <v>2300</v>
          </cell>
        </row>
        <row r="110">
          <cell r="A110" t="str">
            <v>10203060</v>
          </cell>
          <cell r="B110">
            <v>1</v>
          </cell>
          <cell r="I110">
            <v>2000</v>
          </cell>
        </row>
        <row r="111">
          <cell r="A111" t="str">
            <v>10203061</v>
          </cell>
          <cell r="B111">
            <v>0</v>
          </cell>
          <cell r="I111">
            <v>2300</v>
          </cell>
        </row>
        <row r="112">
          <cell r="A112" t="str">
            <v>10200040</v>
          </cell>
          <cell r="B112">
            <v>1</v>
          </cell>
          <cell r="I112">
            <v>2000</v>
          </cell>
        </row>
        <row r="113">
          <cell r="A113" t="str">
            <v>10200041</v>
          </cell>
          <cell r="B113">
            <v>1</v>
          </cell>
          <cell r="I113">
            <v>2300</v>
          </cell>
        </row>
        <row r="114">
          <cell r="A114" t="str">
            <v>10200070</v>
          </cell>
          <cell r="B114">
            <v>1</v>
          </cell>
          <cell r="I114">
            <v>2000</v>
          </cell>
        </row>
        <row r="115">
          <cell r="A115" t="str">
            <v>10200071</v>
          </cell>
          <cell r="B115">
            <v>1</v>
          </cell>
          <cell r="I115">
            <v>2300</v>
          </cell>
        </row>
        <row r="116">
          <cell r="A116" t="str">
            <v>10250010</v>
          </cell>
          <cell r="B116">
            <v>1</v>
          </cell>
          <cell r="I116">
            <v>2500</v>
          </cell>
        </row>
        <row r="117">
          <cell r="A117" t="str">
            <v>10250020</v>
          </cell>
          <cell r="B117">
            <v>1</v>
          </cell>
          <cell r="I117">
            <v>2500</v>
          </cell>
        </row>
        <row r="118">
          <cell r="A118" t="str">
            <v>10250030</v>
          </cell>
          <cell r="B118">
            <v>1</v>
          </cell>
          <cell r="I118">
            <v>2500</v>
          </cell>
        </row>
        <row r="119">
          <cell r="A119" t="str">
            <v>10250080</v>
          </cell>
          <cell r="B119">
            <v>1</v>
          </cell>
          <cell r="I119">
            <v>2500</v>
          </cell>
        </row>
        <row r="120">
          <cell r="A120" t="str">
            <v>10250090</v>
          </cell>
          <cell r="B120">
            <v>1</v>
          </cell>
          <cell r="I120">
            <v>2500</v>
          </cell>
        </row>
        <row r="121">
          <cell r="A121" t="str">
            <v>10250100</v>
          </cell>
          <cell r="B121">
            <v>1</v>
          </cell>
          <cell r="I121">
            <v>2500</v>
          </cell>
        </row>
        <row r="122">
          <cell r="A122" t="str">
            <v>10251050</v>
          </cell>
          <cell r="B122">
            <v>1</v>
          </cell>
          <cell r="I122">
            <v>2500</v>
          </cell>
        </row>
        <row r="123">
          <cell r="A123" t="str">
            <v>10251051</v>
          </cell>
          <cell r="B123">
            <v>1</v>
          </cell>
          <cell r="I123">
            <v>2800</v>
          </cell>
        </row>
        <row r="124">
          <cell r="A124" t="str">
            <v>10251060</v>
          </cell>
          <cell r="B124">
            <v>1</v>
          </cell>
          <cell r="I124">
            <v>2500</v>
          </cell>
        </row>
        <row r="125">
          <cell r="A125" t="str">
            <v>10251061</v>
          </cell>
          <cell r="B125">
            <v>0</v>
          </cell>
          <cell r="I125">
            <v>2800</v>
          </cell>
        </row>
        <row r="126">
          <cell r="A126" t="str">
            <v>10252050</v>
          </cell>
          <cell r="B126">
            <v>1</v>
          </cell>
          <cell r="I126">
            <v>2500</v>
          </cell>
        </row>
        <row r="127">
          <cell r="A127" t="str">
            <v>10252051</v>
          </cell>
          <cell r="B127">
            <v>1</v>
          </cell>
          <cell r="I127">
            <v>2800</v>
          </cell>
        </row>
        <row r="128">
          <cell r="A128" t="str">
            <v>10252060</v>
          </cell>
          <cell r="B128">
            <v>1</v>
          </cell>
          <cell r="I128">
            <v>2500</v>
          </cell>
        </row>
        <row r="129">
          <cell r="A129" t="str">
            <v>10252061</v>
          </cell>
          <cell r="B129">
            <v>0</v>
          </cell>
          <cell r="I129">
            <v>2800</v>
          </cell>
        </row>
        <row r="130">
          <cell r="A130" t="str">
            <v>10253050</v>
          </cell>
          <cell r="B130">
            <v>1</v>
          </cell>
          <cell r="I130">
            <v>2500</v>
          </cell>
        </row>
        <row r="131">
          <cell r="A131" t="str">
            <v>10253051</v>
          </cell>
          <cell r="B131">
            <v>0</v>
          </cell>
          <cell r="I131">
            <v>2800</v>
          </cell>
        </row>
        <row r="132">
          <cell r="A132" t="str">
            <v>10253060</v>
          </cell>
          <cell r="B132">
            <v>1</v>
          </cell>
          <cell r="I132">
            <v>2500</v>
          </cell>
        </row>
        <row r="133">
          <cell r="A133" t="str">
            <v>10253061</v>
          </cell>
          <cell r="B133">
            <v>0</v>
          </cell>
          <cell r="I133">
            <v>2800</v>
          </cell>
        </row>
        <row r="134">
          <cell r="A134" t="str">
            <v>10250040</v>
          </cell>
          <cell r="B134">
            <v>1</v>
          </cell>
          <cell r="I134">
            <v>2500</v>
          </cell>
        </row>
        <row r="135">
          <cell r="A135" t="str">
            <v>10250041</v>
          </cell>
          <cell r="B135">
            <v>0</v>
          </cell>
          <cell r="I135">
            <v>2800</v>
          </cell>
        </row>
        <row r="136">
          <cell r="A136" t="str">
            <v>10250070</v>
          </cell>
          <cell r="B136">
            <v>1</v>
          </cell>
          <cell r="I136">
            <v>2500</v>
          </cell>
        </row>
        <row r="137">
          <cell r="A137" t="str">
            <v>10250071</v>
          </cell>
          <cell r="B137">
            <v>0</v>
          </cell>
          <cell r="I137">
            <v>2800</v>
          </cell>
        </row>
        <row r="138">
          <cell r="A138" t="str">
            <v>10300010</v>
          </cell>
          <cell r="B138">
            <v>1</v>
          </cell>
          <cell r="I138">
            <v>3000</v>
          </cell>
        </row>
        <row r="139">
          <cell r="A139" t="str">
            <v>10300020</v>
          </cell>
          <cell r="B139">
            <v>1</v>
          </cell>
          <cell r="I139">
            <v>3000</v>
          </cell>
        </row>
        <row r="140">
          <cell r="A140" t="str">
            <v>10300030</v>
          </cell>
          <cell r="B140">
            <v>1</v>
          </cell>
          <cell r="I140">
            <v>3000</v>
          </cell>
        </row>
        <row r="141">
          <cell r="A141" t="str">
            <v>10300080</v>
          </cell>
          <cell r="B141">
            <v>1</v>
          </cell>
          <cell r="I141">
            <v>3000</v>
          </cell>
        </row>
        <row r="142">
          <cell r="A142" t="str">
            <v>10300090</v>
          </cell>
          <cell r="B142">
            <v>1</v>
          </cell>
          <cell r="I142">
            <v>3000</v>
          </cell>
        </row>
        <row r="143">
          <cell r="A143" t="str">
            <v>10300100</v>
          </cell>
          <cell r="B143">
            <v>1</v>
          </cell>
          <cell r="I143">
            <v>3000</v>
          </cell>
        </row>
        <row r="144">
          <cell r="A144" t="str">
            <v>10301050</v>
          </cell>
          <cell r="B144">
            <v>1</v>
          </cell>
          <cell r="I144">
            <v>3000</v>
          </cell>
        </row>
        <row r="145">
          <cell r="A145" t="str">
            <v>10301051</v>
          </cell>
          <cell r="B145">
            <v>1</v>
          </cell>
          <cell r="I145">
            <v>3300</v>
          </cell>
        </row>
        <row r="146">
          <cell r="A146" t="str">
            <v>10301060</v>
          </cell>
          <cell r="B146">
            <v>1</v>
          </cell>
          <cell r="I146">
            <v>3000</v>
          </cell>
        </row>
        <row r="147">
          <cell r="A147" t="str">
            <v>10301061</v>
          </cell>
          <cell r="B147">
            <v>0</v>
          </cell>
          <cell r="I147">
            <v>3300</v>
          </cell>
        </row>
        <row r="148">
          <cell r="A148" t="str">
            <v>10302050</v>
          </cell>
          <cell r="B148">
            <v>1</v>
          </cell>
          <cell r="I148">
            <v>3000</v>
          </cell>
        </row>
        <row r="149">
          <cell r="A149" t="str">
            <v>10302051</v>
          </cell>
          <cell r="B149">
            <v>1</v>
          </cell>
          <cell r="I149">
            <v>3300</v>
          </cell>
        </row>
        <row r="150">
          <cell r="A150" t="str">
            <v>10302060</v>
          </cell>
          <cell r="B150">
            <v>1</v>
          </cell>
          <cell r="I150">
            <v>3000</v>
          </cell>
        </row>
        <row r="151">
          <cell r="A151" t="str">
            <v>10302061</v>
          </cell>
          <cell r="B151">
            <v>0</v>
          </cell>
          <cell r="I151">
            <v>3300</v>
          </cell>
        </row>
        <row r="152">
          <cell r="A152" t="str">
            <v>10303050</v>
          </cell>
          <cell r="B152">
            <v>1</v>
          </cell>
          <cell r="I152">
            <v>3000</v>
          </cell>
        </row>
        <row r="153">
          <cell r="A153" t="str">
            <v>10303051</v>
          </cell>
          <cell r="B153">
            <v>1</v>
          </cell>
          <cell r="I153">
            <v>3300</v>
          </cell>
        </row>
        <row r="154">
          <cell r="A154" t="str">
            <v>10303060</v>
          </cell>
          <cell r="B154">
            <v>1</v>
          </cell>
          <cell r="I154">
            <v>3000</v>
          </cell>
        </row>
        <row r="155">
          <cell r="A155" t="str">
            <v>10303061</v>
          </cell>
          <cell r="B155">
            <v>0</v>
          </cell>
          <cell r="I155">
            <v>3300</v>
          </cell>
        </row>
        <row r="156">
          <cell r="A156" t="str">
            <v>10300040</v>
          </cell>
          <cell r="B156">
            <v>1</v>
          </cell>
          <cell r="I156">
            <v>3000</v>
          </cell>
        </row>
        <row r="157">
          <cell r="A157" t="str">
            <v>10300041</v>
          </cell>
          <cell r="B157">
            <v>1</v>
          </cell>
          <cell r="I157">
            <v>3300</v>
          </cell>
        </row>
        <row r="158">
          <cell r="A158" t="str">
            <v>10300070</v>
          </cell>
          <cell r="B158">
            <v>1</v>
          </cell>
          <cell r="I158">
            <v>3000</v>
          </cell>
        </row>
        <row r="159">
          <cell r="A159" t="str">
            <v>10300071</v>
          </cell>
          <cell r="B159">
            <v>1</v>
          </cell>
          <cell r="I159">
            <v>3300</v>
          </cell>
        </row>
        <row r="160">
          <cell r="A160" t="str">
            <v>10350010</v>
          </cell>
          <cell r="B160">
            <v>1</v>
          </cell>
          <cell r="I160">
            <v>3500</v>
          </cell>
        </row>
        <row r="161">
          <cell r="A161" t="str">
            <v>10350020</v>
          </cell>
          <cell r="B161">
            <v>1</v>
          </cell>
          <cell r="I161">
            <v>3500</v>
          </cell>
        </row>
        <row r="162">
          <cell r="A162" t="str">
            <v>10350030</v>
          </cell>
          <cell r="B162">
            <v>1</v>
          </cell>
          <cell r="I162">
            <v>3500</v>
          </cell>
        </row>
        <row r="163">
          <cell r="A163" t="str">
            <v>10350080</v>
          </cell>
          <cell r="B163">
            <v>1</v>
          </cell>
          <cell r="I163">
            <v>3500</v>
          </cell>
        </row>
        <row r="164">
          <cell r="A164" t="str">
            <v>10350090</v>
          </cell>
          <cell r="B164">
            <v>1</v>
          </cell>
          <cell r="I164">
            <v>3500</v>
          </cell>
        </row>
        <row r="165">
          <cell r="A165" t="str">
            <v>10350100</v>
          </cell>
          <cell r="B165">
            <v>1</v>
          </cell>
          <cell r="I165">
            <v>3500</v>
          </cell>
        </row>
        <row r="166">
          <cell r="A166" t="str">
            <v>10351050</v>
          </cell>
          <cell r="B166">
            <v>1</v>
          </cell>
          <cell r="I166">
            <v>3500</v>
          </cell>
        </row>
        <row r="167">
          <cell r="A167" t="str">
            <v>10351051</v>
          </cell>
          <cell r="B167">
            <v>0</v>
          </cell>
          <cell r="I167">
            <v>3800</v>
          </cell>
        </row>
        <row r="168">
          <cell r="A168" t="str">
            <v>10351060</v>
          </cell>
          <cell r="B168">
            <v>1</v>
          </cell>
          <cell r="I168">
            <v>3500</v>
          </cell>
        </row>
        <row r="169">
          <cell r="A169" t="str">
            <v>10351061</v>
          </cell>
          <cell r="B169">
            <v>1</v>
          </cell>
          <cell r="I169">
            <v>3800</v>
          </cell>
        </row>
        <row r="170">
          <cell r="A170" t="str">
            <v>10352050</v>
          </cell>
          <cell r="B170">
            <v>1</v>
          </cell>
          <cell r="I170">
            <v>3500</v>
          </cell>
        </row>
        <row r="171">
          <cell r="A171" t="str">
            <v>10352051</v>
          </cell>
          <cell r="B171">
            <v>0</v>
          </cell>
          <cell r="I171">
            <v>3800</v>
          </cell>
        </row>
        <row r="172">
          <cell r="A172" t="str">
            <v>10352060</v>
          </cell>
          <cell r="B172">
            <v>1</v>
          </cell>
          <cell r="I172">
            <v>3500</v>
          </cell>
        </row>
        <row r="173">
          <cell r="A173" t="str">
            <v>10352061</v>
          </cell>
          <cell r="B173">
            <v>1</v>
          </cell>
          <cell r="I173">
            <v>3800</v>
          </cell>
        </row>
        <row r="174">
          <cell r="A174" t="str">
            <v>10353050</v>
          </cell>
          <cell r="B174">
            <v>1</v>
          </cell>
          <cell r="I174">
            <v>3500</v>
          </cell>
        </row>
        <row r="175">
          <cell r="A175" t="str">
            <v>10353051</v>
          </cell>
          <cell r="B175">
            <v>0</v>
          </cell>
          <cell r="I175">
            <v>3800</v>
          </cell>
        </row>
        <row r="176">
          <cell r="A176" t="str">
            <v>10353060</v>
          </cell>
          <cell r="B176">
            <v>1</v>
          </cell>
          <cell r="I176">
            <v>3500</v>
          </cell>
        </row>
        <row r="177">
          <cell r="A177" t="str">
            <v>10353061</v>
          </cell>
          <cell r="B177">
            <v>1</v>
          </cell>
          <cell r="I177">
            <v>3800</v>
          </cell>
        </row>
        <row r="178">
          <cell r="A178" t="str">
            <v>10350040</v>
          </cell>
          <cell r="B178">
            <v>1</v>
          </cell>
          <cell r="I178">
            <v>3500</v>
          </cell>
        </row>
        <row r="179">
          <cell r="A179" t="str">
            <v>10350041</v>
          </cell>
          <cell r="B179">
            <v>1</v>
          </cell>
          <cell r="I179">
            <v>3800</v>
          </cell>
        </row>
        <row r="180">
          <cell r="A180" t="str">
            <v>10350070</v>
          </cell>
          <cell r="B180">
            <v>1</v>
          </cell>
          <cell r="I180">
            <v>3500</v>
          </cell>
        </row>
        <row r="181">
          <cell r="A181" t="str">
            <v>10350071</v>
          </cell>
          <cell r="B181">
            <v>0</v>
          </cell>
          <cell r="I181">
            <v>3800</v>
          </cell>
        </row>
        <row r="182">
          <cell r="A182" t="str">
            <v>10400010</v>
          </cell>
          <cell r="B182">
            <v>1</v>
          </cell>
          <cell r="I182">
            <v>4000</v>
          </cell>
        </row>
        <row r="183">
          <cell r="A183" t="str">
            <v>10400020</v>
          </cell>
          <cell r="B183">
            <v>1</v>
          </cell>
          <cell r="I183">
            <v>4000</v>
          </cell>
        </row>
        <row r="184">
          <cell r="A184" t="str">
            <v>10400030</v>
          </cell>
          <cell r="B184">
            <v>1</v>
          </cell>
          <cell r="I184">
            <v>4000</v>
          </cell>
        </row>
        <row r="185">
          <cell r="A185" t="str">
            <v>10400080</v>
          </cell>
          <cell r="B185">
            <v>1</v>
          </cell>
          <cell r="I185">
            <v>4000</v>
          </cell>
        </row>
        <row r="186">
          <cell r="A186" t="str">
            <v>10400090</v>
          </cell>
          <cell r="B186">
            <v>1</v>
          </cell>
          <cell r="I186">
            <v>4000</v>
          </cell>
        </row>
        <row r="187">
          <cell r="A187" t="str">
            <v>10400100</v>
          </cell>
          <cell r="B187">
            <v>1</v>
          </cell>
          <cell r="I187">
            <v>4000</v>
          </cell>
        </row>
        <row r="188">
          <cell r="A188" t="str">
            <v>10401050</v>
          </cell>
          <cell r="B188">
            <v>1</v>
          </cell>
          <cell r="I188">
            <v>4000</v>
          </cell>
        </row>
        <row r="189">
          <cell r="A189" t="str">
            <v>10401051</v>
          </cell>
          <cell r="B189">
            <v>1</v>
          </cell>
          <cell r="I189">
            <v>4300</v>
          </cell>
        </row>
        <row r="190">
          <cell r="A190" t="str">
            <v>10401060</v>
          </cell>
          <cell r="B190">
            <v>1</v>
          </cell>
          <cell r="I190">
            <v>4000</v>
          </cell>
        </row>
        <row r="191">
          <cell r="A191" t="str">
            <v>10401061</v>
          </cell>
          <cell r="B191">
            <v>0</v>
          </cell>
          <cell r="I191">
            <v>4300</v>
          </cell>
        </row>
        <row r="192">
          <cell r="A192" t="str">
            <v>10402050</v>
          </cell>
          <cell r="B192">
            <v>1</v>
          </cell>
          <cell r="I192">
            <v>4000</v>
          </cell>
        </row>
        <row r="193">
          <cell r="A193" t="str">
            <v>10402051</v>
          </cell>
          <cell r="B193">
            <v>1</v>
          </cell>
          <cell r="I193">
            <v>4300</v>
          </cell>
        </row>
        <row r="194">
          <cell r="A194" t="str">
            <v>10402060</v>
          </cell>
          <cell r="B194">
            <v>1</v>
          </cell>
          <cell r="I194">
            <v>4000</v>
          </cell>
        </row>
        <row r="195">
          <cell r="A195" t="str">
            <v>10402061</v>
          </cell>
          <cell r="B195">
            <v>0</v>
          </cell>
          <cell r="I195">
            <v>4300</v>
          </cell>
        </row>
        <row r="196">
          <cell r="A196" t="str">
            <v>10403050</v>
          </cell>
          <cell r="B196">
            <v>1</v>
          </cell>
          <cell r="I196">
            <v>4000</v>
          </cell>
        </row>
        <row r="197">
          <cell r="A197" t="str">
            <v>10403051</v>
          </cell>
          <cell r="B197">
            <v>1</v>
          </cell>
          <cell r="I197">
            <v>4300</v>
          </cell>
        </row>
        <row r="198">
          <cell r="A198" t="str">
            <v>10403060</v>
          </cell>
          <cell r="B198">
            <v>1</v>
          </cell>
          <cell r="I198">
            <v>4000</v>
          </cell>
        </row>
        <row r="199">
          <cell r="A199" t="str">
            <v>10403061</v>
          </cell>
          <cell r="B199">
            <v>0</v>
          </cell>
          <cell r="I199">
            <v>4300</v>
          </cell>
        </row>
        <row r="200">
          <cell r="A200" t="str">
            <v>10400040</v>
          </cell>
          <cell r="B200">
            <v>1</v>
          </cell>
          <cell r="I200">
            <v>4000</v>
          </cell>
        </row>
        <row r="201">
          <cell r="A201" t="str">
            <v>10400041</v>
          </cell>
          <cell r="B201">
            <v>0</v>
          </cell>
          <cell r="I201">
            <v>4300</v>
          </cell>
        </row>
        <row r="202">
          <cell r="A202" t="str">
            <v>10400070</v>
          </cell>
          <cell r="B202">
            <v>1</v>
          </cell>
          <cell r="I202">
            <v>4000</v>
          </cell>
        </row>
        <row r="203">
          <cell r="A203" t="str">
            <v>10400071</v>
          </cell>
          <cell r="B203">
            <v>0</v>
          </cell>
          <cell r="I203">
            <v>4300</v>
          </cell>
        </row>
        <row r="204">
          <cell r="A204" t="str">
            <v>10450010</v>
          </cell>
          <cell r="B204">
            <v>1</v>
          </cell>
          <cell r="I204">
            <v>4500</v>
          </cell>
        </row>
        <row r="205">
          <cell r="A205" t="str">
            <v>10450020</v>
          </cell>
          <cell r="B205">
            <v>1</v>
          </cell>
          <cell r="I205">
            <v>4500</v>
          </cell>
        </row>
        <row r="206">
          <cell r="A206" t="str">
            <v>10450030</v>
          </cell>
          <cell r="B206">
            <v>1</v>
          </cell>
          <cell r="I206">
            <v>4500</v>
          </cell>
        </row>
        <row r="207">
          <cell r="A207" t="str">
            <v>10450080</v>
          </cell>
          <cell r="B207">
            <v>1</v>
          </cell>
          <cell r="I207">
            <v>4500</v>
          </cell>
        </row>
        <row r="208">
          <cell r="A208" t="str">
            <v>10450090</v>
          </cell>
          <cell r="B208">
            <v>1</v>
          </cell>
          <cell r="I208">
            <v>4500</v>
          </cell>
        </row>
        <row r="209">
          <cell r="A209" t="str">
            <v>10450100</v>
          </cell>
          <cell r="B209">
            <v>1</v>
          </cell>
          <cell r="I209">
            <v>4500</v>
          </cell>
        </row>
        <row r="210">
          <cell r="A210" t="str">
            <v>10451050</v>
          </cell>
          <cell r="B210">
            <v>1</v>
          </cell>
          <cell r="I210">
            <v>4500</v>
          </cell>
        </row>
        <row r="211">
          <cell r="A211" t="str">
            <v>10451051</v>
          </cell>
          <cell r="B211">
            <v>0</v>
          </cell>
          <cell r="I211">
            <v>4800</v>
          </cell>
        </row>
        <row r="212">
          <cell r="A212" t="str">
            <v>10451060</v>
          </cell>
          <cell r="B212">
            <v>1</v>
          </cell>
          <cell r="I212">
            <v>4500</v>
          </cell>
        </row>
        <row r="213">
          <cell r="A213" t="str">
            <v>10451061</v>
          </cell>
          <cell r="B213">
            <v>0</v>
          </cell>
          <cell r="I213">
            <v>4800</v>
          </cell>
        </row>
        <row r="214">
          <cell r="A214" t="str">
            <v>10452050</v>
          </cell>
          <cell r="B214">
            <v>1</v>
          </cell>
          <cell r="I214">
            <v>4500</v>
          </cell>
        </row>
        <row r="215">
          <cell r="A215" t="str">
            <v>10452051</v>
          </cell>
          <cell r="B215">
            <v>0</v>
          </cell>
          <cell r="I215">
            <v>4800</v>
          </cell>
        </row>
        <row r="216">
          <cell r="A216" t="str">
            <v>10452060</v>
          </cell>
          <cell r="B216">
            <v>1</v>
          </cell>
          <cell r="I216">
            <v>4500</v>
          </cell>
        </row>
        <row r="217">
          <cell r="A217" t="str">
            <v>10452061</v>
          </cell>
          <cell r="B217">
            <v>0</v>
          </cell>
          <cell r="I217">
            <v>4800</v>
          </cell>
        </row>
        <row r="218">
          <cell r="A218" t="str">
            <v>10453050</v>
          </cell>
          <cell r="B218">
            <v>1</v>
          </cell>
          <cell r="I218">
            <v>4500</v>
          </cell>
        </row>
        <row r="219">
          <cell r="A219" t="str">
            <v>10453051</v>
          </cell>
          <cell r="B219">
            <v>1</v>
          </cell>
          <cell r="I219">
            <v>4800</v>
          </cell>
        </row>
        <row r="220">
          <cell r="A220" t="str">
            <v>10453060</v>
          </cell>
          <cell r="B220">
            <v>1</v>
          </cell>
          <cell r="I220">
            <v>4500</v>
          </cell>
        </row>
        <row r="221">
          <cell r="A221" t="str">
            <v>10453061</v>
          </cell>
          <cell r="B221">
            <v>0</v>
          </cell>
          <cell r="I221">
            <v>4800</v>
          </cell>
        </row>
        <row r="222">
          <cell r="A222" t="str">
            <v>10450040</v>
          </cell>
          <cell r="B222">
            <v>1</v>
          </cell>
          <cell r="I222">
            <v>4500</v>
          </cell>
        </row>
        <row r="223">
          <cell r="A223" t="str">
            <v>10450041</v>
          </cell>
          <cell r="B223">
            <v>1</v>
          </cell>
          <cell r="I223">
            <v>4800</v>
          </cell>
        </row>
        <row r="224">
          <cell r="A224" t="str">
            <v>10450070</v>
          </cell>
          <cell r="B224">
            <v>1</v>
          </cell>
          <cell r="I224">
            <v>4500</v>
          </cell>
        </row>
        <row r="225">
          <cell r="A225" t="str">
            <v>10450071</v>
          </cell>
          <cell r="B225">
            <v>1</v>
          </cell>
          <cell r="I225">
            <v>4800</v>
          </cell>
        </row>
        <row r="226">
          <cell r="A226" t="str">
            <v>10500010</v>
          </cell>
          <cell r="B226">
            <v>1</v>
          </cell>
          <cell r="I226">
            <v>5000</v>
          </cell>
        </row>
        <row r="227">
          <cell r="A227" t="str">
            <v>10500020</v>
          </cell>
          <cell r="B227">
            <v>1</v>
          </cell>
          <cell r="I227">
            <v>5000</v>
          </cell>
        </row>
        <row r="228">
          <cell r="A228" t="str">
            <v>10500030</v>
          </cell>
          <cell r="B228">
            <v>1</v>
          </cell>
          <cell r="I228">
            <v>5000</v>
          </cell>
        </row>
        <row r="229">
          <cell r="A229" t="str">
            <v>10500080</v>
          </cell>
          <cell r="B229">
            <v>1</v>
          </cell>
          <cell r="I229">
            <v>5000</v>
          </cell>
        </row>
        <row r="230">
          <cell r="A230" t="str">
            <v>10500090</v>
          </cell>
          <cell r="B230">
            <v>1</v>
          </cell>
          <cell r="I230">
            <v>5000</v>
          </cell>
        </row>
        <row r="231">
          <cell r="A231" t="str">
            <v>10500100</v>
          </cell>
          <cell r="B231">
            <v>1</v>
          </cell>
          <cell r="I231">
            <v>5000</v>
          </cell>
        </row>
        <row r="232">
          <cell r="A232" t="str">
            <v>10501050</v>
          </cell>
          <cell r="B232">
            <v>1</v>
          </cell>
          <cell r="I232">
            <v>5000</v>
          </cell>
        </row>
        <row r="233">
          <cell r="A233" t="str">
            <v>10501051</v>
          </cell>
          <cell r="B233">
            <v>1</v>
          </cell>
          <cell r="I233">
            <v>5300</v>
          </cell>
        </row>
        <row r="234">
          <cell r="A234" t="str">
            <v>10501060</v>
          </cell>
          <cell r="B234">
            <v>1</v>
          </cell>
          <cell r="I234">
            <v>5000</v>
          </cell>
        </row>
        <row r="235">
          <cell r="A235" t="str">
            <v>10501061</v>
          </cell>
          <cell r="B235">
            <v>1</v>
          </cell>
          <cell r="I235">
            <v>5300</v>
          </cell>
        </row>
        <row r="236">
          <cell r="A236" t="str">
            <v>10502050</v>
          </cell>
          <cell r="B236">
            <v>1</v>
          </cell>
          <cell r="I236">
            <v>5000</v>
          </cell>
        </row>
        <row r="237">
          <cell r="A237" t="str">
            <v>10502051</v>
          </cell>
          <cell r="B237">
            <v>1</v>
          </cell>
          <cell r="I237">
            <v>5300</v>
          </cell>
        </row>
        <row r="238">
          <cell r="A238" t="str">
            <v>10502060</v>
          </cell>
          <cell r="B238">
            <v>1</v>
          </cell>
          <cell r="I238">
            <v>5000</v>
          </cell>
        </row>
        <row r="239">
          <cell r="A239" t="str">
            <v>10502061</v>
          </cell>
          <cell r="B239">
            <v>1</v>
          </cell>
          <cell r="I239">
            <v>5300</v>
          </cell>
        </row>
        <row r="240">
          <cell r="A240" t="str">
            <v>10503050</v>
          </cell>
          <cell r="B240">
            <v>1</v>
          </cell>
          <cell r="I240">
            <v>5000</v>
          </cell>
        </row>
        <row r="241">
          <cell r="A241" t="str">
            <v>10503051</v>
          </cell>
          <cell r="B241">
            <v>1</v>
          </cell>
          <cell r="I241">
            <v>5300</v>
          </cell>
        </row>
        <row r="242">
          <cell r="A242" t="str">
            <v>10503060</v>
          </cell>
          <cell r="B242">
            <v>1</v>
          </cell>
          <cell r="I242">
            <v>5000</v>
          </cell>
        </row>
        <row r="243">
          <cell r="A243" t="str">
            <v>10503061</v>
          </cell>
          <cell r="B243">
            <v>1</v>
          </cell>
          <cell r="I243">
            <v>5300</v>
          </cell>
        </row>
        <row r="244">
          <cell r="A244" t="str">
            <v>10500040</v>
          </cell>
          <cell r="B244">
            <v>1</v>
          </cell>
          <cell r="I244">
            <v>5000</v>
          </cell>
        </row>
        <row r="245">
          <cell r="A245" t="str">
            <v>10500041</v>
          </cell>
          <cell r="B245">
            <v>0</v>
          </cell>
          <cell r="I245">
            <v>5300</v>
          </cell>
        </row>
        <row r="246">
          <cell r="A246" t="str">
            <v>10500070</v>
          </cell>
          <cell r="B246">
            <v>1</v>
          </cell>
          <cell r="I246">
            <v>5000</v>
          </cell>
        </row>
        <row r="247">
          <cell r="A247" t="str">
            <v>10500071</v>
          </cell>
          <cell r="B247">
            <v>0</v>
          </cell>
          <cell r="I247">
            <v>5300</v>
          </cell>
        </row>
        <row r="248">
          <cell r="A248" t="str">
            <v>10550010</v>
          </cell>
          <cell r="B248">
            <v>1</v>
          </cell>
          <cell r="I248">
            <v>5500</v>
          </cell>
        </row>
        <row r="249">
          <cell r="A249" t="str">
            <v>10550020</v>
          </cell>
          <cell r="B249">
            <v>1</v>
          </cell>
          <cell r="I249">
            <v>5500</v>
          </cell>
        </row>
        <row r="250">
          <cell r="A250" t="str">
            <v>10550030</v>
          </cell>
          <cell r="B250">
            <v>1</v>
          </cell>
          <cell r="I250">
            <v>5500</v>
          </cell>
        </row>
        <row r="251">
          <cell r="A251" t="str">
            <v>10550080</v>
          </cell>
          <cell r="B251">
            <v>1</v>
          </cell>
          <cell r="I251">
            <v>5500</v>
          </cell>
        </row>
        <row r="252">
          <cell r="A252" t="str">
            <v>10550090</v>
          </cell>
          <cell r="B252">
            <v>0</v>
          </cell>
          <cell r="I252">
            <v>5500</v>
          </cell>
        </row>
        <row r="253">
          <cell r="A253" t="str">
            <v>10550100</v>
          </cell>
          <cell r="B253">
            <v>1</v>
          </cell>
          <cell r="I253">
            <v>5500</v>
          </cell>
        </row>
        <row r="254">
          <cell r="A254" t="str">
            <v>10551050</v>
          </cell>
          <cell r="B254">
            <v>1</v>
          </cell>
          <cell r="I254">
            <v>5500</v>
          </cell>
        </row>
        <row r="255">
          <cell r="A255" t="str">
            <v>10551051</v>
          </cell>
          <cell r="B255">
            <v>0</v>
          </cell>
          <cell r="I255">
            <v>5800</v>
          </cell>
        </row>
        <row r="256">
          <cell r="A256" t="str">
            <v>10551060</v>
          </cell>
          <cell r="B256">
            <v>1</v>
          </cell>
          <cell r="I256">
            <v>5500</v>
          </cell>
        </row>
        <row r="257">
          <cell r="A257" t="str">
            <v>10551061</v>
          </cell>
          <cell r="B257">
            <v>1</v>
          </cell>
          <cell r="I257">
            <v>5800</v>
          </cell>
        </row>
        <row r="258">
          <cell r="A258" t="str">
            <v>10552050</v>
          </cell>
          <cell r="B258">
            <v>1</v>
          </cell>
          <cell r="I258">
            <v>5500</v>
          </cell>
        </row>
        <row r="259">
          <cell r="A259" t="str">
            <v>10552051</v>
          </cell>
          <cell r="B259">
            <v>0</v>
          </cell>
          <cell r="I259">
            <v>5800</v>
          </cell>
        </row>
        <row r="260">
          <cell r="A260" t="str">
            <v>10552060</v>
          </cell>
          <cell r="B260">
            <v>1</v>
          </cell>
          <cell r="I260">
            <v>5500</v>
          </cell>
        </row>
        <row r="261">
          <cell r="A261" t="str">
            <v>10552061</v>
          </cell>
          <cell r="B261">
            <v>1</v>
          </cell>
          <cell r="I261">
            <v>5800</v>
          </cell>
        </row>
        <row r="262">
          <cell r="A262" t="str">
            <v>10553050</v>
          </cell>
          <cell r="B262">
            <v>1</v>
          </cell>
          <cell r="I262">
            <v>5500</v>
          </cell>
        </row>
        <row r="263">
          <cell r="A263" t="str">
            <v>10553051</v>
          </cell>
          <cell r="B263">
            <v>0</v>
          </cell>
          <cell r="I263">
            <v>5800</v>
          </cell>
        </row>
        <row r="264">
          <cell r="A264" t="str">
            <v>10553060</v>
          </cell>
          <cell r="B264">
            <v>1</v>
          </cell>
          <cell r="I264">
            <v>5500</v>
          </cell>
        </row>
        <row r="265">
          <cell r="A265" t="str">
            <v>10553061</v>
          </cell>
          <cell r="B265">
            <v>1</v>
          </cell>
          <cell r="I265">
            <v>5800</v>
          </cell>
        </row>
        <row r="266">
          <cell r="A266" t="str">
            <v>10550040</v>
          </cell>
          <cell r="B266">
            <v>1</v>
          </cell>
          <cell r="I266">
            <v>5500</v>
          </cell>
        </row>
        <row r="267">
          <cell r="A267" t="str">
            <v>10550041</v>
          </cell>
          <cell r="B267">
            <v>0</v>
          </cell>
          <cell r="I267">
            <v>5800</v>
          </cell>
        </row>
        <row r="268">
          <cell r="A268" t="str">
            <v>10550070</v>
          </cell>
          <cell r="B268">
            <v>1</v>
          </cell>
          <cell r="I268">
            <v>5500</v>
          </cell>
        </row>
        <row r="269">
          <cell r="A269" t="str">
            <v>10550071</v>
          </cell>
          <cell r="B269">
            <v>0</v>
          </cell>
          <cell r="I269">
            <v>5800</v>
          </cell>
        </row>
        <row r="270">
          <cell r="A270" t="str">
            <v>10600010</v>
          </cell>
          <cell r="B270">
            <v>1</v>
          </cell>
          <cell r="I270">
            <v>6000</v>
          </cell>
        </row>
        <row r="271">
          <cell r="A271" t="str">
            <v>10600020</v>
          </cell>
          <cell r="B271">
            <v>1</v>
          </cell>
          <cell r="I271">
            <v>6000</v>
          </cell>
        </row>
        <row r="272">
          <cell r="A272" t="str">
            <v>10600030</v>
          </cell>
          <cell r="B272">
            <v>1</v>
          </cell>
          <cell r="I272">
            <v>6000</v>
          </cell>
        </row>
        <row r="273">
          <cell r="A273" t="str">
            <v>10600080</v>
          </cell>
          <cell r="B273">
            <v>1</v>
          </cell>
          <cell r="I273">
            <v>6000</v>
          </cell>
        </row>
        <row r="274">
          <cell r="A274" t="str">
            <v>10600090</v>
          </cell>
          <cell r="B274">
            <v>1</v>
          </cell>
          <cell r="I274">
            <v>6000</v>
          </cell>
        </row>
        <row r="275">
          <cell r="A275" t="str">
            <v>10600100</v>
          </cell>
          <cell r="B275">
            <v>1</v>
          </cell>
          <cell r="I275">
            <v>6000</v>
          </cell>
        </row>
        <row r="276">
          <cell r="A276" t="str">
            <v>10601050</v>
          </cell>
          <cell r="B276">
            <v>1</v>
          </cell>
          <cell r="I276">
            <v>6000</v>
          </cell>
        </row>
        <row r="277">
          <cell r="A277" t="str">
            <v>10601051</v>
          </cell>
          <cell r="B277">
            <v>1</v>
          </cell>
          <cell r="I277">
            <v>6300</v>
          </cell>
        </row>
        <row r="278">
          <cell r="A278" t="str">
            <v>10601060</v>
          </cell>
          <cell r="B278">
            <v>1</v>
          </cell>
          <cell r="I278">
            <v>6000</v>
          </cell>
        </row>
        <row r="279">
          <cell r="A279" t="str">
            <v>10601061</v>
          </cell>
          <cell r="B279">
            <v>0</v>
          </cell>
          <cell r="I279">
            <v>6300</v>
          </cell>
        </row>
        <row r="280">
          <cell r="A280" t="str">
            <v>10602050</v>
          </cell>
          <cell r="B280">
            <v>1</v>
          </cell>
          <cell r="I280">
            <v>6000</v>
          </cell>
        </row>
        <row r="281">
          <cell r="A281" t="str">
            <v>10602051</v>
          </cell>
          <cell r="B281">
            <v>0</v>
          </cell>
          <cell r="I281">
            <v>6300</v>
          </cell>
        </row>
        <row r="282">
          <cell r="A282" t="str">
            <v>10602060</v>
          </cell>
          <cell r="B282">
            <v>1</v>
          </cell>
          <cell r="I282">
            <v>6000</v>
          </cell>
        </row>
        <row r="283">
          <cell r="A283" t="str">
            <v>10602061</v>
          </cell>
          <cell r="B283">
            <v>0</v>
          </cell>
          <cell r="I283">
            <v>6300</v>
          </cell>
        </row>
        <row r="284">
          <cell r="A284" t="str">
            <v>10603050</v>
          </cell>
          <cell r="B284">
            <v>1</v>
          </cell>
          <cell r="I284">
            <v>6000</v>
          </cell>
        </row>
        <row r="285">
          <cell r="A285" t="str">
            <v>10603051</v>
          </cell>
          <cell r="B285">
            <v>0</v>
          </cell>
          <cell r="I285">
            <v>6300</v>
          </cell>
        </row>
        <row r="286">
          <cell r="A286" t="str">
            <v>10603060</v>
          </cell>
          <cell r="B286">
            <v>1</v>
          </cell>
          <cell r="I286">
            <v>6000</v>
          </cell>
        </row>
        <row r="287">
          <cell r="A287" t="str">
            <v>10603061</v>
          </cell>
          <cell r="B287">
            <v>0</v>
          </cell>
          <cell r="I287">
            <v>6300</v>
          </cell>
        </row>
        <row r="288">
          <cell r="A288" t="str">
            <v>10600040</v>
          </cell>
          <cell r="B288">
            <v>1</v>
          </cell>
          <cell r="I288">
            <v>6000</v>
          </cell>
        </row>
        <row r="289">
          <cell r="A289" t="str">
            <v>10600041</v>
          </cell>
          <cell r="B289">
            <v>0</v>
          </cell>
          <cell r="I289">
            <v>6300</v>
          </cell>
        </row>
        <row r="290">
          <cell r="A290" t="str">
            <v>10600070</v>
          </cell>
          <cell r="B290">
            <v>1</v>
          </cell>
          <cell r="I290">
            <v>6000</v>
          </cell>
        </row>
        <row r="291">
          <cell r="A291" t="str">
            <v>10600071</v>
          </cell>
          <cell r="B291">
            <v>1</v>
          </cell>
          <cell r="I291">
            <v>6300</v>
          </cell>
        </row>
        <row r="292">
          <cell r="A292" t="str">
            <v>10650010</v>
          </cell>
          <cell r="B292">
            <v>1</v>
          </cell>
          <cell r="I292">
            <v>6500</v>
          </cell>
        </row>
        <row r="293">
          <cell r="A293" t="str">
            <v>10650020</v>
          </cell>
          <cell r="B293">
            <v>1</v>
          </cell>
          <cell r="I293">
            <v>6500</v>
          </cell>
        </row>
        <row r="294">
          <cell r="A294" t="str">
            <v>10650030</v>
          </cell>
          <cell r="B294">
            <v>1</v>
          </cell>
          <cell r="I294">
            <v>6500</v>
          </cell>
        </row>
        <row r="295">
          <cell r="A295" t="str">
            <v>10650080</v>
          </cell>
          <cell r="B295">
            <v>1</v>
          </cell>
          <cell r="I295">
            <v>6500</v>
          </cell>
        </row>
        <row r="296">
          <cell r="A296" t="str">
            <v>10650090</v>
          </cell>
          <cell r="B296">
            <v>1</v>
          </cell>
          <cell r="I296">
            <v>6500</v>
          </cell>
        </row>
        <row r="297">
          <cell r="A297" t="str">
            <v>10650100</v>
          </cell>
          <cell r="B297">
            <v>1</v>
          </cell>
          <cell r="I297">
            <v>6500</v>
          </cell>
        </row>
        <row r="298">
          <cell r="A298" t="str">
            <v>10651050</v>
          </cell>
          <cell r="B298">
            <v>1</v>
          </cell>
          <cell r="I298">
            <v>6500</v>
          </cell>
        </row>
        <row r="299">
          <cell r="A299" t="str">
            <v>10651051</v>
          </cell>
          <cell r="B299">
            <v>0</v>
          </cell>
          <cell r="I299">
            <v>6800</v>
          </cell>
        </row>
        <row r="300">
          <cell r="A300" t="str">
            <v>10651060</v>
          </cell>
          <cell r="B300">
            <v>1</v>
          </cell>
          <cell r="I300">
            <v>6500</v>
          </cell>
        </row>
        <row r="301">
          <cell r="A301" t="str">
            <v>10651061</v>
          </cell>
          <cell r="B301">
            <v>0</v>
          </cell>
          <cell r="I301">
            <v>6800</v>
          </cell>
        </row>
        <row r="302">
          <cell r="A302" t="str">
            <v>10652050</v>
          </cell>
          <cell r="B302">
            <v>1</v>
          </cell>
          <cell r="I302">
            <v>6500</v>
          </cell>
        </row>
        <row r="303">
          <cell r="A303" t="str">
            <v>10652051</v>
          </cell>
          <cell r="B303">
            <v>0</v>
          </cell>
          <cell r="I303">
            <v>6800</v>
          </cell>
        </row>
        <row r="304">
          <cell r="A304" t="str">
            <v>10652060</v>
          </cell>
          <cell r="B304">
            <v>1</v>
          </cell>
          <cell r="I304">
            <v>6500</v>
          </cell>
        </row>
        <row r="305">
          <cell r="A305" t="str">
            <v>10652061</v>
          </cell>
          <cell r="B305">
            <v>0</v>
          </cell>
          <cell r="I305">
            <v>6800</v>
          </cell>
        </row>
        <row r="306">
          <cell r="A306" t="str">
            <v>10653050</v>
          </cell>
          <cell r="B306">
            <v>1</v>
          </cell>
          <cell r="I306">
            <v>6500</v>
          </cell>
        </row>
        <row r="307">
          <cell r="A307" t="str">
            <v>10653051</v>
          </cell>
          <cell r="B307">
            <v>0</v>
          </cell>
          <cell r="I307">
            <v>6800</v>
          </cell>
        </row>
        <row r="308">
          <cell r="A308" t="str">
            <v>10653060</v>
          </cell>
          <cell r="B308">
            <v>1</v>
          </cell>
          <cell r="I308">
            <v>6500</v>
          </cell>
        </row>
        <row r="309">
          <cell r="A309" t="str">
            <v>10653061</v>
          </cell>
          <cell r="B309">
            <v>0</v>
          </cell>
          <cell r="I309">
            <v>6800</v>
          </cell>
        </row>
        <row r="310">
          <cell r="A310" t="str">
            <v>10650040</v>
          </cell>
          <cell r="B310">
            <v>1</v>
          </cell>
          <cell r="I310">
            <v>6500</v>
          </cell>
        </row>
        <row r="311">
          <cell r="A311" t="str">
            <v>10650041</v>
          </cell>
          <cell r="B311">
            <v>0</v>
          </cell>
          <cell r="I311">
            <v>6800</v>
          </cell>
        </row>
        <row r="312">
          <cell r="A312" t="str">
            <v>10650070</v>
          </cell>
          <cell r="B312">
            <v>1</v>
          </cell>
          <cell r="I312">
            <v>6500</v>
          </cell>
        </row>
        <row r="313">
          <cell r="A313" t="str">
            <v>10650071</v>
          </cell>
          <cell r="B313">
            <v>0</v>
          </cell>
          <cell r="I313">
            <v>6800</v>
          </cell>
        </row>
        <row r="314">
          <cell r="A314" t="str">
            <v>10700010</v>
          </cell>
          <cell r="B314">
            <v>1</v>
          </cell>
          <cell r="I314">
            <v>7000</v>
          </cell>
        </row>
        <row r="315">
          <cell r="A315" t="str">
            <v>10700020</v>
          </cell>
          <cell r="B315">
            <v>1</v>
          </cell>
          <cell r="I315">
            <v>7000</v>
          </cell>
        </row>
        <row r="316">
          <cell r="A316" t="str">
            <v>10700030</v>
          </cell>
          <cell r="B316">
            <v>1</v>
          </cell>
          <cell r="I316">
            <v>7000</v>
          </cell>
        </row>
        <row r="317">
          <cell r="A317" t="str">
            <v>10700080</v>
          </cell>
          <cell r="B317">
            <v>1</v>
          </cell>
          <cell r="I317">
            <v>7000</v>
          </cell>
        </row>
        <row r="318">
          <cell r="A318" t="str">
            <v>10700090</v>
          </cell>
          <cell r="B318">
            <v>1</v>
          </cell>
          <cell r="I318">
            <v>7000</v>
          </cell>
        </row>
        <row r="319">
          <cell r="A319" t="str">
            <v>10700100</v>
          </cell>
          <cell r="B319">
            <v>1</v>
          </cell>
          <cell r="I319">
            <v>7000</v>
          </cell>
        </row>
        <row r="320">
          <cell r="A320" t="str">
            <v>10701050</v>
          </cell>
          <cell r="B320">
            <v>1</v>
          </cell>
          <cell r="I320">
            <v>7000</v>
          </cell>
        </row>
        <row r="321">
          <cell r="A321" t="str">
            <v>10701051</v>
          </cell>
          <cell r="B321">
            <v>0</v>
          </cell>
          <cell r="I321">
            <v>7300</v>
          </cell>
        </row>
        <row r="322">
          <cell r="A322" t="str">
            <v>10701060</v>
          </cell>
          <cell r="B322">
            <v>1</v>
          </cell>
          <cell r="I322">
            <v>7000</v>
          </cell>
        </row>
        <row r="323">
          <cell r="A323" t="str">
            <v>10701061</v>
          </cell>
          <cell r="B323">
            <v>0</v>
          </cell>
          <cell r="I323">
            <v>7300</v>
          </cell>
        </row>
        <row r="324">
          <cell r="A324" t="str">
            <v>10702050</v>
          </cell>
          <cell r="B324">
            <v>1</v>
          </cell>
          <cell r="I324">
            <v>7000</v>
          </cell>
        </row>
        <row r="325">
          <cell r="A325" t="str">
            <v>10702051</v>
          </cell>
          <cell r="B325">
            <v>0</v>
          </cell>
          <cell r="I325">
            <v>7300</v>
          </cell>
        </row>
        <row r="326">
          <cell r="A326" t="str">
            <v>10702060</v>
          </cell>
          <cell r="B326">
            <v>1</v>
          </cell>
          <cell r="I326">
            <v>7000</v>
          </cell>
        </row>
        <row r="327">
          <cell r="A327" t="str">
            <v>10702061</v>
          </cell>
          <cell r="B327">
            <v>0</v>
          </cell>
          <cell r="I327">
            <v>7300</v>
          </cell>
        </row>
        <row r="328">
          <cell r="A328" t="str">
            <v>10703050</v>
          </cell>
          <cell r="B328">
            <v>1</v>
          </cell>
          <cell r="I328">
            <v>7000</v>
          </cell>
        </row>
        <row r="329">
          <cell r="A329" t="str">
            <v>10703051</v>
          </cell>
          <cell r="B329">
            <v>0</v>
          </cell>
          <cell r="I329">
            <v>7300</v>
          </cell>
        </row>
        <row r="330">
          <cell r="A330" t="str">
            <v>10703060</v>
          </cell>
          <cell r="B330">
            <v>1</v>
          </cell>
          <cell r="I330">
            <v>7000</v>
          </cell>
        </row>
        <row r="331">
          <cell r="A331" t="str">
            <v>10703061</v>
          </cell>
          <cell r="B331">
            <v>0</v>
          </cell>
          <cell r="I331">
            <v>7300</v>
          </cell>
        </row>
        <row r="332">
          <cell r="A332" t="str">
            <v>10700040</v>
          </cell>
          <cell r="B332">
            <v>1</v>
          </cell>
          <cell r="I332">
            <v>7000</v>
          </cell>
        </row>
        <row r="333">
          <cell r="A333" t="str">
            <v>10700041</v>
          </cell>
          <cell r="B333">
            <v>0</v>
          </cell>
          <cell r="I333">
            <v>7300</v>
          </cell>
        </row>
        <row r="334">
          <cell r="A334" t="str">
            <v>10700070</v>
          </cell>
          <cell r="B334">
            <v>1</v>
          </cell>
          <cell r="I334">
            <v>7000</v>
          </cell>
        </row>
        <row r="335">
          <cell r="A335" t="str">
            <v>10700071</v>
          </cell>
          <cell r="B335">
            <v>0</v>
          </cell>
          <cell r="I335">
            <v>7300</v>
          </cell>
        </row>
        <row r="336">
          <cell r="A336">
            <v>10750010</v>
          </cell>
          <cell r="B336">
            <v>1</v>
          </cell>
          <cell r="I336">
            <v>7600</v>
          </cell>
        </row>
        <row r="337">
          <cell r="A337">
            <v>10750020</v>
          </cell>
          <cell r="B337">
            <v>1</v>
          </cell>
          <cell r="I337">
            <v>7600</v>
          </cell>
        </row>
        <row r="338">
          <cell r="A338">
            <v>10750030</v>
          </cell>
          <cell r="B338">
            <v>1</v>
          </cell>
          <cell r="I338">
            <v>7600</v>
          </cell>
        </row>
        <row r="339">
          <cell r="A339">
            <v>10750080</v>
          </cell>
          <cell r="B339">
            <v>1</v>
          </cell>
          <cell r="I339">
            <v>7600</v>
          </cell>
        </row>
        <row r="340">
          <cell r="A340">
            <v>10750090</v>
          </cell>
          <cell r="B340">
            <v>1</v>
          </cell>
          <cell r="I340">
            <v>7600</v>
          </cell>
        </row>
        <row r="341">
          <cell r="A341">
            <v>10750100</v>
          </cell>
          <cell r="B341">
            <v>1</v>
          </cell>
          <cell r="I341">
            <v>7600</v>
          </cell>
        </row>
        <row r="342">
          <cell r="A342">
            <v>10751050</v>
          </cell>
          <cell r="B342">
            <v>1</v>
          </cell>
          <cell r="I342">
            <v>7600</v>
          </cell>
        </row>
        <row r="343">
          <cell r="A343">
            <v>10751051</v>
          </cell>
          <cell r="B343">
            <v>1</v>
          </cell>
          <cell r="I343">
            <v>7900</v>
          </cell>
        </row>
        <row r="344">
          <cell r="A344">
            <v>10751060</v>
          </cell>
          <cell r="B344">
            <v>1</v>
          </cell>
          <cell r="I344">
            <v>7600</v>
          </cell>
        </row>
        <row r="345">
          <cell r="A345">
            <v>10751061</v>
          </cell>
          <cell r="B345">
            <v>1</v>
          </cell>
          <cell r="I345">
            <v>7900</v>
          </cell>
        </row>
        <row r="346">
          <cell r="A346">
            <v>10752050</v>
          </cell>
          <cell r="B346">
            <v>1</v>
          </cell>
          <cell r="I346">
            <v>7600</v>
          </cell>
        </row>
        <row r="347">
          <cell r="A347">
            <v>10752051</v>
          </cell>
          <cell r="B347">
            <v>1</v>
          </cell>
          <cell r="I347">
            <v>7900</v>
          </cell>
        </row>
        <row r="348">
          <cell r="A348">
            <v>10752060</v>
          </cell>
          <cell r="B348">
            <v>1</v>
          </cell>
          <cell r="I348">
            <v>7600</v>
          </cell>
        </row>
        <row r="349">
          <cell r="A349">
            <v>10752061</v>
          </cell>
          <cell r="B349">
            <v>1</v>
          </cell>
          <cell r="I349">
            <v>7900</v>
          </cell>
        </row>
        <row r="350">
          <cell r="A350">
            <v>10753050</v>
          </cell>
          <cell r="B350">
            <v>1</v>
          </cell>
          <cell r="I350">
            <v>7600</v>
          </cell>
        </row>
        <row r="351">
          <cell r="A351">
            <v>10753051</v>
          </cell>
          <cell r="B351">
            <v>1</v>
          </cell>
          <cell r="I351">
            <v>7900</v>
          </cell>
        </row>
        <row r="352">
          <cell r="A352">
            <v>10753060</v>
          </cell>
          <cell r="B352">
            <v>1</v>
          </cell>
          <cell r="I352">
            <v>7600</v>
          </cell>
        </row>
        <row r="353">
          <cell r="A353">
            <v>10753061</v>
          </cell>
          <cell r="B353">
            <v>1</v>
          </cell>
          <cell r="I353">
            <v>7900</v>
          </cell>
        </row>
        <row r="354">
          <cell r="A354">
            <v>10750040</v>
          </cell>
          <cell r="B354">
            <v>1</v>
          </cell>
          <cell r="I354">
            <v>7600</v>
          </cell>
        </row>
        <row r="355">
          <cell r="A355">
            <v>10750041</v>
          </cell>
          <cell r="B355">
            <v>1</v>
          </cell>
          <cell r="I355">
            <v>7900</v>
          </cell>
        </row>
        <row r="356">
          <cell r="A356">
            <v>10750070</v>
          </cell>
          <cell r="B356">
            <v>1</v>
          </cell>
          <cell r="I356">
            <v>7600</v>
          </cell>
        </row>
        <row r="357">
          <cell r="A357">
            <v>10750071</v>
          </cell>
          <cell r="B357">
            <v>1</v>
          </cell>
          <cell r="I357">
            <v>7900</v>
          </cell>
        </row>
        <row r="358">
          <cell r="A358">
            <v>10800010</v>
          </cell>
          <cell r="B358">
            <v>1</v>
          </cell>
          <cell r="I358">
            <v>8200</v>
          </cell>
        </row>
        <row r="359">
          <cell r="A359">
            <v>10800020</v>
          </cell>
          <cell r="B359">
            <v>1</v>
          </cell>
          <cell r="I359">
            <v>8200</v>
          </cell>
        </row>
        <row r="360">
          <cell r="A360">
            <v>10800030</v>
          </cell>
          <cell r="B360">
            <v>1</v>
          </cell>
          <cell r="I360">
            <v>8200</v>
          </cell>
        </row>
        <row r="361">
          <cell r="A361">
            <v>10800080</v>
          </cell>
          <cell r="B361">
            <v>1</v>
          </cell>
          <cell r="I361">
            <v>8200</v>
          </cell>
        </row>
        <row r="362">
          <cell r="A362">
            <v>10800090</v>
          </cell>
          <cell r="B362">
            <v>1</v>
          </cell>
          <cell r="I362">
            <v>8200</v>
          </cell>
        </row>
        <row r="363">
          <cell r="A363">
            <v>10800100</v>
          </cell>
          <cell r="B363">
            <v>1</v>
          </cell>
          <cell r="I363">
            <v>8200</v>
          </cell>
        </row>
        <row r="364">
          <cell r="A364">
            <v>10801050</v>
          </cell>
          <cell r="B364">
            <v>1</v>
          </cell>
          <cell r="I364">
            <v>8200</v>
          </cell>
        </row>
        <row r="365">
          <cell r="A365">
            <v>10801051</v>
          </cell>
          <cell r="B365">
            <v>1</v>
          </cell>
          <cell r="I365">
            <v>8500</v>
          </cell>
        </row>
        <row r="366">
          <cell r="A366">
            <v>10801060</v>
          </cell>
          <cell r="B366">
            <v>1</v>
          </cell>
          <cell r="I366">
            <v>8200</v>
          </cell>
        </row>
        <row r="367">
          <cell r="A367">
            <v>10801061</v>
          </cell>
          <cell r="B367">
            <v>1</v>
          </cell>
          <cell r="I367">
            <v>8500</v>
          </cell>
        </row>
        <row r="368">
          <cell r="A368">
            <v>10802050</v>
          </cell>
          <cell r="B368">
            <v>1</v>
          </cell>
          <cell r="I368">
            <v>8200</v>
          </cell>
        </row>
        <row r="369">
          <cell r="A369">
            <v>10802051</v>
          </cell>
          <cell r="B369">
            <v>1</v>
          </cell>
          <cell r="I369">
            <v>8500</v>
          </cell>
        </row>
        <row r="370">
          <cell r="A370">
            <v>10802060</v>
          </cell>
          <cell r="B370">
            <v>1</v>
          </cell>
          <cell r="I370">
            <v>8200</v>
          </cell>
        </row>
        <row r="371">
          <cell r="A371">
            <v>10802061</v>
          </cell>
          <cell r="B371">
            <v>1</v>
          </cell>
          <cell r="I371">
            <v>8500</v>
          </cell>
        </row>
        <row r="372">
          <cell r="A372">
            <v>10803050</v>
          </cell>
          <cell r="B372">
            <v>1</v>
          </cell>
          <cell r="I372">
            <v>8200</v>
          </cell>
        </row>
        <row r="373">
          <cell r="A373">
            <v>10803051</v>
          </cell>
          <cell r="B373">
            <v>1</v>
          </cell>
          <cell r="I373">
            <v>8500</v>
          </cell>
        </row>
        <row r="374">
          <cell r="A374">
            <v>10803060</v>
          </cell>
          <cell r="B374">
            <v>1</v>
          </cell>
          <cell r="I374">
            <v>8200</v>
          </cell>
        </row>
        <row r="375">
          <cell r="A375">
            <v>10803061</v>
          </cell>
          <cell r="B375">
            <v>1</v>
          </cell>
          <cell r="I375">
            <v>8500</v>
          </cell>
        </row>
        <row r="376">
          <cell r="A376">
            <v>10800040</v>
          </cell>
          <cell r="B376">
            <v>1</v>
          </cell>
          <cell r="I376">
            <v>8200</v>
          </cell>
        </row>
        <row r="377">
          <cell r="A377">
            <v>10800041</v>
          </cell>
          <cell r="B377">
            <v>1</v>
          </cell>
          <cell r="I377">
            <v>8500</v>
          </cell>
        </row>
        <row r="378">
          <cell r="A378">
            <v>10800070</v>
          </cell>
          <cell r="B378">
            <v>1</v>
          </cell>
          <cell r="I378">
            <v>8200</v>
          </cell>
        </row>
        <row r="379">
          <cell r="A379">
            <v>10800071</v>
          </cell>
          <cell r="B379">
            <v>1</v>
          </cell>
          <cell r="I379">
            <v>8500</v>
          </cell>
        </row>
        <row r="380">
          <cell r="A380">
            <v>10850010</v>
          </cell>
          <cell r="B380">
            <v>1</v>
          </cell>
          <cell r="I380">
            <v>8800</v>
          </cell>
        </row>
        <row r="381">
          <cell r="A381">
            <v>10850020</v>
          </cell>
          <cell r="B381">
            <v>1</v>
          </cell>
          <cell r="I381">
            <v>8800</v>
          </cell>
        </row>
        <row r="382">
          <cell r="A382">
            <v>10850030</v>
          </cell>
          <cell r="B382">
            <v>1</v>
          </cell>
          <cell r="I382">
            <v>8800</v>
          </cell>
        </row>
        <row r="383">
          <cell r="A383">
            <v>10850080</v>
          </cell>
          <cell r="B383">
            <v>1</v>
          </cell>
          <cell r="I383">
            <v>8800</v>
          </cell>
        </row>
        <row r="384">
          <cell r="A384">
            <v>10850090</v>
          </cell>
          <cell r="B384">
            <v>1</v>
          </cell>
          <cell r="I384">
            <v>8800</v>
          </cell>
        </row>
        <row r="385">
          <cell r="A385">
            <v>10850100</v>
          </cell>
          <cell r="B385">
            <v>1</v>
          </cell>
          <cell r="I385">
            <v>8800</v>
          </cell>
        </row>
        <row r="386">
          <cell r="A386">
            <v>10851050</v>
          </cell>
          <cell r="B386">
            <v>1</v>
          </cell>
          <cell r="I386">
            <v>8800</v>
          </cell>
        </row>
        <row r="387">
          <cell r="A387">
            <v>10851051</v>
          </cell>
          <cell r="B387">
            <v>1</v>
          </cell>
          <cell r="I387">
            <v>9100</v>
          </cell>
        </row>
        <row r="388">
          <cell r="A388">
            <v>10851060</v>
          </cell>
          <cell r="B388">
            <v>1</v>
          </cell>
          <cell r="I388">
            <v>8800</v>
          </cell>
        </row>
        <row r="389">
          <cell r="A389">
            <v>10851061</v>
          </cell>
          <cell r="B389">
            <v>1</v>
          </cell>
          <cell r="I389">
            <v>9100</v>
          </cell>
        </row>
        <row r="390">
          <cell r="A390">
            <v>10852050</v>
          </cell>
          <cell r="B390">
            <v>1</v>
          </cell>
          <cell r="I390">
            <v>8800</v>
          </cell>
        </row>
        <row r="391">
          <cell r="A391">
            <v>10852051</v>
          </cell>
          <cell r="B391">
            <v>1</v>
          </cell>
          <cell r="I391">
            <v>9100</v>
          </cell>
        </row>
        <row r="392">
          <cell r="A392">
            <v>10852060</v>
          </cell>
          <cell r="B392">
            <v>1</v>
          </cell>
          <cell r="I392">
            <v>8800</v>
          </cell>
        </row>
        <row r="393">
          <cell r="A393">
            <v>10852061</v>
          </cell>
          <cell r="B393">
            <v>1</v>
          </cell>
          <cell r="I393">
            <v>9100</v>
          </cell>
        </row>
        <row r="394">
          <cell r="A394">
            <v>10853050</v>
          </cell>
          <cell r="B394">
            <v>1</v>
          </cell>
          <cell r="I394">
            <v>8800</v>
          </cell>
        </row>
        <row r="395">
          <cell r="A395">
            <v>10853051</v>
          </cell>
          <cell r="B395">
            <v>1</v>
          </cell>
          <cell r="I395">
            <v>9100</v>
          </cell>
        </row>
        <row r="396">
          <cell r="A396">
            <v>10853060</v>
          </cell>
          <cell r="B396">
            <v>1</v>
          </cell>
          <cell r="I396">
            <v>8800</v>
          </cell>
        </row>
        <row r="397">
          <cell r="A397">
            <v>10853061</v>
          </cell>
          <cell r="B397">
            <v>1</v>
          </cell>
          <cell r="I397">
            <v>9100</v>
          </cell>
        </row>
        <row r="398">
          <cell r="A398">
            <v>10850040</v>
          </cell>
          <cell r="B398">
            <v>1</v>
          </cell>
          <cell r="I398">
            <v>8800</v>
          </cell>
        </row>
        <row r="399">
          <cell r="A399">
            <v>10850041</v>
          </cell>
          <cell r="B399">
            <v>1</v>
          </cell>
          <cell r="I399">
            <v>9100</v>
          </cell>
        </row>
        <row r="400">
          <cell r="A400">
            <v>10850070</v>
          </cell>
          <cell r="B400">
            <v>1</v>
          </cell>
          <cell r="I400">
            <v>8800</v>
          </cell>
        </row>
        <row r="401">
          <cell r="A401">
            <v>10850071</v>
          </cell>
          <cell r="B401">
            <v>1</v>
          </cell>
          <cell r="I401">
            <v>9100</v>
          </cell>
        </row>
        <row r="402">
          <cell r="A402">
            <v>10900010</v>
          </cell>
          <cell r="B402">
            <v>1</v>
          </cell>
          <cell r="I402">
            <v>9400</v>
          </cell>
        </row>
        <row r="403">
          <cell r="A403">
            <v>10900020</v>
          </cell>
          <cell r="B403">
            <v>1</v>
          </cell>
          <cell r="I403">
            <v>9400</v>
          </cell>
        </row>
        <row r="404">
          <cell r="A404">
            <v>10900030</v>
          </cell>
          <cell r="B404">
            <v>1</v>
          </cell>
          <cell r="I404">
            <v>9400</v>
          </cell>
        </row>
        <row r="405">
          <cell r="A405">
            <v>10900080</v>
          </cell>
          <cell r="B405">
            <v>1</v>
          </cell>
          <cell r="I405">
            <v>9400</v>
          </cell>
        </row>
        <row r="406">
          <cell r="A406">
            <v>10900090</v>
          </cell>
          <cell r="B406">
            <v>1</v>
          </cell>
          <cell r="I406">
            <v>9400</v>
          </cell>
        </row>
        <row r="407">
          <cell r="A407">
            <v>10900100</v>
          </cell>
          <cell r="B407">
            <v>1</v>
          </cell>
          <cell r="I407">
            <v>9400</v>
          </cell>
        </row>
        <row r="408">
          <cell r="A408">
            <v>10901050</v>
          </cell>
          <cell r="B408">
            <v>1</v>
          </cell>
          <cell r="I408">
            <v>9400</v>
          </cell>
        </row>
        <row r="409">
          <cell r="A409">
            <v>10901051</v>
          </cell>
          <cell r="B409">
            <v>1</v>
          </cell>
          <cell r="I409">
            <v>9700</v>
          </cell>
        </row>
        <row r="410">
          <cell r="A410">
            <v>10901060</v>
          </cell>
          <cell r="B410">
            <v>1</v>
          </cell>
          <cell r="I410">
            <v>9400</v>
          </cell>
        </row>
        <row r="411">
          <cell r="A411">
            <v>10901061</v>
          </cell>
          <cell r="B411">
            <v>1</v>
          </cell>
          <cell r="I411">
            <v>9700</v>
          </cell>
        </row>
        <row r="412">
          <cell r="A412">
            <v>10902050</v>
          </cell>
          <cell r="B412">
            <v>1</v>
          </cell>
          <cell r="I412">
            <v>9400</v>
          </cell>
        </row>
        <row r="413">
          <cell r="A413">
            <v>10902051</v>
          </cell>
          <cell r="B413">
            <v>1</v>
          </cell>
          <cell r="I413">
            <v>9700</v>
          </cell>
        </row>
        <row r="414">
          <cell r="A414">
            <v>10902060</v>
          </cell>
          <cell r="B414">
            <v>1</v>
          </cell>
          <cell r="I414">
            <v>9400</v>
          </cell>
        </row>
        <row r="415">
          <cell r="A415">
            <v>10902061</v>
          </cell>
          <cell r="B415">
            <v>1</v>
          </cell>
          <cell r="I415">
            <v>9700</v>
          </cell>
        </row>
        <row r="416">
          <cell r="A416">
            <v>10903050</v>
          </cell>
          <cell r="B416">
            <v>1</v>
          </cell>
          <cell r="I416">
            <v>9400</v>
          </cell>
        </row>
        <row r="417">
          <cell r="A417">
            <v>10903051</v>
          </cell>
          <cell r="B417">
            <v>1</v>
          </cell>
          <cell r="I417">
            <v>9700</v>
          </cell>
        </row>
        <row r="418">
          <cell r="A418">
            <v>10903060</v>
          </cell>
          <cell r="B418">
            <v>1</v>
          </cell>
          <cell r="I418">
            <v>9400</v>
          </cell>
        </row>
        <row r="419">
          <cell r="A419">
            <v>10903061</v>
          </cell>
          <cell r="B419">
            <v>1</v>
          </cell>
          <cell r="I419">
            <v>9700</v>
          </cell>
        </row>
        <row r="420">
          <cell r="A420">
            <v>10900040</v>
          </cell>
          <cell r="B420">
            <v>1</v>
          </cell>
          <cell r="I420">
            <v>9400</v>
          </cell>
        </row>
        <row r="421">
          <cell r="A421">
            <v>10900041</v>
          </cell>
          <cell r="B421">
            <v>1</v>
          </cell>
          <cell r="I421">
            <v>9700</v>
          </cell>
        </row>
        <row r="422">
          <cell r="A422">
            <v>10900070</v>
          </cell>
          <cell r="B422">
            <v>1</v>
          </cell>
          <cell r="I422">
            <v>9400</v>
          </cell>
        </row>
        <row r="423">
          <cell r="A423">
            <v>10900071</v>
          </cell>
          <cell r="B423">
            <v>1</v>
          </cell>
          <cell r="I423">
            <v>9700</v>
          </cell>
        </row>
        <row r="424">
          <cell r="A424">
            <v>10950010</v>
          </cell>
          <cell r="B424">
            <v>1</v>
          </cell>
          <cell r="I424">
            <v>10000</v>
          </cell>
        </row>
        <row r="425">
          <cell r="A425">
            <v>10950020</v>
          </cell>
          <cell r="B425">
            <v>1</v>
          </cell>
          <cell r="I425">
            <v>10000</v>
          </cell>
        </row>
        <row r="426">
          <cell r="A426">
            <v>10950030</v>
          </cell>
          <cell r="B426">
            <v>1</v>
          </cell>
          <cell r="I426">
            <v>10000</v>
          </cell>
        </row>
        <row r="427">
          <cell r="A427">
            <v>10950080</v>
          </cell>
          <cell r="B427">
            <v>1</v>
          </cell>
          <cell r="I427">
            <v>10000</v>
          </cell>
        </row>
        <row r="428">
          <cell r="A428">
            <v>10950090</v>
          </cell>
          <cell r="B428">
            <v>1</v>
          </cell>
          <cell r="I428">
            <v>10000</v>
          </cell>
        </row>
        <row r="429">
          <cell r="A429">
            <v>10950100</v>
          </cell>
          <cell r="B429">
            <v>1</v>
          </cell>
          <cell r="I429">
            <v>10000</v>
          </cell>
        </row>
        <row r="430">
          <cell r="A430">
            <v>10951050</v>
          </cell>
          <cell r="B430">
            <v>1</v>
          </cell>
          <cell r="I430">
            <v>10000</v>
          </cell>
        </row>
        <row r="431">
          <cell r="A431">
            <v>10951051</v>
          </cell>
          <cell r="B431">
            <v>1</v>
          </cell>
          <cell r="I431">
            <v>10300</v>
          </cell>
        </row>
        <row r="432">
          <cell r="A432">
            <v>10951060</v>
          </cell>
          <cell r="B432">
            <v>1</v>
          </cell>
          <cell r="I432">
            <v>10000</v>
          </cell>
        </row>
        <row r="433">
          <cell r="A433">
            <v>10951061</v>
          </cell>
          <cell r="B433">
            <v>1</v>
          </cell>
          <cell r="I433">
            <v>10300</v>
          </cell>
        </row>
        <row r="434">
          <cell r="A434">
            <v>10952050</v>
          </cell>
          <cell r="B434">
            <v>1</v>
          </cell>
          <cell r="I434">
            <v>10000</v>
          </cell>
        </row>
        <row r="435">
          <cell r="A435">
            <v>10952051</v>
          </cell>
          <cell r="B435">
            <v>1</v>
          </cell>
          <cell r="I435">
            <v>10300</v>
          </cell>
        </row>
        <row r="436">
          <cell r="A436">
            <v>10952060</v>
          </cell>
          <cell r="B436">
            <v>1</v>
          </cell>
          <cell r="I436">
            <v>10000</v>
          </cell>
        </row>
        <row r="437">
          <cell r="A437">
            <v>10952061</v>
          </cell>
          <cell r="B437">
            <v>1</v>
          </cell>
          <cell r="I437">
            <v>10300</v>
          </cell>
        </row>
        <row r="438">
          <cell r="A438">
            <v>10953050</v>
          </cell>
          <cell r="B438">
            <v>1</v>
          </cell>
          <cell r="I438">
            <v>10000</v>
          </cell>
        </row>
        <row r="439">
          <cell r="A439">
            <v>10953051</v>
          </cell>
          <cell r="B439">
            <v>1</v>
          </cell>
          <cell r="I439">
            <v>10300</v>
          </cell>
        </row>
        <row r="440">
          <cell r="A440">
            <v>10953060</v>
          </cell>
          <cell r="B440">
            <v>1</v>
          </cell>
          <cell r="I440">
            <v>10000</v>
          </cell>
        </row>
        <row r="441">
          <cell r="A441">
            <v>10953061</v>
          </cell>
          <cell r="B441">
            <v>1</v>
          </cell>
          <cell r="I441">
            <v>10300</v>
          </cell>
        </row>
        <row r="442">
          <cell r="A442">
            <v>10950040</v>
          </cell>
          <cell r="B442">
            <v>1</v>
          </cell>
          <cell r="I442">
            <v>10000</v>
          </cell>
        </row>
        <row r="443">
          <cell r="A443">
            <v>10950041</v>
          </cell>
          <cell r="B443">
            <v>1</v>
          </cell>
          <cell r="I443">
            <v>10300</v>
          </cell>
        </row>
        <row r="444">
          <cell r="A444">
            <v>10950070</v>
          </cell>
          <cell r="B444">
            <v>1</v>
          </cell>
          <cell r="I444">
            <v>10000</v>
          </cell>
        </row>
        <row r="445">
          <cell r="A445">
            <v>10950071</v>
          </cell>
          <cell r="B445">
            <v>1</v>
          </cell>
          <cell r="I445">
            <v>10300</v>
          </cell>
        </row>
        <row r="446">
          <cell r="A446">
            <v>11000010</v>
          </cell>
          <cell r="B446">
            <v>1</v>
          </cell>
          <cell r="I446">
            <v>10600</v>
          </cell>
        </row>
        <row r="447">
          <cell r="A447">
            <v>11000020</v>
          </cell>
          <cell r="B447">
            <v>1</v>
          </cell>
          <cell r="I447">
            <v>10600</v>
          </cell>
        </row>
        <row r="448">
          <cell r="A448">
            <v>11000030</v>
          </cell>
          <cell r="B448">
            <v>1</v>
          </cell>
          <cell r="I448">
            <v>10600</v>
          </cell>
        </row>
        <row r="449">
          <cell r="A449">
            <v>11000080</v>
          </cell>
          <cell r="B449">
            <v>1</v>
          </cell>
          <cell r="I449">
            <v>10600</v>
          </cell>
        </row>
        <row r="450">
          <cell r="A450">
            <v>11000090</v>
          </cell>
          <cell r="B450">
            <v>1</v>
          </cell>
          <cell r="I450">
            <v>10600</v>
          </cell>
        </row>
        <row r="451">
          <cell r="A451">
            <v>11000100</v>
          </cell>
          <cell r="B451">
            <v>1</v>
          </cell>
          <cell r="I451">
            <v>10600</v>
          </cell>
        </row>
        <row r="452">
          <cell r="A452">
            <v>11001050</v>
          </cell>
          <cell r="B452">
            <v>1</v>
          </cell>
          <cell r="I452">
            <v>10600</v>
          </cell>
        </row>
        <row r="453">
          <cell r="A453">
            <v>11001051</v>
          </cell>
          <cell r="B453">
            <v>0</v>
          </cell>
          <cell r="I453">
            <v>10900</v>
          </cell>
        </row>
        <row r="454">
          <cell r="A454">
            <v>11001060</v>
          </cell>
          <cell r="B454">
            <v>1</v>
          </cell>
          <cell r="I454">
            <v>10600</v>
          </cell>
        </row>
        <row r="455">
          <cell r="A455">
            <v>11001061</v>
          </cell>
          <cell r="B455">
            <v>0</v>
          </cell>
          <cell r="I455">
            <v>10900</v>
          </cell>
        </row>
        <row r="456">
          <cell r="A456">
            <v>11002050</v>
          </cell>
          <cell r="B456">
            <v>1</v>
          </cell>
          <cell r="I456">
            <v>10600</v>
          </cell>
        </row>
        <row r="457">
          <cell r="A457">
            <v>11002051</v>
          </cell>
          <cell r="B457">
            <v>0</v>
          </cell>
          <cell r="I457">
            <v>10900</v>
          </cell>
        </row>
        <row r="458">
          <cell r="A458">
            <v>11002060</v>
          </cell>
          <cell r="B458">
            <v>1</v>
          </cell>
          <cell r="I458">
            <v>10600</v>
          </cell>
        </row>
        <row r="459">
          <cell r="A459">
            <v>11002061</v>
          </cell>
          <cell r="B459">
            <v>0</v>
          </cell>
          <cell r="I459">
            <v>10900</v>
          </cell>
        </row>
        <row r="460">
          <cell r="A460">
            <v>11003050</v>
          </cell>
          <cell r="B460">
            <v>1</v>
          </cell>
          <cell r="I460">
            <v>10600</v>
          </cell>
        </row>
        <row r="461">
          <cell r="A461">
            <v>11003051</v>
          </cell>
          <cell r="B461">
            <v>0</v>
          </cell>
          <cell r="I461">
            <v>10900</v>
          </cell>
        </row>
        <row r="462">
          <cell r="A462">
            <v>11003060</v>
          </cell>
          <cell r="B462">
            <v>1</v>
          </cell>
          <cell r="I462">
            <v>10600</v>
          </cell>
        </row>
        <row r="463">
          <cell r="A463">
            <v>11003061</v>
          </cell>
          <cell r="B463">
            <v>0</v>
          </cell>
          <cell r="I463">
            <v>10900</v>
          </cell>
        </row>
        <row r="464">
          <cell r="A464">
            <v>11000040</v>
          </cell>
          <cell r="B464">
            <v>1</v>
          </cell>
          <cell r="I464">
            <v>10600</v>
          </cell>
        </row>
        <row r="465">
          <cell r="A465">
            <v>11000041</v>
          </cell>
          <cell r="B465">
            <v>1</v>
          </cell>
          <cell r="I465">
            <v>10900</v>
          </cell>
        </row>
        <row r="466">
          <cell r="A466">
            <v>11000070</v>
          </cell>
          <cell r="B466">
            <v>1</v>
          </cell>
          <cell r="I466">
            <v>10600</v>
          </cell>
        </row>
        <row r="467">
          <cell r="A467">
            <v>11000071</v>
          </cell>
          <cell r="B467">
            <v>1</v>
          </cell>
          <cell r="I467">
            <v>10900</v>
          </cell>
        </row>
        <row r="468">
          <cell r="A468" t="str">
            <v>20010010</v>
          </cell>
          <cell r="B468">
            <v>0</v>
          </cell>
          <cell r="I468">
            <v>200</v>
          </cell>
        </row>
        <row r="469">
          <cell r="A469" t="str">
            <v>20010020</v>
          </cell>
          <cell r="B469">
            <v>0</v>
          </cell>
          <cell r="I469">
            <v>200</v>
          </cell>
        </row>
        <row r="470">
          <cell r="A470" t="str">
            <v>20010030</v>
          </cell>
          <cell r="B470">
            <v>0</v>
          </cell>
          <cell r="I470">
            <v>200</v>
          </cell>
        </row>
        <row r="471">
          <cell r="A471" t="str">
            <v>20010080</v>
          </cell>
          <cell r="B471">
            <v>1</v>
          </cell>
          <cell r="I471">
            <v>200</v>
          </cell>
        </row>
        <row r="472">
          <cell r="A472" t="str">
            <v>20010090</v>
          </cell>
          <cell r="B472">
            <v>1</v>
          </cell>
          <cell r="I472">
            <v>200</v>
          </cell>
        </row>
        <row r="473">
          <cell r="A473" t="str">
            <v>20010100</v>
          </cell>
          <cell r="B473">
            <v>0</v>
          </cell>
          <cell r="I473">
            <v>200</v>
          </cell>
        </row>
        <row r="474">
          <cell r="A474" t="str">
            <v>20011050</v>
          </cell>
          <cell r="B474">
            <v>1</v>
          </cell>
          <cell r="I474">
            <v>200</v>
          </cell>
        </row>
        <row r="475">
          <cell r="A475" t="str">
            <v>20011051</v>
          </cell>
          <cell r="B475">
            <v>1</v>
          </cell>
          <cell r="I475">
            <v>800</v>
          </cell>
        </row>
        <row r="476">
          <cell r="A476" t="str">
            <v>20011060</v>
          </cell>
          <cell r="B476">
            <v>1</v>
          </cell>
          <cell r="I476">
            <v>200</v>
          </cell>
        </row>
        <row r="477">
          <cell r="A477" t="str">
            <v>20011061</v>
          </cell>
          <cell r="B477">
            <v>0</v>
          </cell>
          <cell r="I477">
            <v>800</v>
          </cell>
        </row>
        <row r="478">
          <cell r="A478" t="str">
            <v>20012050</v>
          </cell>
          <cell r="B478">
            <v>1</v>
          </cell>
          <cell r="I478">
            <v>200</v>
          </cell>
        </row>
        <row r="479">
          <cell r="A479" t="str">
            <v>20012051</v>
          </cell>
          <cell r="B479">
            <v>1</v>
          </cell>
          <cell r="I479">
            <v>800</v>
          </cell>
        </row>
        <row r="480">
          <cell r="A480" t="str">
            <v>20012060</v>
          </cell>
          <cell r="B480">
            <v>1</v>
          </cell>
          <cell r="I480">
            <v>200</v>
          </cell>
        </row>
        <row r="481">
          <cell r="A481" t="str">
            <v>20012061</v>
          </cell>
          <cell r="B481">
            <v>0</v>
          </cell>
          <cell r="I481">
            <v>800</v>
          </cell>
        </row>
        <row r="482">
          <cell r="A482" t="str">
            <v>20013050</v>
          </cell>
          <cell r="B482">
            <v>1</v>
          </cell>
          <cell r="I482">
            <v>200</v>
          </cell>
        </row>
        <row r="483">
          <cell r="A483" t="str">
            <v>20013051</v>
          </cell>
          <cell r="B483">
            <v>1</v>
          </cell>
          <cell r="I483">
            <v>800</v>
          </cell>
        </row>
        <row r="484">
          <cell r="A484" t="str">
            <v>20013060</v>
          </cell>
          <cell r="B484">
            <v>1</v>
          </cell>
          <cell r="I484">
            <v>200</v>
          </cell>
        </row>
        <row r="485">
          <cell r="A485" t="str">
            <v>20013061</v>
          </cell>
          <cell r="B485">
            <v>0</v>
          </cell>
          <cell r="I485">
            <v>800</v>
          </cell>
        </row>
        <row r="486">
          <cell r="A486" t="str">
            <v>20010040</v>
          </cell>
          <cell r="B486">
            <v>1</v>
          </cell>
          <cell r="I486">
            <v>200</v>
          </cell>
        </row>
        <row r="487">
          <cell r="A487" t="str">
            <v>20010041</v>
          </cell>
          <cell r="B487">
            <v>0</v>
          </cell>
          <cell r="I487">
            <v>800</v>
          </cell>
        </row>
        <row r="488">
          <cell r="A488" t="str">
            <v>20010070</v>
          </cell>
          <cell r="B488">
            <v>0</v>
          </cell>
          <cell r="I488">
            <v>200</v>
          </cell>
        </row>
        <row r="489">
          <cell r="A489" t="str">
            <v>20010071</v>
          </cell>
          <cell r="B489">
            <v>0</v>
          </cell>
          <cell r="I489">
            <v>800</v>
          </cell>
        </row>
        <row r="490">
          <cell r="A490" t="str">
            <v>20050010</v>
          </cell>
          <cell r="B490">
            <v>1</v>
          </cell>
          <cell r="I490">
            <v>1000</v>
          </cell>
        </row>
        <row r="491">
          <cell r="A491" t="str">
            <v>20050020</v>
          </cell>
          <cell r="B491">
            <v>1</v>
          </cell>
          <cell r="I491">
            <v>1000</v>
          </cell>
        </row>
        <row r="492">
          <cell r="A492" t="str">
            <v>20050030</v>
          </cell>
          <cell r="B492">
            <v>1</v>
          </cell>
          <cell r="I492">
            <v>1000</v>
          </cell>
        </row>
        <row r="493">
          <cell r="A493" t="str">
            <v>20050080</v>
          </cell>
          <cell r="B493">
            <v>0</v>
          </cell>
          <cell r="I493">
            <v>1000</v>
          </cell>
        </row>
        <row r="494">
          <cell r="A494" t="str">
            <v>20050090</v>
          </cell>
          <cell r="B494">
            <v>0</v>
          </cell>
          <cell r="I494">
            <v>1000</v>
          </cell>
        </row>
        <row r="495">
          <cell r="A495" t="str">
            <v>20050100</v>
          </cell>
          <cell r="B495">
            <v>1</v>
          </cell>
          <cell r="I495">
            <v>1000</v>
          </cell>
        </row>
        <row r="496">
          <cell r="A496" t="str">
            <v>20051050</v>
          </cell>
          <cell r="B496">
            <v>1</v>
          </cell>
          <cell r="I496">
            <v>1000</v>
          </cell>
        </row>
        <row r="497">
          <cell r="A497" t="str">
            <v>20051051</v>
          </cell>
          <cell r="B497">
            <v>1</v>
          </cell>
          <cell r="I497">
            <v>1600</v>
          </cell>
        </row>
        <row r="498">
          <cell r="A498" t="str">
            <v>20051060</v>
          </cell>
          <cell r="B498">
            <v>1</v>
          </cell>
          <cell r="I498">
            <v>1000</v>
          </cell>
        </row>
        <row r="499">
          <cell r="A499" t="str">
            <v>20051061</v>
          </cell>
          <cell r="B499">
            <v>0</v>
          </cell>
          <cell r="I499">
            <v>1600</v>
          </cell>
        </row>
        <row r="500">
          <cell r="A500" t="str">
            <v>20052050</v>
          </cell>
          <cell r="B500">
            <v>1</v>
          </cell>
          <cell r="I500">
            <v>1000</v>
          </cell>
        </row>
        <row r="501">
          <cell r="A501" t="str">
            <v>20052051</v>
          </cell>
          <cell r="B501">
            <v>1</v>
          </cell>
          <cell r="I501">
            <v>1600</v>
          </cell>
        </row>
        <row r="502">
          <cell r="A502" t="str">
            <v>20052060</v>
          </cell>
          <cell r="B502">
            <v>1</v>
          </cell>
          <cell r="I502">
            <v>1000</v>
          </cell>
        </row>
        <row r="503">
          <cell r="A503" t="str">
            <v>20052061</v>
          </cell>
          <cell r="B503">
            <v>0</v>
          </cell>
          <cell r="I503">
            <v>1600</v>
          </cell>
        </row>
        <row r="504">
          <cell r="A504" t="str">
            <v>20053050</v>
          </cell>
          <cell r="B504">
            <v>1</v>
          </cell>
          <cell r="I504">
            <v>1000</v>
          </cell>
        </row>
        <row r="505">
          <cell r="A505" t="str">
            <v>20053051</v>
          </cell>
          <cell r="B505">
            <v>1</v>
          </cell>
          <cell r="I505">
            <v>1600</v>
          </cell>
        </row>
        <row r="506">
          <cell r="A506" t="str">
            <v>20053060</v>
          </cell>
          <cell r="B506">
            <v>1</v>
          </cell>
          <cell r="I506">
            <v>1000</v>
          </cell>
        </row>
        <row r="507">
          <cell r="A507" t="str">
            <v>20053061</v>
          </cell>
          <cell r="B507">
            <v>0</v>
          </cell>
          <cell r="I507">
            <v>1600</v>
          </cell>
        </row>
        <row r="508">
          <cell r="A508" t="str">
            <v>20050040</v>
          </cell>
          <cell r="B508">
            <v>1</v>
          </cell>
          <cell r="I508">
            <v>1000</v>
          </cell>
        </row>
        <row r="509">
          <cell r="A509" t="str">
            <v>20050041</v>
          </cell>
          <cell r="B509">
            <v>1</v>
          </cell>
          <cell r="I509">
            <v>1600</v>
          </cell>
        </row>
        <row r="510">
          <cell r="A510" t="str">
            <v>20050070</v>
          </cell>
          <cell r="B510">
            <v>1</v>
          </cell>
          <cell r="I510">
            <v>1000</v>
          </cell>
        </row>
        <row r="511">
          <cell r="A511" t="str">
            <v>20050071</v>
          </cell>
          <cell r="B511">
            <v>1</v>
          </cell>
          <cell r="I511">
            <v>1600</v>
          </cell>
        </row>
        <row r="512">
          <cell r="A512" t="str">
            <v>20100010</v>
          </cell>
          <cell r="B512">
            <v>1</v>
          </cell>
          <cell r="I512">
            <v>2000</v>
          </cell>
        </row>
        <row r="513">
          <cell r="A513" t="str">
            <v>20100020</v>
          </cell>
          <cell r="B513">
            <v>1</v>
          </cell>
          <cell r="I513">
            <v>2000</v>
          </cell>
        </row>
        <row r="514">
          <cell r="A514" t="str">
            <v>20100030</v>
          </cell>
          <cell r="B514">
            <v>1</v>
          </cell>
          <cell r="I514">
            <v>2000</v>
          </cell>
        </row>
        <row r="515">
          <cell r="A515" t="str">
            <v>20100080</v>
          </cell>
          <cell r="B515">
            <v>1</v>
          </cell>
          <cell r="I515">
            <v>2000</v>
          </cell>
        </row>
        <row r="516">
          <cell r="A516" t="str">
            <v>20100090</v>
          </cell>
          <cell r="B516">
            <v>1</v>
          </cell>
          <cell r="I516">
            <v>2000</v>
          </cell>
        </row>
        <row r="517">
          <cell r="A517" t="str">
            <v>20100100</v>
          </cell>
          <cell r="B517">
            <v>0</v>
          </cell>
          <cell r="I517">
            <v>2000</v>
          </cell>
        </row>
        <row r="518">
          <cell r="A518" t="str">
            <v>20101050</v>
          </cell>
          <cell r="B518">
            <v>1</v>
          </cell>
          <cell r="I518">
            <v>2000</v>
          </cell>
        </row>
        <row r="519">
          <cell r="A519" t="str">
            <v>20101051</v>
          </cell>
          <cell r="B519">
            <v>1</v>
          </cell>
          <cell r="I519">
            <v>2600</v>
          </cell>
        </row>
        <row r="520">
          <cell r="A520" t="str">
            <v>20101060</v>
          </cell>
          <cell r="B520">
            <v>1</v>
          </cell>
          <cell r="I520">
            <v>2000</v>
          </cell>
        </row>
        <row r="521">
          <cell r="A521" t="str">
            <v>20101061</v>
          </cell>
          <cell r="B521">
            <v>0</v>
          </cell>
          <cell r="I521">
            <v>2600</v>
          </cell>
        </row>
        <row r="522">
          <cell r="A522" t="str">
            <v>20102050</v>
          </cell>
          <cell r="B522">
            <v>1</v>
          </cell>
          <cell r="I522">
            <v>2000</v>
          </cell>
        </row>
        <row r="523">
          <cell r="A523" t="str">
            <v>20102051</v>
          </cell>
          <cell r="B523">
            <v>1</v>
          </cell>
          <cell r="I523">
            <v>2600</v>
          </cell>
        </row>
        <row r="524">
          <cell r="A524" t="str">
            <v>20102060</v>
          </cell>
          <cell r="B524">
            <v>1</v>
          </cell>
          <cell r="I524">
            <v>2000</v>
          </cell>
        </row>
        <row r="525">
          <cell r="A525" t="str">
            <v>20102061</v>
          </cell>
          <cell r="B525">
            <v>0</v>
          </cell>
          <cell r="I525">
            <v>2600</v>
          </cell>
        </row>
        <row r="526">
          <cell r="A526" t="str">
            <v>20103050</v>
          </cell>
          <cell r="B526">
            <v>1</v>
          </cell>
          <cell r="I526">
            <v>2000</v>
          </cell>
        </row>
        <row r="527">
          <cell r="A527" t="str">
            <v>20103051</v>
          </cell>
          <cell r="B527">
            <v>1</v>
          </cell>
          <cell r="I527">
            <v>2600</v>
          </cell>
        </row>
        <row r="528">
          <cell r="A528" t="str">
            <v>20103060</v>
          </cell>
          <cell r="B528">
            <v>1</v>
          </cell>
          <cell r="I528">
            <v>2000</v>
          </cell>
        </row>
        <row r="529">
          <cell r="A529" t="str">
            <v>20103061</v>
          </cell>
          <cell r="B529">
            <v>0</v>
          </cell>
          <cell r="I529">
            <v>2600</v>
          </cell>
        </row>
        <row r="530">
          <cell r="A530" t="str">
            <v>20100040</v>
          </cell>
          <cell r="B530">
            <v>1</v>
          </cell>
          <cell r="I530">
            <v>2000</v>
          </cell>
        </row>
        <row r="531">
          <cell r="A531" t="str">
            <v>20100041</v>
          </cell>
          <cell r="B531">
            <v>0</v>
          </cell>
          <cell r="I531">
            <v>2600</v>
          </cell>
        </row>
        <row r="532">
          <cell r="A532" t="str">
            <v>20100070</v>
          </cell>
          <cell r="B532">
            <v>1</v>
          </cell>
          <cell r="I532">
            <v>2000</v>
          </cell>
        </row>
        <row r="533">
          <cell r="A533" t="str">
            <v>20100071</v>
          </cell>
          <cell r="B533">
            <v>0</v>
          </cell>
          <cell r="I533">
            <v>2600</v>
          </cell>
        </row>
        <row r="534">
          <cell r="A534" t="str">
            <v>20150010</v>
          </cell>
          <cell r="B534">
            <v>0</v>
          </cell>
          <cell r="I534">
            <v>3000</v>
          </cell>
        </row>
        <row r="535">
          <cell r="A535" t="str">
            <v>20150020</v>
          </cell>
          <cell r="B535">
            <v>0</v>
          </cell>
          <cell r="I535">
            <v>3000</v>
          </cell>
        </row>
        <row r="536">
          <cell r="A536" t="str">
            <v>20150030</v>
          </cell>
          <cell r="B536">
            <v>1</v>
          </cell>
          <cell r="I536">
            <v>3000</v>
          </cell>
        </row>
        <row r="537">
          <cell r="A537" t="str">
            <v>20150080</v>
          </cell>
          <cell r="B537">
            <v>1</v>
          </cell>
          <cell r="I537">
            <v>3000</v>
          </cell>
        </row>
        <row r="538">
          <cell r="A538" t="str">
            <v>20150090</v>
          </cell>
          <cell r="B538">
            <v>1</v>
          </cell>
          <cell r="I538">
            <v>3000</v>
          </cell>
        </row>
        <row r="539">
          <cell r="A539" t="str">
            <v>20150100</v>
          </cell>
          <cell r="B539">
            <v>1</v>
          </cell>
          <cell r="I539">
            <v>3000</v>
          </cell>
        </row>
        <row r="540">
          <cell r="A540" t="str">
            <v>20151050</v>
          </cell>
          <cell r="B540">
            <v>1</v>
          </cell>
          <cell r="I540">
            <v>3000</v>
          </cell>
        </row>
        <row r="541">
          <cell r="A541" t="str">
            <v>20151051</v>
          </cell>
          <cell r="B541">
            <v>1</v>
          </cell>
          <cell r="I541">
            <v>3600</v>
          </cell>
        </row>
        <row r="542">
          <cell r="A542" t="str">
            <v>20151060</v>
          </cell>
          <cell r="B542">
            <v>1</v>
          </cell>
          <cell r="I542">
            <v>3000</v>
          </cell>
        </row>
        <row r="543">
          <cell r="A543" t="str">
            <v>20151061</v>
          </cell>
          <cell r="B543">
            <v>0</v>
          </cell>
          <cell r="I543">
            <v>3600</v>
          </cell>
        </row>
        <row r="544">
          <cell r="A544" t="str">
            <v>20152050</v>
          </cell>
          <cell r="B544">
            <v>1</v>
          </cell>
          <cell r="I544">
            <v>3000</v>
          </cell>
        </row>
        <row r="545">
          <cell r="A545" t="str">
            <v>20152051</v>
          </cell>
          <cell r="B545">
            <v>1</v>
          </cell>
          <cell r="I545">
            <v>3600</v>
          </cell>
        </row>
        <row r="546">
          <cell r="A546" t="str">
            <v>20152060</v>
          </cell>
          <cell r="B546">
            <v>1</v>
          </cell>
          <cell r="I546">
            <v>3000</v>
          </cell>
        </row>
        <row r="547">
          <cell r="A547" t="str">
            <v>20152061</v>
          </cell>
          <cell r="B547">
            <v>0</v>
          </cell>
          <cell r="I547">
            <v>3600</v>
          </cell>
        </row>
        <row r="548">
          <cell r="A548" t="str">
            <v>20153050</v>
          </cell>
          <cell r="B548">
            <v>1</v>
          </cell>
          <cell r="I548">
            <v>3000</v>
          </cell>
        </row>
        <row r="549">
          <cell r="A549" t="str">
            <v>20153051</v>
          </cell>
          <cell r="B549">
            <v>1</v>
          </cell>
          <cell r="I549">
            <v>3600</v>
          </cell>
        </row>
        <row r="550">
          <cell r="A550" t="str">
            <v>20153060</v>
          </cell>
          <cell r="B550">
            <v>1</v>
          </cell>
          <cell r="I550">
            <v>3000</v>
          </cell>
        </row>
        <row r="551">
          <cell r="A551" t="str">
            <v>20153061</v>
          </cell>
          <cell r="B551">
            <v>0</v>
          </cell>
          <cell r="I551">
            <v>3600</v>
          </cell>
        </row>
        <row r="552">
          <cell r="A552" t="str">
            <v>20150040</v>
          </cell>
          <cell r="B552">
            <v>1</v>
          </cell>
          <cell r="I552">
            <v>3000</v>
          </cell>
        </row>
        <row r="553">
          <cell r="A553" t="str">
            <v>20150041</v>
          </cell>
          <cell r="B553">
            <v>0</v>
          </cell>
          <cell r="I553">
            <v>3600</v>
          </cell>
        </row>
        <row r="554">
          <cell r="A554" t="str">
            <v>20150070</v>
          </cell>
          <cell r="B554">
            <v>1</v>
          </cell>
          <cell r="I554">
            <v>3000</v>
          </cell>
        </row>
        <row r="555">
          <cell r="A555" t="str">
            <v>20150071</v>
          </cell>
          <cell r="B555">
            <v>0</v>
          </cell>
          <cell r="I555">
            <v>3600</v>
          </cell>
        </row>
        <row r="556">
          <cell r="A556" t="str">
            <v>20200010</v>
          </cell>
          <cell r="B556">
            <v>1</v>
          </cell>
          <cell r="I556">
            <v>4000</v>
          </cell>
        </row>
        <row r="557">
          <cell r="A557" t="str">
            <v>20200020</v>
          </cell>
          <cell r="B557">
            <v>1</v>
          </cell>
          <cell r="I557">
            <v>4000</v>
          </cell>
        </row>
        <row r="558">
          <cell r="A558" t="str">
            <v>20200030</v>
          </cell>
          <cell r="B558">
            <v>1</v>
          </cell>
          <cell r="I558">
            <v>4000</v>
          </cell>
        </row>
        <row r="559">
          <cell r="A559" t="str">
            <v>20200080</v>
          </cell>
          <cell r="B559">
            <v>1</v>
          </cell>
          <cell r="I559">
            <v>4000</v>
          </cell>
        </row>
        <row r="560">
          <cell r="A560" t="str">
            <v>20200090</v>
          </cell>
          <cell r="B560">
            <v>1</v>
          </cell>
          <cell r="I560">
            <v>4000</v>
          </cell>
        </row>
        <row r="561">
          <cell r="A561" t="str">
            <v>20200100</v>
          </cell>
          <cell r="B561">
            <v>1</v>
          </cell>
          <cell r="I561">
            <v>4000</v>
          </cell>
        </row>
        <row r="562">
          <cell r="A562" t="str">
            <v>20201050</v>
          </cell>
          <cell r="B562">
            <v>1</v>
          </cell>
          <cell r="I562">
            <v>4000</v>
          </cell>
        </row>
        <row r="563">
          <cell r="A563" t="str">
            <v>20201051</v>
          </cell>
          <cell r="B563">
            <v>0</v>
          </cell>
          <cell r="I563">
            <v>4600</v>
          </cell>
        </row>
        <row r="564">
          <cell r="A564" t="str">
            <v>20201060</v>
          </cell>
          <cell r="B564">
            <v>1</v>
          </cell>
          <cell r="I564">
            <v>4000</v>
          </cell>
        </row>
        <row r="565">
          <cell r="A565" t="str">
            <v>20201061</v>
          </cell>
          <cell r="B565">
            <v>0</v>
          </cell>
          <cell r="I565">
            <v>4600</v>
          </cell>
        </row>
        <row r="566">
          <cell r="A566" t="str">
            <v>20202050</v>
          </cell>
          <cell r="B566">
            <v>1</v>
          </cell>
          <cell r="I566">
            <v>4000</v>
          </cell>
        </row>
        <row r="567">
          <cell r="A567" t="str">
            <v>20202051</v>
          </cell>
          <cell r="B567">
            <v>0</v>
          </cell>
          <cell r="I567">
            <v>4600</v>
          </cell>
        </row>
        <row r="568">
          <cell r="A568" t="str">
            <v>20202060</v>
          </cell>
          <cell r="B568">
            <v>1</v>
          </cell>
          <cell r="I568">
            <v>4000</v>
          </cell>
        </row>
        <row r="569">
          <cell r="A569" t="str">
            <v>20202061</v>
          </cell>
          <cell r="B569">
            <v>0</v>
          </cell>
          <cell r="I569">
            <v>4600</v>
          </cell>
        </row>
        <row r="570">
          <cell r="A570" t="str">
            <v>20203050</v>
          </cell>
          <cell r="B570">
            <v>1</v>
          </cell>
          <cell r="I570">
            <v>4000</v>
          </cell>
        </row>
        <row r="571">
          <cell r="A571" t="str">
            <v>20203051</v>
          </cell>
          <cell r="B571">
            <v>1</v>
          </cell>
          <cell r="I571">
            <v>4600</v>
          </cell>
        </row>
        <row r="572">
          <cell r="A572" t="str">
            <v>20203060</v>
          </cell>
          <cell r="B572">
            <v>1</v>
          </cell>
          <cell r="I572">
            <v>4000</v>
          </cell>
        </row>
        <row r="573">
          <cell r="A573" t="str">
            <v>20203061</v>
          </cell>
          <cell r="B573">
            <v>0</v>
          </cell>
          <cell r="I573">
            <v>4600</v>
          </cell>
        </row>
        <row r="574">
          <cell r="A574" t="str">
            <v>20200040</v>
          </cell>
          <cell r="B574">
            <v>1</v>
          </cell>
          <cell r="I574">
            <v>4000</v>
          </cell>
        </row>
        <row r="575">
          <cell r="A575" t="str">
            <v>20200041</v>
          </cell>
          <cell r="B575">
            <v>1</v>
          </cell>
          <cell r="I575">
            <v>4600</v>
          </cell>
        </row>
        <row r="576">
          <cell r="A576" t="str">
            <v>20200070</v>
          </cell>
          <cell r="B576">
            <v>1</v>
          </cell>
          <cell r="I576">
            <v>4000</v>
          </cell>
        </row>
        <row r="577">
          <cell r="A577" t="str">
            <v>20200071</v>
          </cell>
          <cell r="B577">
            <v>1</v>
          </cell>
          <cell r="I577">
            <v>4600</v>
          </cell>
        </row>
        <row r="578">
          <cell r="A578" t="str">
            <v>20250010</v>
          </cell>
          <cell r="B578">
            <v>1</v>
          </cell>
          <cell r="I578">
            <v>5000</v>
          </cell>
        </row>
        <row r="579">
          <cell r="A579" t="str">
            <v>20250020</v>
          </cell>
          <cell r="B579">
            <v>1</v>
          </cell>
          <cell r="I579">
            <v>5000</v>
          </cell>
        </row>
        <row r="580">
          <cell r="A580" t="str">
            <v>20250030</v>
          </cell>
          <cell r="B580">
            <v>1</v>
          </cell>
          <cell r="I580">
            <v>5000</v>
          </cell>
        </row>
        <row r="581">
          <cell r="A581" t="str">
            <v>20250080</v>
          </cell>
          <cell r="B581">
            <v>1</v>
          </cell>
          <cell r="I581">
            <v>5000</v>
          </cell>
        </row>
        <row r="582">
          <cell r="A582" t="str">
            <v>20250090</v>
          </cell>
          <cell r="B582">
            <v>1</v>
          </cell>
          <cell r="I582">
            <v>5000</v>
          </cell>
        </row>
        <row r="583">
          <cell r="A583" t="str">
            <v>20250100</v>
          </cell>
          <cell r="B583">
            <v>1</v>
          </cell>
          <cell r="I583">
            <v>5000</v>
          </cell>
        </row>
        <row r="584">
          <cell r="A584" t="str">
            <v>20251050</v>
          </cell>
          <cell r="B584">
            <v>1</v>
          </cell>
          <cell r="I584">
            <v>5000</v>
          </cell>
        </row>
        <row r="585">
          <cell r="A585" t="str">
            <v>20251051</v>
          </cell>
          <cell r="B585">
            <v>1</v>
          </cell>
          <cell r="I585">
            <v>5600</v>
          </cell>
        </row>
        <row r="586">
          <cell r="A586" t="str">
            <v>20251060</v>
          </cell>
          <cell r="B586">
            <v>1</v>
          </cell>
          <cell r="I586">
            <v>5000</v>
          </cell>
        </row>
        <row r="587">
          <cell r="A587" t="str">
            <v>20251061</v>
          </cell>
          <cell r="B587">
            <v>0</v>
          </cell>
          <cell r="I587">
            <v>5600</v>
          </cell>
        </row>
        <row r="588">
          <cell r="A588" t="str">
            <v>20252050</v>
          </cell>
          <cell r="B588">
            <v>1</v>
          </cell>
          <cell r="I588">
            <v>5000</v>
          </cell>
        </row>
        <row r="589">
          <cell r="A589" t="str">
            <v>20252051</v>
          </cell>
          <cell r="B589">
            <v>1</v>
          </cell>
          <cell r="I589">
            <v>5600</v>
          </cell>
        </row>
        <row r="590">
          <cell r="A590" t="str">
            <v>20252060</v>
          </cell>
          <cell r="B590">
            <v>1</v>
          </cell>
          <cell r="I590">
            <v>5000</v>
          </cell>
        </row>
        <row r="591">
          <cell r="A591" t="str">
            <v>20252061</v>
          </cell>
          <cell r="B591">
            <v>0</v>
          </cell>
          <cell r="I591">
            <v>5600</v>
          </cell>
        </row>
        <row r="592">
          <cell r="A592" t="str">
            <v>20253050</v>
          </cell>
          <cell r="B592">
            <v>1</v>
          </cell>
          <cell r="I592">
            <v>5000</v>
          </cell>
        </row>
        <row r="593">
          <cell r="A593" t="str">
            <v>20253051</v>
          </cell>
          <cell r="B593">
            <v>0</v>
          </cell>
          <cell r="I593">
            <v>5600</v>
          </cell>
        </row>
        <row r="594">
          <cell r="A594" t="str">
            <v>20253060</v>
          </cell>
          <cell r="B594">
            <v>1</v>
          </cell>
          <cell r="I594">
            <v>5000</v>
          </cell>
        </row>
        <row r="595">
          <cell r="A595" t="str">
            <v>20253061</v>
          </cell>
          <cell r="B595">
            <v>0</v>
          </cell>
          <cell r="I595">
            <v>5600</v>
          </cell>
        </row>
        <row r="596">
          <cell r="A596" t="str">
            <v>20250040</v>
          </cell>
          <cell r="B596">
            <v>1</v>
          </cell>
          <cell r="I596">
            <v>5000</v>
          </cell>
        </row>
        <row r="597">
          <cell r="A597" t="str">
            <v>20250041</v>
          </cell>
          <cell r="B597">
            <v>0</v>
          </cell>
          <cell r="I597">
            <v>5600</v>
          </cell>
        </row>
        <row r="598">
          <cell r="A598" t="str">
            <v>20250070</v>
          </cell>
          <cell r="B598">
            <v>1</v>
          </cell>
          <cell r="I598">
            <v>5000</v>
          </cell>
        </row>
        <row r="599">
          <cell r="A599" t="str">
            <v>20250071</v>
          </cell>
          <cell r="B599">
            <v>0</v>
          </cell>
          <cell r="I599">
            <v>5600</v>
          </cell>
        </row>
        <row r="600">
          <cell r="A600" t="str">
            <v>20300010</v>
          </cell>
          <cell r="B600">
            <v>1</v>
          </cell>
          <cell r="I600">
            <v>6000</v>
          </cell>
        </row>
        <row r="601">
          <cell r="A601" t="str">
            <v>20300020</v>
          </cell>
          <cell r="B601">
            <v>1</v>
          </cell>
          <cell r="I601">
            <v>6000</v>
          </cell>
        </row>
        <row r="602">
          <cell r="A602" t="str">
            <v>20300030</v>
          </cell>
          <cell r="B602">
            <v>1</v>
          </cell>
          <cell r="I602">
            <v>6000</v>
          </cell>
        </row>
        <row r="603">
          <cell r="A603" t="str">
            <v>20300080</v>
          </cell>
          <cell r="B603">
            <v>1</v>
          </cell>
          <cell r="I603">
            <v>6000</v>
          </cell>
        </row>
        <row r="604">
          <cell r="A604" t="str">
            <v>20300090</v>
          </cell>
          <cell r="B604">
            <v>1</v>
          </cell>
          <cell r="I604">
            <v>6000</v>
          </cell>
        </row>
        <row r="605">
          <cell r="A605" t="str">
            <v>20300100</v>
          </cell>
          <cell r="B605">
            <v>1</v>
          </cell>
          <cell r="I605">
            <v>6000</v>
          </cell>
        </row>
        <row r="606">
          <cell r="A606" t="str">
            <v>20301050</v>
          </cell>
          <cell r="B606">
            <v>1</v>
          </cell>
          <cell r="I606">
            <v>6000</v>
          </cell>
        </row>
        <row r="607">
          <cell r="A607" t="str">
            <v>20301051</v>
          </cell>
          <cell r="B607">
            <v>1</v>
          </cell>
          <cell r="I607">
            <v>6600</v>
          </cell>
        </row>
        <row r="608">
          <cell r="A608" t="str">
            <v>20301060</v>
          </cell>
          <cell r="B608">
            <v>1</v>
          </cell>
          <cell r="I608">
            <v>6000</v>
          </cell>
        </row>
        <row r="609">
          <cell r="A609" t="str">
            <v>20301061</v>
          </cell>
          <cell r="B609">
            <v>0</v>
          </cell>
          <cell r="I609">
            <v>6600</v>
          </cell>
        </row>
        <row r="610">
          <cell r="A610" t="str">
            <v>20302050</v>
          </cell>
          <cell r="B610">
            <v>1</v>
          </cell>
          <cell r="I610">
            <v>6000</v>
          </cell>
        </row>
        <row r="611">
          <cell r="A611" t="str">
            <v>20302051</v>
          </cell>
          <cell r="B611">
            <v>1</v>
          </cell>
          <cell r="I611">
            <v>6600</v>
          </cell>
        </row>
        <row r="612">
          <cell r="A612" t="str">
            <v>20302060</v>
          </cell>
          <cell r="B612">
            <v>1</v>
          </cell>
          <cell r="I612">
            <v>6000</v>
          </cell>
        </row>
        <row r="613">
          <cell r="A613" t="str">
            <v>20302061</v>
          </cell>
          <cell r="B613">
            <v>0</v>
          </cell>
          <cell r="I613">
            <v>6600</v>
          </cell>
        </row>
        <row r="614">
          <cell r="A614" t="str">
            <v>20303050</v>
          </cell>
          <cell r="B614">
            <v>1</v>
          </cell>
          <cell r="I614">
            <v>6000</v>
          </cell>
        </row>
        <row r="615">
          <cell r="A615" t="str">
            <v>20303051</v>
          </cell>
          <cell r="B615">
            <v>1</v>
          </cell>
          <cell r="I615">
            <v>6600</v>
          </cell>
        </row>
        <row r="616">
          <cell r="A616" t="str">
            <v>20303060</v>
          </cell>
          <cell r="B616">
            <v>1</v>
          </cell>
          <cell r="I616">
            <v>6000</v>
          </cell>
        </row>
        <row r="617">
          <cell r="A617" t="str">
            <v>20303061</v>
          </cell>
          <cell r="B617">
            <v>0</v>
          </cell>
          <cell r="I617">
            <v>6600</v>
          </cell>
        </row>
        <row r="618">
          <cell r="A618" t="str">
            <v>20300040</v>
          </cell>
          <cell r="B618">
            <v>1</v>
          </cell>
          <cell r="I618">
            <v>6000</v>
          </cell>
        </row>
        <row r="619">
          <cell r="A619" t="str">
            <v>20300041</v>
          </cell>
          <cell r="B619">
            <v>1</v>
          </cell>
          <cell r="I619">
            <v>6600</v>
          </cell>
        </row>
        <row r="620">
          <cell r="A620" t="str">
            <v>20300070</v>
          </cell>
          <cell r="B620">
            <v>1</v>
          </cell>
          <cell r="I620">
            <v>6000</v>
          </cell>
        </row>
        <row r="621">
          <cell r="A621" t="str">
            <v>20300071</v>
          </cell>
          <cell r="B621">
            <v>1</v>
          </cell>
          <cell r="I621">
            <v>6600</v>
          </cell>
        </row>
        <row r="622">
          <cell r="A622" t="str">
            <v>20350010</v>
          </cell>
          <cell r="B622">
            <v>1</v>
          </cell>
          <cell r="I622">
            <v>7000</v>
          </cell>
        </row>
        <row r="623">
          <cell r="A623" t="str">
            <v>20350020</v>
          </cell>
          <cell r="B623">
            <v>1</v>
          </cell>
          <cell r="I623">
            <v>7000</v>
          </cell>
        </row>
        <row r="624">
          <cell r="A624" t="str">
            <v>20350030</v>
          </cell>
          <cell r="B624">
            <v>1</v>
          </cell>
          <cell r="I624">
            <v>7000</v>
          </cell>
        </row>
        <row r="625">
          <cell r="A625" t="str">
            <v>20350080</v>
          </cell>
          <cell r="B625">
            <v>1</v>
          </cell>
          <cell r="I625">
            <v>7000</v>
          </cell>
        </row>
        <row r="626">
          <cell r="A626" t="str">
            <v>20350090</v>
          </cell>
          <cell r="B626">
            <v>1</v>
          </cell>
          <cell r="I626">
            <v>7000</v>
          </cell>
        </row>
        <row r="627">
          <cell r="A627" t="str">
            <v>20350100</v>
          </cell>
          <cell r="B627">
            <v>1</v>
          </cell>
          <cell r="I627">
            <v>7000</v>
          </cell>
        </row>
        <row r="628">
          <cell r="A628" t="str">
            <v>20351050</v>
          </cell>
          <cell r="B628">
            <v>1</v>
          </cell>
          <cell r="I628">
            <v>7000</v>
          </cell>
        </row>
        <row r="629">
          <cell r="A629" t="str">
            <v>20351051</v>
          </cell>
          <cell r="B629">
            <v>0</v>
          </cell>
          <cell r="I629">
            <v>7600</v>
          </cell>
        </row>
        <row r="630">
          <cell r="A630" t="str">
            <v>20351060</v>
          </cell>
          <cell r="B630">
            <v>1</v>
          </cell>
          <cell r="I630">
            <v>7000</v>
          </cell>
        </row>
        <row r="631">
          <cell r="A631" t="str">
            <v>20351061</v>
          </cell>
          <cell r="B631">
            <v>1</v>
          </cell>
          <cell r="I631">
            <v>7600</v>
          </cell>
        </row>
        <row r="632">
          <cell r="A632" t="str">
            <v>20352050</v>
          </cell>
          <cell r="B632">
            <v>1</v>
          </cell>
          <cell r="I632">
            <v>7000</v>
          </cell>
        </row>
        <row r="633">
          <cell r="A633" t="str">
            <v>20352051</v>
          </cell>
          <cell r="B633">
            <v>0</v>
          </cell>
          <cell r="I633">
            <v>7600</v>
          </cell>
        </row>
        <row r="634">
          <cell r="A634" t="str">
            <v>20352060</v>
          </cell>
          <cell r="B634">
            <v>1</v>
          </cell>
          <cell r="I634">
            <v>7000</v>
          </cell>
        </row>
        <row r="635">
          <cell r="A635" t="str">
            <v>20352061</v>
          </cell>
          <cell r="B635">
            <v>1</v>
          </cell>
          <cell r="I635">
            <v>7600</v>
          </cell>
        </row>
        <row r="636">
          <cell r="A636" t="str">
            <v>20353050</v>
          </cell>
          <cell r="B636">
            <v>1</v>
          </cell>
          <cell r="I636">
            <v>7000</v>
          </cell>
        </row>
        <row r="637">
          <cell r="A637" t="str">
            <v>20353051</v>
          </cell>
          <cell r="B637">
            <v>0</v>
          </cell>
          <cell r="I637">
            <v>7600</v>
          </cell>
        </row>
        <row r="638">
          <cell r="A638" t="str">
            <v>20353060</v>
          </cell>
          <cell r="B638">
            <v>1</v>
          </cell>
          <cell r="I638">
            <v>7000</v>
          </cell>
        </row>
        <row r="639">
          <cell r="A639" t="str">
            <v>20353061</v>
          </cell>
          <cell r="B639">
            <v>1</v>
          </cell>
          <cell r="I639">
            <v>7600</v>
          </cell>
        </row>
        <row r="640">
          <cell r="A640" t="str">
            <v>20350040</v>
          </cell>
          <cell r="B640">
            <v>1</v>
          </cell>
          <cell r="I640">
            <v>7000</v>
          </cell>
        </row>
        <row r="641">
          <cell r="A641" t="str">
            <v>20350041</v>
          </cell>
          <cell r="B641">
            <v>1</v>
          </cell>
          <cell r="I641">
            <v>7600</v>
          </cell>
        </row>
        <row r="642">
          <cell r="A642" t="str">
            <v>20350070</v>
          </cell>
          <cell r="B642">
            <v>1</v>
          </cell>
          <cell r="I642">
            <v>7000</v>
          </cell>
        </row>
        <row r="643">
          <cell r="A643" t="str">
            <v>20350071</v>
          </cell>
          <cell r="B643">
            <v>0</v>
          </cell>
          <cell r="I643">
            <v>7600</v>
          </cell>
        </row>
        <row r="644">
          <cell r="A644" t="str">
            <v>20400010</v>
          </cell>
          <cell r="B644">
            <v>1</v>
          </cell>
          <cell r="I644">
            <v>8000</v>
          </cell>
        </row>
        <row r="645">
          <cell r="A645" t="str">
            <v>20400020</v>
          </cell>
          <cell r="B645">
            <v>1</v>
          </cell>
          <cell r="I645">
            <v>8000</v>
          </cell>
        </row>
        <row r="646">
          <cell r="A646" t="str">
            <v>20400030</v>
          </cell>
          <cell r="B646">
            <v>1</v>
          </cell>
          <cell r="I646">
            <v>8000</v>
          </cell>
        </row>
        <row r="647">
          <cell r="A647" t="str">
            <v>20400080</v>
          </cell>
          <cell r="B647">
            <v>1</v>
          </cell>
          <cell r="I647">
            <v>8000</v>
          </cell>
        </row>
        <row r="648">
          <cell r="A648" t="str">
            <v>20400090</v>
          </cell>
          <cell r="B648">
            <v>1</v>
          </cell>
          <cell r="I648">
            <v>8000</v>
          </cell>
        </row>
        <row r="649">
          <cell r="A649" t="str">
            <v>20400100</v>
          </cell>
          <cell r="B649">
            <v>1</v>
          </cell>
          <cell r="I649">
            <v>8000</v>
          </cell>
        </row>
        <row r="650">
          <cell r="A650" t="str">
            <v>20401050</v>
          </cell>
          <cell r="B650">
            <v>1</v>
          </cell>
          <cell r="I650">
            <v>8000</v>
          </cell>
        </row>
        <row r="651">
          <cell r="A651" t="str">
            <v>20401051</v>
          </cell>
          <cell r="B651">
            <v>1</v>
          </cell>
          <cell r="I651">
            <v>8600</v>
          </cell>
        </row>
        <row r="652">
          <cell r="A652" t="str">
            <v>20401060</v>
          </cell>
          <cell r="B652">
            <v>1</v>
          </cell>
          <cell r="I652">
            <v>8000</v>
          </cell>
        </row>
        <row r="653">
          <cell r="A653" t="str">
            <v>20401061</v>
          </cell>
          <cell r="B653">
            <v>0</v>
          </cell>
          <cell r="I653">
            <v>8600</v>
          </cell>
        </row>
        <row r="654">
          <cell r="A654" t="str">
            <v>20402050</v>
          </cell>
          <cell r="B654">
            <v>1</v>
          </cell>
          <cell r="I654">
            <v>8000</v>
          </cell>
        </row>
        <row r="655">
          <cell r="A655" t="str">
            <v>20402051</v>
          </cell>
          <cell r="B655">
            <v>1</v>
          </cell>
          <cell r="I655">
            <v>8600</v>
          </cell>
        </row>
        <row r="656">
          <cell r="A656" t="str">
            <v>20402060</v>
          </cell>
          <cell r="B656">
            <v>1</v>
          </cell>
          <cell r="I656">
            <v>8000</v>
          </cell>
        </row>
        <row r="657">
          <cell r="A657" t="str">
            <v>20402061</v>
          </cell>
          <cell r="B657">
            <v>0</v>
          </cell>
          <cell r="I657">
            <v>8600</v>
          </cell>
        </row>
        <row r="658">
          <cell r="A658" t="str">
            <v>20403050</v>
          </cell>
          <cell r="B658">
            <v>1</v>
          </cell>
          <cell r="I658">
            <v>8000</v>
          </cell>
        </row>
        <row r="659">
          <cell r="A659" t="str">
            <v>20403051</v>
          </cell>
          <cell r="B659">
            <v>1</v>
          </cell>
          <cell r="I659">
            <v>8600</v>
          </cell>
        </row>
        <row r="660">
          <cell r="A660" t="str">
            <v>20403060</v>
          </cell>
          <cell r="B660">
            <v>1</v>
          </cell>
          <cell r="I660">
            <v>8000</v>
          </cell>
        </row>
        <row r="661">
          <cell r="A661" t="str">
            <v>20403061</v>
          </cell>
          <cell r="B661">
            <v>0</v>
          </cell>
          <cell r="I661">
            <v>8600</v>
          </cell>
        </row>
        <row r="662">
          <cell r="A662" t="str">
            <v>20400040</v>
          </cell>
          <cell r="B662">
            <v>1</v>
          </cell>
          <cell r="I662">
            <v>8000</v>
          </cell>
        </row>
        <row r="663">
          <cell r="A663" t="str">
            <v>20400041</v>
          </cell>
          <cell r="B663">
            <v>0</v>
          </cell>
          <cell r="I663">
            <v>8600</v>
          </cell>
        </row>
        <row r="664">
          <cell r="A664" t="str">
            <v>20400070</v>
          </cell>
          <cell r="B664">
            <v>1</v>
          </cell>
          <cell r="I664">
            <v>8000</v>
          </cell>
        </row>
        <row r="665">
          <cell r="A665" t="str">
            <v>20400071</v>
          </cell>
          <cell r="B665">
            <v>0</v>
          </cell>
          <cell r="I665">
            <v>8600</v>
          </cell>
        </row>
        <row r="666">
          <cell r="A666" t="str">
            <v>20450010</v>
          </cell>
          <cell r="B666">
            <v>1</v>
          </cell>
          <cell r="I666">
            <v>9000</v>
          </cell>
        </row>
        <row r="667">
          <cell r="A667" t="str">
            <v>20450020</v>
          </cell>
          <cell r="B667">
            <v>1</v>
          </cell>
          <cell r="I667">
            <v>9000</v>
          </cell>
        </row>
        <row r="668">
          <cell r="A668" t="str">
            <v>20450030</v>
          </cell>
          <cell r="B668">
            <v>1</v>
          </cell>
          <cell r="I668">
            <v>9000</v>
          </cell>
        </row>
        <row r="669">
          <cell r="A669" t="str">
            <v>20450080</v>
          </cell>
          <cell r="B669">
            <v>1</v>
          </cell>
          <cell r="I669">
            <v>9000</v>
          </cell>
        </row>
        <row r="670">
          <cell r="A670" t="str">
            <v>20450090</v>
          </cell>
          <cell r="B670">
            <v>1</v>
          </cell>
          <cell r="I670">
            <v>9000</v>
          </cell>
        </row>
        <row r="671">
          <cell r="A671" t="str">
            <v>20450100</v>
          </cell>
          <cell r="B671">
            <v>1</v>
          </cell>
          <cell r="I671">
            <v>9000</v>
          </cell>
        </row>
        <row r="672">
          <cell r="A672" t="str">
            <v>20451050</v>
          </cell>
          <cell r="B672">
            <v>1</v>
          </cell>
          <cell r="I672">
            <v>9000</v>
          </cell>
        </row>
        <row r="673">
          <cell r="A673" t="str">
            <v>20451051</v>
          </cell>
          <cell r="B673">
            <v>0</v>
          </cell>
          <cell r="I673">
            <v>9600</v>
          </cell>
        </row>
        <row r="674">
          <cell r="A674" t="str">
            <v>20451060</v>
          </cell>
          <cell r="B674">
            <v>1</v>
          </cell>
          <cell r="I674">
            <v>9000</v>
          </cell>
        </row>
        <row r="675">
          <cell r="A675" t="str">
            <v>20451061</v>
          </cell>
          <cell r="B675">
            <v>0</v>
          </cell>
          <cell r="I675">
            <v>9600</v>
          </cell>
        </row>
        <row r="676">
          <cell r="A676" t="str">
            <v>20452050</v>
          </cell>
          <cell r="B676">
            <v>1</v>
          </cell>
          <cell r="I676">
            <v>9000</v>
          </cell>
        </row>
        <row r="677">
          <cell r="A677" t="str">
            <v>20452051</v>
          </cell>
          <cell r="B677">
            <v>0</v>
          </cell>
          <cell r="I677">
            <v>9600</v>
          </cell>
        </row>
        <row r="678">
          <cell r="A678" t="str">
            <v>20452060</v>
          </cell>
          <cell r="B678">
            <v>1</v>
          </cell>
          <cell r="I678">
            <v>9000</v>
          </cell>
        </row>
        <row r="679">
          <cell r="A679" t="str">
            <v>20452061</v>
          </cell>
          <cell r="B679">
            <v>0</v>
          </cell>
          <cell r="I679">
            <v>9600</v>
          </cell>
        </row>
        <row r="680">
          <cell r="A680" t="str">
            <v>20453050</v>
          </cell>
          <cell r="B680">
            <v>1</v>
          </cell>
          <cell r="I680">
            <v>9000</v>
          </cell>
        </row>
        <row r="681">
          <cell r="A681" t="str">
            <v>20453051</v>
          </cell>
          <cell r="B681">
            <v>1</v>
          </cell>
          <cell r="I681">
            <v>9600</v>
          </cell>
        </row>
        <row r="682">
          <cell r="A682" t="str">
            <v>20453060</v>
          </cell>
          <cell r="B682">
            <v>1</v>
          </cell>
          <cell r="I682">
            <v>9000</v>
          </cell>
        </row>
        <row r="683">
          <cell r="A683" t="str">
            <v>20453061</v>
          </cell>
          <cell r="B683">
            <v>0</v>
          </cell>
          <cell r="I683">
            <v>9600</v>
          </cell>
        </row>
        <row r="684">
          <cell r="A684" t="str">
            <v>20450040</v>
          </cell>
          <cell r="B684">
            <v>1</v>
          </cell>
          <cell r="I684">
            <v>9000</v>
          </cell>
        </row>
        <row r="685">
          <cell r="A685" t="str">
            <v>20450041</v>
          </cell>
          <cell r="B685">
            <v>1</v>
          </cell>
          <cell r="I685">
            <v>9600</v>
          </cell>
        </row>
        <row r="686">
          <cell r="A686" t="str">
            <v>20450070</v>
          </cell>
          <cell r="B686">
            <v>1</v>
          </cell>
          <cell r="I686">
            <v>9000</v>
          </cell>
        </row>
        <row r="687">
          <cell r="A687" t="str">
            <v>20450071</v>
          </cell>
          <cell r="B687">
            <v>1</v>
          </cell>
          <cell r="I687">
            <v>9600</v>
          </cell>
        </row>
        <row r="688">
          <cell r="A688" t="str">
            <v>20500010</v>
          </cell>
          <cell r="B688">
            <v>1</v>
          </cell>
          <cell r="I688">
            <v>10000</v>
          </cell>
        </row>
        <row r="689">
          <cell r="A689" t="str">
            <v>20500020</v>
          </cell>
          <cell r="B689">
            <v>1</v>
          </cell>
          <cell r="I689">
            <v>10000</v>
          </cell>
        </row>
        <row r="690">
          <cell r="A690" t="str">
            <v>20500030</v>
          </cell>
          <cell r="B690">
            <v>1</v>
          </cell>
          <cell r="I690">
            <v>10000</v>
          </cell>
        </row>
        <row r="691">
          <cell r="A691" t="str">
            <v>20500080</v>
          </cell>
          <cell r="B691">
            <v>1</v>
          </cell>
          <cell r="I691">
            <v>10000</v>
          </cell>
        </row>
        <row r="692">
          <cell r="A692" t="str">
            <v>20500090</v>
          </cell>
          <cell r="B692">
            <v>1</v>
          </cell>
          <cell r="I692">
            <v>10000</v>
          </cell>
        </row>
        <row r="693">
          <cell r="A693" t="str">
            <v>20500100</v>
          </cell>
          <cell r="B693">
            <v>1</v>
          </cell>
          <cell r="I693">
            <v>10000</v>
          </cell>
        </row>
        <row r="694">
          <cell r="A694" t="str">
            <v>20501050</v>
          </cell>
          <cell r="B694">
            <v>1</v>
          </cell>
          <cell r="I694">
            <v>10000</v>
          </cell>
        </row>
        <row r="695">
          <cell r="A695" t="str">
            <v>20501051</v>
          </cell>
          <cell r="B695">
            <v>1</v>
          </cell>
          <cell r="I695">
            <v>10600</v>
          </cell>
        </row>
        <row r="696">
          <cell r="A696" t="str">
            <v>20501060</v>
          </cell>
          <cell r="B696">
            <v>1</v>
          </cell>
          <cell r="I696">
            <v>10000</v>
          </cell>
        </row>
        <row r="697">
          <cell r="A697" t="str">
            <v>20501061</v>
          </cell>
          <cell r="B697">
            <v>1</v>
          </cell>
          <cell r="I697">
            <v>10600</v>
          </cell>
        </row>
        <row r="698">
          <cell r="A698" t="str">
            <v>20502050</v>
          </cell>
          <cell r="B698">
            <v>1</v>
          </cell>
          <cell r="I698">
            <v>10000</v>
          </cell>
        </row>
        <row r="699">
          <cell r="A699" t="str">
            <v>20502051</v>
          </cell>
          <cell r="B699">
            <v>1</v>
          </cell>
          <cell r="I699">
            <v>10600</v>
          </cell>
        </row>
        <row r="700">
          <cell r="A700" t="str">
            <v>20502060</v>
          </cell>
          <cell r="B700">
            <v>1</v>
          </cell>
          <cell r="I700">
            <v>10000</v>
          </cell>
        </row>
        <row r="701">
          <cell r="A701" t="str">
            <v>20502061</v>
          </cell>
          <cell r="B701">
            <v>1</v>
          </cell>
          <cell r="I701">
            <v>10600</v>
          </cell>
        </row>
        <row r="702">
          <cell r="A702" t="str">
            <v>20503050</v>
          </cell>
          <cell r="B702">
            <v>1</v>
          </cell>
          <cell r="I702">
            <v>10000</v>
          </cell>
        </row>
        <row r="703">
          <cell r="A703" t="str">
            <v>20503051</v>
          </cell>
          <cell r="B703">
            <v>1</v>
          </cell>
          <cell r="I703">
            <v>10600</v>
          </cell>
        </row>
        <row r="704">
          <cell r="A704" t="str">
            <v>20503060</v>
          </cell>
          <cell r="B704">
            <v>1</v>
          </cell>
          <cell r="I704">
            <v>10000</v>
          </cell>
        </row>
        <row r="705">
          <cell r="A705" t="str">
            <v>20503061</v>
          </cell>
          <cell r="B705">
            <v>1</v>
          </cell>
          <cell r="I705">
            <v>10600</v>
          </cell>
        </row>
        <row r="706">
          <cell r="A706" t="str">
            <v>20500040</v>
          </cell>
          <cell r="B706">
            <v>1</v>
          </cell>
          <cell r="I706">
            <v>10000</v>
          </cell>
        </row>
        <row r="707">
          <cell r="A707" t="str">
            <v>20500041</v>
          </cell>
          <cell r="B707">
            <v>0</v>
          </cell>
          <cell r="I707">
            <v>10600</v>
          </cell>
        </row>
        <row r="708">
          <cell r="A708" t="str">
            <v>20500070</v>
          </cell>
          <cell r="B708">
            <v>1</v>
          </cell>
          <cell r="I708">
            <v>10000</v>
          </cell>
        </row>
        <row r="709">
          <cell r="A709" t="str">
            <v>20500071</v>
          </cell>
          <cell r="B709">
            <v>0</v>
          </cell>
          <cell r="I709">
            <v>10600</v>
          </cell>
        </row>
        <row r="710">
          <cell r="A710" t="str">
            <v>20550010</v>
          </cell>
          <cell r="B710">
            <v>1</v>
          </cell>
          <cell r="I710">
            <v>11000</v>
          </cell>
        </row>
        <row r="711">
          <cell r="A711" t="str">
            <v>20550020</v>
          </cell>
          <cell r="B711">
            <v>1</v>
          </cell>
          <cell r="I711">
            <v>11000</v>
          </cell>
        </row>
        <row r="712">
          <cell r="A712" t="str">
            <v>20550030</v>
          </cell>
          <cell r="B712">
            <v>1</v>
          </cell>
          <cell r="I712">
            <v>11000</v>
          </cell>
        </row>
        <row r="713">
          <cell r="A713" t="str">
            <v>20550080</v>
          </cell>
          <cell r="B713">
            <v>1</v>
          </cell>
          <cell r="I713">
            <v>11000</v>
          </cell>
        </row>
        <row r="714">
          <cell r="A714" t="str">
            <v>20550090</v>
          </cell>
          <cell r="B714">
            <v>0</v>
          </cell>
          <cell r="I714">
            <v>11000</v>
          </cell>
        </row>
        <row r="715">
          <cell r="A715" t="str">
            <v>20550100</v>
          </cell>
          <cell r="B715">
            <v>1</v>
          </cell>
          <cell r="I715">
            <v>11000</v>
          </cell>
        </row>
        <row r="716">
          <cell r="A716" t="str">
            <v>20551050</v>
          </cell>
          <cell r="B716">
            <v>1</v>
          </cell>
          <cell r="I716">
            <v>11000</v>
          </cell>
        </row>
        <row r="717">
          <cell r="A717" t="str">
            <v>20551051</v>
          </cell>
          <cell r="B717">
            <v>0</v>
          </cell>
          <cell r="I717">
            <v>11600</v>
          </cell>
        </row>
        <row r="718">
          <cell r="A718" t="str">
            <v>20551060</v>
          </cell>
          <cell r="B718">
            <v>1</v>
          </cell>
          <cell r="I718">
            <v>11000</v>
          </cell>
        </row>
        <row r="719">
          <cell r="A719" t="str">
            <v>20551061</v>
          </cell>
          <cell r="B719">
            <v>1</v>
          </cell>
          <cell r="I719">
            <v>11600</v>
          </cell>
        </row>
        <row r="720">
          <cell r="A720" t="str">
            <v>20552050</v>
          </cell>
          <cell r="B720">
            <v>1</v>
          </cell>
          <cell r="I720">
            <v>11000</v>
          </cell>
        </row>
        <row r="721">
          <cell r="A721" t="str">
            <v>20552051</v>
          </cell>
          <cell r="B721">
            <v>0</v>
          </cell>
          <cell r="I721">
            <v>11600</v>
          </cell>
        </row>
        <row r="722">
          <cell r="A722" t="str">
            <v>20552060</v>
          </cell>
          <cell r="B722">
            <v>1</v>
          </cell>
          <cell r="I722">
            <v>11000</v>
          </cell>
        </row>
        <row r="723">
          <cell r="A723" t="str">
            <v>20552061</v>
          </cell>
          <cell r="B723">
            <v>1</v>
          </cell>
          <cell r="I723">
            <v>11600</v>
          </cell>
        </row>
        <row r="724">
          <cell r="A724" t="str">
            <v>20553050</v>
          </cell>
          <cell r="B724">
            <v>1</v>
          </cell>
          <cell r="I724">
            <v>11000</v>
          </cell>
        </row>
        <row r="725">
          <cell r="A725" t="str">
            <v>20553051</v>
          </cell>
          <cell r="B725">
            <v>0</v>
          </cell>
          <cell r="I725">
            <v>11600</v>
          </cell>
        </row>
        <row r="726">
          <cell r="A726" t="str">
            <v>20553060</v>
          </cell>
          <cell r="B726">
            <v>1</v>
          </cell>
          <cell r="I726">
            <v>11000</v>
          </cell>
        </row>
        <row r="727">
          <cell r="A727" t="str">
            <v>20553061</v>
          </cell>
          <cell r="B727">
            <v>1</v>
          </cell>
          <cell r="I727">
            <v>11600</v>
          </cell>
        </row>
        <row r="728">
          <cell r="A728" t="str">
            <v>20550040</v>
          </cell>
          <cell r="B728">
            <v>1</v>
          </cell>
          <cell r="I728">
            <v>11000</v>
          </cell>
        </row>
        <row r="729">
          <cell r="A729" t="str">
            <v>20550041</v>
          </cell>
          <cell r="B729">
            <v>0</v>
          </cell>
          <cell r="I729">
            <v>11600</v>
          </cell>
        </row>
        <row r="730">
          <cell r="A730" t="str">
            <v>20550070</v>
          </cell>
          <cell r="B730">
            <v>1</v>
          </cell>
          <cell r="I730">
            <v>11000</v>
          </cell>
        </row>
        <row r="731">
          <cell r="A731" t="str">
            <v>20550071</v>
          </cell>
          <cell r="B731">
            <v>0</v>
          </cell>
          <cell r="I731">
            <v>11600</v>
          </cell>
        </row>
        <row r="732">
          <cell r="A732" t="str">
            <v>20600010</v>
          </cell>
          <cell r="B732">
            <v>1</v>
          </cell>
          <cell r="I732">
            <v>12000</v>
          </cell>
        </row>
        <row r="733">
          <cell r="A733" t="str">
            <v>20600020</v>
          </cell>
          <cell r="B733">
            <v>1</v>
          </cell>
          <cell r="I733">
            <v>12000</v>
          </cell>
        </row>
        <row r="734">
          <cell r="A734" t="str">
            <v>20600030</v>
          </cell>
          <cell r="B734">
            <v>1</v>
          </cell>
          <cell r="I734">
            <v>12000</v>
          </cell>
        </row>
        <row r="735">
          <cell r="A735" t="str">
            <v>20600080</v>
          </cell>
          <cell r="B735">
            <v>1</v>
          </cell>
          <cell r="I735">
            <v>12000</v>
          </cell>
        </row>
        <row r="736">
          <cell r="A736" t="str">
            <v>20600090</v>
          </cell>
          <cell r="B736">
            <v>1</v>
          </cell>
          <cell r="I736">
            <v>12000</v>
          </cell>
        </row>
        <row r="737">
          <cell r="A737" t="str">
            <v>20600100</v>
          </cell>
          <cell r="B737">
            <v>1</v>
          </cell>
          <cell r="I737">
            <v>12000</v>
          </cell>
        </row>
        <row r="738">
          <cell r="A738" t="str">
            <v>20601050</v>
          </cell>
          <cell r="B738">
            <v>1</v>
          </cell>
          <cell r="I738">
            <v>12000</v>
          </cell>
        </row>
        <row r="739">
          <cell r="A739" t="str">
            <v>20601051</v>
          </cell>
          <cell r="B739">
            <v>1</v>
          </cell>
          <cell r="I739">
            <v>12600</v>
          </cell>
        </row>
        <row r="740">
          <cell r="A740" t="str">
            <v>20601060</v>
          </cell>
          <cell r="B740">
            <v>1</v>
          </cell>
          <cell r="I740">
            <v>12000</v>
          </cell>
        </row>
        <row r="741">
          <cell r="A741" t="str">
            <v>20601061</v>
          </cell>
          <cell r="B741">
            <v>0</v>
          </cell>
          <cell r="I741">
            <v>12600</v>
          </cell>
        </row>
        <row r="742">
          <cell r="A742" t="str">
            <v>20602050</v>
          </cell>
          <cell r="B742">
            <v>1</v>
          </cell>
          <cell r="I742">
            <v>12000</v>
          </cell>
        </row>
        <row r="743">
          <cell r="A743" t="str">
            <v>20602051</v>
          </cell>
          <cell r="B743">
            <v>0</v>
          </cell>
          <cell r="I743">
            <v>12600</v>
          </cell>
        </row>
        <row r="744">
          <cell r="A744" t="str">
            <v>20602060</v>
          </cell>
          <cell r="B744">
            <v>1</v>
          </cell>
          <cell r="I744">
            <v>12000</v>
          </cell>
        </row>
        <row r="745">
          <cell r="A745" t="str">
            <v>20602061</v>
          </cell>
          <cell r="B745">
            <v>0</v>
          </cell>
          <cell r="I745">
            <v>12600</v>
          </cell>
        </row>
        <row r="746">
          <cell r="A746" t="str">
            <v>20603050</v>
          </cell>
          <cell r="B746">
            <v>1</v>
          </cell>
          <cell r="I746">
            <v>12000</v>
          </cell>
        </row>
        <row r="747">
          <cell r="A747" t="str">
            <v>20603051</v>
          </cell>
          <cell r="B747">
            <v>0</v>
          </cell>
          <cell r="I747">
            <v>12600</v>
          </cell>
        </row>
        <row r="748">
          <cell r="A748" t="str">
            <v>20603060</v>
          </cell>
          <cell r="B748">
            <v>1</v>
          </cell>
          <cell r="I748">
            <v>12000</v>
          </cell>
        </row>
        <row r="749">
          <cell r="A749" t="str">
            <v>20603061</v>
          </cell>
          <cell r="B749">
            <v>0</v>
          </cell>
          <cell r="I749">
            <v>12600</v>
          </cell>
        </row>
        <row r="750">
          <cell r="A750" t="str">
            <v>20600040</v>
          </cell>
          <cell r="B750">
            <v>1</v>
          </cell>
          <cell r="I750">
            <v>12000</v>
          </cell>
        </row>
        <row r="751">
          <cell r="A751" t="str">
            <v>20600041</v>
          </cell>
          <cell r="B751">
            <v>0</v>
          </cell>
          <cell r="I751">
            <v>12600</v>
          </cell>
        </row>
        <row r="752">
          <cell r="A752" t="str">
            <v>20600070</v>
          </cell>
          <cell r="B752">
            <v>1</v>
          </cell>
          <cell r="I752">
            <v>12000</v>
          </cell>
        </row>
        <row r="753">
          <cell r="A753" t="str">
            <v>20600071</v>
          </cell>
          <cell r="B753">
            <v>1</v>
          </cell>
          <cell r="I753">
            <v>12600</v>
          </cell>
        </row>
        <row r="754">
          <cell r="A754" t="str">
            <v>20650010</v>
          </cell>
          <cell r="B754">
            <v>1</v>
          </cell>
          <cell r="I754">
            <v>13000</v>
          </cell>
        </row>
        <row r="755">
          <cell r="A755" t="str">
            <v>20650020</v>
          </cell>
          <cell r="B755">
            <v>1</v>
          </cell>
          <cell r="I755">
            <v>13000</v>
          </cell>
        </row>
        <row r="756">
          <cell r="A756" t="str">
            <v>20650030</v>
          </cell>
          <cell r="B756">
            <v>1</v>
          </cell>
          <cell r="I756">
            <v>13000</v>
          </cell>
        </row>
        <row r="757">
          <cell r="A757" t="str">
            <v>20650080</v>
          </cell>
          <cell r="B757">
            <v>1</v>
          </cell>
          <cell r="I757">
            <v>13000</v>
          </cell>
        </row>
        <row r="758">
          <cell r="A758" t="str">
            <v>20650090</v>
          </cell>
          <cell r="B758">
            <v>1</v>
          </cell>
          <cell r="I758">
            <v>13000</v>
          </cell>
        </row>
        <row r="759">
          <cell r="A759" t="str">
            <v>20650100</v>
          </cell>
          <cell r="B759">
            <v>1</v>
          </cell>
          <cell r="I759">
            <v>13000</v>
          </cell>
        </row>
        <row r="760">
          <cell r="A760" t="str">
            <v>20651050</v>
          </cell>
          <cell r="B760">
            <v>1</v>
          </cell>
          <cell r="I760">
            <v>13000</v>
          </cell>
        </row>
        <row r="761">
          <cell r="A761" t="str">
            <v>20651051</v>
          </cell>
          <cell r="B761">
            <v>0</v>
          </cell>
          <cell r="I761">
            <v>13600</v>
          </cell>
        </row>
        <row r="762">
          <cell r="A762" t="str">
            <v>20651060</v>
          </cell>
          <cell r="B762">
            <v>1</v>
          </cell>
          <cell r="I762">
            <v>13000</v>
          </cell>
        </row>
        <row r="763">
          <cell r="A763" t="str">
            <v>20651061</v>
          </cell>
          <cell r="B763">
            <v>0</v>
          </cell>
          <cell r="I763">
            <v>13600</v>
          </cell>
        </row>
        <row r="764">
          <cell r="A764" t="str">
            <v>20652050</v>
          </cell>
          <cell r="B764">
            <v>1</v>
          </cell>
          <cell r="I764">
            <v>13000</v>
          </cell>
        </row>
        <row r="765">
          <cell r="A765" t="str">
            <v>20652051</v>
          </cell>
          <cell r="B765">
            <v>0</v>
          </cell>
          <cell r="I765">
            <v>13600</v>
          </cell>
        </row>
        <row r="766">
          <cell r="A766" t="str">
            <v>20652060</v>
          </cell>
          <cell r="B766">
            <v>1</v>
          </cell>
          <cell r="I766">
            <v>13000</v>
          </cell>
        </row>
        <row r="767">
          <cell r="A767" t="str">
            <v>20652061</v>
          </cell>
          <cell r="B767">
            <v>0</v>
          </cell>
          <cell r="I767">
            <v>13600</v>
          </cell>
        </row>
        <row r="768">
          <cell r="A768" t="str">
            <v>20653050</v>
          </cell>
          <cell r="B768">
            <v>1</v>
          </cell>
          <cell r="I768">
            <v>13000</v>
          </cell>
        </row>
        <row r="769">
          <cell r="A769" t="str">
            <v>20653051</v>
          </cell>
          <cell r="B769">
            <v>0</v>
          </cell>
          <cell r="I769">
            <v>13600</v>
          </cell>
        </row>
        <row r="770">
          <cell r="A770" t="str">
            <v>20653060</v>
          </cell>
          <cell r="B770">
            <v>1</v>
          </cell>
          <cell r="I770">
            <v>13000</v>
          </cell>
        </row>
        <row r="771">
          <cell r="A771" t="str">
            <v>20653061</v>
          </cell>
          <cell r="B771">
            <v>0</v>
          </cell>
          <cell r="I771">
            <v>13600</v>
          </cell>
        </row>
        <row r="772">
          <cell r="A772" t="str">
            <v>20650040</v>
          </cell>
          <cell r="B772">
            <v>1</v>
          </cell>
          <cell r="I772">
            <v>13000</v>
          </cell>
        </row>
        <row r="773">
          <cell r="A773" t="str">
            <v>20650041</v>
          </cell>
          <cell r="B773">
            <v>0</v>
          </cell>
          <cell r="I773">
            <v>13600</v>
          </cell>
        </row>
        <row r="774">
          <cell r="A774" t="str">
            <v>20650070</v>
          </cell>
          <cell r="B774">
            <v>1</v>
          </cell>
          <cell r="I774">
            <v>13000</v>
          </cell>
        </row>
        <row r="775">
          <cell r="A775" t="str">
            <v>20650071</v>
          </cell>
          <cell r="B775">
            <v>0</v>
          </cell>
          <cell r="I775">
            <v>13600</v>
          </cell>
        </row>
        <row r="776">
          <cell r="A776" t="str">
            <v>20700010</v>
          </cell>
          <cell r="B776">
            <v>1</v>
          </cell>
          <cell r="I776">
            <v>14000</v>
          </cell>
        </row>
        <row r="777">
          <cell r="A777" t="str">
            <v>20700020</v>
          </cell>
          <cell r="B777">
            <v>1</v>
          </cell>
          <cell r="I777">
            <v>14000</v>
          </cell>
        </row>
        <row r="778">
          <cell r="A778" t="str">
            <v>20700030</v>
          </cell>
          <cell r="B778">
            <v>1</v>
          </cell>
          <cell r="I778">
            <v>14000</v>
          </cell>
        </row>
        <row r="779">
          <cell r="A779" t="str">
            <v>20700080</v>
          </cell>
          <cell r="B779">
            <v>1</v>
          </cell>
          <cell r="I779">
            <v>14000</v>
          </cell>
        </row>
        <row r="780">
          <cell r="A780" t="str">
            <v>20700090</v>
          </cell>
          <cell r="B780">
            <v>1</v>
          </cell>
          <cell r="I780">
            <v>14000</v>
          </cell>
        </row>
        <row r="781">
          <cell r="A781" t="str">
            <v>20700100</v>
          </cell>
          <cell r="B781">
            <v>1</v>
          </cell>
          <cell r="I781">
            <v>14000</v>
          </cell>
        </row>
        <row r="782">
          <cell r="A782" t="str">
            <v>20701050</v>
          </cell>
          <cell r="B782">
            <v>1</v>
          </cell>
          <cell r="I782">
            <v>14000</v>
          </cell>
        </row>
        <row r="783">
          <cell r="A783" t="str">
            <v>20701051</v>
          </cell>
          <cell r="B783">
            <v>0</v>
          </cell>
          <cell r="I783">
            <v>14600</v>
          </cell>
        </row>
        <row r="784">
          <cell r="A784" t="str">
            <v>20701060</v>
          </cell>
          <cell r="B784">
            <v>1</v>
          </cell>
          <cell r="I784">
            <v>14000</v>
          </cell>
        </row>
        <row r="785">
          <cell r="A785" t="str">
            <v>20701061</v>
          </cell>
          <cell r="B785">
            <v>0</v>
          </cell>
          <cell r="I785">
            <v>14600</v>
          </cell>
        </row>
        <row r="786">
          <cell r="A786" t="str">
            <v>20702050</v>
          </cell>
          <cell r="B786">
            <v>1</v>
          </cell>
          <cell r="I786">
            <v>14000</v>
          </cell>
        </row>
        <row r="787">
          <cell r="A787" t="str">
            <v>20702051</v>
          </cell>
          <cell r="B787">
            <v>0</v>
          </cell>
          <cell r="I787">
            <v>14600</v>
          </cell>
        </row>
        <row r="788">
          <cell r="A788" t="str">
            <v>20702060</v>
          </cell>
          <cell r="B788">
            <v>1</v>
          </cell>
          <cell r="I788">
            <v>14000</v>
          </cell>
        </row>
        <row r="789">
          <cell r="A789" t="str">
            <v>20702061</v>
          </cell>
          <cell r="B789">
            <v>0</v>
          </cell>
          <cell r="I789">
            <v>14600</v>
          </cell>
        </row>
        <row r="790">
          <cell r="A790" t="str">
            <v>20703050</v>
          </cell>
          <cell r="B790">
            <v>1</v>
          </cell>
          <cell r="I790">
            <v>14000</v>
          </cell>
        </row>
        <row r="791">
          <cell r="A791" t="str">
            <v>20703051</v>
          </cell>
          <cell r="B791">
            <v>0</v>
          </cell>
          <cell r="I791">
            <v>14600</v>
          </cell>
        </row>
        <row r="792">
          <cell r="A792" t="str">
            <v>20703060</v>
          </cell>
          <cell r="B792">
            <v>1</v>
          </cell>
          <cell r="I792">
            <v>14000</v>
          </cell>
        </row>
        <row r="793">
          <cell r="A793" t="str">
            <v>20703061</v>
          </cell>
          <cell r="B793">
            <v>0</v>
          </cell>
          <cell r="I793">
            <v>14600</v>
          </cell>
        </row>
        <row r="794">
          <cell r="A794" t="str">
            <v>20700040</v>
          </cell>
          <cell r="B794">
            <v>1</v>
          </cell>
          <cell r="I794">
            <v>14000</v>
          </cell>
        </row>
        <row r="795">
          <cell r="A795" t="str">
            <v>20700041</v>
          </cell>
          <cell r="B795">
            <v>0</v>
          </cell>
          <cell r="I795">
            <v>14600</v>
          </cell>
        </row>
        <row r="796">
          <cell r="A796" t="str">
            <v>20700070</v>
          </cell>
          <cell r="B796">
            <v>1</v>
          </cell>
          <cell r="I796">
            <v>14000</v>
          </cell>
        </row>
        <row r="797">
          <cell r="A797" t="str">
            <v>20700071</v>
          </cell>
          <cell r="B797">
            <v>0</v>
          </cell>
          <cell r="I797">
            <v>14600</v>
          </cell>
        </row>
        <row r="798">
          <cell r="A798">
            <v>20750010</v>
          </cell>
          <cell r="B798">
            <v>1</v>
          </cell>
          <cell r="I798">
            <v>15200</v>
          </cell>
        </row>
        <row r="799">
          <cell r="A799">
            <v>20750020</v>
          </cell>
          <cell r="B799">
            <v>1</v>
          </cell>
          <cell r="I799">
            <v>15200</v>
          </cell>
        </row>
        <row r="800">
          <cell r="A800">
            <v>20750030</v>
          </cell>
          <cell r="B800">
            <v>1</v>
          </cell>
          <cell r="I800">
            <v>15200</v>
          </cell>
        </row>
        <row r="801">
          <cell r="A801">
            <v>20750080</v>
          </cell>
          <cell r="B801">
            <v>1</v>
          </cell>
          <cell r="I801">
            <v>15200</v>
          </cell>
        </row>
        <row r="802">
          <cell r="A802">
            <v>20750090</v>
          </cell>
          <cell r="B802">
            <v>1</v>
          </cell>
          <cell r="I802">
            <v>15200</v>
          </cell>
        </row>
        <row r="803">
          <cell r="A803">
            <v>20750100</v>
          </cell>
          <cell r="B803">
            <v>1</v>
          </cell>
          <cell r="I803">
            <v>15200</v>
          </cell>
        </row>
        <row r="804">
          <cell r="A804">
            <v>20751050</v>
          </cell>
          <cell r="B804">
            <v>1</v>
          </cell>
          <cell r="I804">
            <v>15200</v>
          </cell>
        </row>
        <row r="805">
          <cell r="A805">
            <v>20751051</v>
          </cell>
          <cell r="B805">
            <v>1</v>
          </cell>
          <cell r="I805">
            <v>15800</v>
          </cell>
        </row>
        <row r="806">
          <cell r="A806">
            <v>20751060</v>
          </cell>
          <cell r="B806">
            <v>1</v>
          </cell>
          <cell r="I806">
            <v>15200</v>
          </cell>
        </row>
        <row r="807">
          <cell r="A807">
            <v>20751061</v>
          </cell>
          <cell r="B807">
            <v>1</v>
          </cell>
          <cell r="I807">
            <v>15800</v>
          </cell>
        </row>
        <row r="808">
          <cell r="A808">
            <v>20752050</v>
          </cell>
          <cell r="B808">
            <v>1</v>
          </cell>
          <cell r="I808">
            <v>15200</v>
          </cell>
        </row>
        <row r="809">
          <cell r="A809">
            <v>20752051</v>
          </cell>
          <cell r="B809">
            <v>1</v>
          </cell>
          <cell r="I809">
            <v>15800</v>
          </cell>
        </row>
        <row r="810">
          <cell r="A810">
            <v>20752060</v>
          </cell>
          <cell r="B810">
            <v>1</v>
          </cell>
          <cell r="I810">
            <v>15200</v>
          </cell>
        </row>
        <row r="811">
          <cell r="A811">
            <v>20752061</v>
          </cell>
          <cell r="B811">
            <v>1</v>
          </cell>
          <cell r="I811">
            <v>15800</v>
          </cell>
        </row>
        <row r="812">
          <cell r="A812">
            <v>20753050</v>
          </cell>
          <cell r="B812">
            <v>1</v>
          </cell>
          <cell r="I812">
            <v>15200</v>
          </cell>
        </row>
        <row r="813">
          <cell r="A813">
            <v>20753051</v>
          </cell>
          <cell r="B813">
            <v>1</v>
          </cell>
          <cell r="I813">
            <v>15800</v>
          </cell>
        </row>
        <row r="814">
          <cell r="A814">
            <v>20753060</v>
          </cell>
          <cell r="B814">
            <v>1</v>
          </cell>
          <cell r="I814">
            <v>15200</v>
          </cell>
        </row>
        <row r="815">
          <cell r="A815">
            <v>20753061</v>
          </cell>
          <cell r="B815">
            <v>1</v>
          </cell>
          <cell r="I815">
            <v>15800</v>
          </cell>
        </row>
        <row r="816">
          <cell r="A816">
            <v>20750040</v>
          </cell>
          <cell r="B816">
            <v>1</v>
          </cell>
          <cell r="I816">
            <v>15200</v>
          </cell>
        </row>
        <row r="817">
          <cell r="A817">
            <v>20750041</v>
          </cell>
          <cell r="B817">
            <v>1</v>
          </cell>
          <cell r="I817">
            <v>15800</v>
          </cell>
        </row>
        <row r="818">
          <cell r="A818">
            <v>20750070</v>
          </cell>
          <cell r="B818">
            <v>1</v>
          </cell>
          <cell r="I818">
            <v>15200</v>
          </cell>
        </row>
        <row r="819">
          <cell r="A819">
            <v>20750071</v>
          </cell>
          <cell r="B819">
            <v>1</v>
          </cell>
          <cell r="I819">
            <v>15800</v>
          </cell>
        </row>
        <row r="820">
          <cell r="A820">
            <v>20800010</v>
          </cell>
          <cell r="B820">
            <v>1</v>
          </cell>
          <cell r="I820">
            <v>16400</v>
          </cell>
        </row>
        <row r="821">
          <cell r="A821">
            <v>20800020</v>
          </cell>
          <cell r="B821">
            <v>1</v>
          </cell>
          <cell r="I821">
            <v>16400</v>
          </cell>
        </row>
        <row r="822">
          <cell r="A822">
            <v>20800030</v>
          </cell>
          <cell r="B822">
            <v>1</v>
          </cell>
          <cell r="I822">
            <v>16400</v>
          </cell>
        </row>
        <row r="823">
          <cell r="A823">
            <v>20800080</v>
          </cell>
          <cell r="B823">
            <v>1</v>
          </cell>
          <cell r="I823">
            <v>16400</v>
          </cell>
        </row>
        <row r="824">
          <cell r="A824">
            <v>20800090</v>
          </cell>
          <cell r="B824">
            <v>1</v>
          </cell>
          <cell r="I824">
            <v>16400</v>
          </cell>
        </row>
        <row r="825">
          <cell r="A825">
            <v>20800100</v>
          </cell>
          <cell r="B825">
            <v>1</v>
          </cell>
          <cell r="I825">
            <v>16400</v>
          </cell>
        </row>
        <row r="826">
          <cell r="A826">
            <v>20801050</v>
          </cell>
          <cell r="B826">
            <v>1</v>
          </cell>
          <cell r="I826">
            <v>16400</v>
          </cell>
        </row>
        <row r="827">
          <cell r="A827">
            <v>20801051</v>
          </cell>
          <cell r="B827">
            <v>1</v>
          </cell>
          <cell r="I827">
            <v>17000</v>
          </cell>
        </row>
        <row r="828">
          <cell r="A828">
            <v>20801060</v>
          </cell>
          <cell r="B828">
            <v>1</v>
          </cell>
          <cell r="I828">
            <v>16400</v>
          </cell>
        </row>
        <row r="829">
          <cell r="A829">
            <v>20801061</v>
          </cell>
          <cell r="B829">
            <v>1</v>
          </cell>
          <cell r="I829">
            <v>17000</v>
          </cell>
        </row>
        <row r="830">
          <cell r="A830">
            <v>20802050</v>
          </cell>
          <cell r="B830">
            <v>1</v>
          </cell>
          <cell r="I830">
            <v>16400</v>
          </cell>
        </row>
        <row r="831">
          <cell r="A831">
            <v>20802051</v>
          </cell>
          <cell r="B831">
            <v>1</v>
          </cell>
          <cell r="I831">
            <v>17000</v>
          </cell>
        </row>
        <row r="832">
          <cell r="A832">
            <v>20802060</v>
          </cell>
          <cell r="B832">
            <v>1</v>
          </cell>
          <cell r="I832">
            <v>16400</v>
          </cell>
        </row>
        <row r="833">
          <cell r="A833">
            <v>20802061</v>
          </cell>
          <cell r="B833">
            <v>1</v>
          </cell>
          <cell r="I833">
            <v>17000</v>
          </cell>
        </row>
        <row r="834">
          <cell r="A834">
            <v>20803050</v>
          </cell>
          <cell r="B834">
            <v>1</v>
          </cell>
          <cell r="I834">
            <v>16400</v>
          </cell>
        </row>
        <row r="835">
          <cell r="A835">
            <v>20803051</v>
          </cell>
          <cell r="B835">
            <v>1</v>
          </cell>
          <cell r="I835">
            <v>17000</v>
          </cell>
        </row>
        <row r="836">
          <cell r="A836">
            <v>20803060</v>
          </cell>
          <cell r="B836">
            <v>1</v>
          </cell>
          <cell r="I836">
            <v>16400</v>
          </cell>
        </row>
        <row r="837">
          <cell r="A837">
            <v>20803061</v>
          </cell>
          <cell r="B837">
            <v>1</v>
          </cell>
          <cell r="I837">
            <v>17000</v>
          </cell>
        </row>
        <row r="838">
          <cell r="A838">
            <v>20800040</v>
          </cell>
          <cell r="B838">
            <v>1</v>
          </cell>
          <cell r="I838">
            <v>16400</v>
          </cell>
        </row>
        <row r="839">
          <cell r="A839">
            <v>20800041</v>
          </cell>
          <cell r="B839">
            <v>1</v>
          </cell>
          <cell r="I839">
            <v>17000</v>
          </cell>
        </row>
        <row r="840">
          <cell r="A840">
            <v>20800070</v>
          </cell>
          <cell r="B840">
            <v>1</v>
          </cell>
          <cell r="I840">
            <v>16400</v>
          </cell>
        </row>
        <row r="841">
          <cell r="A841">
            <v>20800071</v>
          </cell>
          <cell r="B841">
            <v>1</v>
          </cell>
          <cell r="I841">
            <v>17000</v>
          </cell>
        </row>
        <row r="842">
          <cell r="A842">
            <v>20850010</v>
          </cell>
          <cell r="B842">
            <v>1</v>
          </cell>
          <cell r="I842">
            <v>17600</v>
          </cell>
        </row>
        <row r="843">
          <cell r="A843">
            <v>20850020</v>
          </cell>
          <cell r="B843">
            <v>1</v>
          </cell>
          <cell r="I843">
            <v>17600</v>
          </cell>
        </row>
        <row r="844">
          <cell r="A844">
            <v>20850030</v>
          </cell>
          <cell r="B844">
            <v>1</v>
          </cell>
          <cell r="I844">
            <v>17600</v>
          </cell>
        </row>
        <row r="845">
          <cell r="A845">
            <v>20850080</v>
          </cell>
          <cell r="B845">
            <v>1</v>
          </cell>
          <cell r="I845">
            <v>17600</v>
          </cell>
        </row>
        <row r="846">
          <cell r="A846">
            <v>20850090</v>
          </cell>
          <cell r="B846">
            <v>1</v>
          </cell>
          <cell r="I846">
            <v>17600</v>
          </cell>
        </row>
        <row r="847">
          <cell r="A847">
            <v>20850100</v>
          </cell>
          <cell r="B847">
            <v>1</v>
          </cell>
          <cell r="I847">
            <v>17600</v>
          </cell>
        </row>
        <row r="848">
          <cell r="A848">
            <v>20851050</v>
          </cell>
          <cell r="B848">
            <v>1</v>
          </cell>
          <cell r="I848">
            <v>17600</v>
          </cell>
        </row>
        <row r="849">
          <cell r="A849">
            <v>20851051</v>
          </cell>
          <cell r="B849">
            <v>1</v>
          </cell>
          <cell r="I849">
            <v>18200</v>
          </cell>
        </row>
        <row r="850">
          <cell r="A850">
            <v>20851060</v>
          </cell>
          <cell r="B850">
            <v>1</v>
          </cell>
          <cell r="I850">
            <v>17600</v>
          </cell>
        </row>
        <row r="851">
          <cell r="A851">
            <v>20851061</v>
          </cell>
          <cell r="B851">
            <v>1</v>
          </cell>
          <cell r="I851">
            <v>18200</v>
          </cell>
        </row>
        <row r="852">
          <cell r="A852">
            <v>20852050</v>
          </cell>
          <cell r="B852">
            <v>1</v>
          </cell>
          <cell r="I852">
            <v>17600</v>
          </cell>
        </row>
        <row r="853">
          <cell r="A853">
            <v>20852051</v>
          </cell>
          <cell r="B853">
            <v>1</v>
          </cell>
          <cell r="I853">
            <v>18200</v>
          </cell>
        </row>
        <row r="854">
          <cell r="A854">
            <v>20852060</v>
          </cell>
          <cell r="B854">
            <v>1</v>
          </cell>
          <cell r="I854">
            <v>17600</v>
          </cell>
        </row>
        <row r="855">
          <cell r="A855">
            <v>20852061</v>
          </cell>
          <cell r="B855">
            <v>1</v>
          </cell>
          <cell r="I855">
            <v>18200</v>
          </cell>
        </row>
        <row r="856">
          <cell r="A856">
            <v>20853050</v>
          </cell>
          <cell r="B856">
            <v>1</v>
          </cell>
          <cell r="I856">
            <v>17600</v>
          </cell>
        </row>
        <row r="857">
          <cell r="A857">
            <v>20853051</v>
          </cell>
          <cell r="B857">
            <v>1</v>
          </cell>
          <cell r="I857">
            <v>18200</v>
          </cell>
        </row>
        <row r="858">
          <cell r="A858">
            <v>20853060</v>
          </cell>
          <cell r="B858">
            <v>1</v>
          </cell>
          <cell r="I858">
            <v>17600</v>
          </cell>
        </row>
        <row r="859">
          <cell r="A859">
            <v>20853061</v>
          </cell>
          <cell r="B859">
            <v>1</v>
          </cell>
          <cell r="I859">
            <v>18200</v>
          </cell>
        </row>
        <row r="860">
          <cell r="A860">
            <v>20850040</v>
          </cell>
          <cell r="B860">
            <v>1</v>
          </cell>
          <cell r="I860">
            <v>17600</v>
          </cell>
        </row>
        <row r="861">
          <cell r="A861">
            <v>20850041</v>
          </cell>
          <cell r="B861">
            <v>1</v>
          </cell>
          <cell r="I861">
            <v>18200</v>
          </cell>
        </row>
        <row r="862">
          <cell r="A862">
            <v>20850070</v>
          </cell>
          <cell r="B862">
            <v>1</v>
          </cell>
          <cell r="I862">
            <v>17600</v>
          </cell>
        </row>
        <row r="863">
          <cell r="A863">
            <v>20850071</v>
          </cell>
          <cell r="B863">
            <v>1</v>
          </cell>
          <cell r="I863">
            <v>18200</v>
          </cell>
        </row>
        <row r="864">
          <cell r="A864">
            <v>20900010</v>
          </cell>
          <cell r="B864">
            <v>1</v>
          </cell>
          <cell r="I864">
            <v>18800</v>
          </cell>
        </row>
        <row r="865">
          <cell r="A865">
            <v>20900020</v>
          </cell>
          <cell r="B865">
            <v>1</v>
          </cell>
          <cell r="I865">
            <v>18800</v>
          </cell>
        </row>
        <row r="866">
          <cell r="A866">
            <v>20900030</v>
          </cell>
          <cell r="B866">
            <v>1</v>
          </cell>
          <cell r="I866">
            <v>18800</v>
          </cell>
        </row>
        <row r="867">
          <cell r="A867">
            <v>20900080</v>
          </cell>
          <cell r="B867">
            <v>1</v>
          </cell>
          <cell r="I867">
            <v>18800</v>
          </cell>
        </row>
        <row r="868">
          <cell r="A868">
            <v>20900090</v>
          </cell>
          <cell r="B868">
            <v>1</v>
          </cell>
          <cell r="I868">
            <v>18800</v>
          </cell>
        </row>
        <row r="869">
          <cell r="A869">
            <v>20900100</v>
          </cell>
          <cell r="B869">
            <v>1</v>
          </cell>
          <cell r="I869">
            <v>18800</v>
          </cell>
        </row>
        <row r="870">
          <cell r="A870">
            <v>20901050</v>
          </cell>
          <cell r="B870">
            <v>1</v>
          </cell>
          <cell r="I870">
            <v>18800</v>
          </cell>
        </row>
        <row r="871">
          <cell r="A871">
            <v>20901051</v>
          </cell>
          <cell r="B871">
            <v>1</v>
          </cell>
          <cell r="I871">
            <v>19400</v>
          </cell>
        </row>
        <row r="872">
          <cell r="A872">
            <v>20901060</v>
          </cell>
          <cell r="B872">
            <v>1</v>
          </cell>
          <cell r="I872">
            <v>18800</v>
          </cell>
        </row>
        <row r="873">
          <cell r="A873">
            <v>20901061</v>
          </cell>
          <cell r="B873">
            <v>1</v>
          </cell>
          <cell r="I873">
            <v>19400</v>
          </cell>
        </row>
        <row r="874">
          <cell r="A874">
            <v>20902050</v>
          </cell>
          <cell r="B874">
            <v>1</v>
          </cell>
          <cell r="I874">
            <v>18800</v>
          </cell>
        </row>
        <row r="875">
          <cell r="A875">
            <v>20902051</v>
          </cell>
          <cell r="B875">
            <v>1</v>
          </cell>
          <cell r="I875">
            <v>19400</v>
          </cell>
        </row>
        <row r="876">
          <cell r="A876">
            <v>20902060</v>
          </cell>
          <cell r="B876">
            <v>1</v>
          </cell>
          <cell r="I876">
            <v>18800</v>
          </cell>
        </row>
        <row r="877">
          <cell r="A877">
            <v>20902061</v>
          </cell>
          <cell r="B877">
            <v>1</v>
          </cell>
          <cell r="I877">
            <v>19400</v>
          </cell>
        </row>
        <row r="878">
          <cell r="A878">
            <v>20903050</v>
          </cell>
          <cell r="B878">
            <v>1</v>
          </cell>
          <cell r="I878">
            <v>18800</v>
          </cell>
        </row>
        <row r="879">
          <cell r="A879">
            <v>20903051</v>
          </cell>
          <cell r="B879">
            <v>1</v>
          </cell>
          <cell r="I879">
            <v>19400</v>
          </cell>
        </row>
        <row r="880">
          <cell r="A880">
            <v>20903060</v>
          </cell>
          <cell r="B880">
            <v>1</v>
          </cell>
          <cell r="I880">
            <v>18800</v>
          </cell>
        </row>
        <row r="881">
          <cell r="A881">
            <v>20903061</v>
          </cell>
          <cell r="B881">
            <v>1</v>
          </cell>
          <cell r="I881">
            <v>19400</v>
          </cell>
        </row>
        <row r="882">
          <cell r="A882">
            <v>20900040</v>
          </cell>
          <cell r="B882">
            <v>1</v>
          </cell>
          <cell r="I882">
            <v>18800</v>
          </cell>
        </row>
        <row r="883">
          <cell r="A883">
            <v>20900041</v>
          </cell>
          <cell r="B883">
            <v>1</v>
          </cell>
          <cell r="I883">
            <v>19400</v>
          </cell>
        </row>
        <row r="884">
          <cell r="A884">
            <v>20900070</v>
          </cell>
          <cell r="B884">
            <v>1</v>
          </cell>
          <cell r="I884">
            <v>18800</v>
          </cell>
        </row>
        <row r="885">
          <cell r="A885">
            <v>20900071</v>
          </cell>
          <cell r="B885">
            <v>1</v>
          </cell>
          <cell r="I885">
            <v>19400</v>
          </cell>
        </row>
        <row r="886">
          <cell r="A886">
            <v>20950010</v>
          </cell>
          <cell r="B886">
            <v>1</v>
          </cell>
          <cell r="I886">
            <v>20000</v>
          </cell>
        </row>
        <row r="887">
          <cell r="A887">
            <v>20950020</v>
          </cell>
          <cell r="B887">
            <v>1</v>
          </cell>
          <cell r="I887">
            <v>20000</v>
          </cell>
        </row>
        <row r="888">
          <cell r="A888">
            <v>20950030</v>
          </cell>
          <cell r="B888">
            <v>1</v>
          </cell>
          <cell r="I888">
            <v>20000</v>
          </cell>
        </row>
        <row r="889">
          <cell r="A889">
            <v>20950080</v>
          </cell>
          <cell r="B889">
            <v>1</v>
          </cell>
          <cell r="I889">
            <v>20000</v>
          </cell>
        </row>
        <row r="890">
          <cell r="A890">
            <v>20950090</v>
          </cell>
          <cell r="B890">
            <v>1</v>
          </cell>
          <cell r="I890">
            <v>20000</v>
          </cell>
        </row>
        <row r="891">
          <cell r="A891">
            <v>20950100</v>
          </cell>
          <cell r="B891">
            <v>1</v>
          </cell>
          <cell r="I891">
            <v>20000</v>
          </cell>
        </row>
        <row r="892">
          <cell r="A892">
            <v>20951050</v>
          </cell>
          <cell r="B892">
            <v>1</v>
          </cell>
          <cell r="I892">
            <v>20000</v>
          </cell>
        </row>
        <row r="893">
          <cell r="A893">
            <v>20951051</v>
          </cell>
          <cell r="B893">
            <v>1</v>
          </cell>
          <cell r="I893">
            <v>20600</v>
          </cell>
        </row>
        <row r="894">
          <cell r="A894">
            <v>20951060</v>
          </cell>
          <cell r="B894">
            <v>1</v>
          </cell>
          <cell r="I894">
            <v>20000</v>
          </cell>
        </row>
        <row r="895">
          <cell r="A895">
            <v>20951061</v>
          </cell>
          <cell r="B895">
            <v>1</v>
          </cell>
          <cell r="I895">
            <v>20600</v>
          </cell>
        </row>
        <row r="896">
          <cell r="A896">
            <v>20952050</v>
          </cell>
          <cell r="B896">
            <v>1</v>
          </cell>
          <cell r="I896">
            <v>20000</v>
          </cell>
        </row>
        <row r="897">
          <cell r="A897">
            <v>20952051</v>
          </cell>
          <cell r="B897">
            <v>1</v>
          </cell>
          <cell r="I897">
            <v>20600</v>
          </cell>
        </row>
        <row r="898">
          <cell r="A898">
            <v>20952060</v>
          </cell>
          <cell r="B898">
            <v>1</v>
          </cell>
          <cell r="I898">
            <v>20000</v>
          </cell>
        </row>
        <row r="899">
          <cell r="A899">
            <v>20952061</v>
          </cell>
          <cell r="B899">
            <v>1</v>
          </cell>
          <cell r="I899">
            <v>20600</v>
          </cell>
        </row>
        <row r="900">
          <cell r="A900">
            <v>20953050</v>
          </cell>
          <cell r="B900">
            <v>1</v>
          </cell>
          <cell r="I900">
            <v>20000</v>
          </cell>
        </row>
        <row r="901">
          <cell r="A901">
            <v>20953051</v>
          </cell>
          <cell r="B901">
            <v>1</v>
          </cell>
          <cell r="I901">
            <v>20600</v>
          </cell>
        </row>
        <row r="902">
          <cell r="A902">
            <v>20953060</v>
          </cell>
          <cell r="B902">
            <v>1</v>
          </cell>
          <cell r="I902">
            <v>20000</v>
          </cell>
        </row>
        <row r="903">
          <cell r="A903">
            <v>20953061</v>
          </cell>
          <cell r="B903">
            <v>1</v>
          </cell>
          <cell r="I903">
            <v>20600</v>
          </cell>
        </row>
        <row r="904">
          <cell r="A904">
            <v>20950040</v>
          </cell>
          <cell r="B904">
            <v>1</v>
          </cell>
          <cell r="I904">
            <v>20000</v>
          </cell>
        </row>
        <row r="905">
          <cell r="A905">
            <v>20950041</v>
          </cell>
          <cell r="B905">
            <v>1</v>
          </cell>
          <cell r="I905">
            <v>20600</v>
          </cell>
        </row>
        <row r="906">
          <cell r="A906">
            <v>20950070</v>
          </cell>
          <cell r="B906">
            <v>1</v>
          </cell>
          <cell r="I906">
            <v>20000</v>
          </cell>
        </row>
        <row r="907">
          <cell r="A907">
            <v>20950071</v>
          </cell>
          <cell r="B907">
            <v>1</v>
          </cell>
          <cell r="I907">
            <v>20600</v>
          </cell>
        </row>
        <row r="908">
          <cell r="A908">
            <v>21000010</v>
          </cell>
          <cell r="B908">
            <v>1</v>
          </cell>
          <cell r="I908">
            <v>21200</v>
          </cell>
        </row>
        <row r="909">
          <cell r="A909">
            <v>21000020</v>
          </cell>
          <cell r="B909">
            <v>1</v>
          </cell>
          <cell r="I909">
            <v>21200</v>
          </cell>
        </row>
        <row r="910">
          <cell r="A910">
            <v>21000030</v>
          </cell>
          <cell r="B910">
            <v>1</v>
          </cell>
          <cell r="I910">
            <v>21200</v>
          </cell>
        </row>
        <row r="911">
          <cell r="A911">
            <v>21000080</v>
          </cell>
          <cell r="B911">
            <v>1</v>
          </cell>
          <cell r="I911">
            <v>21200</v>
          </cell>
        </row>
        <row r="912">
          <cell r="A912">
            <v>21000090</v>
          </cell>
          <cell r="B912">
            <v>1</v>
          </cell>
          <cell r="I912">
            <v>21200</v>
          </cell>
        </row>
        <row r="913">
          <cell r="A913">
            <v>21000100</v>
          </cell>
          <cell r="B913">
            <v>1</v>
          </cell>
          <cell r="I913">
            <v>21200</v>
          </cell>
        </row>
        <row r="914">
          <cell r="A914">
            <v>21001050</v>
          </cell>
          <cell r="B914">
            <v>1</v>
          </cell>
          <cell r="I914">
            <v>21200</v>
          </cell>
        </row>
        <row r="915">
          <cell r="A915">
            <v>21001051</v>
          </cell>
          <cell r="B915">
            <v>0</v>
          </cell>
          <cell r="I915">
            <v>21800</v>
          </cell>
        </row>
        <row r="916">
          <cell r="A916">
            <v>21001060</v>
          </cell>
          <cell r="B916">
            <v>1</v>
          </cell>
          <cell r="I916">
            <v>21200</v>
          </cell>
        </row>
        <row r="917">
          <cell r="A917">
            <v>21001061</v>
          </cell>
          <cell r="B917">
            <v>0</v>
          </cell>
          <cell r="I917">
            <v>21800</v>
          </cell>
        </row>
        <row r="918">
          <cell r="A918">
            <v>21002050</v>
          </cell>
          <cell r="B918">
            <v>1</v>
          </cell>
          <cell r="I918">
            <v>21200</v>
          </cell>
        </row>
        <row r="919">
          <cell r="A919">
            <v>21002051</v>
          </cell>
          <cell r="B919">
            <v>0</v>
          </cell>
          <cell r="I919">
            <v>21800</v>
          </cell>
        </row>
        <row r="920">
          <cell r="A920">
            <v>21002060</v>
          </cell>
          <cell r="B920">
            <v>1</v>
          </cell>
          <cell r="I920">
            <v>21200</v>
          </cell>
        </row>
        <row r="921">
          <cell r="A921">
            <v>21002061</v>
          </cell>
          <cell r="B921">
            <v>0</v>
          </cell>
          <cell r="I921">
            <v>21800</v>
          </cell>
        </row>
        <row r="922">
          <cell r="A922">
            <v>21003050</v>
          </cell>
          <cell r="B922">
            <v>1</v>
          </cell>
          <cell r="I922">
            <v>21200</v>
          </cell>
        </row>
        <row r="923">
          <cell r="A923">
            <v>21003051</v>
          </cell>
          <cell r="B923">
            <v>0</v>
          </cell>
          <cell r="I923">
            <v>21800</v>
          </cell>
        </row>
        <row r="924">
          <cell r="A924">
            <v>21003060</v>
          </cell>
          <cell r="B924">
            <v>1</v>
          </cell>
          <cell r="I924">
            <v>21200</v>
          </cell>
        </row>
        <row r="925">
          <cell r="A925">
            <v>21003061</v>
          </cell>
          <cell r="B925">
            <v>0</v>
          </cell>
          <cell r="I925">
            <v>21800</v>
          </cell>
        </row>
        <row r="926">
          <cell r="A926">
            <v>21000040</v>
          </cell>
          <cell r="B926">
            <v>1</v>
          </cell>
          <cell r="I926">
            <v>21200</v>
          </cell>
        </row>
        <row r="927">
          <cell r="A927">
            <v>21000041</v>
          </cell>
          <cell r="B927">
            <v>1</v>
          </cell>
          <cell r="I927">
            <v>21800</v>
          </cell>
        </row>
        <row r="928">
          <cell r="A928">
            <v>21000070</v>
          </cell>
          <cell r="B928">
            <v>1</v>
          </cell>
          <cell r="I928">
            <v>21200</v>
          </cell>
        </row>
        <row r="929">
          <cell r="A929">
            <v>21000071</v>
          </cell>
          <cell r="B929">
            <v>1</v>
          </cell>
          <cell r="I929">
            <v>21800</v>
          </cell>
        </row>
        <row r="930">
          <cell r="A930" t="str">
            <v>30010010</v>
          </cell>
          <cell r="B930">
            <v>0</v>
          </cell>
          <cell r="I930">
            <v>500</v>
          </cell>
        </row>
        <row r="931">
          <cell r="A931" t="str">
            <v>30010020</v>
          </cell>
          <cell r="B931">
            <v>0</v>
          </cell>
          <cell r="I931">
            <v>500</v>
          </cell>
        </row>
        <row r="932">
          <cell r="A932" t="str">
            <v>30010030</v>
          </cell>
          <cell r="B932">
            <v>0</v>
          </cell>
          <cell r="I932">
            <v>500</v>
          </cell>
        </row>
        <row r="933">
          <cell r="A933" t="str">
            <v>30010080</v>
          </cell>
          <cell r="B933">
            <v>1</v>
          </cell>
          <cell r="I933">
            <v>500</v>
          </cell>
        </row>
        <row r="934">
          <cell r="A934" t="str">
            <v>30010090</v>
          </cell>
          <cell r="B934">
            <v>1</v>
          </cell>
          <cell r="I934">
            <v>500</v>
          </cell>
        </row>
        <row r="935">
          <cell r="A935" t="str">
            <v>30010100</v>
          </cell>
          <cell r="B935">
            <v>0</v>
          </cell>
          <cell r="I935">
            <v>500</v>
          </cell>
        </row>
        <row r="936">
          <cell r="A936" t="str">
            <v>30011050</v>
          </cell>
          <cell r="B936">
            <v>1</v>
          </cell>
          <cell r="I936">
            <v>500</v>
          </cell>
        </row>
        <row r="937">
          <cell r="A937" t="str">
            <v>30011051</v>
          </cell>
          <cell r="B937">
            <v>1</v>
          </cell>
          <cell r="I937">
            <v>2000</v>
          </cell>
        </row>
        <row r="938">
          <cell r="A938" t="str">
            <v>30011060</v>
          </cell>
          <cell r="B938">
            <v>1</v>
          </cell>
          <cell r="I938">
            <v>500</v>
          </cell>
        </row>
        <row r="939">
          <cell r="A939" t="str">
            <v>30011061</v>
          </cell>
          <cell r="B939">
            <v>0</v>
          </cell>
          <cell r="I939">
            <v>2000</v>
          </cell>
        </row>
        <row r="940">
          <cell r="A940" t="str">
            <v>30012050</v>
          </cell>
          <cell r="B940">
            <v>1</v>
          </cell>
          <cell r="I940">
            <v>500</v>
          </cell>
        </row>
        <row r="941">
          <cell r="A941" t="str">
            <v>30012051</v>
          </cell>
          <cell r="B941">
            <v>1</v>
          </cell>
          <cell r="I941">
            <v>2000</v>
          </cell>
        </row>
        <row r="942">
          <cell r="A942" t="str">
            <v>30012060</v>
          </cell>
          <cell r="B942">
            <v>1</v>
          </cell>
          <cell r="I942">
            <v>500</v>
          </cell>
        </row>
        <row r="943">
          <cell r="A943" t="str">
            <v>30012061</v>
          </cell>
          <cell r="B943">
            <v>0</v>
          </cell>
          <cell r="I943">
            <v>2000</v>
          </cell>
        </row>
        <row r="944">
          <cell r="A944" t="str">
            <v>30013050</v>
          </cell>
          <cell r="B944">
            <v>1</v>
          </cell>
          <cell r="I944">
            <v>500</v>
          </cell>
        </row>
        <row r="945">
          <cell r="A945" t="str">
            <v>30013051</v>
          </cell>
          <cell r="B945">
            <v>1</v>
          </cell>
          <cell r="I945">
            <v>2000</v>
          </cell>
        </row>
        <row r="946">
          <cell r="A946" t="str">
            <v>30013060</v>
          </cell>
          <cell r="B946">
            <v>1</v>
          </cell>
          <cell r="I946">
            <v>500</v>
          </cell>
        </row>
        <row r="947">
          <cell r="A947" t="str">
            <v>30013061</v>
          </cell>
          <cell r="B947">
            <v>0</v>
          </cell>
          <cell r="I947">
            <v>2000</v>
          </cell>
        </row>
        <row r="948">
          <cell r="A948" t="str">
            <v>30010040</v>
          </cell>
          <cell r="B948">
            <v>1</v>
          </cell>
          <cell r="I948">
            <v>500</v>
          </cell>
        </row>
        <row r="949">
          <cell r="A949" t="str">
            <v>30010041</v>
          </cell>
          <cell r="B949">
            <v>0</v>
          </cell>
          <cell r="I949">
            <v>2000</v>
          </cell>
        </row>
        <row r="950">
          <cell r="A950" t="str">
            <v>30010070</v>
          </cell>
          <cell r="B950">
            <v>0</v>
          </cell>
          <cell r="I950">
            <v>500</v>
          </cell>
        </row>
        <row r="951">
          <cell r="A951" t="str">
            <v>30010071</v>
          </cell>
          <cell r="B951">
            <v>0</v>
          </cell>
          <cell r="I951">
            <v>2000</v>
          </cell>
        </row>
        <row r="952">
          <cell r="A952" t="str">
            <v>30050010</v>
          </cell>
          <cell r="B952">
            <v>1</v>
          </cell>
          <cell r="I952">
            <v>2500</v>
          </cell>
        </row>
        <row r="953">
          <cell r="A953" t="str">
            <v>30050020</v>
          </cell>
          <cell r="B953">
            <v>1</v>
          </cell>
          <cell r="I953">
            <v>2500</v>
          </cell>
        </row>
        <row r="954">
          <cell r="A954" t="str">
            <v>30050030</v>
          </cell>
          <cell r="B954">
            <v>1</v>
          </cell>
          <cell r="I954">
            <v>2500</v>
          </cell>
        </row>
        <row r="955">
          <cell r="A955" t="str">
            <v>30050080</v>
          </cell>
          <cell r="B955">
            <v>0</v>
          </cell>
          <cell r="I955">
            <v>2500</v>
          </cell>
        </row>
        <row r="956">
          <cell r="A956" t="str">
            <v>30050090</v>
          </cell>
          <cell r="B956">
            <v>0</v>
          </cell>
          <cell r="I956">
            <v>2500</v>
          </cell>
        </row>
        <row r="957">
          <cell r="A957" t="str">
            <v>30050100</v>
          </cell>
          <cell r="B957">
            <v>1</v>
          </cell>
          <cell r="I957">
            <v>2500</v>
          </cell>
        </row>
        <row r="958">
          <cell r="A958" t="str">
            <v>30051050</v>
          </cell>
          <cell r="B958">
            <v>1</v>
          </cell>
          <cell r="I958">
            <v>2500</v>
          </cell>
        </row>
        <row r="959">
          <cell r="A959" t="str">
            <v>30051051</v>
          </cell>
          <cell r="B959">
            <v>1</v>
          </cell>
          <cell r="I959">
            <v>4000</v>
          </cell>
        </row>
        <row r="960">
          <cell r="A960" t="str">
            <v>30051060</v>
          </cell>
          <cell r="B960">
            <v>1</v>
          </cell>
          <cell r="I960">
            <v>2500</v>
          </cell>
        </row>
        <row r="961">
          <cell r="A961" t="str">
            <v>30051061</v>
          </cell>
          <cell r="B961">
            <v>0</v>
          </cell>
          <cell r="I961">
            <v>4000</v>
          </cell>
        </row>
        <row r="962">
          <cell r="A962" t="str">
            <v>30052050</v>
          </cell>
          <cell r="B962">
            <v>1</v>
          </cell>
          <cell r="I962">
            <v>2500</v>
          </cell>
        </row>
        <row r="963">
          <cell r="A963" t="str">
            <v>30052051</v>
          </cell>
          <cell r="B963">
            <v>1</v>
          </cell>
          <cell r="I963">
            <v>4000</v>
          </cell>
        </row>
        <row r="964">
          <cell r="A964" t="str">
            <v>30052060</v>
          </cell>
          <cell r="B964">
            <v>1</v>
          </cell>
          <cell r="I964">
            <v>2500</v>
          </cell>
        </row>
        <row r="965">
          <cell r="A965" t="str">
            <v>30052061</v>
          </cell>
          <cell r="B965">
            <v>0</v>
          </cell>
          <cell r="I965">
            <v>4000</v>
          </cell>
        </row>
        <row r="966">
          <cell r="A966" t="str">
            <v>30053050</v>
          </cell>
          <cell r="B966">
            <v>1</v>
          </cell>
          <cell r="I966">
            <v>2500</v>
          </cell>
        </row>
        <row r="967">
          <cell r="A967" t="str">
            <v>30053051</v>
          </cell>
          <cell r="B967">
            <v>1</v>
          </cell>
          <cell r="I967">
            <v>4000</v>
          </cell>
        </row>
        <row r="968">
          <cell r="A968" t="str">
            <v>30053060</v>
          </cell>
          <cell r="B968">
            <v>1</v>
          </cell>
          <cell r="I968">
            <v>2500</v>
          </cell>
        </row>
        <row r="969">
          <cell r="A969" t="str">
            <v>30053061</v>
          </cell>
          <cell r="B969">
            <v>0</v>
          </cell>
          <cell r="I969">
            <v>4000</v>
          </cell>
        </row>
        <row r="970">
          <cell r="A970" t="str">
            <v>30050040</v>
          </cell>
          <cell r="B970">
            <v>1</v>
          </cell>
          <cell r="I970">
            <v>2500</v>
          </cell>
        </row>
        <row r="971">
          <cell r="A971" t="str">
            <v>30050041</v>
          </cell>
          <cell r="B971">
            <v>1</v>
          </cell>
          <cell r="I971">
            <v>4000</v>
          </cell>
        </row>
        <row r="972">
          <cell r="A972" t="str">
            <v>30050070</v>
          </cell>
          <cell r="B972">
            <v>1</v>
          </cell>
          <cell r="I972">
            <v>2500</v>
          </cell>
        </row>
        <row r="973">
          <cell r="A973" t="str">
            <v>30050071</v>
          </cell>
          <cell r="B973">
            <v>1</v>
          </cell>
          <cell r="I973">
            <v>4000</v>
          </cell>
        </row>
        <row r="974">
          <cell r="A974" t="str">
            <v>30100010</v>
          </cell>
          <cell r="B974">
            <v>1</v>
          </cell>
          <cell r="I974">
            <v>5000</v>
          </cell>
        </row>
        <row r="975">
          <cell r="A975" t="str">
            <v>30100020</v>
          </cell>
          <cell r="B975">
            <v>1</v>
          </cell>
          <cell r="I975">
            <v>5000</v>
          </cell>
        </row>
        <row r="976">
          <cell r="A976" t="str">
            <v>30100030</v>
          </cell>
          <cell r="B976">
            <v>1</v>
          </cell>
          <cell r="I976">
            <v>5000</v>
          </cell>
        </row>
        <row r="977">
          <cell r="A977" t="str">
            <v>30100080</v>
          </cell>
          <cell r="B977">
            <v>1</v>
          </cell>
          <cell r="I977">
            <v>5000</v>
          </cell>
        </row>
        <row r="978">
          <cell r="A978" t="str">
            <v>30100090</v>
          </cell>
          <cell r="B978">
            <v>1</v>
          </cell>
          <cell r="I978">
            <v>5000</v>
          </cell>
        </row>
        <row r="979">
          <cell r="A979" t="str">
            <v>30100100</v>
          </cell>
          <cell r="B979">
            <v>0</v>
          </cell>
          <cell r="I979">
            <v>5000</v>
          </cell>
        </row>
        <row r="980">
          <cell r="A980" t="str">
            <v>30101050</v>
          </cell>
          <cell r="B980">
            <v>1</v>
          </cell>
          <cell r="I980">
            <v>5000</v>
          </cell>
        </row>
        <row r="981">
          <cell r="A981" t="str">
            <v>30101051</v>
          </cell>
          <cell r="B981">
            <v>1</v>
          </cell>
          <cell r="I981">
            <v>6500</v>
          </cell>
        </row>
        <row r="982">
          <cell r="A982" t="str">
            <v>30101060</v>
          </cell>
          <cell r="B982">
            <v>1</v>
          </cell>
          <cell r="I982">
            <v>5000</v>
          </cell>
        </row>
        <row r="983">
          <cell r="A983" t="str">
            <v>30101061</v>
          </cell>
          <cell r="B983">
            <v>0</v>
          </cell>
          <cell r="I983">
            <v>6500</v>
          </cell>
        </row>
        <row r="984">
          <cell r="A984" t="str">
            <v>30102050</v>
          </cell>
          <cell r="B984">
            <v>1</v>
          </cell>
          <cell r="I984">
            <v>5000</v>
          </cell>
        </row>
        <row r="985">
          <cell r="A985" t="str">
            <v>30102051</v>
          </cell>
          <cell r="B985">
            <v>1</v>
          </cell>
          <cell r="I985">
            <v>6500</v>
          </cell>
        </row>
        <row r="986">
          <cell r="A986" t="str">
            <v>30102060</v>
          </cell>
          <cell r="B986">
            <v>1</v>
          </cell>
          <cell r="I986">
            <v>5000</v>
          </cell>
        </row>
        <row r="987">
          <cell r="A987" t="str">
            <v>30102061</v>
          </cell>
          <cell r="B987">
            <v>0</v>
          </cell>
          <cell r="I987">
            <v>6500</v>
          </cell>
        </row>
        <row r="988">
          <cell r="A988" t="str">
            <v>30103050</v>
          </cell>
          <cell r="B988">
            <v>1</v>
          </cell>
          <cell r="I988">
            <v>5000</v>
          </cell>
        </row>
        <row r="989">
          <cell r="A989" t="str">
            <v>30103051</v>
          </cell>
          <cell r="B989">
            <v>1</v>
          </cell>
          <cell r="I989">
            <v>6500</v>
          </cell>
        </row>
        <row r="990">
          <cell r="A990" t="str">
            <v>30103060</v>
          </cell>
          <cell r="B990">
            <v>1</v>
          </cell>
          <cell r="I990">
            <v>5000</v>
          </cell>
        </row>
        <row r="991">
          <cell r="A991" t="str">
            <v>30103061</v>
          </cell>
          <cell r="B991">
            <v>0</v>
          </cell>
          <cell r="I991">
            <v>6500</v>
          </cell>
        </row>
        <row r="992">
          <cell r="A992" t="str">
            <v>30100040</v>
          </cell>
          <cell r="B992">
            <v>1</v>
          </cell>
          <cell r="I992">
            <v>5000</v>
          </cell>
        </row>
        <row r="993">
          <cell r="A993" t="str">
            <v>30100041</v>
          </cell>
          <cell r="B993">
            <v>0</v>
          </cell>
          <cell r="I993">
            <v>6500</v>
          </cell>
        </row>
        <row r="994">
          <cell r="A994" t="str">
            <v>30100070</v>
          </cell>
          <cell r="B994">
            <v>1</v>
          </cell>
          <cell r="I994">
            <v>5000</v>
          </cell>
        </row>
        <row r="995">
          <cell r="A995" t="str">
            <v>30100071</v>
          </cell>
          <cell r="B995">
            <v>0</v>
          </cell>
          <cell r="I995">
            <v>6500</v>
          </cell>
        </row>
        <row r="996">
          <cell r="A996" t="str">
            <v>30150010</v>
          </cell>
          <cell r="B996">
            <v>0</v>
          </cell>
          <cell r="I996">
            <v>7500</v>
          </cell>
        </row>
        <row r="997">
          <cell r="A997" t="str">
            <v>30150020</v>
          </cell>
          <cell r="B997">
            <v>0</v>
          </cell>
          <cell r="I997">
            <v>7500</v>
          </cell>
        </row>
        <row r="998">
          <cell r="A998" t="str">
            <v>30150030</v>
          </cell>
          <cell r="B998">
            <v>1</v>
          </cell>
          <cell r="I998">
            <v>7500</v>
          </cell>
        </row>
        <row r="999">
          <cell r="A999" t="str">
            <v>30150080</v>
          </cell>
          <cell r="B999">
            <v>1</v>
          </cell>
          <cell r="I999">
            <v>7500</v>
          </cell>
        </row>
        <row r="1000">
          <cell r="A1000" t="str">
            <v>30150090</v>
          </cell>
          <cell r="B1000">
            <v>1</v>
          </cell>
          <cell r="I1000">
            <v>7500</v>
          </cell>
        </row>
        <row r="1001">
          <cell r="A1001" t="str">
            <v>30150100</v>
          </cell>
          <cell r="B1001">
            <v>1</v>
          </cell>
          <cell r="I1001">
            <v>7500</v>
          </cell>
        </row>
        <row r="1002">
          <cell r="A1002" t="str">
            <v>30151050</v>
          </cell>
          <cell r="B1002">
            <v>1</v>
          </cell>
          <cell r="I1002">
            <v>7500</v>
          </cell>
        </row>
        <row r="1003">
          <cell r="A1003" t="str">
            <v>30151051</v>
          </cell>
          <cell r="B1003">
            <v>1</v>
          </cell>
          <cell r="I1003">
            <v>9000</v>
          </cell>
        </row>
        <row r="1004">
          <cell r="A1004" t="str">
            <v>30151060</v>
          </cell>
          <cell r="B1004">
            <v>1</v>
          </cell>
          <cell r="I1004">
            <v>7500</v>
          </cell>
        </row>
        <row r="1005">
          <cell r="A1005" t="str">
            <v>30151061</v>
          </cell>
          <cell r="B1005">
            <v>0</v>
          </cell>
          <cell r="I1005">
            <v>9000</v>
          </cell>
        </row>
        <row r="1006">
          <cell r="A1006" t="str">
            <v>30152050</v>
          </cell>
          <cell r="B1006">
            <v>1</v>
          </cell>
          <cell r="I1006">
            <v>7500</v>
          </cell>
        </row>
        <row r="1007">
          <cell r="A1007" t="str">
            <v>30152051</v>
          </cell>
          <cell r="B1007">
            <v>1</v>
          </cell>
          <cell r="I1007">
            <v>9000</v>
          </cell>
        </row>
        <row r="1008">
          <cell r="A1008" t="str">
            <v>30152060</v>
          </cell>
          <cell r="B1008">
            <v>1</v>
          </cell>
          <cell r="I1008">
            <v>7500</v>
          </cell>
        </row>
        <row r="1009">
          <cell r="A1009" t="str">
            <v>30152061</v>
          </cell>
          <cell r="B1009">
            <v>0</v>
          </cell>
          <cell r="I1009">
            <v>9000</v>
          </cell>
        </row>
        <row r="1010">
          <cell r="A1010" t="str">
            <v>30153050</v>
          </cell>
          <cell r="B1010">
            <v>1</v>
          </cell>
          <cell r="I1010">
            <v>7500</v>
          </cell>
        </row>
        <row r="1011">
          <cell r="A1011" t="str">
            <v>30153051</v>
          </cell>
          <cell r="B1011">
            <v>1</v>
          </cell>
          <cell r="I1011">
            <v>9000</v>
          </cell>
        </row>
        <row r="1012">
          <cell r="A1012" t="str">
            <v>30153060</v>
          </cell>
          <cell r="B1012">
            <v>1</v>
          </cell>
          <cell r="I1012">
            <v>7500</v>
          </cell>
        </row>
        <row r="1013">
          <cell r="A1013" t="str">
            <v>30153061</v>
          </cell>
          <cell r="B1013">
            <v>0</v>
          </cell>
          <cell r="I1013">
            <v>9000</v>
          </cell>
        </row>
        <row r="1014">
          <cell r="A1014" t="str">
            <v>30150040</v>
          </cell>
          <cell r="B1014">
            <v>1</v>
          </cell>
          <cell r="I1014">
            <v>7500</v>
          </cell>
        </row>
        <row r="1015">
          <cell r="A1015" t="str">
            <v>30150041</v>
          </cell>
          <cell r="B1015">
            <v>0</v>
          </cell>
          <cell r="I1015">
            <v>9000</v>
          </cell>
        </row>
        <row r="1016">
          <cell r="A1016" t="str">
            <v>30150070</v>
          </cell>
          <cell r="B1016">
            <v>1</v>
          </cell>
          <cell r="I1016">
            <v>7500</v>
          </cell>
        </row>
        <row r="1017">
          <cell r="A1017" t="str">
            <v>30150071</v>
          </cell>
          <cell r="B1017">
            <v>0</v>
          </cell>
          <cell r="I1017">
            <v>9000</v>
          </cell>
        </row>
        <row r="1018">
          <cell r="A1018" t="str">
            <v>30200010</v>
          </cell>
          <cell r="B1018">
            <v>1</v>
          </cell>
          <cell r="I1018">
            <v>10000</v>
          </cell>
        </row>
        <row r="1019">
          <cell r="A1019" t="str">
            <v>30200020</v>
          </cell>
          <cell r="B1019">
            <v>1</v>
          </cell>
          <cell r="I1019">
            <v>10000</v>
          </cell>
        </row>
        <row r="1020">
          <cell r="A1020" t="str">
            <v>30200030</v>
          </cell>
          <cell r="B1020">
            <v>1</v>
          </cell>
          <cell r="I1020">
            <v>10000</v>
          </cell>
        </row>
        <row r="1021">
          <cell r="A1021" t="str">
            <v>30200080</v>
          </cell>
          <cell r="B1021">
            <v>1</v>
          </cell>
          <cell r="I1021">
            <v>10000</v>
          </cell>
        </row>
        <row r="1022">
          <cell r="A1022" t="str">
            <v>30200090</v>
          </cell>
          <cell r="B1022">
            <v>1</v>
          </cell>
          <cell r="I1022">
            <v>10000</v>
          </cell>
        </row>
        <row r="1023">
          <cell r="A1023" t="str">
            <v>30200100</v>
          </cell>
          <cell r="B1023">
            <v>1</v>
          </cell>
          <cell r="I1023">
            <v>10000</v>
          </cell>
        </row>
        <row r="1024">
          <cell r="A1024" t="str">
            <v>30201050</v>
          </cell>
          <cell r="B1024">
            <v>1</v>
          </cell>
          <cell r="I1024">
            <v>10000</v>
          </cell>
        </row>
        <row r="1025">
          <cell r="A1025" t="str">
            <v>30201051</v>
          </cell>
          <cell r="B1025">
            <v>0</v>
          </cell>
          <cell r="I1025">
            <v>11500</v>
          </cell>
        </row>
        <row r="1026">
          <cell r="A1026" t="str">
            <v>30201060</v>
          </cell>
          <cell r="B1026">
            <v>1</v>
          </cell>
          <cell r="I1026">
            <v>10000</v>
          </cell>
        </row>
        <row r="1027">
          <cell r="A1027" t="str">
            <v>30201061</v>
          </cell>
          <cell r="B1027">
            <v>0</v>
          </cell>
          <cell r="I1027">
            <v>11500</v>
          </cell>
        </row>
        <row r="1028">
          <cell r="A1028" t="str">
            <v>30202050</v>
          </cell>
          <cell r="B1028">
            <v>1</v>
          </cell>
          <cell r="I1028">
            <v>10000</v>
          </cell>
        </row>
        <row r="1029">
          <cell r="A1029" t="str">
            <v>30202051</v>
          </cell>
          <cell r="B1029">
            <v>0</v>
          </cell>
          <cell r="I1029">
            <v>11500</v>
          </cell>
        </row>
        <row r="1030">
          <cell r="A1030" t="str">
            <v>30202060</v>
          </cell>
          <cell r="B1030">
            <v>1</v>
          </cell>
          <cell r="I1030">
            <v>10000</v>
          </cell>
        </row>
        <row r="1031">
          <cell r="A1031" t="str">
            <v>30202061</v>
          </cell>
          <cell r="B1031">
            <v>0</v>
          </cell>
          <cell r="I1031">
            <v>11500</v>
          </cell>
        </row>
        <row r="1032">
          <cell r="A1032" t="str">
            <v>30203050</v>
          </cell>
          <cell r="B1032">
            <v>1</v>
          </cell>
          <cell r="I1032">
            <v>10000</v>
          </cell>
        </row>
        <row r="1033">
          <cell r="A1033" t="str">
            <v>30203051</v>
          </cell>
          <cell r="B1033">
            <v>1</v>
          </cell>
          <cell r="I1033">
            <v>11500</v>
          </cell>
        </row>
        <row r="1034">
          <cell r="A1034" t="str">
            <v>30203060</v>
          </cell>
          <cell r="B1034">
            <v>1</v>
          </cell>
          <cell r="I1034">
            <v>10000</v>
          </cell>
        </row>
        <row r="1035">
          <cell r="A1035" t="str">
            <v>30203061</v>
          </cell>
          <cell r="B1035">
            <v>0</v>
          </cell>
          <cell r="I1035">
            <v>11500</v>
          </cell>
        </row>
        <row r="1036">
          <cell r="A1036" t="str">
            <v>30200040</v>
          </cell>
          <cell r="B1036">
            <v>1</v>
          </cell>
          <cell r="I1036">
            <v>10000</v>
          </cell>
        </row>
        <row r="1037">
          <cell r="A1037" t="str">
            <v>30200041</v>
          </cell>
          <cell r="B1037">
            <v>1</v>
          </cell>
          <cell r="I1037">
            <v>11500</v>
          </cell>
        </row>
        <row r="1038">
          <cell r="A1038" t="str">
            <v>30200070</v>
          </cell>
          <cell r="B1038">
            <v>1</v>
          </cell>
          <cell r="I1038">
            <v>10000</v>
          </cell>
        </row>
        <row r="1039">
          <cell r="A1039" t="str">
            <v>30200071</v>
          </cell>
          <cell r="B1039">
            <v>1</v>
          </cell>
          <cell r="I1039">
            <v>11500</v>
          </cell>
        </row>
        <row r="1040">
          <cell r="A1040" t="str">
            <v>30250010</v>
          </cell>
          <cell r="B1040">
            <v>1</v>
          </cell>
          <cell r="I1040">
            <v>12500</v>
          </cell>
        </row>
        <row r="1041">
          <cell r="A1041" t="str">
            <v>30250020</v>
          </cell>
          <cell r="B1041">
            <v>1</v>
          </cell>
          <cell r="I1041">
            <v>12500</v>
          </cell>
        </row>
        <row r="1042">
          <cell r="A1042" t="str">
            <v>30250030</v>
          </cell>
          <cell r="B1042">
            <v>1</v>
          </cell>
          <cell r="I1042">
            <v>12500</v>
          </cell>
        </row>
        <row r="1043">
          <cell r="A1043" t="str">
            <v>30250080</v>
          </cell>
          <cell r="B1043">
            <v>1</v>
          </cell>
          <cell r="I1043">
            <v>12500</v>
          </cell>
        </row>
        <row r="1044">
          <cell r="A1044" t="str">
            <v>30250090</v>
          </cell>
          <cell r="B1044">
            <v>1</v>
          </cell>
          <cell r="I1044">
            <v>12500</v>
          </cell>
        </row>
        <row r="1045">
          <cell r="A1045" t="str">
            <v>30250100</v>
          </cell>
          <cell r="B1045">
            <v>1</v>
          </cell>
          <cell r="I1045">
            <v>12500</v>
          </cell>
        </row>
        <row r="1046">
          <cell r="A1046" t="str">
            <v>30251050</v>
          </cell>
          <cell r="B1046">
            <v>1</v>
          </cell>
          <cell r="I1046">
            <v>12500</v>
          </cell>
        </row>
        <row r="1047">
          <cell r="A1047" t="str">
            <v>30251051</v>
          </cell>
          <cell r="B1047">
            <v>1</v>
          </cell>
          <cell r="I1047">
            <v>14000</v>
          </cell>
        </row>
        <row r="1048">
          <cell r="A1048" t="str">
            <v>30251060</v>
          </cell>
          <cell r="B1048">
            <v>1</v>
          </cell>
          <cell r="I1048">
            <v>12500</v>
          </cell>
        </row>
        <row r="1049">
          <cell r="A1049" t="str">
            <v>30251061</v>
          </cell>
          <cell r="B1049">
            <v>0</v>
          </cell>
          <cell r="I1049">
            <v>14000</v>
          </cell>
        </row>
        <row r="1050">
          <cell r="A1050" t="str">
            <v>30252050</v>
          </cell>
          <cell r="B1050">
            <v>1</v>
          </cell>
          <cell r="I1050">
            <v>12500</v>
          </cell>
        </row>
        <row r="1051">
          <cell r="A1051" t="str">
            <v>30252051</v>
          </cell>
          <cell r="B1051">
            <v>1</v>
          </cell>
          <cell r="I1051">
            <v>14000</v>
          </cell>
        </row>
        <row r="1052">
          <cell r="A1052" t="str">
            <v>30252060</v>
          </cell>
          <cell r="B1052">
            <v>1</v>
          </cell>
          <cell r="I1052">
            <v>12500</v>
          </cell>
        </row>
        <row r="1053">
          <cell r="A1053" t="str">
            <v>30252061</v>
          </cell>
          <cell r="B1053">
            <v>0</v>
          </cell>
          <cell r="I1053">
            <v>14000</v>
          </cell>
        </row>
        <row r="1054">
          <cell r="A1054" t="str">
            <v>30253050</v>
          </cell>
          <cell r="B1054">
            <v>1</v>
          </cell>
          <cell r="I1054">
            <v>12500</v>
          </cell>
        </row>
        <row r="1055">
          <cell r="A1055" t="str">
            <v>30253051</v>
          </cell>
          <cell r="B1055">
            <v>0</v>
          </cell>
          <cell r="I1055">
            <v>14000</v>
          </cell>
        </row>
        <row r="1056">
          <cell r="A1056" t="str">
            <v>30253060</v>
          </cell>
          <cell r="B1056">
            <v>1</v>
          </cell>
          <cell r="I1056">
            <v>12500</v>
          </cell>
        </row>
        <row r="1057">
          <cell r="A1057" t="str">
            <v>30253061</v>
          </cell>
          <cell r="B1057">
            <v>0</v>
          </cell>
          <cell r="I1057">
            <v>14000</v>
          </cell>
        </row>
        <row r="1058">
          <cell r="A1058" t="str">
            <v>30250040</v>
          </cell>
          <cell r="B1058">
            <v>1</v>
          </cell>
          <cell r="I1058">
            <v>12500</v>
          </cell>
        </row>
        <row r="1059">
          <cell r="A1059" t="str">
            <v>30250041</v>
          </cell>
          <cell r="B1059">
            <v>0</v>
          </cell>
          <cell r="I1059">
            <v>14000</v>
          </cell>
        </row>
        <row r="1060">
          <cell r="A1060" t="str">
            <v>30250070</v>
          </cell>
          <cell r="B1060">
            <v>1</v>
          </cell>
          <cell r="I1060">
            <v>12500</v>
          </cell>
        </row>
        <row r="1061">
          <cell r="A1061" t="str">
            <v>30250071</v>
          </cell>
          <cell r="B1061">
            <v>0</v>
          </cell>
          <cell r="I1061">
            <v>14000</v>
          </cell>
        </row>
        <row r="1062">
          <cell r="A1062" t="str">
            <v>30300010</v>
          </cell>
          <cell r="B1062">
            <v>1</v>
          </cell>
          <cell r="I1062">
            <v>15000</v>
          </cell>
        </row>
        <row r="1063">
          <cell r="A1063" t="str">
            <v>30300020</v>
          </cell>
          <cell r="B1063">
            <v>1</v>
          </cell>
          <cell r="I1063">
            <v>15000</v>
          </cell>
        </row>
        <row r="1064">
          <cell r="A1064" t="str">
            <v>30300030</v>
          </cell>
          <cell r="B1064">
            <v>1</v>
          </cell>
          <cell r="I1064">
            <v>15000</v>
          </cell>
        </row>
        <row r="1065">
          <cell r="A1065" t="str">
            <v>30300080</v>
          </cell>
          <cell r="B1065">
            <v>1</v>
          </cell>
          <cell r="I1065">
            <v>15000</v>
          </cell>
        </row>
        <row r="1066">
          <cell r="A1066" t="str">
            <v>30300090</v>
          </cell>
          <cell r="B1066">
            <v>1</v>
          </cell>
          <cell r="I1066">
            <v>15000</v>
          </cell>
        </row>
        <row r="1067">
          <cell r="A1067" t="str">
            <v>30300100</v>
          </cell>
          <cell r="B1067">
            <v>1</v>
          </cell>
          <cell r="I1067">
            <v>15000</v>
          </cell>
        </row>
        <row r="1068">
          <cell r="A1068" t="str">
            <v>30301050</v>
          </cell>
          <cell r="B1068">
            <v>1</v>
          </cell>
          <cell r="I1068">
            <v>15000</v>
          </cell>
        </row>
        <row r="1069">
          <cell r="A1069" t="str">
            <v>30301051</v>
          </cell>
          <cell r="B1069">
            <v>1</v>
          </cell>
          <cell r="I1069">
            <v>16500</v>
          </cell>
        </row>
        <row r="1070">
          <cell r="A1070" t="str">
            <v>30301060</v>
          </cell>
          <cell r="B1070">
            <v>1</v>
          </cell>
          <cell r="I1070">
            <v>15000</v>
          </cell>
        </row>
        <row r="1071">
          <cell r="A1071" t="str">
            <v>30301061</v>
          </cell>
          <cell r="B1071">
            <v>0</v>
          </cell>
          <cell r="I1071">
            <v>16500</v>
          </cell>
        </row>
        <row r="1072">
          <cell r="A1072" t="str">
            <v>30302050</v>
          </cell>
          <cell r="B1072">
            <v>1</v>
          </cell>
          <cell r="I1072">
            <v>15000</v>
          </cell>
        </row>
        <row r="1073">
          <cell r="A1073" t="str">
            <v>30302051</v>
          </cell>
          <cell r="B1073">
            <v>1</v>
          </cell>
          <cell r="I1073">
            <v>16500</v>
          </cell>
        </row>
        <row r="1074">
          <cell r="A1074" t="str">
            <v>30302060</v>
          </cell>
          <cell r="B1074">
            <v>1</v>
          </cell>
          <cell r="I1074">
            <v>15000</v>
          </cell>
        </row>
        <row r="1075">
          <cell r="A1075" t="str">
            <v>30302061</v>
          </cell>
          <cell r="B1075">
            <v>0</v>
          </cell>
          <cell r="I1075">
            <v>16500</v>
          </cell>
        </row>
        <row r="1076">
          <cell r="A1076" t="str">
            <v>30303050</v>
          </cell>
          <cell r="B1076">
            <v>1</v>
          </cell>
          <cell r="I1076">
            <v>15000</v>
          </cell>
        </row>
        <row r="1077">
          <cell r="A1077" t="str">
            <v>30303051</v>
          </cell>
          <cell r="B1077">
            <v>1</v>
          </cell>
          <cell r="I1077">
            <v>16500</v>
          </cell>
        </row>
        <row r="1078">
          <cell r="A1078" t="str">
            <v>30303060</v>
          </cell>
          <cell r="B1078">
            <v>1</v>
          </cell>
          <cell r="I1078">
            <v>15000</v>
          </cell>
        </row>
        <row r="1079">
          <cell r="A1079" t="str">
            <v>30303061</v>
          </cell>
          <cell r="B1079">
            <v>0</v>
          </cell>
          <cell r="I1079">
            <v>16500</v>
          </cell>
        </row>
        <row r="1080">
          <cell r="A1080" t="str">
            <v>30300040</v>
          </cell>
          <cell r="B1080">
            <v>1</v>
          </cell>
          <cell r="I1080">
            <v>15000</v>
          </cell>
        </row>
        <row r="1081">
          <cell r="A1081" t="str">
            <v>30300041</v>
          </cell>
          <cell r="B1081">
            <v>1</v>
          </cell>
          <cell r="I1081">
            <v>16500</v>
          </cell>
        </row>
        <row r="1082">
          <cell r="A1082" t="str">
            <v>30300070</v>
          </cell>
          <cell r="B1082">
            <v>1</v>
          </cell>
          <cell r="I1082">
            <v>15000</v>
          </cell>
        </row>
        <row r="1083">
          <cell r="A1083" t="str">
            <v>30300071</v>
          </cell>
          <cell r="B1083">
            <v>1</v>
          </cell>
          <cell r="I1083">
            <v>16500</v>
          </cell>
        </row>
        <row r="1084">
          <cell r="A1084" t="str">
            <v>30350010</v>
          </cell>
          <cell r="B1084">
            <v>1</v>
          </cell>
          <cell r="I1084">
            <v>17500</v>
          </cell>
        </row>
        <row r="1085">
          <cell r="A1085" t="str">
            <v>30350020</v>
          </cell>
          <cell r="B1085">
            <v>1</v>
          </cell>
          <cell r="I1085">
            <v>17500</v>
          </cell>
        </row>
        <row r="1086">
          <cell r="A1086" t="str">
            <v>30350030</v>
          </cell>
          <cell r="B1086">
            <v>1</v>
          </cell>
          <cell r="I1086">
            <v>17500</v>
          </cell>
        </row>
        <row r="1087">
          <cell r="A1087" t="str">
            <v>30350080</v>
          </cell>
          <cell r="B1087">
            <v>1</v>
          </cell>
          <cell r="I1087">
            <v>17500</v>
          </cell>
        </row>
        <row r="1088">
          <cell r="A1088" t="str">
            <v>30350090</v>
          </cell>
          <cell r="B1088">
            <v>1</v>
          </cell>
          <cell r="I1088">
            <v>17500</v>
          </cell>
        </row>
        <row r="1089">
          <cell r="A1089" t="str">
            <v>30350100</v>
          </cell>
          <cell r="B1089">
            <v>1</v>
          </cell>
          <cell r="I1089">
            <v>17500</v>
          </cell>
        </row>
        <row r="1090">
          <cell r="A1090" t="str">
            <v>30351050</v>
          </cell>
          <cell r="B1090">
            <v>1</v>
          </cell>
          <cell r="I1090">
            <v>17500</v>
          </cell>
        </row>
        <row r="1091">
          <cell r="A1091" t="str">
            <v>30351051</v>
          </cell>
          <cell r="B1091">
            <v>0</v>
          </cell>
          <cell r="I1091">
            <v>19000</v>
          </cell>
        </row>
        <row r="1092">
          <cell r="A1092" t="str">
            <v>30351060</v>
          </cell>
          <cell r="B1092">
            <v>1</v>
          </cell>
          <cell r="I1092">
            <v>17500</v>
          </cell>
        </row>
        <row r="1093">
          <cell r="A1093" t="str">
            <v>30351061</v>
          </cell>
          <cell r="B1093">
            <v>1</v>
          </cell>
          <cell r="I1093">
            <v>19000</v>
          </cell>
        </row>
        <row r="1094">
          <cell r="A1094" t="str">
            <v>30352050</v>
          </cell>
          <cell r="B1094">
            <v>1</v>
          </cell>
          <cell r="I1094">
            <v>17500</v>
          </cell>
        </row>
        <row r="1095">
          <cell r="A1095" t="str">
            <v>30352051</v>
          </cell>
          <cell r="B1095">
            <v>0</v>
          </cell>
          <cell r="I1095">
            <v>19000</v>
          </cell>
        </row>
        <row r="1096">
          <cell r="A1096" t="str">
            <v>30352060</v>
          </cell>
          <cell r="B1096">
            <v>1</v>
          </cell>
          <cell r="I1096">
            <v>17500</v>
          </cell>
        </row>
        <row r="1097">
          <cell r="A1097" t="str">
            <v>30352061</v>
          </cell>
          <cell r="B1097">
            <v>1</v>
          </cell>
          <cell r="I1097">
            <v>19000</v>
          </cell>
        </row>
        <row r="1098">
          <cell r="A1098" t="str">
            <v>30353050</v>
          </cell>
          <cell r="B1098">
            <v>1</v>
          </cell>
          <cell r="I1098">
            <v>17500</v>
          </cell>
        </row>
        <row r="1099">
          <cell r="A1099" t="str">
            <v>30353051</v>
          </cell>
          <cell r="B1099">
            <v>0</v>
          </cell>
          <cell r="I1099">
            <v>19000</v>
          </cell>
        </row>
        <row r="1100">
          <cell r="A1100" t="str">
            <v>30353060</v>
          </cell>
          <cell r="B1100">
            <v>1</v>
          </cell>
          <cell r="I1100">
            <v>17500</v>
          </cell>
        </row>
        <row r="1101">
          <cell r="A1101" t="str">
            <v>30353061</v>
          </cell>
          <cell r="B1101">
            <v>1</v>
          </cell>
          <cell r="I1101">
            <v>19000</v>
          </cell>
        </row>
        <row r="1102">
          <cell r="A1102" t="str">
            <v>30350040</v>
          </cell>
          <cell r="B1102">
            <v>1</v>
          </cell>
          <cell r="I1102">
            <v>17500</v>
          </cell>
        </row>
        <row r="1103">
          <cell r="A1103" t="str">
            <v>30350041</v>
          </cell>
          <cell r="B1103">
            <v>1</v>
          </cell>
          <cell r="I1103">
            <v>19000</v>
          </cell>
        </row>
        <row r="1104">
          <cell r="A1104" t="str">
            <v>30350070</v>
          </cell>
          <cell r="B1104">
            <v>1</v>
          </cell>
          <cell r="I1104">
            <v>17500</v>
          </cell>
        </row>
        <row r="1105">
          <cell r="A1105" t="str">
            <v>30350071</v>
          </cell>
          <cell r="B1105">
            <v>0</v>
          </cell>
          <cell r="I1105">
            <v>19000</v>
          </cell>
        </row>
        <row r="1106">
          <cell r="A1106" t="str">
            <v>30400010</v>
          </cell>
          <cell r="B1106">
            <v>1</v>
          </cell>
          <cell r="I1106">
            <v>20000</v>
          </cell>
        </row>
        <row r="1107">
          <cell r="A1107" t="str">
            <v>30400020</v>
          </cell>
          <cell r="B1107">
            <v>1</v>
          </cell>
          <cell r="I1107">
            <v>20000</v>
          </cell>
        </row>
        <row r="1108">
          <cell r="A1108" t="str">
            <v>30400030</v>
          </cell>
          <cell r="B1108">
            <v>1</v>
          </cell>
          <cell r="I1108">
            <v>20000</v>
          </cell>
        </row>
        <row r="1109">
          <cell r="A1109" t="str">
            <v>30400080</v>
          </cell>
          <cell r="B1109">
            <v>1</v>
          </cell>
          <cell r="I1109">
            <v>20000</v>
          </cell>
        </row>
        <row r="1110">
          <cell r="A1110" t="str">
            <v>30400090</v>
          </cell>
          <cell r="B1110">
            <v>1</v>
          </cell>
          <cell r="I1110">
            <v>20000</v>
          </cell>
        </row>
        <row r="1111">
          <cell r="A1111" t="str">
            <v>30400100</v>
          </cell>
          <cell r="B1111">
            <v>1</v>
          </cell>
          <cell r="I1111">
            <v>20000</v>
          </cell>
        </row>
        <row r="1112">
          <cell r="A1112" t="str">
            <v>30401050</v>
          </cell>
          <cell r="B1112">
            <v>1</v>
          </cell>
          <cell r="I1112">
            <v>20000</v>
          </cell>
        </row>
        <row r="1113">
          <cell r="A1113" t="str">
            <v>30401051</v>
          </cell>
          <cell r="B1113">
            <v>1</v>
          </cell>
          <cell r="I1113">
            <v>21500</v>
          </cell>
        </row>
        <row r="1114">
          <cell r="A1114" t="str">
            <v>30401060</v>
          </cell>
          <cell r="B1114">
            <v>1</v>
          </cell>
          <cell r="I1114">
            <v>20000</v>
          </cell>
        </row>
        <row r="1115">
          <cell r="A1115" t="str">
            <v>30401061</v>
          </cell>
          <cell r="B1115">
            <v>0</v>
          </cell>
          <cell r="I1115">
            <v>21500</v>
          </cell>
        </row>
        <row r="1116">
          <cell r="A1116" t="str">
            <v>30402050</v>
          </cell>
          <cell r="B1116">
            <v>1</v>
          </cell>
          <cell r="I1116">
            <v>20000</v>
          </cell>
        </row>
        <row r="1117">
          <cell r="A1117" t="str">
            <v>30402051</v>
          </cell>
          <cell r="B1117">
            <v>1</v>
          </cell>
          <cell r="I1117">
            <v>21500</v>
          </cell>
        </row>
        <row r="1118">
          <cell r="A1118" t="str">
            <v>30402060</v>
          </cell>
          <cell r="B1118">
            <v>1</v>
          </cell>
          <cell r="I1118">
            <v>20000</v>
          </cell>
        </row>
        <row r="1119">
          <cell r="A1119" t="str">
            <v>30402061</v>
          </cell>
          <cell r="B1119">
            <v>0</v>
          </cell>
          <cell r="I1119">
            <v>21500</v>
          </cell>
        </row>
        <row r="1120">
          <cell r="A1120" t="str">
            <v>30403050</v>
          </cell>
          <cell r="B1120">
            <v>1</v>
          </cell>
          <cell r="I1120">
            <v>20000</v>
          </cell>
        </row>
        <row r="1121">
          <cell r="A1121" t="str">
            <v>30403051</v>
          </cell>
          <cell r="B1121">
            <v>1</v>
          </cell>
          <cell r="I1121">
            <v>21500</v>
          </cell>
        </row>
        <row r="1122">
          <cell r="A1122" t="str">
            <v>30403060</v>
          </cell>
          <cell r="B1122">
            <v>1</v>
          </cell>
          <cell r="I1122">
            <v>20000</v>
          </cell>
        </row>
        <row r="1123">
          <cell r="A1123" t="str">
            <v>30403061</v>
          </cell>
          <cell r="B1123">
            <v>0</v>
          </cell>
          <cell r="I1123">
            <v>21500</v>
          </cell>
        </row>
        <row r="1124">
          <cell r="A1124" t="str">
            <v>30400040</v>
          </cell>
          <cell r="B1124">
            <v>1</v>
          </cell>
          <cell r="I1124">
            <v>20000</v>
          </cell>
        </row>
        <row r="1125">
          <cell r="A1125" t="str">
            <v>30400041</v>
          </cell>
          <cell r="B1125">
            <v>0</v>
          </cell>
          <cell r="I1125">
            <v>21500</v>
          </cell>
        </row>
        <row r="1126">
          <cell r="A1126" t="str">
            <v>30400070</v>
          </cell>
          <cell r="B1126">
            <v>1</v>
          </cell>
          <cell r="I1126">
            <v>20000</v>
          </cell>
        </row>
        <row r="1127">
          <cell r="A1127" t="str">
            <v>30400071</v>
          </cell>
          <cell r="B1127">
            <v>0</v>
          </cell>
          <cell r="I1127">
            <v>21500</v>
          </cell>
        </row>
        <row r="1128">
          <cell r="A1128" t="str">
            <v>30450010</v>
          </cell>
          <cell r="B1128">
            <v>1</v>
          </cell>
          <cell r="I1128">
            <v>22500</v>
          </cell>
        </row>
        <row r="1129">
          <cell r="A1129" t="str">
            <v>30450020</v>
          </cell>
          <cell r="B1129">
            <v>1</v>
          </cell>
          <cell r="I1129">
            <v>22500</v>
          </cell>
        </row>
        <row r="1130">
          <cell r="A1130" t="str">
            <v>30450030</v>
          </cell>
          <cell r="B1130">
            <v>1</v>
          </cell>
          <cell r="I1130">
            <v>22500</v>
          </cell>
        </row>
        <row r="1131">
          <cell r="A1131" t="str">
            <v>30450080</v>
          </cell>
          <cell r="B1131">
            <v>1</v>
          </cell>
          <cell r="I1131">
            <v>22500</v>
          </cell>
        </row>
        <row r="1132">
          <cell r="A1132" t="str">
            <v>30450090</v>
          </cell>
          <cell r="B1132">
            <v>1</v>
          </cell>
          <cell r="I1132">
            <v>22500</v>
          </cell>
        </row>
        <row r="1133">
          <cell r="A1133" t="str">
            <v>30450100</v>
          </cell>
          <cell r="B1133">
            <v>1</v>
          </cell>
          <cell r="I1133">
            <v>22500</v>
          </cell>
        </row>
        <row r="1134">
          <cell r="A1134" t="str">
            <v>30451050</v>
          </cell>
          <cell r="B1134">
            <v>1</v>
          </cell>
          <cell r="I1134">
            <v>22500</v>
          </cell>
        </row>
        <row r="1135">
          <cell r="A1135" t="str">
            <v>30451051</v>
          </cell>
          <cell r="B1135">
            <v>0</v>
          </cell>
          <cell r="I1135">
            <v>24000</v>
          </cell>
        </row>
        <row r="1136">
          <cell r="A1136" t="str">
            <v>30451060</v>
          </cell>
          <cell r="B1136">
            <v>1</v>
          </cell>
          <cell r="I1136">
            <v>22500</v>
          </cell>
        </row>
        <row r="1137">
          <cell r="A1137" t="str">
            <v>30451061</v>
          </cell>
          <cell r="B1137">
            <v>0</v>
          </cell>
          <cell r="I1137">
            <v>24000</v>
          </cell>
        </row>
        <row r="1138">
          <cell r="A1138" t="str">
            <v>30452050</v>
          </cell>
          <cell r="B1138">
            <v>1</v>
          </cell>
          <cell r="I1138">
            <v>22500</v>
          </cell>
        </row>
        <row r="1139">
          <cell r="A1139" t="str">
            <v>30452051</v>
          </cell>
          <cell r="B1139">
            <v>0</v>
          </cell>
          <cell r="I1139">
            <v>24000</v>
          </cell>
        </row>
        <row r="1140">
          <cell r="A1140" t="str">
            <v>30452060</v>
          </cell>
          <cell r="B1140">
            <v>1</v>
          </cell>
          <cell r="I1140">
            <v>22500</v>
          </cell>
        </row>
        <row r="1141">
          <cell r="A1141" t="str">
            <v>30452061</v>
          </cell>
          <cell r="B1141">
            <v>0</v>
          </cell>
          <cell r="I1141">
            <v>24000</v>
          </cell>
        </row>
        <row r="1142">
          <cell r="A1142" t="str">
            <v>30453050</v>
          </cell>
          <cell r="B1142">
            <v>1</v>
          </cell>
          <cell r="I1142">
            <v>22500</v>
          </cell>
        </row>
        <row r="1143">
          <cell r="A1143" t="str">
            <v>30453051</v>
          </cell>
          <cell r="B1143">
            <v>1</v>
          </cell>
          <cell r="I1143">
            <v>24000</v>
          </cell>
        </row>
        <row r="1144">
          <cell r="A1144" t="str">
            <v>30453060</v>
          </cell>
          <cell r="B1144">
            <v>1</v>
          </cell>
          <cell r="I1144">
            <v>22500</v>
          </cell>
        </row>
        <row r="1145">
          <cell r="A1145" t="str">
            <v>30453061</v>
          </cell>
          <cell r="B1145">
            <v>0</v>
          </cell>
          <cell r="I1145">
            <v>24000</v>
          </cell>
        </row>
        <row r="1146">
          <cell r="A1146" t="str">
            <v>30450040</v>
          </cell>
          <cell r="B1146">
            <v>1</v>
          </cell>
          <cell r="I1146">
            <v>22500</v>
          </cell>
        </row>
        <row r="1147">
          <cell r="A1147" t="str">
            <v>30450041</v>
          </cell>
          <cell r="B1147">
            <v>1</v>
          </cell>
          <cell r="I1147">
            <v>24000</v>
          </cell>
        </row>
        <row r="1148">
          <cell r="A1148" t="str">
            <v>30450070</v>
          </cell>
          <cell r="B1148">
            <v>1</v>
          </cell>
          <cell r="I1148">
            <v>22500</v>
          </cell>
        </row>
        <row r="1149">
          <cell r="A1149" t="str">
            <v>30450071</v>
          </cell>
          <cell r="B1149">
            <v>1</v>
          </cell>
          <cell r="I1149">
            <v>24000</v>
          </cell>
        </row>
        <row r="1150">
          <cell r="A1150" t="str">
            <v>30500010</v>
          </cell>
          <cell r="B1150">
            <v>1</v>
          </cell>
          <cell r="I1150">
            <v>25000</v>
          </cell>
        </row>
        <row r="1151">
          <cell r="A1151" t="str">
            <v>30500020</v>
          </cell>
          <cell r="B1151">
            <v>1</v>
          </cell>
          <cell r="I1151">
            <v>25000</v>
          </cell>
        </row>
        <row r="1152">
          <cell r="A1152" t="str">
            <v>30500030</v>
          </cell>
          <cell r="B1152">
            <v>1</v>
          </cell>
          <cell r="I1152">
            <v>25000</v>
          </cell>
        </row>
        <row r="1153">
          <cell r="A1153" t="str">
            <v>30500080</v>
          </cell>
          <cell r="B1153">
            <v>1</v>
          </cell>
          <cell r="I1153">
            <v>25000</v>
          </cell>
        </row>
        <row r="1154">
          <cell r="A1154" t="str">
            <v>30500090</v>
          </cell>
          <cell r="B1154">
            <v>1</v>
          </cell>
          <cell r="I1154">
            <v>25000</v>
          </cell>
        </row>
        <row r="1155">
          <cell r="A1155" t="str">
            <v>30500100</v>
          </cell>
          <cell r="B1155">
            <v>1</v>
          </cell>
          <cell r="I1155">
            <v>25000</v>
          </cell>
        </row>
        <row r="1156">
          <cell r="A1156" t="str">
            <v>30501050</v>
          </cell>
          <cell r="B1156">
            <v>1</v>
          </cell>
          <cell r="I1156">
            <v>25000</v>
          </cell>
        </row>
        <row r="1157">
          <cell r="A1157" t="str">
            <v>30501051</v>
          </cell>
          <cell r="B1157">
            <v>1</v>
          </cell>
          <cell r="I1157">
            <v>26500</v>
          </cell>
        </row>
        <row r="1158">
          <cell r="A1158" t="str">
            <v>30501060</v>
          </cell>
          <cell r="B1158">
            <v>1</v>
          </cell>
          <cell r="I1158">
            <v>25000</v>
          </cell>
        </row>
        <row r="1159">
          <cell r="A1159" t="str">
            <v>30501061</v>
          </cell>
          <cell r="B1159">
            <v>1</v>
          </cell>
          <cell r="I1159">
            <v>26500</v>
          </cell>
        </row>
        <row r="1160">
          <cell r="A1160" t="str">
            <v>30502050</v>
          </cell>
          <cell r="B1160">
            <v>1</v>
          </cell>
          <cell r="I1160">
            <v>25000</v>
          </cell>
        </row>
        <row r="1161">
          <cell r="A1161" t="str">
            <v>30502051</v>
          </cell>
          <cell r="B1161">
            <v>1</v>
          </cell>
          <cell r="I1161">
            <v>26500</v>
          </cell>
        </row>
        <row r="1162">
          <cell r="A1162" t="str">
            <v>30502060</v>
          </cell>
          <cell r="B1162">
            <v>1</v>
          </cell>
          <cell r="I1162">
            <v>25000</v>
          </cell>
        </row>
        <row r="1163">
          <cell r="A1163" t="str">
            <v>30502061</v>
          </cell>
          <cell r="B1163">
            <v>1</v>
          </cell>
          <cell r="I1163">
            <v>26500</v>
          </cell>
        </row>
        <row r="1164">
          <cell r="A1164" t="str">
            <v>30503050</v>
          </cell>
          <cell r="B1164">
            <v>1</v>
          </cell>
          <cell r="I1164">
            <v>25000</v>
          </cell>
        </row>
        <row r="1165">
          <cell r="A1165" t="str">
            <v>30503051</v>
          </cell>
          <cell r="B1165">
            <v>1</v>
          </cell>
          <cell r="I1165">
            <v>26500</v>
          </cell>
        </row>
        <row r="1166">
          <cell r="A1166" t="str">
            <v>30503060</v>
          </cell>
          <cell r="B1166">
            <v>1</v>
          </cell>
          <cell r="I1166">
            <v>25000</v>
          </cell>
        </row>
        <row r="1167">
          <cell r="A1167" t="str">
            <v>30503061</v>
          </cell>
          <cell r="B1167">
            <v>1</v>
          </cell>
          <cell r="I1167">
            <v>26500</v>
          </cell>
        </row>
        <row r="1168">
          <cell r="A1168" t="str">
            <v>30500040</v>
          </cell>
          <cell r="B1168">
            <v>1</v>
          </cell>
          <cell r="I1168">
            <v>25000</v>
          </cell>
        </row>
        <row r="1169">
          <cell r="A1169" t="str">
            <v>30500041</v>
          </cell>
          <cell r="B1169">
            <v>0</v>
          </cell>
          <cell r="I1169">
            <v>26500</v>
          </cell>
        </row>
        <row r="1170">
          <cell r="A1170" t="str">
            <v>30500070</v>
          </cell>
          <cell r="B1170">
            <v>1</v>
          </cell>
          <cell r="I1170">
            <v>25000</v>
          </cell>
        </row>
        <row r="1171">
          <cell r="A1171" t="str">
            <v>30500071</v>
          </cell>
          <cell r="B1171">
            <v>0</v>
          </cell>
          <cell r="I1171">
            <v>26500</v>
          </cell>
        </row>
        <row r="1172">
          <cell r="A1172" t="str">
            <v>30550010</v>
          </cell>
          <cell r="B1172">
            <v>1</v>
          </cell>
          <cell r="I1172">
            <v>27500</v>
          </cell>
        </row>
        <row r="1173">
          <cell r="A1173" t="str">
            <v>30550020</v>
          </cell>
          <cell r="B1173">
            <v>1</v>
          </cell>
          <cell r="I1173">
            <v>27500</v>
          </cell>
        </row>
        <row r="1174">
          <cell r="A1174" t="str">
            <v>30550030</v>
          </cell>
          <cell r="B1174">
            <v>1</v>
          </cell>
          <cell r="I1174">
            <v>27500</v>
          </cell>
        </row>
        <row r="1175">
          <cell r="A1175" t="str">
            <v>30550080</v>
          </cell>
          <cell r="B1175">
            <v>1</v>
          </cell>
          <cell r="I1175">
            <v>27500</v>
          </cell>
        </row>
        <row r="1176">
          <cell r="A1176" t="str">
            <v>30550090</v>
          </cell>
          <cell r="B1176">
            <v>0</v>
          </cell>
          <cell r="I1176">
            <v>27500</v>
          </cell>
        </row>
        <row r="1177">
          <cell r="A1177" t="str">
            <v>30550100</v>
          </cell>
          <cell r="B1177">
            <v>1</v>
          </cell>
          <cell r="I1177">
            <v>27500</v>
          </cell>
        </row>
        <row r="1178">
          <cell r="A1178" t="str">
            <v>30551050</v>
          </cell>
          <cell r="B1178">
            <v>1</v>
          </cell>
          <cell r="I1178">
            <v>27500</v>
          </cell>
        </row>
        <row r="1179">
          <cell r="A1179" t="str">
            <v>30551051</v>
          </cell>
          <cell r="B1179">
            <v>0</v>
          </cell>
          <cell r="I1179">
            <v>29000</v>
          </cell>
        </row>
        <row r="1180">
          <cell r="A1180" t="str">
            <v>30551060</v>
          </cell>
          <cell r="B1180">
            <v>1</v>
          </cell>
          <cell r="I1180">
            <v>27500</v>
          </cell>
        </row>
        <row r="1181">
          <cell r="A1181" t="str">
            <v>30551061</v>
          </cell>
          <cell r="B1181">
            <v>1</v>
          </cell>
          <cell r="I1181">
            <v>29000</v>
          </cell>
        </row>
        <row r="1182">
          <cell r="A1182" t="str">
            <v>30552050</v>
          </cell>
          <cell r="B1182">
            <v>1</v>
          </cell>
          <cell r="I1182">
            <v>27500</v>
          </cell>
        </row>
        <row r="1183">
          <cell r="A1183" t="str">
            <v>30552051</v>
          </cell>
          <cell r="B1183">
            <v>0</v>
          </cell>
          <cell r="I1183">
            <v>29000</v>
          </cell>
        </row>
        <row r="1184">
          <cell r="A1184" t="str">
            <v>30552060</v>
          </cell>
          <cell r="B1184">
            <v>1</v>
          </cell>
          <cell r="I1184">
            <v>27500</v>
          </cell>
        </row>
        <row r="1185">
          <cell r="A1185" t="str">
            <v>30552061</v>
          </cell>
          <cell r="B1185">
            <v>1</v>
          </cell>
          <cell r="I1185">
            <v>29000</v>
          </cell>
        </row>
        <row r="1186">
          <cell r="A1186" t="str">
            <v>30553050</v>
          </cell>
          <cell r="B1186">
            <v>1</v>
          </cell>
          <cell r="I1186">
            <v>27500</v>
          </cell>
        </row>
        <row r="1187">
          <cell r="A1187" t="str">
            <v>30553051</v>
          </cell>
          <cell r="B1187">
            <v>0</v>
          </cell>
          <cell r="I1187">
            <v>29000</v>
          </cell>
        </row>
        <row r="1188">
          <cell r="A1188" t="str">
            <v>30553060</v>
          </cell>
          <cell r="B1188">
            <v>1</v>
          </cell>
          <cell r="I1188">
            <v>27500</v>
          </cell>
        </row>
        <row r="1189">
          <cell r="A1189" t="str">
            <v>30553061</v>
          </cell>
          <cell r="B1189">
            <v>1</v>
          </cell>
          <cell r="I1189">
            <v>29000</v>
          </cell>
        </row>
        <row r="1190">
          <cell r="A1190" t="str">
            <v>30550040</v>
          </cell>
          <cell r="B1190">
            <v>1</v>
          </cell>
          <cell r="I1190">
            <v>27500</v>
          </cell>
        </row>
        <row r="1191">
          <cell r="A1191" t="str">
            <v>30550041</v>
          </cell>
          <cell r="B1191">
            <v>0</v>
          </cell>
          <cell r="I1191">
            <v>29000</v>
          </cell>
        </row>
        <row r="1192">
          <cell r="A1192" t="str">
            <v>30550070</v>
          </cell>
          <cell r="B1192">
            <v>1</v>
          </cell>
          <cell r="I1192">
            <v>27500</v>
          </cell>
        </row>
        <row r="1193">
          <cell r="A1193" t="str">
            <v>30550071</v>
          </cell>
          <cell r="B1193">
            <v>0</v>
          </cell>
          <cell r="I1193">
            <v>29000</v>
          </cell>
        </row>
        <row r="1194">
          <cell r="A1194" t="str">
            <v>30600010</v>
          </cell>
          <cell r="B1194">
            <v>1</v>
          </cell>
          <cell r="I1194">
            <v>30000</v>
          </cell>
        </row>
        <row r="1195">
          <cell r="A1195" t="str">
            <v>30600020</v>
          </cell>
          <cell r="B1195">
            <v>1</v>
          </cell>
          <cell r="I1195">
            <v>30000</v>
          </cell>
        </row>
        <row r="1196">
          <cell r="A1196" t="str">
            <v>30600030</v>
          </cell>
          <cell r="B1196">
            <v>1</v>
          </cell>
          <cell r="I1196">
            <v>30000</v>
          </cell>
        </row>
        <row r="1197">
          <cell r="A1197" t="str">
            <v>30600080</v>
          </cell>
          <cell r="B1197">
            <v>1</v>
          </cell>
          <cell r="I1197">
            <v>30000</v>
          </cell>
        </row>
        <row r="1198">
          <cell r="A1198" t="str">
            <v>30600090</v>
          </cell>
          <cell r="B1198">
            <v>1</v>
          </cell>
          <cell r="I1198">
            <v>30000</v>
          </cell>
        </row>
        <row r="1199">
          <cell r="A1199" t="str">
            <v>30600100</v>
          </cell>
          <cell r="B1199">
            <v>1</v>
          </cell>
          <cell r="I1199">
            <v>30000</v>
          </cell>
        </row>
        <row r="1200">
          <cell r="A1200" t="str">
            <v>30601050</v>
          </cell>
          <cell r="B1200">
            <v>1</v>
          </cell>
          <cell r="I1200">
            <v>30000</v>
          </cell>
        </row>
        <row r="1201">
          <cell r="A1201" t="str">
            <v>30601051</v>
          </cell>
          <cell r="B1201">
            <v>1</v>
          </cell>
          <cell r="I1201">
            <v>31500</v>
          </cell>
        </row>
        <row r="1202">
          <cell r="A1202" t="str">
            <v>30601060</v>
          </cell>
          <cell r="B1202">
            <v>1</v>
          </cell>
          <cell r="I1202">
            <v>30000</v>
          </cell>
        </row>
        <row r="1203">
          <cell r="A1203" t="str">
            <v>30601061</v>
          </cell>
          <cell r="B1203">
            <v>0</v>
          </cell>
          <cell r="I1203">
            <v>31500</v>
          </cell>
        </row>
        <row r="1204">
          <cell r="A1204" t="str">
            <v>30602050</v>
          </cell>
          <cell r="B1204">
            <v>1</v>
          </cell>
          <cell r="I1204">
            <v>30000</v>
          </cell>
        </row>
        <row r="1205">
          <cell r="A1205" t="str">
            <v>30602051</v>
          </cell>
          <cell r="B1205">
            <v>0</v>
          </cell>
          <cell r="I1205">
            <v>31500</v>
          </cell>
        </row>
        <row r="1206">
          <cell r="A1206" t="str">
            <v>30602060</v>
          </cell>
          <cell r="B1206">
            <v>1</v>
          </cell>
          <cell r="I1206">
            <v>30000</v>
          </cell>
        </row>
        <row r="1207">
          <cell r="A1207" t="str">
            <v>30602061</v>
          </cell>
          <cell r="B1207">
            <v>0</v>
          </cell>
          <cell r="I1207">
            <v>31500</v>
          </cell>
        </row>
        <row r="1208">
          <cell r="A1208" t="str">
            <v>30603050</v>
          </cell>
          <cell r="B1208">
            <v>1</v>
          </cell>
          <cell r="I1208">
            <v>30000</v>
          </cell>
        </row>
        <row r="1209">
          <cell r="A1209" t="str">
            <v>30603051</v>
          </cell>
          <cell r="B1209">
            <v>0</v>
          </cell>
          <cell r="I1209">
            <v>31500</v>
          </cell>
        </row>
        <row r="1210">
          <cell r="A1210" t="str">
            <v>30603060</v>
          </cell>
          <cell r="B1210">
            <v>1</v>
          </cell>
          <cell r="I1210">
            <v>30000</v>
          </cell>
        </row>
        <row r="1211">
          <cell r="A1211" t="str">
            <v>30603061</v>
          </cell>
          <cell r="B1211">
            <v>0</v>
          </cell>
          <cell r="I1211">
            <v>31500</v>
          </cell>
        </row>
        <row r="1212">
          <cell r="A1212" t="str">
            <v>30600040</v>
          </cell>
          <cell r="B1212">
            <v>1</v>
          </cell>
          <cell r="I1212">
            <v>30000</v>
          </cell>
        </row>
        <row r="1213">
          <cell r="A1213" t="str">
            <v>30600041</v>
          </cell>
          <cell r="B1213">
            <v>0</v>
          </cell>
          <cell r="I1213">
            <v>31500</v>
          </cell>
        </row>
        <row r="1214">
          <cell r="A1214" t="str">
            <v>30600070</v>
          </cell>
          <cell r="B1214">
            <v>1</v>
          </cell>
          <cell r="I1214">
            <v>30000</v>
          </cell>
        </row>
        <row r="1215">
          <cell r="A1215" t="str">
            <v>30600071</v>
          </cell>
          <cell r="B1215">
            <v>1</v>
          </cell>
          <cell r="I1215">
            <v>31500</v>
          </cell>
        </row>
        <row r="1216">
          <cell r="A1216" t="str">
            <v>30650010</v>
          </cell>
          <cell r="B1216">
            <v>1</v>
          </cell>
          <cell r="I1216">
            <v>32500</v>
          </cell>
        </row>
        <row r="1217">
          <cell r="A1217" t="str">
            <v>30650020</v>
          </cell>
          <cell r="B1217">
            <v>1</v>
          </cell>
          <cell r="I1217">
            <v>32500</v>
          </cell>
        </row>
        <row r="1218">
          <cell r="A1218" t="str">
            <v>30650030</v>
          </cell>
          <cell r="B1218">
            <v>1</v>
          </cell>
          <cell r="I1218">
            <v>32500</v>
          </cell>
        </row>
        <row r="1219">
          <cell r="A1219" t="str">
            <v>30650080</v>
          </cell>
          <cell r="B1219">
            <v>1</v>
          </cell>
          <cell r="I1219">
            <v>32500</v>
          </cell>
        </row>
        <row r="1220">
          <cell r="A1220" t="str">
            <v>30650090</v>
          </cell>
          <cell r="B1220">
            <v>1</v>
          </cell>
          <cell r="I1220">
            <v>32500</v>
          </cell>
        </row>
        <row r="1221">
          <cell r="A1221" t="str">
            <v>30650100</v>
          </cell>
          <cell r="B1221">
            <v>1</v>
          </cell>
          <cell r="I1221">
            <v>32500</v>
          </cell>
        </row>
        <row r="1222">
          <cell r="A1222" t="str">
            <v>30651050</v>
          </cell>
          <cell r="B1222">
            <v>1</v>
          </cell>
          <cell r="I1222">
            <v>32500</v>
          </cell>
        </row>
        <row r="1223">
          <cell r="A1223" t="str">
            <v>30651051</v>
          </cell>
          <cell r="B1223">
            <v>0</v>
          </cell>
          <cell r="I1223">
            <v>34000</v>
          </cell>
        </row>
        <row r="1224">
          <cell r="A1224" t="str">
            <v>30651060</v>
          </cell>
          <cell r="B1224">
            <v>1</v>
          </cell>
          <cell r="I1224">
            <v>32500</v>
          </cell>
        </row>
        <row r="1225">
          <cell r="A1225" t="str">
            <v>30651061</v>
          </cell>
          <cell r="B1225">
            <v>0</v>
          </cell>
          <cell r="I1225">
            <v>34000</v>
          </cell>
        </row>
        <row r="1226">
          <cell r="A1226" t="str">
            <v>30652050</v>
          </cell>
          <cell r="B1226">
            <v>1</v>
          </cell>
          <cell r="I1226">
            <v>32500</v>
          </cell>
        </row>
        <row r="1227">
          <cell r="A1227" t="str">
            <v>30652051</v>
          </cell>
          <cell r="B1227">
            <v>0</v>
          </cell>
          <cell r="I1227">
            <v>34000</v>
          </cell>
        </row>
        <row r="1228">
          <cell r="A1228" t="str">
            <v>30652060</v>
          </cell>
          <cell r="B1228">
            <v>1</v>
          </cell>
          <cell r="I1228">
            <v>32500</v>
          </cell>
        </row>
        <row r="1229">
          <cell r="A1229" t="str">
            <v>30652061</v>
          </cell>
          <cell r="B1229">
            <v>0</v>
          </cell>
          <cell r="I1229">
            <v>34000</v>
          </cell>
        </row>
        <row r="1230">
          <cell r="A1230" t="str">
            <v>30653050</v>
          </cell>
          <cell r="B1230">
            <v>1</v>
          </cell>
          <cell r="I1230">
            <v>32500</v>
          </cell>
        </row>
        <row r="1231">
          <cell r="A1231" t="str">
            <v>30653051</v>
          </cell>
          <cell r="B1231">
            <v>0</v>
          </cell>
          <cell r="I1231">
            <v>34000</v>
          </cell>
        </row>
        <row r="1232">
          <cell r="A1232" t="str">
            <v>30653060</v>
          </cell>
          <cell r="B1232">
            <v>1</v>
          </cell>
          <cell r="I1232">
            <v>32500</v>
          </cell>
        </row>
        <row r="1233">
          <cell r="A1233" t="str">
            <v>30653061</v>
          </cell>
          <cell r="B1233">
            <v>0</v>
          </cell>
          <cell r="I1233">
            <v>34000</v>
          </cell>
        </row>
        <row r="1234">
          <cell r="A1234" t="str">
            <v>30650040</v>
          </cell>
          <cell r="B1234">
            <v>1</v>
          </cell>
          <cell r="I1234">
            <v>32500</v>
          </cell>
        </row>
        <row r="1235">
          <cell r="A1235" t="str">
            <v>30650041</v>
          </cell>
          <cell r="B1235">
            <v>0</v>
          </cell>
          <cell r="I1235">
            <v>34000</v>
          </cell>
        </row>
        <row r="1236">
          <cell r="A1236" t="str">
            <v>30650070</v>
          </cell>
          <cell r="B1236">
            <v>1</v>
          </cell>
          <cell r="I1236">
            <v>32500</v>
          </cell>
        </row>
        <row r="1237">
          <cell r="A1237" t="str">
            <v>30650071</v>
          </cell>
          <cell r="B1237">
            <v>0</v>
          </cell>
          <cell r="I1237">
            <v>34000</v>
          </cell>
        </row>
        <row r="1238">
          <cell r="A1238" t="str">
            <v>30700010</v>
          </cell>
          <cell r="B1238">
            <v>1</v>
          </cell>
          <cell r="I1238">
            <v>35000</v>
          </cell>
        </row>
        <row r="1239">
          <cell r="A1239" t="str">
            <v>30700020</v>
          </cell>
          <cell r="B1239">
            <v>1</v>
          </cell>
          <cell r="I1239">
            <v>35000</v>
          </cell>
        </row>
        <row r="1240">
          <cell r="A1240" t="str">
            <v>30700030</v>
          </cell>
          <cell r="B1240">
            <v>1</v>
          </cell>
          <cell r="I1240">
            <v>35000</v>
          </cell>
        </row>
        <row r="1241">
          <cell r="A1241" t="str">
            <v>30700080</v>
          </cell>
          <cell r="B1241">
            <v>1</v>
          </cell>
          <cell r="I1241">
            <v>35000</v>
          </cell>
        </row>
        <row r="1242">
          <cell r="A1242" t="str">
            <v>30700090</v>
          </cell>
          <cell r="B1242">
            <v>1</v>
          </cell>
          <cell r="I1242">
            <v>35000</v>
          </cell>
        </row>
        <row r="1243">
          <cell r="A1243" t="str">
            <v>30700100</v>
          </cell>
          <cell r="B1243">
            <v>1</v>
          </cell>
          <cell r="I1243">
            <v>35000</v>
          </cell>
        </row>
        <row r="1244">
          <cell r="A1244" t="str">
            <v>30701050</v>
          </cell>
          <cell r="B1244">
            <v>1</v>
          </cell>
          <cell r="I1244">
            <v>35000</v>
          </cell>
        </row>
        <row r="1245">
          <cell r="A1245" t="str">
            <v>30701051</v>
          </cell>
          <cell r="B1245">
            <v>0</v>
          </cell>
          <cell r="I1245">
            <v>36500</v>
          </cell>
        </row>
        <row r="1246">
          <cell r="A1246" t="str">
            <v>30701060</v>
          </cell>
          <cell r="B1246">
            <v>1</v>
          </cell>
          <cell r="I1246">
            <v>35000</v>
          </cell>
        </row>
        <row r="1247">
          <cell r="A1247" t="str">
            <v>30701061</v>
          </cell>
          <cell r="B1247">
            <v>0</v>
          </cell>
          <cell r="I1247">
            <v>36500</v>
          </cell>
        </row>
        <row r="1248">
          <cell r="A1248" t="str">
            <v>30702050</v>
          </cell>
          <cell r="B1248">
            <v>1</v>
          </cell>
          <cell r="I1248">
            <v>35000</v>
          </cell>
        </row>
        <row r="1249">
          <cell r="A1249" t="str">
            <v>30702051</v>
          </cell>
          <cell r="B1249">
            <v>0</v>
          </cell>
          <cell r="I1249">
            <v>36500</v>
          </cell>
        </row>
        <row r="1250">
          <cell r="A1250" t="str">
            <v>30702060</v>
          </cell>
          <cell r="B1250">
            <v>1</v>
          </cell>
          <cell r="I1250">
            <v>35000</v>
          </cell>
        </row>
        <row r="1251">
          <cell r="A1251" t="str">
            <v>30702061</v>
          </cell>
          <cell r="B1251">
            <v>0</v>
          </cell>
          <cell r="I1251">
            <v>36500</v>
          </cell>
        </row>
        <row r="1252">
          <cell r="A1252" t="str">
            <v>30703050</v>
          </cell>
          <cell r="B1252">
            <v>1</v>
          </cell>
          <cell r="I1252">
            <v>35000</v>
          </cell>
        </row>
        <row r="1253">
          <cell r="A1253" t="str">
            <v>30703051</v>
          </cell>
          <cell r="B1253">
            <v>0</v>
          </cell>
          <cell r="I1253">
            <v>36500</v>
          </cell>
        </row>
        <row r="1254">
          <cell r="A1254" t="str">
            <v>30703060</v>
          </cell>
          <cell r="B1254">
            <v>1</v>
          </cell>
          <cell r="I1254">
            <v>35000</v>
          </cell>
        </row>
        <row r="1255">
          <cell r="A1255" t="str">
            <v>30703061</v>
          </cell>
          <cell r="B1255">
            <v>0</v>
          </cell>
          <cell r="I1255">
            <v>36500</v>
          </cell>
        </row>
        <row r="1256">
          <cell r="A1256" t="str">
            <v>30700040</v>
          </cell>
          <cell r="B1256">
            <v>1</v>
          </cell>
          <cell r="I1256">
            <v>35000</v>
          </cell>
        </row>
        <row r="1257">
          <cell r="A1257" t="str">
            <v>30700041</v>
          </cell>
          <cell r="B1257">
            <v>0</v>
          </cell>
          <cell r="I1257">
            <v>36500</v>
          </cell>
        </row>
        <row r="1258">
          <cell r="A1258" t="str">
            <v>30700070</v>
          </cell>
          <cell r="B1258">
            <v>1</v>
          </cell>
          <cell r="I1258">
            <v>35000</v>
          </cell>
        </row>
        <row r="1259">
          <cell r="A1259" t="str">
            <v>30700071</v>
          </cell>
          <cell r="B1259">
            <v>0</v>
          </cell>
          <cell r="I1259">
            <v>36500</v>
          </cell>
        </row>
        <row r="1260">
          <cell r="A1260">
            <v>30750010</v>
          </cell>
          <cell r="B1260">
            <v>1</v>
          </cell>
          <cell r="I1260">
            <v>38000</v>
          </cell>
        </row>
        <row r="1261">
          <cell r="A1261">
            <v>30750020</v>
          </cell>
          <cell r="B1261">
            <v>1</v>
          </cell>
          <cell r="I1261">
            <v>38000</v>
          </cell>
        </row>
        <row r="1262">
          <cell r="A1262">
            <v>30750030</v>
          </cell>
          <cell r="B1262">
            <v>1</v>
          </cell>
          <cell r="I1262">
            <v>38000</v>
          </cell>
        </row>
        <row r="1263">
          <cell r="A1263">
            <v>30750080</v>
          </cell>
          <cell r="B1263">
            <v>1</v>
          </cell>
          <cell r="I1263">
            <v>38000</v>
          </cell>
        </row>
        <row r="1264">
          <cell r="A1264">
            <v>30750090</v>
          </cell>
          <cell r="B1264">
            <v>1</v>
          </cell>
          <cell r="I1264">
            <v>38000</v>
          </cell>
        </row>
        <row r="1265">
          <cell r="A1265">
            <v>30750100</v>
          </cell>
          <cell r="B1265">
            <v>1</v>
          </cell>
          <cell r="I1265">
            <v>38000</v>
          </cell>
        </row>
        <row r="1266">
          <cell r="A1266">
            <v>30751050</v>
          </cell>
          <cell r="B1266">
            <v>1</v>
          </cell>
          <cell r="I1266">
            <v>38000</v>
          </cell>
        </row>
        <row r="1267">
          <cell r="A1267">
            <v>30751051</v>
          </cell>
          <cell r="B1267">
            <v>1</v>
          </cell>
          <cell r="I1267">
            <v>39500</v>
          </cell>
        </row>
        <row r="1268">
          <cell r="A1268">
            <v>30751060</v>
          </cell>
          <cell r="B1268">
            <v>1</v>
          </cell>
          <cell r="I1268">
            <v>38000</v>
          </cell>
        </row>
        <row r="1269">
          <cell r="A1269">
            <v>30751061</v>
          </cell>
          <cell r="B1269">
            <v>1</v>
          </cell>
          <cell r="I1269">
            <v>39500</v>
          </cell>
        </row>
        <row r="1270">
          <cell r="A1270">
            <v>30752050</v>
          </cell>
          <cell r="B1270">
            <v>1</v>
          </cell>
          <cell r="I1270">
            <v>38000</v>
          </cell>
        </row>
        <row r="1271">
          <cell r="A1271">
            <v>30752051</v>
          </cell>
          <cell r="B1271">
            <v>1</v>
          </cell>
          <cell r="I1271">
            <v>39500</v>
          </cell>
        </row>
        <row r="1272">
          <cell r="A1272">
            <v>30752060</v>
          </cell>
          <cell r="B1272">
            <v>1</v>
          </cell>
          <cell r="I1272">
            <v>38000</v>
          </cell>
        </row>
        <row r="1273">
          <cell r="A1273">
            <v>30752061</v>
          </cell>
          <cell r="B1273">
            <v>1</v>
          </cell>
          <cell r="I1273">
            <v>39500</v>
          </cell>
        </row>
        <row r="1274">
          <cell r="A1274">
            <v>30753050</v>
          </cell>
          <cell r="B1274">
            <v>1</v>
          </cell>
          <cell r="I1274">
            <v>38000</v>
          </cell>
        </row>
        <row r="1275">
          <cell r="A1275">
            <v>30753051</v>
          </cell>
          <cell r="B1275">
            <v>1</v>
          </cell>
          <cell r="I1275">
            <v>39500</v>
          </cell>
        </row>
        <row r="1276">
          <cell r="A1276">
            <v>30753060</v>
          </cell>
          <cell r="B1276">
            <v>1</v>
          </cell>
          <cell r="I1276">
            <v>38000</v>
          </cell>
        </row>
        <row r="1277">
          <cell r="A1277">
            <v>30753061</v>
          </cell>
          <cell r="B1277">
            <v>1</v>
          </cell>
          <cell r="I1277">
            <v>39500</v>
          </cell>
        </row>
        <row r="1278">
          <cell r="A1278">
            <v>30750040</v>
          </cell>
          <cell r="B1278">
            <v>1</v>
          </cell>
          <cell r="I1278">
            <v>38000</v>
          </cell>
        </row>
        <row r="1279">
          <cell r="A1279">
            <v>30750041</v>
          </cell>
          <cell r="B1279">
            <v>1</v>
          </cell>
          <cell r="I1279">
            <v>39500</v>
          </cell>
        </row>
        <row r="1280">
          <cell r="A1280">
            <v>30750070</v>
          </cell>
          <cell r="B1280">
            <v>1</v>
          </cell>
          <cell r="I1280">
            <v>38000</v>
          </cell>
        </row>
        <row r="1281">
          <cell r="A1281">
            <v>30750071</v>
          </cell>
          <cell r="B1281">
            <v>1</v>
          </cell>
          <cell r="I1281">
            <v>39500</v>
          </cell>
        </row>
        <row r="1282">
          <cell r="A1282">
            <v>30800010</v>
          </cell>
          <cell r="B1282">
            <v>1</v>
          </cell>
          <cell r="I1282">
            <v>41000</v>
          </cell>
        </row>
        <row r="1283">
          <cell r="A1283">
            <v>30800020</v>
          </cell>
          <cell r="B1283">
            <v>1</v>
          </cell>
          <cell r="I1283">
            <v>41000</v>
          </cell>
        </row>
        <row r="1284">
          <cell r="A1284">
            <v>30800030</v>
          </cell>
          <cell r="B1284">
            <v>1</v>
          </cell>
          <cell r="I1284">
            <v>41000</v>
          </cell>
        </row>
        <row r="1285">
          <cell r="A1285">
            <v>30800080</v>
          </cell>
          <cell r="B1285">
            <v>1</v>
          </cell>
          <cell r="I1285">
            <v>41000</v>
          </cell>
        </row>
        <row r="1286">
          <cell r="A1286">
            <v>30800090</v>
          </cell>
          <cell r="B1286">
            <v>1</v>
          </cell>
          <cell r="I1286">
            <v>41000</v>
          </cell>
        </row>
        <row r="1287">
          <cell r="A1287">
            <v>30800100</v>
          </cell>
          <cell r="B1287">
            <v>1</v>
          </cell>
          <cell r="I1287">
            <v>41000</v>
          </cell>
        </row>
        <row r="1288">
          <cell r="A1288">
            <v>30801050</v>
          </cell>
          <cell r="B1288">
            <v>1</v>
          </cell>
          <cell r="I1288">
            <v>41000</v>
          </cell>
        </row>
        <row r="1289">
          <cell r="A1289">
            <v>30801051</v>
          </cell>
          <cell r="B1289">
            <v>1</v>
          </cell>
          <cell r="I1289">
            <v>42500</v>
          </cell>
        </row>
        <row r="1290">
          <cell r="A1290">
            <v>30801060</v>
          </cell>
          <cell r="B1290">
            <v>1</v>
          </cell>
          <cell r="I1290">
            <v>41000</v>
          </cell>
        </row>
        <row r="1291">
          <cell r="A1291">
            <v>30801061</v>
          </cell>
          <cell r="B1291">
            <v>1</v>
          </cell>
          <cell r="I1291">
            <v>42500</v>
          </cell>
        </row>
        <row r="1292">
          <cell r="A1292">
            <v>30802050</v>
          </cell>
          <cell r="B1292">
            <v>1</v>
          </cell>
          <cell r="I1292">
            <v>41000</v>
          </cell>
        </row>
        <row r="1293">
          <cell r="A1293">
            <v>30802051</v>
          </cell>
          <cell r="B1293">
            <v>1</v>
          </cell>
          <cell r="I1293">
            <v>42500</v>
          </cell>
        </row>
        <row r="1294">
          <cell r="A1294">
            <v>30802060</v>
          </cell>
          <cell r="B1294">
            <v>1</v>
          </cell>
          <cell r="I1294">
            <v>41000</v>
          </cell>
        </row>
        <row r="1295">
          <cell r="A1295">
            <v>30802061</v>
          </cell>
          <cell r="B1295">
            <v>1</v>
          </cell>
          <cell r="I1295">
            <v>42500</v>
          </cell>
        </row>
        <row r="1296">
          <cell r="A1296">
            <v>30803050</v>
          </cell>
          <cell r="B1296">
            <v>1</v>
          </cell>
          <cell r="I1296">
            <v>41000</v>
          </cell>
        </row>
        <row r="1297">
          <cell r="A1297">
            <v>30803051</v>
          </cell>
          <cell r="B1297">
            <v>1</v>
          </cell>
          <cell r="I1297">
            <v>42500</v>
          </cell>
        </row>
        <row r="1298">
          <cell r="A1298">
            <v>30803060</v>
          </cell>
          <cell r="B1298">
            <v>1</v>
          </cell>
          <cell r="I1298">
            <v>41000</v>
          </cell>
        </row>
        <row r="1299">
          <cell r="A1299">
            <v>30803061</v>
          </cell>
          <cell r="B1299">
            <v>1</v>
          </cell>
          <cell r="I1299">
            <v>42500</v>
          </cell>
        </row>
        <row r="1300">
          <cell r="A1300">
            <v>30800040</v>
          </cell>
          <cell r="B1300">
            <v>1</v>
          </cell>
          <cell r="I1300">
            <v>41000</v>
          </cell>
        </row>
        <row r="1301">
          <cell r="A1301">
            <v>30800041</v>
          </cell>
          <cell r="B1301">
            <v>1</v>
          </cell>
          <cell r="I1301">
            <v>42500</v>
          </cell>
        </row>
        <row r="1302">
          <cell r="A1302">
            <v>30800070</v>
          </cell>
          <cell r="B1302">
            <v>1</v>
          </cell>
          <cell r="I1302">
            <v>41000</v>
          </cell>
        </row>
        <row r="1303">
          <cell r="A1303">
            <v>30800071</v>
          </cell>
          <cell r="B1303">
            <v>1</v>
          </cell>
          <cell r="I1303">
            <v>42500</v>
          </cell>
        </row>
        <row r="1304">
          <cell r="A1304">
            <v>30850010</v>
          </cell>
          <cell r="B1304">
            <v>1</v>
          </cell>
          <cell r="I1304">
            <v>44000</v>
          </cell>
        </row>
        <row r="1305">
          <cell r="A1305">
            <v>30850020</v>
          </cell>
          <cell r="B1305">
            <v>1</v>
          </cell>
          <cell r="I1305">
            <v>44000</v>
          </cell>
        </row>
        <row r="1306">
          <cell r="A1306">
            <v>30850030</v>
          </cell>
          <cell r="B1306">
            <v>1</v>
          </cell>
          <cell r="I1306">
            <v>44000</v>
          </cell>
        </row>
        <row r="1307">
          <cell r="A1307">
            <v>30850080</v>
          </cell>
          <cell r="B1307">
            <v>1</v>
          </cell>
          <cell r="I1307">
            <v>44000</v>
          </cell>
        </row>
        <row r="1308">
          <cell r="A1308">
            <v>30850090</v>
          </cell>
          <cell r="B1308">
            <v>1</v>
          </cell>
          <cell r="I1308">
            <v>44000</v>
          </cell>
        </row>
        <row r="1309">
          <cell r="A1309">
            <v>30850100</v>
          </cell>
          <cell r="B1309">
            <v>1</v>
          </cell>
          <cell r="I1309">
            <v>44000</v>
          </cell>
        </row>
        <row r="1310">
          <cell r="A1310">
            <v>30851050</v>
          </cell>
          <cell r="B1310">
            <v>1</v>
          </cell>
          <cell r="I1310">
            <v>44000</v>
          </cell>
        </row>
        <row r="1311">
          <cell r="A1311">
            <v>30851051</v>
          </cell>
          <cell r="B1311">
            <v>1</v>
          </cell>
          <cell r="I1311">
            <v>45500</v>
          </cell>
        </row>
        <row r="1312">
          <cell r="A1312">
            <v>30851060</v>
          </cell>
          <cell r="B1312">
            <v>1</v>
          </cell>
          <cell r="I1312">
            <v>44000</v>
          </cell>
        </row>
        <row r="1313">
          <cell r="A1313">
            <v>30851061</v>
          </cell>
          <cell r="B1313">
            <v>1</v>
          </cell>
          <cell r="I1313">
            <v>45500</v>
          </cell>
        </row>
        <row r="1314">
          <cell r="A1314">
            <v>30852050</v>
          </cell>
          <cell r="B1314">
            <v>1</v>
          </cell>
          <cell r="I1314">
            <v>44000</v>
          </cell>
        </row>
        <row r="1315">
          <cell r="A1315">
            <v>30852051</v>
          </cell>
          <cell r="B1315">
            <v>1</v>
          </cell>
          <cell r="I1315">
            <v>45500</v>
          </cell>
        </row>
        <row r="1316">
          <cell r="A1316">
            <v>30852060</v>
          </cell>
          <cell r="B1316">
            <v>1</v>
          </cell>
          <cell r="I1316">
            <v>44000</v>
          </cell>
        </row>
        <row r="1317">
          <cell r="A1317">
            <v>30852061</v>
          </cell>
          <cell r="B1317">
            <v>1</v>
          </cell>
          <cell r="I1317">
            <v>45500</v>
          </cell>
        </row>
        <row r="1318">
          <cell r="A1318">
            <v>30853050</v>
          </cell>
          <cell r="B1318">
            <v>1</v>
          </cell>
          <cell r="I1318">
            <v>44000</v>
          </cell>
        </row>
        <row r="1319">
          <cell r="A1319">
            <v>30853051</v>
          </cell>
          <cell r="B1319">
            <v>1</v>
          </cell>
          <cell r="I1319">
            <v>45500</v>
          </cell>
        </row>
        <row r="1320">
          <cell r="A1320">
            <v>30853060</v>
          </cell>
          <cell r="B1320">
            <v>1</v>
          </cell>
          <cell r="I1320">
            <v>44000</v>
          </cell>
        </row>
        <row r="1321">
          <cell r="A1321">
            <v>30853061</v>
          </cell>
          <cell r="B1321">
            <v>1</v>
          </cell>
          <cell r="I1321">
            <v>45500</v>
          </cell>
        </row>
        <row r="1322">
          <cell r="A1322">
            <v>30850040</v>
          </cell>
          <cell r="B1322">
            <v>1</v>
          </cell>
          <cell r="I1322">
            <v>44000</v>
          </cell>
        </row>
        <row r="1323">
          <cell r="A1323">
            <v>30850041</v>
          </cell>
          <cell r="B1323">
            <v>1</v>
          </cell>
          <cell r="I1323">
            <v>45500</v>
          </cell>
        </row>
        <row r="1324">
          <cell r="A1324">
            <v>30850070</v>
          </cell>
          <cell r="B1324">
            <v>1</v>
          </cell>
          <cell r="I1324">
            <v>44000</v>
          </cell>
        </row>
        <row r="1325">
          <cell r="A1325">
            <v>30850071</v>
          </cell>
          <cell r="B1325">
            <v>1</v>
          </cell>
          <cell r="I1325">
            <v>45500</v>
          </cell>
        </row>
        <row r="1326">
          <cell r="A1326">
            <v>30900010</v>
          </cell>
          <cell r="B1326">
            <v>1</v>
          </cell>
          <cell r="I1326">
            <v>47000</v>
          </cell>
        </row>
        <row r="1327">
          <cell r="A1327">
            <v>30900020</v>
          </cell>
          <cell r="B1327">
            <v>1</v>
          </cell>
          <cell r="I1327">
            <v>47000</v>
          </cell>
        </row>
        <row r="1328">
          <cell r="A1328">
            <v>30900030</v>
          </cell>
          <cell r="B1328">
            <v>1</v>
          </cell>
          <cell r="I1328">
            <v>47000</v>
          </cell>
        </row>
        <row r="1329">
          <cell r="A1329">
            <v>30900080</v>
          </cell>
          <cell r="B1329">
            <v>1</v>
          </cell>
          <cell r="I1329">
            <v>47000</v>
          </cell>
        </row>
        <row r="1330">
          <cell r="A1330">
            <v>30900090</v>
          </cell>
          <cell r="B1330">
            <v>1</v>
          </cell>
          <cell r="I1330">
            <v>47000</v>
          </cell>
        </row>
        <row r="1331">
          <cell r="A1331">
            <v>30900100</v>
          </cell>
          <cell r="B1331">
            <v>1</v>
          </cell>
          <cell r="I1331">
            <v>47000</v>
          </cell>
        </row>
        <row r="1332">
          <cell r="A1332">
            <v>30901050</v>
          </cell>
          <cell r="B1332">
            <v>1</v>
          </cell>
          <cell r="I1332">
            <v>47000</v>
          </cell>
        </row>
        <row r="1333">
          <cell r="A1333">
            <v>30901051</v>
          </cell>
          <cell r="B1333">
            <v>1</v>
          </cell>
          <cell r="I1333">
            <v>48500</v>
          </cell>
        </row>
        <row r="1334">
          <cell r="A1334">
            <v>30901060</v>
          </cell>
          <cell r="B1334">
            <v>1</v>
          </cell>
          <cell r="I1334">
            <v>47000</v>
          </cell>
        </row>
        <row r="1335">
          <cell r="A1335">
            <v>30901061</v>
          </cell>
          <cell r="B1335">
            <v>1</v>
          </cell>
          <cell r="I1335">
            <v>48500</v>
          </cell>
        </row>
        <row r="1336">
          <cell r="A1336">
            <v>30902050</v>
          </cell>
          <cell r="B1336">
            <v>1</v>
          </cell>
          <cell r="I1336">
            <v>47000</v>
          </cell>
        </row>
        <row r="1337">
          <cell r="A1337">
            <v>30902051</v>
          </cell>
          <cell r="B1337">
            <v>1</v>
          </cell>
          <cell r="I1337">
            <v>48500</v>
          </cell>
        </row>
        <row r="1338">
          <cell r="A1338">
            <v>30902060</v>
          </cell>
          <cell r="B1338">
            <v>1</v>
          </cell>
          <cell r="I1338">
            <v>47000</v>
          </cell>
        </row>
        <row r="1339">
          <cell r="A1339">
            <v>30902061</v>
          </cell>
          <cell r="B1339">
            <v>1</v>
          </cell>
          <cell r="I1339">
            <v>48500</v>
          </cell>
        </row>
        <row r="1340">
          <cell r="A1340">
            <v>30903050</v>
          </cell>
          <cell r="B1340">
            <v>1</v>
          </cell>
          <cell r="I1340">
            <v>47000</v>
          </cell>
        </row>
        <row r="1341">
          <cell r="A1341">
            <v>30903051</v>
          </cell>
          <cell r="B1341">
            <v>1</v>
          </cell>
          <cell r="I1341">
            <v>48500</v>
          </cell>
        </row>
        <row r="1342">
          <cell r="A1342">
            <v>30903060</v>
          </cell>
          <cell r="B1342">
            <v>1</v>
          </cell>
          <cell r="I1342">
            <v>47000</v>
          </cell>
        </row>
        <row r="1343">
          <cell r="A1343">
            <v>30903061</v>
          </cell>
          <cell r="B1343">
            <v>1</v>
          </cell>
          <cell r="I1343">
            <v>48500</v>
          </cell>
        </row>
        <row r="1344">
          <cell r="A1344">
            <v>30900040</v>
          </cell>
          <cell r="B1344">
            <v>1</v>
          </cell>
          <cell r="I1344">
            <v>47000</v>
          </cell>
        </row>
        <row r="1345">
          <cell r="A1345">
            <v>30900041</v>
          </cell>
          <cell r="B1345">
            <v>1</v>
          </cell>
          <cell r="I1345">
            <v>48500</v>
          </cell>
        </row>
        <row r="1346">
          <cell r="A1346">
            <v>30900070</v>
          </cell>
          <cell r="B1346">
            <v>1</v>
          </cell>
          <cell r="I1346">
            <v>47000</v>
          </cell>
        </row>
        <row r="1347">
          <cell r="A1347">
            <v>30900071</v>
          </cell>
          <cell r="B1347">
            <v>1</v>
          </cell>
          <cell r="I1347">
            <v>48500</v>
          </cell>
        </row>
        <row r="1348">
          <cell r="A1348">
            <v>30950010</v>
          </cell>
          <cell r="B1348">
            <v>1</v>
          </cell>
          <cell r="I1348">
            <v>50000</v>
          </cell>
        </row>
        <row r="1349">
          <cell r="A1349">
            <v>30950020</v>
          </cell>
          <cell r="B1349">
            <v>1</v>
          </cell>
          <cell r="I1349">
            <v>50000</v>
          </cell>
        </row>
        <row r="1350">
          <cell r="A1350">
            <v>30950030</v>
          </cell>
          <cell r="B1350">
            <v>1</v>
          </cell>
          <cell r="I1350">
            <v>50000</v>
          </cell>
        </row>
        <row r="1351">
          <cell r="A1351">
            <v>30950080</v>
          </cell>
          <cell r="B1351">
            <v>1</v>
          </cell>
          <cell r="I1351">
            <v>50000</v>
          </cell>
        </row>
        <row r="1352">
          <cell r="A1352">
            <v>30950090</v>
          </cell>
          <cell r="B1352">
            <v>1</v>
          </cell>
          <cell r="I1352">
            <v>50000</v>
          </cell>
        </row>
        <row r="1353">
          <cell r="A1353">
            <v>30950100</v>
          </cell>
          <cell r="B1353">
            <v>1</v>
          </cell>
          <cell r="I1353">
            <v>50000</v>
          </cell>
        </row>
        <row r="1354">
          <cell r="A1354">
            <v>30951050</v>
          </cell>
          <cell r="B1354">
            <v>1</v>
          </cell>
          <cell r="I1354">
            <v>50000</v>
          </cell>
        </row>
        <row r="1355">
          <cell r="A1355">
            <v>30951051</v>
          </cell>
          <cell r="B1355">
            <v>1</v>
          </cell>
          <cell r="I1355">
            <v>51500</v>
          </cell>
        </row>
        <row r="1356">
          <cell r="A1356">
            <v>30951060</v>
          </cell>
          <cell r="B1356">
            <v>1</v>
          </cell>
          <cell r="I1356">
            <v>50000</v>
          </cell>
        </row>
        <row r="1357">
          <cell r="A1357">
            <v>30951061</v>
          </cell>
          <cell r="B1357">
            <v>1</v>
          </cell>
          <cell r="I1357">
            <v>51500</v>
          </cell>
        </row>
        <row r="1358">
          <cell r="A1358">
            <v>30952050</v>
          </cell>
          <cell r="B1358">
            <v>1</v>
          </cell>
          <cell r="I1358">
            <v>50000</v>
          </cell>
        </row>
        <row r="1359">
          <cell r="A1359">
            <v>30952051</v>
          </cell>
          <cell r="B1359">
            <v>1</v>
          </cell>
          <cell r="I1359">
            <v>51500</v>
          </cell>
        </row>
        <row r="1360">
          <cell r="A1360">
            <v>30952060</v>
          </cell>
          <cell r="B1360">
            <v>1</v>
          </cell>
          <cell r="I1360">
            <v>50000</v>
          </cell>
        </row>
        <row r="1361">
          <cell r="A1361">
            <v>30952061</v>
          </cell>
          <cell r="B1361">
            <v>1</v>
          </cell>
          <cell r="I1361">
            <v>51500</v>
          </cell>
        </row>
        <row r="1362">
          <cell r="A1362">
            <v>30953050</v>
          </cell>
          <cell r="B1362">
            <v>1</v>
          </cell>
          <cell r="I1362">
            <v>50000</v>
          </cell>
        </row>
        <row r="1363">
          <cell r="A1363">
            <v>30953051</v>
          </cell>
          <cell r="B1363">
            <v>1</v>
          </cell>
          <cell r="I1363">
            <v>51500</v>
          </cell>
        </row>
        <row r="1364">
          <cell r="A1364">
            <v>30953060</v>
          </cell>
          <cell r="B1364">
            <v>1</v>
          </cell>
          <cell r="I1364">
            <v>50000</v>
          </cell>
        </row>
        <row r="1365">
          <cell r="A1365">
            <v>30953061</v>
          </cell>
          <cell r="B1365">
            <v>1</v>
          </cell>
          <cell r="I1365">
            <v>51500</v>
          </cell>
        </row>
        <row r="1366">
          <cell r="A1366">
            <v>30950040</v>
          </cell>
          <cell r="B1366">
            <v>1</v>
          </cell>
          <cell r="I1366">
            <v>50000</v>
          </cell>
        </row>
        <row r="1367">
          <cell r="A1367">
            <v>30950041</v>
          </cell>
          <cell r="B1367">
            <v>1</v>
          </cell>
          <cell r="I1367">
            <v>51500</v>
          </cell>
        </row>
        <row r="1368">
          <cell r="A1368">
            <v>30950070</v>
          </cell>
          <cell r="B1368">
            <v>1</v>
          </cell>
          <cell r="I1368">
            <v>50000</v>
          </cell>
        </row>
        <row r="1369">
          <cell r="A1369">
            <v>30950071</v>
          </cell>
          <cell r="B1369">
            <v>1</v>
          </cell>
          <cell r="I1369">
            <v>51500</v>
          </cell>
        </row>
        <row r="1370">
          <cell r="A1370">
            <v>31000010</v>
          </cell>
          <cell r="B1370">
            <v>1</v>
          </cell>
          <cell r="I1370">
            <v>53000</v>
          </cell>
        </row>
        <row r="1371">
          <cell r="A1371">
            <v>31000020</v>
          </cell>
          <cell r="B1371">
            <v>1</v>
          </cell>
          <cell r="I1371">
            <v>53000</v>
          </cell>
        </row>
        <row r="1372">
          <cell r="A1372">
            <v>31000030</v>
          </cell>
          <cell r="B1372">
            <v>1</v>
          </cell>
          <cell r="I1372">
            <v>53000</v>
          </cell>
        </row>
        <row r="1373">
          <cell r="A1373">
            <v>31000080</v>
          </cell>
          <cell r="B1373">
            <v>1</v>
          </cell>
          <cell r="I1373">
            <v>53000</v>
          </cell>
        </row>
        <row r="1374">
          <cell r="A1374">
            <v>31000090</v>
          </cell>
          <cell r="B1374">
            <v>1</v>
          </cell>
          <cell r="I1374">
            <v>53000</v>
          </cell>
        </row>
        <row r="1375">
          <cell r="A1375">
            <v>31000100</v>
          </cell>
          <cell r="B1375">
            <v>1</v>
          </cell>
          <cell r="I1375">
            <v>53000</v>
          </cell>
        </row>
        <row r="1376">
          <cell r="A1376">
            <v>31001050</v>
          </cell>
          <cell r="B1376">
            <v>1</v>
          </cell>
          <cell r="I1376">
            <v>53000</v>
          </cell>
        </row>
        <row r="1377">
          <cell r="A1377">
            <v>31001051</v>
          </cell>
          <cell r="B1377">
            <v>0</v>
          </cell>
          <cell r="I1377">
            <v>54500</v>
          </cell>
        </row>
        <row r="1378">
          <cell r="A1378">
            <v>31001060</v>
          </cell>
          <cell r="B1378">
            <v>1</v>
          </cell>
          <cell r="I1378">
            <v>53000</v>
          </cell>
        </row>
        <row r="1379">
          <cell r="A1379">
            <v>31001061</v>
          </cell>
          <cell r="B1379">
            <v>0</v>
          </cell>
          <cell r="I1379">
            <v>54500</v>
          </cell>
        </row>
        <row r="1380">
          <cell r="A1380">
            <v>31002050</v>
          </cell>
          <cell r="B1380">
            <v>1</v>
          </cell>
          <cell r="I1380">
            <v>53000</v>
          </cell>
        </row>
        <row r="1381">
          <cell r="A1381">
            <v>31002051</v>
          </cell>
          <cell r="B1381">
            <v>0</v>
          </cell>
          <cell r="I1381">
            <v>54500</v>
          </cell>
        </row>
        <row r="1382">
          <cell r="A1382">
            <v>31002060</v>
          </cell>
          <cell r="B1382">
            <v>1</v>
          </cell>
          <cell r="I1382">
            <v>53000</v>
          </cell>
        </row>
        <row r="1383">
          <cell r="A1383">
            <v>31002061</v>
          </cell>
          <cell r="B1383">
            <v>0</v>
          </cell>
          <cell r="I1383">
            <v>54500</v>
          </cell>
        </row>
        <row r="1384">
          <cell r="A1384">
            <v>31003050</v>
          </cell>
          <cell r="B1384">
            <v>1</v>
          </cell>
          <cell r="I1384">
            <v>53000</v>
          </cell>
        </row>
        <row r="1385">
          <cell r="A1385">
            <v>31003051</v>
          </cell>
          <cell r="B1385">
            <v>0</v>
          </cell>
          <cell r="I1385">
            <v>54500</v>
          </cell>
        </row>
        <row r="1386">
          <cell r="A1386">
            <v>31003060</v>
          </cell>
          <cell r="B1386">
            <v>1</v>
          </cell>
          <cell r="I1386">
            <v>53000</v>
          </cell>
        </row>
        <row r="1387">
          <cell r="A1387">
            <v>31003061</v>
          </cell>
          <cell r="B1387">
            <v>0</v>
          </cell>
          <cell r="I1387">
            <v>54500</v>
          </cell>
        </row>
        <row r="1388">
          <cell r="A1388">
            <v>31000040</v>
          </cell>
          <cell r="B1388">
            <v>1</v>
          </cell>
          <cell r="I1388">
            <v>53000</v>
          </cell>
        </row>
        <row r="1389">
          <cell r="A1389">
            <v>31000041</v>
          </cell>
          <cell r="B1389">
            <v>1</v>
          </cell>
          <cell r="I1389">
            <v>54500</v>
          </cell>
        </row>
        <row r="1390">
          <cell r="A1390">
            <v>31000070</v>
          </cell>
          <cell r="B1390">
            <v>1</v>
          </cell>
          <cell r="I1390">
            <v>53000</v>
          </cell>
        </row>
        <row r="1391">
          <cell r="A1391">
            <v>31000071</v>
          </cell>
          <cell r="B1391">
            <v>1</v>
          </cell>
          <cell r="I1391">
            <v>54500</v>
          </cell>
        </row>
        <row r="1392">
          <cell r="A1392" t="str">
            <v>40010010</v>
          </cell>
          <cell r="B1392">
            <v>0</v>
          </cell>
          <cell r="I1392">
            <v>1000</v>
          </cell>
        </row>
        <row r="1393">
          <cell r="A1393" t="str">
            <v>40010020</v>
          </cell>
          <cell r="B1393">
            <v>0</v>
          </cell>
          <cell r="I1393">
            <v>1000</v>
          </cell>
        </row>
        <row r="1394">
          <cell r="A1394" t="str">
            <v>40010030</v>
          </cell>
          <cell r="B1394">
            <v>0</v>
          </cell>
          <cell r="I1394">
            <v>1000</v>
          </cell>
        </row>
        <row r="1395">
          <cell r="A1395" t="str">
            <v>40010080</v>
          </cell>
          <cell r="B1395">
            <v>1</v>
          </cell>
          <cell r="I1395">
            <v>1000</v>
          </cell>
        </row>
        <row r="1396">
          <cell r="A1396" t="str">
            <v>40010090</v>
          </cell>
          <cell r="B1396">
            <v>1</v>
          </cell>
          <cell r="I1396">
            <v>1000</v>
          </cell>
        </row>
        <row r="1397">
          <cell r="A1397" t="str">
            <v>40010100</v>
          </cell>
          <cell r="B1397">
            <v>0</v>
          </cell>
          <cell r="I1397">
            <v>1000</v>
          </cell>
        </row>
        <row r="1398">
          <cell r="A1398" t="str">
            <v>40011050</v>
          </cell>
          <cell r="B1398">
            <v>1</v>
          </cell>
          <cell r="I1398">
            <v>1000</v>
          </cell>
        </row>
        <row r="1399">
          <cell r="A1399" t="str">
            <v>40011051</v>
          </cell>
          <cell r="B1399">
            <v>1</v>
          </cell>
          <cell r="I1399">
            <v>4000</v>
          </cell>
        </row>
        <row r="1400">
          <cell r="A1400" t="str">
            <v>40011060</v>
          </cell>
          <cell r="B1400">
            <v>1</v>
          </cell>
          <cell r="I1400">
            <v>1000</v>
          </cell>
        </row>
        <row r="1401">
          <cell r="A1401" t="str">
            <v>40011061</v>
          </cell>
          <cell r="B1401">
            <v>0</v>
          </cell>
          <cell r="I1401">
            <v>4000</v>
          </cell>
        </row>
        <row r="1402">
          <cell r="A1402" t="str">
            <v>40012050</v>
          </cell>
          <cell r="B1402">
            <v>1</v>
          </cell>
          <cell r="I1402">
            <v>1000</v>
          </cell>
        </row>
        <row r="1403">
          <cell r="A1403" t="str">
            <v>40012051</v>
          </cell>
          <cell r="B1403">
            <v>1</v>
          </cell>
          <cell r="I1403">
            <v>4000</v>
          </cell>
        </row>
        <row r="1404">
          <cell r="A1404" t="str">
            <v>40012060</v>
          </cell>
          <cell r="B1404">
            <v>1</v>
          </cell>
          <cell r="I1404">
            <v>1000</v>
          </cell>
        </row>
        <row r="1405">
          <cell r="A1405" t="str">
            <v>40012061</v>
          </cell>
          <cell r="B1405">
            <v>0</v>
          </cell>
          <cell r="I1405">
            <v>4000</v>
          </cell>
        </row>
        <row r="1406">
          <cell r="A1406" t="str">
            <v>40013050</v>
          </cell>
          <cell r="B1406">
            <v>1</v>
          </cell>
          <cell r="I1406">
            <v>1000</v>
          </cell>
        </row>
        <row r="1407">
          <cell r="A1407" t="str">
            <v>40013051</v>
          </cell>
          <cell r="B1407">
            <v>1</v>
          </cell>
          <cell r="I1407">
            <v>4000</v>
          </cell>
        </row>
        <row r="1408">
          <cell r="A1408" t="str">
            <v>40013060</v>
          </cell>
          <cell r="B1408">
            <v>1</v>
          </cell>
          <cell r="I1408">
            <v>1000</v>
          </cell>
        </row>
        <row r="1409">
          <cell r="A1409" t="str">
            <v>40013061</v>
          </cell>
          <cell r="B1409">
            <v>0</v>
          </cell>
          <cell r="I1409">
            <v>4000</v>
          </cell>
        </row>
        <row r="1410">
          <cell r="A1410" t="str">
            <v>40010040</v>
          </cell>
          <cell r="B1410">
            <v>1</v>
          </cell>
          <cell r="I1410">
            <v>1000</v>
          </cell>
        </row>
        <row r="1411">
          <cell r="A1411" t="str">
            <v>40010041</v>
          </cell>
          <cell r="B1411">
            <v>0</v>
          </cell>
          <cell r="I1411">
            <v>4000</v>
          </cell>
        </row>
        <row r="1412">
          <cell r="A1412" t="str">
            <v>40010070</v>
          </cell>
          <cell r="B1412">
            <v>0</v>
          </cell>
          <cell r="I1412">
            <v>1000</v>
          </cell>
        </row>
        <row r="1413">
          <cell r="A1413" t="str">
            <v>40010071</v>
          </cell>
          <cell r="B1413">
            <v>0</v>
          </cell>
          <cell r="I1413">
            <v>4000</v>
          </cell>
        </row>
        <row r="1414">
          <cell r="A1414" t="str">
            <v>40050010</v>
          </cell>
          <cell r="B1414">
            <v>1</v>
          </cell>
          <cell r="I1414">
            <v>5000</v>
          </cell>
        </row>
        <row r="1415">
          <cell r="A1415" t="str">
            <v>40050020</v>
          </cell>
          <cell r="B1415">
            <v>1</v>
          </cell>
          <cell r="I1415">
            <v>5000</v>
          </cell>
        </row>
        <row r="1416">
          <cell r="A1416" t="str">
            <v>40050030</v>
          </cell>
          <cell r="B1416">
            <v>1</v>
          </cell>
          <cell r="I1416">
            <v>5000</v>
          </cell>
        </row>
        <row r="1417">
          <cell r="A1417" t="str">
            <v>40050080</v>
          </cell>
          <cell r="B1417">
            <v>0</v>
          </cell>
          <cell r="I1417">
            <v>5000</v>
          </cell>
        </row>
        <row r="1418">
          <cell r="A1418" t="str">
            <v>40050090</v>
          </cell>
          <cell r="B1418">
            <v>0</v>
          </cell>
          <cell r="I1418">
            <v>5000</v>
          </cell>
        </row>
        <row r="1419">
          <cell r="A1419" t="str">
            <v>40050100</v>
          </cell>
          <cell r="B1419">
            <v>1</v>
          </cell>
          <cell r="I1419">
            <v>5000</v>
          </cell>
        </row>
        <row r="1420">
          <cell r="A1420" t="str">
            <v>40051050</v>
          </cell>
          <cell r="B1420">
            <v>1</v>
          </cell>
          <cell r="I1420">
            <v>5000</v>
          </cell>
        </row>
        <row r="1421">
          <cell r="A1421" t="str">
            <v>40051051</v>
          </cell>
          <cell r="B1421">
            <v>1</v>
          </cell>
          <cell r="I1421">
            <v>8000</v>
          </cell>
        </row>
        <row r="1422">
          <cell r="A1422" t="str">
            <v>40051060</v>
          </cell>
          <cell r="B1422">
            <v>1</v>
          </cell>
          <cell r="I1422">
            <v>5000</v>
          </cell>
        </row>
        <row r="1423">
          <cell r="A1423" t="str">
            <v>40051061</v>
          </cell>
          <cell r="B1423">
            <v>0</v>
          </cell>
          <cell r="I1423">
            <v>8000</v>
          </cell>
        </row>
        <row r="1424">
          <cell r="A1424" t="str">
            <v>40052050</v>
          </cell>
          <cell r="B1424">
            <v>1</v>
          </cell>
          <cell r="I1424">
            <v>5000</v>
          </cell>
        </row>
        <row r="1425">
          <cell r="A1425" t="str">
            <v>40052051</v>
          </cell>
          <cell r="B1425">
            <v>1</v>
          </cell>
          <cell r="I1425">
            <v>8000</v>
          </cell>
        </row>
        <row r="1426">
          <cell r="A1426" t="str">
            <v>40052060</v>
          </cell>
          <cell r="B1426">
            <v>1</v>
          </cell>
          <cell r="I1426">
            <v>5000</v>
          </cell>
        </row>
        <row r="1427">
          <cell r="A1427" t="str">
            <v>40052061</v>
          </cell>
          <cell r="B1427">
            <v>0</v>
          </cell>
          <cell r="I1427">
            <v>8000</v>
          </cell>
        </row>
        <row r="1428">
          <cell r="A1428" t="str">
            <v>40053050</v>
          </cell>
          <cell r="B1428">
            <v>1</v>
          </cell>
          <cell r="I1428">
            <v>5000</v>
          </cell>
        </row>
        <row r="1429">
          <cell r="A1429" t="str">
            <v>40053051</v>
          </cell>
          <cell r="B1429">
            <v>1</v>
          </cell>
          <cell r="I1429">
            <v>8000</v>
          </cell>
        </row>
        <row r="1430">
          <cell r="A1430" t="str">
            <v>40053060</v>
          </cell>
          <cell r="B1430">
            <v>1</v>
          </cell>
          <cell r="I1430">
            <v>5000</v>
          </cell>
        </row>
        <row r="1431">
          <cell r="A1431" t="str">
            <v>40053061</v>
          </cell>
          <cell r="B1431">
            <v>0</v>
          </cell>
          <cell r="I1431">
            <v>8000</v>
          </cell>
        </row>
        <row r="1432">
          <cell r="A1432" t="str">
            <v>40050040</v>
          </cell>
          <cell r="B1432">
            <v>1</v>
          </cell>
          <cell r="I1432">
            <v>5000</v>
          </cell>
        </row>
        <row r="1433">
          <cell r="A1433" t="str">
            <v>40050041</v>
          </cell>
          <cell r="B1433">
            <v>1</v>
          </cell>
          <cell r="I1433">
            <v>8000</v>
          </cell>
        </row>
        <row r="1434">
          <cell r="A1434" t="str">
            <v>40050070</v>
          </cell>
          <cell r="B1434">
            <v>1</v>
          </cell>
          <cell r="I1434">
            <v>5000</v>
          </cell>
        </row>
        <row r="1435">
          <cell r="A1435" t="str">
            <v>40050071</v>
          </cell>
          <cell r="B1435">
            <v>1</v>
          </cell>
          <cell r="I1435">
            <v>8000</v>
          </cell>
        </row>
        <row r="1436">
          <cell r="A1436" t="str">
            <v>40100010</v>
          </cell>
          <cell r="B1436">
            <v>1</v>
          </cell>
          <cell r="I1436">
            <v>10000</v>
          </cell>
        </row>
        <row r="1437">
          <cell r="A1437" t="str">
            <v>40100020</v>
          </cell>
          <cell r="B1437">
            <v>1</v>
          </cell>
          <cell r="I1437">
            <v>10000</v>
          </cell>
        </row>
        <row r="1438">
          <cell r="A1438" t="str">
            <v>40100030</v>
          </cell>
          <cell r="B1438">
            <v>1</v>
          </cell>
          <cell r="I1438">
            <v>10000</v>
          </cell>
        </row>
        <row r="1439">
          <cell r="A1439" t="str">
            <v>40100080</v>
          </cell>
          <cell r="B1439">
            <v>1</v>
          </cell>
          <cell r="I1439">
            <v>10000</v>
          </cell>
        </row>
        <row r="1440">
          <cell r="A1440" t="str">
            <v>40100090</v>
          </cell>
          <cell r="B1440">
            <v>1</v>
          </cell>
          <cell r="I1440">
            <v>10000</v>
          </cell>
        </row>
        <row r="1441">
          <cell r="A1441" t="str">
            <v>40100100</v>
          </cell>
          <cell r="B1441">
            <v>0</v>
          </cell>
          <cell r="I1441">
            <v>10000</v>
          </cell>
        </row>
        <row r="1442">
          <cell r="A1442" t="str">
            <v>40101050</v>
          </cell>
          <cell r="B1442">
            <v>1</v>
          </cell>
          <cell r="I1442">
            <v>10000</v>
          </cell>
        </row>
        <row r="1443">
          <cell r="A1443" t="str">
            <v>40101051</v>
          </cell>
          <cell r="B1443">
            <v>1</v>
          </cell>
          <cell r="I1443">
            <v>13000</v>
          </cell>
        </row>
        <row r="1444">
          <cell r="A1444" t="str">
            <v>40101060</v>
          </cell>
          <cell r="B1444">
            <v>1</v>
          </cell>
          <cell r="I1444">
            <v>10000</v>
          </cell>
        </row>
        <row r="1445">
          <cell r="A1445" t="str">
            <v>40101061</v>
          </cell>
          <cell r="B1445">
            <v>0</v>
          </cell>
          <cell r="I1445">
            <v>13000</v>
          </cell>
        </row>
        <row r="1446">
          <cell r="A1446" t="str">
            <v>40102050</v>
          </cell>
          <cell r="B1446">
            <v>1</v>
          </cell>
          <cell r="I1446">
            <v>10000</v>
          </cell>
        </row>
        <row r="1447">
          <cell r="A1447" t="str">
            <v>40102051</v>
          </cell>
          <cell r="B1447">
            <v>1</v>
          </cell>
          <cell r="I1447">
            <v>13000</v>
          </cell>
        </row>
        <row r="1448">
          <cell r="A1448" t="str">
            <v>40102060</v>
          </cell>
          <cell r="B1448">
            <v>1</v>
          </cell>
          <cell r="I1448">
            <v>10000</v>
          </cell>
        </row>
        <row r="1449">
          <cell r="A1449" t="str">
            <v>40102061</v>
          </cell>
          <cell r="B1449">
            <v>0</v>
          </cell>
          <cell r="I1449">
            <v>13000</v>
          </cell>
        </row>
        <row r="1450">
          <cell r="A1450" t="str">
            <v>40103050</v>
          </cell>
          <cell r="B1450">
            <v>1</v>
          </cell>
          <cell r="I1450">
            <v>10000</v>
          </cell>
        </row>
        <row r="1451">
          <cell r="A1451" t="str">
            <v>40103051</v>
          </cell>
          <cell r="B1451">
            <v>1</v>
          </cell>
          <cell r="I1451">
            <v>13000</v>
          </cell>
        </row>
        <row r="1452">
          <cell r="A1452" t="str">
            <v>40103060</v>
          </cell>
          <cell r="B1452">
            <v>1</v>
          </cell>
          <cell r="I1452">
            <v>10000</v>
          </cell>
        </row>
        <row r="1453">
          <cell r="A1453" t="str">
            <v>40103061</v>
          </cell>
          <cell r="B1453">
            <v>0</v>
          </cell>
          <cell r="I1453">
            <v>13000</v>
          </cell>
        </row>
        <row r="1454">
          <cell r="A1454" t="str">
            <v>40100040</v>
          </cell>
          <cell r="B1454">
            <v>1</v>
          </cell>
          <cell r="I1454">
            <v>10000</v>
          </cell>
        </row>
        <row r="1455">
          <cell r="A1455" t="str">
            <v>40100041</v>
          </cell>
          <cell r="B1455">
            <v>0</v>
          </cell>
          <cell r="I1455">
            <v>13000</v>
          </cell>
        </row>
        <row r="1456">
          <cell r="A1456" t="str">
            <v>40100070</v>
          </cell>
          <cell r="B1456">
            <v>1</v>
          </cell>
          <cell r="I1456">
            <v>10000</v>
          </cell>
        </row>
        <row r="1457">
          <cell r="A1457" t="str">
            <v>40100071</v>
          </cell>
          <cell r="B1457">
            <v>0</v>
          </cell>
          <cell r="I1457">
            <v>13000</v>
          </cell>
        </row>
        <row r="1458">
          <cell r="A1458" t="str">
            <v>40150010</v>
          </cell>
          <cell r="B1458">
            <v>0</v>
          </cell>
          <cell r="I1458">
            <v>15000</v>
          </cell>
        </row>
        <row r="1459">
          <cell r="A1459" t="str">
            <v>40150020</v>
          </cell>
          <cell r="B1459">
            <v>0</v>
          </cell>
          <cell r="I1459">
            <v>15000</v>
          </cell>
        </row>
        <row r="1460">
          <cell r="A1460" t="str">
            <v>40150030</v>
          </cell>
          <cell r="B1460">
            <v>1</v>
          </cell>
          <cell r="I1460">
            <v>15000</v>
          </cell>
        </row>
        <row r="1461">
          <cell r="A1461" t="str">
            <v>40150080</v>
          </cell>
          <cell r="B1461">
            <v>1</v>
          </cell>
          <cell r="I1461">
            <v>15000</v>
          </cell>
        </row>
        <row r="1462">
          <cell r="A1462" t="str">
            <v>40150090</v>
          </cell>
          <cell r="B1462">
            <v>1</v>
          </cell>
          <cell r="I1462">
            <v>15000</v>
          </cell>
        </row>
        <row r="1463">
          <cell r="A1463" t="str">
            <v>40150100</v>
          </cell>
          <cell r="B1463">
            <v>1</v>
          </cell>
          <cell r="I1463">
            <v>15000</v>
          </cell>
        </row>
        <row r="1464">
          <cell r="A1464" t="str">
            <v>40151050</v>
          </cell>
          <cell r="B1464">
            <v>1</v>
          </cell>
          <cell r="I1464">
            <v>15000</v>
          </cell>
        </row>
        <row r="1465">
          <cell r="A1465">
            <v>40151051</v>
          </cell>
          <cell r="B1465">
            <v>1</v>
          </cell>
          <cell r="I1465">
            <v>18000</v>
          </cell>
        </row>
        <row r="1466">
          <cell r="A1466" t="str">
            <v>40151060</v>
          </cell>
          <cell r="B1466">
            <v>1</v>
          </cell>
          <cell r="I1466">
            <v>15000</v>
          </cell>
        </row>
        <row r="1467">
          <cell r="A1467" t="str">
            <v>40151061</v>
          </cell>
          <cell r="B1467">
            <v>0</v>
          </cell>
          <cell r="I1467">
            <v>18000</v>
          </cell>
        </row>
        <row r="1468">
          <cell r="A1468" t="str">
            <v>40152050</v>
          </cell>
          <cell r="B1468">
            <v>1</v>
          </cell>
          <cell r="I1468">
            <v>15000</v>
          </cell>
        </row>
        <row r="1469">
          <cell r="A1469">
            <v>40152051</v>
          </cell>
          <cell r="B1469">
            <v>1</v>
          </cell>
          <cell r="I1469">
            <v>18000</v>
          </cell>
        </row>
        <row r="1470">
          <cell r="A1470" t="str">
            <v>40152060</v>
          </cell>
          <cell r="B1470">
            <v>1</v>
          </cell>
          <cell r="I1470">
            <v>15000</v>
          </cell>
        </row>
        <row r="1471">
          <cell r="A1471" t="str">
            <v>40152061</v>
          </cell>
          <cell r="B1471">
            <v>0</v>
          </cell>
          <cell r="I1471">
            <v>18000</v>
          </cell>
        </row>
        <row r="1472">
          <cell r="A1472" t="str">
            <v>40153050</v>
          </cell>
          <cell r="B1472">
            <v>1</v>
          </cell>
          <cell r="I1472">
            <v>15000</v>
          </cell>
        </row>
        <row r="1473">
          <cell r="A1473">
            <v>40153051</v>
          </cell>
          <cell r="B1473">
            <v>1</v>
          </cell>
          <cell r="I1473">
            <v>18000</v>
          </cell>
        </row>
        <row r="1474">
          <cell r="A1474" t="str">
            <v>40153060</v>
          </cell>
          <cell r="B1474">
            <v>1</v>
          </cell>
          <cell r="I1474">
            <v>15000</v>
          </cell>
        </row>
        <row r="1475">
          <cell r="A1475" t="str">
            <v>40153061</v>
          </cell>
          <cell r="B1475">
            <v>0</v>
          </cell>
          <cell r="I1475">
            <v>18000</v>
          </cell>
        </row>
        <row r="1476">
          <cell r="A1476" t="str">
            <v>40150040</v>
          </cell>
          <cell r="B1476">
            <v>1</v>
          </cell>
          <cell r="I1476">
            <v>15000</v>
          </cell>
        </row>
        <row r="1477">
          <cell r="A1477" t="str">
            <v>40150041</v>
          </cell>
          <cell r="B1477">
            <v>0</v>
          </cell>
          <cell r="I1477">
            <v>18000</v>
          </cell>
        </row>
        <row r="1478">
          <cell r="A1478" t="str">
            <v>40150070</v>
          </cell>
          <cell r="B1478">
            <v>1</v>
          </cell>
          <cell r="I1478">
            <v>15000</v>
          </cell>
        </row>
        <row r="1479">
          <cell r="A1479" t="str">
            <v>40150071</v>
          </cell>
          <cell r="B1479">
            <v>0</v>
          </cell>
          <cell r="I1479">
            <v>18000</v>
          </cell>
        </row>
        <row r="1480">
          <cell r="A1480" t="str">
            <v>40200010</v>
          </cell>
          <cell r="B1480">
            <v>1</v>
          </cell>
          <cell r="I1480">
            <v>20000</v>
          </cell>
        </row>
        <row r="1481">
          <cell r="A1481" t="str">
            <v>40200020</v>
          </cell>
          <cell r="B1481">
            <v>1</v>
          </cell>
          <cell r="I1481">
            <v>20000</v>
          </cell>
        </row>
        <row r="1482">
          <cell r="A1482" t="str">
            <v>40200030</v>
          </cell>
          <cell r="B1482">
            <v>1</v>
          </cell>
          <cell r="I1482">
            <v>20000</v>
          </cell>
        </row>
        <row r="1483">
          <cell r="A1483" t="str">
            <v>40200080</v>
          </cell>
          <cell r="B1483">
            <v>1</v>
          </cell>
          <cell r="I1483">
            <v>20000</v>
          </cell>
        </row>
        <row r="1484">
          <cell r="A1484" t="str">
            <v>40200090</v>
          </cell>
          <cell r="B1484">
            <v>1</v>
          </cell>
          <cell r="I1484">
            <v>20000</v>
          </cell>
        </row>
        <row r="1485">
          <cell r="A1485" t="str">
            <v>40200100</v>
          </cell>
          <cell r="B1485">
            <v>1</v>
          </cell>
          <cell r="I1485">
            <v>20000</v>
          </cell>
        </row>
        <row r="1486">
          <cell r="A1486" t="str">
            <v>40201050</v>
          </cell>
          <cell r="B1486">
            <v>1</v>
          </cell>
          <cell r="I1486">
            <v>20000</v>
          </cell>
        </row>
        <row r="1487">
          <cell r="A1487" t="str">
            <v>40201051</v>
          </cell>
          <cell r="B1487">
            <v>0</v>
          </cell>
          <cell r="I1487">
            <v>23000</v>
          </cell>
        </row>
        <row r="1488">
          <cell r="A1488" t="str">
            <v>40201060</v>
          </cell>
          <cell r="B1488">
            <v>1</v>
          </cell>
          <cell r="I1488">
            <v>20000</v>
          </cell>
        </row>
        <row r="1489">
          <cell r="A1489" t="str">
            <v>40201061</v>
          </cell>
          <cell r="B1489">
            <v>0</v>
          </cell>
          <cell r="I1489">
            <v>23000</v>
          </cell>
        </row>
        <row r="1490">
          <cell r="A1490" t="str">
            <v>40202050</v>
          </cell>
          <cell r="B1490">
            <v>1</v>
          </cell>
          <cell r="I1490">
            <v>20000</v>
          </cell>
        </row>
        <row r="1491">
          <cell r="A1491" t="str">
            <v>40202051</v>
          </cell>
          <cell r="B1491">
            <v>0</v>
          </cell>
          <cell r="I1491">
            <v>23000</v>
          </cell>
        </row>
        <row r="1492">
          <cell r="A1492" t="str">
            <v>40202060</v>
          </cell>
          <cell r="B1492">
            <v>1</v>
          </cell>
          <cell r="I1492">
            <v>20000</v>
          </cell>
        </row>
        <row r="1493">
          <cell r="A1493" t="str">
            <v>40202061</v>
          </cell>
          <cell r="B1493">
            <v>0</v>
          </cell>
          <cell r="I1493">
            <v>23000</v>
          </cell>
        </row>
        <row r="1494">
          <cell r="A1494" t="str">
            <v>40203050</v>
          </cell>
          <cell r="B1494">
            <v>1</v>
          </cell>
          <cell r="I1494">
            <v>20000</v>
          </cell>
        </row>
        <row r="1495">
          <cell r="A1495" t="str">
            <v>40203051</v>
          </cell>
          <cell r="B1495">
            <v>1</v>
          </cell>
          <cell r="I1495">
            <v>23000</v>
          </cell>
        </row>
        <row r="1496">
          <cell r="A1496" t="str">
            <v>40203060</v>
          </cell>
          <cell r="B1496">
            <v>1</v>
          </cell>
          <cell r="I1496">
            <v>20000</v>
          </cell>
        </row>
        <row r="1497">
          <cell r="A1497" t="str">
            <v>40203061</v>
          </cell>
          <cell r="B1497">
            <v>0</v>
          </cell>
          <cell r="I1497">
            <v>23000</v>
          </cell>
        </row>
        <row r="1498">
          <cell r="A1498" t="str">
            <v>40200040</v>
          </cell>
          <cell r="B1498">
            <v>1</v>
          </cell>
          <cell r="I1498">
            <v>20000</v>
          </cell>
        </row>
        <row r="1499">
          <cell r="A1499" t="str">
            <v>40200041</v>
          </cell>
          <cell r="B1499">
            <v>1</v>
          </cell>
          <cell r="I1499">
            <v>23000</v>
          </cell>
        </row>
        <row r="1500">
          <cell r="A1500" t="str">
            <v>40200070</v>
          </cell>
          <cell r="B1500">
            <v>1</v>
          </cell>
          <cell r="I1500">
            <v>20000</v>
          </cell>
        </row>
        <row r="1501">
          <cell r="A1501" t="str">
            <v>40200071</v>
          </cell>
          <cell r="B1501">
            <v>1</v>
          </cell>
          <cell r="I1501">
            <v>23000</v>
          </cell>
        </row>
        <row r="1502">
          <cell r="A1502" t="str">
            <v>40250010</v>
          </cell>
          <cell r="B1502">
            <v>1</v>
          </cell>
          <cell r="I1502">
            <v>25000</v>
          </cell>
        </row>
        <row r="1503">
          <cell r="A1503" t="str">
            <v>40250020</v>
          </cell>
          <cell r="B1503">
            <v>1</v>
          </cell>
          <cell r="I1503">
            <v>25000</v>
          </cell>
        </row>
        <row r="1504">
          <cell r="A1504" t="str">
            <v>40250030</v>
          </cell>
          <cell r="B1504">
            <v>1</v>
          </cell>
          <cell r="I1504">
            <v>25000</v>
          </cell>
        </row>
        <row r="1505">
          <cell r="A1505" t="str">
            <v>40250080</v>
          </cell>
          <cell r="B1505">
            <v>1</v>
          </cell>
          <cell r="I1505">
            <v>25000</v>
          </cell>
        </row>
        <row r="1506">
          <cell r="A1506" t="str">
            <v>40250090</v>
          </cell>
          <cell r="B1506">
            <v>1</v>
          </cell>
          <cell r="I1506">
            <v>25000</v>
          </cell>
        </row>
        <row r="1507">
          <cell r="A1507" t="str">
            <v>40250100</v>
          </cell>
          <cell r="B1507">
            <v>1</v>
          </cell>
          <cell r="I1507">
            <v>25000</v>
          </cell>
        </row>
        <row r="1508">
          <cell r="A1508" t="str">
            <v>40251050</v>
          </cell>
          <cell r="B1508">
            <v>1</v>
          </cell>
          <cell r="I1508">
            <v>25000</v>
          </cell>
        </row>
        <row r="1509">
          <cell r="A1509" t="str">
            <v>40251051</v>
          </cell>
          <cell r="B1509">
            <v>1</v>
          </cell>
          <cell r="I1509">
            <v>28000</v>
          </cell>
        </row>
        <row r="1510">
          <cell r="A1510" t="str">
            <v>40251060</v>
          </cell>
          <cell r="B1510">
            <v>1</v>
          </cell>
          <cell r="I1510">
            <v>25000</v>
          </cell>
        </row>
        <row r="1511">
          <cell r="A1511" t="str">
            <v>40251061</v>
          </cell>
          <cell r="B1511">
            <v>0</v>
          </cell>
          <cell r="I1511">
            <v>28000</v>
          </cell>
        </row>
        <row r="1512">
          <cell r="A1512" t="str">
            <v>40252050</v>
          </cell>
          <cell r="B1512">
            <v>1</v>
          </cell>
          <cell r="I1512">
            <v>25000</v>
          </cell>
        </row>
        <row r="1513">
          <cell r="A1513" t="str">
            <v>40252051</v>
          </cell>
          <cell r="B1513">
            <v>1</v>
          </cell>
          <cell r="I1513">
            <v>28000</v>
          </cell>
        </row>
        <row r="1514">
          <cell r="A1514" t="str">
            <v>40252060</v>
          </cell>
          <cell r="B1514">
            <v>1</v>
          </cell>
          <cell r="I1514">
            <v>25000</v>
          </cell>
        </row>
        <row r="1515">
          <cell r="A1515" t="str">
            <v>40252061</v>
          </cell>
          <cell r="B1515">
            <v>0</v>
          </cell>
          <cell r="I1515">
            <v>28000</v>
          </cell>
        </row>
        <row r="1516">
          <cell r="A1516" t="str">
            <v>40253050</v>
          </cell>
          <cell r="B1516">
            <v>1</v>
          </cell>
          <cell r="I1516">
            <v>25000</v>
          </cell>
        </row>
        <row r="1517">
          <cell r="A1517" t="str">
            <v>40253051</v>
          </cell>
          <cell r="B1517">
            <v>0</v>
          </cell>
          <cell r="I1517">
            <v>28000</v>
          </cell>
        </row>
        <row r="1518">
          <cell r="A1518" t="str">
            <v>40253060</v>
          </cell>
          <cell r="B1518">
            <v>1</v>
          </cell>
          <cell r="I1518">
            <v>25000</v>
          </cell>
        </row>
        <row r="1519">
          <cell r="A1519" t="str">
            <v>40253061</v>
          </cell>
          <cell r="B1519">
            <v>0</v>
          </cell>
          <cell r="I1519">
            <v>28000</v>
          </cell>
        </row>
        <row r="1520">
          <cell r="A1520" t="str">
            <v>40250040</v>
          </cell>
          <cell r="B1520">
            <v>1</v>
          </cell>
          <cell r="I1520">
            <v>25000</v>
          </cell>
        </row>
        <row r="1521">
          <cell r="A1521" t="str">
            <v>40250041</v>
          </cell>
          <cell r="B1521">
            <v>0</v>
          </cell>
          <cell r="I1521">
            <v>28000</v>
          </cell>
        </row>
        <row r="1522">
          <cell r="A1522" t="str">
            <v>40250070</v>
          </cell>
          <cell r="B1522">
            <v>1</v>
          </cell>
          <cell r="I1522">
            <v>25000</v>
          </cell>
        </row>
        <row r="1523">
          <cell r="A1523" t="str">
            <v>40250071</v>
          </cell>
          <cell r="B1523">
            <v>0</v>
          </cell>
          <cell r="I1523">
            <v>28000</v>
          </cell>
        </row>
        <row r="1524">
          <cell r="A1524" t="str">
            <v>40300010</v>
          </cell>
          <cell r="B1524">
            <v>1</v>
          </cell>
          <cell r="I1524">
            <v>30000</v>
          </cell>
        </row>
        <row r="1525">
          <cell r="A1525" t="str">
            <v>40300020</v>
          </cell>
          <cell r="B1525">
            <v>1</v>
          </cell>
          <cell r="I1525">
            <v>30000</v>
          </cell>
        </row>
        <row r="1526">
          <cell r="A1526" t="str">
            <v>40300030</v>
          </cell>
          <cell r="B1526">
            <v>1</v>
          </cell>
          <cell r="I1526">
            <v>30000</v>
          </cell>
        </row>
        <row r="1527">
          <cell r="A1527" t="str">
            <v>40300080</v>
          </cell>
          <cell r="B1527">
            <v>1</v>
          </cell>
          <cell r="I1527">
            <v>30000</v>
          </cell>
        </row>
        <row r="1528">
          <cell r="A1528" t="str">
            <v>40300090</v>
          </cell>
          <cell r="B1528">
            <v>1</v>
          </cell>
          <cell r="I1528">
            <v>30000</v>
          </cell>
        </row>
        <row r="1529">
          <cell r="A1529" t="str">
            <v>40300100</v>
          </cell>
          <cell r="B1529">
            <v>1</v>
          </cell>
          <cell r="I1529">
            <v>30000</v>
          </cell>
        </row>
        <row r="1530">
          <cell r="A1530" t="str">
            <v>40301050</v>
          </cell>
          <cell r="B1530">
            <v>1</v>
          </cell>
          <cell r="I1530">
            <v>30000</v>
          </cell>
        </row>
        <row r="1531">
          <cell r="A1531" t="str">
            <v>40301051</v>
          </cell>
          <cell r="B1531">
            <v>1</v>
          </cell>
          <cell r="I1531">
            <v>33000</v>
          </cell>
        </row>
        <row r="1532">
          <cell r="A1532" t="str">
            <v>40301060</v>
          </cell>
          <cell r="B1532">
            <v>1</v>
          </cell>
          <cell r="I1532">
            <v>30000</v>
          </cell>
        </row>
        <row r="1533">
          <cell r="A1533" t="str">
            <v>40301061</v>
          </cell>
          <cell r="B1533">
            <v>0</v>
          </cell>
          <cell r="I1533">
            <v>33000</v>
          </cell>
        </row>
        <row r="1534">
          <cell r="A1534" t="str">
            <v>40302050</v>
          </cell>
          <cell r="B1534">
            <v>1</v>
          </cell>
          <cell r="I1534">
            <v>30000</v>
          </cell>
        </row>
        <row r="1535">
          <cell r="A1535" t="str">
            <v>40302051</v>
          </cell>
          <cell r="B1535">
            <v>1</v>
          </cell>
          <cell r="I1535">
            <v>33000</v>
          </cell>
        </row>
        <row r="1536">
          <cell r="A1536" t="str">
            <v>40302060</v>
          </cell>
          <cell r="B1536">
            <v>1</v>
          </cell>
          <cell r="I1536">
            <v>30000</v>
          </cell>
        </row>
        <row r="1537">
          <cell r="A1537" t="str">
            <v>40302061</v>
          </cell>
          <cell r="B1537">
            <v>0</v>
          </cell>
          <cell r="I1537">
            <v>33000</v>
          </cell>
        </row>
        <row r="1538">
          <cell r="A1538" t="str">
            <v>40303050</v>
          </cell>
          <cell r="B1538">
            <v>1</v>
          </cell>
          <cell r="I1538">
            <v>30000</v>
          </cell>
        </row>
        <row r="1539">
          <cell r="A1539" t="str">
            <v>40303051</v>
          </cell>
          <cell r="B1539">
            <v>1</v>
          </cell>
          <cell r="I1539">
            <v>33000</v>
          </cell>
        </row>
        <row r="1540">
          <cell r="A1540" t="str">
            <v>40303060</v>
          </cell>
          <cell r="B1540">
            <v>1</v>
          </cell>
          <cell r="I1540">
            <v>30000</v>
          </cell>
        </row>
        <row r="1541">
          <cell r="A1541" t="str">
            <v>40303061</v>
          </cell>
          <cell r="B1541">
            <v>0</v>
          </cell>
          <cell r="I1541">
            <v>33000</v>
          </cell>
        </row>
        <row r="1542">
          <cell r="A1542" t="str">
            <v>40300040</v>
          </cell>
          <cell r="B1542">
            <v>1</v>
          </cell>
          <cell r="I1542">
            <v>30000</v>
          </cell>
        </row>
        <row r="1543">
          <cell r="A1543" t="str">
            <v>40300041</v>
          </cell>
          <cell r="B1543">
            <v>1</v>
          </cell>
          <cell r="I1543">
            <v>33000</v>
          </cell>
        </row>
        <row r="1544">
          <cell r="A1544" t="str">
            <v>40300070</v>
          </cell>
          <cell r="B1544">
            <v>1</v>
          </cell>
          <cell r="I1544">
            <v>30000</v>
          </cell>
        </row>
        <row r="1545">
          <cell r="A1545" t="str">
            <v>40300071</v>
          </cell>
          <cell r="B1545">
            <v>1</v>
          </cell>
          <cell r="I1545">
            <v>33000</v>
          </cell>
        </row>
        <row r="1546">
          <cell r="A1546" t="str">
            <v>40350010</v>
          </cell>
          <cell r="B1546">
            <v>1</v>
          </cell>
          <cell r="I1546">
            <v>35000</v>
          </cell>
        </row>
        <row r="1547">
          <cell r="A1547" t="str">
            <v>40350020</v>
          </cell>
          <cell r="B1547">
            <v>1</v>
          </cell>
          <cell r="I1547">
            <v>35000</v>
          </cell>
        </row>
        <row r="1548">
          <cell r="A1548" t="str">
            <v>40350030</v>
          </cell>
          <cell r="B1548">
            <v>1</v>
          </cell>
          <cell r="I1548">
            <v>35000</v>
          </cell>
        </row>
        <row r="1549">
          <cell r="A1549" t="str">
            <v>40350080</v>
          </cell>
          <cell r="B1549">
            <v>1</v>
          </cell>
          <cell r="I1549">
            <v>35000</v>
          </cell>
        </row>
        <row r="1550">
          <cell r="A1550" t="str">
            <v>40350090</v>
          </cell>
          <cell r="B1550">
            <v>1</v>
          </cell>
          <cell r="I1550">
            <v>35000</v>
          </cell>
        </row>
        <row r="1551">
          <cell r="A1551" t="str">
            <v>40350100</v>
          </cell>
          <cell r="B1551">
            <v>1</v>
          </cell>
          <cell r="I1551">
            <v>35000</v>
          </cell>
        </row>
        <row r="1552">
          <cell r="A1552" t="str">
            <v>40351050</v>
          </cell>
          <cell r="B1552">
            <v>1</v>
          </cell>
          <cell r="I1552">
            <v>35000</v>
          </cell>
        </row>
        <row r="1553">
          <cell r="A1553" t="str">
            <v>40351051</v>
          </cell>
          <cell r="B1553">
            <v>0</v>
          </cell>
          <cell r="I1553">
            <v>38000</v>
          </cell>
        </row>
        <row r="1554">
          <cell r="A1554" t="str">
            <v>40351060</v>
          </cell>
          <cell r="B1554">
            <v>1</v>
          </cell>
          <cell r="I1554">
            <v>35000</v>
          </cell>
        </row>
        <row r="1555">
          <cell r="A1555" t="str">
            <v>40351061</v>
          </cell>
          <cell r="B1555">
            <v>1</v>
          </cell>
          <cell r="I1555">
            <v>38000</v>
          </cell>
        </row>
        <row r="1556">
          <cell r="A1556" t="str">
            <v>40352050</v>
          </cell>
          <cell r="B1556">
            <v>1</v>
          </cell>
          <cell r="I1556">
            <v>35000</v>
          </cell>
        </row>
        <row r="1557">
          <cell r="A1557" t="str">
            <v>40352051</v>
          </cell>
          <cell r="B1557">
            <v>0</v>
          </cell>
          <cell r="I1557">
            <v>38000</v>
          </cell>
        </row>
        <row r="1558">
          <cell r="A1558" t="str">
            <v>40352060</v>
          </cell>
          <cell r="B1558">
            <v>1</v>
          </cell>
          <cell r="I1558">
            <v>35000</v>
          </cell>
        </row>
        <row r="1559">
          <cell r="A1559" t="str">
            <v>40352061</v>
          </cell>
          <cell r="B1559">
            <v>1</v>
          </cell>
          <cell r="I1559">
            <v>38000</v>
          </cell>
        </row>
        <row r="1560">
          <cell r="A1560" t="str">
            <v>40353050</v>
          </cell>
          <cell r="B1560">
            <v>1</v>
          </cell>
          <cell r="I1560">
            <v>35000</v>
          </cell>
        </row>
        <row r="1561">
          <cell r="A1561" t="str">
            <v>40353051</v>
          </cell>
          <cell r="B1561">
            <v>0</v>
          </cell>
          <cell r="I1561">
            <v>38000</v>
          </cell>
        </row>
        <row r="1562">
          <cell r="A1562" t="str">
            <v>40353060</v>
          </cell>
          <cell r="B1562">
            <v>1</v>
          </cell>
          <cell r="I1562">
            <v>35000</v>
          </cell>
        </row>
        <row r="1563">
          <cell r="A1563" t="str">
            <v>40353061</v>
          </cell>
          <cell r="B1563">
            <v>1</v>
          </cell>
          <cell r="I1563">
            <v>38000</v>
          </cell>
        </row>
        <row r="1564">
          <cell r="A1564" t="str">
            <v>40350040</v>
          </cell>
          <cell r="B1564">
            <v>1</v>
          </cell>
          <cell r="I1564">
            <v>35000</v>
          </cell>
        </row>
        <row r="1565">
          <cell r="A1565" t="str">
            <v>40350041</v>
          </cell>
          <cell r="B1565">
            <v>1</v>
          </cell>
          <cell r="I1565">
            <v>38000</v>
          </cell>
        </row>
        <row r="1566">
          <cell r="A1566" t="str">
            <v>40350070</v>
          </cell>
          <cell r="B1566">
            <v>1</v>
          </cell>
          <cell r="I1566">
            <v>35000</v>
          </cell>
        </row>
        <row r="1567">
          <cell r="A1567" t="str">
            <v>40350071</v>
          </cell>
          <cell r="B1567">
            <v>0</v>
          </cell>
          <cell r="I1567">
            <v>38000</v>
          </cell>
        </row>
        <row r="1568">
          <cell r="A1568" t="str">
            <v>40400010</v>
          </cell>
          <cell r="B1568">
            <v>1</v>
          </cell>
          <cell r="I1568">
            <v>40000</v>
          </cell>
        </row>
        <row r="1569">
          <cell r="A1569" t="str">
            <v>40400020</v>
          </cell>
          <cell r="B1569">
            <v>1</v>
          </cell>
          <cell r="I1569">
            <v>40000</v>
          </cell>
        </row>
        <row r="1570">
          <cell r="A1570" t="str">
            <v>40400030</v>
          </cell>
          <cell r="B1570">
            <v>1</v>
          </cell>
          <cell r="I1570">
            <v>40000</v>
          </cell>
        </row>
        <row r="1571">
          <cell r="A1571" t="str">
            <v>40400080</v>
          </cell>
          <cell r="B1571">
            <v>1</v>
          </cell>
          <cell r="I1571">
            <v>40000</v>
          </cell>
        </row>
        <row r="1572">
          <cell r="A1572" t="str">
            <v>40400090</v>
          </cell>
          <cell r="B1572">
            <v>1</v>
          </cell>
          <cell r="I1572">
            <v>40000</v>
          </cell>
        </row>
        <row r="1573">
          <cell r="A1573" t="str">
            <v>40400100</v>
          </cell>
          <cell r="B1573">
            <v>1</v>
          </cell>
          <cell r="I1573">
            <v>40000</v>
          </cell>
        </row>
        <row r="1574">
          <cell r="A1574" t="str">
            <v>40401050</v>
          </cell>
          <cell r="B1574">
            <v>1</v>
          </cell>
          <cell r="I1574">
            <v>40000</v>
          </cell>
        </row>
        <row r="1575">
          <cell r="A1575" t="str">
            <v>40401051</v>
          </cell>
          <cell r="B1575">
            <v>1</v>
          </cell>
          <cell r="I1575">
            <v>43000</v>
          </cell>
        </row>
        <row r="1576">
          <cell r="A1576" t="str">
            <v>40401060</v>
          </cell>
          <cell r="B1576">
            <v>1</v>
          </cell>
          <cell r="I1576">
            <v>40000</v>
          </cell>
        </row>
        <row r="1577">
          <cell r="A1577" t="str">
            <v>40401061</v>
          </cell>
          <cell r="B1577">
            <v>0</v>
          </cell>
          <cell r="I1577">
            <v>43000</v>
          </cell>
        </row>
        <row r="1578">
          <cell r="A1578" t="str">
            <v>40402050</v>
          </cell>
          <cell r="B1578">
            <v>1</v>
          </cell>
          <cell r="I1578">
            <v>40000</v>
          </cell>
        </row>
        <row r="1579">
          <cell r="A1579" t="str">
            <v>40402051</v>
          </cell>
          <cell r="B1579">
            <v>1</v>
          </cell>
          <cell r="I1579">
            <v>43000</v>
          </cell>
        </row>
        <row r="1580">
          <cell r="A1580" t="str">
            <v>40402060</v>
          </cell>
          <cell r="B1580">
            <v>1</v>
          </cell>
          <cell r="I1580">
            <v>40000</v>
          </cell>
        </row>
        <row r="1581">
          <cell r="A1581" t="str">
            <v>40402061</v>
          </cell>
          <cell r="B1581">
            <v>0</v>
          </cell>
          <cell r="I1581">
            <v>43000</v>
          </cell>
        </row>
        <row r="1582">
          <cell r="A1582" t="str">
            <v>40403050</v>
          </cell>
          <cell r="B1582">
            <v>1</v>
          </cell>
          <cell r="I1582">
            <v>40000</v>
          </cell>
        </row>
        <row r="1583">
          <cell r="A1583" t="str">
            <v>40403051</v>
          </cell>
          <cell r="B1583">
            <v>1</v>
          </cell>
          <cell r="I1583">
            <v>43000</v>
          </cell>
        </row>
        <row r="1584">
          <cell r="A1584" t="str">
            <v>40403060</v>
          </cell>
          <cell r="B1584">
            <v>1</v>
          </cell>
          <cell r="I1584">
            <v>40000</v>
          </cell>
        </row>
        <row r="1585">
          <cell r="A1585" t="str">
            <v>40403061</v>
          </cell>
          <cell r="B1585">
            <v>0</v>
          </cell>
          <cell r="I1585">
            <v>43000</v>
          </cell>
        </row>
        <row r="1586">
          <cell r="A1586" t="str">
            <v>40400040</v>
          </cell>
          <cell r="B1586">
            <v>1</v>
          </cell>
          <cell r="I1586">
            <v>40000</v>
          </cell>
        </row>
        <row r="1587">
          <cell r="A1587" t="str">
            <v>40400041</v>
          </cell>
          <cell r="B1587">
            <v>0</v>
          </cell>
          <cell r="I1587">
            <v>43000</v>
          </cell>
        </row>
        <row r="1588">
          <cell r="A1588" t="str">
            <v>40400070</v>
          </cell>
          <cell r="B1588">
            <v>1</v>
          </cell>
          <cell r="I1588">
            <v>40000</v>
          </cell>
        </row>
        <row r="1589">
          <cell r="A1589" t="str">
            <v>40400071</v>
          </cell>
          <cell r="B1589">
            <v>0</v>
          </cell>
          <cell r="I1589">
            <v>43000</v>
          </cell>
        </row>
        <row r="1590">
          <cell r="A1590" t="str">
            <v>40450010</v>
          </cell>
          <cell r="B1590">
            <v>1</v>
          </cell>
          <cell r="I1590">
            <v>45000</v>
          </cell>
        </row>
        <row r="1591">
          <cell r="A1591" t="str">
            <v>40450020</v>
          </cell>
          <cell r="B1591">
            <v>1</v>
          </cell>
          <cell r="I1591">
            <v>45000</v>
          </cell>
        </row>
        <row r="1592">
          <cell r="A1592" t="str">
            <v>40450030</v>
          </cell>
          <cell r="B1592">
            <v>1</v>
          </cell>
          <cell r="I1592">
            <v>45000</v>
          </cell>
        </row>
        <row r="1593">
          <cell r="A1593" t="str">
            <v>40450080</v>
          </cell>
          <cell r="B1593">
            <v>1</v>
          </cell>
          <cell r="I1593">
            <v>45000</v>
          </cell>
        </row>
        <row r="1594">
          <cell r="A1594" t="str">
            <v>40450090</v>
          </cell>
          <cell r="B1594">
            <v>1</v>
          </cell>
          <cell r="I1594">
            <v>45000</v>
          </cell>
        </row>
        <row r="1595">
          <cell r="A1595" t="str">
            <v>40450100</v>
          </cell>
          <cell r="B1595">
            <v>1</v>
          </cell>
          <cell r="I1595">
            <v>45000</v>
          </cell>
        </row>
        <row r="1596">
          <cell r="A1596" t="str">
            <v>40451050</v>
          </cell>
          <cell r="B1596">
            <v>1</v>
          </cell>
          <cell r="I1596">
            <v>45000</v>
          </cell>
        </row>
        <row r="1597">
          <cell r="A1597" t="str">
            <v>40451051</v>
          </cell>
          <cell r="B1597">
            <v>0</v>
          </cell>
          <cell r="I1597">
            <v>48000</v>
          </cell>
        </row>
        <row r="1598">
          <cell r="A1598" t="str">
            <v>40451060</v>
          </cell>
          <cell r="B1598">
            <v>1</v>
          </cell>
          <cell r="I1598">
            <v>45000</v>
          </cell>
        </row>
        <row r="1599">
          <cell r="A1599" t="str">
            <v>40451061</v>
          </cell>
          <cell r="B1599">
            <v>0</v>
          </cell>
          <cell r="I1599">
            <v>48000</v>
          </cell>
        </row>
        <row r="1600">
          <cell r="A1600" t="str">
            <v>40452050</v>
          </cell>
          <cell r="B1600">
            <v>1</v>
          </cell>
          <cell r="I1600">
            <v>45000</v>
          </cell>
        </row>
        <row r="1601">
          <cell r="A1601" t="str">
            <v>40452051</v>
          </cell>
          <cell r="B1601">
            <v>0</v>
          </cell>
          <cell r="I1601">
            <v>48000</v>
          </cell>
        </row>
        <row r="1602">
          <cell r="A1602" t="str">
            <v>40452060</v>
          </cell>
          <cell r="B1602">
            <v>1</v>
          </cell>
          <cell r="I1602">
            <v>45000</v>
          </cell>
        </row>
        <row r="1603">
          <cell r="A1603" t="str">
            <v>40452061</v>
          </cell>
          <cell r="B1603">
            <v>0</v>
          </cell>
          <cell r="I1603">
            <v>48000</v>
          </cell>
        </row>
        <row r="1604">
          <cell r="A1604" t="str">
            <v>40453050</v>
          </cell>
          <cell r="B1604">
            <v>1</v>
          </cell>
          <cell r="I1604">
            <v>45000</v>
          </cell>
        </row>
        <row r="1605">
          <cell r="A1605" t="str">
            <v>40453051</v>
          </cell>
          <cell r="B1605">
            <v>1</v>
          </cell>
          <cell r="I1605">
            <v>48000</v>
          </cell>
        </row>
        <row r="1606">
          <cell r="A1606" t="str">
            <v>40453060</v>
          </cell>
          <cell r="B1606">
            <v>1</v>
          </cell>
          <cell r="I1606">
            <v>45000</v>
          </cell>
        </row>
        <row r="1607">
          <cell r="A1607" t="str">
            <v>40453061</v>
          </cell>
          <cell r="B1607">
            <v>0</v>
          </cell>
          <cell r="I1607">
            <v>48000</v>
          </cell>
        </row>
        <row r="1608">
          <cell r="A1608" t="str">
            <v>40450040</v>
          </cell>
          <cell r="B1608">
            <v>1</v>
          </cell>
          <cell r="I1608">
            <v>45000</v>
          </cell>
        </row>
        <row r="1609">
          <cell r="A1609" t="str">
            <v>40450041</v>
          </cell>
          <cell r="B1609">
            <v>1</v>
          </cell>
          <cell r="I1609">
            <v>48000</v>
          </cell>
        </row>
        <row r="1610">
          <cell r="A1610" t="str">
            <v>40450070</v>
          </cell>
          <cell r="B1610">
            <v>1</v>
          </cell>
          <cell r="I1610">
            <v>45000</v>
          </cell>
        </row>
        <row r="1611">
          <cell r="A1611" t="str">
            <v>40450071</v>
          </cell>
          <cell r="B1611">
            <v>1</v>
          </cell>
          <cell r="I1611">
            <v>48000</v>
          </cell>
        </row>
        <row r="1612">
          <cell r="A1612" t="str">
            <v>40500010</v>
          </cell>
          <cell r="B1612">
            <v>1</v>
          </cell>
          <cell r="I1612">
            <v>50000</v>
          </cell>
        </row>
        <row r="1613">
          <cell r="A1613" t="str">
            <v>40500020</v>
          </cell>
          <cell r="B1613">
            <v>1</v>
          </cell>
          <cell r="I1613">
            <v>50000</v>
          </cell>
        </row>
        <row r="1614">
          <cell r="A1614" t="str">
            <v>40500030</v>
          </cell>
          <cell r="B1614">
            <v>1</v>
          </cell>
          <cell r="I1614">
            <v>50000</v>
          </cell>
        </row>
        <row r="1615">
          <cell r="A1615" t="str">
            <v>40500080</v>
          </cell>
          <cell r="B1615">
            <v>1</v>
          </cell>
          <cell r="I1615">
            <v>50000</v>
          </cell>
        </row>
        <row r="1616">
          <cell r="A1616" t="str">
            <v>40500090</v>
          </cell>
          <cell r="B1616">
            <v>1</v>
          </cell>
          <cell r="I1616">
            <v>50000</v>
          </cell>
        </row>
        <row r="1617">
          <cell r="A1617" t="str">
            <v>40500100</v>
          </cell>
          <cell r="B1617">
            <v>1</v>
          </cell>
          <cell r="I1617">
            <v>50000</v>
          </cell>
        </row>
        <row r="1618">
          <cell r="A1618" t="str">
            <v>40501050</v>
          </cell>
          <cell r="B1618">
            <v>1</v>
          </cell>
          <cell r="I1618">
            <v>50000</v>
          </cell>
        </row>
        <row r="1619">
          <cell r="A1619" t="str">
            <v>40501051</v>
          </cell>
          <cell r="B1619">
            <v>1</v>
          </cell>
          <cell r="I1619">
            <v>53000</v>
          </cell>
        </row>
        <row r="1620">
          <cell r="A1620" t="str">
            <v>40501060</v>
          </cell>
          <cell r="B1620">
            <v>1</v>
          </cell>
          <cell r="I1620">
            <v>50000</v>
          </cell>
        </row>
        <row r="1621">
          <cell r="A1621" t="str">
            <v>40501061</v>
          </cell>
          <cell r="B1621">
            <v>1</v>
          </cell>
          <cell r="I1621">
            <v>53000</v>
          </cell>
        </row>
        <row r="1622">
          <cell r="A1622" t="str">
            <v>40502050</v>
          </cell>
          <cell r="B1622">
            <v>1</v>
          </cell>
          <cell r="I1622">
            <v>50000</v>
          </cell>
        </row>
        <row r="1623">
          <cell r="A1623" t="str">
            <v>40502051</v>
          </cell>
          <cell r="B1623">
            <v>1</v>
          </cell>
          <cell r="I1623">
            <v>53000</v>
          </cell>
        </row>
        <row r="1624">
          <cell r="A1624" t="str">
            <v>40502060</v>
          </cell>
          <cell r="B1624">
            <v>1</v>
          </cell>
          <cell r="I1624">
            <v>50000</v>
          </cell>
        </row>
        <row r="1625">
          <cell r="A1625" t="str">
            <v>40502061</v>
          </cell>
          <cell r="B1625">
            <v>1</v>
          </cell>
          <cell r="I1625">
            <v>53000</v>
          </cell>
        </row>
        <row r="1626">
          <cell r="A1626" t="str">
            <v>40503050</v>
          </cell>
          <cell r="B1626">
            <v>1</v>
          </cell>
          <cell r="I1626">
            <v>50000</v>
          </cell>
        </row>
        <row r="1627">
          <cell r="A1627" t="str">
            <v>40503051</v>
          </cell>
          <cell r="B1627">
            <v>1</v>
          </cell>
          <cell r="I1627">
            <v>53000</v>
          </cell>
        </row>
        <row r="1628">
          <cell r="A1628" t="str">
            <v>40503060</v>
          </cell>
          <cell r="B1628">
            <v>1</v>
          </cell>
          <cell r="I1628">
            <v>50000</v>
          </cell>
        </row>
        <row r="1629">
          <cell r="A1629" t="str">
            <v>40503061</v>
          </cell>
          <cell r="B1629">
            <v>1</v>
          </cell>
          <cell r="I1629">
            <v>53000</v>
          </cell>
        </row>
        <row r="1630">
          <cell r="A1630" t="str">
            <v>40500040</v>
          </cell>
          <cell r="B1630">
            <v>1</v>
          </cell>
          <cell r="I1630">
            <v>50000</v>
          </cell>
        </row>
        <row r="1631">
          <cell r="A1631" t="str">
            <v>40500041</v>
          </cell>
          <cell r="B1631">
            <v>0</v>
          </cell>
          <cell r="I1631">
            <v>53000</v>
          </cell>
        </row>
        <row r="1632">
          <cell r="A1632" t="str">
            <v>40500070</v>
          </cell>
          <cell r="B1632">
            <v>1</v>
          </cell>
          <cell r="I1632">
            <v>50000</v>
          </cell>
        </row>
        <row r="1633">
          <cell r="A1633" t="str">
            <v>40500071</v>
          </cell>
          <cell r="B1633">
            <v>0</v>
          </cell>
          <cell r="I1633">
            <v>53000</v>
          </cell>
        </row>
        <row r="1634">
          <cell r="A1634" t="str">
            <v>40550010</v>
          </cell>
          <cell r="B1634">
            <v>1</v>
          </cell>
          <cell r="I1634">
            <v>55000</v>
          </cell>
        </row>
        <row r="1635">
          <cell r="A1635" t="str">
            <v>40550020</v>
          </cell>
          <cell r="B1635">
            <v>1</v>
          </cell>
          <cell r="I1635">
            <v>55000</v>
          </cell>
        </row>
        <row r="1636">
          <cell r="A1636" t="str">
            <v>40550030</v>
          </cell>
          <cell r="B1636">
            <v>1</v>
          </cell>
          <cell r="I1636">
            <v>55000</v>
          </cell>
        </row>
        <row r="1637">
          <cell r="A1637" t="str">
            <v>40550080</v>
          </cell>
          <cell r="B1637">
            <v>1</v>
          </cell>
          <cell r="I1637">
            <v>55000</v>
          </cell>
        </row>
        <row r="1638">
          <cell r="A1638" t="str">
            <v>40550090</v>
          </cell>
          <cell r="B1638">
            <v>0</v>
          </cell>
          <cell r="I1638">
            <v>55000</v>
          </cell>
        </row>
        <row r="1639">
          <cell r="A1639" t="str">
            <v>40550100</v>
          </cell>
          <cell r="B1639">
            <v>1</v>
          </cell>
          <cell r="I1639">
            <v>55000</v>
          </cell>
        </row>
        <row r="1640">
          <cell r="A1640" t="str">
            <v>40551050</v>
          </cell>
          <cell r="B1640">
            <v>1</v>
          </cell>
          <cell r="I1640">
            <v>55000</v>
          </cell>
        </row>
        <row r="1641">
          <cell r="A1641" t="str">
            <v>40551051</v>
          </cell>
          <cell r="B1641">
            <v>0</v>
          </cell>
          <cell r="I1641">
            <v>58000</v>
          </cell>
        </row>
        <row r="1642">
          <cell r="A1642" t="str">
            <v>40551060</v>
          </cell>
          <cell r="B1642">
            <v>1</v>
          </cell>
          <cell r="I1642">
            <v>55000</v>
          </cell>
        </row>
        <row r="1643">
          <cell r="A1643" t="str">
            <v>40551061</v>
          </cell>
          <cell r="B1643">
            <v>1</v>
          </cell>
          <cell r="I1643">
            <v>58000</v>
          </cell>
        </row>
        <row r="1644">
          <cell r="A1644" t="str">
            <v>40552050</v>
          </cell>
          <cell r="B1644">
            <v>1</v>
          </cell>
          <cell r="I1644">
            <v>55000</v>
          </cell>
        </row>
        <row r="1645">
          <cell r="A1645" t="str">
            <v>40552051</v>
          </cell>
          <cell r="B1645">
            <v>0</v>
          </cell>
          <cell r="I1645">
            <v>58000</v>
          </cell>
        </row>
        <row r="1646">
          <cell r="A1646" t="str">
            <v>40552060</v>
          </cell>
          <cell r="B1646">
            <v>1</v>
          </cell>
          <cell r="I1646">
            <v>55000</v>
          </cell>
        </row>
        <row r="1647">
          <cell r="A1647" t="str">
            <v>40552061</v>
          </cell>
          <cell r="B1647">
            <v>1</v>
          </cell>
          <cell r="I1647">
            <v>58000</v>
          </cell>
        </row>
        <row r="1648">
          <cell r="A1648" t="str">
            <v>40553050</v>
          </cell>
          <cell r="B1648">
            <v>1</v>
          </cell>
          <cell r="I1648">
            <v>55000</v>
          </cell>
        </row>
        <row r="1649">
          <cell r="A1649" t="str">
            <v>40553051</v>
          </cell>
          <cell r="B1649">
            <v>0</v>
          </cell>
          <cell r="I1649">
            <v>58000</v>
          </cell>
        </row>
        <row r="1650">
          <cell r="A1650" t="str">
            <v>40553060</v>
          </cell>
          <cell r="B1650">
            <v>1</v>
          </cell>
          <cell r="I1650">
            <v>55000</v>
          </cell>
        </row>
        <row r="1651">
          <cell r="A1651" t="str">
            <v>40553061</v>
          </cell>
          <cell r="B1651">
            <v>1</v>
          </cell>
          <cell r="I1651">
            <v>58000</v>
          </cell>
        </row>
        <row r="1652">
          <cell r="A1652" t="str">
            <v>40550040</v>
          </cell>
          <cell r="B1652">
            <v>1</v>
          </cell>
          <cell r="I1652">
            <v>55000</v>
          </cell>
        </row>
        <row r="1653">
          <cell r="A1653" t="str">
            <v>40550041</v>
          </cell>
          <cell r="B1653">
            <v>0</v>
          </cell>
          <cell r="I1653">
            <v>58000</v>
          </cell>
        </row>
        <row r="1654">
          <cell r="A1654" t="str">
            <v>40550070</v>
          </cell>
          <cell r="B1654">
            <v>1</v>
          </cell>
          <cell r="I1654">
            <v>55000</v>
          </cell>
        </row>
        <row r="1655">
          <cell r="A1655" t="str">
            <v>40550071</v>
          </cell>
          <cell r="B1655">
            <v>0</v>
          </cell>
          <cell r="I1655">
            <v>58000</v>
          </cell>
        </row>
        <row r="1656">
          <cell r="A1656" t="str">
            <v>40600010</v>
          </cell>
          <cell r="B1656">
            <v>1</v>
          </cell>
          <cell r="I1656">
            <v>60000</v>
          </cell>
        </row>
        <row r="1657">
          <cell r="A1657" t="str">
            <v>40600020</v>
          </cell>
          <cell r="B1657">
            <v>1</v>
          </cell>
          <cell r="I1657">
            <v>60000</v>
          </cell>
        </row>
        <row r="1658">
          <cell r="A1658" t="str">
            <v>40600030</v>
          </cell>
          <cell r="B1658">
            <v>1</v>
          </cell>
          <cell r="I1658">
            <v>60000</v>
          </cell>
        </row>
        <row r="1659">
          <cell r="A1659" t="str">
            <v>40600080</v>
          </cell>
          <cell r="B1659">
            <v>1</v>
          </cell>
          <cell r="I1659">
            <v>60000</v>
          </cell>
        </row>
        <row r="1660">
          <cell r="A1660" t="str">
            <v>40600090</v>
          </cell>
          <cell r="B1660">
            <v>1</v>
          </cell>
          <cell r="I1660">
            <v>60000</v>
          </cell>
        </row>
        <row r="1661">
          <cell r="A1661" t="str">
            <v>40600100</v>
          </cell>
          <cell r="B1661">
            <v>1</v>
          </cell>
          <cell r="I1661">
            <v>60000</v>
          </cell>
        </row>
        <row r="1662">
          <cell r="A1662" t="str">
            <v>40601050</v>
          </cell>
          <cell r="B1662">
            <v>1</v>
          </cell>
          <cell r="I1662">
            <v>60000</v>
          </cell>
        </row>
        <row r="1663">
          <cell r="A1663" t="str">
            <v>40601051</v>
          </cell>
          <cell r="B1663">
            <v>1</v>
          </cell>
          <cell r="I1663">
            <v>63000</v>
          </cell>
        </row>
        <row r="1664">
          <cell r="A1664" t="str">
            <v>40601060</v>
          </cell>
          <cell r="B1664">
            <v>1</v>
          </cell>
          <cell r="I1664">
            <v>60000</v>
          </cell>
        </row>
        <row r="1665">
          <cell r="A1665" t="str">
            <v>40601061</v>
          </cell>
          <cell r="B1665">
            <v>0</v>
          </cell>
          <cell r="I1665">
            <v>63000</v>
          </cell>
        </row>
        <row r="1666">
          <cell r="A1666" t="str">
            <v>40602050</v>
          </cell>
          <cell r="B1666">
            <v>1</v>
          </cell>
          <cell r="I1666">
            <v>60000</v>
          </cell>
        </row>
        <row r="1667">
          <cell r="A1667" t="str">
            <v>40602051</v>
          </cell>
          <cell r="B1667">
            <v>0</v>
          </cell>
          <cell r="I1667">
            <v>63000</v>
          </cell>
        </row>
        <row r="1668">
          <cell r="A1668" t="str">
            <v>40602060</v>
          </cell>
          <cell r="B1668">
            <v>1</v>
          </cell>
          <cell r="I1668">
            <v>60000</v>
          </cell>
        </row>
        <row r="1669">
          <cell r="A1669" t="str">
            <v>40602061</v>
          </cell>
          <cell r="B1669">
            <v>0</v>
          </cell>
          <cell r="I1669">
            <v>63000</v>
          </cell>
        </row>
        <row r="1670">
          <cell r="A1670" t="str">
            <v>40603050</v>
          </cell>
          <cell r="B1670">
            <v>1</v>
          </cell>
          <cell r="I1670">
            <v>60000</v>
          </cell>
        </row>
        <row r="1671">
          <cell r="A1671" t="str">
            <v>40603051</v>
          </cell>
          <cell r="B1671">
            <v>0</v>
          </cell>
          <cell r="I1671">
            <v>63000</v>
          </cell>
        </row>
        <row r="1672">
          <cell r="A1672" t="str">
            <v>40603060</v>
          </cell>
          <cell r="B1672">
            <v>1</v>
          </cell>
          <cell r="I1672">
            <v>60000</v>
          </cell>
        </row>
        <row r="1673">
          <cell r="A1673" t="str">
            <v>40603061</v>
          </cell>
          <cell r="B1673">
            <v>0</v>
          </cell>
          <cell r="I1673">
            <v>63000</v>
          </cell>
        </row>
        <row r="1674">
          <cell r="A1674" t="str">
            <v>40600040</v>
          </cell>
          <cell r="B1674">
            <v>1</v>
          </cell>
          <cell r="I1674">
            <v>60000</v>
          </cell>
        </row>
        <row r="1675">
          <cell r="A1675" t="str">
            <v>40600041</v>
          </cell>
          <cell r="B1675">
            <v>0</v>
          </cell>
          <cell r="I1675">
            <v>63000</v>
          </cell>
        </row>
        <row r="1676">
          <cell r="A1676" t="str">
            <v>40600070</v>
          </cell>
          <cell r="B1676">
            <v>1</v>
          </cell>
          <cell r="I1676">
            <v>60000</v>
          </cell>
        </row>
        <row r="1677">
          <cell r="A1677" t="str">
            <v>40600071</v>
          </cell>
          <cell r="B1677">
            <v>1</v>
          </cell>
          <cell r="I1677">
            <v>63000</v>
          </cell>
        </row>
        <row r="1678">
          <cell r="A1678" t="str">
            <v>40650010</v>
          </cell>
          <cell r="B1678">
            <v>1</v>
          </cell>
          <cell r="I1678">
            <v>65000</v>
          </cell>
        </row>
        <row r="1679">
          <cell r="A1679" t="str">
            <v>40650020</v>
          </cell>
          <cell r="B1679">
            <v>1</v>
          </cell>
          <cell r="I1679">
            <v>65000</v>
          </cell>
        </row>
        <row r="1680">
          <cell r="A1680" t="str">
            <v>40650030</v>
          </cell>
          <cell r="B1680">
            <v>1</v>
          </cell>
          <cell r="I1680">
            <v>65000</v>
          </cell>
        </row>
        <row r="1681">
          <cell r="A1681" t="str">
            <v>40650080</v>
          </cell>
          <cell r="B1681">
            <v>1</v>
          </cell>
          <cell r="I1681">
            <v>65000</v>
          </cell>
        </row>
        <row r="1682">
          <cell r="A1682" t="str">
            <v>40650090</v>
          </cell>
          <cell r="B1682">
            <v>1</v>
          </cell>
          <cell r="I1682">
            <v>65000</v>
          </cell>
        </row>
        <row r="1683">
          <cell r="A1683" t="str">
            <v>40650100</v>
          </cell>
          <cell r="B1683">
            <v>1</v>
          </cell>
          <cell r="I1683">
            <v>65000</v>
          </cell>
        </row>
        <row r="1684">
          <cell r="A1684" t="str">
            <v>40651050</v>
          </cell>
          <cell r="B1684">
            <v>1</v>
          </cell>
          <cell r="I1684">
            <v>65000</v>
          </cell>
        </row>
        <row r="1685">
          <cell r="A1685" t="str">
            <v>40651051</v>
          </cell>
          <cell r="B1685">
            <v>0</v>
          </cell>
          <cell r="I1685">
            <v>68000</v>
          </cell>
        </row>
        <row r="1686">
          <cell r="A1686" t="str">
            <v>40651060</v>
          </cell>
          <cell r="B1686">
            <v>1</v>
          </cell>
          <cell r="I1686">
            <v>65000</v>
          </cell>
        </row>
        <row r="1687">
          <cell r="A1687" t="str">
            <v>40651061</v>
          </cell>
          <cell r="B1687">
            <v>0</v>
          </cell>
          <cell r="I1687">
            <v>68000</v>
          </cell>
        </row>
        <row r="1688">
          <cell r="A1688" t="str">
            <v>40652050</v>
          </cell>
          <cell r="B1688">
            <v>1</v>
          </cell>
          <cell r="I1688">
            <v>65000</v>
          </cell>
        </row>
        <row r="1689">
          <cell r="A1689" t="str">
            <v>40652051</v>
          </cell>
          <cell r="B1689">
            <v>0</v>
          </cell>
          <cell r="I1689">
            <v>68000</v>
          </cell>
        </row>
        <row r="1690">
          <cell r="A1690" t="str">
            <v>40652060</v>
          </cell>
          <cell r="B1690">
            <v>1</v>
          </cell>
          <cell r="I1690">
            <v>65000</v>
          </cell>
        </row>
        <row r="1691">
          <cell r="A1691" t="str">
            <v>40652061</v>
          </cell>
          <cell r="B1691">
            <v>0</v>
          </cell>
          <cell r="I1691">
            <v>68000</v>
          </cell>
        </row>
        <row r="1692">
          <cell r="A1692" t="str">
            <v>40653050</v>
          </cell>
          <cell r="B1692">
            <v>1</v>
          </cell>
          <cell r="I1692">
            <v>65000</v>
          </cell>
        </row>
        <row r="1693">
          <cell r="A1693" t="str">
            <v>40653051</v>
          </cell>
          <cell r="B1693">
            <v>0</v>
          </cell>
          <cell r="I1693">
            <v>68000</v>
          </cell>
        </row>
        <row r="1694">
          <cell r="A1694" t="str">
            <v>40653060</v>
          </cell>
          <cell r="B1694">
            <v>1</v>
          </cell>
          <cell r="I1694">
            <v>65000</v>
          </cell>
        </row>
        <row r="1695">
          <cell r="A1695" t="str">
            <v>40653061</v>
          </cell>
          <cell r="B1695">
            <v>0</v>
          </cell>
          <cell r="I1695">
            <v>68000</v>
          </cell>
        </row>
        <row r="1696">
          <cell r="A1696" t="str">
            <v>40650040</v>
          </cell>
          <cell r="B1696">
            <v>1</v>
          </cell>
          <cell r="I1696">
            <v>65000</v>
          </cell>
        </row>
        <row r="1697">
          <cell r="A1697" t="str">
            <v>40650041</v>
          </cell>
          <cell r="B1697">
            <v>0</v>
          </cell>
          <cell r="I1697">
            <v>68000</v>
          </cell>
        </row>
        <row r="1698">
          <cell r="A1698" t="str">
            <v>40650070</v>
          </cell>
          <cell r="B1698">
            <v>1</v>
          </cell>
          <cell r="I1698">
            <v>65000</v>
          </cell>
        </row>
        <row r="1699">
          <cell r="A1699" t="str">
            <v>40650071</v>
          </cell>
          <cell r="B1699">
            <v>0</v>
          </cell>
          <cell r="I1699">
            <v>68000</v>
          </cell>
        </row>
        <row r="1700">
          <cell r="A1700" t="str">
            <v>40700010</v>
          </cell>
          <cell r="B1700">
            <v>1</v>
          </cell>
          <cell r="I1700">
            <v>70000</v>
          </cell>
        </row>
        <row r="1701">
          <cell r="A1701" t="str">
            <v>40700020</v>
          </cell>
          <cell r="B1701">
            <v>1</v>
          </cell>
          <cell r="I1701">
            <v>70000</v>
          </cell>
        </row>
        <row r="1702">
          <cell r="A1702" t="str">
            <v>40700030</v>
          </cell>
          <cell r="B1702">
            <v>1</v>
          </cell>
          <cell r="I1702">
            <v>70000</v>
          </cell>
        </row>
        <row r="1703">
          <cell r="A1703" t="str">
            <v>40700080</v>
          </cell>
          <cell r="B1703">
            <v>1</v>
          </cell>
          <cell r="I1703">
            <v>70000</v>
          </cell>
        </row>
        <row r="1704">
          <cell r="A1704" t="str">
            <v>40700090</v>
          </cell>
          <cell r="B1704">
            <v>1</v>
          </cell>
          <cell r="I1704">
            <v>70000</v>
          </cell>
        </row>
        <row r="1705">
          <cell r="A1705" t="str">
            <v>40700100</v>
          </cell>
          <cell r="B1705">
            <v>1</v>
          </cell>
          <cell r="I1705">
            <v>70000</v>
          </cell>
        </row>
        <row r="1706">
          <cell r="A1706" t="str">
            <v>40701050</v>
          </cell>
          <cell r="B1706">
            <v>1</v>
          </cell>
          <cell r="I1706">
            <v>70000</v>
          </cell>
        </row>
        <row r="1707">
          <cell r="A1707" t="str">
            <v>40701051</v>
          </cell>
          <cell r="B1707">
            <v>0</v>
          </cell>
          <cell r="I1707">
            <v>73000</v>
          </cell>
        </row>
        <row r="1708">
          <cell r="A1708" t="str">
            <v>40701060</v>
          </cell>
          <cell r="B1708">
            <v>1</v>
          </cell>
          <cell r="I1708">
            <v>70000</v>
          </cell>
        </row>
        <row r="1709">
          <cell r="A1709" t="str">
            <v>40701061</v>
          </cell>
          <cell r="B1709">
            <v>0</v>
          </cell>
          <cell r="I1709">
            <v>73000</v>
          </cell>
        </row>
        <row r="1710">
          <cell r="A1710" t="str">
            <v>40702050</v>
          </cell>
          <cell r="B1710">
            <v>1</v>
          </cell>
          <cell r="I1710">
            <v>70000</v>
          </cell>
        </row>
        <row r="1711">
          <cell r="A1711" t="str">
            <v>40702051</v>
          </cell>
          <cell r="B1711">
            <v>0</v>
          </cell>
          <cell r="I1711">
            <v>73000</v>
          </cell>
        </row>
        <row r="1712">
          <cell r="A1712" t="str">
            <v>40702060</v>
          </cell>
          <cell r="B1712">
            <v>1</v>
          </cell>
          <cell r="I1712">
            <v>70000</v>
          </cell>
        </row>
        <row r="1713">
          <cell r="A1713" t="str">
            <v>40702061</v>
          </cell>
          <cell r="B1713">
            <v>0</v>
          </cell>
          <cell r="I1713">
            <v>73000</v>
          </cell>
        </row>
        <row r="1714">
          <cell r="A1714" t="str">
            <v>40703050</v>
          </cell>
          <cell r="B1714">
            <v>1</v>
          </cell>
          <cell r="I1714">
            <v>70000</v>
          </cell>
        </row>
        <row r="1715">
          <cell r="A1715" t="str">
            <v>40703051</v>
          </cell>
          <cell r="B1715">
            <v>0</v>
          </cell>
          <cell r="I1715">
            <v>73000</v>
          </cell>
        </row>
        <row r="1716">
          <cell r="A1716" t="str">
            <v>40703060</v>
          </cell>
          <cell r="B1716">
            <v>1</v>
          </cell>
          <cell r="I1716">
            <v>70000</v>
          </cell>
        </row>
        <row r="1717">
          <cell r="A1717" t="str">
            <v>40703061</v>
          </cell>
          <cell r="B1717">
            <v>0</v>
          </cell>
          <cell r="I1717">
            <v>73000</v>
          </cell>
        </row>
        <row r="1718">
          <cell r="A1718" t="str">
            <v>40700040</v>
          </cell>
          <cell r="B1718">
            <v>1</v>
          </cell>
          <cell r="I1718">
            <v>70000</v>
          </cell>
        </row>
        <row r="1719">
          <cell r="A1719" t="str">
            <v>40700041</v>
          </cell>
          <cell r="B1719">
            <v>0</v>
          </cell>
          <cell r="I1719">
            <v>73000</v>
          </cell>
        </row>
        <row r="1720">
          <cell r="A1720" t="str">
            <v>40700070</v>
          </cell>
          <cell r="B1720">
            <v>1</v>
          </cell>
          <cell r="I1720">
            <v>70000</v>
          </cell>
        </row>
        <row r="1721">
          <cell r="A1721" t="str">
            <v>40700071</v>
          </cell>
          <cell r="B1721">
            <v>0</v>
          </cell>
          <cell r="I1721">
            <v>73000</v>
          </cell>
        </row>
        <row r="1722">
          <cell r="A1722">
            <v>40750010</v>
          </cell>
          <cell r="B1722">
            <v>1</v>
          </cell>
          <cell r="I1722">
            <v>76000</v>
          </cell>
        </row>
        <row r="1723">
          <cell r="A1723">
            <v>40750020</v>
          </cell>
          <cell r="B1723">
            <v>1</v>
          </cell>
          <cell r="I1723">
            <v>76000</v>
          </cell>
        </row>
        <row r="1724">
          <cell r="A1724">
            <v>40750030</v>
          </cell>
          <cell r="B1724">
            <v>1</v>
          </cell>
          <cell r="I1724">
            <v>76000</v>
          </cell>
        </row>
        <row r="1725">
          <cell r="A1725">
            <v>40750080</v>
          </cell>
          <cell r="B1725">
            <v>1</v>
          </cell>
          <cell r="I1725">
            <v>76000</v>
          </cell>
        </row>
        <row r="1726">
          <cell r="A1726">
            <v>40750090</v>
          </cell>
          <cell r="B1726">
            <v>1</v>
          </cell>
          <cell r="I1726">
            <v>76000</v>
          </cell>
        </row>
        <row r="1727">
          <cell r="A1727">
            <v>40750100</v>
          </cell>
          <cell r="B1727">
            <v>1</v>
          </cell>
          <cell r="I1727">
            <v>76000</v>
          </cell>
        </row>
        <row r="1728">
          <cell r="A1728">
            <v>40751050</v>
          </cell>
          <cell r="B1728">
            <v>1</v>
          </cell>
          <cell r="I1728">
            <v>76000</v>
          </cell>
        </row>
        <row r="1729">
          <cell r="A1729">
            <v>40751051</v>
          </cell>
          <cell r="B1729">
            <v>1</v>
          </cell>
          <cell r="I1729">
            <v>79000</v>
          </cell>
        </row>
        <row r="1730">
          <cell r="A1730">
            <v>40751060</v>
          </cell>
          <cell r="B1730">
            <v>1</v>
          </cell>
          <cell r="I1730">
            <v>76000</v>
          </cell>
        </row>
        <row r="1731">
          <cell r="A1731">
            <v>40751061</v>
          </cell>
          <cell r="B1731">
            <v>1</v>
          </cell>
          <cell r="I1731">
            <v>79000</v>
          </cell>
        </row>
        <row r="1732">
          <cell r="A1732">
            <v>40752050</v>
          </cell>
          <cell r="B1732">
            <v>1</v>
          </cell>
          <cell r="I1732">
            <v>76000</v>
          </cell>
        </row>
        <row r="1733">
          <cell r="A1733">
            <v>40752051</v>
          </cell>
          <cell r="B1733">
            <v>1</v>
          </cell>
          <cell r="I1733">
            <v>79000</v>
          </cell>
        </row>
        <row r="1734">
          <cell r="A1734">
            <v>40752060</v>
          </cell>
          <cell r="B1734">
            <v>1</v>
          </cell>
          <cell r="I1734">
            <v>76000</v>
          </cell>
        </row>
        <row r="1735">
          <cell r="A1735">
            <v>40752061</v>
          </cell>
          <cell r="B1735">
            <v>1</v>
          </cell>
          <cell r="I1735">
            <v>79000</v>
          </cell>
        </row>
        <row r="1736">
          <cell r="A1736">
            <v>40753050</v>
          </cell>
          <cell r="B1736">
            <v>1</v>
          </cell>
          <cell r="I1736">
            <v>76000</v>
          </cell>
        </row>
        <row r="1737">
          <cell r="A1737">
            <v>40753051</v>
          </cell>
          <cell r="B1737">
            <v>1</v>
          </cell>
          <cell r="I1737">
            <v>79000</v>
          </cell>
        </row>
        <row r="1738">
          <cell r="A1738">
            <v>40753060</v>
          </cell>
          <cell r="B1738">
            <v>1</v>
          </cell>
          <cell r="I1738">
            <v>76000</v>
          </cell>
        </row>
        <row r="1739">
          <cell r="A1739">
            <v>40753061</v>
          </cell>
          <cell r="B1739">
            <v>1</v>
          </cell>
          <cell r="I1739">
            <v>79000</v>
          </cell>
        </row>
        <row r="1740">
          <cell r="A1740">
            <v>40750040</v>
          </cell>
          <cell r="B1740">
            <v>1</v>
          </cell>
          <cell r="I1740">
            <v>76000</v>
          </cell>
        </row>
        <row r="1741">
          <cell r="A1741">
            <v>40750041</v>
          </cell>
          <cell r="B1741">
            <v>1</v>
          </cell>
          <cell r="I1741">
            <v>79000</v>
          </cell>
        </row>
        <row r="1742">
          <cell r="A1742">
            <v>40750070</v>
          </cell>
          <cell r="B1742">
            <v>1</v>
          </cell>
          <cell r="I1742">
            <v>76000</v>
          </cell>
        </row>
        <row r="1743">
          <cell r="A1743">
            <v>40750071</v>
          </cell>
          <cell r="B1743">
            <v>1</v>
          </cell>
          <cell r="I1743">
            <v>79000</v>
          </cell>
        </row>
        <row r="1744">
          <cell r="A1744">
            <v>40800010</v>
          </cell>
          <cell r="B1744">
            <v>1</v>
          </cell>
          <cell r="I1744">
            <v>82000</v>
          </cell>
        </row>
        <row r="1745">
          <cell r="A1745">
            <v>40800020</v>
          </cell>
          <cell r="B1745">
            <v>1</v>
          </cell>
          <cell r="I1745">
            <v>82000</v>
          </cell>
        </row>
        <row r="1746">
          <cell r="A1746">
            <v>40800030</v>
          </cell>
          <cell r="B1746">
            <v>1</v>
          </cell>
          <cell r="I1746">
            <v>82000</v>
          </cell>
        </row>
        <row r="1747">
          <cell r="A1747">
            <v>40800080</v>
          </cell>
          <cell r="B1747">
            <v>1</v>
          </cell>
          <cell r="I1747">
            <v>82000</v>
          </cell>
        </row>
        <row r="1748">
          <cell r="A1748">
            <v>40800090</v>
          </cell>
          <cell r="B1748">
            <v>1</v>
          </cell>
          <cell r="I1748">
            <v>82000</v>
          </cell>
        </row>
        <row r="1749">
          <cell r="A1749">
            <v>40800100</v>
          </cell>
          <cell r="B1749">
            <v>1</v>
          </cell>
          <cell r="I1749">
            <v>82000</v>
          </cell>
        </row>
        <row r="1750">
          <cell r="A1750">
            <v>40801050</v>
          </cell>
          <cell r="B1750">
            <v>1</v>
          </cell>
          <cell r="I1750">
            <v>82000</v>
          </cell>
        </row>
        <row r="1751">
          <cell r="A1751">
            <v>40801051</v>
          </cell>
          <cell r="B1751">
            <v>1</v>
          </cell>
          <cell r="I1751">
            <v>85000</v>
          </cell>
        </row>
        <row r="1752">
          <cell r="A1752">
            <v>40801060</v>
          </cell>
          <cell r="B1752">
            <v>1</v>
          </cell>
          <cell r="I1752">
            <v>82000</v>
          </cell>
        </row>
        <row r="1753">
          <cell r="A1753">
            <v>40801061</v>
          </cell>
          <cell r="B1753">
            <v>1</v>
          </cell>
          <cell r="I1753">
            <v>85000</v>
          </cell>
        </row>
        <row r="1754">
          <cell r="A1754">
            <v>40802050</v>
          </cell>
          <cell r="B1754">
            <v>1</v>
          </cell>
          <cell r="I1754">
            <v>82000</v>
          </cell>
        </row>
        <row r="1755">
          <cell r="A1755">
            <v>40802051</v>
          </cell>
          <cell r="B1755">
            <v>1</v>
          </cell>
          <cell r="I1755">
            <v>85000</v>
          </cell>
        </row>
        <row r="1756">
          <cell r="A1756">
            <v>40802060</v>
          </cell>
          <cell r="B1756">
            <v>1</v>
          </cell>
          <cell r="I1756">
            <v>82000</v>
          </cell>
        </row>
        <row r="1757">
          <cell r="A1757">
            <v>40802061</v>
          </cell>
          <cell r="B1757">
            <v>1</v>
          </cell>
          <cell r="I1757">
            <v>85000</v>
          </cell>
        </row>
        <row r="1758">
          <cell r="A1758">
            <v>40803050</v>
          </cell>
          <cell r="B1758">
            <v>1</v>
          </cell>
          <cell r="I1758">
            <v>82000</v>
          </cell>
        </row>
        <row r="1759">
          <cell r="A1759">
            <v>40803051</v>
          </cell>
          <cell r="B1759">
            <v>1</v>
          </cell>
          <cell r="I1759">
            <v>85000</v>
          </cell>
        </row>
        <row r="1760">
          <cell r="A1760">
            <v>40803060</v>
          </cell>
          <cell r="B1760">
            <v>1</v>
          </cell>
          <cell r="I1760">
            <v>82000</v>
          </cell>
        </row>
        <row r="1761">
          <cell r="A1761">
            <v>40803061</v>
          </cell>
          <cell r="B1761">
            <v>1</v>
          </cell>
          <cell r="I1761">
            <v>85000</v>
          </cell>
        </row>
        <row r="1762">
          <cell r="A1762">
            <v>40800040</v>
          </cell>
          <cell r="B1762">
            <v>1</v>
          </cell>
          <cell r="I1762">
            <v>82000</v>
          </cell>
        </row>
        <row r="1763">
          <cell r="A1763">
            <v>40800041</v>
          </cell>
          <cell r="B1763">
            <v>1</v>
          </cell>
          <cell r="I1763">
            <v>85000</v>
          </cell>
        </row>
        <row r="1764">
          <cell r="A1764">
            <v>40800070</v>
          </cell>
          <cell r="B1764">
            <v>1</v>
          </cell>
          <cell r="I1764">
            <v>82000</v>
          </cell>
        </row>
        <row r="1765">
          <cell r="A1765">
            <v>40800071</v>
          </cell>
          <cell r="B1765">
            <v>1</v>
          </cell>
          <cell r="I1765">
            <v>85000</v>
          </cell>
        </row>
        <row r="1766">
          <cell r="A1766">
            <v>40850010</v>
          </cell>
          <cell r="B1766">
            <v>1</v>
          </cell>
          <cell r="I1766">
            <v>88000</v>
          </cell>
        </row>
        <row r="1767">
          <cell r="A1767">
            <v>40850020</v>
          </cell>
          <cell r="B1767">
            <v>1</v>
          </cell>
          <cell r="I1767">
            <v>88000</v>
          </cell>
        </row>
        <row r="1768">
          <cell r="A1768">
            <v>40850030</v>
          </cell>
          <cell r="B1768">
            <v>1</v>
          </cell>
          <cell r="I1768">
            <v>88000</v>
          </cell>
        </row>
        <row r="1769">
          <cell r="A1769">
            <v>40850080</v>
          </cell>
          <cell r="B1769">
            <v>1</v>
          </cell>
          <cell r="I1769">
            <v>88000</v>
          </cell>
        </row>
        <row r="1770">
          <cell r="A1770">
            <v>40850090</v>
          </cell>
          <cell r="B1770">
            <v>1</v>
          </cell>
          <cell r="I1770">
            <v>88000</v>
          </cell>
        </row>
        <row r="1771">
          <cell r="A1771">
            <v>40850100</v>
          </cell>
          <cell r="B1771">
            <v>1</v>
          </cell>
          <cell r="I1771">
            <v>88000</v>
          </cell>
        </row>
        <row r="1772">
          <cell r="A1772">
            <v>40851050</v>
          </cell>
          <cell r="B1772">
            <v>1</v>
          </cell>
          <cell r="I1772">
            <v>88000</v>
          </cell>
        </row>
        <row r="1773">
          <cell r="A1773">
            <v>40851051</v>
          </cell>
          <cell r="B1773">
            <v>1</v>
          </cell>
          <cell r="I1773">
            <v>91000</v>
          </cell>
        </row>
        <row r="1774">
          <cell r="A1774">
            <v>40851060</v>
          </cell>
          <cell r="B1774">
            <v>1</v>
          </cell>
          <cell r="I1774">
            <v>88000</v>
          </cell>
        </row>
        <row r="1775">
          <cell r="A1775">
            <v>40851061</v>
          </cell>
          <cell r="B1775">
            <v>1</v>
          </cell>
          <cell r="I1775">
            <v>91000</v>
          </cell>
        </row>
        <row r="1776">
          <cell r="A1776">
            <v>40852050</v>
          </cell>
          <cell r="B1776">
            <v>1</v>
          </cell>
          <cell r="I1776">
            <v>88000</v>
          </cell>
        </row>
        <row r="1777">
          <cell r="A1777">
            <v>40852051</v>
          </cell>
          <cell r="B1777">
            <v>1</v>
          </cell>
          <cell r="I1777">
            <v>91000</v>
          </cell>
        </row>
        <row r="1778">
          <cell r="A1778">
            <v>40852060</v>
          </cell>
          <cell r="B1778">
            <v>1</v>
          </cell>
          <cell r="I1778">
            <v>88000</v>
          </cell>
        </row>
        <row r="1779">
          <cell r="A1779">
            <v>40852061</v>
          </cell>
          <cell r="B1779">
            <v>1</v>
          </cell>
          <cell r="I1779">
            <v>91000</v>
          </cell>
        </row>
        <row r="1780">
          <cell r="A1780">
            <v>40853050</v>
          </cell>
          <cell r="B1780">
            <v>1</v>
          </cell>
          <cell r="I1780">
            <v>88000</v>
          </cell>
        </row>
        <row r="1781">
          <cell r="A1781">
            <v>40853051</v>
          </cell>
          <cell r="B1781">
            <v>1</v>
          </cell>
          <cell r="I1781">
            <v>91000</v>
          </cell>
        </row>
        <row r="1782">
          <cell r="A1782">
            <v>40853060</v>
          </cell>
          <cell r="B1782">
            <v>1</v>
          </cell>
          <cell r="I1782">
            <v>88000</v>
          </cell>
        </row>
        <row r="1783">
          <cell r="A1783">
            <v>40853061</v>
          </cell>
          <cell r="B1783">
            <v>1</v>
          </cell>
          <cell r="I1783">
            <v>91000</v>
          </cell>
        </row>
        <row r="1784">
          <cell r="A1784">
            <v>40850040</v>
          </cell>
          <cell r="B1784">
            <v>1</v>
          </cell>
          <cell r="I1784">
            <v>88000</v>
          </cell>
        </row>
        <row r="1785">
          <cell r="A1785">
            <v>40850041</v>
          </cell>
          <cell r="B1785">
            <v>1</v>
          </cell>
          <cell r="I1785">
            <v>91000</v>
          </cell>
        </row>
        <row r="1786">
          <cell r="A1786">
            <v>40850070</v>
          </cell>
          <cell r="B1786">
            <v>1</v>
          </cell>
          <cell r="I1786">
            <v>88000</v>
          </cell>
        </row>
        <row r="1787">
          <cell r="A1787">
            <v>40850071</v>
          </cell>
          <cell r="B1787">
            <v>1</v>
          </cell>
          <cell r="I1787">
            <v>91000</v>
          </cell>
        </row>
        <row r="1788">
          <cell r="A1788">
            <v>40900010</v>
          </cell>
          <cell r="B1788">
            <v>1</v>
          </cell>
          <cell r="I1788">
            <v>94000</v>
          </cell>
        </row>
        <row r="1789">
          <cell r="A1789">
            <v>40900020</v>
          </cell>
          <cell r="B1789">
            <v>1</v>
          </cell>
          <cell r="I1789">
            <v>94000</v>
          </cell>
        </row>
        <row r="1790">
          <cell r="A1790">
            <v>40900030</v>
          </cell>
          <cell r="B1790">
            <v>1</v>
          </cell>
          <cell r="I1790">
            <v>94000</v>
          </cell>
        </row>
        <row r="1791">
          <cell r="A1791">
            <v>40900080</v>
          </cell>
          <cell r="B1791">
            <v>1</v>
          </cell>
          <cell r="I1791">
            <v>94000</v>
          </cell>
        </row>
        <row r="1792">
          <cell r="A1792">
            <v>40900090</v>
          </cell>
          <cell r="B1792">
            <v>1</v>
          </cell>
          <cell r="I1792">
            <v>94000</v>
          </cell>
        </row>
        <row r="1793">
          <cell r="A1793">
            <v>40900100</v>
          </cell>
          <cell r="B1793">
            <v>1</v>
          </cell>
          <cell r="I1793">
            <v>94000</v>
          </cell>
        </row>
        <row r="1794">
          <cell r="A1794">
            <v>40901050</v>
          </cell>
          <cell r="B1794">
            <v>1</v>
          </cell>
          <cell r="I1794">
            <v>94000</v>
          </cell>
        </row>
        <row r="1795">
          <cell r="A1795">
            <v>40901051</v>
          </cell>
          <cell r="B1795">
            <v>1</v>
          </cell>
          <cell r="I1795">
            <v>97000</v>
          </cell>
        </row>
        <row r="1796">
          <cell r="A1796">
            <v>40901060</v>
          </cell>
          <cell r="B1796">
            <v>1</v>
          </cell>
          <cell r="I1796">
            <v>94000</v>
          </cell>
        </row>
        <row r="1797">
          <cell r="A1797">
            <v>40901061</v>
          </cell>
          <cell r="B1797">
            <v>1</v>
          </cell>
          <cell r="I1797">
            <v>97000</v>
          </cell>
        </row>
        <row r="1798">
          <cell r="A1798">
            <v>40902050</v>
          </cell>
          <cell r="B1798">
            <v>1</v>
          </cell>
          <cell r="I1798">
            <v>94000</v>
          </cell>
        </row>
        <row r="1799">
          <cell r="A1799">
            <v>40902051</v>
          </cell>
          <cell r="B1799">
            <v>1</v>
          </cell>
          <cell r="I1799">
            <v>97000</v>
          </cell>
        </row>
        <row r="1800">
          <cell r="A1800">
            <v>40902060</v>
          </cell>
          <cell r="B1800">
            <v>1</v>
          </cell>
          <cell r="I1800">
            <v>94000</v>
          </cell>
        </row>
        <row r="1801">
          <cell r="A1801">
            <v>40902061</v>
          </cell>
          <cell r="B1801">
            <v>1</v>
          </cell>
          <cell r="I1801">
            <v>97000</v>
          </cell>
        </row>
        <row r="1802">
          <cell r="A1802">
            <v>40903050</v>
          </cell>
          <cell r="B1802">
            <v>1</v>
          </cell>
          <cell r="I1802">
            <v>94000</v>
          </cell>
        </row>
        <row r="1803">
          <cell r="A1803">
            <v>40903051</v>
          </cell>
          <cell r="B1803">
            <v>1</v>
          </cell>
          <cell r="I1803">
            <v>97000</v>
          </cell>
        </row>
        <row r="1804">
          <cell r="A1804">
            <v>40903060</v>
          </cell>
          <cell r="B1804">
            <v>1</v>
          </cell>
          <cell r="I1804">
            <v>94000</v>
          </cell>
        </row>
        <row r="1805">
          <cell r="A1805">
            <v>40903061</v>
          </cell>
          <cell r="B1805">
            <v>1</v>
          </cell>
          <cell r="I1805">
            <v>97000</v>
          </cell>
        </row>
        <row r="1806">
          <cell r="A1806">
            <v>40900040</v>
          </cell>
          <cell r="B1806">
            <v>1</v>
          </cell>
          <cell r="I1806">
            <v>94000</v>
          </cell>
        </row>
        <row r="1807">
          <cell r="A1807">
            <v>40900041</v>
          </cell>
          <cell r="B1807">
            <v>1</v>
          </cell>
          <cell r="I1807">
            <v>97000</v>
          </cell>
        </row>
        <row r="1808">
          <cell r="A1808">
            <v>40900070</v>
          </cell>
          <cell r="B1808">
            <v>1</v>
          </cell>
          <cell r="I1808">
            <v>94000</v>
          </cell>
        </row>
        <row r="1809">
          <cell r="A1809">
            <v>40900071</v>
          </cell>
          <cell r="B1809">
            <v>1</v>
          </cell>
          <cell r="I1809">
            <v>97000</v>
          </cell>
        </row>
        <row r="1810">
          <cell r="A1810">
            <v>40950010</v>
          </cell>
          <cell r="B1810">
            <v>1</v>
          </cell>
          <cell r="I1810">
            <v>100000</v>
          </cell>
        </row>
        <row r="1811">
          <cell r="A1811">
            <v>40950020</v>
          </cell>
          <cell r="B1811">
            <v>1</v>
          </cell>
          <cell r="I1811">
            <v>100000</v>
          </cell>
        </row>
        <row r="1812">
          <cell r="A1812">
            <v>40950030</v>
          </cell>
          <cell r="B1812">
            <v>1</v>
          </cell>
          <cell r="I1812">
            <v>100000</v>
          </cell>
        </row>
        <row r="1813">
          <cell r="A1813">
            <v>40950080</v>
          </cell>
          <cell r="B1813">
            <v>1</v>
          </cell>
          <cell r="I1813">
            <v>100000</v>
          </cell>
        </row>
        <row r="1814">
          <cell r="A1814">
            <v>40950090</v>
          </cell>
          <cell r="B1814">
            <v>1</v>
          </cell>
          <cell r="I1814">
            <v>100000</v>
          </cell>
        </row>
        <row r="1815">
          <cell r="A1815">
            <v>40950100</v>
          </cell>
          <cell r="B1815">
            <v>1</v>
          </cell>
          <cell r="I1815">
            <v>100000</v>
          </cell>
        </row>
        <row r="1816">
          <cell r="A1816">
            <v>40951050</v>
          </cell>
          <cell r="B1816">
            <v>1</v>
          </cell>
          <cell r="I1816">
            <v>100000</v>
          </cell>
        </row>
        <row r="1817">
          <cell r="A1817">
            <v>40951051</v>
          </cell>
          <cell r="B1817">
            <v>1</v>
          </cell>
          <cell r="I1817">
            <v>103000</v>
          </cell>
        </row>
        <row r="1818">
          <cell r="A1818">
            <v>40951060</v>
          </cell>
          <cell r="B1818">
            <v>1</v>
          </cell>
          <cell r="I1818">
            <v>100000</v>
          </cell>
        </row>
        <row r="1819">
          <cell r="A1819">
            <v>40951061</v>
          </cell>
          <cell r="B1819">
            <v>1</v>
          </cell>
          <cell r="I1819">
            <v>103000</v>
          </cell>
        </row>
        <row r="1820">
          <cell r="A1820">
            <v>40952050</v>
          </cell>
          <cell r="B1820">
            <v>1</v>
          </cell>
          <cell r="I1820">
            <v>100000</v>
          </cell>
        </row>
        <row r="1821">
          <cell r="A1821">
            <v>40952051</v>
          </cell>
          <cell r="B1821">
            <v>1</v>
          </cell>
          <cell r="I1821">
            <v>103000</v>
          </cell>
        </row>
        <row r="1822">
          <cell r="A1822">
            <v>40952060</v>
          </cell>
          <cell r="B1822">
            <v>1</v>
          </cell>
          <cell r="I1822">
            <v>100000</v>
          </cell>
        </row>
        <row r="1823">
          <cell r="A1823">
            <v>40952061</v>
          </cell>
          <cell r="B1823">
            <v>1</v>
          </cell>
          <cell r="I1823">
            <v>103000</v>
          </cell>
        </row>
        <row r="1824">
          <cell r="A1824">
            <v>40953050</v>
          </cell>
          <cell r="B1824">
            <v>1</v>
          </cell>
          <cell r="I1824">
            <v>100000</v>
          </cell>
        </row>
        <row r="1825">
          <cell r="A1825">
            <v>40953051</v>
          </cell>
          <cell r="B1825">
            <v>1</v>
          </cell>
          <cell r="I1825">
            <v>103000</v>
          </cell>
        </row>
        <row r="1826">
          <cell r="A1826">
            <v>40953060</v>
          </cell>
          <cell r="B1826">
            <v>1</v>
          </cell>
          <cell r="I1826">
            <v>100000</v>
          </cell>
        </row>
        <row r="1827">
          <cell r="A1827">
            <v>40953061</v>
          </cell>
          <cell r="B1827">
            <v>1</v>
          </cell>
          <cell r="I1827">
            <v>103000</v>
          </cell>
        </row>
        <row r="1828">
          <cell r="A1828">
            <v>40950040</v>
          </cell>
          <cell r="B1828">
            <v>1</v>
          </cell>
          <cell r="I1828">
            <v>100000</v>
          </cell>
        </row>
        <row r="1829">
          <cell r="A1829">
            <v>40950041</v>
          </cell>
          <cell r="B1829">
            <v>1</v>
          </cell>
          <cell r="I1829">
            <v>103000</v>
          </cell>
        </row>
        <row r="1830">
          <cell r="A1830">
            <v>40950070</v>
          </cell>
          <cell r="B1830">
            <v>1</v>
          </cell>
          <cell r="I1830">
            <v>100000</v>
          </cell>
        </row>
        <row r="1831">
          <cell r="A1831">
            <v>40950071</v>
          </cell>
          <cell r="B1831">
            <v>1</v>
          </cell>
          <cell r="I1831">
            <v>103000</v>
          </cell>
        </row>
        <row r="1832">
          <cell r="A1832">
            <v>41000010</v>
          </cell>
          <cell r="B1832">
            <v>1</v>
          </cell>
          <cell r="I1832">
            <v>106000</v>
          </cell>
        </row>
        <row r="1833">
          <cell r="A1833">
            <v>41000020</v>
          </cell>
          <cell r="B1833">
            <v>1</v>
          </cell>
          <cell r="I1833">
            <v>106000</v>
          </cell>
        </row>
        <row r="1834">
          <cell r="A1834">
            <v>41000030</v>
          </cell>
          <cell r="B1834">
            <v>1</v>
          </cell>
          <cell r="I1834">
            <v>106000</v>
          </cell>
        </row>
        <row r="1835">
          <cell r="A1835">
            <v>41000080</v>
          </cell>
          <cell r="B1835">
            <v>1</v>
          </cell>
          <cell r="I1835">
            <v>106000</v>
          </cell>
        </row>
        <row r="1836">
          <cell r="A1836">
            <v>41000090</v>
          </cell>
          <cell r="B1836">
            <v>1</v>
          </cell>
          <cell r="I1836">
            <v>106000</v>
          </cell>
        </row>
        <row r="1837">
          <cell r="A1837">
            <v>41000100</v>
          </cell>
          <cell r="B1837">
            <v>1</v>
          </cell>
          <cell r="I1837">
            <v>106000</v>
          </cell>
        </row>
        <row r="1838">
          <cell r="A1838">
            <v>41001050</v>
          </cell>
          <cell r="B1838">
            <v>1</v>
          </cell>
          <cell r="I1838">
            <v>106000</v>
          </cell>
        </row>
        <row r="1839">
          <cell r="A1839">
            <v>41001051</v>
          </cell>
          <cell r="B1839">
            <v>0</v>
          </cell>
          <cell r="I1839">
            <v>109000</v>
          </cell>
        </row>
        <row r="1840">
          <cell r="A1840">
            <v>41001060</v>
          </cell>
          <cell r="B1840">
            <v>1</v>
          </cell>
          <cell r="I1840">
            <v>106000</v>
          </cell>
        </row>
        <row r="1841">
          <cell r="A1841">
            <v>41001061</v>
          </cell>
          <cell r="B1841">
            <v>0</v>
          </cell>
          <cell r="I1841">
            <v>109000</v>
          </cell>
        </row>
        <row r="1842">
          <cell r="A1842">
            <v>41002050</v>
          </cell>
          <cell r="B1842">
            <v>1</v>
          </cell>
          <cell r="I1842">
            <v>106000</v>
          </cell>
        </row>
        <row r="1843">
          <cell r="A1843">
            <v>41002051</v>
          </cell>
          <cell r="B1843">
            <v>0</v>
          </cell>
          <cell r="I1843">
            <v>109000</v>
          </cell>
        </row>
        <row r="1844">
          <cell r="A1844">
            <v>41002060</v>
          </cell>
          <cell r="B1844">
            <v>1</v>
          </cell>
          <cell r="I1844">
            <v>106000</v>
          </cell>
        </row>
        <row r="1845">
          <cell r="A1845">
            <v>41002061</v>
          </cell>
          <cell r="B1845">
            <v>0</v>
          </cell>
          <cell r="I1845">
            <v>109000</v>
          </cell>
        </row>
        <row r="1846">
          <cell r="A1846">
            <v>41003050</v>
          </cell>
          <cell r="B1846">
            <v>1</v>
          </cell>
          <cell r="I1846">
            <v>106000</v>
          </cell>
        </row>
        <row r="1847">
          <cell r="A1847">
            <v>41003051</v>
          </cell>
          <cell r="B1847">
            <v>0</v>
          </cell>
          <cell r="I1847">
            <v>109000</v>
          </cell>
        </row>
        <row r="1848">
          <cell r="A1848">
            <v>41003060</v>
          </cell>
          <cell r="B1848">
            <v>1</v>
          </cell>
          <cell r="I1848">
            <v>106000</v>
          </cell>
        </row>
        <row r="1849">
          <cell r="A1849">
            <v>41003061</v>
          </cell>
          <cell r="B1849">
            <v>0</v>
          </cell>
          <cell r="I1849">
            <v>109000</v>
          </cell>
        </row>
        <row r="1850">
          <cell r="A1850">
            <v>41000040</v>
          </cell>
          <cell r="B1850">
            <v>1</v>
          </cell>
          <cell r="I1850">
            <v>106000</v>
          </cell>
        </row>
        <row r="1851">
          <cell r="A1851">
            <v>41000041</v>
          </cell>
          <cell r="B1851">
            <v>1</v>
          </cell>
          <cell r="I1851">
            <v>109000</v>
          </cell>
        </row>
        <row r="1852">
          <cell r="A1852">
            <v>41000070</v>
          </cell>
          <cell r="B1852">
            <v>1</v>
          </cell>
          <cell r="I1852">
            <v>106000</v>
          </cell>
        </row>
        <row r="1853">
          <cell r="A1853">
            <v>41000071</v>
          </cell>
          <cell r="B1853">
            <v>1</v>
          </cell>
          <cell r="I1853">
            <v>109000</v>
          </cell>
        </row>
        <row r="1854">
          <cell r="A1854" t="str">
            <v>50010010</v>
          </cell>
          <cell r="B1854">
            <v>0</v>
          </cell>
          <cell r="I1854">
            <v>2000</v>
          </cell>
        </row>
        <row r="1855">
          <cell r="A1855" t="str">
            <v>50010020</v>
          </cell>
          <cell r="B1855">
            <v>0</v>
          </cell>
          <cell r="I1855">
            <v>2000</v>
          </cell>
        </row>
        <row r="1856">
          <cell r="A1856" t="str">
            <v>50010030</v>
          </cell>
          <cell r="B1856">
            <v>0</v>
          </cell>
          <cell r="I1856">
            <v>2000</v>
          </cell>
        </row>
        <row r="1857">
          <cell r="A1857" t="str">
            <v>50010080</v>
          </cell>
          <cell r="B1857">
            <v>1</v>
          </cell>
          <cell r="I1857">
            <v>2000</v>
          </cell>
        </row>
        <row r="1858">
          <cell r="A1858" t="str">
            <v>50010090</v>
          </cell>
          <cell r="B1858">
            <v>1</v>
          </cell>
          <cell r="I1858">
            <v>2000</v>
          </cell>
        </row>
        <row r="1859">
          <cell r="A1859" t="str">
            <v>50010100</v>
          </cell>
          <cell r="B1859">
            <v>0</v>
          </cell>
          <cell r="I1859">
            <v>2000</v>
          </cell>
        </row>
        <row r="1860">
          <cell r="A1860" t="str">
            <v>50011050</v>
          </cell>
          <cell r="B1860">
            <v>1</v>
          </cell>
          <cell r="I1860">
            <v>2000</v>
          </cell>
        </row>
        <row r="1861">
          <cell r="A1861" t="str">
            <v>50011051</v>
          </cell>
          <cell r="B1861">
            <v>1</v>
          </cell>
          <cell r="I1861">
            <v>8000</v>
          </cell>
        </row>
        <row r="1862">
          <cell r="A1862" t="str">
            <v>50011060</v>
          </cell>
          <cell r="B1862">
            <v>1</v>
          </cell>
          <cell r="I1862">
            <v>2000</v>
          </cell>
        </row>
        <row r="1863">
          <cell r="A1863" t="str">
            <v>50011061</v>
          </cell>
          <cell r="B1863">
            <v>0</v>
          </cell>
          <cell r="I1863">
            <v>8000</v>
          </cell>
        </row>
        <row r="1864">
          <cell r="A1864" t="str">
            <v>50012050</v>
          </cell>
          <cell r="B1864">
            <v>1</v>
          </cell>
          <cell r="I1864">
            <v>2000</v>
          </cell>
        </row>
        <row r="1865">
          <cell r="A1865" t="str">
            <v>50012051</v>
          </cell>
          <cell r="B1865">
            <v>1</v>
          </cell>
          <cell r="I1865">
            <v>8000</v>
          </cell>
        </row>
        <row r="1866">
          <cell r="A1866" t="str">
            <v>50012060</v>
          </cell>
          <cell r="B1866">
            <v>1</v>
          </cell>
          <cell r="I1866">
            <v>2000</v>
          </cell>
        </row>
        <row r="1867">
          <cell r="A1867" t="str">
            <v>50012061</v>
          </cell>
          <cell r="B1867">
            <v>0</v>
          </cell>
          <cell r="I1867">
            <v>8000</v>
          </cell>
        </row>
        <row r="1868">
          <cell r="A1868" t="str">
            <v>50013050</v>
          </cell>
          <cell r="B1868">
            <v>1</v>
          </cell>
          <cell r="I1868">
            <v>2000</v>
          </cell>
        </row>
        <row r="1869">
          <cell r="A1869" t="str">
            <v>50013051</v>
          </cell>
          <cell r="B1869">
            <v>1</v>
          </cell>
          <cell r="I1869">
            <v>8000</v>
          </cell>
        </row>
        <row r="1870">
          <cell r="A1870" t="str">
            <v>50013060</v>
          </cell>
          <cell r="B1870">
            <v>1</v>
          </cell>
          <cell r="I1870">
            <v>2000</v>
          </cell>
        </row>
        <row r="1871">
          <cell r="A1871" t="str">
            <v>50013061</v>
          </cell>
          <cell r="B1871">
            <v>0</v>
          </cell>
          <cell r="I1871">
            <v>8000</v>
          </cell>
        </row>
        <row r="1872">
          <cell r="A1872" t="str">
            <v>50010040</v>
          </cell>
          <cell r="B1872">
            <v>1</v>
          </cell>
          <cell r="I1872">
            <v>2000</v>
          </cell>
        </row>
        <row r="1873">
          <cell r="A1873" t="str">
            <v>50010041</v>
          </cell>
          <cell r="B1873">
            <v>0</v>
          </cell>
          <cell r="I1873">
            <v>8000</v>
          </cell>
        </row>
        <row r="1874">
          <cell r="A1874" t="str">
            <v>50010070</v>
          </cell>
          <cell r="B1874">
            <v>0</v>
          </cell>
          <cell r="I1874">
            <v>2000</v>
          </cell>
        </row>
        <row r="1875">
          <cell r="A1875" t="str">
            <v>50010071</v>
          </cell>
          <cell r="B1875">
            <v>0</v>
          </cell>
          <cell r="I1875">
            <v>8000</v>
          </cell>
        </row>
        <row r="1876">
          <cell r="A1876" t="str">
            <v>50050010</v>
          </cell>
          <cell r="B1876">
            <v>1</v>
          </cell>
          <cell r="I1876">
            <v>10000</v>
          </cell>
        </row>
        <row r="1877">
          <cell r="A1877" t="str">
            <v>50050020</v>
          </cell>
          <cell r="B1877">
            <v>1</v>
          </cell>
          <cell r="I1877">
            <v>10000</v>
          </cell>
        </row>
        <row r="1878">
          <cell r="A1878" t="str">
            <v>50050030</v>
          </cell>
          <cell r="B1878">
            <v>1</v>
          </cell>
          <cell r="I1878">
            <v>10000</v>
          </cell>
        </row>
        <row r="1879">
          <cell r="A1879" t="str">
            <v>50050080</v>
          </cell>
          <cell r="B1879">
            <v>0</v>
          </cell>
          <cell r="I1879">
            <v>10000</v>
          </cell>
        </row>
        <row r="1880">
          <cell r="A1880" t="str">
            <v>50050090</v>
          </cell>
          <cell r="B1880">
            <v>0</v>
          </cell>
          <cell r="I1880">
            <v>10000</v>
          </cell>
        </row>
        <row r="1881">
          <cell r="A1881" t="str">
            <v>50050100</v>
          </cell>
          <cell r="B1881">
            <v>1</v>
          </cell>
          <cell r="I1881">
            <v>10000</v>
          </cell>
        </row>
        <row r="1882">
          <cell r="A1882" t="str">
            <v>50051050</v>
          </cell>
          <cell r="B1882">
            <v>1</v>
          </cell>
          <cell r="I1882">
            <v>10000</v>
          </cell>
        </row>
        <row r="1883">
          <cell r="A1883" t="str">
            <v>50051051</v>
          </cell>
          <cell r="B1883">
            <v>1</v>
          </cell>
          <cell r="I1883">
            <v>16000</v>
          </cell>
        </row>
        <row r="1884">
          <cell r="A1884" t="str">
            <v>50051060</v>
          </cell>
          <cell r="B1884">
            <v>1</v>
          </cell>
          <cell r="I1884">
            <v>10000</v>
          </cell>
        </row>
        <row r="1885">
          <cell r="A1885" t="str">
            <v>50051061</v>
          </cell>
          <cell r="B1885">
            <v>0</v>
          </cell>
          <cell r="I1885">
            <v>16000</v>
          </cell>
        </row>
        <row r="1886">
          <cell r="A1886" t="str">
            <v>50052050</v>
          </cell>
          <cell r="B1886">
            <v>1</v>
          </cell>
          <cell r="I1886">
            <v>10000</v>
          </cell>
        </row>
        <row r="1887">
          <cell r="A1887" t="str">
            <v>50052051</v>
          </cell>
          <cell r="B1887">
            <v>1</v>
          </cell>
          <cell r="I1887">
            <v>16000</v>
          </cell>
        </row>
        <row r="1888">
          <cell r="A1888" t="str">
            <v>50052060</v>
          </cell>
          <cell r="B1888">
            <v>1</v>
          </cell>
          <cell r="I1888">
            <v>10000</v>
          </cell>
        </row>
        <row r="1889">
          <cell r="A1889" t="str">
            <v>50052061</v>
          </cell>
          <cell r="B1889">
            <v>0</v>
          </cell>
          <cell r="I1889">
            <v>16000</v>
          </cell>
        </row>
        <row r="1890">
          <cell r="A1890" t="str">
            <v>50053050</v>
          </cell>
          <cell r="B1890">
            <v>1</v>
          </cell>
          <cell r="I1890">
            <v>10000</v>
          </cell>
        </row>
        <row r="1891">
          <cell r="A1891" t="str">
            <v>50053051</v>
          </cell>
          <cell r="B1891">
            <v>1</v>
          </cell>
          <cell r="I1891">
            <v>16000</v>
          </cell>
        </row>
        <row r="1892">
          <cell r="A1892" t="str">
            <v>50053060</v>
          </cell>
          <cell r="B1892">
            <v>1</v>
          </cell>
          <cell r="I1892">
            <v>10000</v>
          </cell>
        </row>
        <row r="1893">
          <cell r="A1893" t="str">
            <v>50053061</v>
          </cell>
          <cell r="B1893">
            <v>0</v>
          </cell>
          <cell r="I1893">
            <v>16000</v>
          </cell>
        </row>
        <row r="1894">
          <cell r="A1894" t="str">
            <v>50050040</v>
          </cell>
          <cell r="B1894">
            <v>1</v>
          </cell>
          <cell r="I1894">
            <v>10000</v>
          </cell>
        </row>
        <row r="1895">
          <cell r="A1895" t="str">
            <v>50050041</v>
          </cell>
          <cell r="B1895">
            <v>1</v>
          </cell>
          <cell r="I1895">
            <v>16000</v>
          </cell>
        </row>
        <row r="1896">
          <cell r="A1896" t="str">
            <v>50050070</v>
          </cell>
          <cell r="B1896">
            <v>1</v>
          </cell>
          <cell r="I1896">
            <v>10000</v>
          </cell>
        </row>
        <row r="1897">
          <cell r="A1897" t="str">
            <v>50050071</v>
          </cell>
          <cell r="B1897">
            <v>1</v>
          </cell>
          <cell r="I1897">
            <v>16000</v>
          </cell>
        </row>
        <row r="1898">
          <cell r="A1898" t="str">
            <v>50100010</v>
          </cell>
          <cell r="B1898">
            <v>1</v>
          </cell>
          <cell r="I1898">
            <v>20000</v>
          </cell>
        </row>
        <row r="1899">
          <cell r="A1899" t="str">
            <v>50100020</v>
          </cell>
          <cell r="B1899">
            <v>1</v>
          </cell>
          <cell r="I1899">
            <v>20000</v>
          </cell>
        </row>
        <row r="1900">
          <cell r="A1900" t="str">
            <v>50100030</v>
          </cell>
          <cell r="B1900">
            <v>1</v>
          </cell>
          <cell r="I1900">
            <v>20000</v>
          </cell>
        </row>
        <row r="1901">
          <cell r="A1901" t="str">
            <v>50100080</v>
          </cell>
          <cell r="B1901">
            <v>1</v>
          </cell>
          <cell r="I1901">
            <v>20000</v>
          </cell>
        </row>
        <row r="1902">
          <cell r="A1902" t="str">
            <v>50100090</v>
          </cell>
          <cell r="B1902">
            <v>1</v>
          </cell>
          <cell r="I1902">
            <v>20000</v>
          </cell>
        </row>
        <row r="1903">
          <cell r="A1903" t="str">
            <v>50100100</v>
          </cell>
          <cell r="B1903">
            <v>0</v>
          </cell>
          <cell r="I1903">
            <v>20000</v>
          </cell>
        </row>
        <row r="1904">
          <cell r="A1904" t="str">
            <v>50101050</v>
          </cell>
          <cell r="B1904">
            <v>1</v>
          </cell>
          <cell r="I1904">
            <v>20000</v>
          </cell>
        </row>
        <row r="1905">
          <cell r="A1905" t="str">
            <v>50101051</v>
          </cell>
          <cell r="B1905">
            <v>1</v>
          </cell>
          <cell r="I1905">
            <v>26000</v>
          </cell>
        </row>
        <row r="1906">
          <cell r="A1906" t="str">
            <v>50101060</v>
          </cell>
          <cell r="B1906">
            <v>1</v>
          </cell>
          <cell r="I1906">
            <v>20000</v>
          </cell>
        </row>
        <row r="1907">
          <cell r="A1907" t="str">
            <v>50101061</v>
          </cell>
          <cell r="B1907">
            <v>0</v>
          </cell>
          <cell r="I1907">
            <v>26000</v>
          </cell>
        </row>
        <row r="1908">
          <cell r="A1908" t="str">
            <v>50102050</v>
          </cell>
          <cell r="B1908">
            <v>1</v>
          </cell>
          <cell r="I1908">
            <v>20000</v>
          </cell>
        </row>
        <row r="1909">
          <cell r="A1909" t="str">
            <v>50102051</v>
          </cell>
          <cell r="B1909">
            <v>1</v>
          </cell>
          <cell r="I1909">
            <v>26000</v>
          </cell>
        </row>
        <row r="1910">
          <cell r="A1910" t="str">
            <v>50102060</v>
          </cell>
          <cell r="B1910">
            <v>1</v>
          </cell>
          <cell r="I1910">
            <v>20000</v>
          </cell>
        </row>
        <row r="1911">
          <cell r="A1911" t="str">
            <v>50102061</v>
          </cell>
          <cell r="B1911">
            <v>0</v>
          </cell>
          <cell r="I1911">
            <v>26000</v>
          </cell>
        </row>
        <row r="1912">
          <cell r="A1912" t="str">
            <v>50103050</v>
          </cell>
          <cell r="B1912">
            <v>1</v>
          </cell>
          <cell r="I1912">
            <v>20000</v>
          </cell>
        </row>
        <row r="1913">
          <cell r="A1913" t="str">
            <v>50103051</v>
          </cell>
          <cell r="B1913">
            <v>1</v>
          </cell>
          <cell r="I1913">
            <v>26000</v>
          </cell>
        </row>
        <row r="1914">
          <cell r="A1914" t="str">
            <v>50103060</v>
          </cell>
          <cell r="B1914">
            <v>1</v>
          </cell>
          <cell r="I1914">
            <v>20000</v>
          </cell>
        </row>
        <row r="1915">
          <cell r="A1915" t="str">
            <v>50103061</v>
          </cell>
          <cell r="B1915">
            <v>0</v>
          </cell>
          <cell r="I1915">
            <v>26000</v>
          </cell>
        </row>
        <row r="1916">
          <cell r="A1916" t="str">
            <v>50100040</v>
          </cell>
          <cell r="B1916">
            <v>1</v>
          </cell>
          <cell r="I1916">
            <v>20000</v>
          </cell>
        </row>
        <row r="1917">
          <cell r="A1917" t="str">
            <v>50100041</v>
          </cell>
          <cell r="B1917">
            <v>0</v>
          </cell>
          <cell r="I1917">
            <v>26000</v>
          </cell>
        </row>
        <row r="1918">
          <cell r="A1918" t="str">
            <v>50100070</v>
          </cell>
          <cell r="B1918">
            <v>1</v>
          </cell>
          <cell r="I1918">
            <v>20000</v>
          </cell>
        </row>
        <row r="1919">
          <cell r="A1919" t="str">
            <v>50100071</v>
          </cell>
          <cell r="B1919">
            <v>0</v>
          </cell>
          <cell r="I1919">
            <v>26000</v>
          </cell>
        </row>
        <row r="1920">
          <cell r="A1920" t="str">
            <v>50150010</v>
          </cell>
          <cell r="B1920">
            <v>0</v>
          </cell>
          <cell r="I1920">
            <v>30000</v>
          </cell>
        </row>
        <row r="1921">
          <cell r="A1921" t="str">
            <v>50150020</v>
          </cell>
          <cell r="B1921">
            <v>0</v>
          </cell>
          <cell r="I1921">
            <v>30000</v>
          </cell>
        </row>
        <row r="1922">
          <cell r="A1922" t="str">
            <v>50150030</v>
          </cell>
          <cell r="B1922">
            <v>1</v>
          </cell>
          <cell r="I1922">
            <v>30000</v>
          </cell>
        </row>
        <row r="1923">
          <cell r="A1923" t="str">
            <v>50150080</v>
          </cell>
          <cell r="B1923">
            <v>1</v>
          </cell>
          <cell r="I1923">
            <v>30000</v>
          </cell>
        </row>
        <row r="1924">
          <cell r="A1924" t="str">
            <v>50150090</v>
          </cell>
          <cell r="B1924">
            <v>1</v>
          </cell>
          <cell r="I1924">
            <v>30000</v>
          </cell>
        </row>
        <row r="1925">
          <cell r="A1925" t="str">
            <v>50150100</v>
          </cell>
          <cell r="B1925">
            <v>1</v>
          </cell>
          <cell r="I1925">
            <v>30000</v>
          </cell>
        </row>
        <row r="1926">
          <cell r="A1926" t="str">
            <v>50151050</v>
          </cell>
          <cell r="B1926">
            <v>1</v>
          </cell>
          <cell r="I1926">
            <v>30000</v>
          </cell>
        </row>
        <row r="1927">
          <cell r="A1927" t="str">
            <v>50151051</v>
          </cell>
          <cell r="B1927">
            <v>1</v>
          </cell>
          <cell r="I1927">
            <v>36000</v>
          </cell>
        </row>
        <row r="1928">
          <cell r="A1928" t="str">
            <v>50151060</v>
          </cell>
          <cell r="B1928">
            <v>1</v>
          </cell>
          <cell r="I1928">
            <v>30000</v>
          </cell>
        </row>
        <row r="1929">
          <cell r="A1929" t="str">
            <v>50151061</v>
          </cell>
          <cell r="B1929">
            <v>0</v>
          </cell>
          <cell r="I1929">
            <v>36000</v>
          </cell>
        </row>
        <row r="1930">
          <cell r="A1930" t="str">
            <v>50152050</v>
          </cell>
          <cell r="B1930">
            <v>1</v>
          </cell>
          <cell r="I1930">
            <v>30000</v>
          </cell>
        </row>
        <row r="1931">
          <cell r="A1931" t="str">
            <v>50152051</v>
          </cell>
          <cell r="B1931">
            <v>1</v>
          </cell>
          <cell r="I1931">
            <v>36000</v>
          </cell>
        </row>
        <row r="1932">
          <cell r="A1932" t="str">
            <v>50152060</v>
          </cell>
          <cell r="B1932">
            <v>1</v>
          </cell>
          <cell r="I1932">
            <v>30000</v>
          </cell>
        </row>
        <row r="1933">
          <cell r="A1933" t="str">
            <v>50152061</v>
          </cell>
          <cell r="B1933">
            <v>0</v>
          </cell>
          <cell r="I1933">
            <v>36000</v>
          </cell>
        </row>
        <row r="1934">
          <cell r="A1934" t="str">
            <v>50153050</v>
          </cell>
          <cell r="B1934">
            <v>1</v>
          </cell>
          <cell r="I1934">
            <v>30000</v>
          </cell>
        </row>
        <row r="1935">
          <cell r="A1935" t="str">
            <v>50153051</v>
          </cell>
          <cell r="B1935">
            <v>1</v>
          </cell>
          <cell r="I1935">
            <v>36000</v>
          </cell>
        </row>
        <row r="1936">
          <cell r="A1936" t="str">
            <v>50153060</v>
          </cell>
          <cell r="B1936">
            <v>1</v>
          </cell>
          <cell r="I1936">
            <v>30000</v>
          </cell>
        </row>
        <row r="1937">
          <cell r="A1937" t="str">
            <v>50153061</v>
          </cell>
          <cell r="B1937">
            <v>0</v>
          </cell>
          <cell r="I1937">
            <v>36000</v>
          </cell>
        </row>
        <row r="1938">
          <cell r="A1938" t="str">
            <v>50150040</v>
          </cell>
          <cell r="B1938">
            <v>1</v>
          </cell>
          <cell r="I1938">
            <v>30000</v>
          </cell>
        </row>
        <row r="1939">
          <cell r="A1939" t="str">
            <v>50150041</v>
          </cell>
          <cell r="B1939">
            <v>0</v>
          </cell>
          <cell r="I1939">
            <v>36000</v>
          </cell>
        </row>
        <row r="1940">
          <cell r="A1940" t="str">
            <v>50150070</v>
          </cell>
          <cell r="B1940">
            <v>1</v>
          </cell>
          <cell r="I1940">
            <v>30000</v>
          </cell>
        </row>
        <row r="1941">
          <cell r="A1941" t="str">
            <v>50150071</v>
          </cell>
          <cell r="B1941">
            <v>0</v>
          </cell>
          <cell r="I1941">
            <v>36000</v>
          </cell>
        </row>
        <row r="1942">
          <cell r="A1942" t="str">
            <v>50200010</v>
          </cell>
          <cell r="B1942">
            <v>1</v>
          </cell>
          <cell r="I1942">
            <v>40000</v>
          </cell>
        </row>
        <row r="1943">
          <cell r="A1943" t="str">
            <v>50200020</v>
          </cell>
          <cell r="B1943">
            <v>1</v>
          </cell>
          <cell r="I1943">
            <v>40000</v>
          </cell>
        </row>
        <row r="1944">
          <cell r="A1944" t="str">
            <v>50200030</v>
          </cell>
          <cell r="B1944">
            <v>1</v>
          </cell>
          <cell r="I1944">
            <v>40000</v>
          </cell>
        </row>
        <row r="1945">
          <cell r="A1945" t="str">
            <v>50200080</v>
          </cell>
          <cell r="B1945">
            <v>1</v>
          </cell>
          <cell r="I1945">
            <v>40000</v>
          </cell>
        </row>
        <row r="1946">
          <cell r="A1946" t="str">
            <v>50200090</v>
          </cell>
          <cell r="B1946">
            <v>1</v>
          </cell>
          <cell r="I1946">
            <v>40000</v>
          </cell>
        </row>
        <row r="1947">
          <cell r="A1947" t="str">
            <v>50200100</v>
          </cell>
          <cell r="B1947">
            <v>1</v>
          </cell>
          <cell r="I1947">
            <v>40000</v>
          </cell>
        </row>
        <row r="1948">
          <cell r="A1948">
            <v>50201050</v>
          </cell>
          <cell r="B1948">
            <v>1</v>
          </cell>
          <cell r="I1948">
            <v>40000</v>
          </cell>
        </row>
        <row r="1949">
          <cell r="A1949" t="str">
            <v>50201051</v>
          </cell>
          <cell r="B1949">
            <v>0</v>
          </cell>
          <cell r="I1949">
            <v>46000</v>
          </cell>
        </row>
        <row r="1950">
          <cell r="A1950" t="str">
            <v>50201060</v>
          </cell>
          <cell r="B1950">
            <v>1</v>
          </cell>
          <cell r="I1950">
            <v>40000</v>
          </cell>
        </row>
        <row r="1951">
          <cell r="A1951" t="str">
            <v>50201061</v>
          </cell>
          <cell r="B1951">
            <v>0</v>
          </cell>
          <cell r="I1951">
            <v>46000</v>
          </cell>
        </row>
        <row r="1952">
          <cell r="A1952">
            <v>50202050</v>
          </cell>
          <cell r="B1952">
            <v>1</v>
          </cell>
          <cell r="I1952">
            <v>40000</v>
          </cell>
        </row>
        <row r="1953">
          <cell r="A1953" t="str">
            <v>50202051</v>
          </cell>
          <cell r="B1953">
            <v>0</v>
          </cell>
          <cell r="I1953">
            <v>46000</v>
          </cell>
        </row>
        <row r="1954">
          <cell r="A1954" t="str">
            <v>50202060</v>
          </cell>
          <cell r="B1954">
            <v>1</v>
          </cell>
          <cell r="I1954">
            <v>40000</v>
          </cell>
        </row>
        <row r="1955">
          <cell r="A1955" t="str">
            <v>50202061</v>
          </cell>
          <cell r="B1955">
            <v>0</v>
          </cell>
          <cell r="I1955">
            <v>46000</v>
          </cell>
        </row>
        <row r="1956">
          <cell r="A1956" t="str">
            <v>50203050</v>
          </cell>
          <cell r="B1956">
            <v>1</v>
          </cell>
          <cell r="I1956">
            <v>40000</v>
          </cell>
        </row>
        <row r="1957">
          <cell r="A1957">
            <v>50203051</v>
          </cell>
          <cell r="B1957">
            <v>1</v>
          </cell>
          <cell r="I1957">
            <v>46000</v>
          </cell>
        </row>
        <row r="1958">
          <cell r="A1958" t="str">
            <v>50203060</v>
          </cell>
          <cell r="B1958">
            <v>1</v>
          </cell>
          <cell r="I1958">
            <v>40000</v>
          </cell>
        </row>
        <row r="1959">
          <cell r="A1959" t="str">
            <v>50203061</v>
          </cell>
          <cell r="B1959">
            <v>0</v>
          </cell>
          <cell r="I1959">
            <v>46000</v>
          </cell>
        </row>
        <row r="1960">
          <cell r="A1960" t="str">
            <v>50200040</v>
          </cell>
          <cell r="B1960">
            <v>1</v>
          </cell>
          <cell r="I1960">
            <v>40000</v>
          </cell>
        </row>
        <row r="1961">
          <cell r="A1961" t="str">
            <v>50200041</v>
          </cell>
          <cell r="B1961">
            <v>1</v>
          </cell>
          <cell r="I1961">
            <v>46000</v>
          </cell>
        </row>
        <row r="1962">
          <cell r="A1962" t="str">
            <v>50200070</v>
          </cell>
          <cell r="B1962">
            <v>1</v>
          </cell>
          <cell r="I1962">
            <v>40000</v>
          </cell>
        </row>
        <row r="1963">
          <cell r="A1963" t="str">
            <v>50200071</v>
          </cell>
          <cell r="B1963">
            <v>1</v>
          </cell>
          <cell r="I1963">
            <v>46000</v>
          </cell>
        </row>
        <row r="1964">
          <cell r="A1964" t="str">
            <v>50250010</v>
          </cell>
          <cell r="B1964">
            <v>1</v>
          </cell>
          <cell r="I1964">
            <v>50000</v>
          </cell>
        </row>
        <row r="1965">
          <cell r="A1965" t="str">
            <v>50250020</v>
          </cell>
          <cell r="B1965">
            <v>1</v>
          </cell>
          <cell r="I1965">
            <v>50000</v>
          </cell>
        </row>
        <row r="1966">
          <cell r="A1966" t="str">
            <v>50250030</v>
          </cell>
          <cell r="B1966">
            <v>1</v>
          </cell>
          <cell r="I1966">
            <v>50000</v>
          </cell>
        </row>
        <row r="1967">
          <cell r="A1967" t="str">
            <v>50250080</v>
          </cell>
          <cell r="B1967">
            <v>1</v>
          </cell>
          <cell r="I1967">
            <v>50000</v>
          </cell>
        </row>
        <row r="1968">
          <cell r="A1968" t="str">
            <v>50250090</v>
          </cell>
          <cell r="B1968">
            <v>1</v>
          </cell>
          <cell r="I1968">
            <v>50000</v>
          </cell>
        </row>
        <row r="1969">
          <cell r="A1969" t="str">
            <v>50250100</v>
          </cell>
          <cell r="B1969">
            <v>1</v>
          </cell>
          <cell r="I1969">
            <v>50000</v>
          </cell>
        </row>
        <row r="1970">
          <cell r="A1970" t="str">
            <v>50251050</v>
          </cell>
          <cell r="B1970">
            <v>1</v>
          </cell>
          <cell r="I1970">
            <v>50000</v>
          </cell>
        </row>
        <row r="1971">
          <cell r="A1971" t="str">
            <v>50251051</v>
          </cell>
          <cell r="B1971">
            <v>1</v>
          </cell>
          <cell r="I1971">
            <v>56000</v>
          </cell>
        </row>
        <row r="1972">
          <cell r="A1972" t="str">
            <v>50251060</v>
          </cell>
          <cell r="B1972">
            <v>1</v>
          </cell>
          <cell r="I1972">
            <v>50000</v>
          </cell>
        </row>
        <row r="1973">
          <cell r="A1973" t="str">
            <v>50251061</v>
          </cell>
          <cell r="B1973">
            <v>0</v>
          </cell>
          <cell r="I1973">
            <v>56000</v>
          </cell>
        </row>
        <row r="1974">
          <cell r="A1974" t="str">
            <v>50252050</v>
          </cell>
          <cell r="B1974">
            <v>1</v>
          </cell>
          <cell r="I1974">
            <v>50000</v>
          </cell>
        </row>
        <row r="1975">
          <cell r="A1975" t="str">
            <v>50252051</v>
          </cell>
          <cell r="B1975">
            <v>1</v>
          </cell>
          <cell r="I1975">
            <v>56000</v>
          </cell>
        </row>
        <row r="1976">
          <cell r="A1976" t="str">
            <v>50252060</v>
          </cell>
          <cell r="B1976">
            <v>1</v>
          </cell>
          <cell r="I1976">
            <v>50000</v>
          </cell>
        </row>
        <row r="1977">
          <cell r="A1977" t="str">
            <v>50252061</v>
          </cell>
          <cell r="B1977">
            <v>0</v>
          </cell>
          <cell r="I1977">
            <v>56000</v>
          </cell>
        </row>
        <row r="1978">
          <cell r="A1978" t="str">
            <v>50253050</v>
          </cell>
          <cell r="B1978">
            <v>1</v>
          </cell>
          <cell r="I1978">
            <v>50000</v>
          </cell>
        </row>
        <row r="1979">
          <cell r="A1979" t="str">
            <v>50253051</v>
          </cell>
          <cell r="B1979">
            <v>0</v>
          </cell>
          <cell r="I1979">
            <v>56000</v>
          </cell>
        </row>
        <row r="1980">
          <cell r="A1980" t="str">
            <v>50253060</v>
          </cell>
          <cell r="B1980">
            <v>1</v>
          </cell>
          <cell r="I1980">
            <v>50000</v>
          </cell>
        </row>
        <row r="1981">
          <cell r="A1981" t="str">
            <v>50253061</v>
          </cell>
          <cell r="B1981">
            <v>0</v>
          </cell>
          <cell r="I1981">
            <v>56000</v>
          </cell>
        </row>
        <row r="1982">
          <cell r="A1982" t="str">
            <v>50250040</v>
          </cell>
          <cell r="B1982">
            <v>1</v>
          </cell>
          <cell r="I1982">
            <v>50000</v>
          </cell>
        </row>
        <row r="1983">
          <cell r="A1983" t="str">
            <v>50250041</v>
          </cell>
          <cell r="B1983">
            <v>0</v>
          </cell>
          <cell r="I1983">
            <v>56000</v>
          </cell>
        </row>
        <row r="1984">
          <cell r="A1984" t="str">
            <v>50250070</v>
          </cell>
          <cell r="B1984">
            <v>1</v>
          </cell>
          <cell r="I1984">
            <v>50000</v>
          </cell>
        </row>
        <row r="1985">
          <cell r="A1985" t="str">
            <v>50250071</v>
          </cell>
          <cell r="B1985">
            <v>0</v>
          </cell>
          <cell r="I1985">
            <v>56000</v>
          </cell>
        </row>
        <row r="1986">
          <cell r="A1986" t="str">
            <v>50300010</v>
          </cell>
          <cell r="B1986">
            <v>1</v>
          </cell>
          <cell r="I1986">
            <v>60000</v>
          </cell>
        </row>
        <row r="1987">
          <cell r="A1987" t="str">
            <v>50300020</v>
          </cell>
          <cell r="B1987">
            <v>1</v>
          </cell>
          <cell r="I1987">
            <v>60000</v>
          </cell>
        </row>
        <row r="1988">
          <cell r="A1988" t="str">
            <v>50300030</v>
          </cell>
          <cell r="B1988">
            <v>1</v>
          </cell>
          <cell r="I1988">
            <v>60000</v>
          </cell>
        </row>
        <row r="1989">
          <cell r="A1989" t="str">
            <v>50300080</v>
          </cell>
          <cell r="B1989">
            <v>1</v>
          </cell>
          <cell r="I1989">
            <v>60000</v>
          </cell>
        </row>
        <row r="1990">
          <cell r="A1990" t="str">
            <v>50300090</v>
          </cell>
          <cell r="B1990">
            <v>1</v>
          </cell>
          <cell r="I1990">
            <v>60000</v>
          </cell>
        </row>
        <row r="1991">
          <cell r="A1991" t="str">
            <v>50300100</v>
          </cell>
          <cell r="B1991">
            <v>1</v>
          </cell>
          <cell r="I1991">
            <v>60000</v>
          </cell>
        </row>
        <row r="1992">
          <cell r="A1992" t="str">
            <v>50301050</v>
          </cell>
          <cell r="B1992">
            <v>1</v>
          </cell>
          <cell r="I1992">
            <v>60000</v>
          </cell>
        </row>
        <row r="1993">
          <cell r="A1993" t="str">
            <v>50301051</v>
          </cell>
          <cell r="B1993">
            <v>1</v>
          </cell>
          <cell r="I1993">
            <v>66000</v>
          </cell>
        </row>
        <row r="1994">
          <cell r="A1994" t="str">
            <v>50301060</v>
          </cell>
          <cell r="B1994">
            <v>1</v>
          </cell>
          <cell r="I1994">
            <v>60000</v>
          </cell>
        </row>
        <row r="1995">
          <cell r="A1995" t="str">
            <v>50301061</v>
          </cell>
          <cell r="B1995">
            <v>0</v>
          </cell>
          <cell r="I1995">
            <v>66000</v>
          </cell>
        </row>
        <row r="1996">
          <cell r="A1996" t="str">
            <v>50302050</v>
          </cell>
          <cell r="B1996">
            <v>1</v>
          </cell>
          <cell r="I1996">
            <v>60000</v>
          </cell>
        </row>
        <row r="1997">
          <cell r="A1997" t="str">
            <v>50302051</v>
          </cell>
          <cell r="B1997">
            <v>1</v>
          </cell>
          <cell r="I1997">
            <v>66000</v>
          </cell>
        </row>
        <row r="1998">
          <cell r="A1998" t="str">
            <v>50302060</v>
          </cell>
          <cell r="B1998">
            <v>1</v>
          </cell>
          <cell r="I1998">
            <v>60000</v>
          </cell>
        </row>
        <row r="1999">
          <cell r="A1999" t="str">
            <v>50302061</v>
          </cell>
          <cell r="B1999">
            <v>0</v>
          </cell>
          <cell r="I1999">
            <v>66000</v>
          </cell>
        </row>
        <row r="2000">
          <cell r="A2000" t="str">
            <v>50303050</v>
          </cell>
          <cell r="B2000">
            <v>1</v>
          </cell>
          <cell r="I2000">
            <v>60000</v>
          </cell>
        </row>
        <row r="2001">
          <cell r="A2001" t="str">
            <v>50303051</v>
          </cell>
          <cell r="B2001">
            <v>1</v>
          </cell>
          <cell r="I2001">
            <v>66000</v>
          </cell>
        </row>
        <row r="2002">
          <cell r="A2002" t="str">
            <v>50303060</v>
          </cell>
          <cell r="B2002">
            <v>1</v>
          </cell>
          <cell r="I2002">
            <v>60000</v>
          </cell>
        </row>
        <row r="2003">
          <cell r="A2003" t="str">
            <v>50303061</v>
          </cell>
          <cell r="B2003">
            <v>0</v>
          </cell>
          <cell r="I2003">
            <v>66000</v>
          </cell>
        </row>
        <row r="2004">
          <cell r="A2004" t="str">
            <v>50300040</v>
          </cell>
          <cell r="B2004">
            <v>1</v>
          </cell>
          <cell r="I2004">
            <v>60000</v>
          </cell>
        </row>
        <row r="2005">
          <cell r="A2005" t="str">
            <v>50300041</v>
          </cell>
          <cell r="B2005">
            <v>1</v>
          </cell>
          <cell r="I2005">
            <v>66000</v>
          </cell>
        </row>
        <row r="2006">
          <cell r="A2006" t="str">
            <v>50300070</v>
          </cell>
          <cell r="B2006">
            <v>1</v>
          </cell>
          <cell r="I2006">
            <v>60000</v>
          </cell>
        </row>
        <row r="2007">
          <cell r="A2007" t="str">
            <v>50300071</v>
          </cell>
          <cell r="B2007">
            <v>1</v>
          </cell>
          <cell r="I2007">
            <v>66000</v>
          </cell>
        </row>
        <row r="2008">
          <cell r="A2008" t="str">
            <v>50350010</v>
          </cell>
          <cell r="B2008">
            <v>1</v>
          </cell>
          <cell r="I2008">
            <v>70000</v>
          </cell>
        </row>
        <row r="2009">
          <cell r="A2009" t="str">
            <v>50350020</v>
          </cell>
          <cell r="B2009">
            <v>1</v>
          </cell>
          <cell r="I2009">
            <v>70000</v>
          </cell>
        </row>
        <row r="2010">
          <cell r="A2010" t="str">
            <v>50350030</v>
          </cell>
          <cell r="B2010">
            <v>1</v>
          </cell>
          <cell r="I2010">
            <v>70000</v>
          </cell>
        </row>
        <row r="2011">
          <cell r="A2011" t="str">
            <v>50350080</v>
          </cell>
          <cell r="B2011">
            <v>1</v>
          </cell>
          <cell r="I2011">
            <v>70000</v>
          </cell>
        </row>
        <row r="2012">
          <cell r="A2012" t="str">
            <v>50350090</v>
          </cell>
          <cell r="B2012">
            <v>1</v>
          </cell>
          <cell r="I2012">
            <v>70000</v>
          </cell>
        </row>
        <row r="2013">
          <cell r="A2013" t="str">
            <v>50350100</v>
          </cell>
          <cell r="B2013">
            <v>1</v>
          </cell>
          <cell r="I2013">
            <v>70000</v>
          </cell>
        </row>
        <row r="2014">
          <cell r="A2014" t="str">
            <v>50351050</v>
          </cell>
          <cell r="B2014">
            <v>1</v>
          </cell>
          <cell r="I2014">
            <v>70000</v>
          </cell>
        </row>
        <row r="2015">
          <cell r="A2015" t="str">
            <v>50351051</v>
          </cell>
          <cell r="B2015">
            <v>0</v>
          </cell>
          <cell r="I2015">
            <v>76000</v>
          </cell>
        </row>
        <row r="2016">
          <cell r="A2016" t="str">
            <v>50351060</v>
          </cell>
          <cell r="B2016">
            <v>1</v>
          </cell>
          <cell r="I2016">
            <v>70000</v>
          </cell>
        </row>
        <row r="2017">
          <cell r="A2017" t="str">
            <v>50351061</v>
          </cell>
          <cell r="B2017">
            <v>1</v>
          </cell>
          <cell r="I2017">
            <v>76000</v>
          </cell>
        </row>
        <row r="2018">
          <cell r="A2018" t="str">
            <v>50352050</v>
          </cell>
          <cell r="B2018">
            <v>1</v>
          </cell>
          <cell r="I2018">
            <v>70000</v>
          </cell>
        </row>
        <row r="2019">
          <cell r="A2019" t="str">
            <v>50352051</v>
          </cell>
          <cell r="B2019">
            <v>0</v>
          </cell>
          <cell r="I2019">
            <v>76000</v>
          </cell>
        </row>
        <row r="2020">
          <cell r="A2020" t="str">
            <v>50352060</v>
          </cell>
          <cell r="B2020">
            <v>1</v>
          </cell>
          <cell r="I2020">
            <v>70000</v>
          </cell>
        </row>
        <row r="2021">
          <cell r="A2021" t="str">
            <v>50352061</v>
          </cell>
          <cell r="B2021">
            <v>1</v>
          </cell>
          <cell r="I2021">
            <v>76000</v>
          </cell>
        </row>
        <row r="2022">
          <cell r="A2022" t="str">
            <v>50353050</v>
          </cell>
          <cell r="B2022">
            <v>1</v>
          </cell>
          <cell r="I2022">
            <v>70000</v>
          </cell>
        </row>
        <row r="2023">
          <cell r="A2023" t="str">
            <v>50353051</v>
          </cell>
          <cell r="B2023">
            <v>0</v>
          </cell>
          <cell r="I2023">
            <v>76000</v>
          </cell>
        </row>
        <row r="2024">
          <cell r="A2024" t="str">
            <v>50353060</v>
          </cell>
          <cell r="B2024">
            <v>1</v>
          </cell>
          <cell r="I2024">
            <v>70000</v>
          </cell>
        </row>
        <row r="2025">
          <cell r="A2025" t="str">
            <v>50353061</v>
          </cell>
          <cell r="B2025">
            <v>1</v>
          </cell>
          <cell r="I2025">
            <v>76000</v>
          </cell>
        </row>
        <row r="2026">
          <cell r="A2026" t="str">
            <v>50350040</v>
          </cell>
          <cell r="B2026">
            <v>1</v>
          </cell>
          <cell r="I2026">
            <v>70000</v>
          </cell>
        </row>
        <row r="2027">
          <cell r="A2027" t="str">
            <v>50350041</v>
          </cell>
          <cell r="B2027">
            <v>1</v>
          </cell>
          <cell r="I2027">
            <v>76000</v>
          </cell>
        </row>
        <row r="2028">
          <cell r="A2028" t="str">
            <v>50350070</v>
          </cell>
          <cell r="B2028">
            <v>1</v>
          </cell>
          <cell r="I2028">
            <v>70000</v>
          </cell>
        </row>
        <row r="2029">
          <cell r="A2029" t="str">
            <v>50350071</v>
          </cell>
          <cell r="B2029">
            <v>0</v>
          </cell>
          <cell r="I2029">
            <v>76000</v>
          </cell>
        </row>
        <row r="2030">
          <cell r="A2030" t="str">
            <v>50400010</v>
          </cell>
          <cell r="B2030">
            <v>1</v>
          </cell>
          <cell r="I2030">
            <v>80000</v>
          </cell>
        </row>
        <row r="2031">
          <cell r="A2031" t="str">
            <v>50400020</v>
          </cell>
          <cell r="B2031">
            <v>1</v>
          </cell>
          <cell r="I2031">
            <v>80000</v>
          </cell>
        </row>
        <row r="2032">
          <cell r="A2032" t="str">
            <v>50400030</v>
          </cell>
          <cell r="B2032">
            <v>1</v>
          </cell>
          <cell r="I2032">
            <v>80000</v>
          </cell>
        </row>
        <row r="2033">
          <cell r="A2033" t="str">
            <v>50400080</v>
          </cell>
          <cell r="B2033">
            <v>1</v>
          </cell>
          <cell r="I2033">
            <v>80000</v>
          </cell>
        </row>
        <row r="2034">
          <cell r="A2034" t="str">
            <v>50400090</v>
          </cell>
          <cell r="B2034">
            <v>1</v>
          </cell>
          <cell r="I2034">
            <v>80000</v>
          </cell>
        </row>
        <row r="2035">
          <cell r="A2035" t="str">
            <v>50400100</v>
          </cell>
          <cell r="B2035">
            <v>1</v>
          </cell>
          <cell r="I2035">
            <v>80000</v>
          </cell>
        </row>
        <row r="2036">
          <cell r="A2036" t="str">
            <v>50401050</v>
          </cell>
          <cell r="B2036">
            <v>1</v>
          </cell>
          <cell r="I2036">
            <v>80000</v>
          </cell>
        </row>
        <row r="2037">
          <cell r="A2037" t="str">
            <v>50401051</v>
          </cell>
          <cell r="B2037">
            <v>1</v>
          </cell>
          <cell r="I2037">
            <v>86000</v>
          </cell>
        </row>
        <row r="2038">
          <cell r="A2038" t="str">
            <v>50401060</v>
          </cell>
          <cell r="B2038">
            <v>1</v>
          </cell>
          <cell r="I2038">
            <v>80000</v>
          </cell>
        </row>
        <row r="2039">
          <cell r="A2039" t="str">
            <v>50401061</v>
          </cell>
          <cell r="B2039">
            <v>0</v>
          </cell>
          <cell r="I2039">
            <v>86000</v>
          </cell>
        </row>
        <row r="2040">
          <cell r="A2040" t="str">
            <v>50402050</v>
          </cell>
          <cell r="B2040">
            <v>1</v>
          </cell>
          <cell r="I2040">
            <v>80000</v>
          </cell>
        </row>
        <row r="2041">
          <cell r="A2041" t="str">
            <v>50402051</v>
          </cell>
          <cell r="B2041">
            <v>1</v>
          </cell>
          <cell r="I2041">
            <v>86000</v>
          </cell>
        </row>
        <row r="2042">
          <cell r="A2042" t="str">
            <v>50402060</v>
          </cell>
          <cell r="B2042">
            <v>1</v>
          </cell>
          <cell r="I2042">
            <v>80000</v>
          </cell>
        </row>
        <row r="2043">
          <cell r="A2043" t="str">
            <v>50402061</v>
          </cell>
          <cell r="B2043">
            <v>0</v>
          </cell>
          <cell r="I2043">
            <v>86000</v>
          </cell>
        </row>
        <row r="2044">
          <cell r="A2044" t="str">
            <v>50403050</v>
          </cell>
          <cell r="B2044">
            <v>1</v>
          </cell>
          <cell r="I2044">
            <v>80000</v>
          </cell>
        </row>
        <row r="2045">
          <cell r="A2045" t="str">
            <v>50403051</v>
          </cell>
          <cell r="B2045">
            <v>1</v>
          </cell>
          <cell r="I2045">
            <v>86000</v>
          </cell>
        </row>
        <row r="2046">
          <cell r="A2046" t="str">
            <v>50403060</v>
          </cell>
          <cell r="B2046">
            <v>1</v>
          </cell>
          <cell r="I2046">
            <v>80000</v>
          </cell>
        </row>
        <row r="2047">
          <cell r="A2047" t="str">
            <v>50403061</v>
          </cell>
          <cell r="B2047">
            <v>0</v>
          </cell>
          <cell r="I2047">
            <v>86000</v>
          </cell>
        </row>
        <row r="2048">
          <cell r="A2048" t="str">
            <v>50400040</v>
          </cell>
          <cell r="B2048">
            <v>1</v>
          </cell>
          <cell r="I2048">
            <v>80000</v>
          </cell>
        </row>
        <row r="2049">
          <cell r="A2049" t="str">
            <v>50400041</v>
          </cell>
          <cell r="B2049">
            <v>0</v>
          </cell>
          <cell r="I2049">
            <v>86000</v>
          </cell>
        </row>
        <row r="2050">
          <cell r="A2050" t="str">
            <v>50400070</v>
          </cell>
          <cell r="B2050">
            <v>1</v>
          </cell>
          <cell r="I2050">
            <v>80000</v>
          </cell>
        </row>
        <row r="2051">
          <cell r="A2051" t="str">
            <v>50400071</v>
          </cell>
          <cell r="B2051">
            <v>0</v>
          </cell>
          <cell r="I2051">
            <v>86000</v>
          </cell>
        </row>
        <row r="2052">
          <cell r="A2052" t="str">
            <v>50450010</v>
          </cell>
          <cell r="B2052">
            <v>1</v>
          </cell>
          <cell r="I2052">
            <v>90000</v>
          </cell>
        </row>
        <row r="2053">
          <cell r="A2053" t="str">
            <v>50450020</v>
          </cell>
          <cell r="B2053">
            <v>1</v>
          </cell>
          <cell r="I2053">
            <v>90000</v>
          </cell>
        </row>
        <row r="2054">
          <cell r="A2054" t="str">
            <v>50450030</v>
          </cell>
          <cell r="B2054">
            <v>1</v>
          </cell>
          <cell r="I2054">
            <v>90000</v>
          </cell>
        </row>
        <row r="2055">
          <cell r="A2055" t="str">
            <v>50450080</v>
          </cell>
          <cell r="B2055">
            <v>1</v>
          </cell>
          <cell r="I2055">
            <v>90000</v>
          </cell>
        </row>
        <row r="2056">
          <cell r="A2056" t="str">
            <v>50450090</v>
          </cell>
          <cell r="B2056">
            <v>1</v>
          </cell>
          <cell r="I2056">
            <v>90000</v>
          </cell>
        </row>
        <row r="2057">
          <cell r="A2057" t="str">
            <v>50450100</v>
          </cell>
          <cell r="B2057">
            <v>1</v>
          </cell>
          <cell r="I2057">
            <v>90000</v>
          </cell>
        </row>
        <row r="2058">
          <cell r="A2058" t="str">
            <v>50451050</v>
          </cell>
          <cell r="B2058">
            <v>1</v>
          </cell>
          <cell r="I2058">
            <v>90000</v>
          </cell>
        </row>
        <row r="2059">
          <cell r="A2059" t="str">
            <v>50451051</v>
          </cell>
          <cell r="B2059">
            <v>0</v>
          </cell>
          <cell r="I2059">
            <v>96000</v>
          </cell>
        </row>
        <row r="2060">
          <cell r="A2060" t="str">
            <v>50451060</v>
          </cell>
          <cell r="B2060">
            <v>1</v>
          </cell>
          <cell r="I2060">
            <v>90000</v>
          </cell>
        </row>
        <row r="2061">
          <cell r="A2061" t="str">
            <v>50451061</v>
          </cell>
          <cell r="B2061">
            <v>0</v>
          </cell>
          <cell r="I2061">
            <v>96000</v>
          </cell>
        </row>
        <row r="2062">
          <cell r="A2062" t="str">
            <v>50452050</v>
          </cell>
          <cell r="B2062">
            <v>1</v>
          </cell>
          <cell r="I2062">
            <v>90000</v>
          </cell>
        </row>
        <row r="2063">
          <cell r="A2063" t="str">
            <v>50452051</v>
          </cell>
          <cell r="B2063">
            <v>0</v>
          </cell>
          <cell r="I2063">
            <v>96000</v>
          </cell>
        </row>
        <row r="2064">
          <cell r="A2064" t="str">
            <v>50452060</v>
          </cell>
          <cell r="B2064">
            <v>1</v>
          </cell>
          <cell r="I2064">
            <v>90000</v>
          </cell>
        </row>
        <row r="2065">
          <cell r="A2065" t="str">
            <v>50452061</v>
          </cell>
          <cell r="B2065">
            <v>0</v>
          </cell>
          <cell r="I2065">
            <v>96000</v>
          </cell>
        </row>
        <row r="2066">
          <cell r="A2066" t="str">
            <v>50453050</v>
          </cell>
          <cell r="B2066">
            <v>1</v>
          </cell>
          <cell r="I2066">
            <v>90000</v>
          </cell>
        </row>
        <row r="2067">
          <cell r="A2067" t="str">
            <v>50453051</v>
          </cell>
          <cell r="B2067">
            <v>1</v>
          </cell>
          <cell r="I2067">
            <v>96000</v>
          </cell>
        </row>
        <row r="2068">
          <cell r="A2068" t="str">
            <v>50453060</v>
          </cell>
          <cell r="B2068">
            <v>1</v>
          </cell>
          <cell r="I2068">
            <v>90000</v>
          </cell>
        </row>
        <row r="2069">
          <cell r="A2069" t="str">
            <v>50453061</v>
          </cell>
          <cell r="B2069">
            <v>0</v>
          </cell>
          <cell r="I2069">
            <v>96000</v>
          </cell>
        </row>
        <row r="2070">
          <cell r="A2070" t="str">
            <v>50450040</v>
          </cell>
          <cell r="B2070">
            <v>1</v>
          </cell>
          <cell r="I2070">
            <v>90000</v>
          </cell>
        </row>
        <row r="2071">
          <cell r="A2071" t="str">
            <v>50450041</v>
          </cell>
          <cell r="B2071">
            <v>1</v>
          </cell>
          <cell r="I2071">
            <v>96000</v>
          </cell>
        </row>
        <row r="2072">
          <cell r="A2072" t="str">
            <v>50450070</v>
          </cell>
          <cell r="B2072">
            <v>1</v>
          </cell>
          <cell r="I2072">
            <v>90000</v>
          </cell>
        </row>
        <row r="2073">
          <cell r="A2073" t="str">
            <v>50450071</v>
          </cell>
          <cell r="B2073">
            <v>1</v>
          </cell>
          <cell r="I2073">
            <v>96000</v>
          </cell>
        </row>
        <row r="2074">
          <cell r="A2074" t="str">
            <v>50500010</v>
          </cell>
          <cell r="B2074">
            <v>1</v>
          </cell>
          <cell r="I2074">
            <v>100000</v>
          </cell>
        </row>
        <row r="2075">
          <cell r="A2075" t="str">
            <v>50500020</v>
          </cell>
          <cell r="B2075">
            <v>1</v>
          </cell>
          <cell r="I2075">
            <v>100000</v>
          </cell>
        </row>
        <row r="2076">
          <cell r="A2076" t="str">
            <v>50500030</v>
          </cell>
          <cell r="B2076">
            <v>1</v>
          </cell>
          <cell r="I2076">
            <v>100000</v>
          </cell>
        </row>
        <row r="2077">
          <cell r="A2077" t="str">
            <v>50500080</v>
          </cell>
          <cell r="B2077">
            <v>1</v>
          </cell>
          <cell r="I2077">
            <v>100000</v>
          </cell>
        </row>
        <row r="2078">
          <cell r="A2078" t="str">
            <v>50500090</v>
          </cell>
          <cell r="B2078">
            <v>1</v>
          </cell>
          <cell r="I2078">
            <v>100000</v>
          </cell>
        </row>
        <row r="2079">
          <cell r="A2079" t="str">
            <v>50500100</v>
          </cell>
          <cell r="B2079">
            <v>1</v>
          </cell>
          <cell r="I2079">
            <v>100000</v>
          </cell>
        </row>
        <row r="2080">
          <cell r="A2080" t="str">
            <v>50501050</v>
          </cell>
          <cell r="B2080">
            <v>1</v>
          </cell>
          <cell r="I2080">
            <v>100000</v>
          </cell>
        </row>
        <row r="2081">
          <cell r="A2081" t="str">
            <v>50501051</v>
          </cell>
          <cell r="B2081">
            <v>1</v>
          </cell>
          <cell r="I2081">
            <v>106000</v>
          </cell>
        </row>
        <row r="2082">
          <cell r="A2082" t="str">
            <v>50501060</v>
          </cell>
          <cell r="B2082">
            <v>1</v>
          </cell>
          <cell r="I2082">
            <v>100000</v>
          </cell>
        </row>
        <row r="2083">
          <cell r="A2083" t="str">
            <v>50501061</v>
          </cell>
          <cell r="B2083">
            <v>1</v>
          </cell>
          <cell r="I2083">
            <v>106000</v>
          </cell>
        </row>
        <row r="2084">
          <cell r="A2084" t="str">
            <v>50502050</v>
          </cell>
          <cell r="B2084">
            <v>1</v>
          </cell>
          <cell r="I2084">
            <v>100000</v>
          </cell>
        </row>
        <row r="2085">
          <cell r="A2085" t="str">
            <v>50502051</v>
          </cell>
          <cell r="B2085">
            <v>1</v>
          </cell>
          <cell r="I2085">
            <v>106000</v>
          </cell>
        </row>
        <row r="2086">
          <cell r="A2086" t="str">
            <v>50502060</v>
          </cell>
          <cell r="B2086">
            <v>1</v>
          </cell>
          <cell r="I2086">
            <v>100000</v>
          </cell>
        </row>
        <row r="2087">
          <cell r="A2087" t="str">
            <v>50502061</v>
          </cell>
          <cell r="B2087">
            <v>1</v>
          </cell>
          <cell r="I2087">
            <v>106000</v>
          </cell>
        </row>
        <row r="2088">
          <cell r="A2088" t="str">
            <v>50503050</v>
          </cell>
          <cell r="B2088">
            <v>1</v>
          </cell>
          <cell r="I2088">
            <v>100000</v>
          </cell>
        </row>
        <row r="2089">
          <cell r="A2089" t="str">
            <v>50503051</v>
          </cell>
          <cell r="B2089">
            <v>1</v>
          </cell>
          <cell r="I2089">
            <v>106000</v>
          </cell>
        </row>
        <row r="2090">
          <cell r="A2090" t="str">
            <v>50503060</v>
          </cell>
          <cell r="B2090">
            <v>1</v>
          </cell>
          <cell r="I2090">
            <v>100000</v>
          </cell>
        </row>
        <row r="2091">
          <cell r="A2091" t="str">
            <v>50503061</v>
          </cell>
          <cell r="B2091">
            <v>1</v>
          </cell>
          <cell r="I2091">
            <v>106000</v>
          </cell>
        </row>
        <row r="2092">
          <cell r="A2092" t="str">
            <v>50500040</v>
          </cell>
          <cell r="B2092">
            <v>1</v>
          </cell>
          <cell r="I2092">
            <v>100000</v>
          </cell>
        </row>
        <row r="2093">
          <cell r="A2093" t="str">
            <v>50500041</v>
          </cell>
          <cell r="B2093">
            <v>0</v>
          </cell>
          <cell r="I2093">
            <v>106000</v>
          </cell>
        </row>
        <row r="2094">
          <cell r="A2094" t="str">
            <v>50500070</v>
          </cell>
          <cell r="B2094">
            <v>1</v>
          </cell>
          <cell r="I2094">
            <v>100000</v>
          </cell>
        </row>
        <row r="2095">
          <cell r="A2095" t="str">
            <v>50500071</v>
          </cell>
          <cell r="B2095">
            <v>0</v>
          </cell>
          <cell r="I2095">
            <v>106000</v>
          </cell>
        </row>
        <row r="2096">
          <cell r="A2096" t="str">
            <v>50550010</v>
          </cell>
          <cell r="B2096">
            <v>1</v>
          </cell>
          <cell r="I2096">
            <v>110000</v>
          </cell>
        </row>
        <row r="2097">
          <cell r="A2097" t="str">
            <v>50550020</v>
          </cell>
          <cell r="B2097">
            <v>1</v>
          </cell>
          <cell r="I2097">
            <v>110000</v>
          </cell>
        </row>
        <row r="2098">
          <cell r="A2098" t="str">
            <v>50550030</v>
          </cell>
          <cell r="B2098">
            <v>1</v>
          </cell>
          <cell r="I2098">
            <v>110000</v>
          </cell>
        </row>
        <row r="2099">
          <cell r="A2099" t="str">
            <v>50550080</v>
          </cell>
          <cell r="B2099">
            <v>1</v>
          </cell>
          <cell r="I2099">
            <v>110000</v>
          </cell>
        </row>
        <row r="2100">
          <cell r="A2100">
            <v>50550090</v>
          </cell>
          <cell r="B2100">
            <v>0</v>
          </cell>
          <cell r="I2100">
            <v>110000</v>
          </cell>
        </row>
        <row r="2101">
          <cell r="A2101" t="str">
            <v>50550100</v>
          </cell>
          <cell r="B2101">
            <v>1</v>
          </cell>
          <cell r="I2101">
            <v>110000</v>
          </cell>
        </row>
        <row r="2102">
          <cell r="A2102" t="str">
            <v>50551050</v>
          </cell>
          <cell r="B2102">
            <v>1</v>
          </cell>
          <cell r="I2102">
            <v>110000</v>
          </cell>
        </row>
        <row r="2103">
          <cell r="A2103" t="str">
            <v>50551051</v>
          </cell>
          <cell r="B2103">
            <v>0</v>
          </cell>
          <cell r="I2103">
            <v>116000</v>
          </cell>
        </row>
        <row r="2104">
          <cell r="A2104" t="str">
            <v>50551060</v>
          </cell>
          <cell r="B2104">
            <v>1</v>
          </cell>
          <cell r="I2104">
            <v>110000</v>
          </cell>
        </row>
        <row r="2105">
          <cell r="A2105" t="str">
            <v>50551061</v>
          </cell>
          <cell r="B2105">
            <v>1</v>
          </cell>
          <cell r="I2105">
            <v>116000</v>
          </cell>
        </row>
        <row r="2106">
          <cell r="A2106" t="str">
            <v>50552050</v>
          </cell>
          <cell r="B2106">
            <v>1</v>
          </cell>
          <cell r="I2106">
            <v>110000</v>
          </cell>
        </row>
        <row r="2107">
          <cell r="A2107" t="str">
            <v>50552051</v>
          </cell>
          <cell r="B2107">
            <v>0</v>
          </cell>
          <cell r="I2107">
            <v>116000</v>
          </cell>
        </row>
        <row r="2108">
          <cell r="A2108" t="str">
            <v>50552060</v>
          </cell>
          <cell r="B2108">
            <v>1</v>
          </cell>
          <cell r="I2108">
            <v>110000</v>
          </cell>
        </row>
        <row r="2109">
          <cell r="A2109" t="str">
            <v>50552061</v>
          </cell>
          <cell r="B2109">
            <v>1</v>
          </cell>
          <cell r="I2109">
            <v>116000</v>
          </cell>
        </row>
        <row r="2110">
          <cell r="A2110" t="str">
            <v>50553050</v>
          </cell>
          <cell r="B2110">
            <v>1</v>
          </cell>
          <cell r="I2110">
            <v>110000</v>
          </cell>
        </row>
        <row r="2111">
          <cell r="A2111" t="str">
            <v>50553051</v>
          </cell>
          <cell r="B2111">
            <v>0</v>
          </cell>
          <cell r="I2111">
            <v>116000</v>
          </cell>
        </row>
        <row r="2112">
          <cell r="A2112" t="str">
            <v>50553060</v>
          </cell>
          <cell r="B2112">
            <v>1</v>
          </cell>
          <cell r="I2112">
            <v>110000</v>
          </cell>
        </row>
        <row r="2113">
          <cell r="A2113" t="str">
            <v>50553061</v>
          </cell>
          <cell r="B2113">
            <v>1</v>
          </cell>
          <cell r="I2113">
            <v>116000</v>
          </cell>
        </row>
        <row r="2114">
          <cell r="A2114" t="str">
            <v>50550040</v>
          </cell>
          <cell r="B2114">
            <v>1</v>
          </cell>
          <cell r="I2114">
            <v>110000</v>
          </cell>
        </row>
        <row r="2115">
          <cell r="A2115" t="str">
            <v>50550041</v>
          </cell>
          <cell r="B2115">
            <v>0</v>
          </cell>
          <cell r="I2115">
            <v>116000</v>
          </cell>
        </row>
        <row r="2116">
          <cell r="A2116" t="str">
            <v>50550070</v>
          </cell>
          <cell r="B2116">
            <v>1</v>
          </cell>
          <cell r="I2116">
            <v>110000</v>
          </cell>
        </row>
        <row r="2117">
          <cell r="A2117" t="str">
            <v>50550071</v>
          </cell>
          <cell r="B2117">
            <v>0</v>
          </cell>
          <cell r="I2117">
            <v>116000</v>
          </cell>
        </row>
        <row r="2118">
          <cell r="A2118" t="str">
            <v>50600010</v>
          </cell>
          <cell r="B2118">
            <v>1</v>
          </cell>
          <cell r="I2118">
            <v>120000</v>
          </cell>
        </row>
        <row r="2119">
          <cell r="A2119" t="str">
            <v>50600020</v>
          </cell>
          <cell r="B2119">
            <v>1</v>
          </cell>
          <cell r="I2119">
            <v>120000</v>
          </cell>
        </row>
        <row r="2120">
          <cell r="A2120" t="str">
            <v>50600030</v>
          </cell>
          <cell r="B2120">
            <v>1</v>
          </cell>
          <cell r="I2120">
            <v>120000</v>
          </cell>
        </row>
        <row r="2121">
          <cell r="A2121" t="str">
            <v>50600080</v>
          </cell>
          <cell r="B2121">
            <v>1</v>
          </cell>
          <cell r="I2121">
            <v>120000</v>
          </cell>
        </row>
        <row r="2122">
          <cell r="A2122" t="str">
            <v>50600090</v>
          </cell>
          <cell r="B2122">
            <v>1</v>
          </cell>
          <cell r="I2122">
            <v>120000</v>
          </cell>
        </row>
        <row r="2123">
          <cell r="A2123" t="str">
            <v>50600100</v>
          </cell>
          <cell r="B2123">
            <v>1</v>
          </cell>
          <cell r="I2123">
            <v>120000</v>
          </cell>
        </row>
        <row r="2124">
          <cell r="A2124" t="str">
            <v>50601050</v>
          </cell>
          <cell r="B2124">
            <v>1</v>
          </cell>
          <cell r="I2124">
            <v>120000</v>
          </cell>
        </row>
        <row r="2125">
          <cell r="A2125" t="str">
            <v>50601051</v>
          </cell>
          <cell r="B2125">
            <v>1</v>
          </cell>
          <cell r="I2125">
            <v>126000</v>
          </cell>
        </row>
        <row r="2126">
          <cell r="A2126" t="str">
            <v>50601060</v>
          </cell>
          <cell r="B2126">
            <v>1</v>
          </cell>
          <cell r="I2126">
            <v>120000</v>
          </cell>
        </row>
        <row r="2127">
          <cell r="A2127" t="str">
            <v>50601061</v>
          </cell>
          <cell r="B2127">
            <v>0</v>
          </cell>
          <cell r="I2127">
            <v>126000</v>
          </cell>
        </row>
        <row r="2128">
          <cell r="A2128" t="str">
            <v>50602050</v>
          </cell>
          <cell r="B2128">
            <v>1</v>
          </cell>
          <cell r="I2128">
            <v>120000</v>
          </cell>
        </row>
        <row r="2129">
          <cell r="A2129" t="str">
            <v>50602051</v>
          </cell>
          <cell r="B2129">
            <v>0</v>
          </cell>
          <cell r="I2129">
            <v>126000</v>
          </cell>
        </row>
        <row r="2130">
          <cell r="A2130" t="str">
            <v>50602060</v>
          </cell>
          <cell r="B2130">
            <v>1</v>
          </cell>
          <cell r="I2130">
            <v>120000</v>
          </cell>
        </row>
        <row r="2131">
          <cell r="A2131" t="str">
            <v>50602061</v>
          </cell>
          <cell r="B2131">
            <v>0</v>
          </cell>
          <cell r="I2131">
            <v>126000</v>
          </cell>
        </row>
        <row r="2132">
          <cell r="A2132" t="str">
            <v>50603050</v>
          </cell>
          <cell r="B2132">
            <v>1</v>
          </cell>
          <cell r="I2132">
            <v>120000</v>
          </cell>
        </row>
        <row r="2133">
          <cell r="A2133" t="str">
            <v>50603051</v>
          </cell>
          <cell r="B2133">
            <v>0</v>
          </cell>
          <cell r="I2133">
            <v>126000</v>
          </cell>
        </row>
        <row r="2134">
          <cell r="A2134" t="str">
            <v>50603060</v>
          </cell>
          <cell r="B2134">
            <v>1</v>
          </cell>
          <cell r="I2134">
            <v>120000</v>
          </cell>
        </row>
        <row r="2135">
          <cell r="A2135" t="str">
            <v>50603061</v>
          </cell>
          <cell r="B2135">
            <v>0</v>
          </cell>
          <cell r="I2135">
            <v>126000</v>
          </cell>
        </row>
        <row r="2136">
          <cell r="A2136" t="str">
            <v>50600040</v>
          </cell>
          <cell r="B2136">
            <v>1</v>
          </cell>
          <cell r="I2136">
            <v>120000</v>
          </cell>
        </row>
        <row r="2137">
          <cell r="A2137" t="str">
            <v>50600041</v>
          </cell>
          <cell r="B2137">
            <v>0</v>
          </cell>
          <cell r="I2137">
            <v>126000</v>
          </cell>
        </row>
        <row r="2138">
          <cell r="A2138" t="str">
            <v>50600070</v>
          </cell>
          <cell r="B2138">
            <v>1</v>
          </cell>
          <cell r="I2138">
            <v>120000</v>
          </cell>
        </row>
        <row r="2139">
          <cell r="A2139" t="str">
            <v>50600071</v>
          </cell>
          <cell r="B2139">
            <v>1</v>
          </cell>
          <cell r="I2139">
            <v>126000</v>
          </cell>
        </row>
        <row r="2140">
          <cell r="A2140" t="str">
            <v>50650010</v>
          </cell>
          <cell r="B2140">
            <v>1</v>
          </cell>
          <cell r="I2140">
            <v>130000</v>
          </cell>
        </row>
        <row r="2141">
          <cell r="A2141" t="str">
            <v>50650020</v>
          </cell>
          <cell r="B2141">
            <v>1</v>
          </cell>
          <cell r="I2141">
            <v>130000</v>
          </cell>
        </row>
        <row r="2142">
          <cell r="A2142" t="str">
            <v>50650030</v>
          </cell>
          <cell r="B2142">
            <v>1</v>
          </cell>
          <cell r="I2142">
            <v>130000</v>
          </cell>
        </row>
        <row r="2143">
          <cell r="A2143" t="str">
            <v>50650080</v>
          </cell>
          <cell r="B2143">
            <v>1</v>
          </cell>
          <cell r="I2143">
            <v>130000</v>
          </cell>
        </row>
        <row r="2144">
          <cell r="A2144" t="str">
            <v>50650090</v>
          </cell>
          <cell r="B2144">
            <v>1</v>
          </cell>
          <cell r="I2144">
            <v>130000</v>
          </cell>
        </row>
        <row r="2145">
          <cell r="A2145" t="str">
            <v>50650100</v>
          </cell>
          <cell r="B2145">
            <v>1</v>
          </cell>
          <cell r="I2145">
            <v>130000</v>
          </cell>
        </row>
        <row r="2146">
          <cell r="A2146" t="str">
            <v>50651050</v>
          </cell>
          <cell r="B2146">
            <v>1</v>
          </cell>
          <cell r="I2146">
            <v>130000</v>
          </cell>
        </row>
        <row r="2147">
          <cell r="A2147" t="str">
            <v>50651051</v>
          </cell>
          <cell r="B2147">
            <v>0</v>
          </cell>
          <cell r="I2147">
            <v>136000</v>
          </cell>
        </row>
        <row r="2148">
          <cell r="A2148" t="str">
            <v>50651060</v>
          </cell>
          <cell r="B2148">
            <v>1</v>
          </cell>
          <cell r="I2148">
            <v>130000</v>
          </cell>
        </row>
        <row r="2149">
          <cell r="A2149" t="str">
            <v>50651061</v>
          </cell>
          <cell r="B2149">
            <v>0</v>
          </cell>
          <cell r="I2149">
            <v>136000</v>
          </cell>
        </row>
        <row r="2150">
          <cell r="A2150" t="str">
            <v>50652050</v>
          </cell>
          <cell r="B2150">
            <v>1</v>
          </cell>
          <cell r="I2150">
            <v>130000</v>
          </cell>
        </row>
        <row r="2151">
          <cell r="A2151" t="str">
            <v>50652051</v>
          </cell>
          <cell r="B2151">
            <v>0</v>
          </cell>
          <cell r="I2151">
            <v>136000</v>
          </cell>
        </row>
        <row r="2152">
          <cell r="A2152" t="str">
            <v>50652060</v>
          </cell>
          <cell r="B2152">
            <v>1</v>
          </cell>
          <cell r="I2152">
            <v>130000</v>
          </cell>
        </row>
        <row r="2153">
          <cell r="A2153" t="str">
            <v>50652061</v>
          </cell>
          <cell r="B2153">
            <v>0</v>
          </cell>
          <cell r="I2153">
            <v>136000</v>
          </cell>
        </row>
        <row r="2154">
          <cell r="A2154" t="str">
            <v>50653050</v>
          </cell>
          <cell r="B2154">
            <v>1</v>
          </cell>
          <cell r="I2154">
            <v>130000</v>
          </cell>
        </row>
        <row r="2155">
          <cell r="A2155" t="str">
            <v>50653051</v>
          </cell>
          <cell r="B2155">
            <v>0</v>
          </cell>
          <cell r="I2155">
            <v>136000</v>
          </cell>
        </row>
        <row r="2156">
          <cell r="A2156" t="str">
            <v>50653060</v>
          </cell>
          <cell r="B2156">
            <v>1</v>
          </cell>
          <cell r="I2156">
            <v>130000</v>
          </cell>
        </row>
        <row r="2157">
          <cell r="A2157" t="str">
            <v>50653061</v>
          </cell>
          <cell r="B2157">
            <v>0</v>
          </cell>
          <cell r="I2157">
            <v>136000</v>
          </cell>
        </row>
        <row r="2158">
          <cell r="A2158" t="str">
            <v>50650040</v>
          </cell>
          <cell r="B2158">
            <v>1</v>
          </cell>
          <cell r="I2158">
            <v>130000</v>
          </cell>
        </row>
        <row r="2159">
          <cell r="A2159" t="str">
            <v>50650041</v>
          </cell>
          <cell r="B2159">
            <v>0</v>
          </cell>
          <cell r="I2159">
            <v>136000</v>
          </cell>
        </row>
        <row r="2160">
          <cell r="A2160" t="str">
            <v>50650070</v>
          </cell>
          <cell r="B2160">
            <v>1</v>
          </cell>
          <cell r="I2160">
            <v>130000</v>
          </cell>
        </row>
        <row r="2161">
          <cell r="A2161" t="str">
            <v>50650071</v>
          </cell>
          <cell r="B2161">
            <v>0</v>
          </cell>
          <cell r="I2161">
            <v>136000</v>
          </cell>
        </row>
        <row r="2162">
          <cell r="A2162" t="str">
            <v>50700010</v>
          </cell>
          <cell r="B2162">
            <v>1</v>
          </cell>
          <cell r="I2162">
            <v>140000</v>
          </cell>
        </row>
        <row r="2163">
          <cell r="A2163" t="str">
            <v>50700020</v>
          </cell>
          <cell r="B2163">
            <v>1</v>
          </cell>
          <cell r="I2163">
            <v>140000</v>
          </cell>
        </row>
        <row r="2164">
          <cell r="A2164" t="str">
            <v>50700030</v>
          </cell>
          <cell r="B2164">
            <v>1</v>
          </cell>
          <cell r="I2164">
            <v>140000</v>
          </cell>
        </row>
        <row r="2165">
          <cell r="A2165" t="str">
            <v>50700080</v>
          </cell>
          <cell r="B2165">
            <v>1</v>
          </cell>
          <cell r="I2165">
            <v>140000</v>
          </cell>
        </row>
        <row r="2166">
          <cell r="A2166" t="str">
            <v>50700090</v>
          </cell>
          <cell r="B2166">
            <v>1</v>
          </cell>
          <cell r="I2166">
            <v>140000</v>
          </cell>
        </row>
        <row r="2167">
          <cell r="A2167" t="str">
            <v>50700100</v>
          </cell>
          <cell r="B2167">
            <v>1</v>
          </cell>
          <cell r="I2167">
            <v>140000</v>
          </cell>
        </row>
        <row r="2168">
          <cell r="A2168" t="str">
            <v>50701050</v>
          </cell>
          <cell r="B2168">
            <v>1</v>
          </cell>
          <cell r="I2168">
            <v>140000</v>
          </cell>
        </row>
        <row r="2169">
          <cell r="A2169" t="str">
            <v>50701051</v>
          </cell>
          <cell r="B2169">
            <v>0</v>
          </cell>
          <cell r="I2169">
            <v>146000</v>
          </cell>
        </row>
        <row r="2170">
          <cell r="A2170" t="str">
            <v>50701060</v>
          </cell>
          <cell r="B2170">
            <v>1</v>
          </cell>
          <cell r="I2170">
            <v>140000</v>
          </cell>
        </row>
        <row r="2171">
          <cell r="A2171" t="str">
            <v>50701061</v>
          </cell>
          <cell r="B2171">
            <v>0</v>
          </cell>
          <cell r="I2171">
            <v>146000</v>
          </cell>
        </row>
        <row r="2172">
          <cell r="A2172" t="str">
            <v>50702050</v>
          </cell>
          <cell r="B2172">
            <v>1</v>
          </cell>
          <cell r="I2172">
            <v>140000</v>
          </cell>
        </row>
        <row r="2173">
          <cell r="A2173" t="str">
            <v>50702051</v>
          </cell>
          <cell r="B2173">
            <v>0</v>
          </cell>
          <cell r="I2173">
            <v>146000</v>
          </cell>
        </row>
        <row r="2174">
          <cell r="A2174" t="str">
            <v>50702060</v>
          </cell>
          <cell r="B2174">
            <v>1</v>
          </cell>
          <cell r="I2174">
            <v>140000</v>
          </cell>
        </row>
        <row r="2175">
          <cell r="A2175" t="str">
            <v>50702061</v>
          </cell>
          <cell r="B2175">
            <v>0</v>
          </cell>
          <cell r="I2175">
            <v>146000</v>
          </cell>
        </row>
        <row r="2176">
          <cell r="A2176" t="str">
            <v>50703050</v>
          </cell>
          <cell r="B2176">
            <v>1</v>
          </cell>
          <cell r="I2176">
            <v>140000</v>
          </cell>
        </row>
        <row r="2177">
          <cell r="A2177" t="str">
            <v>50703051</v>
          </cell>
          <cell r="B2177">
            <v>0</v>
          </cell>
          <cell r="I2177">
            <v>146000</v>
          </cell>
        </row>
        <row r="2178">
          <cell r="A2178" t="str">
            <v>50703060</v>
          </cell>
          <cell r="B2178">
            <v>1</v>
          </cell>
          <cell r="I2178">
            <v>140000</v>
          </cell>
        </row>
        <row r="2179">
          <cell r="A2179" t="str">
            <v>50703061</v>
          </cell>
          <cell r="B2179">
            <v>0</v>
          </cell>
          <cell r="I2179">
            <v>146000</v>
          </cell>
        </row>
        <row r="2180">
          <cell r="A2180" t="str">
            <v>50700040</v>
          </cell>
          <cell r="B2180">
            <v>1</v>
          </cell>
          <cell r="I2180">
            <v>140000</v>
          </cell>
        </row>
        <row r="2181">
          <cell r="A2181" t="str">
            <v>50700041</v>
          </cell>
          <cell r="B2181">
            <v>0</v>
          </cell>
          <cell r="I2181">
            <v>146000</v>
          </cell>
        </row>
        <row r="2182">
          <cell r="A2182" t="str">
            <v>50700070</v>
          </cell>
          <cell r="B2182">
            <v>1</v>
          </cell>
          <cell r="I2182">
            <v>140000</v>
          </cell>
        </row>
        <row r="2183">
          <cell r="A2183" t="str">
            <v>50700071</v>
          </cell>
          <cell r="B2183">
            <v>0</v>
          </cell>
          <cell r="I2183">
            <v>146000</v>
          </cell>
        </row>
        <row r="2184">
          <cell r="A2184">
            <v>50750010</v>
          </cell>
          <cell r="B2184">
            <v>1</v>
          </cell>
          <cell r="I2184">
            <v>152000</v>
          </cell>
        </row>
        <row r="2185">
          <cell r="A2185">
            <v>50750020</v>
          </cell>
          <cell r="B2185">
            <v>1</v>
          </cell>
          <cell r="I2185">
            <v>152000</v>
          </cell>
        </row>
        <row r="2186">
          <cell r="A2186">
            <v>50750030</v>
          </cell>
          <cell r="B2186">
            <v>1</v>
          </cell>
          <cell r="I2186">
            <v>152000</v>
          </cell>
        </row>
        <row r="2187">
          <cell r="A2187">
            <v>50750080</v>
          </cell>
          <cell r="B2187">
            <v>1</v>
          </cell>
          <cell r="I2187">
            <v>152000</v>
          </cell>
        </row>
        <row r="2188">
          <cell r="A2188">
            <v>50750090</v>
          </cell>
          <cell r="B2188">
            <v>1</v>
          </cell>
          <cell r="I2188">
            <v>152000</v>
          </cell>
        </row>
        <row r="2189">
          <cell r="A2189">
            <v>50750100</v>
          </cell>
          <cell r="B2189">
            <v>1</v>
          </cell>
          <cell r="I2189">
            <v>152000</v>
          </cell>
        </row>
        <row r="2190">
          <cell r="A2190">
            <v>50751050</v>
          </cell>
          <cell r="B2190">
            <v>1</v>
          </cell>
          <cell r="I2190">
            <v>152000</v>
          </cell>
        </row>
        <row r="2191">
          <cell r="A2191">
            <v>50751051</v>
          </cell>
          <cell r="B2191">
            <v>1</v>
          </cell>
          <cell r="I2191">
            <v>158000</v>
          </cell>
        </row>
        <row r="2192">
          <cell r="A2192">
            <v>50751060</v>
          </cell>
          <cell r="B2192">
            <v>1</v>
          </cell>
          <cell r="I2192">
            <v>152000</v>
          </cell>
        </row>
        <row r="2193">
          <cell r="A2193">
            <v>50751061</v>
          </cell>
          <cell r="B2193">
            <v>1</v>
          </cell>
          <cell r="I2193">
            <v>158000</v>
          </cell>
        </row>
        <row r="2194">
          <cell r="A2194">
            <v>50752050</v>
          </cell>
          <cell r="B2194">
            <v>1</v>
          </cell>
          <cell r="I2194">
            <v>152000</v>
          </cell>
        </row>
        <row r="2195">
          <cell r="A2195">
            <v>50752051</v>
          </cell>
          <cell r="B2195">
            <v>1</v>
          </cell>
          <cell r="I2195">
            <v>158000</v>
          </cell>
        </row>
        <row r="2196">
          <cell r="A2196">
            <v>50752060</v>
          </cell>
          <cell r="B2196">
            <v>1</v>
          </cell>
          <cell r="I2196">
            <v>152000</v>
          </cell>
        </row>
        <row r="2197">
          <cell r="A2197">
            <v>50752061</v>
          </cell>
          <cell r="B2197">
            <v>1</v>
          </cell>
          <cell r="I2197">
            <v>158000</v>
          </cell>
        </row>
        <row r="2198">
          <cell r="A2198">
            <v>50753050</v>
          </cell>
          <cell r="B2198">
            <v>1</v>
          </cell>
          <cell r="I2198">
            <v>152000</v>
          </cell>
        </row>
        <row r="2199">
          <cell r="A2199">
            <v>50753051</v>
          </cell>
          <cell r="B2199">
            <v>1</v>
          </cell>
          <cell r="I2199">
            <v>158000</v>
          </cell>
        </row>
        <row r="2200">
          <cell r="A2200">
            <v>50753060</v>
          </cell>
          <cell r="B2200">
            <v>1</v>
          </cell>
          <cell r="I2200">
            <v>152000</v>
          </cell>
        </row>
        <row r="2201">
          <cell r="A2201">
            <v>50753061</v>
          </cell>
          <cell r="B2201">
            <v>1</v>
          </cell>
          <cell r="I2201">
            <v>158000</v>
          </cell>
        </row>
        <row r="2202">
          <cell r="A2202">
            <v>50750040</v>
          </cell>
          <cell r="B2202">
            <v>1</v>
          </cell>
          <cell r="I2202">
            <v>152000</v>
          </cell>
        </row>
        <row r="2203">
          <cell r="A2203">
            <v>50750041</v>
          </cell>
          <cell r="B2203">
            <v>1</v>
          </cell>
          <cell r="I2203">
            <v>158000</v>
          </cell>
        </row>
        <row r="2204">
          <cell r="A2204">
            <v>50750070</v>
          </cell>
          <cell r="B2204">
            <v>1</v>
          </cell>
          <cell r="I2204">
            <v>152000</v>
          </cell>
        </row>
        <row r="2205">
          <cell r="A2205">
            <v>50750071</v>
          </cell>
          <cell r="B2205">
            <v>1</v>
          </cell>
          <cell r="I2205">
            <v>158000</v>
          </cell>
        </row>
        <row r="2206">
          <cell r="A2206">
            <v>50800010</v>
          </cell>
          <cell r="B2206">
            <v>1</v>
          </cell>
          <cell r="I2206">
            <v>164000</v>
          </cell>
        </row>
        <row r="2207">
          <cell r="A2207">
            <v>50800020</v>
          </cell>
          <cell r="B2207">
            <v>1</v>
          </cell>
          <cell r="I2207">
            <v>164000</v>
          </cell>
        </row>
        <row r="2208">
          <cell r="A2208">
            <v>50800030</v>
          </cell>
          <cell r="B2208">
            <v>1</v>
          </cell>
          <cell r="I2208">
            <v>164000</v>
          </cell>
        </row>
        <row r="2209">
          <cell r="A2209">
            <v>50800080</v>
          </cell>
          <cell r="B2209">
            <v>1</v>
          </cell>
          <cell r="I2209">
            <v>164000</v>
          </cell>
        </row>
        <row r="2210">
          <cell r="A2210">
            <v>50800090</v>
          </cell>
          <cell r="B2210">
            <v>1</v>
          </cell>
          <cell r="I2210">
            <v>164000</v>
          </cell>
        </row>
        <row r="2211">
          <cell r="A2211">
            <v>50800100</v>
          </cell>
          <cell r="B2211">
            <v>1</v>
          </cell>
          <cell r="I2211">
            <v>164000</v>
          </cell>
        </row>
        <row r="2212">
          <cell r="A2212">
            <v>50801050</v>
          </cell>
          <cell r="B2212">
            <v>1</v>
          </cell>
          <cell r="I2212">
            <v>164000</v>
          </cell>
        </row>
        <row r="2213">
          <cell r="A2213">
            <v>50801051</v>
          </cell>
          <cell r="B2213">
            <v>1</v>
          </cell>
          <cell r="I2213">
            <v>170000</v>
          </cell>
        </row>
        <row r="2214">
          <cell r="A2214">
            <v>50801060</v>
          </cell>
          <cell r="B2214">
            <v>1</v>
          </cell>
          <cell r="I2214">
            <v>164000</v>
          </cell>
        </row>
        <row r="2215">
          <cell r="A2215">
            <v>50801061</v>
          </cell>
          <cell r="B2215">
            <v>1</v>
          </cell>
          <cell r="I2215">
            <v>170000</v>
          </cell>
        </row>
        <row r="2216">
          <cell r="A2216">
            <v>50802050</v>
          </cell>
          <cell r="B2216">
            <v>1</v>
          </cell>
          <cell r="I2216">
            <v>164000</v>
          </cell>
        </row>
        <row r="2217">
          <cell r="A2217">
            <v>50802051</v>
          </cell>
          <cell r="B2217">
            <v>1</v>
          </cell>
          <cell r="I2217">
            <v>170000</v>
          </cell>
        </row>
        <row r="2218">
          <cell r="A2218">
            <v>50802060</v>
          </cell>
          <cell r="B2218">
            <v>1</v>
          </cell>
          <cell r="I2218">
            <v>164000</v>
          </cell>
        </row>
        <row r="2219">
          <cell r="A2219">
            <v>50802061</v>
          </cell>
          <cell r="B2219">
            <v>1</v>
          </cell>
          <cell r="I2219">
            <v>170000</v>
          </cell>
        </row>
        <row r="2220">
          <cell r="A2220">
            <v>50803050</v>
          </cell>
          <cell r="B2220">
            <v>1</v>
          </cell>
          <cell r="I2220">
            <v>164000</v>
          </cell>
        </row>
        <row r="2221">
          <cell r="A2221">
            <v>50803051</v>
          </cell>
          <cell r="B2221">
            <v>1</v>
          </cell>
          <cell r="I2221">
            <v>170000</v>
          </cell>
        </row>
        <row r="2222">
          <cell r="A2222">
            <v>50803060</v>
          </cell>
          <cell r="B2222">
            <v>1</v>
          </cell>
          <cell r="I2222">
            <v>164000</v>
          </cell>
        </row>
        <row r="2223">
          <cell r="A2223">
            <v>50803061</v>
          </cell>
          <cell r="B2223">
            <v>1</v>
          </cell>
          <cell r="I2223">
            <v>170000</v>
          </cell>
        </row>
        <row r="2224">
          <cell r="A2224">
            <v>50800040</v>
          </cell>
          <cell r="B2224">
            <v>1</v>
          </cell>
          <cell r="I2224">
            <v>164000</v>
          </cell>
        </row>
        <row r="2225">
          <cell r="A2225">
            <v>50800041</v>
          </cell>
          <cell r="B2225">
            <v>1</v>
          </cell>
          <cell r="I2225">
            <v>170000</v>
          </cell>
        </row>
        <row r="2226">
          <cell r="A2226">
            <v>50800070</v>
          </cell>
          <cell r="B2226">
            <v>1</v>
          </cell>
          <cell r="I2226">
            <v>164000</v>
          </cell>
        </row>
        <row r="2227">
          <cell r="A2227">
            <v>50800071</v>
          </cell>
          <cell r="B2227">
            <v>1</v>
          </cell>
          <cell r="I2227">
            <v>170000</v>
          </cell>
        </row>
        <row r="2228">
          <cell r="A2228">
            <v>50850010</v>
          </cell>
          <cell r="B2228">
            <v>1</v>
          </cell>
          <cell r="I2228">
            <v>176000</v>
          </cell>
        </row>
        <row r="2229">
          <cell r="A2229">
            <v>50850020</v>
          </cell>
          <cell r="B2229">
            <v>1</v>
          </cell>
          <cell r="I2229">
            <v>176000</v>
          </cell>
        </row>
        <row r="2230">
          <cell r="A2230">
            <v>50850030</v>
          </cell>
          <cell r="B2230">
            <v>1</v>
          </cell>
          <cell r="I2230">
            <v>176000</v>
          </cell>
        </row>
        <row r="2231">
          <cell r="A2231">
            <v>50850080</v>
          </cell>
          <cell r="B2231">
            <v>1</v>
          </cell>
          <cell r="I2231">
            <v>176000</v>
          </cell>
        </row>
        <row r="2232">
          <cell r="A2232">
            <v>50850090</v>
          </cell>
          <cell r="B2232">
            <v>1</v>
          </cell>
          <cell r="I2232">
            <v>176000</v>
          </cell>
        </row>
        <row r="2233">
          <cell r="A2233">
            <v>50850100</v>
          </cell>
          <cell r="B2233">
            <v>1</v>
          </cell>
          <cell r="I2233">
            <v>176000</v>
          </cell>
        </row>
        <row r="2234">
          <cell r="A2234">
            <v>50851050</v>
          </cell>
          <cell r="B2234">
            <v>1</v>
          </cell>
          <cell r="I2234">
            <v>176000</v>
          </cell>
        </row>
        <row r="2235">
          <cell r="A2235">
            <v>50851051</v>
          </cell>
          <cell r="B2235">
            <v>1</v>
          </cell>
          <cell r="I2235">
            <v>182000</v>
          </cell>
        </row>
        <row r="2236">
          <cell r="A2236">
            <v>50851060</v>
          </cell>
          <cell r="B2236">
            <v>1</v>
          </cell>
          <cell r="I2236">
            <v>176000</v>
          </cell>
        </row>
        <row r="2237">
          <cell r="A2237">
            <v>50851061</v>
          </cell>
          <cell r="B2237">
            <v>1</v>
          </cell>
          <cell r="I2237">
            <v>182000</v>
          </cell>
        </row>
        <row r="2238">
          <cell r="A2238">
            <v>50852050</v>
          </cell>
          <cell r="B2238">
            <v>1</v>
          </cell>
          <cell r="I2238">
            <v>176000</v>
          </cell>
        </row>
        <row r="2239">
          <cell r="A2239">
            <v>50852051</v>
          </cell>
          <cell r="B2239">
            <v>1</v>
          </cell>
          <cell r="I2239">
            <v>182000</v>
          </cell>
        </row>
        <row r="2240">
          <cell r="A2240">
            <v>50852060</v>
          </cell>
          <cell r="B2240">
            <v>1</v>
          </cell>
          <cell r="I2240">
            <v>176000</v>
          </cell>
        </row>
        <row r="2241">
          <cell r="A2241">
            <v>50852061</v>
          </cell>
          <cell r="B2241">
            <v>1</v>
          </cell>
          <cell r="I2241">
            <v>182000</v>
          </cell>
        </row>
        <row r="2242">
          <cell r="A2242">
            <v>50853050</v>
          </cell>
          <cell r="B2242">
            <v>1</v>
          </cell>
          <cell r="I2242">
            <v>176000</v>
          </cell>
        </row>
        <row r="2243">
          <cell r="A2243">
            <v>50853051</v>
          </cell>
          <cell r="B2243">
            <v>1</v>
          </cell>
          <cell r="I2243">
            <v>182000</v>
          </cell>
        </row>
        <row r="2244">
          <cell r="A2244">
            <v>50853060</v>
          </cell>
          <cell r="B2244">
            <v>1</v>
          </cell>
          <cell r="I2244">
            <v>176000</v>
          </cell>
        </row>
        <row r="2245">
          <cell r="A2245">
            <v>50853061</v>
          </cell>
          <cell r="B2245">
            <v>1</v>
          </cell>
          <cell r="I2245">
            <v>182000</v>
          </cell>
        </row>
        <row r="2246">
          <cell r="A2246">
            <v>50850040</v>
          </cell>
          <cell r="B2246">
            <v>1</v>
          </cell>
          <cell r="I2246">
            <v>176000</v>
          </cell>
        </row>
        <row r="2247">
          <cell r="A2247">
            <v>50850041</v>
          </cell>
          <cell r="B2247">
            <v>1</v>
          </cell>
          <cell r="I2247">
            <v>182000</v>
          </cell>
        </row>
        <row r="2248">
          <cell r="A2248">
            <v>50850070</v>
          </cell>
          <cell r="B2248">
            <v>1</v>
          </cell>
          <cell r="I2248">
            <v>176000</v>
          </cell>
        </row>
        <row r="2249">
          <cell r="A2249">
            <v>50850071</v>
          </cell>
          <cell r="B2249">
            <v>1</v>
          </cell>
          <cell r="I2249">
            <v>182000</v>
          </cell>
        </row>
        <row r="2250">
          <cell r="A2250">
            <v>50900010</v>
          </cell>
          <cell r="B2250">
            <v>1</v>
          </cell>
          <cell r="I2250">
            <v>188000</v>
          </cell>
        </row>
        <row r="2251">
          <cell r="A2251">
            <v>50900020</v>
          </cell>
          <cell r="B2251">
            <v>1</v>
          </cell>
          <cell r="I2251">
            <v>188000</v>
          </cell>
        </row>
        <row r="2252">
          <cell r="A2252">
            <v>50900030</v>
          </cell>
          <cell r="B2252">
            <v>1</v>
          </cell>
          <cell r="I2252">
            <v>188000</v>
          </cell>
        </row>
        <row r="2253">
          <cell r="A2253">
            <v>50900080</v>
          </cell>
          <cell r="B2253">
            <v>1</v>
          </cell>
          <cell r="I2253">
            <v>188000</v>
          </cell>
        </row>
        <row r="2254">
          <cell r="A2254">
            <v>50900090</v>
          </cell>
          <cell r="B2254">
            <v>1</v>
          </cell>
          <cell r="I2254">
            <v>188000</v>
          </cell>
        </row>
        <row r="2255">
          <cell r="A2255">
            <v>50900100</v>
          </cell>
          <cell r="B2255">
            <v>1</v>
          </cell>
          <cell r="I2255">
            <v>188000</v>
          </cell>
        </row>
        <row r="2256">
          <cell r="A2256">
            <v>50901050</v>
          </cell>
          <cell r="B2256">
            <v>1</v>
          </cell>
          <cell r="I2256">
            <v>188000</v>
          </cell>
        </row>
        <row r="2257">
          <cell r="A2257">
            <v>50901051</v>
          </cell>
          <cell r="B2257">
            <v>1</v>
          </cell>
          <cell r="I2257">
            <v>194000</v>
          </cell>
        </row>
        <row r="2258">
          <cell r="A2258">
            <v>50901060</v>
          </cell>
          <cell r="B2258">
            <v>1</v>
          </cell>
          <cell r="I2258">
            <v>188000</v>
          </cell>
        </row>
        <row r="2259">
          <cell r="A2259">
            <v>50901061</v>
          </cell>
          <cell r="B2259">
            <v>1</v>
          </cell>
          <cell r="I2259">
            <v>194000</v>
          </cell>
        </row>
        <row r="2260">
          <cell r="A2260">
            <v>50902050</v>
          </cell>
          <cell r="B2260">
            <v>1</v>
          </cell>
          <cell r="I2260">
            <v>188000</v>
          </cell>
        </row>
        <row r="2261">
          <cell r="A2261">
            <v>50902051</v>
          </cell>
          <cell r="B2261">
            <v>1</v>
          </cell>
          <cell r="I2261">
            <v>194000</v>
          </cell>
        </row>
        <row r="2262">
          <cell r="A2262">
            <v>50902060</v>
          </cell>
          <cell r="B2262">
            <v>1</v>
          </cell>
          <cell r="I2262">
            <v>188000</v>
          </cell>
        </row>
        <row r="2263">
          <cell r="A2263">
            <v>50902061</v>
          </cell>
          <cell r="B2263">
            <v>1</v>
          </cell>
          <cell r="I2263">
            <v>194000</v>
          </cell>
        </row>
        <row r="2264">
          <cell r="A2264">
            <v>50903050</v>
          </cell>
          <cell r="B2264">
            <v>1</v>
          </cell>
          <cell r="I2264">
            <v>188000</v>
          </cell>
        </row>
        <row r="2265">
          <cell r="A2265">
            <v>50903051</v>
          </cell>
          <cell r="B2265">
            <v>1</v>
          </cell>
          <cell r="I2265">
            <v>194000</v>
          </cell>
        </row>
        <row r="2266">
          <cell r="A2266">
            <v>50903060</v>
          </cell>
          <cell r="B2266">
            <v>1</v>
          </cell>
          <cell r="I2266">
            <v>188000</v>
          </cell>
        </row>
        <row r="2267">
          <cell r="A2267">
            <v>50903061</v>
          </cell>
          <cell r="B2267">
            <v>1</v>
          </cell>
          <cell r="I2267">
            <v>194000</v>
          </cell>
        </row>
        <row r="2268">
          <cell r="A2268">
            <v>50900040</v>
          </cell>
          <cell r="B2268">
            <v>1</v>
          </cell>
          <cell r="I2268">
            <v>188000</v>
          </cell>
        </row>
        <row r="2269">
          <cell r="A2269">
            <v>50900041</v>
          </cell>
          <cell r="B2269">
            <v>1</v>
          </cell>
          <cell r="I2269">
            <v>194000</v>
          </cell>
        </row>
        <row r="2270">
          <cell r="A2270">
            <v>50900070</v>
          </cell>
          <cell r="B2270">
            <v>1</v>
          </cell>
          <cell r="I2270">
            <v>188000</v>
          </cell>
        </row>
        <row r="2271">
          <cell r="A2271">
            <v>50900071</v>
          </cell>
          <cell r="B2271">
            <v>1</v>
          </cell>
          <cell r="I2271">
            <v>194000</v>
          </cell>
        </row>
        <row r="2272">
          <cell r="A2272">
            <v>50950010</v>
          </cell>
          <cell r="B2272">
            <v>1</v>
          </cell>
          <cell r="I2272">
            <v>200000</v>
          </cell>
        </row>
        <row r="2273">
          <cell r="A2273">
            <v>50950020</v>
          </cell>
          <cell r="B2273">
            <v>1</v>
          </cell>
          <cell r="I2273">
            <v>200000</v>
          </cell>
        </row>
        <row r="2274">
          <cell r="A2274">
            <v>50950030</v>
          </cell>
          <cell r="B2274">
            <v>1</v>
          </cell>
          <cell r="I2274">
            <v>200000</v>
          </cell>
        </row>
        <row r="2275">
          <cell r="A2275">
            <v>50950080</v>
          </cell>
          <cell r="B2275">
            <v>1</v>
          </cell>
          <cell r="I2275">
            <v>200000</v>
          </cell>
        </row>
        <row r="2276">
          <cell r="A2276">
            <v>50950090</v>
          </cell>
          <cell r="B2276">
            <v>1</v>
          </cell>
          <cell r="I2276">
            <v>200000</v>
          </cell>
        </row>
        <row r="2277">
          <cell r="A2277">
            <v>50950100</v>
          </cell>
          <cell r="B2277">
            <v>1</v>
          </cell>
          <cell r="I2277">
            <v>200000</v>
          </cell>
        </row>
        <row r="2278">
          <cell r="A2278">
            <v>50951050</v>
          </cell>
          <cell r="B2278">
            <v>1</v>
          </cell>
          <cell r="I2278">
            <v>200000</v>
          </cell>
        </row>
        <row r="2279">
          <cell r="A2279">
            <v>50951051</v>
          </cell>
          <cell r="B2279">
            <v>1</v>
          </cell>
          <cell r="I2279">
            <v>206000</v>
          </cell>
        </row>
        <row r="2280">
          <cell r="A2280">
            <v>50951060</v>
          </cell>
          <cell r="B2280">
            <v>1</v>
          </cell>
          <cell r="I2280">
            <v>200000</v>
          </cell>
        </row>
        <row r="2281">
          <cell r="A2281">
            <v>50951061</v>
          </cell>
          <cell r="B2281">
            <v>1</v>
          </cell>
          <cell r="I2281">
            <v>206000</v>
          </cell>
        </row>
        <row r="2282">
          <cell r="A2282">
            <v>50952050</v>
          </cell>
          <cell r="B2282">
            <v>1</v>
          </cell>
          <cell r="I2282">
            <v>200000</v>
          </cell>
        </row>
        <row r="2283">
          <cell r="A2283">
            <v>50952051</v>
          </cell>
          <cell r="B2283">
            <v>1</v>
          </cell>
          <cell r="I2283">
            <v>206000</v>
          </cell>
        </row>
        <row r="2284">
          <cell r="A2284">
            <v>50952060</v>
          </cell>
          <cell r="B2284">
            <v>1</v>
          </cell>
          <cell r="I2284">
            <v>200000</v>
          </cell>
        </row>
        <row r="2285">
          <cell r="A2285">
            <v>50952061</v>
          </cell>
          <cell r="B2285">
            <v>1</v>
          </cell>
          <cell r="I2285">
            <v>206000</v>
          </cell>
        </row>
        <row r="2286">
          <cell r="A2286">
            <v>50953050</v>
          </cell>
          <cell r="B2286">
            <v>1</v>
          </cell>
          <cell r="I2286">
            <v>200000</v>
          </cell>
        </row>
        <row r="2287">
          <cell r="A2287">
            <v>50953051</v>
          </cell>
          <cell r="B2287">
            <v>1</v>
          </cell>
          <cell r="I2287">
            <v>206000</v>
          </cell>
        </row>
        <row r="2288">
          <cell r="A2288">
            <v>50953060</v>
          </cell>
          <cell r="B2288">
            <v>1</v>
          </cell>
          <cell r="I2288">
            <v>200000</v>
          </cell>
        </row>
        <row r="2289">
          <cell r="A2289">
            <v>50953061</v>
          </cell>
          <cell r="B2289">
            <v>1</v>
          </cell>
          <cell r="I2289">
            <v>206000</v>
          </cell>
        </row>
        <row r="2290">
          <cell r="A2290">
            <v>50950040</v>
          </cell>
          <cell r="B2290">
            <v>1</v>
          </cell>
          <cell r="I2290">
            <v>200000</v>
          </cell>
        </row>
        <row r="2291">
          <cell r="A2291">
            <v>50950041</v>
          </cell>
          <cell r="B2291">
            <v>1</v>
          </cell>
          <cell r="I2291">
            <v>206000</v>
          </cell>
        </row>
        <row r="2292">
          <cell r="A2292">
            <v>50950070</v>
          </cell>
          <cell r="B2292">
            <v>1</v>
          </cell>
          <cell r="I2292">
            <v>200000</v>
          </cell>
        </row>
        <row r="2293">
          <cell r="A2293">
            <v>50950071</v>
          </cell>
          <cell r="B2293">
            <v>1</v>
          </cell>
          <cell r="I2293">
            <v>206000</v>
          </cell>
        </row>
        <row r="2294">
          <cell r="A2294">
            <v>51000010</v>
          </cell>
          <cell r="B2294">
            <v>1</v>
          </cell>
          <cell r="I2294">
            <v>212000</v>
          </cell>
        </row>
        <row r="2295">
          <cell r="A2295">
            <v>51000020</v>
          </cell>
          <cell r="B2295">
            <v>1</v>
          </cell>
          <cell r="I2295">
            <v>212000</v>
          </cell>
        </row>
        <row r="2296">
          <cell r="A2296">
            <v>51000030</v>
          </cell>
          <cell r="B2296">
            <v>1</v>
          </cell>
          <cell r="I2296">
            <v>212000</v>
          </cell>
        </row>
        <row r="2297">
          <cell r="A2297">
            <v>51000080</v>
          </cell>
          <cell r="B2297">
            <v>1</v>
          </cell>
          <cell r="I2297">
            <v>212000</v>
          </cell>
        </row>
        <row r="2298">
          <cell r="A2298">
            <v>51000090</v>
          </cell>
          <cell r="B2298">
            <v>1</v>
          </cell>
          <cell r="I2298">
            <v>212000</v>
          </cell>
        </row>
        <row r="2299">
          <cell r="A2299">
            <v>51000100</v>
          </cell>
          <cell r="B2299">
            <v>1</v>
          </cell>
          <cell r="I2299">
            <v>212000</v>
          </cell>
        </row>
        <row r="2300">
          <cell r="A2300">
            <v>51001050</v>
          </cell>
          <cell r="B2300">
            <v>1</v>
          </cell>
          <cell r="I2300">
            <v>212000</v>
          </cell>
        </row>
        <row r="2301">
          <cell r="A2301">
            <v>51001051</v>
          </cell>
          <cell r="B2301">
            <v>0</v>
          </cell>
          <cell r="I2301">
            <v>218000</v>
          </cell>
        </row>
        <row r="2302">
          <cell r="A2302">
            <v>51001060</v>
          </cell>
          <cell r="B2302">
            <v>1</v>
          </cell>
          <cell r="I2302">
            <v>212000</v>
          </cell>
        </row>
        <row r="2303">
          <cell r="A2303">
            <v>51001061</v>
          </cell>
          <cell r="B2303">
            <v>0</v>
          </cell>
          <cell r="I2303">
            <v>218000</v>
          </cell>
        </row>
        <row r="2304">
          <cell r="A2304">
            <v>51002050</v>
          </cell>
          <cell r="B2304">
            <v>1</v>
          </cell>
          <cell r="I2304">
            <v>212000</v>
          </cell>
        </row>
        <row r="2305">
          <cell r="A2305">
            <v>51002051</v>
          </cell>
          <cell r="B2305">
            <v>0</v>
          </cell>
          <cell r="I2305">
            <v>218000</v>
          </cell>
        </row>
        <row r="2306">
          <cell r="A2306">
            <v>51002060</v>
          </cell>
          <cell r="B2306">
            <v>1</v>
          </cell>
          <cell r="I2306">
            <v>212000</v>
          </cell>
        </row>
        <row r="2307">
          <cell r="A2307">
            <v>51002061</v>
          </cell>
          <cell r="B2307">
            <v>0</v>
          </cell>
          <cell r="I2307">
            <v>218000</v>
          </cell>
        </row>
        <row r="2308">
          <cell r="A2308">
            <v>51003050</v>
          </cell>
          <cell r="B2308">
            <v>1</v>
          </cell>
          <cell r="I2308">
            <v>212000</v>
          </cell>
        </row>
        <row r="2309">
          <cell r="A2309">
            <v>51003051</v>
          </cell>
          <cell r="B2309">
            <v>0</v>
          </cell>
          <cell r="I2309">
            <v>218000</v>
          </cell>
        </row>
        <row r="2310">
          <cell r="A2310">
            <v>51003060</v>
          </cell>
          <cell r="B2310">
            <v>1</v>
          </cell>
          <cell r="I2310">
            <v>212000</v>
          </cell>
        </row>
        <row r="2311">
          <cell r="A2311">
            <v>51003061</v>
          </cell>
          <cell r="B2311">
            <v>0</v>
          </cell>
          <cell r="I2311">
            <v>218000</v>
          </cell>
        </row>
        <row r="2312">
          <cell r="A2312">
            <v>51000040</v>
          </cell>
          <cell r="B2312">
            <v>1</v>
          </cell>
          <cell r="I2312">
            <v>212000</v>
          </cell>
        </row>
        <row r="2313">
          <cell r="A2313">
            <v>51000041</v>
          </cell>
          <cell r="B2313">
            <v>1</v>
          </cell>
          <cell r="I2313">
            <v>218000</v>
          </cell>
        </row>
        <row r="2314">
          <cell r="A2314">
            <v>51000070</v>
          </cell>
          <cell r="B2314">
            <v>1</v>
          </cell>
          <cell r="I2314">
            <v>212000</v>
          </cell>
        </row>
        <row r="2315">
          <cell r="A2315">
            <v>51000071</v>
          </cell>
          <cell r="B2315">
            <v>1</v>
          </cell>
          <cell r="I2315">
            <v>218000</v>
          </cell>
        </row>
        <row r="2316">
          <cell r="A2316">
            <v>50010015</v>
          </cell>
          <cell r="B2316">
            <v>0</v>
          </cell>
          <cell r="I2316">
            <v>2000</v>
          </cell>
        </row>
        <row r="2317">
          <cell r="A2317">
            <v>50010025</v>
          </cell>
          <cell r="B2317">
            <v>0</v>
          </cell>
          <cell r="I2317">
            <v>2000</v>
          </cell>
        </row>
        <row r="2318">
          <cell r="A2318">
            <v>50010035</v>
          </cell>
          <cell r="B2318">
            <v>0</v>
          </cell>
          <cell r="I2318">
            <v>2000</v>
          </cell>
        </row>
        <row r="2319">
          <cell r="A2319">
            <v>50010085</v>
          </cell>
          <cell r="B2319">
            <v>1</v>
          </cell>
          <cell r="I2319">
            <v>2000</v>
          </cell>
        </row>
        <row r="2320">
          <cell r="A2320">
            <v>50010095</v>
          </cell>
          <cell r="B2320">
            <v>1</v>
          </cell>
          <cell r="I2320">
            <v>2000</v>
          </cell>
        </row>
        <row r="2321">
          <cell r="A2321">
            <v>50010105</v>
          </cell>
          <cell r="B2321">
            <v>0</v>
          </cell>
          <cell r="I2321">
            <v>2000</v>
          </cell>
        </row>
        <row r="2322">
          <cell r="A2322">
            <v>50011055</v>
          </cell>
          <cell r="B2322">
            <v>1</v>
          </cell>
          <cell r="I2322">
            <v>2000</v>
          </cell>
        </row>
        <row r="2323">
          <cell r="A2323">
            <v>50011056</v>
          </cell>
          <cell r="B2323">
            <v>1</v>
          </cell>
          <cell r="I2323">
            <v>8000</v>
          </cell>
        </row>
        <row r="2324">
          <cell r="A2324">
            <v>50011065</v>
          </cell>
          <cell r="B2324">
            <v>1</v>
          </cell>
          <cell r="I2324">
            <v>2000</v>
          </cell>
        </row>
        <row r="2325">
          <cell r="A2325">
            <v>50011066</v>
          </cell>
          <cell r="B2325">
            <v>0</v>
          </cell>
          <cell r="I2325">
            <v>8000</v>
          </cell>
        </row>
        <row r="2326">
          <cell r="A2326">
            <v>50012055</v>
          </cell>
          <cell r="B2326">
            <v>1</v>
          </cell>
          <cell r="I2326">
            <v>2000</v>
          </cell>
        </row>
        <row r="2327">
          <cell r="A2327">
            <v>50012056</v>
          </cell>
          <cell r="B2327">
            <v>1</v>
          </cell>
          <cell r="I2327">
            <v>8000</v>
          </cell>
        </row>
        <row r="2328">
          <cell r="A2328">
            <v>50012065</v>
          </cell>
          <cell r="B2328">
            <v>1</v>
          </cell>
          <cell r="I2328">
            <v>2000</v>
          </cell>
        </row>
        <row r="2329">
          <cell r="A2329">
            <v>50012066</v>
          </cell>
          <cell r="B2329">
            <v>0</v>
          </cell>
          <cell r="I2329">
            <v>8000</v>
          </cell>
        </row>
        <row r="2330">
          <cell r="A2330">
            <v>50013055</v>
          </cell>
          <cell r="B2330">
            <v>1</v>
          </cell>
          <cell r="I2330">
            <v>2000</v>
          </cell>
        </row>
        <row r="2331">
          <cell r="A2331">
            <v>50013056</v>
          </cell>
          <cell r="B2331">
            <v>1</v>
          </cell>
          <cell r="I2331">
            <v>8000</v>
          </cell>
        </row>
        <row r="2332">
          <cell r="A2332">
            <v>50013065</v>
          </cell>
          <cell r="B2332">
            <v>1</v>
          </cell>
          <cell r="I2332">
            <v>2000</v>
          </cell>
        </row>
        <row r="2333">
          <cell r="A2333">
            <v>50013066</v>
          </cell>
          <cell r="B2333">
            <v>0</v>
          </cell>
          <cell r="I2333">
            <v>8000</v>
          </cell>
        </row>
        <row r="2334">
          <cell r="A2334">
            <v>50010045</v>
          </cell>
          <cell r="B2334">
            <v>1</v>
          </cell>
          <cell r="I2334">
            <v>2000</v>
          </cell>
        </row>
        <row r="2335">
          <cell r="A2335">
            <v>50010046</v>
          </cell>
          <cell r="B2335">
            <v>0</v>
          </cell>
          <cell r="I2335">
            <v>8000</v>
          </cell>
        </row>
        <row r="2336">
          <cell r="A2336">
            <v>50010075</v>
          </cell>
          <cell r="B2336">
            <v>0</v>
          </cell>
          <cell r="I2336">
            <v>2000</v>
          </cell>
        </row>
        <row r="2337">
          <cell r="A2337">
            <v>50010076</v>
          </cell>
          <cell r="B2337">
            <v>0</v>
          </cell>
          <cell r="I2337">
            <v>8000</v>
          </cell>
        </row>
        <row r="2338">
          <cell r="A2338">
            <v>50050015</v>
          </cell>
          <cell r="B2338">
            <v>1</v>
          </cell>
          <cell r="I2338">
            <v>10000</v>
          </cell>
        </row>
        <row r="2339">
          <cell r="A2339">
            <v>50050025</v>
          </cell>
          <cell r="B2339">
            <v>1</v>
          </cell>
          <cell r="I2339">
            <v>10000</v>
          </cell>
        </row>
        <row r="2340">
          <cell r="A2340">
            <v>50050035</v>
          </cell>
          <cell r="B2340">
            <v>1</v>
          </cell>
          <cell r="I2340">
            <v>10000</v>
          </cell>
        </row>
        <row r="2341">
          <cell r="A2341">
            <v>50050085</v>
          </cell>
          <cell r="B2341">
            <v>0</v>
          </cell>
          <cell r="I2341">
            <v>10000</v>
          </cell>
        </row>
        <row r="2342">
          <cell r="A2342">
            <v>50050095</v>
          </cell>
          <cell r="B2342">
            <v>0</v>
          </cell>
          <cell r="I2342">
            <v>10000</v>
          </cell>
        </row>
        <row r="2343">
          <cell r="A2343">
            <v>50050105</v>
          </cell>
          <cell r="B2343">
            <v>1</v>
          </cell>
          <cell r="I2343">
            <v>10000</v>
          </cell>
        </row>
        <row r="2344">
          <cell r="A2344">
            <v>50051055</v>
          </cell>
          <cell r="B2344">
            <v>1</v>
          </cell>
          <cell r="I2344">
            <v>10000</v>
          </cell>
        </row>
        <row r="2345">
          <cell r="A2345">
            <v>50051056</v>
          </cell>
          <cell r="B2345">
            <v>1</v>
          </cell>
          <cell r="I2345">
            <v>16000</v>
          </cell>
        </row>
        <row r="2346">
          <cell r="A2346">
            <v>50051065</v>
          </cell>
          <cell r="B2346">
            <v>1</v>
          </cell>
          <cell r="I2346">
            <v>10000</v>
          </cell>
        </row>
        <row r="2347">
          <cell r="A2347">
            <v>50051066</v>
          </cell>
          <cell r="B2347">
            <v>0</v>
          </cell>
          <cell r="I2347">
            <v>16000</v>
          </cell>
        </row>
        <row r="2348">
          <cell r="A2348">
            <v>50052055</v>
          </cell>
          <cell r="B2348">
            <v>1</v>
          </cell>
          <cell r="I2348">
            <v>10000</v>
          </cell>
        </row>
        <row r="2349">
          <cell r="A2349">
            <v>50052056</v>
          </cell>
          <cell r="B2349">
            <v>1</v>
          </cell>
          <cell r="I2349">
            <v>16000</v>
          </cell>
        </row>
        <row r="2350">
          <cell r="A2350">
            <v>50052065</v>
          </cell>
          <cell r="B2350">
            <v>1</v>
          </cell>
          <cell r="I2350">
            <v>10000</v>
          </cell>
        </row>
        <row r="2351">
          <cell r="A2351">
            <v>50052066</v>
          </cell>
          <cell r="B2351">
            <v>0</v>
          </cell>
          <cell r="I2351">
            <v>16000</v>
          </cell>
        </row>
        <row r="2352">
          <cell r="A2352">
            <v>50053055</v>
          </cell>
          <cell r="B2352">
            <v>1</v>
          </cell>
          <cell r="I2352">
            <v>10000</v>
          </cell>
        </row>
        <row r="2353">
          <cell r="A2353">
            <v>50053056</v>
          </cell>
          <cell r="B2353">
            <v>1</v>
          </cell>
          <cell r="I2353">
            <v>16000</v>
          </cell>
        </row>
        <row r="2354">
          <cell r="A2354">
            <v>50053065</v>
          </cell>
          <cell r="B2354">
            <v>1</v>
          </cell>
          <cell r="I2354">
            <v>10000</v>
          </cell>
        </row>
        <row r="2355">
          <cell r="A2355">
            <v>50053066</v>
          </cell>
          <cell r="B2355">
            <v>0</v>
          </cell>
          <cell r="I2355">
            <v>16000</v>
          </cell>
        </row>
        <row r="2356">
          <cell r="A2356">
            <v>50050045</v>
          </cell>
          <cell r="B2356">
            <v>1</v>
          </cell>
          <cell r="I2356">
            <v>10000</v>
          </cell>
        </row>
        <row r="2357">
          <cell r="A2357">
            <v>50050046</v>
          </cell>
          <cell r="B2357">
            <v>1</v>
          </cell>
          <cell r="I2357">
            <v>16000</v>
          </cell>
        </row>
        <row r="2358">
          <cell r="A2358">
            <v>50050075</v>
          </cell>
          <cell r="B2358">
            <v>1</v>
          </cell>
          <cell r="I2358">
            <v>10000</v>
          </cell>
        </row>
        <row r="2359">
          <cell r="A2359">
            <v>50050076</v>
          </cell>
          <cell r="B2359">
            <v>1</v>
          </cell>
          <cell r="I2359">
            <v>16000</v>
          </cell>
        </row>
        <row r="2360">
          <cell r="A2360">
            <v>50100015</v>
          </cell>
          <cell r="B2360">
            <v>1</v>
          </cell>
          <cell r="I2360">
            <v>20000</v>
          </cell>
        </row>
        <row r="2361">
          <cell r="A2361">
            <v>50100025</v>
          </cell>
          <cell r="B2361">
            <v>1</v>
          </cell>
          <cell r="I2361">
            <v>20000</v>
          </cell>
        </row>
        <row r="2362">
          <cell r="A2362">
            <v>50100035</v>
          </cell>
          <cell r="B2362">
            <v>1</v>
          </cell>
          <cell r="I2362">
            <v>20000</v>
          </cell>
        </row>
        <row r="2363">
          <cell r="A2363">
            <v>50100085</v>
          </cell>
          <cell r="B2363">
            <v>1</v>
          </cell>
          <cell r="I2363">
            <v>20000</v>
          </cell>
        </row>
        <row r="2364">
          <cell r="A2364">
            <v>50100095</v>
          </cell>
          <cell r="B2364">
            <v>1</v>
          </cell>
          <cell r="I2364">
            <v>20000</v>
          </cell>
        </row>
        <row r="2365">
          <cell r="A2365">
            <v>50100105</v>
          </cell>
          <cell r="B2365">
            <v>0</v>
          </cell>
          <cell r="I2365">
            <v>20000</v>
          </cell>
        </row>
        <row r="2366">
          <cell r="A2366">
            <v>50101055</v>
          </cell>
          <cell r="B2366">
            <v>1</v>
          </cell>
          <cell r="I2366">
            <v>20000</v>
          </cell>
        </row>
        <row r="2367">
          <cell r="A2367">
            <v>50101056</v>
          </cell>
          <cell r="B2367">
            <v>1</v>
          </cell>
          <cell r="I2367">
            <v>26000</v>
          </cell>
        </row>
        <row r="2368">
          <cell r="A2368">
            <v>50101065</v>
          </cell>
          <cell r="B2368">
            <v>1</v>
          </cell>
          <cell r="I2368">
            <v>20000</v>
          </cell>
        </row>
        <row r="2369">
          <cell r="A2369">
            <v>50101066</v>
          </cell>
          <cell r="B2369">
            <v>0</v>
          </cell>
          <cell r="I2369">
            <v>26000</v>
          </cell>
        </row>
        <row r="2370">
          <cell r="A2370">
            <v>50102055</v>
          </cell>
          <cell r="B2370">
            <v>1</v>
          </cell>
          <cell r="I2370">
            <v>20000</v>
          </cell>
        </row>
        <row r="2371">
          <cell r="A2371">
            <v>50102056</v>
          </cell>
          <cell r="B2371">
            <v>1</v>
          </cell>
          <cell r="I2371">
            <v>26000</v>
          </cell>
        </row>
        <row r="2372">
          <cell r="A2372">
            <v>50102065</v>
          </cell>
          <cell r="B2372">
            <v>1</v>
          </cell>
          <cell r="I2372">
            <v>20000</v>
          </cell>
        </row>
        <row r="2373">
          <cell r="A2373">
            <v>50102066</v>
          </cell>
          <cell r="B2373">
            <v>0</v>
          </cell>
          <cell r="I2373">
            <v>26000</v>
          </cell>
        </row>
        <row r="2374">
          <cell r="A2374">
            <v>50103055</v>
          </cell>
          <cell r="B2374">
            <v>1</v>
          </cell>
          <cell r="I2374">
            <v>20000</v>
          </cell>
        </row>
        <row r="2375">
          <cell r="A2375">
            <v>50103056</v>
          </cell>
          <cell r="B2375">
            <v>1</v>
          </cell>
          <cell r="I2375">
            <v>26000</v>
          </cell>
        </row>
        <row r="2376">
          <cell r="A2376">
            <v>50103065</v>
          </cell>
          <cell r="B2376">
            <v>1</v>
          </cell>
          <cell r="I2376">
            <v>20000</v>
          </cell>
        </row>
        <row r="2377">
          <cell r="A2377">
            <v>50103066</v>
          </cell>
          <cell r="B2377">
            <v>0</v>
          </cell>
          <cell r="I2377">
            <v>26000</v>
          </cell>
        </row>
        <row r="2378">
          <cell r="A2378">
            <v>50100045</v>
          </cell>
          <cell r="B2378">
            <v>1</v>
          </cell>
          <cell r="I2378">
            <v>20000</v>
          </cell>
        </row>
        <row r="2379">
          <cell r="A2379">
            <v>50100046</v>
          </cell>
          <cell r="B2379">
            <v>0</v>
          </cell>
          <cell r="I2379">
            <v>26000</v>
          </cell>
        </row>
        <row r="2380">
          <cell r="A2380">
            <v>50100075</v>
          </cell>
          <cell r="B2380">
            <v>1</v>
          </cell>
          <cell r="I2380">
            <v>20000</v>
          </cell>
        </row>
        <row r="2381">
          <cell r="A2381">
            <v>50100076</v>
          </cell>
          <cell r="B2381">
            <v>0</v>
          </cell>
          <cell r="I2381">
            <v>26000</v>
          </cell>
        </row>
        <row r="2382">
          <cell r="A2382">
            <v>50150015</v>
          </cell>
          <cell r="B2382">
            <v>0</v>
          </cell>
          <cell r="I2382">
            <v>30000</v>
          </cell>
        </row>
        <row r="2383">
          <cell r="A2383">
            <v>50150025</v>
          </cell>
          <cell r="B2383">
            <v>0</v>
          </cell>
          <cell r="I2383">
            <v>30000</v>
          </cell>
        </row>
        <row r="2384">
          <cell r="A2384">
            <v>50150035</v>
          </cell>
          <cell r="B2384">
            <v>1</v>
          </cell>
          <cell r="I2384">
            <v>30000</v>
          </cell>
        </row>
        <row r="2385">
          <cell r="A2385">
            <v>50150085</v>
          </cell>
          <cell r="B2385">
            <v>1</v>
          </cell>
          <cell r="I2385">
            <v>30000</v>
          </cell>
        </row>
        <row r="2386">
          <cell r="A2386">
            <v>50150095</v>
          </cell>
          <cell r="B2386">
            <v>1</v>
          </cell>
          <cell r="I2386">
            <v>30000</v>
          </cell>
        </row>
        <row r="2387">
          <cell r="A2387">
            <v>50150105</v>
          </cell>
          <cell r="B2387">
            <v>1</v>
          </cell>
          <cell r="I2387">
            <v>30000</v>
          </cell>
        </row>
        <row r="2388">
          <cell r="A2388">
            <v>50151055</v>
          </cell>
          <cell r="B2388">
            <v>1</v>
          </cell>
          <cell r="I2388">
            <v>30000</v>
          </cell>
        </row>
        <row r="2389">
          <cell r="A2389">
            <v>50151056</v>
          </cell>
          <cell r="B2389">
            <v>1</v>
          </cell>
          <cell r="I2389">
            <v>36000</v>
          </cell>
        </row>
        <row r="2390">
          <cell r="A2390">
            <v>50151065</v>
          </cell>
          <cell r="B2390">
            <v>1</v>
          </cell>
          <cell r="I2390">
            <v>30000</v>
          </cell>
        </row>
        <row r="2391">
          <cell r="A2391">
            <v>50151066</v>
          </cell>
          <cell r="B2391">
            <v>0</v>
          </cell>
          <cell r="I2391">
            <v>36000</v>
          </cell>
        </row>
        <row r="2392">
          <cell r="A2392">
            <v>50152055</v>
          </cell>
          <cell r="B2392">
            <v>1</v>
          </cell>
          <cell r="I2392">
            <v>30000</v>
          </cell>
        </row>
        <row r="2393">
          <cell r="A2393">
            <v>50152056</v>
          </cell>
          <cell r="B2393">
            <v>1</v>
          </cell>
          <cell r="I2393">
            <v>36000</v>
          </cell>
        </row>
        <row r="2394">
          <cell r="A2394">
            <v>50152065</v>
          </cell>
          <cell r="B2394">
            <v>1</v>
          </cell>
          <cell r="I2394">
            <v>30000</v>
          </cell>
        </row>
        <row r="2395">
          <cell r="A2395">
            <v>50152066</v>
          </cell>
          <cell r="B2395">
            <v>0</v>
          </cell>
          <cell r="I2395">
            <v>36000</v>
          </cell>
        </row>
        <row r="2396">
          <cell r="A2396">
            <v>50153055</v>
          </cell>
          <cell r="B2396">
            <v>1</v>
          </cell>
          <cell r="I2396">
            <v>30000</v>
          </cell>
        </row>
        <row r="2397">
          <cell r="A2397">
            <v>50153056</v>
          </cell>
          <cell r="B2397">
            <v>1</v>
          </cell>
          <cell r="I2397">
            <v>36000</v>
          </cell>
        </row>
        <row r="2398">
          <cell r="A2398">
            <v>50153065</v>
          </cell>
          <cell r="B2398">
            <v>1</v>
          </cell>
          <cell r="I2398">
            <v>30000</v>
          </cell>
        </row>
        <row r="2399">
          <cell r="A2399">
            <v>50153066</v>
          </cell>
          <cell r="B2399">
            <v>0</v>
          </cell>
          <cell r="I2399">
            <v>36000</v>
          </cell>
        </row>
        <row r="2400">
          <cell r="A2400">
            <v>50150045</v>
          </cell>
          <cell r="B2400">
            <v>1</v>
          </cell>
          <cell r="I2400">
            <v>30000</v>
          </cell>
        </row>
        <row r="2401">
          <cell r="A2401">
            <v>50150046</v>
          </cell>
          <cell r="B2401">
            <v>0</v>
          </cell>
          <cell r="I2401">
            <v>36000</v>
          </cell>
        </row>
        <row r="2402">
          <cell r="A2402">
            <v>50150075</v>
          </cell>
          <cell r="B2402">
            <v>1</v>
          </cell>
          <cell r="I2402">
            <v>30000</v>
          </cell>
        </row>
        <row r="2403">
          <cell r="A2403">
            <v>50150076</v>
          </cell>
          <cell r="B2403">
            <v>0</v>
          </cell>
          <cell r="I2403">
            <v>36000</v>
          </cell>
        </row>
        <row r="2404">
          <cell r="A2404">
            <v>50200015</v>
          </cell>
          <cell r="B2404">
            <v>1</v>
          </cell>
          <cell r="I2404">
            <v>40000</v>
          </cell>
        </row>
        <row r="2405">
          <cell r="A2405">
            <v>50200025</v>
          </cell>
          <cell r="B2405">
            <v>1</v>
          </cell>
          <cell r="I2405">
            <v>40000</v>
          </cell>
        </row>
        <row r="2406">
          <cell r="A2406">
            <v>50200035</v>
          </cell>
          <cell r="B2406">
            <v>1</v>
          </cell>
          <cell r="I2406">
            <v>40000</v>
          </cell>
        </row>
        <row r="2407">
          <cell r="A2407">
            <v>50200085</v>
          </cell>
          <cell r="B2407">
            <v>1</v>
          </cell>
          <cell r="I2407">
            <v>40000</v>
          </cell>
        </row>
        <row r="2408">
          <cell r="A2408">
            <v>50200095</v>
          </cell>
          <cell r="B2408">
            <v>1</v>
          </cell>
          <cell r="I2408">
            <v>40000</v>
          </cell>
        </row>
        <row r="2409">
          <cell r="A2409">
            <v>50200105</v>
          </cell>
          <cell r="B2409">
            <v>1</v>
          </cell>
          <cell r="I2409">
            <v>40000</v>
          </cell>
        </row>
        <row r="2410">
          <cell r="A2410">
            <v>50201055</v>
          </cell>
          <cell r="B2410">
            <v>1</v>
          </cell>
          <cell r="I2410">
            <v>40000</v>
          </cell>
        </row>
        <row r="2411">
          <cell r="A2411">
            <v>50201056</v>
          </cell>
          <cell r="B2411">
            <v>0</v>
          </cell>
          <cell r="I2411">
            <v>46000</v>
          </cell>
        </row>
        <row r="2412">
          <cell r="A2412">
            <v>50201065</v>
          </cell>
          <cell r="B2412">
            <v>1</v>
          </cell>
          <cell r="I2412">
            <v>40000</v>
          </cell>
        </row>
        <row r="2413">
          <cell r="A2413">
            <v>50201066</v>
          </cell>
          <cell r="B2413">
            <v>0</v>
          </cell>
          <cell r="I2413">
            <v>46000</v>
          </cell>
        </row>
        <row r="2414">
          <cell r="A2414">
            <v>50202055</v>
          </cell>
          <cell r="B2414">
            <v>1</v>
          </cell>
          <cell r="I2414">
            <v>40000</v>
          </cell>
        </row>
        <row r="2415">
          <cell r="A2415">
            <v>50202056</v>
          </cell>
          <cell r="B2415">
            <v>0</v>
          </cell>
          <cell r="I2415">
            <v>46000</v>
          </cell>
        </row>
        <row r="2416">
          <cell r="A2416">
            <v>50202065</v>
          </cell>
          <cell r="B2416">
            <v>1</v>
          </cell>
          <cell r="I2416">
            <v>40000</v>
          </cell>
        </row>
        <row r="2417">
          <cell r="A2417">
            <v>50202066</v>
          </cell>
          <cell r="B2417">
            <v>0</v>
          </cell>
          <cell r="I2417">
            <v>46000</v>
          </cell>
        </row>
        <row r="2418">
          <cell r="A2418">
            <v>50203055</v>
          </cell>
          <cell r="B2418">
            <v>1</v>
          </cell>
          <cell r="I2418">
            <v>40000</v>
          </cell>
        </row>
        <row r="2419">
          <cell r="A2419">
            <v>50203056</v>
          </cell>
          <cell r="B2419">
            <v>1</v>
          </cell>
          <cell r="I2419">
            <v>46000</v>
          </cell>
        </row>
        <row r="2420">
          <cell r="A2420">
            <v>50203065</v>
          </cell>
          <cell r="B2420">
            <v>1</v>
          </cell>
          <cell r="I2420">
            <v>40000</v>
          </cell>
        </row>
        <row r="2421">
          <cell r="A2421">
            <v>50203066</v>
          </cell>
          <cell r="B2421">
            <v>0</v>
          </cell>
          <cell r="I2421">
            <v>46000</v>
          </cell>
        </row>
        <row r="2422">
          <cell r="A2422">
            <v>50200045</v>
          </cell>
          <cell r="B2422">
            <v>1</v>
          </cell>
          <cell r="I2422">
            <v>40000</v>
          </cell>
        </row>
        <row r="2423">
          <cell r="A2423">
            <v>50200046</v>
          </cell>
          <cell r="B2423">
            <v>1</v>
          </cell>
          <cell r="I2423">
            <v>46000</v>
          </cell>
        </row>
        <row r="2424">
          <cell r="A2424">
            <v>50200075</v>
          </cell>
          <cell r="B2424">
            <v>1</v>
          </cell>
          <cell r="I2424">
            <v>40000</v>
          </cell>
        </row>
        <row r="2425">
          <cell r="A2425">
            <v>50200076</v>
          </cell>
          <cell r="B2425">
            <v>1</v>
          </cell>
          <cell r="I2425">
            <v>46000</v>
          </cell>
        </row>
        <row r="2426">
          <cell r="A2426">
            <v>50250015</v>
          </cell>
          <cell r="B2426">
            <v>1</v>
          </cell>
          <cell r="I2426">
            <v>50000</v>
          </cell>
        </row>
        <row r="2427">
          <cell r="A2427">
            <v>50250025</v>
          </cell>
          <cell r="B2427">
            <v>1</v>
          </cell>
          <cell r="I2427">
            <v>50000</v>
          </cell>
        </row>
        <row r="2428">
          <cell r="A2428">
            <v>50250035</v>
          </cell>
          <cell r="B2428">
            <v>1</v>
          </cell>
          <cell r="I2428">
            <v>50000</v>
          </cell>
        </row>
        <row r="2429">
          <cell r="A2429">
            <v>50250085</v>
          </cell>
          <cell r="B2429">
            <v>1</v>
          </cell>
          <cell r="I2429">
            <v>50000</v>
          </cell>
        </row>
        <row r="2430">
          <cell r="A2430">
            <v>50250095</v>
          </cell>
          <cell r="B2430">
            <v>1</v>
          </cell>
          <cell r="I2430">
            <v>50000</v>
          </cell>
        </row>
        <row r="2431">
          <cell r="A2431">
            <v>50250105</v>
          </cell>
          <cell r="B2431">
            <v>1</v>
          </cell>
          <cell r="I2431">
            <v>50000</v>
          </cell>
        </row>
        <row r="2432">
          <cell r="A2432">
            <v>50251055</v>
          </cell>
          <cell r="B2432">
            <v>1</v>
          </cell>
          <cell r="I2432">
            <v>50000</v>
          </cell>
        </row>
        <row r="2433">
          <cell r="A2433">
            <v>50251056</v>
          </cell>
          <cell r="B2433">
            <v>1</v>
          </cell>
          <cell r="I2433">
            <v>56000</v>
          </cell>
        </row>
        <row r="2434">
          <cell r="A2434">
            <v>50251065</v>
          </cell>
          <cell r="B2434">
            <v>1</v>
          </cell>
          <cell r="I2434">
            <v>50000</v>
          </cell>
        </row>
        <row r="2435">
          <cell r="A2435">
            <v>50251066</v>
          </cell>
          <cell r="B2435">
            <v>0</v>
          </cell>
          <cell r="I2435">
            <v>56000</v>
          </cell>
        </row>
        <row r="2436">
          <cell r="A2436">
            <v>50252055</v>
          </cell>
          <cell r="B2436">
            <v>1</v>
          </cell>
          <cell r="I2436">
            <v>50000</v>
          </cell>
        </row>
        <row r="2437">
          <cell r="A2437">
            <v>50252056</v>
          </cell>
          <cell r="B2437">
            <v>1</v>
          </cell>
          <cell r="I2437">
            <v>56000</v>
          </cell>
        </row>
        <row r="2438">
          <cell r="A2438">
            <v>50252065</v>
          </cell>
          <cell r="B2438">
            <v>1</v>
          </cell>
          <cell r="I2438">
            <v>50000</v>
          </cell>
        </row>
        <row r="2439">
          <cell r="A2439">
            <v>50252066</v>
          </cell>
          <cell r="B2439">
            <v>0</v>
          </cell>
          <cell r="I2439">
            <v>56000</v>
          </cell>
        </row>
        <row r="2440">
          <cell r="A2440">
            <v>50253055</v>
          </cell>
          <cell r="B2440">
            <v>1</v>
          </cell>
          <cell r="I2440">
            <v>50000</v>
          </cell>
        </row>
        <row r="2441">
          <cell r="A2441">
            <v>50253056</v>
          </cell>
          <cell r="B2441">
            <v>0</v>
          </cell>
          <cell r="I2441">
            <v>56000</v>
          </cell>
        </row>
        <row r="2442">
          <cell r="A2442">
            <v>50253065</v>
          </cell>
          <cell r="B2442">
            <v>1</v>
          </cell>
          <cell r="I2442">
            <v>50000</v>
          </cell>
        </row>
        <row r="2443">
          <cell r="A2443">
            <v>50253066</v>
          </cell>
          <cell r="B2443">
            <v>0</v>
          </cell>
          <cell r="I2443">
            <v>56000</v>
          </cell>
        </row>
        <row r="2444">
          <cell r="A2444">
            <v>50250045</v>
          </cell>
          <cell r="B2444">
            <v>1</v>
          </cell>
          <cell r="I2444">
            <v>50000</v>
          </cell>
        </row>
        <row r="2445">
          <cell r="A2445">
            <v>50250046</v>
          </cell>
          <cell r="B2445">
            <v>0</v>
          </cell>
          <cell r="I2445">
            <v>56000</v>
          </cell>
        </row>
        <row r="2446">
          <cell r="A2446">
            <v>50250075</v>
          </cell>
          <cell r="B2446">
            <v>1</v>
          </cell>
          <cell r="I2446">
            <v>50000</v>
          </cell>
        </row>
        <row r="2447">
          <cell r="A2447">
            <v>50250076</v>
          </cell>
          <cell r="B2447">
            <v>0</v>
          </cell>
          <cell r="I2447">
            <v>56000</v>
          </cell>
        </row>
        <row r="2448">
          <cell r="A2448">
            <v>50300015</v>
          </cell>
          <cell r="B2448">
            <v>1</v>
          </cell>
          <cell r="I2448">
            <v>60000</v>
          </cell>
        </row>
        <row r="2449">
          <cell r="A2449">
            <v>50300025</v>
          </cell>
          <cell r="B2449">
            <v>1</v>
          </cell>
          <cell r="I2449">
            <v>60000</v>
          </cell>
        </row>
        <row r="2450">
          <cell r="A2450">
            <v>50300035</v>
          </cell>
          <cell r="B2450">
            <v>1</v>
          </cell>
          <cell r="I2450">
            <v>60000</v>
          </cell>
        </row>
        <row r="2451">
          <cell r="A2451">
            <v>50300085</v>
          </cell>
          <cell r="B2451">
            <v>1</v>
          </cell>
          <cell r="I2451">
            <v>60000</v>
          </cell>
        </row>
        <row r="2452">
          <cell r="A2452">
            <v>50300095</v>
          </cell>
          <cell r="B2452">
            <v>1</v>
          </cell>
          <cell r="I2452">
            <v>60000</v>
          </cell>
        </row>
        <row r="2453">
          <cell r="A2453">
            <v>50300105</v>
          </cell>
          <cell r="B2453">
            <v>1</v>
          </cell>
          <cell r="I2453">
            <v>60000</v>
          </cell>
        </row>
        <row r="2454">
          <cell r="A2454">
            <v>50301055</v>
          </cell>
          <cell r="B2454">
            <v>1</v>
          </cell>
          <cell r="I2454">
            <v>60000</v>
          </cell>
        </row>
        <row r="2455">
          <cell r="A2455">
            <v>50301056</v>
          </cell>
          <cell r="B2455">
            <v>1</v>
          </cell>
          <cell r="I2455">
            <v>66000</v>
          </cell>
        </row>
        <row r="2456">
          <cell r="A2456">
            <v>50301065</v>
          </cell>
          <cell r="B2456">
            <v>1</v>
          </cell>
          <cell r="I2456">
            <v>60000</v>
          </cell>
        </row>
        <row r="2457">
          <cell r="A2457">
            <v>50301066</v>
          </cell>
          <cell r="B2457">
            <v>0</v>
          </cell>
          <cell r="I2457">
            <v>66000</v>
          </cell>
        </row>
        <row r="2458">
          <cell r="A2458">
            <v>50302055</v>
          </cell>
          <cell r="B2458">
            <v>1</v>
          </cell>
          <cell r="I2458">
            <v>60000</v>
          </cell>
        </row>
        <row r="2459">
          <cell r="A2459">
            <v>50302056</v>
          </cell>
          <cell r="B2459">
            <v>1</v>
          </cell>
          <cell r="I2459">
            <v>66000</v>
          </cell>
        </row>
        <row r="2460">
          <cell r="A2460">
            <v>50302065</v>
          </cell>
          <cell r="B2460">
            <v>1</v>
          </cell>
          <cell r="I2460">
            <v>60000</v>
          </cell>
        </row>
        <row r="2461">
          <cell r="A2461">
            <v>50302066</v>
          </cell>
          <cell r="B2461">
            <v>0</v>
          </cell>
          <cell r="I2461">
            <v>66000</v>
          </cell>
        </row>
        <row r="2462">
          <cell r="A2462">
            <v>50303055</v>
          </cell>
          <cell r="B2462">
            <v>1</v>
          </cell>
          <cell r="I2462">
            <v>60000</v>
          </cell>
        </row>
        <row r="2463">
          <cell r="A2463">
            <v>50303056</v>
          </cell>
          <cell r="B2463">
            <v>1</v>
          </cell>
          <cell r="I2463">
            <v>66000</v>
          </cell>
        </row>
        <row r="2464">
          <cell r="A2464">
            <v>50303065</v>
          </cell>
          <cell r="B2464">
            <v>1</v>
          </cell>
          <cell r="I2464">
            <v>60000</v>
          </cell>
        </row>
        <row r="2465">
          <cell r="A2465">
            <v>50303066</v>
          </cell>
          <cell r="B2465">
            <v>0</v>
          </cell>
          <cell r="I2465">
            <v>66000</v>
          </cell>
        </row>
        <row r="2466">
          <cell r="A2466">
            <v>50300045</v>
          </cell>
          <cell r="B2466">
            <v>1</v>
          </cell>
          <cell r="I2466">
            <v>60000</v>
          </cell>
        </row>
        <row r="2467">
          <cell r="A2467">
            <v>50300046</v>
          </cell>
          <cell r="B2467">
            <v>1</v>
          </cell>
          <cell r="I2467">
            <v>66000</v>
          </cell>
        </row>
        <row r="2468">
          <cell r="A2468">
            <v>50300075</v>
          </cell>
          <cell r="B2468">
            <v>1</v>
          </cell>
          <cell r="I2468">
            <v>60000</v>
          </cell>
        </row>
        <row r="2469">
          <cell r="A2469">
            <v>50300076</v>
          </cell>
          <cell r="B2469">
            <v>1</v>
          </cell>
          <cell r="I2469">
            <v>66000</v>
          </cell>
        </row>
        <row r="2470">
          <cell r="A2470">
            <v>50350015</v>
          </cell>
          <cell r="B2470">
            <v>1</v>
          </cell>
          <cell r="I2470">
            <v>70000</v>
          </cell>
        </row>
        <row r="2471">
          <cell r="A2471">
            <v>50350025</v>
          </cell>
          <cell r="B2471">
            <v>1</v>
          </cell>
          <cell r="I2471">
            <v>70000</v>
          </cell>
        </row>
        <row r="2472">
          <cell r="A2472">
            <v>50350035</v>
          </cell>
          <cell r="B2472">
            <v>1</v>
          </cell>
          <cell r="I2472">
            <v>70000</v>
          </cell>
        </row>
        <row r="2473">
          <cell r="A2473">
            <v>50350085</v>
          </cell>
          <cell r="B2473">
            <v>1</v>
          </cell>
          <cell r="I2473">
            <v>70000</v>
          </cell>
        </row>
        <row r="2474">
          <cell r="A2474">
            <v>50350095</v>
          </cell>
          <cell r="B2474">
            <v>1</v>
          </cell>
          <cell r="I2474">
            <v>70000</v>
          </cell>
        </row>
        <row r="2475">
          <cell r="A2475">
            <v>50350105</v>
          </cell>
          <cell r="B2475">
            <v>1</v>
          </cell>
          <cell r="I2475">
            <v>70000</v>
          </cell>
        </row>
        <row r="2476">
          <cell r="A2476">
            <v>50351055</v>
          </cell>
          <cell r="B2476">
            <v>1</v>
          </cell>
          <cell r="I2476">
            <v>70000</v>
          </cell>
        </row>
        <row r="2477">
          <cell r="A2477">
            <v>50351056</v>
          </cell>
          <cell r="B2477">
            <v>0</v>
          </cell>
          <cell r="I2477">
            <v>76000</v>
          </cell>
        </row>
        <row r="2478">
          <cell r="A2478">
            <v>50351065</v>
          </cell>
          <cell r="B2478">
            <v>1</v>
          </cell>
          <cell r="I2478">
            <v>70000</v>
          </cell>
        </row>
        <row r="2479">
          <cell r="A2479">
            <v>50351066</v>
          </cell>
          <cell r="B2479">
            <v>1</v>
          </cell>
          <cell r="I2479">
            <v>76000</v>
          </cell>
        </row>
        <row r="2480">
          <cell r="A2480">
            <v>50352055</v>
          </cell>
          <cell r="B2480">
            <v>1</v>
          </cell>
          <cell r="I2480">
            <v>70000</v>
          </cell>
        </row>
        <row r="2481">
          <cell r="A2481">
            <v>50352056</v>
          </cell>
          <cell r="B2481">
            <v>0</v>
          </cell>
          <cell r="I2481">
            <v>76000</v>
          </cell>
        </row>
        <row r="2482">
          <cell r="A2482">
            <v>50352065</v>
          </cell>
          <cell r="B2482">
            <v>1</v>
          </cell>
          <cell r="I2482">
            <v>70000</v>
          </cell>
        </row>
        <row r="2483">
          <cell r="A2483">
            <v>50352066</v>
          </cell>
          <cell r="B2483">
            <v>1</v>
          </cell>
          <cell r="I2483">
            <v>76000</v>
          </cell>
        </row>
        <row r="2484">
          <cell r="A2484">
            <v>50353055</v>
          </cell>
          <cell r="B2484">
            <v>1</v>
          </cell>
          <cell r="I2484">
            <v>70000</v>
          </cell>
        </row>
        <row r="2485">
          <cell r="A2485">
            <v>50353056</v>
          </cell>
          <cell r="B2485">
            <v>0</v>
          </cell>
          <cell r="I2485">
            <v>76000</v>
          </cell>
        </row>
        <row r="2486">
          <cell r="A2486">
            <v>50353065</v>
          </cell>
          <cell r="B2486">
            <v>1</v>
          </cell>
          <cell r="I2486">
            <v>70000</v>
          </cell>
        </row>
        <row r="2487">
          <cell r="A2487">
            <v>50353066</v>
          </cell>
          <cell r="B2487">
            <v>1</v>
          </cell>
          <cell r="I2487">
            <v>76000</v>
          </cell>
        </row>
        <row r="2488">
          <cell r="A2488">
            <v>50350045</v>
          </cell>
          <cell r="B2488">
            <v>1</v>
          </cell>
          <cell r="I2488">
            <v>70000</v>
          </cell>
        </row>
        <row r="2489">
          <cell r="A2489">
            <v>50350046</v>
          </cell>
          <cell r="B2489">
            <v>1</v>
          </cell>
          <cell r="I2489">
            <v>76000</v>
          </cell>
        </row>
        <row r="2490">
          <cell r="A2490">
            <v>50350075</v>
          </cell>
          <cell r="B2490">
            <v>1</v>
          </cell>
          <cell r="I2490">
            <v>70000</v>
          </cell>
        </row>
        <row r="2491">
          <cell r="A2491">
            <v>50350076</v>
          </cell>
          <cell r="B2491">
            <v>0</v>
          </cell>
          <cell r="I2491">
            <v>76000</v>
          </cell>
        </row>
        <row r="2492">
          <cell r="A2492">
            <v>50400015</v>
          </cell>
          <cell r="B2492">
            <v>1</v>
          </cell>
          <cell r="I2492">
            <v>80000</v>
          </cell>
        </row>
        <row r="2493">
          <cell r="A2493">
            <v>50400025</v>
          </cell>
          <cell r="B2493">
            <v>1</v>
          </cell>
          <cell r="I2493">
            <v>80000</v>
          </cell>
        </row>
        <row r="2494">
          <cell r="A2494">
            <v>50400035</v>
          </cell>
          <cell r="B2494">
            <v>1</v>
          </cell>
          <cell r="I2494">
            <v>80000</v>
          </cell>
        </row>
        <row r="2495">
          <cell r="A2495">
            <v>50400085</v>
          </cell>
          <cell r="B2495">
            <v>1</v>
          </cell>
          <cell r="I2495">
            <v>80000</v>
          </cell>
        </row>
        <row r="2496">
          <cell r="A2496">
            <v>50400095</v>
          </cell>
          <cell r="B2496">
            <v>1</v>
          </cell>
          <cell r="I2496">
            <v>80000</v>
          </cell>
        </row>
        <row r="2497">
          <cell r="A2497">
            <v>50400105</v>
          </cell>
          <cell r="B2497">
            <v>1</v>
          </cell>
          <cell r="I2497">
            <v>80000</v>
          </cell>
        </row>
        <row r="2498">
          <cell r="A2498">
            <v>50401055</v>
          </cell>
          <cell r="B2498">
            <v>1</v>
          </cell>
          <cell r="I2498">
            <v>80000</v>
          </cell>
        </row>
        <row r="2499">
          <cell r="A2499">
            <v>50401056</v>
          </cell>
          <cell r="B2499">
            <v>1</v>
          </cell>
          <cell r="I2499">
            <v>86000</v>
          </cell>
        </row>
        <row r="2500">
          <cell r="A2500">
            <v>50401065</v>
          </cell>
          <cell r="B2500">
            <v>1</v>
          </cell>
          <cell r="I2500">
            <v>80000</v>
          </cell>
        </row>
        <row r="2501">
          <cell r="A2501">
            <v>50401066</v>
          </cell>
          <cell r="B2501">
            <v>0</v>
          </cell>
          <cell r="I2501">
            <v>86000</v>
          </cell>
        </row>
        <row r="2502">
          <cell r="A2502">
            <v>50402055</v>
          </cell>
          <cell r="B2502">
            <v>1</v>
          </cell>
          <cell r="I2502">
            <v>80000</v>
          </cell>
        </row>
        <row r="2503">
          <cell r="A2503">
            <v>50402056</v>
          </cell>
          <cell r="B2503">
            <v>1</v>
          </cell>
          <cell r="I2503">
            <v>86000</v>
          </cell>
        </row>
        <row r="2504">
          <cell r="A2504">
            <v>50402065</v>
          </cell>
          <cell r="B2504">
            <v>1</v>
          </cell>
          <cell r="I2504">
            <v>80000</v>
          </cell>
        </row>
        <row r="2505">
          <cell r="A2505">
            <v>50402066</v>
          </cell>
          <cell r="B2505">
            <v>0</v>
          </cell>
          <cell r="I2505">
            <v>86000</v>
          </cell>
        </row>
        <row r="2506">
          <cell r="A2506">
            <v>50403055</v>
          </cell>
          <cell r="B2506">
            <v>1</v>
          </cell>
          <cell r="I2506">
            <v>80000</v>
          </cell>
        </row>
        <row r="2507">
          <cell r="A2507">
            <v>50403056</v>
          </cell>
          <cell r="B2507">
            <v>1</v>
          </cell>
          <cell r="I2507">
            <v>86000</v>
          </cell>
        </row>
        <row r="2508">
          <cell r="A2508">
            <v>50403065</v>
          </cell>
          <cell r="B2508">
            <v>1</v>
          </cell>
          <cell r="I2508">
            <v>80000</v>
          </cell>
        </row>
        <row r="2509">
          <cell r="A2509">
            <v>50403066</v>
          </cell>
          <cell r="B2509">
            <v>0</v>
          </cell>
          <cell r="I2509">
            <v>86000</v>
          </cell>
        </row>
        <row r="2510">
          <cell r="A2510">
            <v>50400045</v>
          </cell>
          <cell r="B2510">
            <v>1</v>
          </cell>
          <cell r="I2510">
            <v>80000</v>
          </cell>
        </row>
        <row r="2511">
          <cell r="A2511">
            <v>50400046</v>
          </cell>
          <cell r="B2511">
            <v>0</v>
          </cell>
          <cell r="I2511">
            <v>86000</v>
          </cell>
        </row>
        <row r="2512">
          <cell r="A2512">
            <v>50400075</v>
          </cell>
          <cell r="B2512">
            <v>1</v>
          </cell>
          <cell r="I2512">
            <v>80000</v>
          </cell>
        </row>
        <row r="2513">
          <cell r="A2513">
            <v>50400076</v>
          </cell>
          <cell r="B2513">
            <v>0</v>
          </cell>
          <cell r="I2513">
            <v>86000</v>
          </cell>
        </row>
        <row r="2514">
          <cell r="A2514">
            <v>50450015</v>
          </cell>
          <cell r="B2514">
            <v>1</v>
          </cell>
          <cell r="I2514">
            <v>90000</v>
          </cell>
        </row>
        <row r="2515">
          <cell r="A2515">
            <v>50450025</v>
          </cell>
          <cell r="B2515">
            <v>1</v>
          </cell>
          <cell r="I2515">
            <v>90000</v>
          </cell>
        </row>
        <row r="2516">
          <cell r="A2516">
            <v>50450035</v>
          </cell>
          <cell r="B2516">
            <v>1</v>
          </cell>
          <cell r="I2516">
            <v>90000</v>
          </cell>
        </row>
        <row r="2517">
          <cell r="A2517">
            <v>50450085</v>
          </cell>
          <cell r="B2517">
            <v>1</v>
          </cell>
          <cell r="I2517">
            <v>90000</v>
          </cell>
        </row>
        <row r="2518">
          <cell r="A2518">
            <v>50450095</v>
          </cell>
          <cell r="B2518">
            <v>1</v>
          </cell>
          <cell r="I2518">
            <v>90000</v>
          </cell>
        </row>
        <row r="2519">
          <cell r="A2519">
            <v>50450105</v>
          </cell>
          <cell r="B2519">
            <v>1</v>
          </cell>
          <cell r="I2519">
            <v>90000</v>
          </cell>
        </row>
        <row r="2520">
          <cell r="A2520">
            <v>50451055</v>
          </cell>
          <cell r="B2520">
            <v>1</v>
          </cell>
          <cell r="I2520">
            <v>90000</v>
          </cell>
        </row>
        <row r="2521">
          <cell r="A2521">
            <v>50451056</v>
          </cell>
          <cell r="B2521">
            <v>0</v>
          </cell>
          <cell r="I2521">
            <v>96000</v>
          </cell>
        </row>
        <row r="2522">
          <cell r="A2522">
            <v>50451065</v>
          </cell>
          <cell r="B2522">
            <v>1</v>
          </cell>
          <cell r="I2522">
            <v>90000</v>
          </cell>
        </row>
        <row r="2523">
          <cell r="A2523">
            <v>50451066</v>
          </cell>
          <cell r="B2523">
            <v>0</v>
          </cell>
          <cell r="I2523">
            <v>96000</v>
          </cell>
        </row>
        <row r="2524">
          <cell r="A2524">
            <v>50452055</v>
          </cell>
          <cell r="B2524">
            <v>1</v>
          </cell>
          <cell r="I2524">
            <v>90000</v>
          </cell>
        </row>
        <row r="2525">
          <cell r="A2525">
            <v>50452056</v>
          </cell>
          <cell r="B2525">
            <v>0</v>
          </cell>
          <cell r="I2525">
            <v>96000</v>
          </cell>
        </row>
        <row r="2526">
          <cell r="A2526">
            <v>50452065</v>
          </cell>
          <cell r="B2526">
            <v>1</v>
          </cell>
          <cell r="I2526">
            <v>90000</v>
          </cell>
        </row>
        <row r="2527">
          <cell r="A2527">
            <v>50452066</v>
          </cell>
          <cell r="B2527">
            <v>0</v>
          </cell>
          <cell r="I2527">
            <v>96000</v>
          </cell>
        </row>
        <row r="2528">
          <cell r="A2528">
            <v>50453055</v>
          </cell>
          <cell r="B2528">
            <v>1</v>
          </cell>
          <cell r="I2528">
            <v>90000</v>
          </cell>
        </row>
        <row r="2529">
          <cell r="A2529">
            <v>50453056</v>
          </cell>
          <cell r="B2529">
            <v>1</v>
          </cell>
          <cell r="I2529">
            <v>96000</v>
          </cell>
        </row>
        <row r="2530">
          <cell r="A2530">
            <v>50453065</v>
          </cell>
          <cell r="B2530">
            <v>1</v>
          </cell>
          <cell r="I2530">
            <v>90000</v>
          </cell>
        </row>
        <row r="2531">
          <cell r="A2531">
            <v>50453066</v>
          </cell>
          <cell r="B2531">
            <v>0</v>
          </cell>
          <cell r="I2531">
            <v>96000</v>
          </cell>
        </row>
        <row r="2532">
          <cell r="A2532">
            <v>50450045</v>
          </cell>
          <cell r="B2532">
            <v>1</v>
          </cell>
          <cell r="I2532">
            <v>90000</v>
          </cell>
        </row>
        <row r="2533">
          <cell r="A2533">
            <v>50450046</v>
          </cell>
          <cell r="B2533">
            <v>1</v>
          </cell>
          <cell r="I2533">
            <v>96000</v>
          </cell>
        </row>
        <row r="2534">
          <cell r="A2534">
            <v>50450075</v>
          </cell>
          <cell r="B2534">
            <v>1</v>
          </cell>
          <cell r="I2534">
            <v>90000</v>
          </cell>
        </row>
        <row r="2535">
          <cell r="A2535">
            <v>50450076</v>
          </cell>
          <cell r="B2535">
            <v>1</v>
          </cell>
          <cell r="I2535">
            <v>96000</v>
          </cell>
        </row>
        <row r="2536">
          <cell r="A2536">
            <v>50500015</v>
          </cell>
          <cell r="B2536">
            <v>1</v>
          </cell>
          <cell r="I2536">
            <v>100000</v>
          </cell>
        </row>
        <row r="2537">
          <cell r="A2537">
            <v>50500025</v>
          </cell>
          <cell r="B2537">
            <v>1</v>
          </cell>
          <cell r="I2537">
            <v>100000</v>
          </cell>
        </row>
        <row r="2538">
          <cell r="A2538">
            <v>50500035</v>
          </cell>
          <cell r="B2538">
            <v>1</v>
          </cell>
          <cell r="I2538">
            <v>100000</v>
          </cell>
        </row>
        <row r="2539">
          <cell r="A2539">
            <v>50500085</v>
          </cell>
          <cell r="B2539">
            <v>1</v>
          </cell>
          <cell r="I2539">
            <v>100000</v>
          </cell>
        </row>
        <row r="2540">
          <cell r="A2540">
            <v>50500095</v>
          </cell>
          <cell r="B2540">
            <v>1</v>
          </cell>
          <cell r="I2540">
            <v>100000</v>
          </cell>
        </row>
        <row r="2541">
          <cell r="A2541">
            <v>50500105</v>
          </cell>
          <cell r="B2541">
            <v>1</v>
          </cell>
          <cell r="I2541">
            <v>100000</v>
          </cell>
        </row>
        <row r="2542">
          <cell r="A2542">
            <v>50501055</v>
          </cell>
          <cell r="B2542">
            <v>1</v>
          </cell>
          <cell r="I2542">
            <v>100000</v>
          </cell>
        </row>
        <row r="2543">
          <cell r="A2543">
            <v>50501056</v>
          </cell>
          <cell r="B2543">
            <v>1</v>
          </cell>
          <cell r="I2543">
            <v>106000</v>
          </cell>
        </row>
        <row r="2544">
          <cell r="A2544">
            <v>50501065</v>
          </cell>
          <cell r="B2544">
            <v>1</v>
          </cell>
          <cell r="I2544">
            <v>100000</v>
          </cell>
        </row>
        <row r="2545">
          <cell r="A2545">
            <v>50501066</v>
          </cell>
          <cell r="B2545">
            <v>1</v>
          </cell>
          <cell r="I2545">
            <v>106000</v>
          </cell>
        </row>
        <row r="2546">
          <cell r="A2546">
            <v>50502055</v>
          </cell>
          <cell r="B2546">
            <v>1</v>
          </cell>
          <cell r="I2546">
            <v>100000</v>
          </cell>
        </row>
        <row r="2547">
          <cell r="A2547">
            <v>50502056</v>
          </cell>
          <cell r="B2547">
            <v>1</v>
          </cell>
          <cell r="I2547">
            <v>106000</v>
          </cell>
        </row>
        <row r="2548">
          <cell r="A2548">
            <v>50502065</v>
          </cell>
          <cell r="B2548">
            <v>1</v>
          </cell>
          <cell r="I2548">
            <v>100000</v>
          </cell>
        </row>
        <row r="2549">
          <cell r="A2549">
            <v>50502066</v>
          </cell>
          <cell r="B2549">
            <v>1</v>
          </cell>
          <cell r="I2549">
            <v>106000</v>
          </cell>
        </row>
        <row r="2550">
          <cell r="A2550">
            <v>50503055</v>
          </cell>
          <cell r="B2550">
            <v>1</v>
          </cell>
          <cell r="I2550">
            <v>100000</v>
          </cell>
        </row>
        <row r="2551">
          <cell r="A2551">
            <v>50503056</v>
          </cell>
          <cell r="B2551">
            <v>1</v>
          </cell>
          <cell r="I2551">
            <v>106000</v>
          </cell>
        </row>
        <row r="2552">
          <cell r="A2552">
            <v>50503065</v>
          </cell>
          <cell r="B2552">
            <v>1</v>
          </cell>
          <cell r="I2552">
            <v>100000</v>
          </cell>
        </row>
        <row r="2553">
          <cell r="A2553">
            <v>50503066</v>
          </cell>
          <cell r="B2553">
            <v>1</v>
          </cell>
          <cell r="I2553">
            <v>106000</v>
          </cell>
        </row>
        <row r="2554">
          <cell r="A2554">
            <v>50500045</v>
          </cell>
          <cell r="B2554">
            <v>1</v>
          </cell>
          <cell r="I2554">
            <v>100000</v>
          </cell>
        </row>
        <row r="2555">
          <cell r="A2555">
            <v>50500046</v>
          </cell>
          <cell r="B2555">
            <v>0</v>
          </cell>
          <cell r="I2555">
            <v>106000</v>
          </cell>
        </row>
        <row r="2556">
          <cell r="A2556">
            <v>50500075</v>
          </cell>
          <cell r="B2556">
            <v>1</v>
          </cell>
          <cell r="I2556">
            <v>100000</v>
          </cell>
        </row>
        <row r="2557">
          <cell r="A2557">
            <v>50500076</v>
          </cell>
          <cell r="B2557">
            <v>0</v>
          </cell>
          <cell r="I2557">
            <v>106000</v>
          </cell>
        </row>
        <row r="2558">
          <cell r="A2558">
            <v>50550015</v>
          </cell>
          <cell r="B2558">
            <v>1</v>
          </cell>
          <cell r="I2558">
            <v>110000</v>
          </cell>
        </row>
        <row r="2559">
          <cell r="A2559">
            <v>50550025</v>
          </cell>
          <cell r="B2559">
            <v>1</v>
          </cell>
          <cell r="I2559">
            <v>110000</v>
          </cell>
        </row>
        <row r="2560">
          <cell r="A2560">
            <v>50550035</v>
          </cell>
          <cell r="B2560">
            <v>1</v>
          </cell>
          <cell r="I2560">
            <v>110000</v>
          </cell>
        </row>
        <row r="2561">
          <cell r="A2561">
            <v>50550085</v>
          </cell>
          <cell r="B2561">
            <v>1</v>
          </cell>
          <cell r="I2561">
            <v>110000</v>
          </cell>
        </row>
        <row r="2562">
          <cell r="A2562">
            <v>50550095</v>
          </cell>
          <cell r="B2562">
            <v>0</v>
          </cell>
          <cell r="I2562">
            <v>110000</v>
          </cell>
        </row>
        <row r="2563">
          <cell r="A2563">
            <v>50550105</v>
          </cell>
          <cell r="B2563">
            <v>1</v>
          </cell>
          <cell r="I2563">
            <v>110000</v>
          </cell>
        </row>
        <row r="2564">
          <cell r="A2564">
            <v>50551055</v>
          </cell>
          <cell r="B2564">
            <v>1</v>
          </cell>
          <cell r="I2564">
            <v>110000</v>
          </cell>
        </row>
        <row r="2565">
          <cell r="A2565">
            <v>50551056</v>
          </cell>
          <cell r="B2565">
            <v>0</v>
          </cell>
          <cell r="I2565">
            <v>116000</v>
          </cell>
        </row>
        <row r="2566">
          <cell r="A2566">
            <v>50551065</v>
          </cell>
          <cell r="B2566">
            <v>1</v>
          </cell>
          <cell r="I2566">
            <v>110000</v>
          </cell>
        </row>
        <row r="2567">
          <cell r="A2567">
            <v>50551066</v>
          </cell>
          <cell r="B2567">
            <v>1</v>
          </cell>
          <cell r="I2567">
            <v>116000</v>
          </cell>
        </row>
        <row r="2568">
          <cell r="A2568">
            <v>50552055</v>
          </cell>
          <cell r="B2568">
            <v>1</v>
          </cell>
          <cell r="I2568">
            <v>110000</v>
          </cell>
        </row>
        <row r="2569">
          <cell r="A2569">
            <v>50552056</v>
          </cell>
          <cell r="B2569">
            <v>0</v>
          </cell>
          <cell r="I2569">
            <v>116000</v>
          </cell>
        </row>
        <row r="2570">
          <cell r="A2570">
            <v>50552065</v>
          </cell>
          <cell r="B2570">
            <v>1</v>
          </cell>
          <cell r="I2570">
            <v>110000</v>
          </cell>
        </row>
        <row r="2571">
          <cell r="A2571">
            <v>50552066</v>
          </cell>
          <cell r="B2571">
            <v>1</v>
          </cell>
          <cell r="I2571">
            <v>116000</v>
          </cell>
        </row>
        <row r="2572">
          <cell r="A2572">
            <v>50553055</v>
          </cell>
          <cell r="B2572">
            <v>1</v>
          </cell>
          <cell r="I2572">
            <v>110000</v>
          </cell>
        </row>
        <row r="2573">
          <cell r="A2573">
            <v>50553056</v>
          </cell>
          <cell r="B2573">
            <v>0</v>
          </cell>
          <cell r="I2573">
            <v>116000</v>
          </cell>
        </row>
        <row r="2574">
          <cell r="A2574">
            <v>50553065</v>
          </cell>
          <cell r="B2574">
            <v>1</v>
          </cell>
          <cell r="I2574">
            <v>110000</v>
          </cell>
        </row>
        <row r="2575">
          <cell r="A2575">
            <v>50553066</v>
          </cell>
          <cell r="B2575">
            <v>1</v>
          </cell>
          <cell r="I2575">
            <v>116000</v>
          </cell>
        </row>
        <row r="2576">
          <cell r="A2576">
            <v>50550045</v>
          </cell>
          <cell r="B2576">
            <v>1</v>
          </cell>
          <cell r="I2576">
            <v>110000</v>
          </cell>
        </row>
        <row r="2577">
          <cell r="A2577">
            <v>50550046</v>
          </cell>
          <cell r="B2577">
            <v>0</v>
          </cell>
          <cell r="I2577">
            <v>116000</v>
          </cell>
        </row>
        <row r="2578">
          <cell r="A2578">
            <v>50550075</v>
          </cell>
          <cell r="B2578">
            <v>1</v>
          </cell>
          <cell r="I2578">
            <v>110000</v>
          </cell>
        </row>
        <row r="2579">
          <cell r="A2579">
            <v>50550076</v>
          </cell>
          <cell r="B2579">
            <v>0</v>
          </cell>
          <cell r="I2579">
            <v>116000</v>
          </cell>
        </row>
        <row r="2580">
          <cell r="A2580">
            <v>50600015</v>
          </cell>
          <cell r="B2580">
            <v>1</v>
          </cell>
          <cell r="I2580">
            <v>120000</v>
          </cell>
        </row>
        <row r="2581">
          <cell r="A2581">
            <v>50600025</v>
          </cell>
          <cell r="B2581">
            <v>1</v>
          </cell>
          <cell r="I2581">
            <v>120000</v>
          </cell>
        </row>
        <row r="2582">
          <cell r="A2582">
            <v>50600035</v>
          </cell>
          <cell r="B2582">
            <v>1</v>
          </cell>
          <cell r="I2582">
            <v>120000</v>
          </cell>
        </row>
        <row r="2583">
          <cell r="A2583">
            <v>50600085</v>
          </cell>
          <cell r="B2583">
            <v>1</v>
          </cell>
          <cell r="I2583">
            <v>120000</v>
          </cell>
        </row>
        <row r="2584">
          <cell r="A2584">
            <v>50600095</v>
          </cell>
          <cell r="B2584">
            <v>1</v>
          </cell>
          <cell r="I2584">
            <v>120000</v>
          </cell>
        </row>
        <row r="2585">
          <cell r="A2585">
            <v>50600105</v>
          </cell>
          <cell r="B2585">
            <v>1</v>
          </cell>
          <cell r="I2585">
            <v>120000</v>
          </cell>
        </row>
        <row r="2586">
          <cell r="A2586">
            <v>50601055</v>
          </cell>
          <cell r="B2586">
            <v>1</v>
          </cell>
          <cell r="I2586">
            <v>120000</v>
          </cell>
        </row>
        <row r="2587">
          <cell r="A2587">
            <v>50601056</v>
          </cell>
          <cell r="B2587">
            <v>1</v>
          </cell>
          <cell r="I2587">
            <v>126000</v>
          </cell>
        </row>
        <row r="2588">
          <cell r="A2588">
            <v>50601065</v>
          </cell>
          <cell r="B2588">
            <v>1</v>
          </cell>
          <cell r="I2588">
            <v>120000</v>
          </cell>
        </row>
        <row r="2589">
          <cell r="A2589">
            <v>50601066</v>
          </cell>
          <cell r="B2589">
            <v>0</v>
          </cell>
          <cell r="I2589">
            <v>126000</v>
          </cell>
        </row>
        <row r="2590">
          <cell r="A2590">
            <v>50602055</v>
          </cell>
          <cell r="B2590">
            <v>1</v>
          </cell>
          <cell r="I2590">
            <v>120000</v>
          </cell>
        </row>
        <row r="2591">
          <cell r="A2591">
            <v>50602056</v>
          </cell>
          <cell r="B2591">
            <v>0</v>
          </cell>
          <cell r="I2591">
            <v>126000</v>
          </cell>
        </row>
        <row r="2592">
          <cell r="A2592">
            <v>50602065</v>
          </cell>
          <cell r="B2592">
            <v>1</v>
          </cell>
          <cell r="I2592">
            <v>120000</v>
          </cell>
        </row>
        <row r="2593">
          <cell r="A2593">
            <v>50602066</v>
          </cell>
          <cell r="B2593">
            <v>0</v>
          </cell>
          <cell r="I2593">
            <v>126000</v>
          </cell>
        </row>
        <row r="2594">
          <cell r="A2594">
            <v>50603055</v>
          </cell>
          <cell r="B2594">
            <v>1</v>
          </cell>
          <cell r="I2594">
            <v>120000</v>
          </cell>
        </row>
        <row r="2595">
          <cell r="A2595">
            <v>50603056</v>
          </cell>
          <cell r="B2595">
            <v>0</v>
          </cell>
          <cell r="I2595">
            <v>126000</v>
          </cell>
        </row>
        <row r="2596">
          <cell r="A2596">
            <v>50603065</v>
          </cell>
          <cell r="B2596">
            <v>1</v>
          </cell>
          <cell r="I2596">
            <v>120000</v>
          </cell>
        </row>
        <row r="2597">
          <cell r="A2597">
            <v>50603066</v>
          </cell>
          <cell r="B2597">
            <v>0</v>
          </cell>
          <cell r="I2597">
            <v>126000</v>
          </cell>
        </row>
        <row r="2598">
          <cell r="A2598">
            <v>50600045</v>
          </cell>
          <cell r="B2598">
            <v>1</v>
          </cell>
          <cell r="I2598">
            <v>120000</v>
          </cell>
        </row>
        <row r="2599">
          <cell r="A2599">
            <v>50600046</v>
          </cell>
          <cell r="B2599">
            <v>0</v>
          </cell>
          <cell r="I2599">
            <v>126000</v>
          </cell>
        </row>
        <row r="2600">
          <cell r="A2600">
            <v>50600075</v>
          </cell>
          <cell r="B2600">
            <v>1</v>
          </cell>
          <cell r="I2600">
            <v>120000</v>
          </cell>
        </row>
        <row r="2601">
          <cell r="A2601">
            <v>50600076</v>
          </cell>
          <cell r="B2601">
            <v>1</v>
          </cell>
          <cell r="I2601">
            <v>126000</v>
          </cell>
        </row>
        <row r="2602">
          <cell r="A2602">
            <v>50650015</v>
          </cell>
          <cell r="B2602">
            <v>1</v>
          </cell>
          <cell r="I2602">
            <v>130000</v>
          </cell>
        </row>
        <row r="2603">
          <cell r="A2603">
            <v>50650025</v>
          </cell>
          <cell r="B2603">
            <v>1</v>
          </cell>
          <cell r="I2603">
            <v>130000</v>
          </cell>
        </row>
        <row r="2604">
          <cell r="A2604">
            <v>50650035</v>
          </cell>
          <cell r="B2604">
            <v>1</v>
          </cell>
          <cell r="I2604">
            <v>130000</v>
          </cell>
        </row>
        <row r="2605">
          <cell r="A2605">
            <v>50650085</v>
          </cell>
          <cell r="B2605">
            <v>1</v>
          </cell>
          <cell r="I2605">
            <v>130000</v>
          </cell>
        </row>
        <row r="2606">
          <cell r="A2606">
            <v>50650095</v>
          </cell>
          <cell r="B2606">
            <v>1</v>
          </cell>
          <cell r="I2606">
            <v>130000</v>
          </cell>
        </row>
        <row r="2607">
          <cell r="A2607">
            <v>50650105</v>
          </cell>
          <cell r="B2607">
            <v>1</v>
          </cell>
          <cell r="I2607">
            <v>130000</v>
          </cell>
        </row>
        <row r="2608">
          <cell r="A2608">
            <v>50651055</v>
          </cell>
          <cell r="B2608">
            <v>1</v>
          </cell>
          <cell r="I2608">
            <v>130000</v>
          </cell>
        </row>
        <row r="2609">
          <cell r="A2609">
            <v>50651056</v>
          </cell>
          <cell r="B2609">
            <v>0</v>
          </cell>
          <cell r="I2609">
            <v>136000</v>
          </cell>
        </row>
        <row r="2610">
          <cell r="A2610">
            <v>50651065</v>
          </cell>
          <cell r="B2610">
            <v>1</v>
          </cell>
          <cell r="I2610">
            <v>130000</v>
          </cell>
        </row>
        <row r="2611">
          <cell r="A2611">
            <v>50651066</v>
          </cell>
          <cell r="B2611">
            <v>0</v>
          </cell>
          <cell r="I2611">
            <v>136000</v>
          </cell>
        </row>
        <row r="2612">
          <cell r="A2612">
            <v>50652055</v>
          </cell>
          <cell r="B2612">
            <v>1</v>
          </cell>
          <cell r="I2612">
            <v>130000</v>
          </cell>
        </row>
        <row r="2613">
          <cell r="A2613">
            <v>50652056</v>
          </cell>
          <cell r="B2613">
            <v>0</v>
          </cell>
          <cell r="I2613">
            <v>136000</v>
          </cell>
        </row>
        <row r="2614">
          <cell r="A2614">
            <v>50652065</v>
          </cell>
          <cell r="B2614">
            <v>1</v>
          </cell>
          <cell r="I2614">
            <v>130000</v>
          </cell>
        </row>
        <row r="2615">
          <cell r="A2615">
            <v>50652066</v>
          </cell>
          <cell r="B2615">
            <v>0</v>
          </cell>
          <cell r="I2615">
            <v>136000</v>
          </cell>
        </row>
        <row r="2616">
          <cell r="A2616">
            <v>50653055</v>
          </cell>
          <cell r="B2616">
            <v>1</v>
          </cell>
          <cell r="I2616">
            <v>130000</v>
          </cell>
        </row>
        <row r="2617">
          <cell r="A2617">
            <v>50653056</v>
          </cell>
          <cell r="B2617">
            <v>0</v>
          </cell>
          <cell r="I2617">
            <v>136000</v>
          </cell>
        </row>
        <row r="2618">
          <cell r="A2618">
            <v>50653065</v>
          </cell>
          <cell r="B2618">
            <v>1</v>
          </cell>
          <cell r="I2618">
            <v>130000</v>
          </cell>
        </row>
        <row r="2619">
          <cell r="A2619">
            <v>50653066</v>
          </cell>
          <cell r="B2619">
            <v>0</v>
          </cell>
          <cell r="I2619">
            <v>136000</v>
          </cell>
        </row>
        <row r="2620">
          <cell r="A2620">
            <v>50650045</v>
          </cell>
          <cell r="B2620">
            <v>1</v>
          </cell>
          <cell r="I2620">
            <v>130000</v>
          </cell>
        </row>
        <row r="2621">
          <cell r="A2621">
            <v>50650046</v>
          </cell>
          <cell r="B2621">
            <v>0</v>
          </cell>
          <cell r="I2621">
            <v>136000</v>
          </cell>
        </row>
        <row r="2622">
          <cell r="A2622">
            <v>50650075</v>
          </cell>
          <cell r="B2622">
            <v>1</v>
          </cell>
          <cell r="I2622">
            <v>130000</v>
          </cell>
        </row>
        <row r="2623">
          <cell r="A2623">
            <v>50650076</v>
          </cell>
          <cell r="B2623">
            <v>0</v>
          </cell>
          <cell r="I2623">
            <v>136000</v>
          </cell>
        </row>
        <row r="2624">
          <cell r="A2624">
            <v>50700015</v>
          </cell>
          <cell r="B2624">
            <v>1</v>
          </cell>
          <cell r="I2624">
            <v>140000</v>
          </cell>
        </row>
        <row r="2625">
          <cell r="A2625">
            <v>50700025</v>
          </cell>
          <cell r="B2625">
            <v>1</v>
          </cell>
          <cell r="I2625">
            <v>140000</v>
          </cell>
        </row>
        <row r="2626">
          <cell r="A2626">
            <v>50700035</v>
          </cell>
          <cell r="B2626">
            <v>1</v>
          </cell>
          <cell r="I2626">
            <v>140000</v>
          </cell>
        </row>
        <row r="2627">
          <cell r="A2627">
            <v>50700085</v>
          </cell>
          <cell r="B2627">
            <v>1</v>
          </cell>
          <cell r="I2627">
            <v>140000</v>
          </cell>
        </row>
        <row r="2628">
          <cell r="A2628">
            <v>50700095</v>
          </cell>
          <cell r="B2628">
            <v>1</v>
          </cell>
          <cell r="I2628">
            <v>140000</v>
          </cell>
        </row>
        <row r="2629">
          <cell r="A2629">
            <v>50700105</v>
          </cell>
          <cell r="B2629">
            <v>1</v>
          </cell>
          <cell r="I2629">
            <v>140000</v>
          </cell>
        </row>
        <row r="2630">
          <cell r="A2630">
            <v>50701055</v>
          </cell>
          <cell r="B2630">
            <v>1</v>
          </cell>
          <cell r="I2630">
            <v>140000</v>
          </cell>
        </row>
        <row r="2631">
          <cell r="A2631">
            <v>50701056</v>
          </cell>
          <cell r="B2631">
            <v>0</v>
          </cell>
          <cell r="I2631">
            <v>146000</v>
          </cell>
        </row>
        <row r="2632">
          <cell r="A2632">
            <v>50701065</v>
          </cell>
          <cell r="B2632">
            <v>1</v>
          </cell>
          <cell r="I2632">
            <v>140000</v>
          </cell>
        </row>
        <row r="2633">
          <cell r="A2633">
            <v>50701066</v>
          </cell>
          <cell r="B2633">
            <v>0</v>
          </cell>
          <cell r="I2633">
            <v>146000</v>
          </cell>
        </row>
        <row r="2634">
          <cell r="A2634">
            <v>50702055</v>
          </cell>
          <cell r="B2634">
            <v>1</v>
          </cell>
          <cell r="I2634">
            <v>140000</v>
          </cell>
        </row>
        <row r="2635">
          <cell r="A2635">
            <v>50702056</v>
          </cell>
          <cell r="B2635">
            <v>0</v>
          </cell>
          <cell r="I2635">
            <v>146000</v>
          </cell>
        </row>
        <row r="2636">
          <cell r="A2636">
            <v>50702065</v>
          </cell>
          <cell r="B2636">
            <v>1</v>
          </cell>
          <cell r="I2636">
            <v>140000</v>
          </cell>
        </row>
        <row r="2637">
          <cell r="A2637">
            <v>50702066</v>
          </cell>
          <cell r="B2637">
            <v>0</v>
          </cell>
          <cell r="I2637">
            <v>146000</v>
          </cell>
        </row>
        <row r="2638">
          <cell r="A2638">
            <v>50703055</v>
          </cell>
          <cell r="B2638">
            <v>1</v>
          </cell>
          <cell r="I2638">
            <v>140000</v>
          </cell>
        </row>
        <row r="2639">
          <cell r="A2639">
            <v>50703056</v>
          </cell>
          <cell r="B2639">
            <v>0</v>
          </cell>
          <cell r="I2639">
            <v>146000</v>
          </cell>
        </row>
        <row r="2640">
          <cell r="A2640">
            <v>50703065</v>
          </cell>
          <cell r="B2640">
            <v>1</v>
          </cell>
          <cell r="I2640">
            <v>140000</v>
          </cell>
        </row>
        <row r="2641">
          <cell r="A2641">
            <v>50703066</v>
          </cell>
          <cell r="B2641">
            <v>0</v>
          </cell>
          <cell r="I2641">
            <v>146000</v>
          </cell>
        </row>
        <row r="2642">
          <cell r="A2642">
            <v>50700045</v>
          </cell>
          <cell r="B2642">
            <v>1</v>
          </cell>
          <cell r="I2642">
            <v>140000</v>
          </cell>
        </row>
        <row r="2643">
          <cell r="A2643">
            <v>50700046</v>
          </cell>
          <cell r="B2643">
            <v>0</v>
          </cell>
          <cell r="I2643">
            <v>146000</v>
          </cell>
        </row>
        <row r="2644">
          <cell r="A2644">
            <v>50700075</v>
          </cell>
          <cell r="B2644">
            <v>1</v>
          </cell>
          <cell r="I2644">
            <v>140000</v>
          </cell>
        </row>
        <row r="2645">
          <cell r="A2645">
            <v>50700076</v>
          </cell>
          <cell r="B2645">
            <v>0</v>
          </cell>
          <cell r="I2645">
            <v>146000</v>
          </cell>
        </row>
        <row r="2646">
          <cell r="A2646">
            <v>50750015</v>
          </cell>
          <cell r="B2646">
            <v>1</v>
          </cell>
          <cell r="I2646">
            <v>152000</v>
          </cell>
        </row>
        <row r="2647">
          <cell r="A2647">
            <v>50750025</v>
          </cell>
          <cell r="B2647">
            <v>1</v>
          </cell>
          <cell r="I2647">
            <v>152000</v>
          </cell>
        </row>
        <row r="2648">
          <cell r="A2648">
            <v>50750035</v>
          </cell>
          <cell r="B2648">
            <v>1</v>
          </cell>
          <cell r="I2648">
            <v>152000</v>
          </cell>
        </row>
        <row r="2649">
          <cell r="A2649">
            <v>50750085</v>
          </cell>
          <cell r="B2649">
            <v>1</v>
          </cell>
          <cell r="I2649">
            <v>152000</v>
          </cell>
        </row>
        <row r="2650">
          <cell r="A2650">
            <v>50750095</v>
          </cell>
          <cell r="B2650">
            <v>1</v>
          </cell>
          <cell r="I2650">
            <v>152000</v>
          </cell>
        </row>
        <row r="2651">
          <cell r="A2651">
            <v>50750105</v>
          </cell>
          <cell r="B2651">
            <v>1</v>
          </cell>
          <cell r="I2651">
            <v>152000</v>
          </cell>
        </row>
        <row r="2652">
          <cell r="A2652">
            <v>50751055</v>
          </cell>
          <cell r="B2652">
            <v>1</v>
          </cell>
          <cell r="I2652">
            <v>152000</v>
          </cell>
        </row>
        <row r="2653">
          <cell r="A2653">
            <v>50751056</v>
          </cell>
          <cell r="B2653">
            <v>1</v>
          </cell>
          <cell r="I2653">
            <v>158000</v>
          </cell>
        </row>
        <row r="2654">
          <cell r="A2654">
            <v>50751065</v>
          </cell>
          <cell r="B2654">
            <v>1</v>
          </cell>
          <cell r="I2654">
            <v>152000</v>
          </cell>
        </row>
        <row r="2655">
          <cell r="A2655">
            <v>50751066</v>
          </cell>
          <cell r="B2655">
            <v>1</v>
          </cell>
          <cell r="I2655">
            <v>158000</v>
          </cell>
        </row>
        <row r="2656">
          <cell r="A2656">
            <v>50752055</v>
          </cell>
          <cell r="B2656">
            <v>1</v>
          </cell>
          <cell r="I2656">
            <v>152000</v>
          </cell>
        </row>
        <row r="2657">
          <cell r="A2657">
            <v>50752056</v>
          </cell>
          <cell r="B2657">
            <v>1</v>
          </cell>
          <cell r="I2657">
            <v>158000</v>
          </cell>
        </row>
        <row r="2658">
          <cell r="A2658">
            <v>50752065</v>
          </cell>
          <cell r="B2658">
            <v>1</v>
          </cell>
          <cell r="I2658">
            <v>152000</v>
          </cell>
        </row>
        <row r="2659">
          <cell r="A2659">
            <v>50752066</v>
          </cell>
          <cell r="B2659">
            <v>1</v>
          </cell>
          <cell r="I2659">
            <v>158000</v>
          </cell>
        </row>
        <row r="2660">
          <cell r="A2660">
            <v>50753055</v>
          </cell>
          <cell r="B2660">
            <v>1</v>
          </cell>
          <cell r="I2660">
            <v>152000</v>
          </cell>
        </row>
        <row r="2661">
          <cell r="A2661">
            <v>50753056</v>
          </cell>
          <cell r="B2661">
            <v>1</v>
          </cell>
          <cell r="I2661">
            <v>158000</v>
          </cell>
        </row>
        <row r="2662">
          <cell r="A2662">
            <v>50753065</v>
          </cell>
          <cell r="B2662">
            <v>1</v>
          </cell>
          <cell r="I2662">
            <v>152000</v>
          </cell>
        </row>
        <row r="2663">
          <cell r="A2663">
            <v>50753066</v>
          </cell>
          <cell r="B2663">
            <v>1</v>
          </cell>
          <cell r="I2663">
            <v>158000</v>
          </cell>
        </row>
        <row r="2664">
          <cell r="A2664">
            <v>50750045</v>
          </cell>
          <cell r="B2664">
            <v>1</v>
          </cell>
          <cell r="I2664">
            <v>152000</v>
          </cell>
        </row>
        <row r="2665">
          <cell r="A2665">
            <v>50750046</v>
          </cell>
          <cell r="B2665">
            <v>1</v>
          </cell>
          <cell r="I2665">
            <v>158000</v>
          </cell>
        </row>
        <row r="2666">
          <cell r="A2666">
            <v>50750075</v>
          </cell>
          <cell r="B2666">
            <v>1</v>
          </cell>
          <cell r="I2666">
            <v>152000</v>
          </cell>
        </row>
        <row r="2667">
          <cell r="A2667">
            <v>50750076</v>
          </cell>
          <cell r="B2667">
            <v>1</v>
          </cell>
          <cell r="I2667">
            <v>158000</v>
          </cell>
        </row>
        <row r="2668">
          <cell r="A2668">
            <v>50800015</v>
          </cell>
          <cell r="B2668">
            <v>1</v>
          </cell>
          <cell r="I2668">
            <v>164000</v>
          </cell>
        </row>
        <row r="2669">
          <cell r="A2669">
            <v>50800025</v>
          </cell>
          <cell r="B2669">
            <v>1</v>
          </cell>
          <cell r="I2669">
            <v>164000</v>
          </cell>
        </row>
        <row r="2670">
          <cell r="A2670">
            <v>50800035</v>
          </cell>
          <cell r="B2670">
            <v>1</v>
          </cell>
          <cell r="I2670">
            <v>164000</v>
          </cell>
        </row>
        <row r="2671">
          <cell r="A2671">
            <v>50800085</v>
          </cell>
          <cell r="B2671">
            <v>1</v>
          </cell>
          <cell r="I2671">
            <v>164000</v>
          </cell>
        </row>
        <row r="2672">
          <cell r="A2672">
            <v>50800095</v>
          </cell>
          <cell r="B2672">
            <v>1</v>
          </cell>
          <cell r="I2672">
            <v>164000</v>
          </cell>
        </row>
        <row r="2673">
          <cell r="A2673">
            <v>50800105</v>
          </cell>
          <cell r="B2673">
            <v>1</v>
          </cell>
          <cell r="I2673">
            <v>164000</v>
          </cell>
        </row>
        <row r="2674">
          <cell r="A2674">
            <v>50801055</v>
          </cell>
          <cell r="B2674">
            <v>1</v>
          </cell>
          <cell r="I2674">
            <v>164000</v>
          </cell>
        </row>
        <row r="2675">
          <cell r="A2675">
            <v>50801056</v>
          </cell>
          <cell r="B2675">
            <v>1</v>
          </cell>
          <cell r="I2675">
            <v>170000</v>
          </cell>
        </row>
        <row r="2676">
          <cell r="A2676">
            <v>50801065</v>
          </cell>
          <cell r="B2676">
            <v>1</v>
          </cell>
          <cell r="I2676">
            <v>164000</v>
          </cell>
        </row>
        <row r="2677">
          <cell r="A2677">
            <v>50801066</v>
          </cell>
          <cell r="B2677">
            <v>1</v>
          </cell>
          <cell r="I2677">
            <v>170000</v>
          </cell>
        </row>
        <row r="2678">
          <cell r="A2678">
            <v>50802055</v>
          </cell>
          <cell r="B2678">
            <v>1</v>
          </cell>
          <cell r="I2678">
            <v>164000</v>
          </cell>
        </row>
        <row r="2679">
          <cell r="A2679">
            <v>50802056</v>
          </cell>
          <cell r="B2679">
            <v>1</v>
          </cell>
          <cell r="I2679">
            <v>170000</v>
          </cell>
        </row>
        <row r="2680">
          <cell r="A2680">
            <v>50802065</v>
          </cell>
          <cell r="B2680">
            <v>1</v>
          </cell>
          <cell r="I2680">
            <v>164000</v>
          </cell>
        </row>
        <row r="2681">
          <cell r="A2681">
            <v>50802066</v>
          </cell>
          <cell r="B2681">
            <v>1</v>
          </cell>
          <cell r="I2681">
            <v>170000</v>
          </cell>
        </row>
        <row r="2682">
          <cell r="A2682">
            <v>50803055</v>
          </cell>
          <cell r="B2682">
            <v>1</v>
          </cell>
          <cell r="I2682">
            <v>164000</v>
          </cell>
        </row>
        <row r="2683">
          <cell r="A2683">
            <v>50803056</v>
          </cell>
          <cell r="B2683">
            <v>1</v>
          </cell>
          <cell r="I2683">
            <v>170000</v>
          </cell>
        </row>
        <row r="2684">
          <cell r="A2684">
            <v>50803065</v>
          </cell>
          <cell r="B2684">
            <v>1</v>
          </cell>
          <cell r="I2684">
            <v>164000</v>
          </cell>
        </row>
        <row r="2685">
          <cell r="A2685">
            <v>50803066</v>
          </cell>
          <cell r="B2685">
            <v>1</v>
          </cell>
          <cell r="I2685">
            <v>170000</v>
          </cell>
        </row>
        <row r="2686">
          <cell r="A2686">
            <v>50800045</v>
          </cell>
          <cell r="B2686">
            <v>1</v>
          </cell>
          <cell r="I2686">
            <v>164000</v>
          </cell>
        </row>
        <row r="2687">
          <cell r="A2687">
            <v>50800046</v>
          </cell>
          <cell r="B2687">
            <v>1</v>
          </cell>
          <cell r="I2687">
            <v>170000</v>
          </cell>
        </row>
        <row r="2688">
          <cell r="A2688">
            <v>50800075</v>
          </cell>
          <cell r="B2688">
            <v>1</v>
          </cell>
          <cell r="I2688">
            <v>164000</v>
          </cell>
        </row>
        <row r="2689">
          <cell r="A2689">
            <v>50800076</v>
          </cell>
          <cell r="B2689">
            <v>1</v>
          </cell>
          <cell r="I2689">
            <v>170000</v>
          </cell>
        </row>
        <row r="2690">
          <cell r="A2690">
            <v>50850015</v>
          </cell>
          <cell r="B2690">
            <v>1</v>
          </cell>
          <cell r="I2690">
            <v>176000</v>
          </cell>
        </row>
        <row r="2691">
          <cell r="A2691">
            <v>50850025</v>
          </cell>
          <cell r="B2691">
            <v>1</v>
          </cell>
          <cell r="I2691">
            <v>176000</v>
          </cell>
        </row>
        <row r="2692">
          <cell r="A2692">
            <v>50850035</v>
          </cell>
          <cell r="B2692">
            <v>1</v>
          </cell>
          <cell r="I2692">
            <v>176000</v>
          </cell>
        </row>
        <row r="2693">
          <cell r="A2693">
            <v>50850085</v>
          </cell>
          <cell r="B2693">
            <v>1</v>
          </cell>
          <cell r="I2693">
            <v>176000</v>
          </cell>
        </row>
        <row r="2694">
          <cell r="A2694">
            <v>50850095</v>
          </cell>
          <cell r="B2694">
            <v>1</v>
          </cell>
          <cell r="I2694">
            <v>176000</v>
          </cell>
        </row>
        <row r="2695">
          <cell r="A2695">
            <v>50850105</v>
          </cell>
          <cell r="B2695">
            <v>1</v>
          </cell>
          <cell r="I2695">
            <v>176000</v>
          </cell>
        </row>
        <row r="2696">
          <cell r="A2696">
            <v>50851055</v>
          </cell>
          <cell r="B2696">
            <v>1</v>
          </cell>
          <cell r="I2696">
            <v>176000</v>
          </cell>
        </row>
        <row r="2697">
          <cell r="A2697">
            <v>50851056</v>
          </cell>
          <cell r="B2697">
            <v>1</v>
          </cell>
          <cell r="I2697">
            <v>182000</v>
          </cell>
        </row>
        <row r="2698">
          <cell r="A2698">
            <v>50851065</v>
          </cell>
          <cell r="B2698">
            <v>1</v>
          </cell>
          <cell r="I2698">
            <v>176000</v>
          </cell>
        </row>
        <row r="2699">
          <cell r="A2699">
            <v>50851066</v>
          </cell>
          <cell r="B2699">
            <v>1</v>
          </cell>
          <cell r="I2699">
            <v>182000</v>
          </cell>
        </row>
        <row r="2700">
          <cell r="A2700">
            <v>50852055</v>
          </cell>
          <cell r="B2700">
            <v>1</v>
          </cell>
          <cell r="I2700">
            <v>176000</v>
          </cell>
        </row>
        <row r="2701">
          <cell r="A2701">
            <v>50852056</v>
          </cell>
          <cell r="B2701">
            <v>1</v>
          </cell>
          <cell r="I2701">
            <v>182000</v>
          </cell>
        </row>
        <row r="2702">
          <cell r="A2702">
            <v>50852065</v>
          </cell>
          <cell r="B2702">
            <v>1</v>
          </cell>
          <cell r="I2702">
            <v>176000</v>
          </cell>
        </row>
        <row r="2703">
          <cell r="A2703">
            <v>50852066</v>
          </cell>
          <cell r="B2703">
            <v>1</v>
          </cell>
          <cell r="I2703">
            <v>182000</v>
          </cell>
        </row>
        <row r="2704">
          <cell r="A2704">
            <v>50853055</v>
          </cell>
          <cell r="B2704">
            <v>1</v>
          </cell>
          <cell r="I2704">
            <v>176000</v>
          </cell>
        </row>
        <row r="2705">
          <cell r="A2705">
            <v>50853056</v>
          </cell>
          <cell r="B2705">
            <v>1</v>
          </cell>
          <cell r="I2705">
            <v>182000</v>
          </cell>
        </row>
        <row r="2706">
          <cell r="A2706">
            <v>50853065</v>
          </cell>
          <cell r="B2706">
            <v>1</v>
          </cell>
          <cell r="I2706">
            <v>176000</v>
          </cell>
        </row>
        <row r="2707">
          <cell r="A2707">
            <v>50853066</v>
          </cell>
          <cell r="B2707">
            <v>1</v>
          </cell>
          <cell r="I2707">
            <v>182000</v>
          </cell>
        </row>
        <row r="2708">
          <cell r="A2708">
            <v>50850045</v>
          </cell>
          <cell r="B2708">
            <v>1</v>
          </cell>
          <cell r="I2708">
            <v>176000</v>
          </cell>
        </row>
        <row r="2709">
          <cell r="A2709">
            <v>50850046</v>
          </cell>
          <cell r="B2709">
            <v>1</v>
          </cell>
          <cell r="I2709">
            <v>182000</v>
          </cell>
        </row>
        <row r="2710">
          <cell r="A2710">
            <v>50850075</v>
          </cell>
          <cell r="B2710">
            <v>1</v>
          </cell>
          <cell r="I2710">
            <v>176000</v>
          </cell>
        </row>
        <row r="2711">
          <cell r="A2711">
            <v>50850076</v>
          </cell>
          <cell r="B2711">
            <v>1</v>
          </cell>
          <cell r="I2711">
            <v>182000</v>
          </cell>
        </row>
        <row r="2712">
          <cell r="A2712">
            <v>50900015</v>
          </cell>
          <cell r="B2712">
            <v>1</v>
          </cell>
          <cell r="I2712">
            <v>188000</v>
          </cell>
        </row>
        <row r="2713">
          <cell r="A2713">
            <v>50900025</v>
          </cell>
          <cell r="B2713">
            <v>1</v>
          </cell>
          <cell r="I2713">
            <v>188000</v>
          </cell>
        </row>
        <row r="2714">
          <cell r="A2714">
            <v>50900035</v>
          </cell>
          <cell r="B2714">
            <v>1</v>
          </cell>
          <cell r="I2714">
            <v>188000</v>
          </cell>
        </row>
        <row r="2715">
          <cell r="A2715">
            <v>50900085</v>
          </cell>
          <cell r="B2715">
            <v>1</v>
          </cell>
          <cell r="I2715">
            <v>188000</v>
          </cell>
        </row>
        <row r="2716">
          <cell r="A2716">
            <v>50900095</v>
          </cell>
          <cell r="B2716">
            <v>1</v>
          </cell>
          <cell r="I2716">
            <v>188000</v>
          </cell>
        </row>
        <row r="2717">
          <cell r="A2717">
            <v>50900105</v>
          </cell>
          <cell r="B2717">
            <v>1</v>
          </cell>
          <cell r="I2717">
            <v>188000</v>
          </cell>
        </row>
        <row r="2718">
          <cell r="A2718">
            <v>50901055</v>
          </cell>
          <cell r="B2718">
            <v>1</v>
          </cell>
          <cell r="I2718">
            <v>188000</v>
          </cell>
        </row>
        <row r="2719">
          <cell r="A2719">
            <v>50901056</v>
          </cell>
          <cell r="B2719">
            <v>1</v>
          </cell>
          <cell r="I2719">
            <v>194000</v>
          </cell>
        </row>
        <row r="2720">
          <cell r="A2720">
            <v>50901065</v>
          </cell>
          <cell r="B2720">
            <v>1</v>
          </cell>
          <cell r="I2720">
            <v>188000</v>
          </cell>
        </row>
        <row r="2721">
          <cell r="A2721">
            <v>50901066</v>
          </cell>
          <cell r="B2721">
            <v>1</v>
          </cell>
          <cell r="I2721">
            <v>194000</v>
          </cell>
        </row>
        <row r="2722">
          <cell r="A2722">
            <v>50902055</v>
          </cell>
          <cell r="B2722">
            <v>1</v>
          </cell>
          <cell r="I2722">
            <v>188000</v>
          </cell>
        </row>
        <row r="2723">
          <cell r="A2723">
            <v>50902056</v>
          </cell>
          <cell r="B2723">
            <v>1</v>
          </cell>
          <cell r="I2723">
            <v>194000</v>
          </cell>
        </row>
        <row r="2724">
          <cell r="A2724">
            <v>50902065</v>
          </cell>
          <cell r="B2724">
            <v>1</v>
          </cell>
          <cell r="I2724">
            <v>188000</v>
          </cell>
        </row>
        <row r="2725">
          <cell r="A2725">
            <v>50902066</v>
          </cell>
          <cell r="B2725">
            <v>1</v>
          </cell>
          <cell r="I2725">
            <v>194000</v>
          </cell>
        </row>
        <row r="2726">
          <cell r="A2726">
            <v>50903055</v>
          </cell>
          <cell r="B2726">
            <v>1</v>
          </cell>
          <cell r="I2726">
            <v>188000</v>
          </cell>
        </row>
        <row r="2727">
          <cell r="A2727">
            <v>50903056</v>
          </cell>
          <cell r="B2727">
            <v>1</v>
          </cell>
          <cell r="I2727">
            <v>194000</v>
          </cell>
        </row>
        <row r="2728">
          <cell r="A2728">
            <v>50903065</v>
          </cell>
          <cell r="B2728">
            <v>1</v>
          </cell>
          <cell r="I2728">
            <v>188000</v>
          </cell>
        </row>
        <row r="2729">
          <cell r="A2729">
            <v>50903066</v>
          </cell>
          <cell r="B2729">
            <v>1</v>
          </cell>
          <cell r="I2729">
            <v>194000</v>
          </cell>
        </row>
        <row r="2730">
          <cell r="A2730">
            <v>50900045</v>
          </cell>
          <cell r="B2730">
            <v>1</v>
          </cell>
          <cell r="I2730">
            <v>188000</v>
          </cell>
        </row>
        <row r="2731">
          <cell r="A2731">
            <v>50900046</v>
          </cell>
          <cell r="B2731">
            <v>1</v>
          </cell>
          <cell r="I2731">
            <v>194000</v>
          </cell>
        </row>
        <row r="2732">
          <cell r="A2732">
            <v>50900075</v>
          </cell>
          <cell r="B2732">
            <v>1</v>
          </cell>
          <cell r="I2732">
            <v>188000</v>
          </cell>
        </row>
        <row r="2733">
          <cell r="A2733">
            <v>50900076</v>
          </cell>
          <cell r="B2733">
            <v>1</v>
          </cell>
          <cell r="I2733">
            <v>194000</v>
          </cell>
        </row>
        <row r="2734">
          <cell r="A2734">
            <v>50950015</v>
          </cell>
          <cell r="B2734">
            <v>1</v>
          </cell>
          <cell r="I2734">
            <v>200000</v>
          </cell>
        </row>
        <row r="2735">
          <cell r="A2735">
            <v>50950025</v>
          </cell>
          <cell r="B2735">
            <v>1</v>
          </cell>
          <cell r="I2735">
            <v>200000</v>
          </cell>
        </row>
        <row r="2736">
          <cell r="A2736">
            <v>50950035</v>
          </cell>
          <cell r="B2736">
            <v>1</v>
          </cell>
          <cell r="I2736">
            <v>200000</v>
          </cell>
        </row>
        <row r="2737">
          <cell r="A2737">
            <v>50950085</v>
          </cell>
          <cell r="B2737">
            <v>1</v>
          </cell>
          <cell r="I2737">
            <v>200000</v>
          </cell>
        </row>
        <row r="2738">
          <cell r="A2738">
            <v>50950095</v>
          </cell>
          <cell r="B2738">
            <v>1</v>
          </cell>
          <cell r="I2738">
            <v>200000</v>
          </cell>
        </row>
        <row r="2739">
          <cell r="A2739">
            <v>50950105</v>
          </cell>
          <cell r="B2739">
            <v>1</v>
          </cell>
          <cell r="I2739">
            <v>200000</v>
          </cell>
        </row>
        <row r="2740">
          <cell r="A2740">
            <v>50951055</v>
          </cell>
          <cell r="B2740">
            <v>1</v>
          </cell>
          <cell r="I2740">
            <v>200000</v>
          </cell>
        </row>
        <row r="2741">
          <cell r="A2741">
            <v>50951056</v>
          </cell>
          <cell r="B2741">
            <v>1</v>
          </cell>
          <cell r="I2741">
            <v>206000</v>
          </cell>
        </row>
        <row r="2742">
          <cell r="A2742">
            <v>50951065</v>
          </cell>
          <cell r="B2742">
            <v>1</v>
          </cell>
          <cell r="I2742">
            <v>200000</v>
          </cell>
        </row>
        <row r="2743">
          <cell r="A2743">
            <v>50951066</v>
          </cell>
          <cell r="B2743">
            <v>1</v>
          </cell>
          <cell r="I2743">
            <v>206000</v>
          </cell>
        </row>
        <row r="2744">
          <cell r="A2744">
            <v>50952055</v>
          </cell>
          <cell r="B2744">
            <v>1</v>
          </cell>
          <cell r="I2744">
            <v>200000</v>
          </cell>
        </row>
        <row r="2745">
          <cell r="A2745">
            <v>50952056</v>
          </cell>
          <cell r="B2745">
            <v>1</v>
          </cell>
          <cell r="I2745">
            <v>206000</v>
          </cell>
        </row>
        <row r="2746">
          <cell r="A2746">
            <v>50952065</v>
          </cell>
          <cell r="B2746">
            <v>1</v>
          </cell>
          <cell r="I2746">
            <v>200000</v>
          </cell>
        </row>
        <row r="2747">
          <cell r="A2747">
            <v>50952066</v>
          </cell>
          <cell r="B2747">
            <v>1</v>
          </cell>
          <cell r="I2747">
            <v>206000</v>
          </cell>
        </row>
        <row r="2748">
          <cell r="A2748">
            <v>50953055</v>
          </cell>
          <cell r="B2748">
            <v>1</v>
          </cell>
          <cell r="I2748">
            <v>200000</v>
          </cell>
        </row>
        <row r="2749">
          <cell r="A2749">
            <v>50953056</v>
          </cell>
          <cell r="B2749">
            <v>1</v>
          </cell>
          <cell r="I2749">
            <v>206000</v>
          </cell>
        </row>
        <row r="2750">
          <cell r="A2750">
            <v>50953065</v>
          </cell>
          <cell r="B2750">
            <v>1</v>
          </cell>
          <cell r="I2750">
            <v>200000</v>
          </cell>
        </row>
        <row r="2751">
          <cell r="A2751">
            <v>50953066</v>
          </cell>
          <cell r="B2751">
            <v>1</v>
          </cell>
          <cell r="I2751">
            <v>206000</v>
          </cell>
        </row>
        <row r="2752">
          <cell r="A2752">
            <v>50950045</v>
          </cell>
          <cell r="B2752">
            <v>1</v>
          </cell>
          <cell r="I2752">
            <v>200000</v>
          </cell>
        </row>
        <row r="2753">
          <cell r="A2753">
            <v>50950046</v>
          </cell>
          <cell r="B2753">
            <v>1</v>
          </cell>
          <cell r="I2753">
            <v>206000</v>
          </cell>
        </row>
        <row r="2754">
          <cell r="A2754">
            <v>50950075</v>
          </cell>
          <cell r="B2754">
            <v>1</v>
          </cell>
          <cell r="I2754">
            <v>200000</v>
          </cell>
        </row>
        <row r="2755">
          <cell r="A2755">
            <v>50950076</v>
          </cell>
          <cell r="B2755">
            <v>1</v>
          </cell>
          <cell r="I2755">
            <v>206000</v>
          </cell>
        </row>
        <row r="2756">
          <cell r="A2756">
            <v>51000015</v>
          </cell>
          <cell r="B2756">
            <v>1</v>
          </cell>
          <cell r="I2756">
            <v>212000</v>
          </cell>
        </row>
        <row r="2757">
          <cell r="A2757">
            <v>51000025</v>
          </cell>
          <cell r="B2757">
            <v>1</v>
          </cell>
          <cell r="I2757">
            <v>212000</v>
          </cell>
        </row>
        <row r="2758">
          <cell r="A2758">
            <v>51000035</v>
          </cell>
          <cell r="B2758">
            <v>1</v>
          </cell>
          <cell r="I2758">
            <v>212000</v>
          </cell>
        </row>
        <row r="2759">
          <cell r="A2759">
            <v>51000085</v>
          </cell>
          <cell r="B2759">
            <v>1</v>
          </cell>
          <cell r="I2759">
            <v>212000</v>
          </cell>
        </row>
        <row r="2760">
          <cell r="A2760">
            <v>51000095</v>
          </cell>
          <cell r="B2760">
            <v>1</v>
          </cell>
          <cell r="I2760">
            <v>212000</v>
          </cell>
        </row>
        <row r="2761">
          <cell r="A2761">
            <v>51000105</v>
          </cell>
          <cell r="B2761">
            <v>1</v>
          </cell>
          <cell r="I2761">
            <v>212000</v>
          </cell>
        </row>
        <row r="2762">
          <cell r="A2762">
            <v>51001055</v>
          </cell>
          <cell r="B2762">
            <v>1</v>
          </cell>
          <cell r="I2762">
            <v>212000</v>
          </cell>
        </row>
        <row r="2763">
          <cell r="A2763">
            <v>51001056</v>
          </cell>
          <cell r="B2763">
            <v>0</v>
          </cell>
          <cell r="I2763">
            <v>218000</v>
          </cell>
        </row>
        <row r="2764">
          <cell r="A2764">
            <v>51001065</v>
          </cell>
          <cell r="B2764">
            <v>1</v>
          </cell>
          <cell r="I2764">
            <v>212000</v>
          </cell>
        </row>
        <row r="2765">
          <cell r="A2765">
            <v>51001066</v>
          </cell>
          <cell r="B2765">
            <v>0</v>
          </cell>
          <cell r="I2765">
            <v>218000</v>
          </cell>
        </row>
        <row r="2766">
          <cell r="A2766">
            <v>51002055</v>
          </cell>
          <cell r="B2766">
            <v>1</v>
          </cell>
          <cell r="I2766">
            <v>212000</v>
          </cell>
        </row>
        <row r="2767">
          <cell r="A2767">
            <v>51002056</v>
          </cell>
          <cell r="B2767">
            <v>0</v>
          </cell>
          <cell r="I2767">
            <v>218000</v>
          </cell>
        </row>
        <row r="2768">
          <cell r="A2768">
            <v>51002065</v>
          </cell>
          <cell r="B2768">
            <v>1</v>
          </cell>
          <cell r="I2768">
            <v>212000</v>
          </cell>
        </row>
        <row r="2769">
          <cell r="A2769">
            <v>51002066</v>
          </cell>
          <cell r="B2769">
            <v>0</v>
          </cell>
          <cell r="I2769">
            <v>218000</v>
          </cell>
        </row>
        <row r="2770">
          <cell r="A2770">
            <v>51003055</v>
          </cell>
          <cell r="B2770">
            <v>1</v>
          </cell>
          <cell r="I2770">
            <v>212000</v>
          </cell>
        </row>
        <row r="2771">
          <cell r="A2771">
            <v>51003056</v>
          </cell>
          <cell r="B2771">
            <v>0</v>
          </cell>
          <cell r="I2771">
            <v>218000</v>
          </cell>
        </row>
        <row r="2772">
          <cell r="A2772">
            <v>51003065</v>
          </cell>
          <cell r="B2772">
            <v>1</v>
          </cell>
          <cell r="I2772">
            <v>212000</v>
          </cell>
        </row>
        <row r="2773">
          <cell r="A2773">
            <v>51003066</v>
          </cell>
          <cell r="B2773">
            <v>0</v>
          </cell>
          <cell r="I2773">
            <v>218000</v>
          </cell>
        </row>
        <row r="2774">
          <cell r="A2774">
            <v>51000045</v>
          </cell>
          <cell r="B2774">
            <v>1</v>
          </cell>
          <cell r="I2774">
            <v>212000</v>
          </cell>
        </row>
        <row r="2775">
          <cell r="A2775">
            <v>51000046</v>
          </cell>
          <cell r="B2775">
            <v>1</v>
          </cell>
          <cell r="I2775">
            <v>218000</v>
          </cell>
        </row>
        <row r="2776">
          <cell r="A2776">
            <v>51000075</v>
          </cell>
          <cell r="B2776">
            <v>1</v>
          </cell>
          <cell r="I2776">
            <v>212000</v>
          </cell>
        </row>
        <row r="2777">
          <cell r="A2777">
            <v>51000076</v>
          </cell>
          <cell r="B2777">
            <v>1</v>
          </cell>
          <cell r="I2777">
            <v>218000</v>
          </cell>
        </row>
        <row r="2778">
          <cell r="A2778">
            <v>50301052</v>
          </cell>
          <cell r="B2778">
            <v>0</v>
          </cell>
          <cell r="I2778">
            <v>60000</v>
          </cell>
        </row>
        <row r="2779">
          <cell r="A2779">
            <v>50302052</v>
          </cell>
          <cell r="B2779">
            <v>0</v>
          </cell>
          <cell r="I2779">
            <v>60000</v>
          </cell>
        </row>
        <row r="2780">
          <cell r="A2780">
            <v>50303052</v>
          </cell>
          <cell r="B2780">
            <v>0</v>
          </cell>
          <cell r="I2780">
            <v>60000</v>
          </cell>
        </row>
        <row r="2781">
          <cell r="A2781">
            <v>50201052</v>
          </cell>
          <cell r="B2781">
            <v>0</v>
          </cell>
          <cell r="I2781">
            <v>40000</v>
          </cell>
        </row>
        <row r="2782">
          <cell r="A2782">
            <v>50202052</v>
          </cell>
          <cell r="B2782">
            <v>0</v>
          </cell>
          <cell r="I2782">
            <v>40000</v>
          </cell>
        </row>
        <row r="2783">
          <cell r="A2783">
            <v>50203052</v>
          </cell>
          <cell r="B2783">
            <v>0</v>
          </cell>
          <cell r="I2783">
            <v>40000</v>
          </cell>
        </row>
        <row r="2784">
          <cell r="A2784">
            <v>50351062</v>
          </cell>
          <cell r="B2784">
            <v>0</v>
          </cell>
          <cell r="I2784">
            <v>70000</v>
          </cell>
        </row>
        <row r="2785">
          <cell r="A2785">
            <v>50352062</v>
          </cell>
          <cell r="B2785">
            <v>0</v>
          </cell>
          <cell r="I2785">
            <v>70000</v>
          </cell>
        </row>
        <row r="2786">
          <cell r="A2786">
            <v>50353062</v>
          </cell>
          <cell r="B2786">
            <v>0</v>
          </cell>
          <cell r="I2786">
            <v>70000</v>
          </cell>
        </row>
        <row r="2787">
          <cell r="A2787">
            <v>66666666</v>
          </cell>
          <cell r="B2787">
            <v>0</v>
          </cell>
          <cell r="I2787">
            <v>146000</v>
          </cell>
        </row>
        <row r="2788">
          <cell r="A2788">
            <v>50250022</v>
          </cell>
          <cell r="B2788">
            <v>0</v>
          </cell>
          <cell r="I2788">
            <v>50000</v>
          </cell>
        </row>
        <row r="2789">
          <cell r="A2789">
            <v>50300082</v>
          </cell>
          <cell r="B2789">
            <v>0</v>
          </cell>
          <cell r="I2789">
            <v>60000</v>
          </cell>
        </row>
        <row r="2790">
          <cell r="A2790">
            <v>50350102</v>
          </cell>
          <cell r="B2790">
            <v>0</v>
          </cell>
          <cell r="I2790">
            <v>70000</v>
          </cell>
        </row>
        <row r="2791">
          <cell r="A2791">
            <v>50300012</v>
          </cell>
          <cell r="B2791">
            <v>0</v>
          </cell>
          <cell r="I2791">
            <v>60000</v>
          </cell>
        </row>
        <row r="2792">
          <cell r="A2792">
            <v>50300032</v>
          </cell>
          <cell r="B2792">
            <v>0</v>
          </cell>
          <cell r="I2792">
            <v>60000</v>
          </cell>
        </row>
        <row r="2793">
          <cell r="A2793">
            <v>50300092</v>
          </cell>
          <cell r="B2793">
            <v>0</v>
          </cell>
          <cell r="I2793">
            <v>60000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85"/>
  <sheetViews>
    <sheetView topLeftCell="C1" workbookViewId="0">
      <selection activeCell="D25" sqref="D25"/>
    </sheetView>
  </sheetViews>
  <sheetFormatPr defaultColWidth="9" defaultRowHeight="13.5"/>
  <cols>
    <col min="1" max="2" width="20" customWidth="1"/>
    <col min="3" max="3" width="20" style="1" customWidth="1"/>
    <col min="4" max="5" width="20" customWidth="1"/>
    <col min="6" max="6" width="7.25" style="3" customWidth="1"/>
    <col min="7" max="7" width="11.25" style="3" customWidth="1"/>
    <col min="8" max="8" width="13" style="3" bestFit="1" customWidth="1"/>
  </cols>
  <sheetData>
    <row r="1" spans="1:8">
      <c r="A1" t="s">
        <v>4</v>
      </c>
    </row>
    <row r="3" spans="1:8">
      <c r="A3" t="s">
        <v>0</v>
      </c>
      <c r="B3" t="s">
        <v>1</v>
      </c>
      <c r="C3" s="1" t="s">
        <v>18</v>
      </c>
      <c r="D3" t="s">
        <v>19</v>
      </c>
      <c r="E3" t="s">
        <v>32</v>
      </c>
      <c r="F3" s="3" t="s">
        <v>5</v>
      </c>
      <c r="G3" s="3" t="s">
        <v>33</v>
      </c>
      <c r="H3" s="3" t="s">
        <v>8</v>
      </c>
    </row>
    <row r="4" spans="1:8">
      <c r="A4" t="s">
        <v>2</v>
      </c>
      <c r="B4" t="s">
        <v>3</v>
      </c>
      <c r="C4" s="1" t="s">
        <v>275</v>
      </c>
      <c r="D4" t="s">
        <v>29</v>
      </c>
      <c r="E4" t="s">
        <v>243</v>
      </c>
      <c r="F4" s="3" t="s">
        <v>6</v>
      </c>
      <c r="G4" s="3" t="s">
        <v>7</v>
      </c>
      <c r="H4" s="3" t="s">
        <v>9</v>
      </c>
    </row>
    <row r="6" spans="1:8">
      <c r="A6">
        <v>1</v>
      </c>
      <c r="B6">
        <v>5</v>
      </c>
      <c r="C6" s="1" t="s">
        <v>34</v>
      </c>
      <c r="D6">
        <v>10001</v>
      </c>
      <c r="E6" s="5" t="s">
        <v>296</v>
      </c>
      <c r="F6" s="3">
        <v>10005</v>
      </c>
      <c r="G6" s="3">
        <v>10005</v>
      </c>
      <c r="H6" s="3">
        <v>10005</v>
      </c>
    </row>
    <row r="7" spans="1:8">
      <c r="A7">
        <v>1</v>
      </c>
      <c r="B7">
        <v>5</v>
      </c>
      <c r="C7" s="1" t="s">
        <v>276</v>
      </c>
      <c r="D7">
        <v>10002</v>
      </c>
      <c r="E7" t="s">
        <v>294</v>
      </c>
      <c r="F7" s="3">
        <f>F6+10000</f>
        <v>20005</v>
      </c>
      <c r="G7" s="3">
        <f>G6+10000</f>
        <v>20005</v>
      </c>
      <c r="H7" s="3">
        <f>H6+10000</f>
        <v>20005</v>
      </c>
    </row>
    <row r="8" spans="1:8">
      <c r="A8">
        <v>1</v>
      </c>
      <c r="B8">
        <v>5</v>
      </c>
      <c r="C8" s="1" t="s">
        <v>277</v>
      </c>
      <c r="D8">
        <v>10003</v>
      </c>
      <c r="E8" t="s">
        <v>297</v>
      </c>
      <c r="F8" s="3">
        <f t="shared" ref="F8:H8" si="0">F7+10000</f>
        <v>30005</v>
      </c>
      <c r="G8" s="3">
        <f t="shared" si="0"/>
        <v>30005</v>
      </c>
      <c r="H8" s="3">
        <f t="shared" si="0"/>
        <v>30005</v>
      </c>
    </row>
    <row r="9" spans="1:8">
      <c r="A9">
        <v>1</v>
      </c>
      <c r="B9">
        <v>5</v>
      </c>
      <c r="C9" s="1" t="s">
        <v>278</v>
      </c>
      <c r="D9">
        <v>10004</v>
      </c>
      <c r="E9" t="s">
        <v>295</v>
      </c>
      <c r="F9" s="3">
        <f>F8</f>
        <v>30005</v>
      </c>
      <c r="G9" s="3">
        <f t="shared" ref="G9:H9" si="1">G8</f>
        <v>30005</v>
      </c>
      <c r="H9" s="3">
        <f t="shared" si="1"/>
        <v>30005</v>
      </c>
    </row>
    <row r="10" spans="1:8">
      <c r="A10">
        <f>A6+5</f>
        <v>6</v>
      </c>
      <c r="B10">
        <f>B6+5</f>
        <v>10</v>
      </c>
      <c r="C10" s="1" t="s">
        <v>34</v>
      </c>
      <c r="D10">
        <f>D6</f>
        <v>10001</v>
      </c>
      <c r="E10" t="str">
        <f>E6</f>
        <v>12,13</v>
      </c>
      <c r="F10" s="3">
        <f>F6+1</f>
        <v>10006</v>
      </c>
      <c r="G10" s="3">
        <f>G6+1</f>
        <v>10006</v>
      </c>
      <c r="H10" s="3">
        <f>H6+1</f>
        <v>10006</v>
      </c>
    </row>
    <row r="11" spans="1:8">
      <c r="A11">
        <f t="shared" ref="A11:B61" si="2">A7+5</f>
        <v>6</v>
      </c>
      <c r="B11">
        <f t="shared" si="2"/>
        <v>10</v>
      </c>
      <c r="C11" s="1" t="s">
        <v>276</v>
      </c>
      <c r="D11">
        <f t="shared" ref="D11:D74" si="3">D7</f>
        <v>10002</v>
      </c>
      <c r="E11" t="str">
        <f t="shared" ref="E11:E74" si="4">E7</f>
        <v>10,13</v>
      </c>
      <c r="F11" s="3">
        <f t="shared" ref="F11:F74" si="5">F7+1</f>
        <v>20006</v>
      </c>
      <c r="G11" s="3">
        <f t="shared" ref="G11:G74" si="6">G7+1</f>
        <v>20006</v>
      </c>
      <c r="H11" s="3">
        <f t="shared" ref="H11:H74" si="7">H7+1</f>
        <v>20006</v>
      </c>
    </row>
    <row r="12" spans="1:8">
      <c r="A12">
        <f t="shared" si="2"/>
        <v>6</v>
      </c>
      <c r="B12">
        <f t="shared" si="2"/>
        <v>10</v>
      </c>
      <c r="C12" s="1" t="s">
        <v>277</v>
      </c>
      <c r="D12">
        <f t="shared" si="3"/>
        <v>10003</v>
      </c>
      <c r="E12" t="str">
        <f t="shared" si="4"/>
        <v>8,13</v>
      </c>
      <c r="F12" s="3">
        <f t="shared" si="5"/>
        <v>30006</v>
      </c>
      <c r="G12" s="3">
        <f t="shared" si="6"/>
        <v>30006</v>
      </c>
      <c r="H12" s="3">
        <f t="shared" si="7"/>
        <v>30006</v>
      </c>
    </row>
    <row r="13" spans="1:8">
      <c r="A13">
        <f t="shared" si="2"/>
        <v>6</v>
      </c>
      <c r="B13">
        <f t="shared" si="2"/>
        <v>10</v>
      </c>
      <c r="C13" s="1" t="s">
        <v>278</v>
      </c>
      <c r="D13">
        <f t="shared" si="3"/>
        <v>10004</v>
      </c>
      <c r="E13" t="str">
        <f t="shared" si="4"/>
        <v>6,13</v>
      </c>
      <c r="F13" s="3">
        <f t="shared" si="5"/>
        <v>30006</v>
      </c>
      <c r="G13" s="3">
        <f t="shared" si="6"/>
        <v>30006</v>
      </c>
      <c r="H13" s="3">
        <f t="shared" si="7"/>
        <v>30006</v>
      </c>
    </row>
    <row r="14" spans="1:8">
      <c r="A14">
        <f t="shared" si="2"/>
        <v>11</v>
      </c>
      <c r="B14">
        <f t="shared" si="2"/>
        <v>15</v>
      </c>
      <c r="C14" s="1" t="s">
        <v>34</v>
      </c>
      <c r="D14">
        <f t="shared" si="3"/>
        <v>10001</v>
      </c>
      <c r="E14" t="str">
        <f t="shared" si="4"/>
        <v>12,13</v>
      </c>
      <c r="F14" s="3">
        <f>F10+1</f>
        <v>10007</v>
      </c>
      <c r="G14" s="3">
        <f>G10+1</f>
        <v>10007</v>
      </c>
      <c r="H14" s="3">
        <f>H10+1</f>
        <v>10007</v>
      </c>
    </row>
    <row r="15" spans="1:8">
      <c r="A15">
        <f t="shared" si="2"/>
        <v>11</v>
      </c>
      <c r="B15">
        <f t="shared" si="2"/>
        <v>15</v>
      </c>
      <c r="C15" s="1" t="s">
        <v>276</v>
      </c>
      <c r="D15">
        <f t="shared" si="3"/>
        <v>10002</v>
      </c>
      <c r="E15" t="str">
        <f t="shared" si="4"/>
        <v>10,13</v>
      </c>
      <c r="F15" s="3">
        <f t="shared" si="5"/>
        <v>20007</v>
      </c>
      <c r="G15" s="3">
        <f t="shared" si="6"/>
        <v>20007</v>
      </c>
      <c r="H15" s="3">
        <f t="shared" si="7"/>
        <v>20007</v>
      </c>
    </row>
    <row r="16" spans="1:8">
      <c r="A16">
        <f t="shared" si="2"/>
        <v>11</v>
      </c>
      <c r="B16">
        <f t="shared" si="2"/>
        <v>15</v>
      </c>
      <c r="C16" s="1" t="s">
        <v>277</v>
      </c>
      <c r="D16">
        <f t="shared" si="3"/>
        <v>10003</v>
      </c>
      <c r="E16" t="str">
        <f t="shared" si="4"/>
        <v>8,13</v>
      </c>
      <c r="F16" s="3">
        <f t="shared" si="5"/>
        <v>30007</v>
      </c>
      <c r="G16" s="3">
        <f t="shared" si="6"/>
        <v>30007</v>
      </c>
      <c r="H16" s="3">
        <f t="shared" si="7"/>
        <v>30007</v>
      </c>
    </row>
    <row r="17" spans="1:8">
      <c r="A17">
        <f t="shared" si="2"/>
        <v>11</v>
      </c>
      <c r="B17">
        <f t="shared" si="2"/>
        <v>15</v>
      </c>
      <c r="C17" s="1" t="s">
        <v>278</v>
      </c>
      <c r="D17">
        <f t="shared" si="3"/>
        <v>10004</v>
      </c>
      <c r="E17" t="str">
        <f t="shared" si="4"/>
        <v>6,13</v>
      </c>
      <c r="F17" s="3">
        <f t="shared" si="5"/>
        <v>30007</v>
      </c>
      <c r="G17" s="3">
        <f t="shared" si="6"/>
        <v>30007</v>
      </c>
      <c r="H17" s="3">
        <f t="shared" si="7"/>
        <v>30007</v>
      </c>
    </row>
    <row r="18" spans="1:8">
      <c r="A18">
        <f t="shared" si="2"/>
        <v>16</v>
      </c>
      <c r="B18">
        <f t="shared" si="2"/>
        <v>20</v>
      </c>
      <c r="C18" s="1" t="s">
        <v>34</v>
      </c>
      <c r="D18">
        <f t="shared" si="3"/>
        <v>10001</v>
      </c>
      <c r="E18" t="str">
        <f t="shared" si="4"/>
        <v>12,13</v>
      </c>
      <c r="F18" s="3">
        <f>F14+1</f>
        <v>10008</v>
      </c>
      <c r="G18" s="3">
        <f>G14+1</f>
        <v>10008</v>
      </c>
      <c r="H18" s="3">
        <f>H14+1</f>
        <v>10008</v>
      </c>
    </row>
    <row r="19" spans="1:8">
      <c r="A19">
        <f t="shared" si="2"/>
        <v>16</v>
      </c>
      <c r="B19">
        <f t="shared" si="2"/>
        <v>20</v>
      </c>
      <c r="C19" s="1" t="s">
        <v>276</v>
      </c>
      <c r="D19">
        <f t="shared" si="3"/>
        <v>10002</v>
      </c>
      <c r="E19" t="str">
        <f t="shared" si="4"/>
        <v>10,13</v>
      </c>
      <c r="F19" s="3">
        <f t="shared" si="5"/>
        <v>20008</v>
      </c>
      <c r="G19" s="3">
        <f t="shared" si="6"/>
        <v>20008</v>
      </c>
      <c r="H19" s="3">
        <f t="shared" si="7"/>
        <v>20008</v>
      </c>
    </row>
    <row r="20" spans="1:8">
      <c r="A20">
        <f>A16+5</f>
        <v>16</v>
      </c>
      <c r="B20">
        <f t="shared" ref="B20:B85" si="8">B16+5</f>
        <v>20</v>
      </c>
      <c r="C20" s="1" t="s">
        <v>277</v>
      </c>
      <c r="D20">
        <f t="shared" si="3"/>
        <v>10003</v>
      </c>
      <c r="E20" t="str">
        <f t="shared" si="4"/>
        <v>8,13</v>
      </c>
      <c r="F20" s="3">
        <f t="shared" si="5"/>
        <v>30008</v>
      </c>
      <c r="G20" s="3">
        <f t="shared" si="6"/>
        <v>30008</v>
      </c>
      <c r="H20" s="3">
        <f t="shared" si="7"/>
        <v>30008</v>
      </c>
    </row>
    <row r="21" spans="1:8">
      <c r="A21">
        <f t="shared" si="2"/>
        <v>16</v>
      </c>
      <c r="B21">
        <f t="shared" si="8"/>
        <v>20</v>
      </c>
      <c r="C21" s="1" t="s">
        <v>278</v>
      </c>
      <c r="D21">
        <f t="shared" si="3"/>
        <v>10004</v>
      </c>
      <c r="E21" t="str">
        <f t="shared" si="4"/>
        <v>6,13</v>
      </c>
      <c r="F21" s="3">
        <f t="shared" si="5"/>
        <v>30008</v>
      </c>
      <c r="G21" s="3">
        <f t="shared" si="6"/>
        <v>30008</v>
      </c>
      <c r="H21" s="3">
        <f t="shared" si="7"/>
        <v>30008</v>
      </c>
    </row>
    <row r="22" spans="1:8">
      <c r="A22">
        <f t="shared" si="2"/>
        <v>21</v>
      </c>
      <c r="B22">
        <f t="shared" si="8"/>
        <v>25</v>
      </c>
      <c r="C22" s="1" t="s">
        <v>34</v>
      </c>
      <c r="D22">
        <f t="shared" si="3"/>
        <v>10001</v>
      </c>
      <c r="E22" t="str">
        <f t="shared" si="4"/>
        <v>12,13</v>
      </c>
      <c r="F22" s="3">
        <f>F18+1</f>
        <v>10009</v>
      </c>
      <c r="G22" s="3">
        <f>G18+1</f>
        <v>10009</v>
      </c>
      <c r="H22" s="3">
        <f>H18+1</f>
        <v>10009</v>
      </c>
    </row>
    <row r="23" spans="1:8">
      <c r="A23">
        <f t="shared" si="2"/>
        <v>21</v>
      </c>
      <c r="B23">
        <f t="shared" si="8"/>
        <v>25</v>
      </c>
      <c r="C23" s="1" t="s">
        <v>276</v>
      </c>
      <c r="D23">
        <f t="shared" si="3"/>
        <v>10002</v>
      </c>
      <c r="E23" t="str">
        <f t="shared" si="4"/>
        <v>10,13</v>
      </c>
      <c r="F23" s="3">
        <f t="shared" si="5"/>
        <v>20009</v>
      </c>
      <c r="G23" s="3">
        <f t="shared" si="6"/>
        <v>20009</v>
      </c>
      <c r="H23" s="3">
        <f t="shared" si="7"/>
        <v>20009</v>
      </c>
    </row>
    <row r="24" spans="1:8">
      <c r="A24">
        <f t="shared" si="2"/>
        <v>21</v>
      </c>
      <c r="B24">
        <f t="shared" si="8"/>
        <v>25</v>
      </c>
      <c r="C24" s="1" t="s">
        <v>277</v>
      </c>
      <c r="D24">
        <f t="shared" si="3"/>
        <v>10003</v>
      </c>
      <c r="E24" t="str">
        <f t="shared" si="4"/>
        <v>8,13</v>
      </c>
      <c r="F24" s="3">
        <f t="shared" si="5"/>
        <v>30009</v>
      </c>
      <c r="G24" s="3">
        <f t="shared" si="6"/>
        <v>30009</v>
      </c>
      <c r="H24" s="3">
        <f t="shared" si="7"/>
        <v>30009</v>
      </c>
    </row>
    <row r="25" spans="1:8">
      <c r="A25">
        <f t="shared" si="2"/>
        <v>21</v>
      </c>
      <c r="B25">
        <f t="shared" si="8"/>
        <v>25</v>
      </c>
      <c r="C25" s="1" t="s">
        <v>278</v>
      </c>
      <c r="D25">
        <f t="shared" si="3"/>
        <v>10004</v>
      </c>
      <c r="E25" t="str">
        <f t="shared" si="4"/>
        <v>6,13</v>
      </c>
      <c r="F25" s="3">
        <f t="shared" si="5"/>
        <v>30009</v>
      </c>
      <c r="G25" s="3">
        <f t="shared" si="6"/>
        <v>30009</v>
      </c>
      <c r="H25" s="3">
        <f t="shared" si="7"/>
        <v>30009</v>
      </c>
    </row>
    <row r="26" spans="1:8">
      <c r="A26">
        <f t="shared" si="2"/>
        <v>26</v>
      </c>
      <c r="B26">
        <f t="shared" si="8"/>
        <v>30</v>
      </c>
      <c r="C26" s="1" t="s">
        <v>34</v>
      </c>
      <c r="D26">
        <f t="shared" si="3"/>
        <v>10001</v>
      </c>
      <c r="E26" t="str">
        <f t="shared" si="4"/>
        <v>12,13</v>
      </c>
      <c r="F26" s="3">
        <f>F22+1</f>
        <v>10010</v>
      </c>
      <c r="G26" s="3">
        <f>G22+1</f>
        <v>10010</v>
      </c>
      <c r="H26" s="3">
        <f>H22+1</f>
        <v>10010</v>
      </c>
    </row>
    <row r="27" spans="1:8">
      <c r="A27">
        <f>A23+5</f>
        <v>26</v>
      </c>
      <c r="B27">
        <f t="shared" si="8"/>
        <v>30</v>
      </c>
      <c r="C27" s="1" t="s">
        <v>276</v>
      </c>
      <c r="D27">
        <f t="shared" si="3"/>
        <v>10002</v>
      </c>
      <c r="E27" t="str">
        <f t="shared" si="4"/>
        <v>10,13</v>
      </c>
      <c r="F27" s="3">
        <f t="shared" si="5"/>
        <v>20010</v>
      </c>
      <c r="G27" s="3">
        <f t="shared" si="6"/>
        <v>20010</v>
      </c>
      <c r="H27" s="3">
        <f t="shared" si="7"/>
        <v>20010</v>
      </c>
    </row>
    <row r="28" spans="1:8">
      <c r="A28">
        <f t="shared" si="2"/>
        <v>26</v>
      </c>
      <c r="B28">
        <f t="shared" si="8"/>
        <v>30</v>
      </c>
      <c r="C28" s="1" t="s">
        <v>277</v>
      </c>
      <c r="D28">
        <f t="shared" si="3"/>
        <v>10003</v>
      </c>
      <c r="E28" t="str">
        <f t="shared" si="4"/>
        <v>8,13</v>
      </c>
      <c r="F28" s="3">
        <f t="shared" si="5"/>
        <v>30010</v>
      </c>
      <c r="G28" s="3">
        <f t="shared" si="6"/>
        <v>30010</v>
      </c>
      <c r="H28" s="3">
        <f t="shared" si="7"/>
        <v>30010</v>
      </c>
    </row>
    <row r="29" spans="1:8">
      <c r="A29">
        <f t="shared" si="2"/>
        <v>26</v>
      </c>
      <c r="B29">
        <f t="shared" si="8"/>
        <v>30</v>
      </c>
      <c r="C29" s="1" t="s">
        <v>278</v>
      </c>
      <c r="D29">
        <f t="shared" si="3"/>
        <v>10004</v>
      </c>
      <c r="E29" t="str">
        <f t="shared" si="4"/>
        <v>6,13</v>
      </c>
      <c r="F29" s="3">
        <f t="shared" si="5"/>
        <v>30010</v>
      </c>
      <c r="G29" s="3">
        <f t="shared" si="6"/>
        <v>30010</v>
      </c>
      <c r="H29" s="3">
        <f t="shared" si="7"/>
        <v>30010</v>
      </c>
    </row>
    <row r="30" spans="1:8">
      <c r="A30">
        <f t="shared" si="2"/>
        <v>31</v>
      </c>
      <c r="B30">
        <f t="shared" si="8"/>
        <v>35</v>
      </c>
      <c r="C30" s="1" t="s">
        <v>34</v>
      </c>
      <c r="D30">
        <f t="shared" si="3"/>
        <v>10001</v>
      </c>
      <c r="E30" t="str">
        <f t="shared" si="4"/>
        <v>12,13</v>
      </c>
      <c r="F30" s="3">
        <f>F26+1</f>
        <v>10011</v>
      </c>
      <c r="G30" s="3">
        <f>G26+1</f>
        <v>10011</v>
      </c>
      <c r="H30" s="3">
        <f>H26+1</f>
        <v>10011</v>
      </c>
    </row>
    <row r="31" spans="1:8">
      <c r="A31">
        <f t="shared" si="2"/>
        <v>31</v>
      </c>
      <c r="B31">
        <f t="shared" si="8"/>
        <v>35</v>
      </c>
      <c r="C31" s="1" t="s">
        <v>276</v>
      </c>
      <c r="D31">
        <f t="shared" si="3"/>
        <v>10002</v>
      </c>
      <c r="E31" t="str">
        <f t="shared" si="4"/>
        <v>10,13</v>
      </c>
      <c r="F31" s="3">
        <f t="shared" si="5"/>
        <v>20011</v>
      </c>
      <c r="G31" s="3">
        <f t="shared" si="6"/>
        <v>20011</v>
      </c>
      <c r="H31" s="3">
        <f t="shared" si="7"/>
        <v>20011</v>
      </c>
    </row>
    <row r="32" spans="1:8">
      <c r="A32">
        <f t="shared" si="2"/>
        <v>31</v>
      </c>
      <c r="B32">
        <f t="shared" si="8"/>
        <v>35</v>
      </c>
      <c r="C32" s="1" t="s">
        <v>277</v>
      </c>
      <c r="D32">
        <f t="shared" si="3"/>
        <v>10003</v>
      </c>
      <c r="E32" t="str">
        <f t="shared" si="4"/>
        <v>8,13</v>
      </c>
      <c r="F32" s="3">
        <f t="shared" si="5"/>
        <v>30011</v>
      </c>
      <c r="G32" s="3">
        <f t="shared" si="6"/>
        <v>30011</v>
      </c>
      <c r="H32" s="3">
        <f t="shared" si="7"/>
        <v>30011</v>
      </c>
    </row>
    <row r="33" spans="1:8">
      <c r="A33">
        <f t="shared" si="2"/>
        <v>31</v>
      </c>
      <c r="B33">
        <f t="shared" si="8"/>
        <v>35</v>
      </c>
      <c r="C33" s="1" t="s">
        <v>278</v>
      </c>
      <c r="D33">
        <f t="shared" si="3"/>
        <v>10004</v>
      </c>
      <c r="E33" t="str">
        <f t="shared" si="4"/>
        <v>6,13</v>
      </c>
      <c r="F33" s="3">
        <f t="shared" si="5"/>
        <v>30011</v>
      </c>
      <c r="G33" s="3">
        <f t="shared" si="6"/>
        <v>30011</v>
      </c>
      <c r="H33" s="3">
        <f t="shared" si="7"/>
        <v>30011</v>
      </c>
    </row>
    <row r="34" spans="1:8">
      <c r="A34">
        <f t="shared" si="2"/>
        <v>36</v>
      </c>
      <c r="B34">
        <f t="shared" si="8"/>
        <v>40</v>
      </c>
      <c r="C34" s="1" t="s">
        <v>34</v>
      </c>
      <c r="D34">
        <f t="shared" si="3"/>
        <v>10001</v>
      </c>
      <c r="E34" t="str">
        <f t="shared" si="4"/>
        <v>12,13</v>
      </c>
      <c r="F34" s="3">
        <f>F30+1</f>
        <v>10012</v>
      </c>
      <c r="G34" s="3">
        <f>G30+1</f>
        <v>10012</v>
      </c>
      <c r="H34" s="3">
        <f>H30+1</f>
        <v>10012</v>
      </c>
    </row>
    <row r="35" spans="1:8">
      <c r="A35">
        <f t="shared" si="2"/>
        <v>36</v>
      </c>
      <c r="B35">
        <f t="shared" si="8"/>
        <v>40</v>
      </c>
      <c r="C35" s="1" t="s">
        <v>276</v>
      </c>
      <c r="D35">
        <f t="shared" si="3"/>
        <v>10002</v>
      </c>
      <c r="E35" t="str">
        <f t="shared" si="4"/>
        <v>10,13</v>
      </c>
      <c r="F35" s="3">
        <f t="shared" si="5"/>
        <v>20012</v>
      </c>
      <c r="G35" s="3">
        <f t="shared" si="6"/>
        <v>20012</v>
      </c>
      <c r="H35" s="3">
        <f t="shared" si="7"/>
        <v>20012</v>
      </c>
    </row>
    <row r="36" spans="1:8">
      <c r="A36">
        <f t="shared" si="2"/>
        <v>36</v>
      </c>
      <c r="B36">
        <f t="shared" si="8"/>
        <v>40</v>
      </c>
      <c r="C36" s="1" t="s">
        <v>277</v>
      </c>
      <c r="D36">
        <f t="shared" si="3"/>
        <v>10003</v>
      </c>
      <c r="E36" t="str">
        <f t="shared" si="4"/>
        <v>8,13</v>
      </c>
      <c r="F36" s="3">
        <f t="shared" si="5"/>
        <v>30012</v>
      </c>
      <c r="G36" s="3">
        <f t="shared" si="6"/>
        <v>30012</v>
      </c>
      <c r="H36" s="3">
        <f t="shared" si="7"/>
        <v>30012</v>
      </c>
    </row>
    <row r="37" spans="1:8">
      <c r="A37">
        <f>A33+5</f>
        <v>36</v>
      </c>
      <c r="B37">
        <f t="shared" si="8"/>
        <v>40</v>
      </c>
      <c r="C37" s="1" t="s">
        <v>278</v>
      </c>
      <c r="D37">
        <f t="shared" si="3"/>
        <v>10004</v>
      </c>
      <c r="E37" t="str">
        <f t="shared" si="4"/>
        <v>6,13</v>
      </c>
      <c r="F37" s="3">
        <f t="shared" si="5"/>
        <v>30012</v>
      </c>
      <c r="G37" s="3">
        <f t="shared" si="6"/>
        <v>30012</v>
      </c>
      <c r="H37" s="3">
        <f t="shared" si="7"/>
        <v>30012</v>
      </c>
    </row>
    <row r="38" spans="1:8">
      <c r="A38">
        <f t="shared" si="2"/>
        <v>41</v>
      </c>
      <c r="B38">
        <f t="shared" si="8"/>
        <v>45</v>
      </c>
      <c r="C38" s="1" t="s">
        <v>34</v>
      </c>
      <c r="D38">
        <f t="shared" si="3"/>
        <v>10001</v>
      </c>
      <c r="E38" t="str">
        <f t="shared" si="4"/>
        <v>12,13</v>
      </c>
      <c r="F38" s="3">
        <f>F34+1</f>
        <v>10013</v>
      </c>
      <c r="G38" s="3">
        <f>G34+1</f>
        <v>10013</v>
      </c>
      <c r="H38" s="3">
        <f>H34+1</f>
        <v>10013</v>
      </c>
    </row>
    <row r="39" spans="1:8">
      <c r="A39">
        <f t="shared" si="2"/>
        <v>41</v>
      </c>
      <c r="B39">
        <f t="shared" si="8"/>
        <v>45</v>
      </c>
      <c r="C39" s="1" t="s">
        <v>276</v>
      </c>
      <c r="D39">
        <f t="shared" si="3"/>
        <v>10002</v>
      </c>
      <c r="E39" t="str">
        <f t="shared" si="4"/>
        <v>10,13</v>
      </c>
      <c r="F39" s="3">
        <f t="shared" si="5"/>
        <v>20013</v>
      </c>
      <c r="G39" s="3">
        <f t="shared" si="6"/>
        <v>20013</v>
      </c>
      <c r="H39" s="3">
        <f t="shared" si="7"/>
        <v>20013</v>
      </c>
    </row>
    <row r="40" spans="1:8">
      <c r="A40">
        <f t="shared" si="2"/>
        <v>41</v>
      </c>
      <c r="B40">
        <f t="shared" si="8"/>
        <v>45</v>
      </c>
      <c r="C40" s="1" t="s">
        <v>277</v>
      </c>
      <c r="D40">
        <f t="shared" si="3"/>
        <v>10003</v>
      </c>
      <c r="E40" t="str">
        <f t="shared" si="4"/>
        <v>8,13</v>
      </c>
      <c r="F40" s="3">
        <f t="shared" si="5"/>
        <v>30013</v>
      </c>
      <c r="G40" s="3">
        <f t="shared" si="6"/>
        <v>30013</v>
      </c>
      <c r="H40" s="3">
        <f t="shared" si="7"/>
        <v>30013</v>
      </c>
    </row>
    <row r="41" spans="1:8">
      <c r="A41">
        <f t="shared" si="2"/>
        <v>41</v>
      </c>
      <c r="B41">
        <f t="shared" si="8"/>
        <v>45</v>
      </c>
      <c r="C41" s="1" t="s">
        <v>278</v>
      </c>
      <c r="D41">
        <f t="shared" si="3"/>
        <v>10004</v>
      </c>
      <c r="E41" t="str">
        <f t="shared" si="4"/>
        <v>6,13</v>
      </c>
      <c r="F41" s="3">
        <f t="shared" si="5"/>
        <v>30013</v>
      </c>
      <c r="G41" s="3">
        <f t="shared" si="6"/>
        <v>30013</v>
      </c>
      <c r="H41" s="3">
        <f t="shared" si="7"/>
        <v>30013</v>
      </c>
    </row>
    <row r="42" spans="1:8">
      <c r="A42">
        <f>A38+5</f>
        <v>46</v>
      </c>
      <c r="B42">
        <f t="shared" si="8"/>
        <v>50</v>
      </c>
      <c r="C42" s="1" t="s">
        <v>34</v>
      </c>
      <c r="D42">
        <f t="shared" si="3"/>
        <v>10001</v>
      </c>
      <c r="E42" t="str">
        <f t="shared" si="4"/>
        <v>12,13</v>
      </c>
      <c r="F42" s="3">
        <f>F38+1</f>
        <v>10014</v>
      </c>
      <c r="G42" s="3">
        <f>G38+1</f>
        <v>10014</v>
      </c>
      <c r="H42" s="3">
        <f>H38+1</f>
        <v>10014</v>
      </c>
    </row>
    <row r="43" spans="1:8">
      <c r="A43">
        <f t="shared" si="2"/>
        <v>46</v>
      </c>
      <c r="B43">
        <f t="shared" si="8"/>
        <v>50</v>
      </c>
      <c r="C43" s="1" t="s">
        <v>276</v>
      </c>
      <c r="D43">
        <f t="shared" si="3"/>
        <v>10002</v>
      </c>
      <c r="E43" t="str">
        <f t="shared" si="4"/>
        <v>10,13</v>
      </c>
      <c r="F43" s="3">
        <f t="shared" si="5"/>
        <v>20014</v>
      </c>
      <c r="G43" s="3">
        <f t="shared" si="6"/>
        <v>20014</v>
      </c>
      <c r="H43" s="3">
        <f t="shared" si="7"/>
        <v>20014</v>
      </c>
    </row>
    <row r="44" spans="1:8">
      <c r="A44">
        <f t="shared" si="2"/>
        <v>46</v>
      </c>
      <c r="B44">
        <f t="shared" si="8"/>
        <v>50</v>
      </c>
      <c r="C44" s="1" t="s">
        <v>277</v>
      </c>
      <c r="D44">
        <f t="shared" si="3"/>
        <v>10003</v>
      </c>
      <c r="E44" t="str">
        <f t="shared" si="4"/>
        <v>8,13</v>
      </c>
      <c r="F44" s="3">
        <f t="shared" si="5"/>
        <v>30014</v>
      </c>
      <c r="G44" s="3">
        <f t="shared" si="6"/>
        <v>30014</v>
      </c>
      <c r="H44" s="3">
        <f t="shared" si="7"/>
        <v>30014</v>
      </c>
    </row>
    <row r="45" spans="1:8">
      <c r="A45">
        <f t="shared" si="2"/>
        <v>46</v>
      </c>
      <c r="B45">
        <f t="shared" si="8"/>
        <v>50</v>
      </c>
      <c r="C45" s="1" t="s">
        <v>278</v>
      </c>
      <c r="D45">
        <f t="shared" si="3"/>
        <v>10004</v>
      </c>
      <c r="E45" t="str">
        <f t="shared" si="4"/>
        <v>6,13</v>
      </c>
      <c r="F45" s="3">
        <f t="shared" si="5"/>
        <v>30014</v>
      </c>
      <c r="G45" s="3">
        <f t="shared" si="6"/>
        <v>30014</v>
      </c>
      <c r="H45" s="3">
        <f t="shared" si="7"/>
        <v>30014</v>
      </c>
    </row>
    <row r="46" spans="1:8">
      <c r="A46">
        <f t="shared" si="2"/>
        <v>51</v>
      </c>
      <c r="B46">
        <f t="shared" si="8"/>
        <v>55</v>
      </c>
      <c r="C46" s="1" t="s">
        <v>34</v>
      </c>
      <c r="D46">
        <f t="shared" si="3"/>
        <v>10001</v>
      </c>
      <c r="E46" t="str">
        <f t="shared" si="4"/>
        <v>12,13</v>
      </c>
      <c r="F46" s="3">
        <f>F42+1</f>
        <v>10015</v>
      </c>
      <c r="G46" s="3">
        <f>G42+1</f>
        <v>10015</v>
      </c>
      <c r="H46" s="3">
        <f>H42+1</f>
        <v>10015</v>
      </c>
    </row>
    <row r="47" spans="1:8">
      <c r="A47">
        <f t="shared" si="2"/>
        <v>51</v>
      </c>
      <c r="B47">
        <f t="shared" si="8"/>
        <v>55</v>
      </c>
      <c r="C47" s="1" t="s">
        <v>276</v>
      </c>
      <c r="D47">
        <f t="shared" si="3"/>
        <v>10002</v>
      </c>
      <c r="E47" t="str">
        <f t="shared" si="4"/>
        <v>10,13</v>
      </c>
      <c r="F47" s="3">
        <f t="shared" si="5"/>
        <v>20015</v>
      </c>
      <c r="G47" s="3">
        <f t="shared" si="6"/>
        <v>20015</v>
      </c>
      <c r="H47" s="3">
        <f t="shared" si="7"/>
        <v>20015</v>
      </c>
    </row>
    <row r="48" spans="1:8">
      <c r="A48">
        <f t="shared" si="2"/>
        <v>51</v>
      </c>
      <c r="B48">
        <f t="shared" si="8"/>
        <v>55</v>
      </c>
      <c r="C48" s="1" t="s">
        <v>277</v>
      </c>
      <c r="D48">
        <f t="shared" si="3"/>
        <v>10003</v>
      </c>
      <c r="E48" t="str">
        <f t="shared" si="4"/>
        <v>8,13</v>
      </c>
      <c r="F48" s="3">
        <f t="shared" si="5"/>
        <v>30015</v>
      </c>
      <c r="G48" s="3">
        <f t="shared" si="6"/>
        <v>30015</v>
      </c>
      <c r="H48" s="3">
        <f t="shared" si="7"/>
        <v>30015</v>
      </c>
    </row>
    <row r="49" spans="1:8">
      <c r="A49">
        <f t="shared" si="2"/>
        <v>51</v>
      </c>
      <c r="B49">
        <f t="shared" si="8"/>
        <v>55</v>
      </c>
      <c r="C49" s="1" t="s">
        <v>278</v>
      </c>
      <c r="D49">
        <f t="shared" si="3"/>
        <v>10004</v>
      </c>
      <c r="E49" t="str">
        <f t="shared" si="4"/>
        <v>6,13</v>
      </c>
      <c r="F49" s="3">
        <f t="shared" si="5"/>
        <v>30015</v>
      </c>
      <c r="G49" s="3">
        <f t="shared" si="6"/>
        <v>30015</v>
      </c>
      <c r="H49" s="3">
        <f t="shared" si="7"/>
        <v>30015</v>
      </c>
    </row>
    <row r="50" spans="1:8">
      <c r="A50">
        <f t="shared" si="2"/>
        <v>56</v>
      </c>
      <c r="B50">
        <f t="shared" si="8"/>
        <v>60</v>
      </c>
      <c r="C50" s="1" t="s">
        <v>34</v>
      </c>
      <c r="D50">
        <f t="shared" si="3"/>
        <v>10001</v>
      </c>
      <c r="E50" t="str">
        <f t="shared" si="4"/>
        <v>12,13</v>
      </c>
      <c r="F50" s="3">
        <f>F46+1</f>
        <v>10016</v>
      </c>
      <c r="G50" s="3">
        <f>G46+1</f>
        <v>10016</v>
      </c>
      <c r="H50" s="3">
        <f>H46+1</f>
        <v>10016</v>
      </c>
    </row>
    <row r="51" spans="1:8">
      <c r="A51">
        <f t="shared" si="2"/>
        <v>56</v>
      </c>
      <c r="B51">
        <f t="shared" si="8"/>
        <v>60</v>
      </c>
      <c r="C51" s="1" t="s">
        <v>276</v>
      </c>
      <c r="D51">
        <f t="shared" si="3"/>
        <v>10002</v>
      </c>
      <c r="E51" t="str">
        <f t="shared" si="4"/>
        <v>10,13</v>
      </c>
      <c r="F51" s="3">
        <f t="shared" si="5"/>
        <v>20016</v>
      </c>
      <c r="G51" s="3">
        <f t="shared" si="6"/>
        <v>20016</v>
      </c>
      <c r="H51" s="3">
        <f t="shared" si="7"/>
        <v>20016</v>
      </c>
    </row>
    <row r="52" spans="1:8">
      <c r="A52">
        <f>A48+5</f>
        <v>56</v>
      </c>
      <c r="B52">
        <f t="shared" si="8"/>
        <v>60</v>
      </c>
      <c r="C52" s="1" t="s">
        <v>277</v>
      </c>
      <c r="D52">
        <f t="shared" si="3"/>
        <v>10003</v>
      </c>
      <c r="E52" t="str">
        <f t="shared" si="4"/>
        <v>8,13</v>
      </c>
      <c r="F52" s="3">
        <f t="shared" si="5"/>
        <v>30016</v>
      </c>
      <c r="G52" s="3">
        <f t="shared" si="6"/>
        <v>30016</v>
      </c>
      <c r="H52" s="3">
        <f t="shared" si="7"/>
        <v>30016</v>
      </c>
    </row>
    <row r="53" spans="1:8">
      <c r="A53">
        <f t="shared" si="2"/>
        <v>56</v>
      </c>
      <c r="B53">
        <f t="shared" si="8"/>
        <v>60</v>
      </c>
      <c r="C53" s="1" t="s">
        <v>278</v>
      </c>
      <c r="D53">
        <f t="shared" si="3"/>
        <v>10004</v>
      </c>
      <c r="E53" t="str">
        <f t="shared" si="4"/>
        <v>6,13</v>
      </c>
      <c r="F53" s="3">
        <f t="shared" si="5"/>
        <v>30016</v>
      </c>
      <c r="G53" s="3">
        <f t="shared" si="6"/>
        <v>30016</v>
      </c>
      <c r="H53" s="3">
        <f t="shared" si="7"/>
        <v>30016</v>
      </c>
    </row>
    <row r="54" spans="1:8">
      <c r="A54">
        <f t="shared" si="2"/>
        <v>61</v>
      </c>
      <c r="B54">
        <f t="shared" si="8"/>
        <v>65</v>
      </c>
      <c r="C54" s="1" t="s">
        <v>34</v>
      </c>
      <c r="D54">
        <f t="shared" si="3"/>
        <v>10001</v>
      </c>
      <c r="E54" t="str">
        <f t="shared" si="4"/>
        <v>12,13</v>
      </c>
      <c r="F54" s="3">
        <f t="shared" si="5"/>
        <v>10017</v>
      </c>
      <c r="G54" s="3">
        <f t="shared" si="6"/>
        <v>10017</v>
      </c>
      <c r="H54" s="3">
        <f t="shared" si="7"/>
        <v>10017</v>
      </c>
    </row>
    <row r="55" spans="1:8">
      <c r="A55">
        <f>A51+5</f>
        <v>61</v>
      </c>
      <c r="B55">
        <f t="shared" si="8"/>
        <v>65</v>
      </c>
      <c r="C55" s="1" t="s">
        <v>276</v>
      </c>
      <c r="D55">
        <f t="shared" si="3"/>
        <v>10002</v>
      </c>
      <c r="E55" t="str">
        <f t="shared" si="4"/>
        <v>10,13</v>
      </c>
      <c r="F55" s="3">
        <f t="shared" si="5"/>
        <v>20017</v>
      </c>
      <c r="G55" s="3">
        <f t="shared" si="6"/>
        <v>20017</v>
      </c>
      <c r="H55" s="3">
        <f t="shared" si="7"/>
        <v>20017</v>
      </c>
    </row>
    <row r="56" spans="1:8">
      <c r="A56">
        <f t="shared" si="2"/>
        <v>61</v>
      </c>
      <c r="B56">
        <f t="shared" si="8"/>
        <v>65</v>
      </c>
      <c r="C56" s="1" t="s">
        <v>277</v>
      </c>
      <c r="D56">
        <f t="shared" si="3"/>
        <v>10003</v>
      </c>
      <c r="E56" t="str">
        <f t="shared" si="4"/>
        <v>8,13</v>
      </c>
      <c r="F56" s="3">
        <f t="shared" si="5"/>
        <v>30017</v>
      </c>
      <c r="G56" s="3">
        <f t="shared" si="6"/>
        <v>30017</v>
      </c>
      <c r="H56" s="3">
        <f t="shared" si="7"/>
        <v>30017</v>
      </c>
    </row>
    <row r="57" spans="1:8">
      <c r="A57">
        <f t="shared" si="2"/>
        <v>61</v>
      </c>
      <c r="B57">
        <f t="shared" si="8"/>
        <v>65</v>
      </c>
      <c r="C57" s="1" t="s">
        <v>278</v>
      </c>
      <c r="D57">
        <f t="shared" si="3"/>
        <v>10004</v>
      </c>
      <c r="E57" t="str">
        <f t="shared" si="4"/>
        <v>6,13</v>
      </c>
      <c r="F57" s="3">
        <f t="shared" si="5"/>
        <v>30017</v>
      </c>
      <c r="G57" s="3">
        <f t="shared" si="6"/>
        <v>30017</v>
      </c>
      <c r="H57" s="3">
        <f t="shared" si="7"/>
        <v>30017</v>
      </c>
    </row>
    <row r="58" spans="1:8">
      <c r="A58">
        <f t="shared" si="2"/>
        <v>66</v>
      </c>
      <c r="B58">
        <f t="shared" si="8"/>
        <v>70</v>
      </c>
      <c r="C58" s="1" t="s">
        <v>34</v>
      </c>
      <c r="D58">
        <f t="shared" si="3"/>
        <v>10001</v>
      </c>
      <c r="E58" t="str">
        <f t="shared" si="4"/>
        <v>12,13</v>
      </c>
      <c r="F58" s="3">
        <f t="shared" si="5"/>
        <v>10018</v>
      </c>
      <c r="G58" s="3">
        <f t="shared" si="6"/>
        <v>10018</v>
      </c>
      <c r="H58" s="3">
        <f t="shared" si="7"/>
        <v>10018</v>
      </c>
    </row>
    <row r="59" spans="1:8">
      <c r="A59">
        <f t="shared" si="2"/>
        <v>66</v>
      </c>
      <c r="B59">
        <f t="shared" si="8"/>
        <v>70</v>
      </c>
      <c r="C59" s="1" t="s">
        <v>276</v>
      </c>
      <c r="D59">
        <f t="shared" si="3"/>
        <v>10002</v>
      </c>
      <c r="E59" t="str">
        <f t="shared" si="4"/>
        <v>10,13</v>
      </c>
      <c r="F59" s="3">
        <f t="shared" si="5"/>
        <v>20018</v>
      </c>
      <c r="G59" s="3">
        <f t="shared" si="6"/>
        <v>20018</v>
      </c>
      <c r="H59" s="3">
        <f t="shared" si="7"/>
        <v>20018</v>
      </c>
    </row>
    <row r="60" spans="1:8">
      <c r="A60">
        <f t="shared" si="2"/>
        <v>66</v>
      </c>
      <c r="B60">
        <f t="shared" si="8"/>
        <v>70</v>
      </c>
      <c r="C60" s="1" t="s">
        <v>277</v>
      </c>
      <c r="D60">
        <f t="shared" si="3"/>
        <v>10003</v>
      </c>
      <c r="E60" t="str">
        <f t="shared" si="4"/>
        <v>8,13</v>
      </c>
      <c r="F60" s="3">
        <f t="shared" si="5"/>
        <v>30018</v>
      </c>
      <c r="G60" s="3">
        <f t="shared" si="6"/>
        <v>30018</v>
      </c>
      <c r="H60" s="3">
        <f t="shared" si="7"/>
        <v>30018</v>
      </c>
    </row>
    <row r="61" spans="1:8">
      <c r="A61">
        <f t="shared" si="2"/>
        <v>66</v>
      </c>
      <c r="B61">
        <f t="shared" si="8"/>
        <v>70</v>
      </c>
      <c r="C61" s="1" t="s">
        <v>278</v>
      </c>
      <c r="D61">
        <f t="shared" si="3"/>
        <v>10004</v>
      </c>
      <c r="E61" t="str">
        <f t="shared" si="4"/>
        <v>6,13</v>
      </c>
      <c r="F61" s="3">
        <f t="shared" si="5"/>
        <v>30018</v>
      </c>
      <c r="G61" s="3">
        <f t="shared" si="6"/>
        <v>30018</v>
      </c>
      <c r="H61" s="3">
        <f t="shared" si="7"/>
        <v>30018</v>
      </c>
    </row>
    <row r="62" spans="1:8">
      <c r="A62">
        <f t="shared" ref="A62" si="9">A58+5</f>
        <v>71</v>
      </c>
      <c r="B62">
        <f t="shared" si="8"/>
        <v>75</v>
      </c>
      <c r="C62" s="1" t="s">
        <v>34</v>
      </c>
      <c r="D62">
        <f t="shared" si="3"/>
        <v>10001</v>
      </c>
      <c r="E62" t="str">
        <f t="shared" si="4"/>
        <v>12,13</v>
      </c>
      <c r="F62" s="3">
        <f t="shared" si="5"/>
        <v>10019</v>
      </c>
      <c r="G62" s="3">
        <f t="shared" si="6"/>
        <v>10019</v>
      </c>
      <c r="H62" s="3">
        <f t="shared" si="7"/>
        <v>10019</v>
      </c>
    </row>
    <row r="63" spans="1:8">
      <c r="A63">
        <f t="shared" ref="A63" si="10">A59+5</f>
        <v>71</v>
      </c>
      <c r="B63">
        <f t="shared" si="8"/>
        <v>75</v>
      </c>
      <c r="C63" s="1" t="s">
        <v>276</v>
      </c>
      <c r="D63">
        <f t="shared" si="3"/>
        <v>10002</v>
      </c>
      <c r="E63" t="str">
        <f t="shared" si="4"/>
        <v>10,13</v>
      </c>
      <c r="F63" s="3">
        <f t="shared" si="5"/>
        <v>20019</v>
      </c>
      <c r="G63" s="3">
        <f t="shared" si="6"/>
        <v>20019</v>
      </c>
      <c r="H63" s="3">
        <f t="shared" si="7"/>
        <v>20019</v>
      </c>
    </row>
    <row r="64" spans="1:8">
      <c r="A64">
        <f t="shared" ref="A64" si="11">A60+5</f>
        <v>71</v>
      </c>
      <c r="B64">
        <f t="shared" si="8"/>
        <v>75</v>
      </c>
      <c r="C64" s="1" t="s">
        <v>277</v>
      </c>
      <c r="D64">
        <f t="shared" si="3"/>
        <v>10003</v>
      </c>
      <c r="E64" t="str">
        <f t="shared" si="4"/>
        <v>8,13</v>
      </c>
      <c r="F64" s="3">
        <f t="shared" si="5"/>
        <v>30019</v>
      </c>
      <c r="G64" s="3">
        <f t="shared" si="6"/>
        <v>30019</v>
      </c>
      <c r="H64" s="3">
        <f t="shared" si="7"/>
        <v>30019</v>
      </c>
    </row>
    <row r="65" spans="1:8">
      <c r="A65">
        <f t="shared" ref="A65" si="12">A61+5</f>
        <v>71</v>
      </c>
      <c r="B65">
        <f t="shared" si="8"/>
        <v>75</v>
      </c>
      <c r="C65" s="1" t="s">
        <v>278</v>
      </c>
      <c r="D65">
        <f t="shared" si="3"/>
        <v>10004</v>
      </c>
      <c r="E65" t="str">
        <f t="shared" si="4"/>
        <v>6,13</v>
      </c>
      <c r="F65" s="3">
        <f t="shared" si="5"/>
        <v>30019</v>
      </c>
      <c r="G65" s="3">
        <f t="shared" si="6"/>
        <v>30019</v>
      </c>
      <c r="H65" s="3">
        <f t="shared" si="7"/>
        <v>30019</v>
      </c>
    </row>
    <row r="66" spans="1:8">
      <c r="A66">
        <f t="shared" ref="A66" si="13">A62+5</f>
        <v>76</v>
      </c>
      <c r="B66">
        <f t="shared" si="8"/>
        <v>80</v>
      </c>
      <c r="C66" s="1" t="s">
        <v>34</v>
      </c>
      <c r="D66">
        <f t="shared" si="3"/>
        <v>10001</v>
      </c>
      <c r="E66" t="str">
        <f t="shared" si="4"/>
        <v>12,13</v>
      </c>
      <c r="F66" s="3">
        <f t="shared" si="5"/>
        <v>10020</v>
      </c>
      <c r="G66" s="3">
        <f t="shared" si="6"/>
        <v>10020</v>
      </c>
      <c r="H66" s="3">
        <f t="shared" si="7"/>
        <v>10020</v>
      </c>
    </row>
    <row r="67" spans="1:8">
      <c r="A67">
        <f t="shared" ref="A67" si="14">A63+5</f>
        <v>76</v>
      </c>
      <c r="B67">
        <f t="shared" si="8"/>
        <v>80</v>
      </c>
      <c r="C67" s="1" t="s">
        <v>276</v>
      </c>
      <c r="D67">
        <f t="shared" si="3"/>
        <v>10002</v>
      </c>
      <c r="E67" t="str">
        <f t="shared" si="4"/>
        <v>10,13</v>
      </c>
      <c r="F67" s="3">
        <f t="shared" si="5"/>
        <v>20020</v>
      </c>
      <c r="G67" s="3">
        <f t="shared" si="6"/>
        <v>20020</v>
      </c>
      <c r="H67" s="3">
        <f t="shared" si="7"/>
        <v>20020</v>
      </c>
    </row>
    <row r="68" spans="1:8">
      <c r="A68">
        <f t="shared" ref="A68" si="15">A64+5</f>
        <v>76</v>
      </c>
      <c r="B68">
        <f t="shared" si="8"/>
        <v>80</v>
      </c>
      <c r="C68" s="1" t="s">
        <v>277</v>
      </c>
      <c r="D68">
        <f t="shared" si="3"/>
        <v>10003</v>
      </c>
      <c r="E68" t="str">
        <f t="shared" si="4"/>
        <v>8,13</v>
      </c>
      <c r="F68" s="3">
        <f t="shared" si="5"/>
        <v>30020</v>
      </c>
      <c r="G68" s="3">
        <f t="shared" si="6"/>
        <v>30020</v>
      </c>
      <c r="H68" s="3">
        <f t="shared" si="7"/>
        <v>30020</v>
      </c>
    </row>
    <row r="69" spans="1:8">
      <c r="A69">
        <f t="shared" ref="A69" si="16">A65+5</f>
        <v>76</v>
      </c>
      <c r="B69">
        <f t="shared" si="8"/>
        <v>80</v>
      </c>
      <c r="C69" s="1" t="s">
        <v>278</v>
      </c>
      <c r="D69">
        <f t="shared" si="3"/>
        <v>10004</v>
      </c>
      <c r="E69" t="str">
        <f t="shared" si="4"/>
        <v>6,13</v>
      </c>
      <c r="F69" s="3">
        <f t="shared" si="5"/>
        <v>30020</v>
      </c>
      <c r="G69" s="3">
        <f t="shared" si="6"/>
        <v>30020</v>
      </c>
      <c r="H69" s="3">
        <f t="shared" si="7"/>
        <v>30020</v>
      </c>
    </row>
    <row r="70" spans="1:8">
      <c r="A70">
        <f t="shared" ref="A70" si="17">A66+5</f>
        <v>81</v>
      </c>
      <c r="B70">
        <f t="shared" si="8"/>
        <v>85</v>
      </c>
      <c r="C70" s="1" t="s">
        <v>34</v>
      </c>
      <c r="D70">
        <f t="shared" si="3"/>
        <v>10001</v>
      </c>
      <c r="E70" t="str">
        <f t="shared" si="4"/>
        <v>12,13</v>
      </c>
      <c r="F70" s="3">
        <f t="shared" si="5"/>
        <v>10021</v>
      </c>
      <c r="G70" s="3">
        <f t="shared" si="6"/>
        <v>10021</v>
      </c>
      <c r="H70" s="3">
        <f t="shared" si="7"/>
        <v>10021</v>
      </c>
    </row>
    <row r="71" spans="1:8">
      <c r="A71">
        <f t="shared" ref="A71" si="18">A67+5</f>
        <v>81</v>
      </c>
      <c r="B71">
        <f t="shared" si="8"/>
        <v>85</v>
      </c>
      <c r="C71" s="1" t="s">
        <v>276</v>
      </c>
      <c r="D71">
        <f t="shared" si="3"/>
        <v>10002</v>
      </c>
      <c r="E71" t="str">
        <f t="shared" si="4"/>
        <v>10,13</v>
      </c>
      <c r="F71" s="3">
        <f t="shared" si="5"/>
        <v>20021</v>
      </c>
      <c r="G71" s="3">
        <f t="shared" si="6"/>
        <v>20021</v>
      </c>
      <c r="H71" s="3">
        <f t="shared" si="7"/>
        <v>20021</v>
      </c>
    </row>
    <row r="72" spans="1:8">
      <c r="A72">
        <f t="shared" ref="A72" si="19">A68+5</f>
        <v>81</v>
      </c>
      <c r="B72">
        <f t="shared" si="8"/>
        <v>85</v>
      </c>
      <c r="C72" s="1" t="s">
        <v>277</v>
      </c>
      <c r="D72">
        <f t="shared" si="3"/>
        <v>10003</v>
      </c>
      <c r="E72" t="str">
        <f t="shared" si="4"/>
        <v>8,13</v>
      </c>
      <c r="F72" s="3">
        <f t="shared" si="5"/>
        <v>30021</v>
      </c>
      <c r="G72" s="3">
        <f t="shared" si="6"/>
        <v>30021</v>
      </c>
      <c r="H72" s="3">
        <f t="shared" si="7"/>
        <v>30021</v>
      </c>
    </row>
    <row r="73" spans="1:8">
      <c r="A73">
        <f t="shared" ref="A73" si="20">A69+5</f>
        <v>81</v>
      </c>
      <c r="B73">
        <f t="shared" si="8"/>
        <v>85</v>
      </c>
      <c r="C73" s="1" t="s">
        <v>278</v>
      </c>
      <c r="D73">
        <f t="shared" si="3"/>
        <v>10004</v>
      </c>
      <c r="E73" t="str">
        <f t="shared" si="4"/>
        <v>6,13</v>
      </c>
      <c r="F73" s="3">
        <f t="shared" si="5"/>
        <v>30021</v>
      </c>
      <c r="G73" s="3">
        <f t="shared" si="6"/>
        <v>30021</v>
      </c>
      <c r="H73" s="3">
        <f t="shared" si="7"/>
        <v>30021</v>
      </c>
    </row>
    <row r="74" spans="1:8">
      <c r="A74">
        <f t="shared" ref="A74" si="21">A70+5</f>
        <v>86</v>
      </c>
      <c r="B74">
        <f t="shared" si="8"/>
        <v>90</v>
      </c>
      <c r="C74" s="1" t="s">
        <v>34</v>
      </c>
      <c r="D74">
        <f t="shared" si="3"/>
        <v>10001</v>
      </c>
      <c r="E74" t="str">
        <f t="shared" si="4"/>
        <v>12,13</v>
      </c>
      <c r="F74" s="3">
        <f t="shared" si="5"/>
        <v>10022</v>
      </c>
      <c r="G74" s="3">
        <f t="shared" si="6"/>
        <v>10022</v>
      </c>
      <c r="H74" s="3">
        <f t="shared" si="7"/>
        <v>10022</v>
      </c>
    </row>
    <row r="75" spans="1:8">
      <c r="A75">
        <f t="shared" ref="A75" si="22">A71+5</f>
        <v>86</v>
      </c>
      <c r="B75">
        <f t="shared" si="8"/>
        <v>90</v>
      </c>
      <c r="C75" s="1" t="s">
        <v>276</v>
      </c>
      <c r="D75">
        <f t="shared" ref="D75:E85" si="23">D71</f>
        <v>10002</v>
      </c>
      <c r="E75" t="str">
        <f t="shared" si="23"/>
        <v>10,13</v>
      </c>
      <c r="F75" s="3">
        <f t="shared" ref="F75:H85" si="24">F71+1</f>
        <v>20022</v>
      </c>
      <c r="G75" s="3">
        <f t="shared" si="24"/>
        <v>20022</v>
      </c>
      <c r="H75" s="3">
        <f t="shared" si="24"/>
        <v>20022</v>
      </c>
    </row>
    <row r="76" spans="1:8">
      <c r="A76">
        <f t="shared" ref="A76" si="25">A72+5</f>
        <v>86</v>
      </c>
      <c r="B76">
        <f t="shared" si="8"/>
        <v>90</v>
      </c>
      <c r="C76" s="1" t="s">
        <v>277</v>
      </c>
      <c r="D76">
        <f t="shared" si="23"/>
        <v>10003</v>
      </c>
      <c r="E76" t="str">
        <f t="shared" si="23"/>
        <v>8,13</v>
      </c>
      <c r="F76" s="3">
        <f t="shared" si="24"/>
        <v>30022</v>
      </c>
      <c r="G76" s="3">
        <f t="shared" si="24"/>
        <v>30022</v>
      </c>
      <c r="H76" s="3">
        <f t="shared" si="24"/>
        <v>30022</v>
      </c>
    </row>
    <row r="77" spans="1:8">
      <c r="A77">
        <f t="shared" ref="A77" si="26">A73+5</f>
        <v>86</v>
      </c>
      <c r="B77">
        <f t="shared" si="8"/>
        <v>90</v>
      </c>
      <c r="C77" s="1" t="s">
        <v>278</v>
      </c>
      <c r="D77">
        <f t="shared" si="23"/>
        <v>10004</v>
      </c>
      <c r="E77" t="str">
        <f t="shared" si="23"/>
        <v>6,13</v>
      </c>
      <c r="F77" s="3">
        <f t="shared" si="24"/>
        <v>30022</v>
      </c>
      <c r="G77" s="3">
        <f t="shared" si="24"/>
        <v>30022</v>
      </c>
      <c r="H77" s="3">
        <f t="shared" si="24"/>
        <v>30022</v>
      </c>
    </row>
    <row r="78" spans="1:8">
      <c r="A78">
        <f t="shared" ref="A78" si="27">A74+5</f>
        <v>91</v>
      </c>
      <c r="B78">
        <f t="shared" si="8"/>
        <v>95</v>
      </c>
      <c r="C78" s="1" t="s">
        <v>34</v>
      </c>
      <c r="D78">
        <f t="shared" si="23"/>
        <v>10001</v>
      </c>
      <c r="E78" t="str">
        <f t="shared" si="23"/>
        <v>12,13</v>
      </c>
      <c r="F78" s="3">
        <f t="shared" si="24"/>
        <v>10023</v>
      </c>
      <c r="G78" s="3">
        <f t="shared" si="24"/>
        <v>10023</v>
      </c>
      <c r="H78" s="3">
        <f t="shared" si="24"/>
        <v>10023</v>
      </c>
    </row>
    <row r="79" spans="1:8">
      <c r="A79">
        <f t="shared" ref="A79" si="28">A75+5</f>
        <v>91</v>
      </c>
      <c r="B79">
        <f t="shared" si="8"/>
        <v>95</v>
      </c>
      <c r="C79" s="1" t="s">
        <v>276</v>
      </c>
      <c r="D79">
        <f t="shared" si="23"/>
        <v>10002</v>
      </c>
      <c r="E79" t="str">
        <f t="shared" si="23"/>
        <v>10,13</v>
      </c>
      <c r="F79" s="3">
        <f t="shared" si="24"/>
        <v>20023</v>
      </c>
      <c r="G79" s="3">
        <f t="shared" si="24"/>
        <v>20023</v>
      </c>
      <c r="H79" s="3">
        <f t="shared" si="24"/>
        <v>20023</v>
      </c>
    </row>
    <row r="80" spans="1:8">
      <c r="A80">
        <f t="shared" ref="A80" si="29">A76+5</f>
        <v>91</v>
      </c>
      <c r="B80">
        <f t="shared" si="8"/>
        <v>95</v>
      </c>
      <c r="C80" s="1" t="s">
        <v>277</v>
      </c>
      <c r="D80">
        <f t="shared" si="23"/>
        <v>10003</v>
      </c>
      <c r="E80" t="str">
        <f t="shared" si="23"/>
        <v>8,13</v>
      </c>
      <c r="F80" s="3">
        <f t="shared" si="24"/>
        <v>30023</v>
      </c>
      <c r="G80" s="3">
        <f t="shared" si="24"/>
        <v>30023</v>
      </c>
      <c r="H80" s="3">
        <f t="shared" si="24"/>
        <v>30023</v>
      </c>
    </row>
    <row r="81" spans="1:8">
      <c r="A81">
        <f t="shared" ref="A81" si="30">A77+5</f>
        <v>91</v>
      </c>
      <c r="B81">
        <f t="shared" si="8"/>
        <v>95</v>
      </c>
      <c r="C81" s="1" t="s">
        <v>278</v>
      </c>
      <c r="D81">
        <f t="shared" si="23"/>
        <v>10004</v>
      </c>
      <c r="E81" t="str">
        <f t="shared" si="23"/>
        <v>6,13</v>
      </c>
      <c r="F81" s="3">
        <f t="shared" si="24"/>
        <v>30023</v>
      </c>
      <c r="G81" s="3">
        <f t="shared" si="24"/>
        <v>30023</v>
      </c>
      <c r="H81" s="3">
        <f t="shared" si="24"/>
        <v>30023</v>
      </c>
    </row>
    <row r="82" spans="1:8">
      <c r="A82">
        <f t="shared" ref="A82" si="31">A78+5</f>
        <v>96</v>
      </c>
      <c r="B82">
        <f t="shared" si="8"/>
        <v>100</v>
      </c>
      <c r="C82" s="1" t="s">
        <v>34</v>
      </c>
      <c r="D82">
        <f t="shared" si="23"/>
        <v>10001</v>
      </c>
      <c r="E82" t="str">
        <f t="shared" si="23"/>
        <v>12,13</v>
      </c>
      <c r="F82" s="3">
        <f t="shared" si="24"/>
        <v>10024</v>
      </c>
      <c r="G82" s="3">
        <f t="shared" si="24"/>
        <v>10024</v>
      </c>
      <c r="H82" s="3">
        <f t="shared" si="24"/>
        <v>10024</v>
      </c>
    </row>
    <row r="83" spans="1:8">
      <c r="A83">
        <f t="shared" ref="A83" si="32">A79+5</f>
        <v>96</v>
      </c>
      <c r="B83">
        <f t="shared" si="8"/>
        <v>100</v>
      </c>
      <c r="C83" s="1" t="s">
        <v>276</v>
      </c>
      <c r="D83">
        <f t="shared" si="23"/>
        <v>10002</v>
      </c>
      <c r="E83" t="str">
        <f t="shared" si="23"/>
        <v>10,13</v>
      </c>
      <c r="F83" s="3">
        <f t="shared" si="24"/>
        <v>20024</v>
      </c>
      <c r="G83" s="3">
        <f t="shared" si="24"/>
        <v>20024</v>
      </c>
      <c r="H83" s="3">
        <f t="shared" si="24"/>
        <v>20024</v>
      </c>
    </row>
    <row r="84" spans="1:8">
      <c r="A84">
        <f t="shared" ref="A84:B85" si="33">A80+5</f>
        <v>96</v>
      </c>
      <c r="B84">
        <f t="shared" si="33"/>
        <v>100</v>
      </c>
      <c r="C84" s="1" t="s">
        <v>277</v>
      </c>
      <c r="D84">
        <f t="shared" si="23"/>
        <v>10003</v>
      </c>
      <c r="E84" t="str">
        <f t="shared" si="23"/>
        <v>8,13</v>
      </c>
      <c r="F84" s="3">
        <f t="shared" si="24"/>
        <v>30024</v>
      </c>
      <c r="G84" s="3">
        <f t="shared" si="24"/>
        <v>30024</v>
      </c>
      <c r="H84" s="3">
        <f t="shared" si="24"/>
        <v>30024</v>
      </c>
    </row>
    <row r="85" spans="1:8">
      <c r="A85">
        <f t="shared" si="33"/>
        <v>96</v>
      </c>
      <c r="B85">
        <f t="shared" si="8"/>
        <v>100</v>
      </c>
      <c r="C85" s="1" t="s">
        <v>278</v>
      </c>
      <c r="D85">
        <f t="shared" si="23"/>
        <v>10004</v>
      </c>
      <c r="E85" t="str">
        <f t="shared" si="23"/>
        <v>6,13</v>
      </c>
      <c r="F85" s="3">
        <f t="shared" si="24"/>
        <v>30024</v>
      </c>
      <c r="G85" s="3">
        <f t="shared" si="24"/>
        <v>30024</v>
      </c>
      <c r="H85" s="3">
        <f t="shared" si="24"/>
        <v>30024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5345"/>
  <sheetViews>
    <sheetView tabSelected="1" workbookViewId="0">
      <pane xSplit="5" topLeftCell="J1" activePane="topRight" state="frozen"/>
      <selection pane="topRight" activeCell="N3" sqref="N3"/>
    </sheetView>
  </sheetViews>
  <sheetFormatPr defaultColWidth="9" defaultRowHeight="13.5"/>
  <cols>
    <col min="1" max="1" width="9" style="3"/>
    <col min="4" max="4" width="10.5" style="6" bestFit="1" customWidth="1"/>
    <col min="5" max="5" width="22.5" bestFit="1" customWidth="1"/>
    <col min="6" max="6" width="10.5" bestFit="1" customWidth="1"/>
    <col min="8" max="8" width="19.375" bestFit="1" customWidth="1"/>
    <col min="9" max="9" width="17.25" bestFit="1" customWidth="1"/>
    <col min="10" max="10" width="6.25" customWidth="1"/>
    <col min="11" max="11" width="21.625" bestFit="1" customWidth="1"/>
    <col min="12" max="13" width="19" customWidth="1"/>
    <col min="14" max="14" width="15.125" bestFit="1" customWidth="1"/>
  </cols>
  <sheetData>
    <row r="1" spans="1:14">
      <c r="A1" s="3" t="s">
        <v>30</v>
      </c>
    </row>
    <row r="2" spans="1:14">
      <c r="C2" t="s">
        <v>43</v>
      </c>
      <c r="E2" t="s">
        <v>43</v>
      </c>
    </row>
    <row r="3" spans="1:14">
      <c r="A3" s="3" t="s">
        <v>10</v>
      </c>
      <c r="B3" t="s">
        <v>11</v>
      </c>
      <c r="D3" s="6" t="s">
        <v>12</v>
      </c>
      <c r="E3" t="s">
        <v>38</v>
      </c>
      <c r="F3" t="s">
        <v>35</v>
      </c>
      <c r="G3" t="s">
        <v>13</v>
      </c>
      <c r="H3" t="s">
        <v>20</v>
      </c>
      <c r="I3" t="s">
        <v>15</v>
      </c>
      <c r="J3" t="s">
        <v>14</v>
      </c>
      <c r="K3" t="s">
        <v>21</v>
      </c>
      <c r="L3" t="s">
        <v>16</v>
      </c>
      <c r="M3" t="s">
        <v>17</v>
      </c>
    </row>
    <row r="4" spans="1:14">
      <c r="A4" s="3" t="s">
        <v>22</v>
      </c>
      <c r="B4" t="s">
        <v>23</v>
      </c>
      <c r="D4" s="6" t="s">
        <v>24</v>
      </c>
      <c r="F4" t="s">
        <v>36</v>
      </c>
      <c r="G4" t="s">
        <v>244</v>
      </c>
      <c r="H4" t="s">
        <v>245</v>
      </c>
      <c r="I4" t="s">
        <v>246</v>
      </c>
      <c r="J4" t="s">
        <v>25</v>
      </c>
      <c r="K4" t="s">
        <v>26</v>
      </c>
      <c r="L4" t="s">
        <v>27</v>
      </c>
      <c r="M4" s="2" t="s">
        <v>28</v>
      </c>
    </row>
    <row r="6" spans="1:14">
      <c r="A6" s="7">
        <v>10001</v>
      </c>
      <c r="B6" s="7">
        <v>30000</v>
      </c>
      <c r="C6" s="7" t="s">
        <v>37</v>
      </c>
      <c r="D6" s="7">
        <v>10001</v>
      </c>
      <c r="E6" s="7" t="s">
        <v>39</v>
      </c>
      <c r="F6" s="7">
        <v>1</v>
      </c>
      <c r="G6" s="7">
        <v>10000</v>
      </c>
      <c r="H6" s="7" t="s">
        <v>318</v>
      </c>
      <c r="I6" s="7">
        <v>0</v>
      </c>
      <c r="J6" s="7">
        <v>240</v>
      </c>
      <c r="K6" s="7" t="s">
        <v>307</v>
      </c>
      <c r="L6" s="7">
        <v>20</v>
      </c>
      <c r="M6" s="7">
        <v>10</v>
      </c>
      <c r="N6" s="7">
        <v>10</v>
      </c>
    </row>
    <row r="7" spans="1:14">
      <c r="A7" s="7">
        <v>10001</v>
      </c>
      <c r="B7" s="7">
        <v>30000</v>
      </c>
      <c r="C7" s="7" t="s">
        <v>37</v>
      </c>
      <c r="D7" s="7">
        <v>50003</v>
      </c>
      <c r="E7" s="7" t="s">
        <v>40</v>
      </c>
      <c r="F7" s="7">
        <v>10</v>
      </c>
      <c r="G7" s="7">
        <v>10000</v>
      </c>
      <c r="H7" s="7" t="s">
        <v>31</v>
      </c>
      <c r="I7" s="7">
        <v>0</v>
      </c>
      <c r="J7" s="7">
        <v>2200</v>
      </c>
      <c r="K7" s="7" t="s">
        <v>307</v>
      </c>
      <c r="L7" s="7">
        <v>20</v>
      </c>
      <c r="M7" s="7">
        <v>5</v>
      </c>
      <c r="N7" s="7">
        <v>1</v>
      </c>
    </row>
    <row r="8" spans="1:14">
      <c r="A8" s="7">
        <v>10001</v>
      </c>
      <c r="B8" s="7">
        <v>30000</v>
      </c>
      <c r="C8" s="7" t="s">
        <v>37</v>
      </c>
      <c r="D8" s="7">
        <v>50003</v>
      </c>
      <c r="E8" s="7" t="s">
        <v>40</v>
      </c>
      <c r="F8" s="7">
        <v>1</v>
      </c>
      <c r="G8" s="7">
        <v>10000</v>
      </c>
      <c r="H8" s="7" t="s">
        <v>31</v>
      </c>
      <c r="I8" s="7">
        <v>0</v>
      </c>
      <c r="J8" s="7">
        <v>240</v>
      </c>
      <c r="K8" s="7" t="s">
        <v>299</v>
      </c>
      <c r="L8" s="7">
        <v>20</v>
      </c>
      <c r="M8" s="7">
        <v>10</v>
      </c>
      <c r="N8" s="7">
        <v>10</v>
      </c>
    </row>
    <row r="9" spans="1:14">
      <c r="A9" s="7">
        <v>10001</v>
      </c>
      <c r="B9" s="7">
        <v>30000</v>
      </c>
      <c r="C9" s="7" t="s">
        <v>37</v>
      </c>
      <c r="D9" s="7">
        <v>50002</v>
      </c>
      <c r="E9" s="7" t="s">
        <v>41</v>
      </c>
      <c r="F9" s="7">
        <v>10</v>
      </c>
      <c r="G9" s="7">
        <v>10000</v>
      </c>
      <c r="H9" s="7" t="s">
        <v>31</v>
      </c>
      <c r="I9" s="7">
        <v>0</v>
      </c>
      <c r="J9" s="7">
        <v>650</v>
      </c>
      <c r="K9" s="7" t="s">
        <v>308</v>
      </c>
      <c r="L9" s="7">
        <v>20</v>
      </c>
      <c r="M9" s="7">
        <v>5</v>
      </c>
      <c r="N9" s="7">
        <v>1</v>
      </c>
    </row>
    <row r="10" spans="1:14">
      <c r="A10" s="7">
        <v>10001</v>
      </c>
      <c r="B10" s="7">
        <v>30000</v>
      </c>
      <c r="C10" s="7" t="s">
        <v>37</v>
      </c>
      <c r="D10" s="7">
        <v>50002</v>
      </c>
      <c r="E10" s="7" t="s">
        <v>41</v>
      </c>
      <c r="F10" s="7">
        <v>1</v>
      </c>
      <c r="G10" s="7">
        <v>10000</v>
      </c>
      <c r="H10" s="7" t="s">
        <v>31</v>
      </c>
      <c r="I10" s="7">
        <v>0</v>
      </c>
      <c r="J10" s="7">
        <v>70</v>
      </c>
      <c r="K10" s="7" t="s">
        <v>299</v>
      </c>
      <c r="L10" s="7">
        <v>20</v>
      </c>
      <c r="M10" s="7">
        <v>35</v>
      </c>
      <c r="N10" s="7">
        <v>35</v>
      </c>
    </row>
    <row r="11" spans="1:14">
      <c r="A11" s="7">
        <v>10001</v>
      </c>
      <c r="B11" s="7">
        <v>30000</v>
      </c>
      <c r="C11" s="7" t="s">
        <v>37</v>
      </c>
      <c r="D11" s="7">
        <v>50001</v>
      </c>
      <c r="E11" s="7" t="s">
        <v>42</v>
      </c>
      <c r="F11" s="7">
        <v>3</v>
      </c>
      <c r="G11" s="7">
        <v>10000</v>
      </c>
      <c r="H11" s="7" t="s">
        <v>31</v>
      </c>
      <c r="I11" s="7">
        <v>0</v>
      </c>
      <c r="J11" s="7">
        <v>70</v>
      </c>
      <c r="K11" s="7" t="s">
        <v>299</v>
      </c>
      <c r="L11" s="7">
        <v>20</v>
      </c>
      <c r="M11" s="7">
        <v>35</v>
      </c>
      <c r="N11" s="7">
        <v>35</v>
      </c>
    </row>
    <row r="12" spans="1:14">
      <c r="A12" s="8">
        <v>10002</v>
      </c>
      <c r="B12" s="8">
        <v>30000</v>
      </c>
      <c r="C12" s="8" t="s">
        <v>37</v>
      </c>
      <c r="D12" s="8">
        <v>10001</v>
      </c>
      <c r="E12" s="8" t="s">
        <v>39</v>
      </c>
      <c r="F12" s="8">
        <v>1</v>
      </c>
      <c r="G12" s="8">
        <v>10000</v>
      </c>
      <c r="H12" s="8" t="s">
        <v>31</v>
      </c>
      <c r="I12" s="8">
        <v>0</v>
      </c>
      <c r="J12" s="8">
        <v>240</v>
      </c>
      <c r="K12" s="8" t="s">
        <v>307</v>
      </c>
      <c r="L12" s="8">
        <v>20</v>
      </c>
      <c r="M12" s="8">
        <v>15</v>
      </c>
      <c r="N12" s="8">
        <v>15</v>
      </c>
    </row>
    <row r="13" spans="1:14">
      <c r="A13" s="8">
        <v>10002</v>
      </c>
      <c r="B13" s="8">
        <v>30000</v>
      </c>
      <c r="C13" s="8" t="s">
        <v>37</v>
      </c>
      <c r="D13" s="8">
        <v>50003</v>
      </c>
      <c r="E13" s="8" t="s">
        <v>40</v>
      </c>
      <c r="F13" s="8">
        <v>10</v>
      </c>
      <c r="G13" s="8">
        <v>10000</v>
      </c>
      <c r="H13" s="8" t="s">
        <v>31</v>
      </c>
      <c r="I13" s="8">
        <v>0</v>
      </c>
      <c r="J13" s="8">
        <f>J7</f>
        <v>2200</v>
      </c>
      <c r="K13" s="8" t="s">
        <v>307</v>
      </c>
      <c r="L13" s="8">
        <v>20</v>
      </c>
      <c r="M13" s="8">
        <v>5</v>
      </c>
      <c r="N13" s="8">
        <v>1</v>
      </c>
    </row>
    <row r="14" spans="1:14">
      <c r="A14" s="8">
        <v>10002</v>
      </c>
      <c r="B14" s="8">
        <v>30000</v>
      </c>
      <c r="C14" s="8" t="s">
        <v>37</v>
      </c>
      <c r="D14" s="8">
        <v>50003</v>
      </c>
      <c r="E14" s="8" t="s">
        <v>40</v>
      </c>
      <c r="F14" s="8">
        <v>1</v>
      </c>
      <c r="G14" s="8">
        <v>10000</v>
      </c>
      <c r="H14" s="8" t="s">
        <v>31</v>
      </c>
      <c r="I14" s="8">
        <v>0</v>
      </c>
      <c r="J14" s="8">
        <f>J8</f>
        <v>240</v>
      </c>
      <c r="K14" s="8" t="s">
        <v>299</v>
      </c>
      <c r="L14" s="8">
        <v>20</v>
      </c>
      <c r="M14" s="8">
        <v>15</v>
      </c>
      <c r="N14" s="8">
        <v>15</v>
      </c>
    </row>
    <row r="15" spans="1:14">
      <c r="A15" s="8">
        <v>10002</v>
      </c>
      <c r="B15" s="8">
        <v>30000</v>
      </c>
      <c r="C15" s="8" t="s">
        <v>37</v>
      </c>
      <c r="D15" s="8">
        <v>50002</v>
      </c>
      <c r="E15" s="8" t="s">
        <v>41</v>
      </c>
      <c r="F15" s="8">
        <v>10</v>
      </c>
      <c r="G15" s="8">
        <v>10000</v>
      </c>
      <c r="H15" s="8" t="s">
        <v>31</v>
      </c>
      <c r="I15" s="8">
        <v>0</v>
      </c>
      <c r="J15" s="8">
        <f>J9</f>
        <v>650</v>
      </c>
      <c r="K15" s="8" t="s">
        <v>308</v>
      </c>
      <c r="L15" s="8">
        <v>20</v>
      </c>
      <c r="M15" s="8">
        <v>5</v>
      </c>
      <c r="N15" s="8">
        <v>1</v>
      </c>
    </row>
    <row r="16" spans="1:14">
      <c r="A16" s="8">
        <v>10002</v>
      </c>
      <c r="B16" s="8">
        <v>30000</v>
      </c>
      <c r="C16" s="8" t="s">
        <v>37</v>
      </c>
      <c r="D16" s="8">
        <v>50002</v>
      </c>
      <c r="E16" s="8" t="s">
        <v>41</v>
      </c>
      <c r="F16" s="8">
        <v>1</v>
      </c>
      <c r="G16" s="8">
        <v>10000</v>
      </c>
      <c r="H16" s="8" t="s">
        <v>31</v>
      </c>
      <c r="I16" s="8">
        <v>0</v>
      </c>
      <c r="J16" s="8">
        <f>J10</f>
        <v>70</v>
      </c>
      <c r="K16" s="8" t="s">
        <v>299</v>
      </c>
      <c r="L16" s="8">
        <v>20</v>
      </c>
      <c r="M16" s="8">
        <v>40</v>
      </c>
      <c r="N16" s="8">
        <v>40</v>
      </c>
    </row>
    <row r="17" spans="1:14">
      <c r="A17" s="8">
        <v>10002</v>
      </c>
      <c r="B17" s="8">
        <v>30000</v>
      </c>
      <c r="C17" s="8" t="s">
        <v>37</v>
      </c>
      <c r="D17" s="8">
        <v>50001</v>
      </c>
      <c r="E17" s="8" t="s">
        <v>42</v>
      </c>
      <c r="F17" s="8">
        <v>3</v>
      </c>
      <c r="G17" s="8">
        <v>10000</v>
      </c>
      <c r="H17" s="8" t="s">
        <v>31</v>
      </c>
      <c r="I17" s="8">
        <v>0</v>
      </c>
      <c r="J17" s="8">
        <f>J11</f>
        <v>70</v>
      </c>
      <c r="K17" s="8" t="s">
        <v>299</v>
      </c>
      <c r="L17" s="8">
        <v>20</v>
      </c>
      <c r="M17" s="8">
        <v>20</v>
      </c>
      <c r="N17" s="8">
        <v>20</v>
      </c>
    </row>
    <row r="18" spans="1:14">
      <c r="A18" s="7">
        <v>10003</v>
      </c>
      <c r="B18" s="7">
        <v>30000</v>
      </c>
      <c r="C18" s="7" t="s">
        <v>37</v>
      </c>
      <c r="D18" s="7">
        <v>10001</v>
      </c>
      <c r="E18" s="7" t="s">
        <v>39</v>
      </c>
      <c r="F18" s="7">
        <v>1</v>
      </c>
      <c r="G18" s="7">
        <v>10000</v>
      </c>
      <c r="H18" s="7" t="s">
        <v>31</v>
      </c>
      <c r="I18" s="7">
        <v>0</v>
      </c>
      <c r="J18" s="7">
        <v>240</v>
      </c>
      <c r="K18" s="7" t="s">
        <v>307</v>
      </c>
      <c r="L18" s="7">
        <v>20</v>
      </c>
      <c r="M18" s="7">
        <v>50</v>
      </c>
      <c r="N18" s="7">
        <v>50</v>
      </c>
    </row>
    <row r="19" spans="1:14">
      <c r="A19" s="7">
        <v>10003</v>
      </c>
      <c r="B19" s="7">
        <v>30000</v>
      </c>
      <c r="C19" s="7" t="s">
        <v>37</v>
      </c>
      <c r="D19" s="7">
        <v>50003</v>
      </c>
      <c r="E19" s="7" t="s">
        <v>40</v>
      </c>
      <c r="F19" s="7">
        <v>10</v>
      </c>
      <c r="G19" s="7">
        <v>10000</v>
      </c>
      <c r="H19" s="7" t="s">
        <v>31</v>
      </c>
      <c r="I19" s="7">
        <v>0</v>
      </c>
      <c r="J19" s="7">
        <f t="shared" ref="J19:J29" si="0">J13</f>
        <v>2200</v>
      </c>
      <c r="K19" s="7" t="s">
        <v>307</v>
      </c>
      <c r="L19" s="7">
        <v>20</v>
      </c>
      <c r="M19" s="7">
        <v>9</v>
      </c>
      <c r="N19" s="7">
        <v>9</v>
      </c>
    </row>
    <row r="20" spans="1:14">
      <c r="A20" s="7">
        <v>10003</v>
      </c>
      <c r="B20" s="7">
        <v>30000</v>
      </c>
      <c r="C20" s="7" t="s">
        <v>37</v>
      </c>
      <c r="D20" s="7">
        <v>50003</v>
      </c>
      <c r="E20" s="7" t="s">
        <v>40</v>
      </c>
      <c r="F20" s="7">
        <v>1</v>
      </c>
      <c r="G20" s="7">
        <v>10000</v>
      </c>
      <c r="H20" s="7" t="s">
        <v>31</v>
      </c>
      <c r="I20" s="7">
        <v>0</v>
      </c>
      <c r="J20" s="7">
        <f t="shared" si="0"/>
        <v>240</v>
      </c>
      <c r="K20" s="7" t="s">
        <v>299</v>
      </c>
      <c r="L20" s="7">
        <v>20</v>
      </c>
      <c r="M20" s="7">
        <v>10</v>
      </c>
      <c r="N20" s="7">
        <v>10</v>
      </c>
    </row>
    <row r="21" spans="1:14">
      <c r="A21" s="7">
        <v>10003</v>
      </c>
      <c r="B21" s="7">
        <v>30000</v>
      </c>
      <c r="C21" s="7" t="s">
        <v>37</v>
      </c>
      <c r="D21" s="7">
        <v>50002</v>
      </c>
      <c r="E21" s="7" t="s">
        <v>41</v>
      </c>
      <c r="F21" s="7">
        <v>10</v>
      </c>
      <c r="G21" s="7">
        <v>10000</v>
      </c>
      <c r="H21" s="7" t="s">
        <v>31</v>
      </c>
      <c r="I21" s="7">
        <v>0</v>
      </c>
      <c r="J21" s="7">
        <f t="shared" si="0"/>
        <v>650</v>
      </c>
      <c r="K21" s="7" t="s">
        <v>308</v>
      </c>
      <c r="L21" s="7">
        <v>20</v>
      </c>
      <c r="M21" s="7">
        <v>10</v>
      </c>
      <c r="N21" s="7">
        <v>10</v>
      </c>
    </row>
    <row r="22" spans="1:14">
      <c r="A22" s="7">
        <v>10003</v>
      </c>
      <c r="B22" s="7">
        <v>30000</v>
      </c>
      <c r="C22" s="7" t="s">
        <v>37</v>
      </c>
      <c r="D22" s="7">
        <v>50002</v>
      </c>
      <c r="E22" s="7" t="s">
        <v>41</v>
      </c>
      <c r="F22" s="7">
        <v>1</v>
      </c>
      <c r="G22" s="7">
        <v>10000</v>
      </c>
      <c r="H22" s="7" t="s">
        <v>31</v>
      </c>
      <c r="I22" s="7">
        <v>0</v>
      </c>
      <c r="J22" s="7">
        <f t="shared" si="0"/>
        <v>70</v>
      </c>
      <c r="K22" s="7" t="s">
        <v>299</v>
      </c>
      <c r="L22" s="7">
        <v>20</v>
      </c>
      <c r="M22" s="7">
        <v>21</v>
      </c>
      <c r="N22" s="7">
        <v>21</v>
      </c>
    </row>
    <row r="23" spans="1:14">
      <c r="A23" s="7">
        <v>10003</v>
      </c>
      <c r="B23" s="7">
        <v>30000</v>
      </c>
      <c r="C23" s="7" t="s">
        <v>37</v>
      </c>
      <c r="D23" s="7">
        <v>50001</v>
      </c>
      <c r="E23" s="7" t="s">
        <v>42</v>
      </c>
      <c r="F23" s="7">
        <v>3</v>
      </c>
      <c r="G23" s="7">
        <v>10000</v>
      </c>
      <c r="H23" s="7" t="s">
        <v>31</v>
      </c>
      <c r="I23" s="7">
        <v>0</v>
      </c>
      <c r="J23" s="7">
        <f t="shared" si="0"/>
        <v>70</v>
      </c>
      <c r="K23" s="7" t="s">
        <v>299</v>
      </c>
      <c r="L23" s="7">
        <v>20</v>
      </c>
      <c r="M23" s="7">
        <v>0</v>
      </c>
      <c r="N23" s="7">
        <v>0</v>
      </c>
    </row>
    <row r="24" spans="1:14">
      <c r="A24" s="8">
        <v>10004</v>
      </c>
      <c r="B24" s="8">
        <v>30000</v>
      </c>
      <c r="C24" s="8" t="s">
        <v>37</v>
      </c>
      <c r="D24" s="8">
        <v>10001</v>
      </c>
      <c r="E24" s="8" t="s">
        <v>39</v>
      </c>
      <c r="F24" s="8">
        <v>1</v>
      </c>
      <c r="G24" s="8">
        <v>10000</v>
      </c>
      <c r="H24" s="8" t="s">
        <v>31</v>
      </c>
      <c r="I24" s="8">
        <v>0</v>
      </c>
      <c r="J24" s="8">
        <f t="shared" si="0"/>
        <v>240</v>
      </c>
      <c r="K24" s="8" t="s">
        <v>307</v>
      </c>
      <c r="L24" s="8">
        <v>20</v>
      </c>
      <c r="M24" s="8">
        <v>80</v>
      </c>
      <c r="N24" s="8">
        <v>80</v>
      </c>
    </row>
    <row r="25" spans="1:14">
      <c r="A25" s="8">
        <v>10004</v>
      </c>
      <c r="B25" s="8">
        <v>30000</v>
      </c>
      <c r="C25" s="8" t="s">
        <v>37</v>
      </c>
      <c r="D25" s="8">
        <v>50003</v>
      </c>
      <c r="E25" s="8" t="s">
        <v>40</v>
      </c>
      <c r="F25" s="8">
        <v>10</v>
      </c>
      <c r="G25" s="8">
        <v>10000</v>
      </c>
      <c r="H25" s="8" t="s">
        <v>31</v>
      </c>
      <c r="I25" s="8">
        <v>0</v>
      </c>
      <c r="J25" s="8">
        <f t="shared" si="0"/>
        <v>2200</v>
      </c>
      <c r="K25" s="8" t="s">
        <v>307</v>
      </c>
      <c r="L25" s="8">
        <v>20</v>
      </c>
      <c r="M25" s="8">
        <v>9</v>
      </c>
      <c r="N25" s="8">
        <v>9</v>
      </c>
    </row>
    <row r="26" spans="1:14">
      <c r="A26" s="8">
        <v>10004</v>
      </c>
      <c r="B26" s="8">
        <v>30000</v>
      </c>
      <c r="C26" s="8" t="s">
        <v>37</v>
      </c>
      <c r="D26" s="8">
        <v>50003</v>
      </c>
      <c r="E26" s="8" t="s">
        <v>40</v>
      </c>
      <c r="F26" s="8">
        <v>1</v>
      </c>
      <c r="G26" s="8">
        <v>10000</v>
      </c>
      <c r="H26" s="8" t="s">
        <v>31</v>
      </c>
      <c r="I26" s="8">
        <v>0</v>
      </c>
      <c r="J26" s="8">
        <f t="shared" si="0"/>
        <v>240</v>
      </c>
      <c r="K26" s="8" t="s">
        <v>299</v>
      </c>
      <c r="L26" s="8">
        <v>20</v>
      </c>
      <c r="M26" s="8">
        <v>5</v>
      </c>
      <c r="N26" s="8">
        <v>5</v>
      </c>
    </row>
    <row r="27" spans="1:14">
      <c r="A27" s="8">
        <v>10004</v>
      </c>
      <c r="B27" s="8">
        <v>30000</v>
      </c>
      <c r="C27" s="8" t="s">
        <v>37</v>
      </c>
      <c r="D27" s="8">
        <v>50002</v>
      </c>
      <c r="E27" s="8" t="s">
        <v>41</v>
      </c>
      <c r="F27" s="8">
        <v>10</v>
      </c>
      <c r="G27" s="8">
        <v>10000</v>
      </c>
      <c r="H27" s="8" t="s">
        <v>31</v>
      </c>
      <c r="I27" s="8">
        <v>0</v>
      </c>
      <c r="J27" s="8">
        <f t="shared" si="0"/>
        <v>650</v>
      </c>
      <c r="K27" s="8" t="s">
        <v>308</v>
      </c>
      <c r="L27" s="8">
        <v>20</v>
      </c>
      <c r="M27" s="8">
        <v>1</v>
      </c>
      <c r="N27" s="8">
        <v>1</v>
      </c>
    </row>
    <row r="28" spans="1:14">
      <c r="A28" s="8">
        <v>10004</v>
      </c>
      <c r="B28" s="8">
        <v>30000</v>
      </c>
      <c r="C28" s="8" t="s">
        <v>37</v>
      </c>
      <c r="D28" s="8">
        <v>50002</v>
      </c>
      <c r="E28" s="8" t="s">
        <v>41</v>
      </c>
      <c r="F28" s="8">
        <v>1</v>
      </c>
      <c r="G28" s="8">
        <v>10000</v>
      </c>
      <c r="H28" s="8" t="s">
        <v>31</v>
      </c>
      <c r="I28" s="8">
        <v>0</v>
      </c>
      <c r="J28" s="8">
        <f t="shared" si="0"/>
        <v>70</v>
      </c>
      <c r="K28" s="8" t="s">
        <v>299</v>
      </c>
      <c r="L28" s="8">
        <v>20</v>
      </c>
      <c r="M28" s="8">
        <v>5</v>
      </c>
      <c r="N28" s="8">
        <v>5</v>
      </c>
    </row>
    <row r="29" spans="1:14">
      <c r="A29" s="8">
        <v>10004</v>
      </c>
      <c r="B29" s="8">
        <v>30000</v>
      </c>
      <c r="C29" s="8" t="s">
        <v>37</v>
      </c>
      <c r="D29" s="8">
        <v>50001</v>
      </c>
      <c r="E29" s="8" t="s">
        <v>42</v>
      </c>
      <c r="F29" s="8">
        <v>3</v>
      </c>
      <c r="G29" s="8">
        <v>10000</v>
      </c>
      <c r="H29" s="8" t="s">
        <v>31</v>
      </c>
      <c r="I29" s="8">
        <v>0</v>
      </c>
      <c r="J29" s="8">
        <f t="shared" si="0"/>
        <v>70</v>
      </c>
      <c r="K29" s="8" t="s">
        <v>299</v>
      </c>
      <c r="L29" s="8">
        <v>20</v>
      </c>
      <c r="M29" s="8">
        <v>0</v>
      </c>
      <c r="N29" s="8">
        <v>0</v>
      </c>
    </row>
    <row r="30" spans="1:14">
      <c r="A30" s="7">
        <v>10005</v>
      </c>
      <c r="B30" s="7">
        <v>40000</v>
      </c>
      <c r="C30" s="7" t="s">
        <v>132</v>
      </c>
      <c r="D30" s="7" t="s">
        <v>44</v>
      </c>
      <c r="E30" s="7" t="s">
        <v>88</v>
      </c>
      <c r="F30" s="7">
        <v>1</v>
      </c>
      <c r="G30" s="7">
        <f>3*INDEX([1]equip.xml!$I:$I,MATCH(D30&amp;"",[1]equip.xml!$A:$A,0))</f>
        <v>3000</v>
      </c>
      <c r="H30" s="7" t="s">
        <v>31</v>
      </c>
      <c r="I30" s="7">
        <v>13</v>
      </c>
      <c r="J30" s="7">
        <v>50</v>
      </c>
      <c r="K30" s="7" t="s">
        <v>293</v>
      </c>
      <c r="L30" s="7">
        <v>18</v>
      </c>
      <c r="M30" s="7">
        <f>IF(INDEX([1]equip.xml!$B:$B,MATCH(D30&amp;"",[1]equip.xml!$A:$A,0))=0,0,N30)</f>
        <v>0</v>
      </c>
      <c r="N30" s="7">
        <v>130</v>
      </c>
    </row>
    <row r="31" spans="1:14">
      <c r="A31" s="7">
        <v>10005</v>
      </c>
      <c r="B31" s="7">
        <v>40000</v>
      </c>
      <c r="C31" s="7" t="s">
        <v>132</v>
      </c>
      <c r="D31" s="7" t="s">
        <v>45</v>
      </c>
      <c r="E31" s="7" t="s">
        <v>89</v>
      </c>
      <c r="F31" s="7">
        <v>1</v>
      </c>
      <c r="G31" s="7">
        <f>3*INDEX([1]equip.xml!$I:$I,MATCH(D31&amp;"",[1]equip.xml!$A:$A,0))</f>
        <v>3000</v>
      </c>
      <c r="H31" s="7" t="s">
        <v>31</v>
      </c>
      <c r="I31" s="7">
        <v>13</v>
      </c>
      <c r="J31" s="7">
        <v>50</v>
      </c>
      <c r="K31" s="7" t="s">
        <v>293</v>
      </c>
      <c r="L31" s="7">
        <v>18</v>
      </c>
      <c r="M31" s="7">
        <f>IF(INDEX([1]equip.xml!$B:$B,MATCH(D31&amp;"",[1]equip.xml!$A:$A,0))=0,0,N31)</f>
        <v>0</v>
      </c>
      <c r="N31" s="7">
        <v>130</v>
      </c>
    </row>
    <row r="32" spans="1:14">
      <c r="A32" s="7">
        <v>10005</v>
      </c>
      <c r="B32" s="7">
        <v>40000</v>
      </c>
      <c r="C32" s="7" t="s">
        <v>132</v>
      </c>
      <c r="D32" s="7" t="s">
        <v>46</v>
      </c>
      <c r="E32" s="7" t="s">
        <v>90</v>
      </c>
      <c r="F32" s="7">
        <v>1</v>
      </c>
      <c r="G32" s="7">
        <f>3*INDEX([1]equip.xml!$I:$I,MATCH(D32&amp;"",[1]equip.xml!$A:$A,0))</f>
        <v>3000</v>
      </c>
      <c r="H32" s="7" t="s">
        <v>31</v>
      </c>
      <c r="I32" s="7">
        <v>13</v>
      </c>
      <c r="J32" s="7">
        <v>50</v>
      </c>
      <c r="K32" s="7" t="s">
        <v>293</v>
      </c>
      <c r="L32" s="7">
        <v>18</v>
      </c>
      <c r="M32" s="7">
        <f>IF(INDEX([1]equip.xml!$B:$B,MATCH(D32&amp;"",[1]equip.xml!$A:$A,0))=0,0,N32)</f>
        <v>0</v>
      </c>
      <c r="N32" s="7">
        <v>130</v>
      </c>
    </row>
    <row r="33" spans="1:14">
      <c r="A33" s="7">
        <v>10005</v>
      </c>
      <c r="B33" s="7">
        <v>40000</v>
      </c>
      <c r="C33" s="7" t="s">
        <v>132</v>
      </c>
      <c r="D33" s="7" t="s">
        <v>47</v>
      </c>
      <c r="E33" s="7" t="s">
        <v>91</v>
      </c>
      <c r="F33" s="7">
        <v>1</v>
      </c>
      <c r="G33" s="7">
        <f>3*INDEX([1]equip.xml!$I:$I,MATCH(D33&amp;"",[1]equip.xml!$A:$A,0))</f>
        <v>3000</v>
      </c>
      <c r="H33" s="7" t="s">
        <v>31</v>
      </c>
      <c r="I33" s="7">
        <v>13</v>
      </c>
      <c r="J33" s="7">
        <v>50</v>
      </c>
      <c r="K33" s="7" t="s">
        <v>293</v>
      </c>
      <c r="L33" s="7">
        <v>18</v>
      </c>
      <c r="M33" s="7">
        <f>IF(INDEX([1]equip.xml!$B:$B,MATCH(D33&amp;"",[1]equip.xml!$A:$A,0))=0,0,N33)</f>
        <v>130</v>
      </c>
      <c r="N33" s="7">
        <v>130</v>
      </c>
    </row>
    <row r="34" spans="1:14">
      <c r="A34" s="7">
        <v>10005</v>
      </c>
      <c r="B34" s="7">
        <v>40000</v>
      </c>
      <c r="C34" s="7" t="s">
        <v>132</v>
      </c>
      <c r="D34" s="7" t="s">
        <v>48</v>
      </c>
      <c r="E34" s="7" t="s">
        <v>92</v>
      </c>
      <c r="F34" s="7">
        <v>1</v>
      </c>
      <c r="G34" s="7">
        <f>3*INDEX([1]equip.xml!$I:$I,MATCH(D34&amp;"",[1]equip.xml!$A:$A,0))</f>
        <v>3000</v>
      </c>
      <c r="H34" s="7" t="s">
        <v>31</v>
      </c>
      <c r="I34" s="7">
        <v>13</v>
      </c>
      <c r="J34" s="7">
        <v>50</v>
      </c>
      <c r="K34" s="7" t="s">
        <v>293</v>
      </c>
      <c r="L34" s="7">
        <v>18</v>
      </c>
      <c r="M34" s="7">
        <f>IF(INDEX([1]equip.xml!$B:$B,MATCH(D34&amp;"",[1]equip.xml!$A:$A,0))=0,0,N34)</f>
        <v>130</v>
      </c>
      <c r="N34" s="7">
        <v>130</v>
      </c>
    </row>
    <row r="35" spans="1:14">
      <c r="A35" s="7">
        <v>10005</v>
      </c>
      <c r="B35" s="7">
        <v>40000</v>
      </c>
      <c r="C35" s="7" t="s">
        <v>132</v>
      </c>
      <c r="D35" s="7" t="s">
        <v>49</v>
      </c>
      <c r="E35" s="7" t="s">
        <v>93</v>
      </c>
      <c r="F35" s="7">
        <v>1</v>
      </c>
      <c r="G35" s="7">
        <f>3*INDEX([1]equip.xml!$I:$I,MATCH(D35&amp;"",[1]equip.xml!$A:$A,0))</f>
        <v>3000</v>
      </c>
      <c r="H35" s="7" t="s">
        <v>31</v>
      </c>
      <c r="I35" s="7">
        <v>13</v>
      </c>
      <c r="J35" s="7">
        <v>50</v>
      </c>
      <c r="K35" s="7" t="s">
        <v>293</v>
      </c>
      <c r="L35" s="7">
        <v>18</v>
      </c>
      <c r="M35" s="7">
        <f>IF(INDEX([1]equip.xml!$B:$B,MATCH(D35&amp;"",[1]equip.xml!$A:$A,0))=0,0,N35)</f>
        <v>0</v>
      </c>
      <c r="N35" s="7">
        <v>130</v>
      </c>
    </row>
    <row r="36" spans="1:14">
      <c r="A36" s="7">
        <v>10005</v>
      </c>
      <c r="B36" s="7">
        <v>40000</v>
      </c>
      <c r="C36" s="7" t="s">
        <v>132</v>
      </c>
      <c r="D36" s="7" t="s">
        <v>50</v>
      </c>
      <c r="E36" s="7" t="s">
        <v>94</v>
      </c>
      <c r="F36" s="7">
        <v>1</v>
      </c>
      <c r="G36" s="7">
        <f>3*INDEX([1]equip.xml!$I:$I,MATCH(D36&amp;"",[1]equip.xml!$A:$A,0))</f>
        <v>3000</v>
      </c>
      <c r="H36" s="7" t="s">
        <v>31</v>
      </c>
      <c r="I36" s="7">
        <v>13</v>
      </c>
      <c r="J36" s="7">
        <v>50</v>
      </c>
      <c r="K36" s="7" t="s">
        <v>293</v>
      </c>
      <c r="L36" s="7">
        <v>18</v>
      </c>
      <c r="M36" s="7">
        <f>IF(INDEX([1]equip.xml!$B:$B,MATCH(D36&amp;"",[1]equip.xml!$A:$A,0))=0,0,N36)</f>
        <v>130</v>
      </c>
      <c r="N36" s="7">
        <v>130</v>
      </c>
    </row>
    <row r="37" spans="1:14">
      <c r="A37" s="7">
        <v>10005</v>
      </c>
      <c r="B37" s="7">
        <v>40000</v>
      </c>
      <c r="C37" s="7" t="s">
        <v>132</v>
      </c>
      <c r="D37" s="7" t="s">
        <v>51</v>
      </c>
      <c r="E37" s="7" t="s">
        <v>95</v>
      </c>
      <c r="F37" s="7">
        <v>1</v>
      </c>
      <c r="G37" s="7">
        <f>3*INDEX([1]equip.xml!$I:$I,MATCH(D37&amp;"",[1]equip.xml!$A:$A,0))</f>
        <v>12000</v>
      </c>
      <c r="H37" s="7" t="s">
        <v>31</v>
      </c>
      <c r="I37" s="7">
        <v>13</v>
      </c>
      <c r="J37" s="7">
        <v>50</v>
      </c>
      <c r="K37" s="7" t="s">
        <v>293</v>
      </c>
      <c r="L37" s="7">
        <v>18</v>
      </c>
      <c r="M37" s="7">
        <f>IF(INDEX([1]equip.xml!$B:$B,MATCH(D37&amp;"",[1]equip.xml!$A:$A,0))=0,0,N37)</f>
        <v>130</v>
      </c>
      <c r="N37" s="7">
        <v>130</v>
      </c>
    </row>
    <row r="38" spans="1:14">
      <c r="A38" s="7">
        <v>10005</v>
      </c>
      <c r="B38" s="7">
        <v>40000</v>
      </c>
      <c r="C38" s="7" t="s">
        <v>132</v>
      </c>
      <c r="D38" s="7" t="s">
        <v>52</v>
      </c>
      <c r="E38" s="7" t="s">
        <v>96</v>
      </c>
      <c r="F38" s="7">
        <v>1</v>
      </c>
      <c r="G38" s="7">
        <f>3*INDEX([1]equip.xml!$I:$I,MATCH(D38&amp;"",[1]equip.xml!$A:$A,0))</f>
        <v>3000</v>
      </c>
      <c r="H38" s="7" t="s">
        <v>31</v>
      </c>
      <c r="I38" s="7">
        <v>13</v>
      </c>
      <c r="J38" s="7">
        <v>50</v>
      </c>
      <c r="K38" s="7" t="s">
        <v>293</v>
      </c>
      <c r="L38" s="7">
        <v>18</v>
      </c>
      <c r="M38" s="7">
        <f>IF(INDEX([1]equip.xml!$B:$B,MATCH(D38&amp;"",[1]equip.xml!$A:$A,0))=0,0,N38)</f>
        <v>130</v>
      </c>
      <c r="N38" s="7">
        <v>130</v>
      </c>
    </row>
    <row r="39" spans="1:14">
      <c r="A39" s="7">
        <v>10005</v>
      </c>
      <c r="B39" s="7">
        <v>40000</v>
      </c>
      <c r="C39" s="7" t="s">
        <v>132</v>
      </c>
      <c r="D39" s="7" t="s">
        <v>53</v>
      </c>
      <c r="E39" s="7" t="s">
        <v>97</v>
      </c>
      <c r="F39" s="7">
        <v>1</v>
      </c>
      <c r="G39" s="7">
        <f>3*INDEX([1]equip.xml!$I:$I,MATCH(D39&amp;"",[1]equip.xml!$A:$A,0))</f>
        <v>12000</v>
      </c>
      <c r="H39" s="7" t="s">
        <v>31</v>
      </c>
      <c r="I39" s="7">
        <v>13</v>
      </c>
      <c r="J39" s="7">
        <v>50</v>
      </c>
      <c r="K39" s="7" t="s">
        <v>293</v>
      </c>
      <c r="L39" s="7">
        <v>18</v>
      </c>
      <c r="M39" s="7">
        <f>IF(INDEX([1]equip.xml!$B:$B,MATCH(D39&amp;"",[1]equip.xml!$A:$A,0))=0,0,N39)</f>
        <v>0</v>
      </c>
      <c r="N39" s="7">
        <v>130</v>
      </c>
    </row>
    <row r="40" spans="1:14">
      <c r="A40" s="7">
        <v>10005</v>
      </c>
      <c r="B40" s="7">
        <v>40000</v>
      </c>
      <c r="C40" s="7" t="s">
        <v>132</v>
      </c>
      <c r="D40" s="7" t="s">
        <v>54</v>
      </c>
      <c r="E40" s="7" t="s">
        <v>98</v>
      </c>
      <c r="F40" s="7">
        <v>1</v>
      </c>
      <c r="G40" s="7">
        <f>3*INDEX([1]equip.xml!$I:$I,MATCH(D40&amp;"",[1]equip.xml!$A:$A,0))</f>
        <v>3000</v>
      </c>
      <c r="H40" s="7" t="s">
        <v>31</v>
      </c>
      <c r="I40" s="7">
        <v>13</v>
      </c>
      <c r="J40" s="7">
        <v>50</v>
      </c>
      <c r="K40" s="7" t="s">
        <v>293</v>
      </c>
      <c r="L40" s="7">
        <v>18</v>
      </c>
      <c r="M40" s="7">
        <f>IF(INDEX([1]equip.xml!$B:$B,MATCH(D40&amp;"",[1]equip.xml!$A:$A,0))=0,0,N40)</f>
        <v>130</v>
      </c>
      <c r="N40" s="7">
        <v>130</v>
      </c>
    </row>
    <row r="41" spans="1:14">
      <c r="A41" s="7">
        <v>10005</v>
      </c>
      <c r="B41" s="7">
        <v>40000</v>
      </c>
      <c r="C41" s="7" t="s">
        <v>132</v>
      </c>
      <c r="D41" s="7" t="s">
        <v>55</v>
      </c>
      <c r="E41" s="7" t="s">
        <v>99</v>
      </c>
      <c r="F41" s="7">
        <v>1</v>
      </c>
      <c r="G41" s="7">
        <f>3*INDEX([1]equip.xml!$I:$I,MATCH(D41&amp;"",[1]equip.xml!$A:$A,0))</f>
        <v>12000</v>
      </c>
      <c r="H41" s="7" t="s">
        <v>31</v>
      </c>
      <c r="I41" s="7">
        <v>13</v>
      </c>
      <c r="J41" s="7">
        <v>50</v>
      </c>
      <c r="K41" s="7" t="s">
        <v>293</v>
      </c>
      <c r="L41" s="7">
        <v>18</v>
      </c>
      <c r="M41" s="7">
        <f>IF(INDEX([1]equip.xml!$B:$B,MATCH(D41&amp;"",[1]equip.xml!$A:$A,0))=0,0,N41)</f>
        <v>130</v>
      </c>
      <c r="N41" s="7">
        <v>130</v>
      </c>
    </row>
    <row r="42" spans="1:14">
      <c r="A42" s="7">
        <v>10005</v>
      </c>
      <c r="B42" s="7">
        <v>40000</v>
      </c>
      <c r="C42" s="7" t="s">
        <v>132</v>
      </c>
      <c r="D42" s="7" t="s">
        <v>56</v>
      </c>
      <c r="E42" s="7" t="s">
        <v>100</v>
      </c>
      <c r="F42" s="7">
        <v>1</v>
      </c>
      <c r="G42" s="7">
        <f>3*INDEX([1]equip.xml!$I:$I,MATCH(D42&amp;"",[1]equip.xml!$A:$A,0))</f>
        <v>3000</v>
      </c>
      <c r="H42" s="7" t="s">
        <v>31</v>
      </c>
      <c r="I42" s="7">
        <v>13</v>
      </c>
      <c r="J42" s="7">
        <v>50</v>
      </c>
      <c r="K42" s="7" t="s">
        <v>293</v>
      </c>
      <c r="L42" s="7">
        <v>18</v>
      </c>
      <c r="M42" s="7">
        <f>IF(INDEX([1]equip.xml!$B:$B,MATCH(D42&amp;"",[1]equip.xml!$A:$A,0))=0,0,N42)</f>
        <v>130</v>
      </c>
      <c r="N42" s="7">
        <v>130</v>
      </c>
    </row>
    <row r="43" spans="1:14">
      <c r="A43" s="7">
        <v>10005</v>
      </c>
      <c r="B43" s="7">
        <v>40000</v>
      </c>
      <c r="C43" s="7" t="s">
        <v>132</v>
      </c>
      <c r="D43" s="7" t="s">
        <v>57</v>
      </c>
      <c r="E43" s="7" t="s">
        <v>101</v>
      </c>
      <c r="F43" s="7">
        <v>1</v>
      </c>
      <c r="G43" s="7">
        <f>3*INDEX([1]equip.xml!$I:$I,MATCH(D43&amp;"",[1]equip.xml!$A:$A,0))</f>
        <v>12000</v>
      </c>
      <c r="H43" s="7" t="s">
        <v>31</v>
      </c>
      <c r="I43" s="7">
        <v>13</v>
      </c>
      <c r="J43" s="7">
        <v>50</v>
      </c>
      <c r="K43" s="7" t="s">
        <v>293</v>
      </c>
      <c r="L43" s="7">
        <v>18</v>
      </c>
      <c r="M43" s="7">
        <f>IF(INDEX([1]equip.xml!$B:$B,MATCH(D43&amp;"",[1]equip.xml!$A:$A,0))=0,0,N43)</f>
        <v>0</v>
      </c>
      <c r="N43" s="7">
        <v>130</v>
      </c>
    </row>
    <row r="44" spans="1:14">
      <c r="A44" s="7">
        <v>10005</v>
      </c>
      <c r="B44" s="7">
        <v>40000</v>
      </c>
      <c r="C44" s="7" t="s">
        <v>132</v>
      </c>
      <c r="D44" s="7" t="s">
        <v>58</v>
      </c>
      <c r="E44" s="7" t="s">
        <v>102</v>
      </c>
      <c r="F44" s="7">
        <v>1</v>
      </c>
      <c r="G44" s="7">
        <f>3*INDEX([1]equip.xml!$I:$I,MATCH(D44&amp;"",[1]equip.xml!$A:$A,0))</f>
        <v>3000</v>
      </c>
      <c r="H44" s="7" t="s">
        <v>31</v>
      </c>
      <c r="I44" s="7">
        <v>13</v>
      </c>
      <c r="J44" s="7">
        <v>50</v>
      </c>
      <c r="K44" s="7" t="s">
        <v>293</v>
      </c>
      <c r="L44" s="7">
        <v>18</v>
      </c>
      <c r="M44" s="7">
        <f>IF(INDEX([1]equip.xml!$B:$B,MATCH(D44&amp;"",[1]equip.xml!$A:$A,0))=0,0,N44)</f>
        <v>130</v>
      </c>
      <c r="N44" s="7">
        <v>130</v>
      </c>
    </row>
    <row r="45" spans="1:14">
      <c r="A45" s="7">
        <v>10005</v>
      </c>
      <c r="B45" s="7">
        <v>40000</v>
      </c>
      <c r="C45" s="7" t="s">
        <v>132</v>
      </c>
      <c r="D45" s="7" t="s">
        <v>59</v>
      </c>
      <c r="E45" s="7" t="s">
        <v>103</v>
      </c>
      <c r="F45" s="7">
        <v>1</v>
      </c>
      <c r="G45" s="7">
        <f>3*INDEX([1]equip.xml!$I:$I,MATCH(D45&amp;"",[1]equip.xml!$A:$A,0))</f>
        <v>12000</v>
      </c>
      <c r="H45" s="7" t="s">
        <v>31</v>
      </c>
      <c r="I45" s="7">
        <v>13</v>
      </c>
      <c r="J45" s="7">
        <v>50</v>
      </c>
      <c r="K45" s="7" t="s">
        <v>293</v>
      </c>
      <c r="L45" s="7">
        <v>18</v>
      </c>
      <c r="M45" s="7">
        <f>IF(INDEX([1]equip.xml!$B:$B,MATCH(D45&amp;"",[1]equip.xml!$A:$A,0))=0,0,N45)</f>
        <v>130</v>
      </c>
      <c r="N45" s="7">
        <v>130</v>
      </c>
    </row>
    <row r="46" spans="1:14">
      <c r="A46" s="7">
        <v>10005</v>
      </c>
      <c r="B46" s="7">
        <v>40000</v>
      </c>
      <c r="C46" s="7" t="s">
        <v>132</v>
      </c>
      <c r="D46" s="7" t="s">
        <v>60</v>
      </c>
      <c r="E46" s="7" t="s">
        <v>104</v>
      </c>
      <c r="F46" s="7">
        <v>1</v>
      </c>
      <c r="G46" s="7">
        <f>3*INDEX([1]equip.xml!$I:$I,MATCH(D46&amp;"",[1]equip.xml!$A:$A,0))</f>
        <v>3000</v>
      </c>
      <c r="H46" s="7" t="s">
        <v>31</v>
      </c>
      <c r="I46" s="7">
        <v>13</v>
      </c>
      <c r="J46" s="7">
        <v>50</v>
      </c>
      <c r="K46" s="7" t="s">
        <v>293</v>
      </c>
      <c r="L46" s="7">
        <v>18</v>
      </c>
      <c r="M46" s="7">
        <f>IF(INDEX([1]equip.xml!$B:$B,MATCH(D46&amp;"",[1]equip.xml!$A:$A,0))=0,0,N46)</f>
        <v>130</v>
      </c>
      <c r="N46" s="7">
        <v>130</v>
      </c>
    </row>
    <row r="47" spans="1:14">
      <c r="A47" s="7">
        <v>10005</v>
      </c>
      <c r="B47" s="7">
        <v>40000</v>
      </c>
      <c r="C47" s="7" t="s">
        <v>132</v>
      </c>
      <c r="D47" s="7" t="s">
        <v>61</v>
      </c>
      <c r="E47" s="7" t="s">
        <v>105</v>
      </c>
      <c r="F47" s="7">
        <v>1</v>
      </c>
      <c r="G47" s="7">
        <f>3*INDEX([1]equip.xml!$I:$I,MATCH(D47&amp;"",[1]equip.xml!$A:$A,0))</f>
        <v>12000</v>
      </c>
      <c r="H47" s="7" t="s">
        <v>31</v>
      </c>
      <c r="I47" s="7">
        <v>13</v>
      </c>
      <c r="J47" s="7">
        <v>50</v>
      </c>
      <c r="K47" s="7" t="s">
        <v>293</v>
      </c>
      <c r="L47" s="7">
        <v>18</v>
      </c>
      <c r="M47" s="7">
        <f>IF(INDEX([1]equip.xml!$B:$B,MATCH(D47&amp;"",[1]equip.xml!$A:$A,0))=0,0,N47)</f>
        <v>0</v>
      </c>
      <c r="N47" s="7">
        <v>130</v>
      </c>
    </row>
    <row r="48" spans="1:14">
      <c r="A48" s="7">
        <v>10005</v>
      </c>
      <c r="B48" s="7">
        <v>40000</v>
      </c>
      <c r="C48" s="7" t="s">
        <v>132</v>
      </c>
      <c r="D48" s="7" t="s">
        <v>62</v>
      </c>
      <c r="E48" s="7" t="s">
        <v>106</v>
      </c>
      <c r="F48" s="7">
        <v>1</v>
      </c>
      <c r="G48" s="7">
        <f>3*INDEX([1]equip.xml!$I:$I,MATCH(D48&amp;"",[1]equip.xml!$A:$A,0))</f>
        <v>3000</v>
      </c>
      <c r="H48" s="7" t="s">
        <v>31</v>
      </c>
      <c r="I48" s="7">
        <v>13</v>
      </c>
      <c r="J48" s="7">
        <v>50</v>
      </c>
      <c r="K48" s="7" t="s">
        <v>293</v>
      </c>
      <c r="L48" s="7">
        <v>18</v>
      </c>
      <c r="M48" s="7">
        <f>IF(INDEX([1]equip.xml!$B:$B,MATCH(D48&amp;"",[1]equip.xml!$A:$A,0))=0,0,N48)</f>
        <v>130</v>
      </c>
      <c r="N48" s="7">
        <v>130</v>
      </c>
    </row>
    <row r="49" spans="1:14">
      <c r="A49" s="7">
        <v>10005</v>
      </c>
      <c r="B49" s="7">
        <v>40000</v>
      </c>
      <c r="C49" s="7" t="s">
        <v>132</v>
      </c>
      <c r="D49" s="7" t="s">
        <v>63</v>
      </c>
      <c r="E49" s="7" t="s">
        <v>107</v>
      </c>
      <c r="F49" s="7">
        <v>1</v>
      </c>
      <c r="G49" s="7">
        <f>3*INDEX([1]equip.xml!$I:$I,MATCH(D49&amp;"",[1]equip.xml!$A:$A,0))</f>
        <v>12000</v>
      </c>
      <c r="H49" s="7" t="s">
        <v>31</v>
      </c>
      <c r="I49" s="7">
        <v>13</v>
      </c>
      <c r="J49" s="7">
        <v>50</v>
      </c>
      <c r="K49" s="7" t="s">
        <v>293</v>
      </c>
      <c r="L49" s="7">
        <v>18</v>
      </c>
      <c r="M49" s="7">
        <f>IF(INDEX([1]equip.xml!$B:$B,MATCH(D49&amp;"",[1]equip.xml!$A:$A,0))=0,0,N49)</f>
        <v>0</v>
      </c>
      <c r="N49" s="7">
        <v>130</v>
      </c>
    </row>
    <row r="50" spans="1:14">
      <c r="A50" s="7">
        <v>10005</v>
      </c>
      <c r="B50" s="7">
        <v>40000</v>
      </c>
      <c r="C50" s="7" t="s">
        <v>132</v>
      </c>
      <c r="D50" s="7" t="s">
        <v>64</v>
      </c>
      <c r="E50" s="7" t="s">
        <v>108</v>
      </c>
      <c r="F50" s="7">
        <v>1</v>
      </c>
      <c r="G50" s="7">
        <f>3*INDEX([1]equip.xml!$I:$I,MATCH(D50&amp;"",[1]equip.xml!$A:$A,0))</f>
        <v>3000</v>
      </c>
      <c r="H50" s="7" t="s">
        <v>31</v>
      </c>
      <c r="I50" s="7">
        <v>13</v>
      </c>
      <c r="J50" s="7">
        <v>50</v>
      </c>
      <c r="K50" s="7" t="s">
        <v>293</v>
      </c>
      <c r="L50" s="7">
        <v>18</v>
      </c>
      <c r="M50" s="7">
        <f>IF(INDEX([1]equip.xml!$B:$B,MATCH(D50&amp;"",[1]equip.xml!$A:$A,0))=0,0,N50)</f>
        <v>0</v>
      </c>
      <c r="N50" s="7">
        <v>130</v>
      </c>
    </row>
    <row r="51" spans="1:14">
      <c r="A51" s="7">
        <v>10005</v>
      </c>
      <c r="B51" s="7">
        <v>40000</v>
      </c>
      <c r="C51" s="7" t="s">
        <v>132</v>
      </c>
      <c r="D51" s="7" t="s">
        <v>65</v>
      </c>
      <c r="E51" s="7" t="s">
        <v>109</v>
      </c>
      <c r="F51" s="7">
        <v>1</v>
      </c>
      <c r="G51" s="7">
        <f>3*INDEX([1]equip.xml!$I:$I,MATCH(D51&amp;"",[1]equip.xml!$A:$A,0))</f>
        <v>12000</v>
      </c>
      <c r="H51" s="7" t="s">
        <v>31</v>
      </c>
      <c r="I51" s="7">
        <v>13</v>
      </c>
      <c r="J51" s="7">
        <v>50</v>
      </c>
      <c r="K51" s="7" t="s">
        <v>293</v>
      </c>
      <c r="L51" s="7">
        <v>18</v>
      </c>
      <c r="M51" s="7">
        <f>IF(INDEX([1]equip.xml!$B:$B,MATCH(D51&amp;"",[1]equip.xml!$A:$A,0))=0,0,N51)</f>
        <v>0</v>
      </c>
      <c r="N51" s="7">
        <v>130</v>
      </c>
    </row>
    <row r="52" spans="1:14">
      <c r="A52" s="7">
        <v>10005</v>
      </c>
      <c r="B52" s="7">
        <v>40000</v>
      </c>
      <c r="C52" s="7" t="s">
        <v>132</v>
      </c>
      <c r="D52" s="7" t="s">
        <v>66</v>
      </c>
      <c r="E52" s="7" t="s">
        <v>110</v>
      </c>
      <c r="F52" s="7">
        <v>1</v>
      </c>
      <c r="G52" s="7">
        <f>3*INDEX([1]equip.xml!$I:$I,MATCH(D52&amp;"",[1]equip.xml!$A:$A,0))</f>
        <v>15000</v>
      </c>
      <c r="H52" s="7" t="s">
        <v>31</v>
      </c>
      <c r="I52" s="7">
        <v>13</v>
      </c>
      <c r="J52" s="7">
        <v>50</v>
      </c>
      <c r="K52" s="7" t="s">
        <v>293</v>
      </c>
      <c r="L52" s="7">
        <v>18</v>
      </c>
      <c r="M52" s="7">
        <f>IF(INDEX([1]equip.xml!$B:$B,MATCH(D52&amp;"",[1]equip.xml!$A:$A,0))=0,0,N52)</f>
        <v>65</v>
      </c>
      <c r="N52" s="7">
        <f>N30/2</f>
        <v>65</v>
      </c>
    </row>
    <row r="53" spans="1:14">
      <c r="A53" s="7">
        <v>10005</v>
      </c>
      <c r="B53" s="7">
        <v>40000</v>
      </c>
      <c r="C53" s="7" t="s">
        <v>132</v>
      </c>
      <c r="D53" s="7" t="s">
        <v>67</v>
      </c>
      <c r="E53" s="7" t="s">
        <v>111</v>
      </c>
      <c r="F53" s="7">
        <v>1</v>
      </c>
      <c r="G53" s="7">
        <f>3*INDEX([1]equip.xml!$I:$I,MATCH(D53&amp;"",[1]equip.xml!$A:$A,0))</f>
        <v>15000</v>
      </c>
      <c r="H53" s="7" t="s">
        <v>31</v>
      </c>
      <c r="I53" s="7">
        <v>13</v>
      </c>
      <c r="J53" s="7">
        <v>50</v>
      </c>
      <c r="K53" s="7" t="s">
        <v>293</v>
      </c>
      <c r="L53" s="7">
        <v>18</v>
      </c>
      <c r="M53" s="7">
        <f>IF(INDEX([1]equip.xml!$B:$B,MATCH(D53&amp;"",[1]equip.xml!$A:$A,0))=0,0,N53)</f>
        <v>65</v>
      </c>
      <c r="N53" s="7">
        <f>N31/2</f>
        <v>65</v>
      </c>
    </row>
    <row r="54" spans="1:14" s="4" customFormat="1">
      <c r="A54" s="8">
        <v>10005</v>
      </c>
      <c r="B54" s="8">
        <v>40000</v>
      </c>
      <c r="C54" s="8" t="s">
        <v>132</v>
      </c>
      <c r="D54" s="8" t="s">
        <v>68</v>
      </c>
      <c r="E54" s="8" t="s">
        <v>112</v>
      </c>
      <c r="F54" s="8">
        <v>1</v>
      </c>
      <c r="G54" s="8">
        <f>3*INDEX([1]equip.xml!$I:$I,MATCH(D54&amp;"",[1]equip.xml!$A:$A,0))</f>
        <v>15000</v>
      </c>
      <c r="H54" s="8" t="s">
        <v>31</v>
      </c>
      <c r="I54" s="8">
        <v>13</v>
      </c>
      <c r="J54" s="8">
        <v>50</v>
      </c>
      <c r="K54" s="7" t="s">
        <v>293</v>
      </c>
      <c r="L54" s="8">
        <v>18</v>
      </c>
      <c r="M54" s="8">
        <f>IF(INDEX([1]equip.xml!$B:$B,MATCH(D54&amp;"",[1]equip.xml!$A:$A,0))=0,0,N54)</f>
        <v>65</v>
      </c>
      <c r="N54" s="8">
        <f t="shared" ref="N54:N72" si="1">N32/2</f>
        <v>65</v>
      </c>
    </row>
    <row r="55" spans="1:14">
      <c r="A55" s="7">
        <v>10005</v>
      </c>
      <c r="B55" s="7">
        <v>40000</v>
      </c>
      <c r="C55" s="7" t="s">
        <v>132</v>
      </c>
      <c r="D55" s="7" t="s">
        <v>69</v>
      </c>
      <c r="E55" s="7" t="s">
        <v>113</v>
      </c>
      <c r="F55" s="7">
        <v>1</v>
      </c>
      <c r="G55" s="7">
        <f>3*INDEX([1]equip.xml!$I:$I,MATCH(D55&amp;"",[1]equip.xml!$A:$A,0))</f>
        <v>15000</v>
      </c>
      <c r="H55" s="7" t="s">
        <v>31</v>
      </c>
      <c r="I55" s="7">
        <v>13</v>
      </c>
      <c r="J55" s="7">
        <v>50</v>
      </c>
      <c r="K55" s="7" t="s">
        <v>293</v>
      </c>
      <c r="L55" s="7">
        <v>18</v>
      </c>
      <c r="M55" s="7">
        <f>IF(INDEX([1]equip.xml!$B:$B,MATCH(D55&amp;"",[1]equip.xml!$A:$A,0))=0,0,N55)</f>
        <v>0</v>
      </c>
      <c r="N55" s="7">
        <f t="shared" si="1"/>
        <v>65</v>
      </c>
    </row>
    <row r="56" spans="1:14">
      <c r="A56" s="7">
        <v>10005</v>
      </c>
      <c r="B56" s="7">
        <v>40000</v>
      </c>
      <c r="C56" s="7" t="s">
        <v>132</v>
      </c>
      <c r="D56" s="7" t="s">
        <v>70</v>
      </c>
      <c r="E56" s="7" t="s">
        <v>114</v>
      </c>
      <c r="F56" s="7">
        <v>1</v>
      </c>
      <c r="G56" s="7">
        <f>3*INDEX([1]equip.xml!$I:$I,MATCH(D56&amp;"",[1]equip.xml!$A:$A,0))</f>
        <v>15000</v>
      </c>
      <c r="H56" s="7" t="s">
        <v>31</v>
      </c>
      <c r="I56" s="7">
        <v>13</v>
      </c>
      <c r="J56" s="7">
        <v>50</v>
      </c>
      <c r="K56" s="7" t="s">
        <v>293</v>
      </c>
      <c r="L56" s="7">
        <v>18</v>
      </c>
      <c r="M56" s="7">
        <f>IF(INDEX([1]equip.xml!$B:$B,MATCH(D56&amp;"",[1]equip.xml!$A:$A,0))=0,0,N56)</f>
        <v>0</v>
      </c>
      <c r="N56" s="7">
        <f t="shared" si="1"/>
        <v>65</v>
      </c>
    </row>
    <row r="57" spans="1:14">
      <c r="A57" s="7">
        <v>10005</v>
      </c>
      <c r="B57" s="7">
        <v>40000</v>
      </c>
      <c r="C57" s="7" t="s">
        <v>132</v>
      </c>
      <c r="D57" s="7" t="s">
        <v>71</v>
      </c>
      <c r="E57" s="7" t="s">
        <v>115</v>
      </c>
      <c r="F57" s="7">
        <v>1</v>
      </c>
      <c r="G57" s="7">
        <f>3*INDEX([1]equip.xml!$I:$I,MATCH(D57&amp;"",[1]equip.xml!$A:$A,0))</f>
        <v>15000</v>
      </c>
      <c r="H57" s="7" t="s">
        <v>31</v>
      </c>
      <c r="I57" s="7">
        <v>13</v>
      </c>
      <c r="J57" s="7">
        <v>50</v>
      </c>
      <c r="K57" s="7" t="s">
        <v>293</v>
      </c>
      <c r="L57" s="7">
        <v>18</v>
      </c>
      <c r="M57" s="7">
        <f>IF(INDEX([1]equip.xml!$B:$B,MATCH(D57&amp;"",[1]equip.xml!$A:$A,0))=0,0,N57)</f>
        <v>65</v>
      </c>
      <c r="N57" s="7">
        <f t="shared" si="1"/>
        <v>65</v>
      </c>
    </row>
    <row r="58" spans="1:14">
      <c r="A58" s="7">
        <v>10005</v>
      </c>
      <c r="B58" s="7">
        <v>40000</v>
      </c>
      <c r="C58" s="7" t="s">
        <v>132</v>
      </c>
      <c r="D58" s="7" t="s">
        <v>72</v>
      </c>
      <c r="E58" s="7" t="s">
        <v>116</v>
      </c>
      <c r="F58" s="7">
        <v>1</v>
      </c>
      <c r="G58" s="7">
        <f>3*INDEX([1]equip.xml!$I:$I,MATCH(D58&amp;"",[1]equip.xml!$A:$A,0))</f>
        <v>15000</v>
      </c>
      <c r="H58" s="7" t="s">
        <v>31</v>
      </c>
      <c r="I58" s="7">
        <v>13</v>
      </c>
      <c r="J58" s="7">
        <v>50</v>
      </c>
      <c r="K58" s="7" t="s">
        <v>293</v>
      </c>
      <c r="L58" s="7">
        <v>18</v>
      </c>
      <c r="M58" s="7">
        <f>IF(INDEX([1]equip.xml!$B:$B,MATCH(D58&amp;"",[1]equip.xml!$A:$A,0))=0,0,N58)</f>
        <v>65</v>
      </c>
      <c r="N58" s="7">
        <f t="shared" si="1"/>
        <v>65</v>
      </c>
    </row>
    <row r="59" spans="1:14">
      <c r="A59" s="7">
        <v>10005</v>
      </c>
      <c r="B59" s="7">
        <v>40000</v>
      </c>
      <c r="C59" s="7" t="s">
        <v>132</v>
      </c>
      <c r="D59" s="7" t="s">
        <v>73</v>
      </c>
      <c r="E59" s="7" t="s">
        <v>117</v>
      </c>
      <c r="F59" s="7">
        <v>1</v>
      </c>
      <c r="G59" s="7">
        <f>3*INDEX([1]equip.xml!$I:$I,MATCH(D59&amp;"",[1]equip.xml!$A:$A,0))</f>
        <v>24000</v>
      </c>
      <c r="H59" s="7" t="s">
        <v>31</v>
      </c>
      <c r="I59" s="7">
        <v>13</v>
      </c>
      <c r="J59" s="7">
        <v>50</v>
      </c>
      <c r="K59" s="7" t="s">
        <v>293</v>
      </c>
      <c r="L59" s="7">
        <v>18</v>
      </c>
      <c r="M59" s="7">
        <f>IF(INDEX([1]equip.xml!$B:$B,MATCH(D59&amp;"",[1]equip.xml!$A:$A,0))=0,0,N59)</f>
        <v>65</v>
      </c>
      <c r="N59" s="7">
        <f t="shared" si="1"/>
        <v>65</v>
      </c>
    </row>
    <row r="60" spans="1:14">
      <c r="A60" s="7">
        <v>10005</v>
      </c>
      <c r="B60" s="7">
        <v>40000</v>
      </c>
      <c r="C60" s="7" t="s">
        <v>132</v>
      </c>
      <c r="D60" s="7" t="s">
        <v>74</v>
      </c>
      <c r="E60" s="7" t="s">
        <v>118</v>
      </c>
      <c r="F60" s="7">
        <v>1</v>
      </c>
      <c r="G60" s="7">
        <f>3*INDEX([1]equip.xml!$I:$I,MATCH(D60&amp;"",[1]equip.xml!$A:$A,0))</f>
        <v>15000</v>
      </c>
      <c r="H60" s="7" t="s">
        <v>31</v>
      </c>
      <c r="I60" s="7">
        <v>13</v>
      </c>
      <c r="J60" s="7">
        <v>50</v>
      </c>
      <c r="K60" s="7" t="s">
        <v>293</v>
      </c>
      <c r="L60" s="7">
        <v>18</v>
      </c>
      <c r="M60" s="7">
        <f>IF(INDEX([1]equip.xml!$B:$B,MATCH(D60&amp;"",[1]equip.xml!$A:$A,0))=0,0,N60)</f>
        <v>65</v>
      </c>
      <c r="N60" s="7">
        <f t="shared" si="1"/>
        <v>65</v>
      </c>
    </row>
    <row r="61" spans="1:14">
      <c r="A61" s="7">
        <v>10005</v>
      </c>
      <c r="B61" s="7">
        <v>40000</v>
      </c>
      <c r="C61" s="7" t="s">
        <v>132</v>
      </c>
      <c r="D61" s="7" t="s">
        <v>75</v>
      </c>
      <c r="E61" s="7" t="s">
        <v>119</v>
      </c>
      <c r="F61" s="7">
        <v>1</v>
      </c>
      <c r="G61" s="7">
        <f>3*INDEX([1]equip.xml!$I:$I,MATCH(D61&amp;"",[1]equip.xml!$A:$A,0))</f>
        <v>24000</v>
      </c>
      <c r="H61" s="7" t="s">
        <v>31</v>
      </c>
      <c r="I61" s="7">
        <v>13</v>
      </c>
      <c r="J61" s="7">
        <v>50</v>
      </c>
      <c r="K61" s="7" t="s">
        <v>293</v>
      </c>
      <c r="L61" s="7">
        <v>18</v>
      </c>
      <c r="M61" s="7">
        <f>IF(INDEX([1]equip.xml!$B:$B,MATCH(D61&amp;"",[1]equip.xml!$A:$A,0))=0,0,N61)</f>
        <v>0</v>
      </c>
      <c r="N61" s="7">
        <f t="shared" si="1"/>
        <v>65</v>
      </c>
    </row>
    <row r="62" spans="1:14">
      <c r="A62" s="7">
        <v>10005</v>
      </c>
      <c r="B62" s="7">
        <v>40000</v>
      </c>
      <c r="C62" s="7" t="s">
        <v>132</v>
      </c>
      <c r="D62" s="7" t="s">
        <v>76</v>
      </c>
      <c r="E62" s="7" t="s">
        <v>120</v>
      </c>
      <c r="F62" s="7">
        <v>1</v>
      </c>
      <c r="G62" s="7">
        <f>3*INDEX([1]equip.xml!$I:$I,MATCH(D62&amp;"",[1]equip.xml!$A:$A,0))</f>
        <v>15000</v>
      </c>
      <c r="H62" s="7" t="s">
        <v>31</v>
      </c>
      <c r="I62" s="7">
        <v>13</v>
      </c>
      <c r="J62" s="7">
        <v>50</v>
      </c>
      <c r="K62" s="7" t="s">
        <v>293</v>
      </c>
      <c r="L62" s="7">
        <v>18</v>
      </c>
      <c r="M62" s="7">
        <f>IF(INDEX([1]equip.xml!$B:$B,MATCH(D62&amp;"",[1]equip.xml!$A:$A,0))=0,0,N62)</f>
        <v>65</v>
      </c>
      <c r="N62" s="7">
        <f t="shared" si="1"/>
        <v>65</v>
      </c>
    </row>
    <row r="63" spans="1:14">
      <c r="A63" s="7">
        <v>10005</v>
      </c>
      <c r="B63" s="7">
        <v>40000</v>
      </c>
      <c r="C63" s="7" t="s">
        <v>132</v>
      </c>
      <c r="D63" s="7" t="s">
        <v>77</v>
      </c>
      <c r="E63" s="7" t="s">
        <v>121</v>
      </c>
      <c r="F63" s="7">
        <v>1</v>
      </c>
      <c r="G63" s="7">
        <f>3*INDEX([1]equip.xml!$I:$I,MATCH(D63&amp;"",[1]equip.xml!$A:$A,0))</f>
        <v>24000</v>
      </c>
      <c r="H63" s="7" t="s">
        <v>31</v>
      </c>
      <c r="I63" s="7">
        <v>13</v>
      </c>
      <c r="J63" s="7">
        <v>50</v>
      </c>
      <c r="K63" s="7" t="s">
        <v>293</v>
      </c>
      <c r="L63" s="7">
        <v>18</v>
      </c>
      <c r="M63" s="7">
        <f>IF(INDEX([1]equip.xml!$B:$B,MATCH(D63&amp;"",[1]equip.xml!$A:$A,0))=0,0,N63)</f>
        <v>65</v>
      </c>
      <c r="N63" s="7">
        <f t="shared" si="1"/>
        <v>65</v>
      </c>
    </row>
    <row r="64" spans="1:14">
      <c r="A64" s="7">
        <v>10005</v>
      </c>
      <c r="B64" s="7">
        <v>40000</v>
      </c>
      <c r="C64" s="7" t="s">
        <v>132</v>
      </c>
      <c r="D64" s="7" t="s">
        <v>78</v>
      </c>
      <c r="E64" s="7" t="s">
        <v>122</v>
      </c>
      <c r="F64" s="7">
        <v>1</v>
      </c>
      <c r="G64" s="7">
        <f>3*INDEX([1]equip.xml!$I:$I,MATCH(D64&amp;"",[1]equip.xml!$A:$A,0))</f>
        <v>15000</v>
      </c>
      <c r="H64" s="7" t="s">
        <v>31</v>
      </c>
      <c r="I64" s="7">
        <v>13</v>
      </c>
      <c r="J64" s="7">
        <v>50</v>
      </c>
      <c r="K64" s="7" t="s">
        <v>293</v>
      </c>
      <c r="L64" s="7">
        <v>18</v>
      </c>
      <c r="M64" s="7">
        <f>IF(INDEX([1]equip.xml!$B:$B,MATCH(D64&amp;"",[1]equip.xml!$A:$A,0))=0,0,N64)</f>
        <v>65</v>
      </c>
      <c r="N64" s="7">
        <f t="shared" si="1"/>
        <v>65</v>
      </c>
    </row>
    <row r="65" spans="1:14">
      <c r="A65" s="7">
        <v>10005</v>
      </c>
      <c r="B65" s="7">
        <v>40000</v>
      </c>
      <c r="C65" s="7" t="s">
        <v>132</v>
      </c>
      <c r="D65" s="7" t="s">
        <v>79</v>
      </c>
      <c r="E65" s="7" t="s">
        <v>123</v>
      </c>
      <c r="F65" s="7">
        <v>1</v>
      </c>
      <c r="G65" s="7">
        <f>3*INDEX([1]equip.xml!$I:$I,MATCH(D65&amp;"",[1]equip.xml!$A:$A,0))</f>
        <v>24000</v>
      </c>
      <c r="H65" s="7" t="s">
        <v>31</v>
      </c>
      <c r="I65" s="7">
        <v>13</v>
      </c>
      <c r="J65" s="7">
        <v>50</v>
      </c>
      <c r="K65" s="7" t="s">
        <v>293</v>
      </c>
      <c r="L65" s="7">
        <v>18</v>
      </c>
      <c r="M65" s="7">
        <f>IF(INDEX([1]equip.xml!$B:$B,MATCH(D65&amp;"",[1]equip.xml!$A:$A,0))=0,0,N65)</f>
        <v>0</v>
      </c>
      <c r="N65" s="7">
        <f t="shared" si="1"/>
        <v>65</v>
      </c>
    </row>
    <row r="66" spans="1:14">
      <c r="A66" s="7">
        <v>10005</v>
      </c>
      <c r="B66" s="7">
        <v>40000</v>
      </c>
      <c r="C66" s="7" t="s">
        <v>132</v>
      </c>
      <c r="D66" s="7" t="s">
        <v>80</v>
      </c>
      <c r="E66" s="7" t="s">
        <v>124</v>
      </c>
      <c r="F66" s="7">
        <v>1</v>
      </c>
      <c r="G66" s="7">
        <f>3*INDEX([1]equip.xml!$I:$I,MATCH(D66&amp;"",[1]equip.xml!$A:$A,0))</f>
        <v>15000</v>
      </c>
      <c r="H66" s="7" t="s">
        <v>31</v>
      </c>
      <c r="I66" s="7">
        <v>13</v>
      </c>
      <c r="J66" s="7">
        <v>50</v>
      </c>
      <c r="K66" s="7" t="s">
        <v>293</v>
      </c>
      <c r="L66" s="7">
        <v>18</v>
      </c>
      <c r="M66" s="7">
        <f>IF(INDEX([1]equip.xml!$B:$B,MATCH(D66&amp;"",[1]equip.xml!$A:$A,0))=0,0,N66)</f>
        <v>65</v>
      </c>
      <c r="N66" s="7">
        <f t="shared" si="1"/>
        <v>65</v>
      </c>
    </row>
    <row r="67" spans="1:14">
      <c r="A67" s="7">
        <v>10005</v>
      </c>
      <c r="B67" s="7">
        <v>40000</v>
      </c>
      <c r="C67" s="7" t="s">
        <v>132</v>
      </c>
      <c r="D67" s="7" t="s">
        <v>81</v>
      </c>
      <c r="E67" s="7" t="s">
        <v>125</v>
      </c>
      <c r="F67" s="7">
        <v>1</v>
      </c>
      <c r="G67" s="7">
        <f>3*INDEX([1]equip.xml!$I:$I,MATCH(D67&amp;"",[1]equip.xml!$A:$A,0))</f>
        <v>24000</v>
      </c>
      <c r="H67" s="7" t="s">
        <v>31</v>
      </c>
      <c r="I67" s="7">
        <v>13</v>
      </c>
      <c r="J67" s="7">
        <v>50</v>
      </c>
      <c r="K67" s="7" t="s">
        <v>293</v>
      </c>
      <c r="L67" s="7">
        <v>18</v>
      </c>
      <c r="M67" s="7">
        <f>IF(INDEX([1]equip.xml!$B:$B,MATCH(D67&amp;"",[1]equip.xml!$A:$A,0))=0,0,N67)</f>
        <v>65</v>
      </c>
      <c r="N67" s="7">
        <f t="shared" si="1"/>
        <v>65</v>
      </c>
    </row>
    <row r="68" spans="1:14">
      <c r="A68" s="7">
        <v>10005</v>
      </c>
      <c r="B68" s="7">
        <v>40000</v>
      </c>
      <c r="C68" s="7" t="s">
        <v>132</v>
      </c>
      <c r="D68" s="7" t="s">
        <v>82</v>
      </c>
      <c r="E68" s="7" t="s">
        <v>126</v>
      </c>
      <c r="F68" s="7">
        <v>1</v>
      </c>
      <c r="G68" s="7">
        <f>3*INDEX([1]equip.xml!$I:$I,MATCH(D68&amp;"",[1]equip.xml!$A:$A,0))</f>
        <v>15000</v>
      </c>
      <c r="H68" s="7" t="s">
        <v>31</v>
      </c>
      <c r="I68" s="7">
        <v>13</v>
      </c>
      <c r="J68" s="7">
        <v>50</v>
      </c>
      <c r="K68" s="7" t="s">
        <v>293</v>
      </c>
      <c r="L68" s="7">
        <v>18</v>
      </c>
      <c r="M68" s="7">
        <f>IF(INDEX([1]equip.xml!$B:$B,MATCH(D68&amp;"",[1]equip.xml!$A:$A,0))=0,0,N68)</f>
        <v>65</v>
      </c>
      <c r="N68" s="7">
        <f t="shared" si="1"/>
        <v>65</v>
      </c>
    </row>
    <row r="69" spans="1:14">
      <c r="A69" s="7">
        <v>10005</v>
      </c>
      <c r="B69" s="7">
        <v>40000</v>
      </c>
      <c r="C69" s="7" t="s">
        <v>132</v>
      </c>
      <c r="D69" s="7" t="s">
        <v>83</v>
      </c>
      <c r="E69" s="7" t="s">
        <v>127</v>
      </c>
      <c r="F69" s="7">
        <v>1</v>
      </c>
      <c r="G69" s="7">
        <f>3*INDEX([1]equip.xml!$I:$I,MATCH(D69&amp;"",[1]equip.xml!$A:$A,0))</f>
        <v>24000</v>
      </c>
      <c r="H69" s="7" t="s">
        <v>31</v>
      </c>
      <c r="I69" s="7">
        <v>13</v>
      </c>
      <c r="J69" s="7">
        <v>50</v>
      </c>
      <c r="K69" s="7" t="s">
        <v>293</v>
      </c>
      <c r="L69" s="7">
        <v>18</v>
      </c>
      <c r="M69" s="7">
        <f>IF(INDEX([1]equip.xml!$B:$B,MATCH(D69&amp;"",[1]equip.xml!$A:$A,0))=0,0,N69)</f>
        <v>0</v>
      </c>
      <c r="N69" s="7">
        <f t="shared" si="1"/>
        <v>65</v>
      </c>
    </row>
    <row r="70" spans="1:14">
      <c r="A70" s="7">
        <v>10005</v>
      </c>
      <c r="B70" s="7">
        <v>40000</v>
      </c>
      <c r="C70" s="7" t="s">
        <v>132</v>
      </c>
      <c r="D70" s="7" t="s">
        <v>84</v>
      </c>
      <c r="E70" s="7" t="s">
        <v>128</v>
      </c>
      <c r="F70" s="7">
        <v>1</v>
      </c>
      <c r="G70" s="7">
        <f>3*INDEX([1]equip.xml!$I:$I,MATCH(D70&amp;"",[1]equip.xml!$A:$A,0))</f>
        <v>15000</v>
      </c>
      <c r="H70" s="7" t="s">
        <v>31</v>
      </c>
      <c r="I70" s="7">
        <v>13</v>
      </c>
      <c r="J70" s="7">
        <v>50</v>
      </c>
      <c r="K70" s="7" t="s">
        <v>293</v>
      </c>
      <c r="L70" s="7">
        <v>18</v>
      </c>
      <c r="M70" s="7">
        <f>IF(INDEX([1]equip.xml!$B:$B,MATCH(D70&amp;"",[1]equip.xml!$A:$A,0))=0,0,N70)</f>
        <v>65</v>
      </c>
      <c r="N70" s="7">
        <f t="shared" si="1"/>
        <v>65</v>
      </c>
    </row>
    <row r="71" spans="1:14">
      <c r="A71" s="7">
        <v>10005</v>
      </c>
      <c r="B71" s="7">
        <v>40000</v>
      </c>
      <c r="C71" s="7" t="s">
        <v>132</v>
      </c>
      <c r="D71" s="7" t="s">
        <v>85</v>
      </c>
      <c r="E71" s="7" t="s">
        <v>129</v>
      </c>
      <c r="F71" s="7">
        <v>1</v>
      </c>
      <c r="G71" s="7">
        <f>3*INDEX([1]equip.xml!$I:$I,MATCH(D71&amp;"",[1]equip.xml!$A:$A,0))</f>
        <v>24000</v>
      </c>
      <c r="H71" s="7" t="s">
        <v>31</v>
      </c>
      <c r="I71" s="7">
        <v>13</v>
      </c>
      <c r="J71" s="7">
        <v>50</v>
      </c>
      <c r="K71" s="7" t="s">
        <v>293</v>
      </c>
      <c r="L71" s="7">
        <v>18</v>
      </c>
      <c r="M71" s="7">
        <f>IF(INDEX([1]equip.xml!$B:$B,MATCH(D71&amp;"",[1]equip.xml!$A:$A,0))=0,0,N71)</f>
        <v>65</v>
      </c>
      <c r="N71" s="7">
        <f t="shared" si="1"/>
        <v>65</v>
      </c>
    </row>
    <row r="72" spans="1:14">
      <c r="A72" s="7">
        <v>10005</v>
      </c>
      <c r="B72" s="7">
        <v>40000</v>
      </c>
      <c r="C72" s="7" t="s">
        <v>132</v>
      </c>
      <c r="D72" s="7" t="s">
        <v>86</v>
      </c>
      <c r="E72" s="7" t="s">
        <v>130</v>
      </c>
      <c r="F72" s="7">
        <v>1</v>
      </c>
      <c r="G72" s="7">
        <f>3*INDEX([1]equip.xml!$I:$I,MATCH(D72&amp;"",[1]equip.xml!$A:$A,0))</f>
        <v>15000</v>
      </c>
      <c r="H72" s="7" t="s">
        <v>31</v>
      </c>
      <c r="I72" s="7">
        <v>13</v>
      </c>
      <c r="J72" s="7">
        <v>50</v>
      </c>
      <c r="K72" s="7" t="s">
        <v>293</v>
      </c>
      <c r="L72" s="7">
        <v>18</v>
      </c>
      <c r="M72" s="7">
        <f>IF(INDEX([1]equip.xml!$B:$B,MATCH(D72&amp;"",[1]equip.xml!$A:$A,0))=0,0,N72)</f>
        <v>65</v>
      </c>
      <c r="N72" s="7">
        <f t="shared" si="1"/>
        <v>65</v>
      </c>
    </row>
    <row r="73" spans="1:14">
      <c r="A73" s="7">
        <v>10005</v>
      </c>
      <c r="B73" s="7">
        <v>40000</v>
      </c>
      <c r="C73" s="7" t="s">
        <v>132</v>
      </c>
      <c r="D73" s="7" t="s">
        <v>87</v>
      </c>
      <c r="E73" s="7" t="s">
        <v>131</v>
      </c>
      <c r="F73" s="7">
        <v>1</v>
      </c>
      <c r="G73" s="7">
        <f>3*INDEX([1]equip.xml!$I:$I,MATCH(D73&amp;"",[1]equip.xml!$A:$A,0))</f>
        <v>24000</v>
      </c>
      <c r="H73" s="7" t="s">
        <v>31</v>
      </c>
      <c r="I73" s="7">
        <v>13</v>
      </c>
      <c r="J73" s="7">
        <v>50</v>
      </c>
      <c r="K73" s="7" t="s">
        <v>293</v>
      </c>
      <c r="L73" s="7">
        <v>18</v>
      </c>
      <c r="M73" s="7">
        <f>IF(INDEX([1]equip.xml!$B:$B,MATCH(D73&amp;"",[1]equip.xml!$A:$A,0))=0,0,N73)</f>
        <v>65</v>
      </c>
      <c r="N73" s="7">
        <v>65</v>
      </c>
    </row>
    <row r="74" spans="1:14">
      <c r="A74" s="7">
        <v>10005</v>
      </c>
      <c r="B74" s="7">
        <v>40000</v>
      </c>
      <c r="C74" s="7" t="s">
        <v>132</v>
      </c>
      <c r="D74" s="7">
        <f>D30+10000005</f>
        <v>50010015</v>
      </c>
      <c r="E74" s="7" t="s">
        <v>133</v>
      </c>
      <c r="F74" s="7">
        <v>1</v>
      </c>
      <c r="G74" s="7">
        <f>3*INDEX([1]equip.xml!$I:$I,MATCH(D74,[1]equip.xml!$A:$A,0))</f>
        <v>6000</v>
      </c>
      <c r="H74" s="7" t="s">
        <v>31</v>
      </c>
      <c r="I74" s="7">
        <v>13</v>
      </c>
      <c r="J74" s="7">
        <v>240</v>
      </c>
      <c r="K74" s="7" t="s">
        <v>293</v>
      </c>
      <c r="L74" s="7">
        <v>18</v>
      </c>
      <c r="M74" s="7">
        <f>IF(INDEX([1]equip.xml!$B:$B,MATCH(D74,[1]equip.xml!$A:$A,0))=0,0,N74)</f>
        <v>0</v>
      </c>
      <c r="N74" s="7">
        <v>70</v>
      </c>
    </row>
    <row r="75" spans="1:14">
      <c r="A75" s="7">
        <v>10005</v>
      </c>
      <c r="B75" s="7">
        <v>40000</v>
      </c>
      <c r="C75" s="7" t="s">
        <v>132</v>
      </c>
      <c r="D75" s="7">
        <f t="shared" ref="D75:D117" si="2">D31+10000005</f>
        <v>50010025</v>
      </c>
      <c r="E75" s="7" t="s">
        <v>134</v>
      </c>
      <c r="F75" s="7">
        <v>1</v>
      </c>
      <c r="G75" s="7">
        <f>3*INDEX([1]equip.xml!$I:$I,MATCH(D75,[1]equip.xml!$A:$A,0))</f>
        <v>6000</v>
      </c>
      <c r="H75" s="7" t="s">
        <v>31</v>
      </c>
      <c r="I75" s="7">
        <v>13</v>
      </c>
      <c r="J75" s="7">
        <v>240</v>
      </c>
      <c r="K75" s="7" t="s">
        <v>293</v>
      </c>
      <c r="L75" s="7">
        <v>18</v>
      </c>
      <c r="M75" s="7">
        <f>IF(INDEX([1]equip.xml!$B:$B,MATCH(D75,[1]equip.xml!$A:$A,0))=0,0,N75)</f>
        <v>0</v>
      </c>
      <c r="N75" s="7">
        <v>70</v>
      </c>
    </row>
    <row r="76" spans="1:14">
      <c r="A76" s="7">
        <v>10005</v>
      </c>
      <c r="B76" s="7">
        <v>40000</v>
      </c>
      <c r="C76" s="7" t="s">
        <v>132</v>
      </c>
      <c r="D76" s="7">
        <f t="shared" si="2"/>
        <v>50010035</v>
      </c>
      <c r="E76" s="7" t="s">
        <v>135</v>
      </c>
      <c r="F76" s="7">
        <v>1</v>
      </c>
      <c r="G76" s="7">
        <f>3*INDEX([1]equip.xml!$I:$I,MATCH(D76,[1]equip.xml!$A:$A,0))</f>
        <v>6000</v>
      </c>
      <c r="H76" s="7" t="s">
        <v>31</v>
      </c>
      <c r="I76" s="7">
        <v>13</v>
      </c>
      <c r="J76" s="7">
        <v>240</v>
      </c>
      <c r="K76" s="7" t="s">
        <v>293</v>
      </c>
      <c r="L76" s="7">
        <v>18</v>
      </c>
      <c r="M76" s="7">
        <f>IF(INDEX([1]equip.xml!$B:$B,MATCH(D76,[1]equip.xml!$A:$A,0))=0,0,N76)</f>
        <v>0</v>
      </c>
      <c r="N76" s="7">
        <v>70</v>
      </c>
    </row>
    <row r="77" spans="1:14">
      <c r="A77" s="7">
        <v>10005</v>
      </c>
      <c r="B77" s="7">
        <v>40000</v>
      </c>
      <c r="C77" s="7" t="s">
        <v>132</v>
      </c>
      <c r="D77" s="7">
        <f t="shared" si="2"/>
        <v>50010085</v>
      </c>
      <c r="E77" s="7" t="s">
        <v>136</v>
      </c>
      <c r="F77" s="7">
        <v>1</v>
      </c>
      <c r="G77" s="7">
        <f>3*INDEX([1]equip.xml!$I:$I,MATCH(D77,[1]equip.xml!$A:$A,0))</f>
        <v>6000</v>
      </c>
      <c r="H77" s="7" t="s">
        <v>31</v>
      </c>
      <c r="I77" s="7">
        <v>13</v>
      </c>
      <c r="J77" s="7">
        <v>240</v>
      </c>
      <c r="K77" s="7" t="s">
        <v>293</v>
      </c>
      <c r="L77" s="7">
        <v>18</v>
      </c>
      <c r="M77" s="7">
        <f>IF(INDEX([1]equip.xml!$B:$B,MATCH(D77,[1]equip.xml!$A:$A,0))=0,0,N77)</f>
        <v>70</v>
      </c>
      <c r="N77" s="7">
        <v>70</v>
      </c>
    </row>
    <row r="78" spans="1:14">
      <c r="A78" s="7">
        <v>10005</v>
      </c>
      <c r="B78" s="7">
        <v>40000</v>
      </c>
      <c r="C78" s="7" t="s">
        <v>132</v>
      </c>
      <c r="D78" s="7">
        <f t="shared" si="2"/>
        <v>50010095</v>
      </c>
      <c r="E78" s="7" t="s">
        <v>137</v>
      </c>
      <c r="F78" s="7">
        <v>1</v>
      </c>
      <c r="G78" s="7">
        <f>3*INDEX([1]equip.xml!$I:$I,MATCH(D78,[1]equip.xml!$A:$A,0))</f>
        <v>6000</v>
      </c>
      <c r="H78" s="7" t="s">
        <v>31</v>
      </c>
      <c r="I78" s="7">
        <v>13</v>
      </c>
      <c r="J78" s="7">
        <v>240</v>
      </c>
      <c r="K78" s="7" t="s">
        <v>293</v>
      </c>
      <c r="L78" s="7">
        <v>18</v>
      </c>
      <c r="M78" s="7">
        <f>IF(INDEX([1]equip.xml!$B:$B,MATCH(D78,[1]equip.xml!$A:$A,0))=0,0,N78)</f>
        <v>70</v>
      </c>
      <c r="N78" s="7">
        <v>70</v>
      </c>
    </row>
    <row r="79" spans="1:14">
      <c r="A79" s="7">
        <v>10005</v>
      </c>
      <c r="B79" s="7">
        <v>40000</v>
      </c>
      <c r="C79" s="7" t="s">
        <v>132</v>
      </c>
      <c r="D79" s="7">
        <f t="shared" si="2"/>
        <v>50010105</v>
      </c>
      <c r="E79" s="7" t="s">
        <v>138</v>
      </c>
      <c r="F79" s="7">
        <v>1</v>
      </c>
      <c r="G79" s="7">
        <f>3*INDEX([1]equip.xml!$I:$I,MATCH(D79,[1]equip.xml!$A:$A,0))</f>
        <v>6000</v>
      </c>
      <c r="H79" s="7" t="s">
        <v>31</v>
      </c>
      <c r="I79" s="7">
        <v>13</v>
      </c>
      <c r="J79" s="7">
        <v>240</v>
      </c>
      <c r="K79" s="7" t="s">
        <v>293</v>
      </c>
      <c r="L79" s="7">
        <v>18</v>
      </c>
      <c r="M79" s="7">
        <f>IF(INDEX([1]equip.xml!$B:$B,MATCH(D79,[1]equip.xml!$A:$A,0))=0,0,N79)</f>
        <v>0</v>
      </c>
      <c r="N79" s="7">
        <v>70</v>
      </c>
    </row>
    <row r="80" spans="1:14">
      <c r="A80" s="7">
        <v>10005</v>
      </c>
      <c r="B80" s="7">
        <v>40000</v>
      </c>
      <c r="C80" s="7" t="s">
        <v>132</v>
      </c>
      <c r="D80" s="7">
        <f t="shared" si="2"/>
        <v>50011055</v>
      </c>
      <c r="E80" s="7" t="s">
        <v>139</v>
      </c>
      <c r="F80" s="7">
        <v>1</v>
      </c>
      <c r="G80" s="7">
        <f>3*INDEX([1]equip.xml!$I:$I,MATCH(D80,[1]equip.xml!$A:$A,0))</f>
        <v>6000</v>
      </c>
      <c r="H80" s="7" t="s">
        <v>31</v>
      </c>
      <c r="I80" s="7">
        <v>13</v>
      </c>
      <c r="J80" s="7">
        <v>240</v>
      </c>
      <c r="K80" s="7" t="s">
        <v>293</v>
      </c>
      <c r="L80" s="7">
        <v>18</v>
      </c>
      <c r="M80" s="7">
        <f>IF(INDEX([1]equip.xml!$B:$B,MATCH(D80,[1]equip.xml!$A:$A,0))=0,0,N80)</f>
        <v>70</v>
      </c>
      <c r="N80" s="7">
        <v>70</v>
      </c>
    </row>
    <row r="81" spans="1:14">
      <c r="A81" s="7">
        <v>10005</v>
      </c>
      <c r="B81" s="7">
        <v>40000</v>
      </c>
      <c r="C81" s="7" t="s">
        <v>132</v>
      </c>
      <c r="D81" s="7">
        <f t="shared" si="2"/>
        <v>50011056</v>
      </c>
      <c r="E81" s="7" t="s">
        <v>140</v>
      </c>
      <c r="F81" s="7">
        <v>1</v>
      </c>
      <c r="G81" s="7">
        <f>3*INDEX([1]equip.xml!$I:$I,MATCH(D81,[1]equip.xml!$A:$A,0))</f>
        <v>24000</v>
      </c>
      <c r="H81" s="7" t="s">
        <v>31</v>
      </c>
      <c r="I81" s="7">
        <v>13</v>
      </c>
      <c r="J81" s="7">
        <v>240</v>
      </c>
      <c r="K81" s="7" t="s">
        <v>293</v>
      </c>
      <c r="L81" s="7">
        <v>18</v>
      </c>
      <c r="M81" s="7">
        <f>IF(INDEX([1]equip.xml!$B:$B,MATCH(D81,[1]equip.xml!$A:$A,0))=0,0,N81)</f>
        <v>70</v>
      </c>
      <c r="N81" s="7">
        <v>70</v>
      </c>
    </row>
    <row r="82" spans="1:14">
      <c r="A82" s="7">
        <v>10005</v>
      </c>
      <c r="B82" s="7">
        <v>40000</v>
      </c>
      <c r="C82" s="7" t="s">
        <v>132</v>
      </c>
      <c r="D82" s="7">
        <f t="shared" si="2"/>
        <v>50011065</v>
      </c>
      <c r="E82" s="7" t="s">
        <v>141</v>
      </c>
      <c r="F82" s="7">
        <v>1</v>
      </c>
      <c r="G82" s="7">
        <f>3*INDEX([1]equip.xml!$I:$I,MATCH(D82,[1]equip.xml!$A:$A,0))</f>
        <v>6000</v>
      </c>
      <c r="H82" s="7" t="s">
        <v>31</v>
      </c>
      <c r="I82" s="7">
        <v>13</v>
      </c>
      <c r="J82" s="7">
        <v>240</v>
      </c>
      <c r="K82" s="7" t="s">
        <v>293</v>
      </c>
      <c r="L82" s="7">
        <v>18</v>
      </c>
      <c r="M82" s="7">
        <f>IF(INDEX([1]equip.xml!$B:$B,MATCH(D82,[1]equip.xml!$A:$A,0))=0,0,N82)</f>
        <v>70</v>
      </c>
      <c r="N82" s="7">
        <v>70</v>
      </c>
    </row>
    <row r="83" spans="1:14">
      <c r="A83" s="7">
        <v>10005</v>
      </c>
      <c r="B83" s="7">
        <v>40000</v>
      </c>
      <c r="C83" s="7" t="s">
        <v>132</v>
      </c>
      <c r="D83" s="7">
        <f t="shared" si="2"/>
        <v>50011066</v>
      </c>
      <c r="E83" s="7" t="s">
        <v>142</v>
      </c>
      <c r="F83" s="7">
        <v>1</v>
      </c>
      <c r="G83" s="7">
        <f>3*INDEX([1]equip.xml!$I:$I,MATCH(D83,[1]equip.xml!$A:$A,0))</f>
        <v>24000</v>
      </c>
      <c r="H83" s="7" t="s">
        <v>31</v>
      </c>
      <c r="I83" s="7">
        <v>13</v>
      </c>
      <c r="J83" s="7">
        <v>240</v>
      </c>
      <c r="K83" s="7" t="s">
        <v>293</v>
      </c>
      <c r="L83" s="7">
        <v>18</v>
      </c>
      <c r="M83" s="7">
        <f>IF(INDEX([1]equip.xml!$B:$B,MATCH(D83,[1]equip.xml!$A:$A,0))=0,0,N83)</f>
        <v>0</v>
      </c>
      <c r="N83" s="7">
        <v>70</v>
      </c>
    </row>
    <row r="84" spans="1:14">
      <c r="A84" s="7">
        <v>10005</v>
      </c>
      <c r="B84" s="7">
        <v>40000</v>
      </c>
      <c r="C84" s="7" t="s">
        <v>132</v>
      </c>
      <c r="D84" s="7">
        <f t="shared" si="2"/>
        <v>50012055</v>
      </c>
      <c r="E84" s="7" t="s">
        <v>143</v>
      </c>
      <c r="F84" s="7">
        <v>1</v>
      </c>
      <c r="G84" s="7">
        <f>3*INDEX([1]equip.xml!$I:$I,MATCH(D84,[1]equip.xml!$A:$A,0))</f>
        <v>6000</v>
      </c>
      <c r="H84" s="7" t="s">
        <v>31</v>
      </c>
      <c r="I84" s="7">
        <v>13</v>
      </c>
      <c r="J84" s="7">
        <v>240</v>
      </c>
      <c r="K84" s="7" t="s">
        <v>293</v>
      </c>
      <c r="L84" s="7">
        <v>18</v>
      </c>
      <c r="M84" s="7">
        <f>IF(INDEX([1]equip.xml!$B:$B,MATCH(D84,[1]equip.xml!$A:$A,0))=0,0,N84)</f>
        <v>70</v>
      </c>
      <c r="N84" s="7">
        <v>70</v>
      </c>
    </row>
    <row r="85" spans="1:14">
      <c r="A85" s="7">
        <v>10005</v>
      </c>
      <c r="B85" s="7">
        <v>40000</v>
      </c>
      <c r="C85" s="7" t="s">
        <v>132</v>
      </c>
      <c r="D85" s="7">
        <f t="shared" si="2"/>
        <v>50012056</v>
      </c>
      <c r="E85" s="7" t="s">
        <v>144</v>
      </c>
      <c r="F85" s="7">
        <v>1</v>
      </c>
      <c r="G85" s="7">
        <f>3*INDEX([1]equip.xml!$I:$I,MATCH(D85,[1]equip.xml!$A:$A,0))</f>
        <v>24000</v>
      </c>
      <c r="H85" s="7" t="s">
        <v>31</v>
      </c>
      <c r="I85" s="7">
        <v>13</v>
      </c>
      <c r="J85" s="7">
        <v>240</v>
      </c>
      <c r="K85" s="7" t="s">
        <v>293</v>
      </c>
      <c r="L85" s="7">
        <v>18</v>
      </c>
      <c r="M85" s="7">
        <f>IF(INDEX([1]equip.xml!$B:$B,MATCH(D85,[1]equip.xml!$A:$A,0))=0,0,N85)</f>
        <v>70</v>
      </c>
      <c r="N85" s="7">
        <v>70</v>
      </c>
    </row>
    <row r="86" spans="1:14">
      <c r="A86" s="7">
        <v>10005</v>
      </c>
      <c r="B86" s="7">
        <v>40000</v>
      </c>
      <c r="C86" s="7" t="s">
        <v>132</v>
      </c>
      <c r="D86" s="7">
        <f t="shared" si="2"/>
        <v>50012065</v>
      </c>
      <c r="E86" s="7" t="s">
        <v>145</v>
      </c>
      <c r="F86" s="7">
        <v>1</v>
      </c>
      <c r="G86" s="7">
        <f>3*INDEX([1]equip.xml!$I:$I,MATCH(D86,[1]equip.xml!$A:$A,0))</f>
        <v>6000</v>
      </c>
      <c r="H86" s="7" t="s">
        <v>31</v>
      </c>
      <c r="I86" s="7">
        <v>13</v>
      </c>
      <c r="J86" s="7">
        <v>240</v>
      </c>
      <c r="K86" s="7" t="s">
        <v>293</v>
      </c>
      <c r="L86" s="7">
        <v>18</v>
      </c>
      <c r="M86" s="7">
        <f>IF(INDEX([1]equip.xml!$B:$B,MATCH(D86,[1]equip.xml!$A:$A,0))=0,0,N86)</f>
        <v>70</v>
      </c>
      <c r="N86" s="7">
        <v>70</v>
      </c>
    </row>
    <row r="87" spans="1:14">
      <c r="A87" s="7">
        <v>10005</v>
      </c>
      <c r="B87" s="7">
        <v>40000</v>
      </c>
      <c r="C87" s="7" t="s">
        <v>132</v>
      </c>
      <c r="D87" s="7">
        <f t="shared" si="2"/>
        <v>50012066</v>
      </c>
      <c r="E87" s="7" t="s">
        <v>146</v>
      </c>
      <c r="F87" s="7">
        <v>1</v>
      </c>
      <c r="G87" s="7">
        <f>3*INDEX([1]equip.xml!$I:$I,MATCH(D87,[1]equip.xml!$A:$A,0))</f>
        <v>24000</v>
      </c>
      <c r="H87" s="7" t="s">
        <v>31</v>
      </c>
      <c r="I87" s="7">
        <v>13</v>
      </c>
      <c r="J87" s="7">
        <v>240</v>
      </c>
      <c r="K87" s="7" t="s">
        <v>293</v>
      </c>
      <c r="L87" s="7">
        <v>18</v>
      </c>
      <c r="M87" s="7">
        <f>IF(INDEX([1]equip.xml!$B:$B,MATCH(D87,[1]equip.xml!$A:$A,0))=0,0,N87)</f>
        <v>0</v>
      </c>
      <c r="N87" s="7">
        <v>70</v>
      </c>
    </row>
    <row r="88" spans="1:14">
      <c r="A88" s="7">
        <v>10005</v>
      </c>
      <c r="B88" s="7">
        <v>40000</v>
      </c>
      <c r="C88" s="7" t="s">
        <v>132</v>
      </c>
      <c r="D88" s="7">
        <f t="shared" si="2"/>
        <v>50013055</v>
      </c>
      <c r="E88" s="7" t="s">
        <v>147</v>
      </c>
      <c r="F88" s="7">
        <v>1</v>
      </c>
      <c r="G88" s="7">
        <f>3*INDEX([1]equip.xml!$I:$I,MATCH(D88,[1]equip.xml!$A:$A,0))</f>
        <v>6000</v>
      </c>
      <c r="H88" s="7" t="s">
        <v>31</v>
      </c>
      <c r="I88" s="7">
        <v>13</v>
      </c>
      <c r="J88" s="7">
        <v>240</v>
      </c>
      <c r="K88" s="7" t="s">
        <v>293</v>
      </c>
      <c r="L88" s="7">
        <v>18</v>
      </c>
      <c r="M88" s="7">
        <f>IF(INDEX([1]equip.xml!$B:$B,MATCH(D88,[1]equip.xml!$A:$A,0))=0,0,N88)</f>
        <v>70</v>
      </c>
      <c r="N88" s="7">
        <v>70</v>
      </c>
    </row>
    <row r="89" spans="1:14">
      <c r="A89" s="7">
        <v>10005</v>
      </c>
      <c r="B89" s="7">
        <v>40000</v>
      </c>
      <c r="C89" s="7" t="s">
        <v>132</v>
      </c>
      <c r="D89" s="7">
        <f t="shared" si="2"/>
        <v>50013056</v>
      </c>
      <c r="E89" s="7" t="s">
        <v>148</v>
      </c>
      <c r="F89" s="7">
        <v>1</v>
      </c>
      <c r="G89" s="7">
        <f>3*INDEX([1]equip.xml!$I:$I,MATCH(D89,[1]equip.xml!$A:$A,0))</f>
        <v>24000</v>
      </c>
      <c r="H89" s="7" t="s">
        <v>31</v>
      </c>
      <c r="I89" s="7">
        <v>13</v>
      </c>
      <c r="J89" s="7">
        <v>240</v>
      </c>
      <c r="K89" s="7" t="s">
        <v>293</v>
      </c>
      <c r="L89" s="7">
        <v>18</v>
      </c>
      <c r="M89" s="7">
        <f>IF(INDEX([1]equip.xml!$B:$B,MATCH(D89,[1]equip.xml!$A:$A,0))=0,0,N89)</f>
        <v>70</v>
      </c>
      <c r="N89" s="7">
        <v>70</v>
      </c>
    </row>
    <row r="90" spans="1:14">
      <c r="A90" s="7">
        <v>10005</v>
      </c>
      <c r="B90" s="7">
        <v>40000</v>
      </c>
      <c r="C90" s="7" t="s">
        <v>132</v>
      </c>
      <c r="D90" s="7">
        <f t="shared" si="2"/>
        <v>50013065</v>
      </c>
      <c r="E90" s="7" t="s">
        <v>149</v>
      </c>
      <c r="F90" s="7">
        <v>1</v>
      </c>
      <c r="G90" s="7">
        <f>3*INDEX([1]equip.xml!$I:$I,MATCH(D90,[1]equip.xml!$A:$A,0))</f>
        <v>6000</v>
      </c>
      <c r="H90" s="7" t="s">
        <v>31</v>
      </c>
      <c r="I90" s="7">
        <v>13</v>
      </c>
      <c r="J90" s="7">
        <v>240</v>
      </c>
      <c r="K90" s="7" t="s">
        <v>293</v>
      </c>
      <c r="L90" s="7">
        <v>18</v>
      </c>
      <c r="M90" s="7">
        <f>IF(INDEX([1]equip.xml!$B:$B,MATCH(D90,[1]equip.xml!$A:$A,0))=0,0,N90)</f>
        <v>70</v>
      </c>
      <c r="N90" s="7">
        <v>70</v>
      </c>
    </row>
    <row r="91" spans="1:14">
      <c r="A91" s="7">
        <v>10005</v>
      </c>
      <c r="B91" s="7">
        <v>40000</v>
      </c>
      <c r="C91" s="7" t="s">
        <v>132</v>
      </c>
      <c r="D91" s="7">
        <f t="shared" si="2"/>
        <v>50013066</v>
      </c>
      <c r="E91" s="7" t="s">
        <v>150</v>
      </c>
      <c r="F91" s="7">
        <v>1</v>
      </c>
      <c r="G91" s="7">
        <f>3*INDEX([1]equip.xml!$I:$I,MATCH(D91,[1]equip.xml!$A:$A,0))</f>
        <v>24000</v>
      </c>
      <c r="H91" s="7" t="s">
        <v>31</v>
      </c>
      <c r="I91" s="7">
        <v>13</v>
      </c>
      <c r="J91" s="7">
        <v>240</v>
      </c>
      <c r="K91" s="7" t="s">
        <v>293</v>
      </c>
      <c r="L91" s="7">
        <v>18</v>
      </c>
      <c r="M91" s="7">
        <f>IF(INDEX([1]equip.xml!$B:$B,MATCH(D91,[1]equip.xml!$A:$A,0))=0,0,N91)</f>
        <v>0</v>
      </c>
      <c r="N91" s="7">
        <v>70</v>
      </c>
    </row>
    <row r="92" spans="1:14">
      <c r="A92" s="7">
        <v>10005</v>
      </c>
      <c r="B92" s="7">
        <v>40000</v>
      </c>
      <c r="C92" s="7" t="s">
        <v>132</v>
      </c>
      <c r="D92" s="7">
        <f t="shared" si="2"/>
        <v>50010045</v>
      </c>
      <c r="E92" s="7" t="s">
        <v>151</v>
      </c>
      <c r="F92" s="7">
        <v>1</v>
      </c>
      <c r="G92" s="7">
        <f>3*INDEX([1]equip.xml!$I:$I,MATCH(D92,[1]equip.xml!$A:$A,0))</f>
        <v>6000</v>
      </c>
      <c r="H92" s="7" t="s">
        <v>31</v>
      </c>
      <c r="I92" s="7">
        <v>13</v>
      </c>
      <c r="J92" s="7">
        <v>240</v>
      </c>
      <c r="K92" s="7" t="s">
        <v>293</v>
      </c>
      <c r="L92" s="7">
        <v>18</v>
      </c>
      <c r="M92" s="7">
        <f>IF(INDEX([1]equip.xml!$B:$B,MATCH(D92,[1]equip.xml!$A:$A,0))=0,0,N92)</f>
        <v>70</v>
      </c>
      <c r="N92" s="7">
        <v>70</v>
      </c>
    </row>
    <row r="93" spans="1:14">
      <c r="A93" s="7">
        <v>10005</v>
      </c>
      <c r="B93" s="7">
        <v>40000</v>
      </c>
      <c r="C93" s="7" t="s">
        <v>132</v>
      </c>
      <c r="D93" s="7">
        <f t="shared" si="2"/>
        <v>50010046</v>
      </c>
      <c r="E93" s="7" t="s">
        <v>152</v>
      </c>
      <c r="F93" s="7">
        <v>1</v>
      </c>
      <c r="G93" s="7">
        <f>3*INDEX([1]equip.xml!$I:$I,MATCH(D93,[1]equip.xml!$A:$A,0))</f>
        <v>24000</v>
      </c>
      <c r="H93" s="7" t="s">
        <v>31</v>
      </c>
      <c r="I93" s="7">
        <v>13</v>
      </c>
      <c r="J93" s="7">
        <v>240</v>
      </c>
      <c r="K93" s="7" t="s">
        <v>293</v>
      </c>
      <c r="L93" s="7">
        <v>18</v>
      </c>
      <c r="M93" s="7">
        <f>IF(INDEX([1]equip.xml!$B:$B,MATCH(D93,[1]equip.xml!$A:$A,0))=0,0,N93)</f>
        <v>0</v>
      </c>
      <c r="N93" s="7">
        <v>70</v>
      </c>
    </row>
    <row r="94" spans="1:14">
      <c r="A94" s="7">
        <v>10005</v>
      </c>
      <c r="B94" s="7">
        <v>40000</v>
      </c>
      <c r="C94" s="7" t="s">
        <v>132</v>
      </c>
      <c r="D94" s="7">
        <f t="shared" si="2"/>
        <v>50010075</v>
      </c>
      <c r="E94" s="7" t="s">
        <v>153</v>
      </c>
      <c r="F94" s="7">
        <v>1</v>
      </c>
      <c r="G94" s="7">
        <f>3*INDEX([1]equip.xml!$I:$I,MATCH(D94,[1]equip.xml!$A:$A,0))</f>
        <v>6000</v>
      </c>
      <c r="H94" s="7" t="s">
        <v>31</v>
      </c>
      <c r="I94" s="7">
        <v>13</v>
      </c>
      <c r="J94" s="7">
        <v>240</v>
      </c>
      <c r="K94" s="7" t="s">
        <v>293</v>
      </c>
      <c r="L94" s="7">
        <v>18</v>
      </c>
      <c r="M94" s="7">
        <f>IF(INDEX([1]equip.xml!$B:$B,MATCH(D94,[1]equip.xml!$A:$A,0))=0,0,N94)</f>
        <v>0</v>
      </c>
      <c r="N94" s="7">
        <v>70</v>
      </c>
    </row>
    <row r="95" spans="1:14">
      <c r="A95" s="7">
        <v>10005</v>
      </c>
      <c r="B95" s="7">
        <v>40000</v>
      </c>
      <c r="C95" s="7" t="s">
        <v>132</v>
      </c>
      <c r="D95" s="7">
        <f t="shared" si="2"/>
        <v>50010076</v>
      </c>
      <c r="E95" s="7" t="s">
        <v>154</v>
      </c>
      <c r="F95" s="7">
        <v>1</v>
      </c>
      <c r="G95" s="7">
        <f>3*INDEX([1]equip.xml!$I:$I,MATCH(D95,[1]equip.xml!$A:$A,0))</f>
        <v>24000</v>
      </c>
      <c r="H95" s="7" t="s">
        <v>31</v>
      </c>
      <c r="I95" s="7">
        <v>13</v>
      </c>
      <c r="J95" s="7">
        <v>240</v>
      </c>
      <c r="K95" s="7" t="s">
        <v>293</v>
      </c>
      <c r="L95" s="7">
        <v>18</v>
      </c>
      <c r="M95" s="7">
        <f>IF(INDEX([1]equip.xml!$B:$B,MATCH(D95,[1]equip.xml!$A:$A,0))=0,0,N95)</f>
        <v>0</v>
      </c>
      <c r="N95" s="7">
        <v>70</v>
      </c>
    </row>
    <row r="96" spans="1:14">
      <c r="A96" s="7">
        <v>10005</v>
      </c>
      <c r="B96" s="7">
        <v>40000</v>
      </c>
      <c r="C96" s="7" t="s">
        <v>132</v>
      </c>
      <c r="D96" s="7">
        <f t="shared" si="2"/>
        <v>50050015</v>
      </c>
      <c r="E96" s="7" t="s">
        <v>155</v>
      </c>
      <c r="F96" s="7">
        <v>1</v>
      </c>
      <c r="G96" s="7">
        <f>3*INDEX([1]equip.xml!$I:$I,MATCH(D96,[1]equip.xml!$A:$A,0))</f>
        <v>30000</v>
      </c>
      <c r="H96" s="7" t="s">
        <v>31</v>
      </c>
      <c r="I96" s="7">
        <v>13</v>
      </c>
      <c r="J96" s="7">
        <v>240</v>
      </c>
      <c r="K96" s="7" t="s">
        <v>293</v>
      </c>
      <c r="L96" s="7">
        <v>18</v>
      </c>
      <c r="M96" s="7">
        <f>IF(INDEX([1]equip.xml!$B:$B,MATCH(D96,[1]equip.xml!$A:$A,0))=0,0,N96)</f>
        <v>35</v>
      </c>
      <c r="N96" s="7">
        <f>N74/2</f>
        <v>35</v>
      </c>
    </row>
    <row r="97" spans="1:14">
      <c r="A97" s="7">
        <v>10005</v>
      </c>
      <c r="B97" s="7">
        <v>40000</v>
      </c>
      <c r="C97" s="7" t="s">
        <v>132</v>
      </c>
      <c r="D97" s="7">
        <f t="shared" si="2"/>
        <v>50050025</v>
      </c>
      <c r="E97" s="7" t="s">
        <v>156</v>
      </c>
      <c r="F97" s="7">
        <v>1</v>
      </c>
      <c r="G97" s="7">
        <f>3*INDEX([1]equip.xml!$I:$I,MATCH(D97,[1]equip.xml!$A:$A,0))</f>
        <v>30000</v>
      </c>
      <c r="H97" s="7" t="s">
        <v>31</v>
      </c>
      <c r="I97" s="7">
        <v>13</v>
      </c>
      <c r="J97" s="7">
        <v>240</v>
      </c>
      <c r="K97" s="7" t="s">
        <v>293</v>
      </c>
      <c r="L97" s="7">
        <v>18</v>
      </c>
      <c r="M97" s="7">
        <f>IF(INDEX([1]equip.xml!$B:$B,MATCH(D97,[1]equip.xml!$A:$A,0))=0,0,N97)</f>
        <v>35</v>
      </c>
      <c r="N97" s="7">
        <f t="shared" ref="N97:N117" si="3">N75/2</f>
        <v>35</v>
      </c>
    </row>
    <row r="98" spans="1:14">
      <c r="A98" s="7">
        <v>10005</v>
      </c>
      <c r="B98" s="7">
        <v>40000</v>
      </c>
      <c r="C98" s="7" t="s">
        <v>132</v>
      </c>
      <c r="D98" s="7">
        <f t="shared" si="2"/>
        <v>50050035</v>
      </c>
      <c r="E98" s="7" t="s">
        <v>157</v>
      </c>
      <c r="F98" s="7">
        <v>1</v>
      </c>
      <c r="G98" s="7">
        <f>3*INDEX([1]equip.xml!$I:$I,MATCH(D98,[1]equip.xml!$A:$A,0))</f>
        <v>30000</v>
      </c>
      <c r="H98" s="7" t="s">
        <v>31</v>
      </c>
      <c r="I98" s="7">
        <v>13</v>
      </c>
      <c r="J98" s="7">
        <v>240</v>
      </c>
      <c r="K98" s="7" t="s">
        <v>293</v>
      </c>
      <c r="L98" s="7">
        <v>18</v>
      </c>
      <c r="M98" s="7">
        <f>IF(INDEX([1]equip.xml!$B:$B,MATCH(D98,[1]equip.xml!$A:$A,0))=0,0,N98)</f>
        <v>35</v>
      </c>
      <c r="N98" s="7">
        <f t="shared" si="3"/>
        <v>35</v>
      </c>
    </row>
    <row r="99" spans="1:14">
      <c r="A99" s="7">
        <v>10005</v>
      </c>
      <c r="B99" s="7">
        <v>40000</v>
      </c>
      <c r="C99" s="7" t="s">
        <v>132</v>
      </c>
      <c r="D99" s="7">
        <f t="shared" si="2"/>
        <v>50050085</v>
      </c>
      <c r="E99" s="7" t="s">
        <v>158</v>
      </c>
      <c r="F99" s="7">
        <v>1</v>
      </c>
      <c r="G99" s="7">
        <f>3*INDEX([1]equip.xml!$I:$I,MATCH(D99,[1]equip.xml!$A:$A,0))</f>
        <v>30000</v>
      </c>
      <c r="H99" s="7" t="s">
        <v>31</v>
      </c>
      <c r="I99" s="7">
        <v>13</v>
      </c>
      <c r="J99" s="7">
        <v>240</v>
      </c>
      <c r="K99" s="7" t="s">
        <v>293</v>
      </c>
      <c r="L99" s="7">
        <v>18</v>
      </c>
      <c r="M99" s="7">
        <f>IF(INDEX([1]equip.xml!$B:$B,MATCH(D99,[1]equip.xml!$A:$A,0))=0,0,N99)</f>
        <v>0</v>
      </c>
      <c r="N99" s="7">
        <f t="shared" si="3"/>
        <v>35</v>
      </c>
    </row>
    <row r="100" spans="1:14">
      <c r="A100" s="7">
        <v>10005</v>
      </c>
      <c r="B100" s="7">
        <v>40000</v>
      </c>
      <c r="C100" s="7" t="s">
        <v>132</v>
      </c>
      <c r="D100" s="7">
        <f t="shared" si="2"/>
        <v>50050095</v>
      </c>
      <c r="E100" s="7" t="s">
        <v>159</v>
      </c>
      <c r="F100" s="7">
        <v>1</v>
      </c>
      <c r="G100" s="7">
        <f>3*INDEX([1]equip.xml!$I:$I,MATCH(D100,[1]equip.xml!$A:$A,0))</f>
        <v>30000</v>
      </c>
      <c r="H100" s="7" t="s">
        <v>31</v>
      </c>
      <c r="I100" s="7">
        <v>13</v>
      </c>
      <c r="J100" s="7">
        <v>240</v>
      </c>
      <c r="K100" s="7" t="s">
        <v>293</v>
      </c>
      <c r="L100" s="7">
        <v>18</v>
      </c>
      <c r="M100" s="7">
        <f>IF(INDEX([1]equip.xml!$B:$B,MATCH(D100,[1]equip.xml!$A:$A,0))=0,0,N100)</f>
        <v>0</v>
      </c>
      <c r="N100" s="7">
        <f t="shared" si="3"/>
        <v>35</v>
      </c>
    </row>
    <row r="101" spans="1:14">
      <c r="A101" s="7">
        <v>10005</v>
      </c>
      <c r="B101" s="7">
        <v>40000</v>
      </c>
      <c r="C101" s="7" t="s">
        <v>132</v>
      </c>
      <c r="D101" s="7">
        <f t="shared" si="2"/>
        <v>50050105</v>
      </c>
      <c r="E101" s="7" t="s">
        <v>160</v>
      </c>
      <c r="F101" s="7">
        <v>1</v>
      </c>
      <c r="G101" s="7">
        <f>3*INDEX([1]equip.xml!$I:$I,MATCH(D101,[1]equip.xml!$A:$A,0))</f>
        <v>30000</v>
      </c>
      <c r="H101" s="7" t="s">
        <v>31</v>
      </c>
      <c r="I101" s="7">
        <v>13</v>
      </c>
      <c r="J101" s="7">
        <v>240</v>
      </c>
      <c r="K101" s="7" t="s">
        <v>293</v>
      </c>
      <c r="L101" s="7">
        <v>18</v>
      </c>
      <c r="M101" s="7">
        <f>IF(INDEX([1]equip.xml!$B:$B,MATCH(D101,[1]equip.xml!$A:$A,0))=0,0,N101)</f>
        <v>35</v>
      </c>
      <c r="N101" s="7">
        <f t="shared" si="3"/>
        <v>35</v>
      </c>
    </row>
    <row r="102" spans="1:14">
      <c r="A102" s="7">
        <v>10005</v>
      </c>
      <c r="B102" s="7">
        <v>40000</v>
      </c>
      <c r="C102" s="7" t="s">
        <v>132</v>
      </c>
      <c r="D102" s="7">
        <f t="shared" si="2"/>
        <v>50051055</v>
      </c>
      <c r="E102" s="7" t="s">
        <v>161</v>
      </c>
      <c r="F102" s="7">
        <v>1</v>
      </c>
      <c r="G102" s="7">
        <f>3*INDEX([1]equip.xml!$I:$I,MATCH(D102,[1]equip.xml!$A:$A,0))</f>
        <v>30000</v>
      </c>
      <c r="H102" s="7" t="s">
        <v>31</v>
      </c>
      <c r="I102" s="7">
        <v>13</v>
      </c>
      <c r="J102" s="7">
        <v>240</v>
      </c>
      <c r="K102" s="7" t="s">
        <v>293</v>
      </c>
      <c r="L102" s="7">
        <v>18</v>
      </c>
      <c r="M102" s="7">
        <f>IF(INDEX([1]equip.xml!$B:$B,MATCH(D102,[1]equip.xml!$A:$A,0))=0,0,N102)</f>
        <v>35</v>
      </c>
      <c r="N102" s="7">
        <f t="shared" si="3"/>
        <v>35</v>
      </c>
    </row>
    <row r="103" spans="1:14">
      <c r="A103" s="7">
        <v>10005</v>
      </c>
      <c r="B103" s="7">
        <v>40000</v>
      </c>
      <c r="C103" s="7" t="s">
        <v>132</v>
      </c>
      <c r="D103" s="7">
        <f t="shared" si="2"/>
        <v>50051056</v>
      </c>
      <c r="E103" s="7" t="s">
        <v>162</v>
      </c>
      <c r="F103" s="7">
        <v>1</v>
      </c>
      <c r="G103" s="7">
        <f>3*INDEX([1]equip.xml!$I:$I,MATCH(D103,[1]equip.xml!$A:$A,0))</f>
        <v>48000</v>
      </c>
      <c r="H103" s="7" t="s">
        <v>31</v>
      </c>
      <c r="I103" s="7">
        <v>13</v>
      </c>
      <c r="J103" s="7">
        <v>240</v>
      </c>
      <c r="K103" s="7" t="s">
        <v>293</v>
      </c>
      <c r="L103" s="7">
        <v>18</v>
      </c>
      <c r="M103" s="7">
        <f>IF(INDEX([1]equip.xml!$B:$B,MATCH(D103,[1]equip.xml!$A:$A,0))=0,0,N103)</f>
        <v>35</v>
      </c>
      <c r="N103" s="7">
        <f t="shared" si="3"/>
        <v>35</v>
      </c>
    </row>
    <row r="104" spans="1:14">
      <c r="A104" s="7">
        <v>10005</v>
      </c>
      <c r="B104" s="7">
        <v>40000</v>
      </c>
      <c r="C104" s="7" t="s">
        <v>132</v>
      </c>
      <c r="D104" s="7">
        <f t="shared" si="2"/>
        <v>50051065</v>
      </c>
      <c r="E104" s="7" t="s">
        <v>163</v>
      </c>
      <c r="F104" s="7">
        <v>1</v>
      </c>
      <c r="G104" s="7">
        <f>3*INDEX([1]equip.xml!$I:$I,MATCH(D104,[1]equip.xml!$A:$A,0))</f>
        <v>30000</v>
      </c>
      <c r="H104" s="7" t="s">
        <v>31</v>
      </c>
      <c r="I104" s="7">
        <v>13</v>
      </c>
      <c r="J104" s="7">
        <v>240</v>
      </c>
      <c r="K104" s="7" t="s">
        <v>293</v>
      </c>
      <c r="L104" s="7">
        <v>18</v>
      </c>
      <c r="M104" s="7">
        <f>IF(INDEX([1]equip.xml!$B:$B,MATCH(D104,[1]equip.xml!$A:$A,0))=0,0,N104)</f>
        <v>35</v>
      </c>
      <c r="N104" s="7">
        <f t="shared" si="3"/>
        <v>35</v>
      </c>
    </row>
    <row r="105" spans="1:14">
      <c r="A105" s="7">
        <v>10005</v>
      </c>
      <c r="B105" s="7">
        <v>40000</v>
      </c>
      <c r="C105" s="7" t="s">
        <v>132</v>
      </c>
      <c r="D105" s="7">
        <f t="shared" si="2"/>
        <v>50051066</v>
      </c>
      <c r="E105" s="7" t="s">
        <v>164</v>
      </c>
      <c r="F105" s="7">
        <v>1</v>
      </c>
      <c r="G105" s="7">
        <f>3*INDEX([1]equip.xml!$I:$I,MATCH(D105,[1]equip.xml!$A:$A,0))</f>
        <v>48000</v>
      </c>
      <c r="H105" s="7" t="s">
        <v>31</v>
      </c>
      <c r="I105" s="7">
        <v>13</v>
      </c>
      <c r="J105" s="7">
        <v>240</v>
      </c>
      <c r="K105" s="7" t="s">
        <v>293</v>
      </c>
      <c r="L105" s="7">
        <v>18</v>
      </c>
      <c r="M105" s="7">
        <f>IF(INDEX([1]equip.xml!$B:$B,MATCH(D105,[1]equip.xml!$A:$A,0))=0,0,N105)</f>
        <v>0</v>
      </c>
      <c r="N105" s="7">
        <f t="shared" si="3"/>
        <v>35</v>
      </c>
    </row>
    <row r="106" spans="1:14">
      <c r="A106" s="7">
        <v>10005</v>
      </c>
      <c r="B106" s="7">
        <v>40000</v>
      </c>
      <c r="C106" s="7" t="s">
        <v>132</v>
      </c>
      <c r="D106" s="7">
        <f t="shared" si="2"/>
        <v>50052055</v>
      </c>
      <c r="E106" s="7" t="s">
        <v>165</v>
      </c>
      <c r="F106" s="7">
        <v>1</v>
      </c>
      <c r="G106" s="7">
        <f>3*INDEX([1]equip.xml!$I:$I,MATCH(D106,[1]equip.xml!$A:$A,0))</f>
        <v>30000</v>
      </c>
      <c r="H106" s="7" t="s">
        <v>31</v>
      </c>
      <c r="I106" s="7">
        <v>13</v>
      </c>
      <c r="J106" s="7">
        <v>240</v>
      </c>
      <c r="K106" s="7" t="s">
        <v>293</v>
      </c>
      <c r="L106" s="7">
        <v>18</v>
      </c>
      <c r="M106" s="7">
        <f>IF(INDEX([1]equip.xml!$B:$B,MATCH(D106,[1]equip.xml!$A:$A,0))=0,0,N106)</f>
        <v>35</v>
      </c>
      <c r="N106" s="7">
        <f t="shared" si="3"/>
        <v>35</v>
      </c>
    </row>
    <row r="107" spans="1:14">
      <c r="A107" s="7">
        <v>10005</v>
      </c>
      <c r="B107" s="7">
        <v>40000</v>
      </c>
      <c r="C107" s="7" t="s">
        <v>132</v>
      </c>
      <c r="D107" s="7">
        <f t="shared" si="2"/>
        <v>50052056</v>
      </c>
      <c r="E107" s="7" t="s">
        <v>166</v>
      </c>
      <c r="F107" s="7">
        <v>1</v>
      </c>
      <c r="G107" s="7">
        <f>3*INDEX([1]equip.xml!$I:$I,MATCH(D107,[1]equip.xml!$A:$A,0))</f>
        <v>48000</v>
      </c>
      <c r="H107" s="7" t="s">
        <v>31</v>
      </c>
      <c r="I107" s="7">
        <v>13</v>
      </c>
      <c r="J107" s="7">
        <v>240</v>
      </c>
      <c r="K107" s="7" t="s">
        <v>293</v>
      </c>
      <c r="L107" s="7">
        <v>18</v>
      </c>
      <c r="M107" s="7">
        <f>IF(INDEX([1]equip.xml!$B:$B,MATCH(D107,[1]equip.xml!$A:$A,0))=0,0,N107)</f>
        <v>35</v>
      </c>
      <c r="N107" s="7">
        <f t="shared" si="3"/>
        <v>35</v>
      </c>
    </row>
    <row r="108" spans="1:14">
      <c r="A108" s="7">
        <v>10005</v>
      </c>
      <c r="B108" s="7">
        <v>40000</v>
      </c>
      <c r="C108" s="7" t="s">
        <v>132</v>
      </c>
      <c r="D108" s="7">
        <f t="shared" si="2"/>
        <v>50052065</v>
      </c>
      <c r="E108" s="7" t="s">
        <v>167</v>
      </c>
      <c r="F108" s="7">
        <v>1</v>
      </c>
      <c r="G108" s="7">
        <f>3*INDEX([1]equip.xml!$I:$I,MATCH(D108,[1]equip.xml!$A:$A,0))</f>
        <v>30000</v>
      </c>
      <c r="H108" s="7" t="s">
        <v>31</v>
      </c>
      <c r="I108" s="7">
        <v>13</v>
      </c>
      <c r="J108" s="7">
        <v>240</v>
      </c>
      <c r="K108" s="7" t="s">
        <v>293</v>
      </c>
      <c r="L108" s="7">
        <v>18</v>
      </c>
      <c r="M108" s="7">
        <f>IF(INDEX([1]equip.xml!$B:$B,MATCH(D108,[1]equip.xml!$A:$A,0))=0,0,N108)</f>
        <v>35</v>
      </c>
      <c r="N108" s="7">
        <f t="shared" si="3"/>
        <v>35</v>
      </c>
    </row>
    <row r="109" spans="1:14">
      <c r="A109" s="7">
        <v>10005</v>
      </c>
      <c r="B109" s="7">
        <v>40000</v>
      </c>
      <c r="C109" s="7" t="s">
        <v>132</v>
      </c>
      <c r="D109" s="7">
        <f t="shared" si="2"/>
        <v>50052066</v>
      </c>
      <c r="E109" s="7" t="s">
        <v>168</v>
      </c>
      <c r="F109" s="7">
        <v>1</v>
      </c>
      <c r="G109" s="7">
        <f>3*INDEX([1]equip.xml!$I:$I,MATCH(D109,[1]equip.xml!$A:$A,0))</f>
        <v>48000</v>
      </c>
      <c r="H109" s="7" t="s">
        <v>31</v>
      </c>
      <c r="I109" s="7">
        <v>13</v>
      </c>
      <c r="J109" s="7">
        <v>240</v>
      </c>
      <c r="K109" s="7" t="s">
        <v>293</v>
      </c>
      <c r="L109" s="7">
        <v>18</v>
      </c>
      <c r="M109" s="7">
        <f>IF(INDEX([1]equip.xml!$B:$B,MATCH(D109,[1]equip.xml!$A:$A,0))=0,0,N109)</f>
        <v>0</v>
      </c>
      <c r="N109" s="7">
        <f t="shared" si="3"/>
        <v>35</v>
      </c>
    </row>
    <row r="110" spans="1:14">
      <c r="A110" s="7">
        <v>10005</v>
      </c>
      <c r="B110" s="7">
        <v>40000</v>
      </c>
      <c r="C110" s="7" t="s">
        <v>132</v>
      </c>
      <c r="D110" s="7">
        <f t="shared" si="2"/>
        <v>50053055</v>
      </c>
      <c r="E110" s="7" t="s">
        <v>169</v>
      </c>
      <c r="F110" s="7">
        <v>1</v>
      </c>
      <c r="G110" s="7">
        <f>3*INDEX([1]equip.xml!$I:$I,MATCH(D110,[1]equip.xml!$A:$A,0))</f>
        <v>30000</v>
      </c>
      <c r="H110" s="7" t="s">
        <v>31</v>
      </c>
      <c r="I110" s="7">
        <v>13</v>
      </c>
      <c r="J110" s="7">
        <v>240</v>
      </c>
      <c r="K110" s="7" t="s">
        <v>293</v>
      </c>
      <c r="L110" s="7">
        <v>18</v>
      </c>
      <c r="M110" s="7">
        <f>IF(INDEX([1]equip.xml!$B:$B,MATCH(D110,[1]equip.xml!$A:$A,0))=0,0,N110)</f>
        <v>35</v>
      </c>
      <c r="N110" s="7">
        <f t="shared" si="3"/>
        <v>35</v>
      </c>
    </row>
    <row r="111" spans="1:14">
      <c r="A111" s="7">
        <v>10005</v>
      </c>
      <c r="B111" s="7">
        <v>40000</v>
      </c>
      <c r="C111" s="7" t="s">
        <v>132</v>
      </c>
      <c r="D111" s="7">
        <f t="shared" si="2"/>
        <v>50053056</v>
      </c>
      <c r="E111" s="7" t="s">
        <v>170</v>
      </c>
      <c r="F111" s="7">
        <v>1</v>
      </c>
      <c r="G111" s="7">
        <f>3*INDEX([1]equip.xml!$I:$I,MATCH(D111,[1]equip.xml!$A:$A,0))</f>
        <v>48000</v>
      </c>
      <c r="H111" s="7" t="s">
        <v>31</v>
      </c>
      <c r="I111" s="7">
        <v>13</v>
      </c>
      <c r="J111" s="7">
        <v>240</v>
      </c>
      <c r="K111" s="7" t="s">
        <v>293</v>
      </c>
      <c r="L111" s="7">
        <v>18</v>
      </c>
      <c r="M111" s="7">
        <f>IF(INDEX([1]equip.xml!$B:$B,MATCH(D111,[1]equip.xml!$A:$A,0))=0,0,N111)</f>
        <v>35</v>
      </c>
      <c r="N111" s="7">
        <f t="shared" si="3"/>
        <v>35</v>
      </c>
    </row>
    <row r="112" spans="1:14">
      <c r="A112" s="7">
        <v>10005</v>
      </c>
      <c r="B112" s="7">
        <v>40000</v>
      </c>
      <c r="C112" s="7" t="s">
        <v>132</v>
      </c>
      <c r="D112" s="7">
        <f t="shared" si="2"/>
        <v>50053065</v>
      </c>
      <c r="E112" s="7" t="s">
        <v>171</v>
      </c>
      <c r="F112" s="7">
        <v>1</v>
      </c>
      <c r="G112" s="7">
        <f>3*INDEX([1]equip.xml!$I:$I,MATCH(D112,[1]equip.xml!$A:$A,0))</f>
        <v>30000</v>
      </c>
      <c r="H112" s="7" t="s">
        <v>31</v>
      </c>
      <c r="I112" s="7">
        <v>13</v>
      </c>
      <c r="J112" s="7">
        <v>240</v>
      </c>
      <c r="K112" s="7" t="s">
        <v>293</v>
      </c>
      <c r="L112" s="7">
        <v>18</v>
      </c>
      <c r="M112" s="7">
        <f>IF(INDEX([1]equip.xml!$B:$B,MATCH(D112,[1]equip.xml!$A:$A,0))=0,0,N112)</f>
        <v>35</v>
      </c>
      <c r="N112" s="7">
        <f t="shared" si="3"/>
        <v>35</v>
      </c>
    </row>
    <row r="113" spans="1:14">
      <c r="A113" s="7">
        <v>10005</v>
      </c>
      <c r="B113" s="7">
        <v>40000</v>
      </c>
      <c r="C113" s="7" t="s">
        <v>132</v>
      </c>
      <c r="D113" s="7">
        <f t="shared" si="2"/>
        <v>50053066</v>
      </c>
      <c r="E113" s="7" t="s">
        <v>172</v>
      </c>
      <c r="F113" s="7">
        <v>1</v>
      </c>
      <c r="G113" s="7">
        <f>3*INDEX([1]equip.xml!$I:$I,MATCH(D113,[1]equip.xml!$A:$A,0))</f>
        <v>48000</v>
      </c>
      <c r="H113" s="7" t="s">
        <v>31</v>
      </c>
      <c r="I113" s="7">
        <v>13</v>
      </c>
      <c r="J113" s="7">
        <v>240</v>
      </c>
      <c r="K113" s="7" t="s">
        <v>293</v>
      </c>
      <c r="L113" s="7">
        <v>18</v>
      </c>
      <c r="M113" s="7">
        <f>IF(INDEX([1]equip.xml!$B:$B,MATCH(D113,[1]equip.xml!$A:$A,0))=0,0,N113)</f>
        <v>0</v>
      </c>
      <c r="N113" s="7">
        <f t="shared" si="3"/>
        <v>35</v>
      </c>
    </row>
    <row r="114" spans="1:14">
      <c r="A114" s="7">
        <v>10005</v>
      </c>
      <c r="B114" s="7">
        <v>40000</v>
      </c>
      <c r="C114" s="7" t="s">
        <v>132</v>
      </c>
      <c r="D114" s="7">
        <f t="shared" si="2"/>
        <v>50050045</v>
      </c>
      <c r="E114" s="7" t="s">
        <v>173</v>
      </c>
      <c r="F114" s="7">
        <v>1</v>
      </c>
      <c r="G114" s="7">
        <f>3*INDEX([1]equip.xml!$I:$I,MATCH(D114,[1]equip.xml!$A:$A,0))</f>
        <v>30000</v>
      </c>
      <c r="H114" s="7" t="s">
        <v>31</v>
      </c>
      <c r="I114" s="7">
        <v>13</v>
      </c>
      <c r="J114" s="7">
        <v>240</v>
      </c>
      <c r="K114" s="7" t="s">
        <v>293</v>
      </c>
      <c r="L114" s="7">
        <v>18</v>
      </c>
      <c r="M114" s="7">
        <f>IF(INDEX([1]equip.xml!$B:$B,MATCH(D114,[1]equip.xml!$A:$A,0))=0,0,N114)</f>
        <v>35</v>
      </c>
      <c r="N114" s="7">
        <f t="shared" si="3"/>
        <v>35</v>
      </c>
    </row>
    <row r="115" spans="1:14">
      <c r="A115" s="7">
        <v>10005</v>
      </c>
      <c r="B115" s="7">
        <v>40000</v>
      </c>
      <c r="C115" s="7" t="s">
        <v>132</v>
      </c>
      <c r="D115" s="7">
        <f t="shared" si="2"/>
        <v>50050046</v>
      </c>
      <c r="E115" s="7" t="s">
        <v>174</v>
      </c>
      <c r="F115" s="7">
        <v>1</v>
      </c>
      <c r="G115" s="7">
        <f>3*INDEX([1]equip.xml!$I:$I,MATCH(D115,[1]equip.xml!$A:$A,0))</f>
        <v>48000</v>
      </c>
      <c r="H115" s="7" t="s">
        <v>31</v>
      </c>
      <c r="I115" s="7">
        <v>13</v>
      </c>
      <c r="J115" s="7">
        <v>240</v>
      </c>
      <c r="K115" s="7" t="s">
        <v>293</v>
      </c>
      <c r="L115" s="7">
        <v>18</v>
      </c>
      <c r="M115" s="7">
        <f>IF(INDEX([1]equip.xml!$B:$B,MATCH(D115,[1]equip.xml!$A:$A,0))=0,0,N115)</f>
        <v>35</v>
      </c>
      <c r="N115" s="7">
        <f t="shared" si="3"/>
        <v>35</v>
      </c>
    </row>
    <row r="116" spans="1:14">
      <c r="A116" s="7">
        <v>10005</v>
      </c>
      <c r="B116" s="7">
        <v>40000</v>
      </c>
      <c r="C116" s="7" t="s">
        <v>132</v>
      </c>
      <c r="D116" s="7">
        <f t="shared" si="2"/>
        <v>50050075</v>
      </c>
      <c r="E116" s="7" t="s">
        <v>175</v>
      </c>
      <c r="F116" s="7">
        <v>1</v>
      </c>
      <c r="G116" s="7">
        <f>3*INDEX([1]equip.xml!$I:$I,MATCH(D116,[1]equip.xml!$A:$A,0))</f>
        <v>30000</v>
      </c>
      <c r="H116" s="7" t="s">
        <v>31</v>
      </c>
      <c r="I116" s="7">
        <v>13</v>
      </c>
      <c r="J116" s="7">
        <v>240</v>
      </c>
      <c r="K116" s="7" t="s">
        <v>293</v>
      </c>
      <c r="L116" s="7">
        <v>18</v>
      </c>
      <c r="M116" s="7">
        <f>IF(INDEX([1]equip.xml!$B:$B,MATCH(D116,[1]equip.xml!$A:$A,0))=0,0,N116)</f>
        <v>35</v>
      </c>
      <c r="N116" s="7">
        <f t="shared" si="3"/>
        <v>35</v>
      </c>
    </row>
    <row r="117" spans="1:14">
      <c r="A117" s="7">
        <v>10005</v>
      </c>
      <c r="B117" s="7">
        <v>40000</v>
      </c>
      <c r="C117" s="7" t="s">
        <v>132</v>
      </c>
      <c r="D117" s="7">
        <f t="shared" si="2"/>
        <v>50050076</v>
      </c>
      <c r="E117" s="7" t="s">
        <v>176</v>
      </c>
      <c r="F117" s="7">
        <v>1</v>
      </c>
      <c r="G117" s="7">
        <f>3*INDEX([1]equip.xml!$I:$I,MATCH(D117,[1]equip.xml!$A:$A,0))</f>
        <v>48000</v>
      </c>
      <c r="H117" s="7" t="s">
        <v>31</v>
      </c>
      <c r="I117" s="7">
        <v>13</v>
      </c>
      <c r="J117" s="7">
        <v>240</v>
      </c>
      <c r="K117" s="7" t="s">
        <v>293</v>
      </c>
      <c r="L117" s="7">
        <v>18</v>
      </c>
      <c r="M117" s="7">
        <f>IF(INDEX([1]equip.xml!$B:$B,MATCH(D117,[1]equip.xml!$A:$A,0))=0,0,N117)</f>
        <v>35</v>
      </c>
      <c r="N117" s="7">
        <f t="shared" si="3"/>
        <v>35</v>
      </c>
    </row>
    <row r="118" spans="1:14">
      <c r="A118" s="8">
        <v>10006</v>
      </c>
      <c r="B118" s="8">
        <v>40000</v>
      </c>
      <c r="C118" s="8" t="s">
        <v>132</v>
      </c>
      <c r="D118" s="8" t="s">
        <v>66</v>
      </c>
      <c r="E118" s="8" t="s">
        <v>110</v>
      </c>
      <c r="F118" s="8">
        <v>1</v>
      </c>
      <c r="G118" s="8">
        <f>3*INDEX([1]equip.xml!$I:$I,MATCH(D118&amp;"",[1]equip.xml!$A:$A,0))</f>
        <v>15000</v>
      </c>
      <c r="H118" s="8" t="str">
        <f t="shared" ref="H118:N118" si="4">H30</f>
        <v>10_10,50_20,80_30</v>
      </c>
      <c r="I118" s="8">
        <v>12</v>
      </c>
      <c r="J118" s="8">
        <f t="shared" si="4"/>
        <v>50</v>
      </c>
      <c r="K118" s="7" t="s">
        <v>293</v>
      </c>
      <c r="L118" s="8">
        <v>20</v>
      </c>
      <c r="M118" s="7">
        <f>IF(INDEX([1]equip.xml!$B:$B,MATCH(D118&amp;"",[1]equip.xml!$A:$A,0))=0,0,N118)</f>
        <v>130</v>
      </c>
      <c r="N118" s="8">
        <f t="shared" si="4"/>
        <v>130</v>
      </c>
    </row>
    <row r="119" spans="1:14">
      <c r="A119" s="8">
        <v>10006</v>
      </c>
      <c r="B119" s="8">
        <v>40000</v>
      </c>
      <c r="C119" s="8" t="s">
        <v>132</v>
      </c>
      <c r="D119" s="8" t="s">
        <v>67</v>
      </c>
      <c r="E119" s="8" t="s">
        <v>111</v>
      </c>
      <c r="F119" s="8">
        <v>1</v>
      </c>
      <c r="G119" s="8">
        <f>3*INDEX([1]equip.xml!$I:$I,MATCH(D119&amp;"",[1]equip.xml!$A:$A,0))</f>
        <v>15000</v>
      </c>
      <c r="H119" s="8" t="str">
        <f t="shared" ref="H119:H182" si="5">H31</f>
        <v>10_10,50_20,80_30</v>
      </c>
      <c r="I119" s="8">
        <v>12</v>
      </c>
      <c r="J119" s="8">
        <f t="shared" ref="J119:J182" si="6">J31</f>
        <v>50</v>
      </c>
      <c r="K119" s="7" t="s">
        <v>293</v>
      </c>
      <c r="L119" s="8">
        <v>20</v>
      </c>
      <c r="M119" s="7">
        <f>IF(INDEX([1]equip.xml!$B:$B,MATCH(D119&amp;"",[1]equip.xml!$A:$A,0))=0,0,N119)</f>
        <v>130</v>
      </c>
      <c r="N119" s="8">
        <f t="shared" ref="N119:N182" si="7">N31</f>
        <v>130</v>
      </c>
    </row>
    <row r="120" spans="1:14">
      <c r="A120" s="8">
        <v>10006</v>
      </c>
      <c r="B120" s="8">
        <v>40000</v>
      </c>
      <c r="C120" s="8" t="s">
        <v>132</v>
      </c>
      <c r="D120" s="8" t="s">
        <v>68</v>
      </c>
      <c r="E120" s="8" t="s">
        <v>112</v>
      </c>
      <c r="F120" s="8">
        <v>1</v>
      </c>
      <c r="G120" s="8">
        <f>3*INDEX([1]equip.xml!$I:$I,MATCH(D120&amp;"",[1]equip.xml!$A:$A,0))</f>
        <v>15000</v>
      </c>
      <c r="H120" s="8" t="str">
        <f t="shared" si="5"/>
        <v>10_10,50_20,80_30</v>
      </c>
      <c r="I120" s="8">
        <v>12</v>
      </c>
      <c r="J120" s="8">
        <f t="shared" si="6"/>
        <v>50</v>
      </c>
      <c r="K120" s="7" t="s">
        <v>293</v>
      </c>
      <c r="L120" s="8">
        <v>20</v>
      </c>
      <c r="M120" s="7">
        <f>IF(INDEX([1]equip.xml!$B:$B,MATCH(D120&amp;"",[1]equip.xml!$A:$A,0))=0,0,N120)</f>
        <v>130</v>
      </c>
      <c r="N120" s="8">
        <f t="shared" si="7"/>
        <v>130</v>
      </c>
    </row>
    <row r="121" spans="1:14">
      <c r="A121" s="8">
        <v>10006</v>
      </c>
      <c r="B121" s="8">
        <v>40000</v>
      </c>
      <c r="C121" s="8" t="s">
        <v>132</v>
      </c>
      <c r="D121" s="8" t="s">
        <v>69</v>
      </c>
      <c r="E121" s="8" t="s">
        <v>113</v>
      </c>
      <c r="F121" s="8">
        <v>1</v>
      </c>
      <c r="G121" s="8">
        <f>3*INDEX([1]equip.xml!$I:$I,MATCH(D121&amp;"",[1]equip.xml!$A:$A,0))</f>
        <v>15000</v>
      </c>
      <c r="H121" s="8" t="str">
        <f t="shared" si="5"/>
        <v>10_10,50_20,80_30</v>
      </c>
      <c r="I121" s="8">
        <v>12</v>
      </c>
      <c r="J121" s="8">
        <f t="shared" si="6"/>
        <v>50</v>
      </c>
      <c r="K121" s="7" t="s">
        <v>293</v>
      </c>
      <c r="L121" s="8">
        <v>20</v>
      </c>
      <c r="M121" s="7">
        <f>IF(INDEX([1]equip.xml!$B:$B,MATCH(D121&amp;"",[1]equip.xml!$A:$A,0))=0,0,N121)</f>
        <v>0</v>
      </c>
      <c r="N121" s="8">
        <f t="shared" si="7"/>
        <v>130</v>
      </c>
    </row>
    <row r="122" spans="1:14">
      <c r="A122" s="8">
        <v>10006</v>
      </c>
      <c r="B122" s="8">
        <v>40000</v>
      </c>
      <c r="C122" s="8" t="s">
        <v>132</v>
      </c>
      <c r="D122" s="8" t="s">
        <v>70</v>
      </c>
      <c r="E122" s="8" t="s">
        <v>114</v>
      </c>
      <c r="F122" s="8">
        <v>1</v>
      </c>
      <c r="G122" s="8">
        <f>3*INDEX([1]equip.xml!$I:$I,MATCH(D122&amp;"",[1]equip.xml!$A:$A,0))</f>
        <v>15000</v>
      </c>
      <c r="H122" s="8" t="str">
        <f t="shared" si="5"/>
        <v>10_10,50_20,80_30</v>
      </c>
      <c r="I122" s="8">
        <v>12</v>
      </c>
      <c r="J122" s="8">
        <f t="shared" si="6"/>
        <v>50</v>
      </c>
      <c r="K122" s="7" t="s">
        <v>293</v>
      </c>
      <c r="L122" s="8">
        <v>20</v>
      </c>
      <c r="M122" s="7">
        <f>IF(INDEX([1]equip.xml!$B:$B,MATCH(D122&amp;"",[1]equip.xml!$A:$A,0))=0,0,N122)</f>
        <v>0</v>
      </c>
      <c r="N122" s="8">
        <f t="shared" si="7"/>
        <v>130</v>
      </c>
    </row>
    <row r="123" spans="1:14">
      <c r="A123" s="8">
        <v>10006</v>
      </c>
      <c r="B123" s="8">
        <v>40000</v>
      </c>
      <c r="C123" s="8" t="s">
        <v>132</v>
      </c>
      <c r="D123" s="8" t="s">
        <v>71</v>
      </c>
      <c r="E123" s="8" t="s">
        <v>115</v>
      </c>
      <c r="F123" s="8">
        <v>1</v>
      </c>
      <c r="G123" s="8">
        <f>3*INDEX([1]equip.xml!$I:$I,MATCH(D123&amp;"",[1]equip.xml!$A:$A,0))</f>
        <v>15000</v>
      </c>
      <c r="H123" s="8" t="str">
        <f t="shared" si="5"/>
        <v>10_10,50_20,80_30</v>
      </c>
      <c r="I123" s="8">
        <v>12</v>
      </c>
      <c r="J123" s="8">
        <f t="shared" si="6"/>
        <v>50</v>
      </c>
      <c r="K123" s="7" t="s">
        <v>293</v>
      </c>
      <c r="L123" s="8">
        <v>20</v>
      </c>
      <c r="M123" s="7">
        <f>IF(INDEX([1]equip.xml!$B:$B,MATCH(D123&amp;"",[1]equip.xml!$A:$A,0))=0,0,N123)</f>
        <v>130</v>
      </c>
      <c r="N123" s="8">
        <f t="shared" si="7"/>
        <v>130</v>
      </c>
    </row>
    <row r="124" spans="1:14">
      <c r="A124" s="8">
        <v>10006</v>
      </c>
      <c r="B124" s="8">
        <v>40000</v>
      </c>
      <c r="C124" s="8" t="s">
        <v>132</v>
      </c>
      <c r="D124" s="8" t="s">
        <v>72</v>
      </c>
      <c r="E124" s="8" t="s">
        <v>116</v>
      </c>
      <c r="F124" s="8">
        <v>1</v>
      </c>
      <c r="G124" s="8">
        <f>3*INDEX([1]equip.xml!$I:$I,MATCH(D124&amp;"",[1]equip.xml!$A:$A,0))</f>
        <v>15000</v>
      </c>
      <c r="H124" s="8" t="str">
        <f t="shared" si="5"/>
        <v>10_10,50_20,80_30</v>
      </c>
      <c r="I124" s="8">
        <v>12</v>
      </c>
      <c r="J124" s="8">
        <f t="shared" si="6"/>
        <v>50</v>
      </c>
      <c r="K124" s="7" t="s">
        <v>293</v>
      </c>
      <c r="L124" s="8">
        <v>20</v>
      </c>
      <c r="M124" s="7">
        <f>IF(INDEX([1]equip.xml!$B:$B,MATCH(D124&amp;"",[1]equip.xml!$A:$A,0))=0,0,N124)</f>
        <v>130</v>
      </c>
      <c r="N124" s="8">
        <f t="shared" si="7"/>
        <v>130</v>
      </c>
    </row>
    <row r="125" spans="1:14">
      <c r="A125" s="8">
        <v>10006</v>
      </c>
      <c r="B125" s="8">
        <v>40000</v>
      </c>
      <c r="C125" s="8" t="s">
        <v>132</v>
      </c>
      <c r="D125" s="8" t="s">
        <v>73</v>
      </c>
      <c r="E125" s="8" t="s">
        <v>117</v>
      </c>
      <c r="F125" s="8">
        <v>1</v>
      </c>
      <c r="G125" s="8">
        <f>3*INDEX([1]equip.xml!$I:$I,MATCH(D125&amp;"",[1]equip.xml!$A:$A,0))</f>
        <v>24000</v>
      </c>
      <c r="H125" s="8" t="str">
        <f t="shared" si="5"/>
        <v>10_10,50_20,80_30</v>
      </c>
      <c r="I125" s="8">
        <v>12</v>
      </c>
      <c r="J125" s="8">
        <f t="shared" si="6"/>
        <v>50</v>
      </c>
      <c r="K125" s="7" t="s">
        <v>293</v>
      </c>
      <c r="L125" s="8">
        <v>20</v>
      </c>
      <c r="M125" s="7">
        <f>IF(INDEX([1]equip.xml!$B:$B,MATCH(D125&amp;"",[1]equip.xml!$A:$A,0))=0,0,N125)</f>
        <v>130</v>
      </c>
      <c r="N125" s="8">
        <f t="shared" si="7"/>
        <v>130</v>
      </c>
    </row>
    <row r="126" spans="1:14">
      <c r="A126" s="8">
        <v>10006</v>
      </c>
      <c r="B126" s="8">
        <v>40000</v>
      </c>
      <c r="C126" s="8" t="s">
        <v>132</v>
      </c>
      <c r="D126" s="8" t="s">
        <v>74</v>
      </c>
      <c r="E126" s="8" t="s">
        <v>118</v>
      </c>
      <c r="F126" s="8">
        <v>1</v>
      </c>
      <c r="G126" s="8">
        <f>3*INDEX([1]equip.xml!$I:$I,MATCH(D126&amp;"",[1]equip.xml!$A:$A,0))</f>
        <v>15000</v>
      </c>
      <c r="H126" s="8" t="str">
        <f t="shared" si="5"/>
        <v>10_10,50_20,80_30</v>
      </c>
      <c r="I126" s="8">
        <v>12</v>
      </c>
      <c r="J126" s="8">
        <f t="shared" si="6"/>
        <v>50</v>
      </c>
      <c r="K126" s="7" t="s">
        <v>293</v>
      </c>
      <c r="L126" s="8">
        <v>20</v>
      </c>
      <c r="M126" s="7">
        <f>IF(INDEX([1]equip.xml!$B:$B,MATCH(D126&amp;"",[1]equip.xml!$A:$A,0))=0,0,N126)</f>
        <v>130</v>
      </c>
      <c r="N126" s="8">
        <f t="shared" si="7"/>
        <v>130</v>
      </c>
    </row>
    <row r="127" spans="1:14">
      <c r="A127" s="8">
        <v>10006</v>
      </c>
      <c r="B127" s="8">
        <v>40000</v>
      </c>
      <c r="C127" s="8" t="s">
        <v>132</v>
      </c>
      <c r="D127" s="8" t="s">
        <v>75</v>
      </c>
      <c r="E127" s="8" t="s">
        <v>119</v>
      </c>
      <c r="F127" s="8">
        <v>1</v>
      </c>
      <c r="G127" s="8">
        <f>3*INDEX([1]equip.xml!$I:$I,MATCH(D127&amp;"",[1]equip.xml!$A:$A,0))</f>
        <v>24000</v>
      </c>
      <c r="H127" s="8" t="str">
        <f t="shared" si="5"/>
        <v>10_10,50_20,80_30</v>
      </c>
      <c r="I127" s="8">
        <v>12</v>
      </c>
      <c r="J127" s="8">
        <f t="shared" si="6"/>
        <v>50</v>
      </c>
      <c r="K127" s="7" t="s">
        <v>293</v>
      </c>
      <c r="L127" s="8">
        <v>20</v>
      </c>
      <c r="M127" s="7">
        <f>IF(INDEX([1]equip.xml!$B:$B,MATCH(D127&amp;"",[1]equip.xml!$A:$A,0))=0,0,N127)</f>
        <v>0</v>
      </c>
      <c r="N127" s="8">
        <f t="shared" si="7"/>
        <v>130</v>
      </c>
    </row>
    <row r="128" spans="1:14">
      <c r="A128" s="8">
        <v>10006</v>
      </c>
      <c r="B128" s="8">
        <v>40000</v>
      </c>
      <c r="C128" s="8" t="s">
        <v>132</v>
      </c>
      <c r="D128" s="8" t="s">
        <v>76</v>
      </c>
      <c r="E128" s="8" t="s">
        <v>120</v>
      </c>
      <c r="F128" s="8">
        <v>1</v>
      </c>
      <c r="G128" s="8">
        <f>3*INDEX([1]equip.xml!$I:$I,MATCH(D128&amp;"",[1]equip.xml!$A:$A,0))</f>
        <v>15000</v>
      </c>
      <c r="H128" s="8" t="str">
        <f t="shared" si="5"/>
        <v>10_10,50_20,80_30</v>
      </c>
      <c r="I128" s="8">
        <v>12</v>
      </c>
      <c r="J128" s="8">
        <f t="shared" si="6"/>
        <v>50</v>
      </c>
      <c r="K128" s="7" t="s">
        <v>293</v>
      </c>
      <c r="L128" s="8">
        <v>20</v>
      </c>
      <c r="M128" s="7">
        <f>IF(INDEX([1]equip.xml!$B:$B,MATCH(D128&amp;"",[1]equip.xml!$A:$A,0))=0,0,N128)</f>
        <v>130</v>
      </c>
      <c r="N128" s="8">
        <f t="shared" si="7"/>
        <v>130</v>
      </c>
    </row>
    <row r="129" spans="1:14">
      <c r="A129" s="8">
        <v>10006</v>
      </c>
      <c r="B129" s="8">
        <v>40000</v>
      </c>
      <c r="C129" s="8" t="s">
        <v>132</v>
      </c>
      <c r="D129" s="8" t="s">
        <v>77</v>
      </c>
      <c r="E129" s="8" t="s">
        <v>121</v>
      </c>
      <c r="F129" s="8">
        <v>1</v>
      </c>
      <c r="G129" s="8">
        <f>3*INDEX([1]equip.xml!$I:$I,MATCH(D129&amp;"",[1]equip.xml!$A:$A,0))</f>
        <v>24000</v>
      </c>
      <c r="H129" s="8" t="str">
        <f t="shared" si="5"/>
        <v>10_10,50_20,80_30</v>
      </c>
      <c r="I129" s="8">
        <v>12</v>
      </c>
      <c r="J129" s="8">
        <f t="shared" si="6"/>
        <v>50</v>
      </c>
      <c r="K129" s="7" t="s">
        <v>293</v>
      </c>
      <c r="L129" s="8">
        <v>20</v>
      </c>
      <c r="M129" s="7">
        <f>IF(INDEX([1]equip.xml!$B:$B,MATCH(D129&amp;"",[1]equip.xml!$A:$A,0))=0,0,N129)</f>
        <v>130</v>
      </c>
      <c r="N129" s="8">
        <f t="shared" si="7"/>
        <v>130</v>
      </c>
    </row>
    <row r="130" spans="1:14">
      <c r="A130" s="8">
        <v>10006</v>
      </c>
      <c r="B130" s="8">
        <v>40000</v>
      </c>
      <c r="C130" s="8" t="s">
        <v>132</v>
      </c>
      <c r="D130" s="8" t="s">
        <v>78</v>
      </c>
      <c r="E130" s="8" t="s">
        <v>122</v>
      </c>
      <c r="F130" s="8">
        <v>1</v>
      </c>
      <c r="G130" s="8">
        <f>3*INDEX([1]equip.xml!$I:$I,MATCH(D130&amp;"",[1]equip.xml!$A:$A,0))</f>
        <v>15000</v>
      </c>
      <c r="H130" s="8" t="str">
        <f t="shared" si="5"/>
        <v>10_10,50_20,80_30</v>
      </c>
      <c r="I130" s="8">
        <v>12</v>
      </c>
      <c r="J130" s="8">
        <f t="shared" si="6"/>
        <v>50</v>
      </c>
      <c r="K130" s="7" t="s">
        <v>293</v>
      </c>
      <c r="L130" s="8">
        <v>20</v>
      </c>
      <c r="M130" s="7">
        <f>IF(INDEX([1]equip.xml!$B:$B,MATCH(D130&amp;"",[1]equip.xml!$A:$A,0))=0,0,N130)</f>
        <v>130</v>
      </c>
      <c r="N130" s="8">
        <f t="shared" si="7"/>
        <v>130</v>
      </c>
    </row>
    <row r="131" spans="1:14">
      <c r="A131" s="8">
        <v>10006</v>
      </c>
      <c r="B131" s="8">
        <v>40000</v>
      </c>
      <c r="C131" s="8" t="s">
        <v>132</v>
      </c>
      <c r="D131" s="8" t="s">
        <v>79</v>
      </c>
      <c r="E131" s="8" t="s">
        <v>123</v>
      </c>
      <c r="F131" s="8">
        <v>1</v>
      </c>
      <c r="G131" s="8">
        <f>3*INDEX([1]equip.xml!$I:$I,MATCH(D131&amp;"",[1]equip.xml!$A:$A,0))</f>
        <v>24000</v>
      </c>
      <c r="H131" s="8" t="str">
        <f t="shared" si="5"/>
        <v>10_10,50_20,80_30</v>
      </c>
      <c r="I131" s="8">
        <v>12</v>
      </c>
      <c r="J131" s="8">
        <f t="shared" si="6"/>
        <v>50</v>
      </c>
      <c r="K131" s="7" t="s">
        <v>293</v>
      </c>
      <c r="L131" s="8">
        <v>20</v>
      </c>
      <c r="M131" s="7">
        <f>IF(INDEX([1]equip.xml!$B:$B,MATCH(D131&amp;"",[1]equip.xml!$A:$A,0))=0,0,N131)</f>
        <v>0</v>
      </c>
      <c r="N131" s="8">
        <f t="shared" si="7"/>
        <v>130</v>
      </c>
    </row>
    <row r="132" spans="1:14">
      <c r="A132" s="8">
        <v>10006</v>
      </c>
      <c r="B132" s="8">
        <v>40000</v>
      </c>
      <c r="C132" s="8" t="s">
        <v>132</v>
      </c>
      <c r="D132" s="8" t="s">
        <v>80</v>
      </c>
      <c r="E132" s="8" t="s">
        <v>124</v>
      </c>
      <c r="F132" s="8">
        <v>1</v>
      </c>
      <c r="G132" s="8">
        <f>3*INDEX([1]equip.xml!$I:$I,MATCH(D132&amp;"",[1]equip.xml!$A:$A,0))</f>
        <v>15000</v>
      </c>
      <c r="H132" s="8" t="str">
        <f t="shared" si="5"/>
        <v>10_10,50_20,80_30</v>
      </c>
      <c r="I132" s="8">
        <v>12</v>
      </c>
      <c r="J132" s="8">
        <f t="shared" si="6"/>
        <v>50</v>
      </c>
      <c r="K132" s="7" t="s">
        <v>293</v>
      </c>
      <c r="L132" s="8">
        <v>20</v>
      </c>
      <c r="M132" s="7">
        <f>IF(INDEX([1]equip.xml!$B:$B,MATCH(D132&amp;"",[1]equip.xml!$A:$A,0))=0,0,N132)</f>
        <v>130</v>
      </c>
      <c r="N132" s="8">
        <f t="shared" si="7"/>
        <v>130</v>
      </c>
    </row>
    <row r="133" spans="1:14">
      <c r="A133" s="8">
        <v>10006</v>
      </c>
      <c r="B133" s="8">
        <v>40000</v>
      </c>
      <c r="C133" s="8" t="s">
        <v>132</v>
      </c>
      <c r="D133" s="8" t="s">
        <v>81</v>
      </c>
      <c r="E133" s="8" t="s">
        <v>326</v>
      </c>
      <c r="F133" s="8">
        <v>1</v>
      </c>
      <c r="G133" s="8">
        <f>3*INDEX([1]equip.xml!$I:$I,MATCH(D133&amp;"",[1]equip.xml!$A:$A,0))</f>
        <v>24000</v>
      </c>
      <c r="H133" s="8" t="str">
        <f t="shared" si="5"/>
        <v>10_10,50_20,80_30</v>
      </c>
      <c r="I133" s="8">
        <v>12</v>
      </c>
      <c r="J133" s="8">
        <f t="shared" si="6"/>
        <v>50</v>
      </c>
      <c r="K133" s="7" t="s">
        <v>293</v>
      </c>
      <c r="L133" s="8">
        <v>20</v>
      </c>
      <c r="M133" s="7">
        <f>IF(INDEX([1]equip.xml!$B:$B,MATCH(D133&amp;"",[1]equip.xml!$A:$A,0))=0,0,N133)</f>
        <v>130</v>
      </c>
      <c r="N133" s="8">
        <f t="shared" si="7"/>
        <v>130</v>
      </c>
    </row>
    <row r="134" spans="1:14">
      <c r="A134" s="8">
        <v>10006</v>
      </c>
      <c r="B134" s="8">
        <v>40000</v>
      </c>
      <c r="C134" s="8" t="s">
        <v>132</v>
      </c>
      <c r="D134" s="8" t="s">
        <v>82</v>
      </c>
      <c r="E134" s="8" t="s">
        <v>126</v>
      </c>
      <c r="F134" s="8">
        <v>1</v>
      </c>
      <c r="G134" s="8">
        <f>3*INDEX([1]equip.xml!$I:$I,MATCH(D134&amp;"",[1]equip.xml!$A:$A,0))</f>
        <v>15000</v>
      </c>
      <c r="H134" s="8" t="str">
        <f t="shared" si="5"/>
        <v>10_10,50_20,80_30</v>
      </c>
      <c r="I134" s="8">
        <v>12</v>
      </c>
      <c r="J134" s="8">
        <f t="shared" si="6"/>
        <v>50</v>
      </c>
      <c r="K134" s="7" t="s">
        <v>293</v>
      </c>
      <c r="L134" s="8">
        <v>20</v>
      </c>
      <c r="M134" s="7">
        <f>IF(INDEX([1]equip.xml!$B:$B,MATCH(D134&amp;"",[1]equip.xml!$A:$A,0))=0,0,N134)</f>
        <v>130</v>
      </c>
      <c r="N134" s="8">
        <f t="shared" si="7"/>
        <v>130</v>
      </c>
    </row>
    <row r="135" spans="1:14">
      <c r="A135" s="8">
        <v>10006</v>
      </c>
      <c r="B135" s="8">
        <v>40000</v>
      </c>
      <c r="C135" s="8" t="s">
        <v>132</v>
      </c>
      <c r="D135" s="8" t="s">
        <v>83</v>
      </c>
      <c r="E135" s="8" t="s">
        <v>127</v>
      </c>
      <c r="F135" s="8">
        <v>1</v>
      </c>
      <c r="G135" s="8">
        <f>3*INDEX([1]equip.xml!$I:$I,MATCH(D135&amp;"",[1]equip.xml!$A:$A,0))</f>
        <v>24000</v>
      </c>
      <c r="H135" s="8" t="str">
        <f t="shared" si="5"/>
        <v>10_10,50_20,80_30</v>
      </c>
      <c r="I135" s="8">
        <v>12</v>
      </c>
      <c r="J135" s="8">
        <f t="shared" si="6"/>
        <v>50</v>
      </c>
      <c r="K135" s="7" t="s">
        <v>293</v>
      </c>
      <c r="L135" s="8">
        <v>20</v>
      </c>
      <c r="M135" s="7">
        <f>IF(INDEX([1]equip.xml!$B:$B,MATCH(D135&amp;"",[1]equip.xml!$A:$A,0))=0,0,N135)</f>
        <v>0</v>
      </c>
      <c r="N135" s="8">
        <f t="shared" si="7"/>
        <v>130</v>
      </c>
    </row>
    <row r="136" spans="1:14">
      <c r="A136" s="8">
        <v>10006</v>
      </c>
      <c r="B136" s="8">
        <v>40000</v>
      </c>
      <c r="C136" s="8" t="s">
        <v>132</v>
      </c>
      <c r="D136" s="8" t="s">
        <v>84</v>
      </c>
      <c r="E136" s="8" t="s">
        <v>128</v>
      </c>
      <c r="F136" s="8">
        <v>1</v>
      </c>
      <c r="G136" s="8">
        <f>3*INDEX([1]equip.xml!$I:$I,MATCH(D136&amp;"",[1]equip.xml!$A:$A,0))</f>
        <v>15000</v>
      </c>
      <c r="H136" s="8" t="str">
        <f t="shared" si="5"/>
        <v>10_10,50_20,80_30</v>
      </c>
      <c r="I136" s="8">
        <v>12</v>
      </c>
      <c r="J136" s="8">
        <f t="shared" si="6"/>
        <v>50</v>
      </c>
      <c r="K136" s="7" t="s">
        <v>293</v>
      </c>
      <c r="L136" s="8">
        <v>20</v>
      </c>
      <c r="M136" s="7">
        <f>IF(INDEX([1]equip.xml!$B:$B,MATCH(D136&amp;"",[1]equip.xml!$A:$A,0))=0,0,N136)</f>
        <v>130</v>
      </c>
      <c r="N136" s="8">
        <f t="shared" si="7"/>
        <v>130</v>
      </c>
    </row>
    <row r="137" spans="1:14">
      <c r="A137" s="8">
        <v>10006</v>
      </c>
      <c r="B137" s="8">
        <v>40000</v>
      </c>
      <c r="C137" s="8" t="s">
        <v>132</v>
      </c>
      <c r="D137" s="8" t="s">
        <v>85</v>
      </c>
      <c r="E137" s="8" t="s">
        <v>129</v>
      </c>
      <c r="F137" s="8">
        <v>1</v>
      </c>
      <c r="G137" s="8">
        <f>3*INDEX([1]equip.xml!$I:$I,MATCH(D137&amp;"",[1]equip.xml!$A:$A,0))</f>
        <v>24000</v>
      </c>
      <c r="H137" s="8" t="str">
        <f t="shared" si="5"/>
        <v>10_10,50_20,80_30</v>
      </c>
      <c r="I137" s="8">
        <v>12</v>
      </c>
      <c r="J137" s="8">
        <f t="shared" si="6"/>
        <v>50</v>
      </c>
      <c r="K137" s="7" t="s">
        <v>293</v>
      </c>
      <c r="L137" s="8">
        <v>20</v>
      </c>
      <c r="M137" s="7">
        <f>IF(INDEX([1]equip.xml!$B:$B,MATCH(D137&amp;"",[1]equip.xml!$A:$A,0))=0,0,N137)</f>
        <v>130</v>
      </c>
      <c r="N137" s="8">
        <f t="shared" si="7"/>
        <v>130</v>
      </c>
    </row>
    <row r="138" spans="1:14">
      <c r="A138" s="8">
        <v>10006</v>
      </c>
      <c r="B138" s="8">
        <v>40000</v>
      </c>
      <c r="C138" s="8" t="s">
        <v>132</v>
      </c>
      <c r="D138" s="8" t="s">
        <v>86</v>
      </c>
      <c r="E138" s="8" t="s">
        <v>130</v>
      </c>
      <c r="F138" s="8">
        <v>1</v>
      </c>
      <c r="G138" s="8">
        <f>3*INDEX([1]equip.xml!$I:$I,MATCH(D138&amp;"",[1]equip.xml!$A:$A,0))</f>
        <v>15000</v>
      </c>
      <c r="H138" s="8" t="str">
        <f t="shared" si="5"/>
        <v>10_10,50_20,80_30</v>
      </c>
      <c r="I138" s="8">
        <v>12</v>
      </c>
      <c r="J138" s="8">
        <f t="shared" si="6"/>
        <v>50</v>
      </c>
      <c r="K138" s="7" t="s">
        <v>293</v>
      </c>
      <c r="L138" s="8">
        <v>20</v>
      </c>
      <c r="M138" s="7">
        <f>IF(INDEX([1]equip.xml!$B:$B,MATCH(D138&amp;"",[1]equip.xml!$A:$A,0))=0,0,N138)</f>
        <v>130</v>
      </c>
      <c r="N138" s="8">
        <f t="shared" si="7"/>
        <v>130</v>
      </c>
    </row>
    <row r="139" spans="1:14">
      <c r="A139" s="8">
        <v>10006</v>
      </c>
      <c r="B139" s="8">
        <v>40000</v>
      </c>
      <c r="C139" s="8" t="s">
        <v>132</v>
      </c>
      <c r="D139" s="8" t="s">
        <v>87</v>
      </c>
      <c r="E139" s="8" t="s">
        <v>131</v>
      </c>
      <c r="F139" s="8">
        <v>1</v>
      </c>
      <c r="G139" s="8">
        <f>3*INDEX([1]equip.xml!$I:$I,MATCH(D139&amp;"",[1]equip.xml!$A:$A,0))</f>
        <v>24000</v>
      </c>
      <c r="H139" s="8" t="str">
        <f t="shared" si="5"/>
        <v>10_10,50_20,80_30</v>
      </c>
      <c r="I139" s="8">
        <v>12</v>
      </c>
      <c r="J139" s="8">
        <f t="shared" si="6"/>
        <v>50</v>
      </c>
      <c r="K139" s="7" t="s">
        <v>293</v>
      </c>
      <c r="L139" s="8">
        <v>20</v>
      </c>
      <c r="M139" s="7">
        <f>IF(INDEX([1]equip.xml!$B:$B,MATCH(D139&amp;"",[1]equip.xml!$A:$A,0))=0,0,N139)</f>
        <v>130</v>
      </c>
      <c r="N139" s="8">
        <f t="shared" si="7"/>
        <v>130</v>
      </c>
    </row>
    <row r="140" spans="1:14">
      <c r="A140" s="8">
        <v>10006</v>
      </c>
      <c r="B140" s="8">
        <v>40000</v>
      </c>
      <c r="C140" s="8" t="s">
        <v>132</v>
      </c>
      <c r="D140" s="8" t="s">
        <v>177</v>
      </c>
      <c r="E140" s="8" t="s">
        <v>178</v>
      </c>
      <c r="F140" s="8">
        <v>1</v>
      </c>
      <c r="G140" s="8">
        <f>3*INDEX([1]equip.xml!$I:$I,MATCH(D140&amp;"",[1]equip.xml!$A:$A,0))</f>
        <v>30000</v>
      </c>
      <c r="H140" s="8" t="str">
        <f t="shared" si="5"/>
        <v>10_10,50_20,80_30</v>
      </c>
      <c r="I140" s="8">
        <v>12</v>
      </c>
      <c r="J140" s="8">
        <f t="shared" si="6"/>
        <v>50</v>
      </c>
      <c r="K140" s="7" t="s">
        <v>293</v>
      </c>
      <c r="L140" s="8">
        <v>20</v>
      </c>
      <c r="M140" s="7">
        <f>IF(INDEX([1]equip.xml!$B:$B,MATCH(D140&amp;"",[1]equip.xml!$A:$A,0))=0,0,N140)</f>
        <v>65</v>
      </c>
      <c r="N140" s="8">
        <f t="shared" si="7"/>
        <v>65</v>
      </c>
    </row>
    <row r="141" spans="1:14">
      <c r="A141" s="8">
        <v>10006</v>
      </c>
      <c r="B141" s="8">
        <v>40000</v>
      </c>
      <c r="C141" s="8" t="s">
        <v>132</v>
      </c>
      <c r="D141" s="8" t="s">
        <v>179</v>
      </c>
      <c r="E141" s="8" t="s">
        <v>180</v>
      </c>
      <c r="F141" s="8">
        <v>1</v>
      </c>
      <c r="G141" s="8">
        <f>3*INDEX([1]equip.xml!$I:$I,MATCH(D141&amp;"",[1]equip.xml!$A:$A,0))</f>
        <v>30000</v>
      </c>
      <c r="H141" s="8" t="str">
        <f t="shared" si="5"/>
        <v>10_10,50_20,80_30</v>
      </c>
      <c r="I141" s="8">
        <v>12</v>
      </c>
      <c r="J141" s="8">
        <f t="shared" si="6"/>
        <v>50</v>
      </c>
      <c r="K141" s="7" t="s">
        <v>293</v>
      </c>
      <c r="L141" s="8">
        <v>20</v>
      </c>
      <c r="M141" s="7">
        <f>IF(INDEX([1]equip.xml!$B:$B,MATCH(D141&amp;"",[1]equip.xml!$A:$A,0))=0,0,N141)</f>
        <v>65</v>
      </c>
      <c r="N141" s="8">
        <f t="shared" si="7"/>
        <v>65</v>
      </c>
    </row>
    <row r="142" spans="1:14">
      <c r="A142" s="8">
        <v>10006</v>
      </c>
      <c r="B142" s="8">
        <v>40000</v>
      </c>
      <c r="C142" s="8" t="s">
        <v>132</v>
      </c>
      <c r="D142" s="8" t="s">
        <v>181</v>
      </c>
      <c r="E142" s="8" t="s">
        <v>182</v>
      </c>
      <c r="F142" s="8">
        <v>1</v>
      </c>
      <c r="G142" s="8">
        <f>3*INDEX([1]equip.xml!$I:$I,MATCH(D142&amp;"",[1]equip.xml!$A:$A,0))</f>
        <v>30000</v>
      </c>
      <c r="H142" s="8" t="str">
        <f t="shared" si="5"/>
        <v>10_10,50_20,80_30</v>
      </c>
      <c r="I142" s="8">
        <v>12</v>
      </c>
      <c r="J142" s="8">
        <f t="shared" si="6"/>
        <v>50</v>
      </c>
      <c r="K142" s="7" t="s">
        <v>293</v>
      </c>
      <c r="L142" s="8">
        <v>20</v>
      </c>
      <c r="M142" s="7">
        <f>IF(INDEX([1]equip.xml!$B:$B,MATCH(D142&amp;"",[1]equip.xml!$A:$A,0))=0,0,N142)</f>
        <v>65</v>
      </c>
      <c r="N142" s="8">
        <f t="shared" si="7"/>
        <v>65</v>
      </c>
    </row>
    <row r="143" spans="1:14">
      <c r="A143" s="8">
        <v>10006</v>
      </c>
      <c r="B143" s="8">
        <v>40000</v>
      </c>
      <c r="C143" s="8" t="s">
        <v>132</v>
      </c>
      <c r="D143" s="8" t="s">
        <v>183</v>
      </c>
      <c r="E143" s="8" t="s">
        <v>184</v>
      </c>
      <c r="F143" s="8">
        <v>1</v>
      </c>
      <c r="G143" s="8">
        <f>3*INDEX([1]equip.xml!$I:$I,MATCH(D143&amp;"",[1]equip.xml!$A:$A,0))</f>
        <v>30000</v>
      </c>
      <c r="H143" s="8" t="str">
        <f t="shared" si="5"/>
        <v>10_10,50_20,80_30</v>
      </c>
      <c r="I143" s="8">
        <v>12</v>
      </c>
      <c r="J143" s="8">
        <f t="shared" si="6"/>
        <v>50</v>
      </c>
      <c r="K143" s="7" t="s">
        <v>293</v>
      </c>
      <c r="L143" s="8">
        <v>20</v>
      </c>
      <c r="M143" s="7">
        <f>IF(INDEX([1]equip.xml!$B:$B,MATCH(D143&amp;"",[1]equip.xml!$A:$A,0))=0,0,N143)</f>
        <v>65</v>
      </c>
      <c r="N143" s="8">
        <f t="shared" si="7"/>
        <v>65</v>
      </c>
    </row>
    <row r="144" spans="1:14">
      <c r="A144" s="8">
        <v>10006</v>
      </c>
      <c r="B144" s="8">
        <v>40000</v>
      </c>
      <c r="C144" s="8" t="s">
        <v>132</v>
      </c>
      <c r="D144" s="8" t="s">
        <v>185</v>
      </c>
      <c r="E144" s="8" t="s">
        <v>186</v>
      </c>
      <c r="F144" s="8">
        <v>1</v>
      </c>
      <c r="G144" s="8">
        <f>3*INDEX([1]equip.xml!$I:$I,MATCH(D144&amp;"",[1]equip.xml!$A:$A,0))</f>
        <v>30000</v>
      </c>
      <c r="H144" s="8" t="str">
        <f t="shared" si="5"/>
        <v>10_10,50_20,80_30</v>
      </c>
      <c r="I144" s="8">
        <v>12</v>
      </c>
      <c r="J144" s="8">
        <f t="shared" si="6"/>
        <v>50</v>
      </c>
      <c r="K144" s="7" t="s">
        <v>293</v>
      </c>
      <c r="L144" s="8">
        <v>20</v>
      </c>
      <c r="M144" s="7">
        <f>IF(INDEX([1]equip.xml!$B:$B,MATCH(D144&amp;"",[1]equip.xml!$A:$A,0))=0,0,N144)</f>
        <v>65</v>
      </c>
      <c r="N144" s="8">
        <f t="shared" si="7"/>
        <v>65</v>
      </c>
    </row>
    <row r="145" spans="1:14">
      <c r="A145" s="8">
        <v>10006</v>
      </c>
      <c r="B145" s="8">
        <v>40000</v>
      </c>
      <c r="C145" s="8" t="s">
        <v>132</v>
      </c>
      <c r="D145" s="8" t="s">
        <v>187</v>
      </c>
      <c r="E145" s="8" t="s">
        <v>188</v>
      </c>
      <c r="F145" s="8">
        <v>1</v>
      </c>
      <c r="G145" s="8">
        <f>3*INDEX([1]equip.xml!$I:$I,MATCH(D145&amp;"",[1]equip.xml!$A:$A,0))</f>
        <v>30000</v>
      </c>
      <c r="H145" s="8" t="str">
        <f t="shared" si="5"/>
        <v>10_10,50_20,80_30</v>
      </c>
      <c r="I145" s="8">
        <v>12</v>
      </c>
      <c r="J145" s="8">
        <f t="shared" si="6"/>
        <v>50</v>
      </c>
      <c r="K145" s="7" t="s">
        <v>293</v>
      </c>
      <c r="L145" s="8">
        <v>20</v>
      </c>
      <c r="M145" s="7">
        <f>IF(INDEX([1]equip.xml!$B:$B,MATCH(D145&amp;"",[1]equip.xml!$A:$A,0))=0,0,N145)</f>
        <v>0</v>
      </c>
      <c r="N145" s="8">
        <f t="shared" si="7"/>
        <v>65</v>
      </c>
    </row>
    <row r="146" spans="1:14">
      <c r="A146" s="8">
        <v>10006</v>
      </c>
      <c r="B146" s="8">
        <v>40000</v>
      </c>
      <c r="C146" s="8" t="s">
        <v>132</v>
      </c>
      <c r="D146" s="8" t="s">
        <v>189</v>
      </c>
      <c r="E146" s="8" t="s">
        <v>190</v>
      </c>
      <c r="F146" s="8">
        <v>1</v>
      </c>
      <c r="G146" s="8">
        <f>3*INDEX([1]equip.xml!$I:$I,MATCH(D146&amp;"",[1]equip.xml!$A:$A,0))</f>
        <v>30000</v>
      </c>
      <c r="H146" s="8" t="str">
        <f t="shared" si="5"/>
        <v>10_10,50_20,80_30</v>
      </c>
      <c r="I146" s="8">
        <v>12</v>
      </c>
      <c r="J146" s="8">
        <f t="shared" si="6"/>
        <v>50</v>
      </c>
      <c r="K146" s="7" t="s">
        <v>293</v>
      </c>
      <c r="L146" s="8">
        <v>20</v>
      </c>
      <c r="M146" s="7">
        <f>IF(INDEX([1]equip.xml!$B:$B,MATCH(D146&amp;"",[1]equip.xml!$A:$A,0))=0,0,N146)</f>
        <v>65</v>
      </c>
      <c r="N146" s="8">
        <f t="shared" si="7"/>
        <v>65</v>
      </c>
    </row>
    <row r="147" spans="1:14">
      <c r="A147" s="8">
        <v>10006</v>
      </c>
      <c r="B147" s="8">
        <v>40000</v>
      </c>
      <c r="C147" s="8" t="s">
        <v>132</v>
      </c>
      <c r="D147" s="8" t="s">
        <v>191</v>
      </c>
      <c r="E147" s="8" t="s">
        <v>192</v>
      </c>
      <c r="F147" s="8">
        <v>1</v>
      </c>
      <c r="G147" s="8">
        <f>3*INDEX([1]equip.xml!$I:$I,MATCH(D147&amp;"",[1]equip.xml!$A:$A,0))</f>
        <v>39000</v>
      </c>
      <c r="H147" s="8" t="str">
        <f t="shared" si="5"/>
        <v>10_10,50_20,80_30</v>
      </c>
      <c r="I147" s="8">
        <v>12</v>
      </c>
      <c r="J147" s="8">
        <f t="shared" si="6"/>
        <v>50</v>
      </c>
      <c r="K147" s="7" t="s">
        <v>293</v>
      </c>
      <c r="L147" s="8">
        <v>20</v>
      </c>
      <c r="M147" s="7">
        <f>IF(INDEX([1]equip.xml!$B:$B,MATCH(D147&amp;"",[1]equip.xml!$A:$A,0))=0,0,N147)</f>
        <v>65</v>
      </c>
      <c r="N147" s="8">
        <f t="shared" si="7"/>
        <v>65</v>
      </c>
    </row>
    <row r="148" spans="1:14">
      <c r="A148" s="8">
        <v>10006</v>
      </c>
      <c r="B148" s="8">
        <v>40000</v>
      </c>
      <c r="C148" s="8" t="s">
        <v>132</v>
      </c>
      <c r="D148" s="8" t="s">
        <v>193</v>
      </c>
      <c r="E148" s="8" t="s">
        <v>194</v>
      </c>
      <c r="F148" s="8">
        <v>1</v>
      </c>
      <c r="G148" s="8">
        <f>3*INDEX([1]equip.xml!$I:$I,MATCH(D148&amp;"",[1]equip.xml!$A:$A,0))</f>
        <v>30000</v>
      </c>
      <c r="H148" s="8" t="str">
        <f t="shared" si="5"/>
        <v>10_10,50_20,80_30</v>
      </c>
      <c r="I148" s="8">
        <v>12</v>
      </c>
      <c r="J148" s="8">
        <f t="shared" si="6"/>
        <v>50</v>
      </c>
      <c r="K148" s="7" t="s">
        <v>293</v>
      </c>
      <c r="L148" s="8">
        <v>20</v>
      </c>
      <c r="M148" s="7">
        <f>IF(INDEX([1]equip.xml!$B:$B,MATCH(D148&amp;"",[1]equip.xml!$A:$A,0))=0,0,N148)</f>
        <v>65</v>
      </c>
      <c r="N148" s="8">
        <f t="shared" si="7"/>
        <v>65</v>
      </c>
    </row>
    <row r="149" spans="1:14">
      <c r="A149" s="8">
        <v>10006</v>
      </c>
      <c r="B149" s="8">
        <v>40000</v>
      </c>
      <c r="C149" s="8" t="s">
        <v>132</v>
      </c>
      <c r="D149" s="8" t="s">
        <v>195</v>
      </c>
      <c r="E149" s="8" t="s">
        <v>196</v>
      </c>
      <c r="F149" s="8">
        <v>1</v>
      </c>
      <c r="G149" s="8">
        <f>3*INDEX([1]equip.xml!$I:$I,MATCH(D149&amp;"",[1]equip.xml!$A:$A,0))</f>
        <v>39000</v>
      </c>
      <c r="H149" s="8" t="str">
        <f t="shared" si="5"/>
        <v>10_10,50_20,80_30</v>
      </c>
      <c r="I149" s="8">
        <v>12</v>
      </c>
      <c r="J149" s="8">
        <f t="shared" si="6"/>
        <v>50</v>
      </c>
      <c r="K149" s="7" t="s">
        <v>293</v>
      </c>
      <c r="L149" s="8">
        <v>20</v>
      </c>
      <c r="M149" s="7">
        <f>IF(INDEX([1]equip.xml!$B:$B,MATCH(D149&amp;"",[1]equip.xml!$A:$A,0))=0,0,N149)</f>
        <v>0</v>
      </c>
      <c r="N149" s="8">
        <f t="shared" si="7"/>
        <v>65</v>
      </c>
    </row>
    <row r="150" spans="1:14">
      <c r="A150" s="8">
        <v>10006</v>
      </c>
      <c r="B150" s="8">
        <v>40000</v>
      </c>
      <c r="C150" s="8" t="s">
        <v>132</v>
      </c>
      <c r="D150" s="8" t="s">
        <v>197</v>
      </c>
      <c r="E150" s="8" t="s">
        <v>198</v>
      </c>
      <c r="F150" s="8">
        <v>1</v>
      </c>
      <c r="G150" s="8">
        <f>3*INDEX([1]equip.xml!$I:$I,MATCH(D150&amp;"",[1]equip.xml!$A:$A,0))</f>
        <v>30000</v>
      </c>
      <c r="H150" s="8" t="str">
        <f t="shared" si="5"/>
        <v>10_10,50_20,80_30</v>
      </c>
      <c r="I150" s="8">
        <v>12</v>
      </c>
      <c r="J150" s="8">
        <f t="shared" si="6"/>
        <v>50</v>
      </c>
      <c r="K150" s="7" t="s">
        <v>293</v>
      </c>
      <c r="L150" s="8">
        <v>20</v>
      </c>
      <c r="M150" s="7">
        <f>IF(INDEX([1]equip.xml!$B:$B,MATCH(D150&amp;"",[1]equip.xml!$A:$A,0))=0,0,N150)</f>
        <v>65</v>
      </c>
      <c r="N150" s="8">
        <f t="shared" si="7"/>
        <v>65</v>
      </c>
    </row>
    <row r="151" spans="1:14">
      <c r="A151" s="8">
        <v>10006</v>
      </c>
      <c r="B151" s="8">
        <v>40000</v>
      </c>
      <c r="C151" s="8" t="s">
        <v>132</v>
      </c>
      <c r="D151" s="8" t="s">
        <v>199</v>
      </c>
      <c r="E151" s="8" t="s">
        <v>200</v>
      </c>
      <c r="F151" s="8">
        <v>1</v>
      </c>
      <c r="G151" s="8">
        <f>3*INDEX([1]equip.xml!$I:$I,MATCH(D151&amp;"",[1]equip.xml!$A:$A,0))</f>
        <v>39000</v>
      </c>
      <c r="H151" s="8" t="str">
        <f t="shared" si="5"/>
        <v>10_10,50_20,80_30</v>
      </c>
      <c r="I151" s="8">
        <v>12</v>
      </c>
      <c r="J151" s="8">
        <f t="shared" si="6"/>
        <v>50</v>
      </c>
      <c r="K151" s="7" t="s">
        <v>293</v>
      </c>
      <c r="L151" s="8">
        <v>20</v>
      </c>
      <c r="M151" s="7">
        <f>IF(INDEX([1]equip.xml!$B:$B,MATCH(D151&amp;"",[1]equip.xml!$A:$A,0))=0,0,N151)</f>
        <v>65</v>
      </c>
      <c r="N151" s="8">
        <f t="shared" si="7"/>
        <v>65</v>
      </c>
    </row>
    <row r="152" spans="1:14">
      <c r="A152" s="8">
        <v>10006</v>
      </c>
      <c r="B152" s="8">
        <v>40000</v>
      </c>
      <c r="C152" s="8" t="s">
        <v>132</v>
      </c>
      <c r="D152" s="8" t="s">
        <v>201</v>
      </c>
      <c r="E152" s="8" t="s">
        <v>202</v>
      </c>
      <c r="F152" s="8">
        <v>1</v>
      </c>
      <c r="G152" s="8">
        <f>3*INDEX([1]equip.xml!$I:$I,MATCH(D152&amp;"",[1]equip.xml!$A:$A,0))</f>
        <v>30000</v>
      </c>
      <c r="H152" s="8" t="str">
        <f t="shared" si="5"/>
        <v>10_10,50_20,80_30</v>
      </c>
      <c r="I152" s="8">
        <v>12</v>
      </c>
      <c r="J152" s="8">
        <f t="shared" si="6"/>
        <v>50</v>
      </c>
      <c r="K152" s="7" t="s">
        <v>293</v>
      </c>
      <c r="L152" s="8">
        <v>20</v>
      </c>
      <c r="M152" s="7">
        <f>IF(INDEX([1]equip.xml!$B:$B,MATCH(D152&amp;"",[1]equip.xml!$A:$A,0))=0,0,N152)</f>
        <v>65</v>
      </c>
      <c r="N152" s="8">
        <f t="shared" si="7"/>
        <v>65</v>
      </c>
    </row>
    <row r="153" spans="1:14">
      <c r="A153" s="8">
        <v>10006</v>
      </c>
      <c r="B153" s="8">
        <v>40000</v>
      </c>
      <c r="C153" s="8" t="s">
        <v>132</v>
      </c>
      <c r="D153" s="8" t="s">
        <v>203</v>
      </c>
      <c r="E153" s="8" t="s">
        <v>204</v>
      </c>
      <c r="F153" s="8">
        <v>1</v>
      </c>
      <c r="G153" s="8">
        <f>3*INDEX([1]equip.xml!$I:$I,MATCH(D153&amp;"",[1]equip.xml!$A:$A,0))</f>
        <v>39000</v>
      </c>
      <c r="H153" s="8" t="str">
        <f t="shared" si="5"/>
        <v>10_10,50_20,80_30</v>
      </c>
      <c r="I153" s="8">
        <v>12</v>
      </c>
      <c r="J153" s="8">
        <f t="shared" si="6"/>
        <v>50</v>
      </c>
      <c r="K153" s="7" t="s">
        <v>293</v>
      </c>
      <c r="L153" s="8">
        <v>20</v>
      </c>
      <c r="M153" s="7">
        <f>IF(INDEX([1]equip.xml!$B:$B,MATCH(D153&amp;"",[1]equip.xml!$A:$A,0))=0,0,N153)</f>
        <v>0</v>
      </c>
      <c r="N153" s="8">
        <f t="shared" si="7"/>
        <v>65</v>
      </c>
    </row>
    <row r="154" spans="1:14">
      <c r="A154" s="8">
        <v>10006</v>
      </c>
      <c r="B154" s="8">
        <v>40000</v>
      </c>
      <c r="C154" s="8" t="s">
        <v>132</v>
      </c>
      <c r="D154" s="8" t="s">
        <v>205</v>
      </c>
      <c r="E154" s="8" t="s">
        <v>206</v>
      </c>
      <c r="F154" s="8">
        <v>1</v>
      </c>
      <c r="G154" s="8">
        <f>3*INDEX([1]equip.xml!$I:$I,MATCH(D154&amp;"",[1]equip.xml!$A:$A,0))</f>
        <v>30000</v>
      </c>
      <c r="H154" s="8" t="str">
        <f t="shared" si="5"/>
        <v>10_10,50_20,80_30</v>
      </c>
      <c r="I154" s="8">
        <v>12</v>
      </c>
      <c r="J154" s="8">
        <f t="shared" si="6"/>
        <v>50</v>
      </c>
      <c r="K154" s="7" t="s">
        <v>293</v>
      </c>
      <c r="L154" s="8">
        <v>20</v>
      </c>
      <c r="M154" s="7">
        <f>IF(INDEX([1]equip.xml!$B:$B,MATCH(D154&amp;"",[1]equip.xml!$A:$A,0))=0,0,N154)</f>
        <v>65</v>
      </c>
      <c r="N154" s="8">
        <f t="shared" si="7"/>
        <v>65</v>
      </c>
    </row>
    <row r="155" spans="1:14">
      <c r="A155" s="8">
        <v>10006</v>
      </c>
      <c r="B155" s="8">
        <v>40000</v>
      </c>
      <c r="C155" s="8" t="s">
        <v>132</v>
      </c>
      <c r="D155" s="8" t="s">
        <v>207</v>
      </c>
      <c r="E155" s="8" t="s">
        <v>208</v>
      </c>
      <c r="F155" s="8">
        <v>1</v>
      </c>
      <c r="G155" s="8">
        <f>3*INDEX([1]equip.xml!$I:$I,MATCH(D155&amp;"",[1]equip.xml!$A:$A,0))</f>
        <v>39000</v>
      </c>
      <c r="H155" s="8" t="str">
        <f t="shared" si="5"/>
        <v>10_10,50_20,80_30</v>
      </c>
      <c r="I155" s="8">
        <v>12</v>
      </c>
      <c r="J155" s="8">
        <f t="shared" si="6"/>
        <v>50</v>
      </c>
      <c r="K155" s="7" t="s">
        <v>293</v>
      </c>
      <c r="L155" s="8">
        <v>20</v>
      </c>
      <c r="M155" s="7">
        <f>IF(INDEX([1]equip.xml!$B:$B,MATCH(D155&amp;"",[1]equip.xml!$A:$A,0))=0,0,N155)</f>
        <v>65</v>
      </c>
      <c r="N155" s="8">
        <f t="shared" si="7"/>
        <v>65</v>
      </c>
    </row>
    <row r="156" spans="1:14">
      <c r="A156" s="8">
        <v>10006</v>
      </c>
      <c r="B156" s="8">
        <v>40000</v>
      </c>
      <c r="C156" s="8" t="s">
        <v>132</v>
      </c>
      <c r="D156" s="8" t="s">
        <v>209</v>
      </c>
      <c r="E156" s="8" t="s">
        <v>210</v>
      </c>
      <c r="F156" s="8">
        <v>1</v>
      </c>
      <c r="G156" s="8">
        <f>3*INDEX([1]equip.xml!$I:$I,MATCH(D156&amp;"",[1]equip.xml!$A:$A,0))</f>
        <v>30000</v>
      </c>
      <c r="H156" s="8" t="str">
        <f t="shared" si="5"/>
        <v>10_10,50_20,80_30</v>
      </c>
      <c r="I156" s="8">
        <v>12</v>
      </c>
      <c r="J156" s="8">
        <f t="shared" si="6"/>
        <v>50</v>
      </c>
      <c r="K156" s="7" t="s">
        <v>293</v>
      </c>
      <c r="L156" s="8">
        <v>20</v>
      </c>
      <c r="M156" s="7">
        <f>IF(INDEX([1]equip.xml!$B:$B,MATCH(D156&amp;"",[1]equip.xml!$A:$A,0))=0,0,N156)</f>
        <v>65</v>
      </c>
      <c r="N156" s="8">
        <f t="shared" si="7"/>
        <v>65</v>
      </c>
    </row>
    <row r="157" spans="1:14">
      <c r="A157" s="8">
        <v>10006</v>
      </c>
      <c r="B157" s="8">
        <v>40000</v>
      </c>
      <c r="C157" s="8" t="s">
        <v>132</v>
      </c>
      <c r="D157" s="8" t="s">
        <v>211</v>
      </c>
      <c r="E157" s="8" t="s">
        <v>212</v>
      </c>
      <c r="F157" s="8">
        <v>1</v>
      </c>
      <c r="G157" s="8">
        <f>3*INDEX([1]equip.xml!$I:$I,MATCH(D157&amp;"",[1]equip.xml!$A:$A,0))</f>
        <v>39000</v>
      </c>
      <c r="H157" s="8" t="str">
        <f t="shared" si="5"/>
        <v>10_10,50_20,80_30</v>
      </c>
      <c r="I157" s="8">
        <v>12</v>
      </c>
      <c r="J157" s="8">
        <f t="shared" si="6"/>
        <v>50</v>
      </c>
      <c r="K157" s="7" t="s">
        <v>293</v>
      </c>
      <c r="L157" s="8">
        <v>20</v>
      </c>
      <c r="M157" s="7">
        <f>IF(INDEX([1]equip.xml!$B:$B,MATCH(D157&amp;"",[1]equip.xml!$A:$A,0))=0,0,N157)</f>
        <v>0</v>
      </c>
      <c r="N157" s="8">
        <f t="shared" si="7"/>
        <v>65</v>
      </c>
    </row>
    <row r="158" spans="1:14">
      <c r="A158" s="8">
        <v>10006</v>
      </c>
      <c r="B158" s="8">
        <v>40000</v>
      </c>
      <c r="C158" s="8" t="s">
        <v>132</v>
      </c>
      <c r="D158" s="8" t="s">
        <v>213</v>
      </c>
      <c r="E158" s="8" t="s">
        <v>214</v>
      </c>
      <c r="F158" s="8">
        <v>1</v>
      </c>
      <c r="G158" s="8">
        <f>3*INDEX([1]equip.xml!$I:$I,MATCH(D158&amp;"",[1]equip.xml!$A:$A,0))</f>
        <v>30000</v>
      </c>
      <c r="H158" s="8" t="str">
        <f t="shared" si="5"/>
        <v>10_10,50_20,80_30</v>
      </c>
      <c r="I158" s="8">
        <v>12</v>
      </c>
      <c r="J158" s="8">
        <f t="shared" si="6"/>
        <v>50</v>
      </c>
      <c r="K158" s="7" t="s">
        <v>293</v>
      </c>
      <c r="L158" s="8">
        <v>20</v>
      </c>
      <c r="M158" s="7">
        <f>IF(INDEX([1]equip.xml!$B:$B,MATCH(D158&amp;"",[1]equip.xml!$A:$A,0))=0,0,N158)</f>
        <v>65</v>
      </c>
      <c r="N158" s="8">
        <f t="shared" si="7"/>
        <v>65</v>
      </c>
    </row>
    <row r="159" spans="1:14">
      <c r="A159" s="8">
        <v>10006</v>
      </c>
      <c r="B159" s="8">
        <v>40000</v>
      </c>
      <c r="C159" s="8" t="s">
        <v>132</v>
      </c>
      <c r="D159" s="8" t="s">
        <v>215</v>
      </c>
      <c r="E159" s="8" t="s">
        <v>216</v>
      </c>
      <c r="F159" s="8">
        <v>1</v>
      </c>
      <c r="G159" s="8">
        <f>3*INDEX([1]equip.xml!$I:$I,MATCH(D159&amp;"",[1]equip.xml!$A:$A,0))</f>
        <v>39000</v>
      </c>
      <c r="H159" s="8" t="str">
        <f t="shared" si="5"/>
        <v>10_10,50_20,80_30</v>
      </c>
      <c r="I159" s="8">
        <v>12</v>
      </c>
      <c r="J159" s="8">
        <f t="shared" si="6"/>
        <v>50</v>
      </c>
      <c r="K159" s="7" t="s">
        <v>293</v>
      </c>
      <c r="L159" s="8">
        <v>20</v>
      </c>
      <c r="M159" s="7">
        <f>IF(INDEX([1]equip.xml!$B:$B,MATCH(D159&amp;"",[1]equip.xml!$A:$A,0))=0,0,N159)</f>
        <v>0</v>
      </c>
      <c r="N159" s="8">
        <f t="shared" si="7"/>
        <v>65</v>
      </c>
    </row>
    <row r="160" spans="1:14">
      <c r="A160" s="8">
        <v>10006</v>
      </c>
      <c r="B160" s="8">
        <v>40000</v>
      </c>
      <c r="C160" s="8" t="s">
        <v>132</v>
      </c>
      <c r="D160" s="8" t="s">
        <v>217</v>
      </c>
      <c r="E160" s="8" t="s">
        <v>218</v>
      </c>
      <c r="F160" s="8">
        <v>1</v>
      </c>
      <c r="G160" s="8">
        <f>3*INDEX([1]equip.xml!$I:$I,MATCH(D160&amp;"",[1]equip.xml!$A:$A,0))</f>
        <v>30000</v>
      </c>
      <c r="H160" s="8" t="str">
        <f t="shared" si="5"/>
        <v>10_10,50_20,80_30</v>
      </c>
      <c r="I160" s="8">
        <v>12</v>
      </c>
      <c r="J160" s="8">
        <f t="shared" si="6"/>
        <v>50</v>
      </c>
      <c r="K160" s="7" t="s">
        <v>293</v>
      </c>
      <c r="L160" s="8">
        <v>20</v>
      </c>
      <c r="M160" s="7">
        <f>IF(INDEX([1]equip.xml!$B:$B,MATCH(D160&amp;"",[1]equip.xml!$A:$A,0))=0,0,N160)</f>
        <v>65</v>
      </c>
      <c r="N160" s="8">
        <f t="shared" si="7"/>
        <v>65</v>
      </c>
    </row>
    <row r="161" spans="1:14">
      <c r="A161" s="8">
        <v>10006</v>
      </c>
      <c r="B161" s="8">
        <v>40000</v>
      </c>
      <c r="C161" s="8" t="s">
        <v>132</v>
      </c>
      <c r="D161" s="8" t="s">
        <v>219</v>
      </c>
      <c r="E161" s="8" t="s">
        <v>220</v>
      </c>
      <c r="F161" s="8">
        <v>1</v>
      </c>
      <c r="G161" s="8">
        <f>3*INDEX([1]equip.xml!$I:$I,MATCH(D161&amp;"",[1]equip.xml!$A:$A,0))</f>
        <v>39000</v>
      </c>
      <c r="H161" s="8" t="str">
        <f t="shared" si="5"/>
        <v>10_10,50_20,80_30</v>
      </c>
      <c r="I161" s="8">
        <v>12</v>
      </c>
      <c r="J161" s="8">
        <f t="shared" si="6"/>
        <v>50</v>
      </c>
      <c r="K161" s="7" t="s">
        <v>293</v>
      </c>
      <c r="L161" s="8">
        <v>20</v>
      </c>
      <c r="M161" s="7">
        <f>IF(INDEX([1]equip.xml!$B:$B,MATCH(D161&amp;"",[1]equip.xml!$A:$A,0))=0,0,N161)</f>
        <v>0</v>
      </c>
      <c r="N161" s="8">
        <f t="shared" si="7"/>
        <v>65</v>
      </c>
    </row>
    <row r="162" spans="1:14">
      <c r="A162" s="8">
        <v>10006</v>
      </c>
      <c r="B162" s="8">
        <v>40000</v>
      </c>
      <c r="C162" s="8" t="s">
        <v>132</v>
      </c>
      <c r="D162" s="7">
        <f>D118+10000005</f>
        <v>50050015</v>
      </c>
      <c r="E162" s="8" t="s">
        <v>155</v>
      </c>
      <c r="F162" s="8">
        <v>1</v>
      </c>
      <c r="G162" s="8">
        <f>3*INDEX([1]equip.xml!$I:$I,MATCH(D162,[1]equip.xml!$A:$A,0))</f>
        <v>30000</v>
      </c>
      <c r="H162" s="8" t="str">
        <f t="shared" si="5"/>
        <v>10_10,50_20,80_30</v>
      </c>
      <c r="I162" s="8">
        <v>12</v>
      </c>
      <c r="J162" s="8">
        <f t="shared" si="6"/>
        <v>240</v>
      </c>
      <c r="K162" s="7" t="s">
        <v>293</v>
      </c>
      <c r="L162" s="8">
        <v>20</v>
      </c>
      <c r="M162" s="7">
        <f>IF(INDEX([1]equip.xml!$B:$B,MATCH(D162,[1]equip.xml!$A:$A,0))=0,0,N162)</f>
        <v>70</v>
      </c>
      <c r="N162" s="8">
        <f t="shared" si="7"/>
        <v>70</v>
      </c>
    </row>
    <row r="163" spans="1:14">
      <c r="A163" s="8">
        <v>10006</v>
      </c>
      <c r="B163" s="8">
        <v>40000</v>
      </c>
      <c r="C163" s="8" t="s">
        <v>132</v>
      </c>
      <c r="D163" s="7">
        <f t="shared" ref="D163:D205" si="8">D119+10000005</f>
        <v>50050025</v>
      </c>
      <c r="E163" s="8" t="s">
        <v>156</v>
      </c>
      <c r="F163" s="8">
        <v>1</v>
      </c>
      <c r="G163" s="8">
        <f>3*INDEX([1]equip.xml!$I:$I,MATCH(D163,[1]equip.xml!$A:$A,0))</f>
        <v>30000</v>
      </c>
      <c r="H163" s="8" t="str">
        <f t="shared" si="5"/>
        <v>10_10,50_20,80_30</v>
      </c>
      <c r="I163" s="8">
        <v>12</v>
      </c>
      <c r="J163" s="8">
        <f t="shared" si="6"/>
        <v>240</v>
      </c>
      <c r="K163" s="7" t="s">
        <v>293</v>
      </c>
      <c r="L163" s="8">
        <v>20</v>
      </c>
      <c r="M163" s="7">
        <f>IF(INDEX([1]equip.xml!$B:$B,MATCH(D163,[1]equip.xml!$A:$A,0))=0,0,N163)</f>
        <v>70</v>
      </c>
      <c r="N163" s="8">
        <f t="shared" si="7"/>
        <v>70</v>
      </c>
    </row>
    <row r="164" spans="1:14">
      <c r="A164" s="8">
        <v>10006</v>
      </c>
      <c r="B164" s="8">
        <v>40000</v>
      </c>
      <c r="C164" s="8" t="s">
        <v>132</v>
      </c>
      <c r="D164" s="7">
        <f t="shared" si="8"/>
        <v>50050035</v>
      </c>
      <c r="E164" s="8" t="s">
        <v>157</v>
      </c>
      <c r="F164" s="8">
        <v>1</v>
      </c>
      <c r="G164" s="8">
        <f>3*INDEX([1]equip.xml!$I:$I,MATCH(D164,[1]equip.xml!$A:$A,0))</f>
        <v>30000</v>
      </c>
      <c r="H164" s="8" t="str">
        <f t="shared" si="5"/>
        <v>10_10,50_20,80_30</v>
      </c>
      <c r="I164" s="8">
        <v>12</v>
      </c>
      <c r="J164" s="8">
        <f t="shared" si="6"/>
        <v>240</v>
      </c>
      <c r="K164" s="7" t="s">
        <v>293</v>
      </c>
      <c r="L164" s="8">
        <v>20</v>
      </c>
      <c r="M164" s="7">
        <f>IF(INDEX([1]equip.xml!$B:$B,MATCH(D164,[1]equip.xml!$A:$A,0))=0,0,N164)</f>
        <v>70</v>
      </c>
      <c r="N164" s="8">
        <f t="shared" si="7"/>
        <v>70</v>
      </c>
    </row>
    <row r="165" spans="1:14">
      <c r="A165" s="8">
        <v>10006</v>
      </c>
      <c r="B165" s="8">
        <v>40000</v>
      </c>
      <c r="C165" s="8" t="s">
        <v>132</v>
      </c>
      <c r="D165" s="7">
        <f t="shared" si="8"/>
        <v>50050085</v>
      </c>
      <c r="E165" s="8" t="s">
        <v>158</v>
      </c>
      <c r="F165" s="8">
        <v>1</v>
      </c>
      <c r="G165" s="8">
        <f>3*INDEX([1]equip.xml!$I:$I,MATCH(D165,[1]equip.xml!$A:$A,0))</f>
        <v>30000</v>
      </c>
      <c r="H165" s="8" t="str">
        <f t="shared" si="5"/>
        <v>10_10,50_20,80_30</v>
      </c>
      <c r="I165" s="8">
        <v>12</v>
      </c>
      <c r="J165" s="8">
        <f t="shared" si="6"/>
        <v>240</v>
      </c>
      <c r="K165" s="7" t="s">
        <v>293</v>
      </c>
      <c r="L165" s="8">
        <v>20</v>
      </c>
      <c r="M165" s="7">
        <f>IF(INDEX([1]equip.xml!$B:$B,MATCH(D165,[1]equip.xml!$A:$A,0))=0,0,N165)</f>
        <v>0</v>
      </c>
      <c r="N165" s="8">
        <f t="shared" si="7"/>
        <v>70</v>
      </c>
    </row>
    <row r="166" spans="1:14">
      <c r="A166" s="8">
        <v>10006</v>
      </c>
      <c r="B166" s="8">
        <v>40000</v>
      </c>
      <c r="C166" s="8" t="s">
        <v>132</v>
      </c>
      <c r="D166" s="7">
        <f t="shared" si="8"/>
        <v>50050095</v>
      </c>
      <c r="E166" s="8" t="s">
        <v>159</v>
      </c>
      <c r="F166" s="8">
        <v>1</v>
      </c>
      <c r="G166" s="8">
        <f>3*INDEX([1]equip.xml!$I:$I,MATCH(D166,[1]equip.xml!$A:$A,0))</f>
        <v>30000</v>
      </c>
      <c r="H166" s="8" t="str">
        <f t="shared" si="5"/>
        <v>10_10,50_20,80_30</v>
      </c>
      <c r="I166" s="8">
        <v>12</v>
      </c>
      <c r="J166" s="8">
        <f t="shared" si="6"/>
        <v>240</v>
      </c>
      <c r="K166" s="7" t="s">
        <v>293</v>
      </c>
      <c r="L166" s="8">
        <v>20</v>
      </c>
      <c r="M166" s="7">
        <f>IF(INDEX([1]equip.xml!$B:$B,MATCH(D166,[1]equip.xml!$A:$A,0))=0,0,N166)</f>
        <v>0</v>
      </c>
      <c r="N166" s="8">
        <f t="shared" si="7"/>
        <v>70</v>
      </c>
    </row>
    <row r="167" spans="1:14">
      <c r="A167" s="8">
        <v>10006</v>
      </c>
      <c r="B167" s="8">
        <v>40000</v>
      </c>
      <c r="C167" s="8" t="s">
        <v>132</v>
      </c>
      <c r="D167" s="7">
        <f t="shared" si="8"/>
        <v>50050105</v>
      </c>
      <c r="E167" s="8" t="s">
        <v>160</v>
      </c>
      <c r="F167" s="8">
        <v>1</v>
      </c>
      <c r="G167" s="8">
        <f>3*INDEX([1]equip.xml!$I:$I,MATCH(D167,[1]equip.xml!$A:$A,0))</f>
        <v>30000</v>
      </c>
      <c r="H167" s="8" t="str">
        <f t="shared" si="5"/>
        <v>10_10,50_20,80_30</v>
      </c>
      <c r="I167" s="8">
        <v>12</v>
      </c>
      <c r="J167" s="8">
        <f t="shared" si="6"/>
        <v>240</v>
      </c>
      <c r="K167" s="7" t="s">
        <v>293</v>
      </c>
      <c r="L167" s="8">
        <v>20</v>
      </c>
      <c r="M167" s="7">
        <f>IF(INDEX([1]equip.xml!$B:$B,MATCH(D167,[1]equip.xml!$A:$A,0))=0,0,N167)</f>
        <v>70</v>
      </c>
      <c r="N167" s="8">
        <f t="shared" si="7"/>
        <v>70</v>
      </c>
    </row>
    <row r="168" spans="1:14">
      <c r="A168" s="8">
        <v>10006</v>
      </c>
      <c r="B168" s="8">
        <v>40000</v>
      </c>
      <c r="C168" s="8" t="s">
        <v>132</v>
      </c>
      <c r="D168" s="7">
        <f t="shared" si="8"/>
        <v>50051055</v>
      </c>
      <c r="E168" s="8" t="s">
        <v>161</v>
      </c>
      <c r="F168" s="8">
        <v>1</v>
      </c>
      <c r="G168" s="8">
        <f>3*INDEX([1]equip.xml!$I:$I,MATCH(D168,[1]equip.xml!$A:$A,0))</f>
        <v>30000</v>
      </c>
      <c r="H168" s="8" t="str">
        <f t="shared" si="5"/>
        <v>10_10,50_20,80_30</v>
      </c>
      <c r="I168" s="8">
        <v>12</v>
      </c>
      <c r="J168" s="8">
        <f t="shared" si="6"/>
        <v>240</v>
      </c>
      <c r="K168" s="7" t="s">
        <v>293</v>
      </c>
      <c r="L168" s="8">
        <v>20</v>
      </c>
      <c r="M168" s="7">
        <f>IF(INDEX([1]equip.xml!$B:$B,MATCH(D168,[1]equip.xml!$A:$A,0))=0,0,N168)</f>
        <v>70</v>
      </c>
      <c r="N168" s="8">
        <f t="shared" si="7"/>
        <v>70</v>
      </c>
    </row>
    <row r="169" spans="1:14">
      <c r="A169" s="8">
        <v>10006</v>
      </c>
      <c r="B169" s="8">
        <v>40000</v>
      </c>
      <c r="C169" s="8" t="s">
        <v>132</v>
      </c>
      <c r="D169" s="7">
        <f t="shared" si="8"/>
        <v>50051056</v>
      </c>
      <c r="E169" s="8" t="s">
        <v>162</v>
      </c>
      <c r="F169" s="8">
        <v>1</v>
      </c>
      <c r="G169" s="8">
        <f>3*INDEX([1]equip.xml!$I:$I,MATCH(D169,[1]equip.xml!$A:$A,0))</f>
        <v>48000</v>
      </c>
      <c r="H169" s="8" t="str">
        <f t="shared" si="5"/>
        <v>10_10,50_20,80_30</v>
      </c>
      <c r="I169" s="8">
        <v>12</v>
      </c>
      <c r="J169" s="8">
        <f t="shared" si="6"/>
        <v>240</v>
      </c>
      <c r="K169" s="7" t="s">
        <v>293</v>
      </c>
      <c r="L169" s="8">
        <v>20</v>
      </c>
      <c r="M169" s="7">
        <f>IF(INDEX([1]equip.xml!$B:$B,MATCH(D169,[1]equip.xml!$A:$A,0))=0,0,N169)</f>
        <v>70</v>
      </c>
      <c r="N169" s="8">
        <f t="shared" si="7"/>
        <v>70</v>
      </c>
    </row>
    <row r="170" spans="1:14">
      <c r="A170" s="8">
        <v>10006</v>
      </c>
      <c r="B170" s="8">
        <v>40000</v>
      </c>
      <c r="C170" s="8" t="s">
        <v>132</v>
      </c>
      <c r="D170" s="7">
        <f t="shared" si="8"/>
        <v>50051065</v>
      </c>
      <c r="E170" s="8" t="s">
        <v>163</v>
      </c>
      <c r="F170" s="8">
        <v>1</v>
      </c>
      <c r="G170" s="8">
        <f>3*INDEX([1]equip.xml!$I:$I,MATCH(D170,[1]equip.xml!$A:$A,0))</f>
        <v>30000</v>
      </c>
      <c r="H170" s="8" t="str">
        <f t="shared" si="5"/>
        <v>10_10,50_20,80_30</v>
      </c>
      <c r="I170" s="8">
        <v>12</v>
      </c>
      <c r="J170" s="8">
        <f t="shared" si="6"/>
        <v>240</v>
      </c>
      <c r="K170" s="7" t="s">
        <v>293</v>
      </c>
      <c r="L170" s="8">
        <v>20</v>
      </c>
      <c r="M170" s="7">
        <f>IF(INDEX([1]equip.xml!$B:$B,MATCH(D170,[1]equip.xml!$A:$A,0))=0,0,N170)</f>
        <v>70</v>
      </c>
      <c r="N170" s="8">
        <f t="shared" si="7"/>
        <v>70</v>
      </c>
    </row>
    <row r="171" spans="1:14">
      <c r="A171" s="8">
        <v>10006</v>
      </c>
      <c r="B171" s="8">
        <v>40000</v>
      </c>
      <c r="C171" s="8" t="s">
        <v>132</v>
      </c>
      <c r="D171" s="7">
        <f t="shared" si="8"/>
        <v>50051066</v>
      </c>
      <c r="E171" s="8" t="s">
        <v>164</v>
      </c>
      <c r="F171" s="8">
        <v>1</v>
      </c>
      <c r="G171" s="8">
        <f>3*INDEX([1]equip.xml!$I:$I,MATCH(D171,[1]equip.xml!$A:$A,0))</f>
        <v>48000</v>
      </c>
      <c r="H171" s="8" t="str">
        <f t="shared" si="5"/>
        <v>10_10,50_20,80_30</v>
      </c>
      <c r="I171" s="8">
        <v>12</v>
      </c>
      <c r="J171" s="8">
        <f t="shared" si="6"/>
        <v>240</v>
      </c>
      <c r="K171" s="7" t="s">
        <v>293</v>
      </c>
      <c r="L171" s="8">
        <v>20</v>
      </c>
      <c r="M171" s="7">
        <f>IF(INDEX([1]equip.xml!$B:$B,MATCH(D171,[1]equip.xml!$A:$A,0))=0,0,N171)</f>
        <v>0</v>
      </c>
      <c r="N171" s="8">
        <f t="shared" si="7"/>
        <v>70</v>
      </c>
    </row>
    <row r="172" spans="1:14">
      <c r="A172" s="8">
        <v>10006</v>
      </c>
      <c r="B172" s="8">
        <v>40000</v>
      </c>
      <c r="C172" s="8" t="s">
        <v>132</v>
      </c>
      <c r="D172" s="7">
        <f t="shared" si="8"/>
        <v>50052055</v>
      </c>
      <c r="E172" s="8" t="s">
        <v>165</v>
      </c>
      <c r="F172" s="8">
        <v>1</v>
      </c>
      <c r="G172" s="8">
        <f>3*INDEX([1]equip.xml!$I:$I,MATCH(D172,[1]equip.xml!$A:$A,0))</f>
        <v>30000</v>
      </c>
      <c r="H172" s="8" t="str">
        <f t="shared" si="5"/>
        <v>10_10,50_20,80_30</v>
      </c>
      <c r="I172" s="8">
        <v>12</v>
      </c>
      <c r="J172" s="8">
        <f t="shared" si="6"/>
        <v>240</v>
      </c>
      <c r="K172" s="7" t="s">
        <v>293</v>
      </c>
      <c r="L172" s="8">
        <v>20</v>
      </c>
      <c r="M172" s="7">
        <f>IF(INDEX([1]equip.xml!$B:$B,MATCH(D172,[1]equip.xml!$A:$A,0))=0,0,N172)</f>
        <v>70</v>
      </c>
      <c r="N172" s="8">
        <f t="shared" si="7"/>
        <v>70</v>
      </c>
    </row>
    <row r="173" spans="1:14">
      <c r="A173" s="8">
        <v>10006</v>
      </c>
      <c r="B173" s="8">
        <v>40000</v>
      </c>
      <c r="C173" s="8" t="s">
        <v>132</v>
      </c>
      <c r="D173" s="7">
        <f t="shared" si="8"/>
        <v>50052056</v>
      </c>
      <c r="E173" s="8" t="s">
        <v>166</v>
      </c>
      <c r="F173" s="8">
        <v>1</v>
      </c>
      <c r="G173" s="8">
        <f>3*INDEX([1]equip.xml!$I:$I,MATCH(D173,[1]equip.xml!$A:$A,0))</f>
        <v>48000</v>
      </c>
      <c r="H173" s="8" t="str">
        <f t="shared" si="5"/>
        <v>10_10,50_20,80_30</v>
      </c>
      <c r="I173" s="8">
        <v>12</v>
      </c>
      <c r="J173" s="8">
        <f t="shared" si="6"/>
        <v>240</v>
      </c>
      <c r="K173" s="7" t="s">
        <v>293</v>
      </c>
      <c r="L173" s="8">
        <v>20</v>
      </c>
      <c r="M173" s="7">
        <f>IF(INDEX([1]equip.xml!$B:$B,MATCH(D173,[1]equip.xml!$A:$A,0))=0,0,N173)</f>
        <v>70</v>
      </c>
      <c r="N173" s="8">
        <f t="shared" si="7"/>
        <v>70</v>
      </c>
    </row>
    <row r="174" spans="1:14">
      <c r="A174" s="8">
        <v>10006</v>
      </c>
      <c r="B174" s="8">
        <v>40000</v>
      </c>
      <c r="C174" s="8" t="s">
        <v>132</v>
      </c>
      <c r="D174" s="7">
        <f t="shared" si="8"/>
        <v>50052065</v>
      </c>
      <c r="E174" s="8" t="s">
        <v>167</v>
      </c>
      <c r="F174" s="8">
        <v>1</v>
      </c>
      <c r="G174" s="8">
        <f>3*INDEX([1]equip.xml!$I:$I,MATCH(D174,[1]equip.xml!$A:$A,0))</f>
        <v>30000</v>
      </c>
      <c r="H174" s="8" t="str">
        <f t="shared" si="5"/>
        <v>10_10,50_20,80_30</v>
      </c>
      <c r="I174" s="8">
        <v>12</v>
      </c>
      <c r="J174" s="8">
        <f t="shared" si="6"/>
        <v>240</v>
      </c>
      <c r="K174" s="7" t="s">
        <v>293</v>
      </c>
      <c r="L174" s="8">
        <v>20</v>
      </c>
      <c r="M174" s="7">
        <f>IF(INDEX([1]equip.xml!$B:$B,MATCH(D174,[1]equip.xml!$A:$A,0))=0,0,N174)</f>
        <v>70</v>
      </c>
      <c r="N174" s="8">
        <f t="shared" si="7"/>
        <v>70</v>
      </c>
    </row>
    <row r="175" spans="1:14">
      <c r="A175" s="8">
        <v>10006</v>
      </c>
      <c r="B175" s="8">
        <v>40000</v>
      </c>
      <c r="C175" s="8" t="s">
        <v>132</v>
      </c>
      <c r="D175" s="7">
        <f t="shared" si="8"/>
        <v>50052066</v>
      </c>
      <c r="E175" s="8" t="s">
        <v>168</v>
      </c>
      <c r="F175" s="8">
        <v>1</v>
      </c>
      <c r="G175" s="8">
        <f>3*INDEX([1]equip.xml!$I:$I,MATCH(D175,[1]equip.xml!$A:$A,0))</f>
        <v>48000</v>
      </c>
      <c r="H175" s="8" t="str">
        <f t="shared" si="5"/>
        <v>10_10,50_20,80_30</v>
      </c>
      <c r="I175" s="8">
        <v>12</v>
      </c>
      <c r="J175" s="8">
        <f t="shared" si="6"/>
        <v>240</v>
      </c>
      <c r="K175" s="7" t="s">
        <v>293</v>
      </c>
      <c r="L175" s="8">
        <v>20</v>
      </c>
      <c r="M175" s="7">
        <f>IF(INDEX([1]equip.xml!$B:$B,MATCH(D175,[1]equip.xml!$A:$A,0))=0,0,N175)</f>
        <v>0</v>
      </c>
      <c r="N175" s="8">
        <f t="shared" si="7"/>
        <v>70</v>
      </c>
    </row>
    <row r="176" spans="1:14">
      <c r="A176" s="8">
        <v>10006</v>
      </c>
      <c r="B176" s="8">
        <v>40000</v>
      </c>
      <c r="C176" s="8" t="s">
        <v>132</v>
      </c>
      <c r="D176" s="7">
        <f t="shared" si="8"/>
        <v>50053055</v>
      </c>
      <c r="E176" s="8" t="s">
        <v>169</v>
      </c>
      <c r="F176" s="8">
        <v>1</v>
      </c>
      <c r="G176" s="8">
        <f>3*INDEX([1]equip.xml!$I:$I,MATCH(D176,[1]equip.xml!$A:$A,0))</f>
        <v>30000</v>
      </c>
      <c r="H176" s="8" t="str">
        <f t="shared" si="5"/>
        <v>10_10,50_20,80_30</v>
      </c>
      <c r="I176" s="8">
        <v>12</v>
      </c>
      <c r="J176" s="8">
        <f t="shared" si="6"/>
        <v>240</v>
      </c>
      <c r="K176" s="7" t="s">
        <v>293</v>
      </c>
      <c r="L176" s="8">
        <v>20</v>
      </c>
      <c r="M176" s="7">
        <f>IF(INDEX([1]equip.xml!$B:$B,MATCH(D176,[1]equip.xml!$A:$A,0))=0,0,N176)</f>
        <v>70</v>
      </c>
      <c r="N176" s="8">
        <f t="shared" si="7"/>
        <v>70</v>
      </c>
    </row>
    <row r="177" spans="1:14">
      <c r="A177" s="8">
        <v>10006</v>
      </c>
      <c r="B177" s="8">
        <v>40000</v>
      </c>
      <c r="C177" s="8" t="s">
        <v>132</v>
      </c>
      <c r="D177" s="7">
        <f t="shared" si="8"/>
        <v>50053056</v>
      </c>
      <c r="E177" s="8" t="s">
        <v>170</v>
      </c>
      <c r="F177" s="8">
        <v>1</v>
      </c>
      <c r="G177" s="8">
        <f>3*INDEX([1]equip.xml!$I:$I,MATCH(D177,[1]equip.xml!$A:$A,0))</f>
        <v>48000</v>
      </c>
      <c r="H177" s="8" t="str">
        <f t="shared" si="5"/>
        <v>10_10,50_20,80_30</v>
      </c>
      <c r="I177" s="8">
        <v>12</v>
      </c>
      <c r="J177" s="8">
        <f t="shared" si="6"/>
        <v>240</v>
      </c>
      <c r="K177" s="7" t="s">
        <v>293</v>
      </c>
      <c r="L177" s="8">
        <v>20</v>
      </c>
      <c r="M177" s="7">
        <f>IF(INDEX([1]equip.xml!$B:$B,MATCH(D177,[1]equip.xml!$A:$A,0))=0,0,N177)</f>
        <v>70</v>
      </c>
      <c r="N177" s="8">
        <f t="shared" si="7"/>
        <v>70</v>
      </c>
    </row>
    <row r="178" spans="1:14">
      <c r="A178" s="8">
        <v>10006</v>
      </c>
      <c r="B178" s="8">
        <v>40000</v>
      </c>
      <c r="C178" s="8" t="s">
        <v>132</v>
      </c>
      <c r="D178" s="7">
        <f t="shared" si="8"/>
        <v>50053065</v>
      </c>
      <c r="E178" s="8" t="s">
        <v>171</v>
      </c>
      <c r="F178" s="8">
        <v>1</v>
      </c>
      <c r="G178" s="8">
        <f>3*INDEX([1]equip.xml!$I:$I,MATCH(D178,[1]equip.xml!$A:$A,0))</f>
        <v>30000</v>
      </c>
      <c r="H178" s="8" t="str">
        <f t="shared" si="5"/>
        <v>10_10,50_20,80_30</v>
      </c>
      <c r="I178" s="8">
        <v>12</v>
      </c>
      <c r="J178" s="8">
        <f t="shared" si="6"/>
        <v>240</v>
      </c>
      <c r="K178" s="7" t="s">
        <v>293</v>
      </c>
      <c r="L178" s="8">
        <v>20</v>
      </c>
      <c r="M178" s="7">
        <f>IF(INDEX([1]equip.xml!$B:$B,MATCH(D178,[1]equip.xml!$A:$A,0))=0,0,N178)</f>
        <v>70</v>
      </c>
      <c r="N178" s="8">
        <f t="shared" si="7"/>
        <v>70</v>
      </c>
    </row>
    <row r="179" spans="1:14">
      <c r="A179" s="8">
        <v>10006</v>
      </c>
      <c r="B179" s="8">
        <v>40000</v>
      </c>
      <c r="C179" s="8" t="s">
        <v>132</v>
      </c>
      <c r="D179" s="7">
        <f t="shared" si="8"/>
        <v>50053066</v>
      </c>
      <c r="E179" s="8" t="s">
        <v>172</v>
      </c>
      <c r="F179" s="8">
        <v>1</v>
      </c>
      <c r="G179" s="8">
        <f>3*INDEX([1]equip.xml!$I:$I,MATCH(D179,[1]equip.xml!$A:$A,0))</f>
        <v>48000</v>
      </c>
      <c r="H179" s="8" t="str">
        <f t="shared" si="5"/>
        <v>10_10,50_20,80_30</v>
      </c>
      <c r="I179" s="8">
        <v>12</v>
      </c>
      <c r="J179" s="8">
        <f t="shared" si="6"/>
        <v>240</v>
      </c>
      <c r="K179" s="7" t="s">
        <v>293</v>
      </c>
      <c r="L179" s="8">
        <v>20</v>
      </c>
      <c r="M179" s="7">
        <f>IF(INDEX([1]equip.xml!$B:$B,MATCH(D179,[1]equip.xml!$A:$A,0))=0,0,N179)</f>
        <v>0</v>
      </c>
      <c r="N179" s="8">
        <f t="shared" si="7"/>
        <v>70</v>
      </c>
    </row>
    <row r="180" spans="1:14">
      <c r="A180" s="8">
        <v>10006</v>
      </c>
      <c r="B180" s="8">
        <v>40000</v>
      </c>
      <c r="C180" s="8" t="s">
        <v>132</v>
      </c>
      <c r="D180" s="7">
        <f t="shared" si="8"/>
        <v>50050045</v>
      </c>
      <c r="E180" s="8" t="s">
        <v>173</v>
      </c>
      <c r="F180" s="8">
        <v>1</v>
      </c>
      <c r="G180" s="8">
        <f>3*INDEX([1]equip.xml!$I:$I,MATCH(D180,[1]equip.xml!$A:$A,0))</f>
        <v>30000</v>
      </c>
      <c r="H180" s="8" t="str">
        <f t="shared" si="5"/>
        <v>10_10,50_20,80_30</v>
      </c>
      <c r="I180" s="8">
        <v>12</v>
      </c>
      <c r="J180" s="8">
        <f t="shared" si="6"/>
        <v>240</v>
      </c>
      <c r="K180" s="7" t="s">
        <v>293</v>
      </c>
      <c r="L180" s="8">
        <v>20</v>
      </c>
      <c r="M180" s="7">
        <f>IF(INDEX([1]equip.xml!$B:$B,MATCH(D180,[1]equip.xml!$A:$A,0))=0,0,N180)</f>
        <v>70</v>
      </c>
      <c r="N180" s="8">
        <f t="shared" si="7"/>
        <v>70</v>
      </c>
    </row>
    <row r="181" spans="1:14">
      <c r="A181" s="8">
        <v>10006</v>
      </c>
      <c r="B181" s="8">
        <v>40000</v>
      </c>
      <c r="C181" s="8" t="s">
        <v>132</v>
      </c>
      <c r="D181" s="7">
        <f t="shared" si="8"/>
        <v>50050046</v>
      </c>
      <c r="E181" s="8" t="s">
        <v>174</v>
      </c>
      <c r="F181" s="8">
        <v>1</v>
      </c>
      <c r="G181" s="8">
        <f>3*INDEX([1]equip.xml!$I:$I,MATCH(D181,[1]equip.xml!$A:$A,0))</f>
        <v>48000</v>
      </c>
      <c r="H181" s="8" t="str">
        <f t="shared" si="5"/>
        <v>10_10,50_20,80_30</v>
      </c>
      <c r="I181" s="8">
        <v>12</v>
      </c>
      <c r="J181" s="8">
        <f t="shared" si="6"/>
        <v>240</v>
      </c>
      <c r="K181" s="7" t="s">
        <v>293</v>
      </c>
      <c r="L181" s="8">
        <v>20</v>
      </c>
      <c r="M181" s="7">
        <f>IF(INDEX([1]equip.xml!$B:$B,MATCH(D181,[1]equip.xml!$A:$A,0))=0,0,N181)</f>
        <v>70</v>
      </c>
      <c r="N181" s="8">
        <f t="shared" si="7"/>
        <v>70</v>
      </c>
    </row>
    <row r="182" spans="1:14">
      <c r="A182" s="8">
        <v>10006</v>
      </c>
      <c r="B182" s="8">
        <v>40000</v>
      </c>
      <c r="C182" s="8" t="s">
        <v>132</v>
      </c>
      <c r="D182" s="7">
        <f t="shared" si="8"/>
        <v>50050075</v>
      </c>
      <c r="E182" s="8" t="s">
        <v>175</v>
      </c>
      <c r="F182" s="8">
        <v>1</v>
      </c>
      <c r="G182" s="8">
        <f>3*INDEX([1]equip.xml!$I:$I,MATCH(D182,[1]equip.xml!$A:$A,0))</f>
        <v>30000</v>
      </c>
      <c r="H182" s="8" t="str">
        <f t="shared" si="5"/>
        <v>10_10,50_20,80_30</v>
      </c>
      <c r="I182" s="8">
        <v>12</v>
      </c>
      <c r="J182" s="8">
        <f t="shared" si="6"/>
        <v>240</v>
      </c>
      <c r="K182" s="7" t="s">
        <v>293</v>
      </c>
      <c r="L182" s="8">
        <v>20</v>
      </c>
      <c r="M182" s="7">
        <f>IF(INDEX([1]equip.xml!$B:$B,MATCH(D182,[1]equip.xml!$A:$A,0))=0,0,N182)</f>
        <v>70</v>
      </c>
      <c r="N182" s="8">
        <f t="shared" si="7"/>
        <v>70</v>
      </c>
    </row>
    <row r="183" spans="1:14">
      <c r="A183" s="8">
        <v>10006</v>
      </c>
      <c r="B183" s="8">
        <v>40000</v>
      </c>
      <c r="C183" s="8" t="s">
        <v>132</v>
      </c>
      <c r="D183" s="7">
        <f t="shared" si="8"/>
        <v>50050076</v>
      </c>
      <c r="E183" s="8" t="s">
        <v>176</v>
      </c>
      <c r="F183" s="8">
        <v>1</v>
      </c>
      <c r="G183" s="8">
        <f>3*INDEX([1]equip.xml!$I:$I,MATCH(D183,[1]equip.xml!$A:$A,0))</f>
        <v>48000</v>
      </c>
      <c r="H183" s="8" t="str">
        <f t="shared" ref="H183:H246" si="9">H95</f>
        <v>10_10,50_20,80_30</v>
      </c>
      <c r="I183" s="8">
        <v>12</v>
      </c>
      <c r="J183" s="8">
        <f t="shared" ref="J183:J246" si="10">J95</f>
        <v>240</v>
      </c>
      <c r="K183" s="7" t="s">
        <v>293</v>
      </c>
      <c r="L183" s="8">
        <v>20</v>
      </c>
      <c r="M183" s="7">
        <f>IF(INDEX([1]equip.xml!$B:$B,MATCH(D183,[1]equip.xml!$A:$A,0))=0,0,N183)</f>
        <v>70</v>
      </c>
      <c r="N183" s="8">
        <f t="shared" ref="N183:N246" si="11">N95</f>
        <v>70</v>
      </c>
    </row>
    <row r="184" spans="1:14">
      <c r="A184" s="8">
        <v>10006</v>
      </c>
      <c r="B184" s="8">
        <v>40000</v>
      </c>
      <c r="C184" s="8" t="s">
        <v>132</v>
      </c>
      <c r="D184" s="7">
        <f t="shared" si="8"/>
        <v>50100015</v>
      </c>
      <c r="E184" s="8" t="s">
        <v>221</v>
      </c>
      <c r="F184" s="8">
        <v>1</v>
      </c>
      <c r="G184" s="8">
        <f>3*INDEX([1]equip.xml!$I:$I,MATCH(D184,[1]equip.xml!$A:$A,0))</f>
        <v>60000</v>
      </c>
      <c r="H184" s="8" t="str">
        <f t="shared" si="9"/>
        <v>10_10,50_20,80_30</v>
      </c>
      <c r="I184" s="8">
        <v>12</v>
      </c>
      <c r="J184" s="8">
        <f t="shared" si="10"/>
        <v>240</v>
      </c>
      <c r="K184" s="7" t="s">
        <v>293</v>
      </c>
      <c r="L184" s="8">
        <v>20</v>
      </c>
      <c r="M184" s="7">
        <f>IF(INDEX([1]equip.xml!$B:$B,MATCH(D184,[1]equip.xml!$A:$A,0))=0,0,N184)</f>
        <v>35</v>
      </c>
      <c r="N184" s="8">
        <f t="shared" si="11"/>
        <v>35</v>
      </c>
    </row>
    <row r="185" spans="1:14">
      <c r="A185" s="8">
        <v>10006</v>
      </c>
      <c r="B185" s="8">
        <v>40000</v>
      </c>
      <c r="C185" s="8" t="s">
        <v>132</v>
      </c>
      <c r="D185" s="7">
        <f t="shared" si="8"/>
        <v>50100025</v>
      </c>
      <c r="E185" s="8" t="s">
        <v>222</v>
      </c>
      <c r="F185" s="8">
        <v>1</v>
      </c>
      <c r="G185" s="8">
        <f>3*INDEX([1]equip.xml!$I:$I,MATCH(D185,[1]equip.xml!$A:$A,0))</f>
        <v>60000</v>
      </c>
      <c r="H185" s="8" t="str">
        <f t="shared" si="9"/>
        <v>10_10,50_20,80_30</v>
      </c>
      <c r="I185" s="8">
        <v>12</v>
      </c>
      <c r="J185" s="8">
        <f t="shared" si="10"/>
        <v>240</v>
      </c>
      <c r="K185" s="7" t="s">
        <v>293</v>
      </c>
      <c r="L185" s="8">
        <v>20</v>
      </c>
      <c r="M185" s="7">
        <f>IF(INDEX([1]equip.xml!$B:$B,MATCH(D185,[1]equip.xml!$A:$A,0))=0,0,N185)</f>
        <v>35</v>
      </c>
      <c r="N185" s="8">
        <f t="shared" si="11"/>
        <v>35</v>
      </c>
    </row>
    <row r="186" spans="1:14">
      <c r="A186" s="8">
        <v>10006</v>
      </c>
      <c r="B186" s="8">
        <v>40000</v>
      </c>
      <c r="C186" s="8" t="s">
        <v>132</v>
      </c>
      <c r="D186" s="7">
        <f t="shared" si="8"/>
        <v>50100035</v>
      </c>
      <c r="E186" s="8" t="s">
        <v>223</v>
      </c>
      <c r="F186" s="8">
        <v>1</v>
      </c>
      <c r="G186" s="8">
        <f>3*INDEX([1]equip.xml!$I:$I,MATCH(D186,[1]equip.xml!$A:$A,0))</f>
        <v>60000</v>
      </c>
      <c r="H186" s="8" t="str">
        <f t="shared" si="9"/>
        <v>10_10,50_20,80_30</v>
      </c>
      <c r="I186" s="8">
        <v>12</v>
      </c>
      <c r="J186" s="8">
        <f t="shared" si="10"/>
        <v>240</v>
      </c>
      <c r="K186" s="7" t="s">
        <v>293</v>
      </c>
      <c r="L186" s="8">
        <v>20</v>
      </c>
      <c r="M186" s="7">
        <f>IF(INDEX([1]equip.xml!$B:$B,MATCH(D186,[1]equip.xml!$A:$A,0))=0,0,N186)</f>
        <v>35</v>
      </c>
      <c r="N186" s="8">
        <f t="shared" si="11"/>
        <v>35</v>
      </c>
    </row>
    <row r="187" spans="1:14">
      <c r="A187" s="8">
        <v>10006</v>
      </c>
      <c r="B187" s="8">
        <v>40000</v>
      </c>
      <c r="C187" s="8" t="s">
        <v>132</v>
      </c>
      <c r="D187" s="7">
        <f t="shared" si="8"/>
        <v>50100085</v>
      </c>
      <c r="E187" s="8" t="s">
        <v>224</v>
      </c>
      <c r="F187" s="8">
        <v>1</v>
      </c>
      <c r="G187" s="8">
        <f>3*INDEX([1]equip.xml!$I:$I,MATCH(D187,[1]equip.xml!$A:$A,0))</f>
        <v>60000</v>
      </c>
      <c r="H187" s="8" t="str">
        <f t="shared" si="9"/>
        <v>10_10,50_20,80_30</v>
      </c>
      <c r="I187" s="8">
        <v>12</v>
      </c>
      <c r="J187" s="8">
        <f t="shared" si="10"/>
        <v>240</v>
      </c>
      <c r="K187" s="7" t="s">
        <v>293</v>
      </c>
      <c r="L187" s="8">
        <v>20</v>
      </c>
      <c r="M187" s="7">
        <f>IF(INDEX([1]equip.xml!$B:$B,MATCH(D187,[1]equip.xml!$A:$A,0))=0,0,N187)</f>
        <v>35</v>
      </c>
      <c r="N187" s="8">
        <f t="shared" si="11"/>
        <v>35</v>
      </c>
    </row>
    <row r="188" spans="1:14">
      <c r="A188" s="8">
        <v>10006</v>
      </c>
      <c r="B188" s="8">
        <v>40000</v>
      </c>
      <c r="C188" s="8" t="s">
        <v>132</v>
      </c>
      <c r="D188" s="7">
        <f t="shared" si="8"/>
        <v>50100095</v>
      </c>
      <c r="E188" s="8" t="s">
        <v>225</v>
      </c>
      <c r="F188" s="8">
        <v>1</v>
      </c>
      <c r="G188" s="8">
        <f>3*INDEX([1]equip.xml!$I:$I,MATCH(D188,[1]equip.xml!$A:$A,0))</f>
        <v>60000</v>
      </c>
      <c r="H188" s="8" t="str">
        <f t="shared" si="9"/>
        <v>10_10,50_20,80_30</v>
      </c>
      <c r="I188" s="8">
        <v>12</v>
      </c>
      <c r="J188" s="8">
        <f t="shared" si="10"/>
        <v>240</v>
      </c>
      <c r="K188" s="7" t="s">
        <v>293</v>
      </c>
      <c r="L188" s="8">
        <v>20</v>
      </c>
      <c r="M188" s="7">
        <f>IF(INDEX([1]equip.xml!$B:$B,MATCH(D188,[1]equip.xml!$A:$A,0))=0,0,N188)</f>
        <v>35</v>
      </c>
      <c r="N188" s="8">
        <f t="shared" si="11"/>
        <v>35</v>
      </c>
    </row>
    <row r="189" spans="1:14">
      <c r="A189" s="8">
        <v>10006</v>
      </c>
      <c r="B189" s="8">
        <v>40000</v>
      </c>
      <c r="C189" s="8" t="s">
        <v>132</v>
      </c>
      <c r="D189" s="7">
        <f t="shared" si="8"/>
        <v>50100105</v>
      </c>
      <c r="E189" s="8" t="s">
        <v>226</v>
      </c>
      <c r="F189" s="8">
        <v>1</v>
      </c>
      <c r="G189" s="8">
        <f>3*INDEX([1]equip.xml!$I:$I,MATCH(D189,[1]equip.xml!$A:$A,0))</f>
        <v>60000</v>
      </c>
      <c r="H189" s="8" t="str">
        <f t="shared" si="9"/>
        <v>10_10,50_20,80_30</v>
      </c>
      <c r="I189" s="8">
        <v>12</v>
      </c>
      <c r="J189" s="8">
        <f t="shared" si="10"/>
        <v>240</v>
      </c>
      <c r="K189" s="7" t="s">
        <v>293</v>
      </c>
      <c r="L189" s="8">
        <v>20</v>
      </c>
      <c r="M189" s="7">
        <f>IF(INDEX([1]equip.xml!$B:$B,MATCH(D189,[1]equip.xml!$A:$A,0))=0,0,N189)</f>
        <v>0</v>
      </c>
      <c r="N189" s="8">
        <f t="shared" si="11"/>
        <v>35</v>
      </c>
    </row>
    <row r="190" spans="1:14">
      <c r="A190" s="8">
        <v>10006</v>
      </c>
      <c r="B190" s="8">
        <v>40000</v>
      </c>
      <c r="C190" s="8" t="s">
        <v>132</v>
      </c>
      <c r="D190" s="7">
        <f t="shared" si="8"/>
        <v>50101055</v>
      </c>
      <c r="E190" s="8" t="s">
        <v>227</v>
      </c>
      <c r="F190" s="8">
        <v>1</v>
      </c>
      <c r="G190" s="8">
        <f>3*INDEX([1]equip.xml!$I:$I,MATCH(D190,[1]equip.xml!$A:$A,0))</f>
        <v>60000</v>
      </c>
      <c r="H190" s="8" t="str">
        <f t="shared" si="9"/>
        <v>10_10,50_20,80_30</v>
      </c>
      <c r="I190" s="8">
        <v>12</v>
      </c>
      <c r="J190" s="8">
        <f t="shared" si="10"/>
        <v>240</v>
      </c>
      <c r="K190" s="7" t="s">
        <v>293</v>
      </c>
      <c r="L190" s="8">
        <v>20</v>
      </c>
      <c r="M190" s="7">
        <f>IF(INDEX([1]equip.xml!$B:$B,MATCH(D190,[1]equip.xml!$A:$A,0))=0,0,N190)</f>
        <v>35</v>
      </c>
      <c r="N190" s="8">
        <f t="shared" si="11"/>
        <v>35</v>
      </c>
    </row>
    <row r="191" spans="1:14">
      <c r="A191" s="8">
        <v>10006</v>
      </c>
      <c r="B191" s="8">
        <v>40000</v>
      </c>
      <c r="C191" s="8" t="s">
        <v>132</v>
      </c>
      <c r="D191" s="7">
        <f t="shared" si="8"/>
        <v>50101056</v>
      </c>
      <c r="E191" s="8" t="s">
        <v>228</v>
      </c>
      <c r="F191" s="8">
        <v>1</v>
      </c>
      <c r="G191" s="8">
        <f>3*INDEX([1]equip.xml!$I:$I,MATCH(D191,[1]equip.xml!$A:$A,0))</f>
        <v>78000</v>
      </c>
      <c r="H191" s="8" t="str">
        <f t="shared" si="9"/>
        <v>10_10,50_20,80_30</v>
      </c>
      <c r="I191" s="8">
        <v>12</v>
      </c>
      <c r="J191" s="8">
        <f t="shared" si="10"/>
        <v>240</v>
      </c>
      <c r="K191" s="7" t="s">
        <v>293</v>
      </c>
      <c r="L191" s="8">
        <v>20</v>
      </c>
      <c r="M191" s="7">
        <f>IF(INDEX([1]equip.xml!$B:$B,MATCH(D191,[1]equip.xml!$A:$A,0))=0,0,N191)</f>
        <v>35</v>
      </c>
      <c r="N191" s="8">
        <f t="shared" si="11"/>
        <v>35</v>
      </c>
    </row>
    <row r="192" spans="1:14">
      <c r="A192" s="8">
        <v>10006</v>
      </c>
      <c r="B192" s="8">
        <v>40000</v>
      </c>
      <c r="C192" s="8" t="s">
        <v>132</v>
      </c>
      <c r="D192" s="7">
        <f t="shared" si="8"/>
        <v>50101065</v>
      </c>
      <c r="E192" s="8" t="s">
        <v>229</v>
      </c>
      <c r="F192" s="8">
        <v>1</v>
      </c>
      <c r="G192" s="8">
        <f>3*INDEX([1]equip.xml!$I:$I,MATCH(D192,[1]equip.xml!$A:$A,0))</f>
        <v>60000</v>
      </c>
      <c r="H192" s="8" t="str">
        <f t="shared" si="9"/>
        <v>10_10,50_20,80_30</v>
      </c>
      <c r="I192" s="8">
        <v>12</v>
      </c>
      <c r="J192" s="8">
        <f t="shared" si="10"/>
        <v>240</v>
      </c>
      <c r="K192" s="7" t="s">
        <v>293</v>
      </c>
      <c r="L192" s="8">
        <v>20</v>
      </c>
      <c r="M192" s="7">
        <f>IF(INDEX([1]equip.xml!$B:$B,MATCH(D192,[1]equip.xml!$A:$A,0))=0,0,N192)</f>
        <v>35</v>
      </c>
      <c r="N192" s="8">
        <f t="shared" si="11"/>
        <v>35</v>
      </c>
    </row>
    <row r="193" spans="1:14">
      <c r="A193" s="8">
        <v>10006</v>
      </c>
      <c r="B193" s="8">
        <v>40000</v>
      </c>
      <c r="C193" s="8" t="s">
        <v>132</v>
      </c>
      <c r="D193" s="7">
        <f t="shared" si="8"/>
        <v>50101066</v>
      </c>
      <c r="E193" s="8" t="s">
        <v>230</v>
      </c>
      <c r="F193" s="8">
        <v>1</v>
      </c>
      <c r="G193" s="8">
        <f>3*INDEX([1]equip.xml!$I:$I,MATCH(D193,[1]equip.xml!$A:$A,0))</f>
        <v>78000</v>
      </c>
      <c r="H193" s="8" t="str">
        <f t="shared" si="9"/>
        <v>10_10,50_20,80_30</v>
      </c>
      <c r="I193" s="8">
        <v>12</v>
      </c>
      <c r="J193" s="8">
        <f t="shared" si="10"/>
        <v>240</v>
      </c>
      <c r="K193" s="7" t="s">
        <v>293</v>
      </c>
      <c r="L193" s="8">
        <v>20</v>
      </c>
      <c r="M193" s="7">
        <f>IF(INDEX([1]equip.xml!$B:$B,MATCH(D193,[1]equip.xml!$A:$A,0))=0,0,N193)</f>
        <v>0</v>
      </c>
      <c r="N193" s="8">
        <f t="shared" si="11"/>
        <v>35</v>
      </c>
    </row>
    <row r="194" spans="1:14">
      <c r="A194" s="8">
        <v>10006</v>
      </c>
      <c r="B194" s="8">
        <v>40000</v>
      </c>
      <c r="C194" s="8" t="s">
        <v>132</v>
      </c>
      <c r="D194" s="7">
        <f t="shared" si="8"/>
        <v>50102055</v>
      </c>
      <c r="E194" s="8" t="s">
        <v>231</v>
      </c>
      <c r="F194" s="8">
        <v>1</v>
      </c>
      <c r="G194" s="8">
        <f>3*INDEX([1]equip.xml!$I:$I,MATCH(D194,[1]equip.xml!$A:$A,0))</f>
        <v>60000</v>
      </c>
      <c r="H194" s="8" t="str">
        <f t="shared" si="9"/>
        <v>10_10,50_20,80_30</v>
      </c>
      <c r="I194" s="8">
        <v>12</v>
      </c>
      <c r="J194" s="8">
        <f t="shared" si="10"/>
        <v>240</v>
      </c>
      <c r="K194" s="7" t="s">
        <v>293</v>
      </c>
      <c r="L194" s="8">
        <v>20</v>
      </c>
      <c r="M194" s="7">
        <f>IF(INDEX([1]equip.xml!$B:$B,MATCH(D194,[1]equip.xml!$A:$A,0))=0,0,N194)</f>
        <v>35</v>
      </c>
      <c r="N194" s="8">
        <f t="shared" si="11"/>
        <v>35</v>
      </c>
    </row>
    <row r="195" spans="1:14">
      <c r="A195" s="8">
        <v>10006</v>
      </c>
      <c r="B195" s="8">
        <v>40000</v>
      </c>
      <c r="C195" s="8" t="s">
        <v>132</v>
      </c>
      <c r="D195" s="7">
        <f t="shared" si="8"/>
        <v>50102056</v>
      </c>
      <c r="E195" s="8" t="s">
        <v>232</v>
      </c>
      <c r="F195" s="8">
        <v>1</v>
      </c>
      <c r="G195" s="8">
        <f>3*INDEX([1]equip.xml!$I:$I,MATCH(D195,[1]equip.xml!$A:$A,0))</f>
        <v>78000</v>
      </c>
      <c r="H195" s="8" t="str">
        <f t="shared" si="9"/>
        <v>10_10,50_20,80_30</v>
      </c>
      <c r="I195" s="8">
        <v>12</v>
      </c>
      <c r="J195" s="8">
        <f t="shared" si="10"/>
        <v>240</v>
      </c>
      <c r="K195" s="7" t="s">
        <v>293</v>
      </c>
      <c r="L195" s="8">
        <v>20</v>
      </c>
      <c r="M195" s="7">
        <f>IF(INDEX([1]equip.xml!$B:$B,MATCH(D195,[1]equip.xml!$A:$A,0))=0,0,N195)</f>
        <v>35</v>
      </c>
      <c r="N195" s="8">
        <f t="shared" si="11"/>
        <v>35</v>
      </c>
    </row>
    <row r="196" spans="1:14">
      <c r="A196" s="8">
        <v>10006</v>
      </c>
      <c r="B196" s="8">
        <v>40000</v>
      </c>
      <c r="C196" s="8" t="s">
        <v>132</v>
      </c>
      <c r="D196" s="7">
        <f t="shared" si="8"/>
        <v>50102065</v>
      </c>
      <c r="E196" s="8" t="s">
        <v>233</v>
      </c>
      <c r="F196" s="8">
        <v>1</v>
      </c>
      <c r="G196" s="8">
        <f>3*INDEX([1]equip.xml!$I:$I,MATCH(D196,[1]equip.xml!$A:$A,0))</f>
        <v>60000</v>
      </c>
      <c r="H196" s="8" t="str">
        <f t="shared" si="9"/>
        <v>10_10,50_20,80_30</v>
      </c>
      <c r="I196" s="8">
        <v>12</v>
      </c>
      <c r="J196" s="8">
        <f t="shared" si="10"/>
        <v>240</v>
      </c>
      <c r="K196" s="7" t="s">
        <v>293</v>
      </c>
      <c r="L196" s="8">
        <v>20</v>
      </c>
      <c r="M196" s="7">
        <f>IF(INDEX([1]equip.xml!$B:$B,MATCH(D196,[1]equip.xml!$A:$A,0))=0,0,N196)</f>
        <v>35</v>
      </c>
      <c r="N196" s="8">
        <f t="shared" si="11"/>
        <v>35</v>
      </c>
    </row>
    <row r="197" spans="1:14">
      <c r="A197" s="8">
        <v>10006</v>
      </c>
      <c r="B197" s="8">
        <v>40000</v>
      </c>
      <c r="C197" s="8" t="s">
        <v>132</v>
      </c>
      <c r="D197" s="7">
        <f t="shared" si="8"/>
        <v>50102066</v>
      </c>
      <c r="E197" s="8" t="s">
        <v>234</v>
      </c>
      <c r="F197" s="8">
        <v>1</v>
      </c>
      <c r="G197" s="8">
        <f>3*INDEX([1]equip.xml!$I:$I,MATCH(D197,[1]equip.xml!$A:$A,0))</f>
        <v>78000</v>
      </c>
      <c r="H197" s="8" t="str">
        <f t="shared" si="9"/>
        <v>10_10,50_20,80_30</v>
      </c>
      <c r="I197" s="8">
        <v>12</v>
      </c>
      <c r="J197" s="8">
        <f t="shared" si="10"/>
        <v>240</v>
      </c>
      <c r="K197" s="7" t="s">
        <v>293</v>
      </c>
      <c r="L197" s="8">
        <v>20</v>
      </c>
      <c r="M197" s="7">
        <f>IF(INDEX([1]equip.xml!$B:$B,MATCH(D197,[1]equip.xml!$A:$A,0))=0,0,N197)</f>
        <v>0</v>
      </c>
      <c r="N197" s="8">
        <f t="shared" si="11"/>
        <v>35</v>
      </c>
    </row>
    <row r="198" spans="1:14">
      <c r="A198" s="8">
        <v>10006</v>
      </c>
      <c r="B198" s="8">
        <v>40000</v>
      </c>
      <c r="C198" s="8" t="s">
        <v>132</v>
      </c>
      <c r="D198" s="7">
        <f t="shared" si="8"/>
        <v>50103055</v>
      </c>
      <c r="E198" s="8" t="s">
        <v>235</v>
      </c>
      <c r="F198" s="8">
        <v>1</v>
      </c>
      <c r="G198" s="8">
        <f>3*INDEX([1]equip.xml!$I:$I,MATCH(D198,[1]equip.xml!$A:$A,0))</f>
        <v>60000</v>
      </c>
      <c r="H198" s="8" t="str">
        <f t="shared" si="9"/>
        <v>10_10,50_20,80_30</v>
      </c>
      <c r="I198" s="8">
        <v>12</v>
      </c>
      <c r="J198" s="8">
        <f t="shared" si="10"/>
        <v>240</v>
      </c>
      <c r="K198" s="7" t="s">
        <v>293</v>
      </c>
      <c r="L198" s="8">
        <v>20</v>
      </c>
      <c r="M198" s="7">
        <f>IF(INDEX([1]equip.xml!$B:$B,MATCH(D198,[1]equip.xml!$A:$A,0))=0,0,N198)</f>
        <v>35</v>
      </c>
      <c r="N198" s="8">
        <f t="shared" si="11"/>
        <v>35</v>
      </c>
    </row>
    <row r="199" spans="1:14">
      <c r="A199" s="8">
        <v>10006</v>
      </c>
      <c r="B199" s="8">
        <v>40000</v>
      </c>
      <c r="C199" s="8" t="s">
        <v>132</v>
      </c>
      <c r="D199" s="7">
        <f t="shared" si="8"/>
        <v>50103056</v>
      </c>
      <c r="E199" s="8" t="s">
        <v>236</v>
      </c>
      <c r="F199" s="8">
        <v>1</v>
      </c>
      <c r="G199" s="8">
        <f>3*INDEX([1]equip.xml!$I:$I,MATCH(D199,[1]equip.xml!$A:$A,0))</f>
        <v>78000</v>
      </c>
      <c r="H199" s="8" t="str">
        <f t="shared" si="9"/>
        <v>10_10,50_20,80_30</v>
      </c>
      <c r="I199" s="8">
        <v>12</v>
      </c>
      <c r="J199" s="8">
        <f t="shared" si="10"/>
        <v>240</v>
      </c>
      <c r="K199" s="7" t="s">
        <v>293</v>
      </c>
      <c r="L199" s="8">
        <v>20</v>
      </c>
      <c r="M199" s="7">
        <f>IF(INDEX([1]equip.xml!$B:$B,MATCH(D199,[1]equip.xml!$A:$A,0))=0,0,N199)</f>
        <v>35</v>
      </c>
      <c r="N199" s="8">
        <f t="shared" si="11"/>
        <v>35</v>
      </c>
    </row>
    <row r="200" spans="1:14">
      <c r="A200" s="8">
        <v>10006</v>
      </c>
      <c r="B200" s="8">
        <v>40000</v>
      </c>
      <c r="C200" s="8" t="s">
        <v>132</v>
      </c>
      <c r="D200" s="7">
        <f t="shared" si="8"/>
        <v>50103065</v>
      </c>
      <c r="E200" s="8" t="s">
        <v>237</v>
      </c>
      <c r="F200" s="8">
        <v>1</v>
      </c>
      <c r="G200" s="8">
        <f>3*INDEX([1]equip.xml!$I:$I,MATCH(D200,[1]equip.xml!$A:$A,0))</f>
        <v>60000</v>
      </c>
      <c r="H200" s="8" t="str">
        <f t="shared" si="9"/>
        <v>10_10,50_20,80_30</v>
      </c>
      <c r="I200" s="8">
        <v>12</v>
      </c>
      <c r="J200" s="8">
        <f t="shared" si="10"/>
        <v>240</v>
      </c>
      <c r="K200" s="7" t="s">
        <v>293</v>
      </c>
      <c r="L200" s="8">
        <v>20</v>
      </c>
      <c r="M200" s="7">
        <f>IF(INDEX([1]equip.xml!$B:$B,MATCH(D200,[1]equip.xml!$A:$A,0))=0,0,N200)</f>
        <v>35</v>
      </c>
      <c r="N200" s="8">
        <f t="shared" si="11"/>
        <v>35</v>
      </c>
    </row>
    <row r="201" spans="1:14">
      <c r="A201" s="8">
        <v>10006</v>
      </c>
      <c r="B201" s="8">
        <v>40000</v>
      </c>
      <c r="C201" s="8" t="s">
        <v>132</v>
      </c>
      <c r="D201" s="7">
        <f t="shared" si="8"/>
        <v>50103066</v>
      </c>
      <c r="E201" s="8" t="s">
        <v>238</v>
      </c>
      <c r="F201" s="8">
        <v>1</v>
      </c>
      <c r="G201" s="8">
        <f>3*INDEX([1]equip.xml!$I:$I,MATCH(D201,[1]equip.xml!$A:$A,0))</f>
        <v>78000</v>
      </c>
      <c r="H201" s="8" t="str">
        <f t="shared" si="9"/>
        <v>10_10,50_20,80_30</v>
      </c>
      <c r="I201" s="8">
        <v>12</v>
      </c>
      <c r="J201" s="8">
        <f t="shared" si="10"/>
        <v>240</v>
      </c>
      <c r="K201" s="7" t="s">
        <v>293</v>
      </c>
      <c r="L201" s="8">
        <v>20</v>
      </c>
      <c r="M201" s="7">
        <f>IF(INDEX([1]equip.xml!$B:$B,MATCH(D201,[1]equip.xml!$A:$A,0))=0,0,N201)</f>
        <v>0</v>
      </c>
      <c r="N201" s="8">
        <f t="shared" si="11"/>
        <v>35</v>
      </c>
    </row>
    <row r="202" spans="1:14">
      <c r="A202" s="8">
        <v>10006</v>
      </c>
      <c r="B202" s="8">
        <v>40000</v>
      </c>
      <c r="C202" s="8" t="s">
        <v>132</v>
      </c>
      <c r="D202" s="7">
        <f t="shared" si="8"/>
        <v>50100045</v>
      </c>
      <c r="E202" s="8" t="s">
        <v>239</v>
      </c>
      <c r="F202" s="8">
        <v>1</v>
      </c>
      <c r="G202" s="8">
        <f>3*INDEX([1]equip.xml!$I:$I,MATCH(D202,[1]equip.xml!$A:$A,0))</f>
        <v>60000</v>
      </c>
      <c r="H202" s="8" t="str">
        <f t="shared" si="9"/>
        <v>10_10,50_20,80_30</v>
      </c>
      <c r="I202" s="8">
        <v>12</v>
      </c>
      <c r="J202" s="8">
        <f t="shared" si="10"/>
        <v>240</v>
      </c>
      <c r="K202" s="7" t="s">
        <v>293</v>
      </c>
      <c r="L202" s="8">
        <v>20</v>
      </c>
      <c r="M202" s="7">
        <f>IF(INDEX([1]equip.xml!$B:$B,MATCH(D202,[1]equip.xml!$A:$A,0))=0,0,N202)</f>
        <v>35</v>
      </c>
      <c r="N202" s="8">
        <f t="shared" si="11"/>
        <v>35</v>
      </c>
    </row>
    <row r="203" spans="1:14">
      <c r="A203" s="8">
        <v>10006</v>
      </c>
      <c r="B203" s="8">
        <v>40000</v>
      </c>
      <c r="C203" s="8" t="s">
        <v>132</v>
      </c>
      <c r="D203" s="7">
        <f t="shared" si="8"/>
        <v>50100046</v>
      </c>
      <c r="E203" s="8" t="s">
        <v>240</v>
      </c>
      <c r="F203" s="8">
        <v>1</v>
      </c>
      <c r="G203" s="8">
        <f>3*INDEX([1]equip.xml!$I:$I,MATCH(D203,[1]equip.xml!$A:$A,0))</f>
        <v>78000</v>
      </c>
      <c r="H203" s="8" t="str">
        <f t="shared" si="9"/>
        <v>10_10,50_20,80_30</v>
      </c>
      <c r="I203" s="8">
        <v>12</v>
      </c>
      <c r="J203" s="8">
        <f t="shared" si="10"/>
        <v>240</v>
      </c>
      <c r="K203" s="7" t="s">
        <v>293</v>
      </c>
      <c r="L203" s="8">
        <v>20</v>
      </c>
      <c r="M203" s="7">
        <f>IF(INDEX([1]equip.xml!$B:$B,MATCH(D203,[1]equip.xml!$A:$A,0))=0,0,N203)</f>
        <v>0</v>
      </c>
      <c r="N203" s="8">
        <f t="shared" si="11"/>
        <v>35</v>
      </c>
    </row>
    <row r="204" spans="1:14">
      <c r="A204" s="8">
        <v>10006</v>
      </c>
      <c r="B204" s="8">
        <v>40000</v>
      </c>
      <c r="C204" s="8" t="s">
        <v>132</v>
      </c>
      <c r="D204" s="7">
        <f t="shared" si="8"/>
        <v>50100075</v>
      </c>
      <c r="E204" s="8" t="s">
        <v>241</v>
      </c>
      <c r="F204" s="8">
        <v>1</v>
      </c>
      <c r="G204" s="8">
        <f>3*INDEX([1]equip.xml!$I:$I,MATCH(D204,[1]equip.xml!$A:$A,0))</f>
        <v>60000</v>
      </c>
      <c r="H204" s="8" t="str">
        <f t="shared" si="9"/>
        <v>10_10,50_20,80_30</v>
      </c>
      <c r="I204" s="8">
        <v>12</v>
      </c>
      <c r="J204" s="8">
        <f t="shared" si="10"/>
        <v>240</v>
      </c>
      <c r="K204" s="7" t="s">
        <v>293</v>
      </c>
      <c r="L204" s="8">
        <v>20</v>
      </c>
      <c r="M204" s="7">
        <f>IF(INDEX([1]equip.xml!$B:$B,MATCH(D204,[1]equip.xml!$A:$A,0))=0,0,N204)</f>
        <v>35</v>
      </c>
      <c r="N204" s="8">
        <f t="shared" si="11"/>
        <v>35</v>
      </c>
    </row>
    <row r="205" spans="1:14">
      <c r="A205" s="8">
        <v>10006</v>
      </c>
      <c r="B205" s="8">
        <v>40000</v>
      </c>
      <c r="C205" s="8" t="s">
        <v>132</v>
      </c>
      <c r="D205" s="7">
        <f t="shared" si="8"/>
        <v>50100076</v>
      </c>
      <c r="E205" s="8" t="s">
        <v>242</v>
      </c>
      <c r="F205" s="8">
        <v>1</v>
      </c>
      <c r="G205" s="8">
        <f>3*INDEX([1]equip.xml!$I:$I,MATCH(D205,[1]equip.xml!$A:$A,0))</f>
        <v>78000</v>
      </c>
      <c r="H205" s="8" t="str">
        <f t="shared" si="9"/>
        <v>10_10,50_20,80_30</v>
      </c>
      <c r="I205" s="8">
        <v>12</v>
      </c>
      <c r="J205" s="8">
        <f t="shared" si="10"/>
        <v>240</v>
      </c>
      <c r="K205" s="7" t="s">
        <v>293</v>
      </c>
      <c r="L205" s="8">
        <v>20</v>
      </c>
      <c r="M205" s="7">
        <f>IF(INDEX([1]equip.xml!$B:$B,MATCH(D205,[1]equip.xml!$A:$A,0))=0,0,N205)</f>
        <v>0</v>
      </c>
      <c r="N205" s="8">
        <f t="shared" si="11"/>
        <v>35</v>
      </c>
    </row>
    <row r="206" spans="1:14">
      <c r="A206" s="7">
        <v>10007</v>
      </c>
      <c r="B206" s="7">
        <f>B118</f>
        <v>40000</v>
      </c>
      <c r="C206" s="7" t="str">
        <f>C118</f>
        <v>装备</v>
      </c>
      <c r="D206" s="7" t="s">
        <v>247</v>
      </c>
      <c r="E206" s="7"/>
      <c r="F206" s="7">
        <v>1</v>
      </c>
      <c r="G206" s="7">
        <f>3*INDEX([1]equip.xml!$I:$I,MATCH(D206&amp;"",[1]equip.xml!$A:$A,0))</f>
        <v>30000</v>
      </c>
      <c r="H206" s="7" t="str">
        <f t="shared" si="9"/>
        <v>10_10,50_20,80_30</v>
      </c>
      <c r="I206" s="7">
        <v>11</v>
      </c>
      <c r="J206" s="7">
        <f t="shared" si="10"/>
        <v>50</v>
      </c>
      <c r="K206" s="7" t="s">
        <v>293</v>
      </c>
      <c r="L206" s="7">
        <v>22</v>
      </c>
      <c r="M206" s="7">
        <f>IF(INDEX([1]equip.xml!$B:$B,MATCH(D206&amp;"",[1]equip.xml!$A:$A,0))=0,0,N206)</f>
        <v>130</v>
      </c>
      <c r="N206" s="7">
        <f t="shared" si="11"/>
        <v>130</v>
      </c>
    </row>
    <row r="207" spans="1:14">
      <c r="A207" s="7">
        <v>10007</v>
      </c>
      <c r="B207" s="7">
        <f t="shared" ref="B207:C270" si="12">B119</f>
        <v>40000</v>
      </c>
      <c r="C207" s="7" t="str">
        <f t="shared" si="12"/>
        <v>装备</v>
      </c>
      <c r="D207" s="7" t="s">
        <v>248</v>
      </c>
      <c r="E207" s="7"/>
      <c r="F207" s="7">
        <v>1</v>
      </c>
      <c r="G207" s="7">
        <f>3*INDEX([1]equip.xml!$I:$I,MATCH(D207&amp;"",[1]equip.xml!$A:$A,0))</f>
        <v>30000</v>
      </c>
      <c r="H207" s="7" t="str">
        <f t="shared" si="9"/>
        <v>10_10,50_20,80_30</v>
      </c>
      <c r="I207" s="7">
        <v>11</v>
      </c>
      <c r="J207" s="7">
        <f t="shared" si="10"/>
        <v>50</v>
      </c>
      <c r="K207" s="7" t="s">
        <v>293</v>
      </c>
      <c r="L207" s="7">
        <v>22</v>
      </c>
      <c r="M207" s="7">
        <f>IF(INDEX([1]equip.xml!$B:$B,MATCH(D207&amp;"",[1]equip.xml!$A:$A,0))=0,0,N207)</f>
        <v>130</v>
      </c>
      <c r="N207" s="7">
        <f t="shared" si="11"/>
        <v>130</v>
      </c>
    </row>
    <row r="208" spans="1:14">
      <c r="A208" s="7">
        <v>10007</v>
      </c>
      <c r="B208" s="7">
        <f t="shared" si="12"/>
        <v>40000</v>
      </c>
      <c r="C208" s="7" t="str">
        <f t="shared" si="12"/>
        <v>装备</v>
      </c>
      <c r="D208" s="7" t="s">
        <v>249</v>
      </c>
      <c r="E208" s="7"/>
      <c r="F208" s="7">
        <v>1</v>
      </c>
      <c r="G208" s="7">
        <f>3*INDEX([1]equip.xml!$I:$I,MATCH(D208&amp;"",[1]equip.xml!$A:$A,0))</f>
        <v>30000</v>
      </c>
      <c r="H208" s="7" t="str">
        <f t="shared" si="9"/>
        <v>10_10,50_20,80_30</v>
      </c>
      <c r="I208" s="7">
        <v>11</v>
      </c>
      <c r="J208" s="7">
        <f t="shared" si="10"/>
        <v>50</v>
      </c>
      <c r="K208" s="7" t="s">
        <v>293</v>
      </c>
      <c r="L208" s="7">
        <v>22</v>
      </c>
      <c r="M208" s="7">
        <f>IF(INDEX([1]equip.xml!$B:$B,MATCH(D208&amp;"",[1]equip.xml!$A:$A,0))=0,0,N208)</f>
        <v>130</v>
      </c>
      <c r="N208" s="7">
        <f t="shared" si="11"/>
        <v>130</v>
      </c>
    </row>
    <row r="209" spans="1:14">
      <c r="A209" s="7">
        <v>10007</v>
      </c>
      <c r="B209" s="7">
        <f t="shared" si="12"/>
        <v>40000</v>
      </c>
      <c r="C209" s="7" t="str">
        <f t="shared" si="12"/>
        <v>装备</v>
      </c>
      <c r="D209" s="7" t="s">
        <v>250</v>
      </c>
      <c r="E209" s="7"/>
      <c r="F209" s="7">
        <v>1</v>
      </c>
      <c r="G209" s="7">
        <f>3*INDEX([1]equip.xml!$I:$I,MATCH(D209&amp;"",[1]equip.xml!$A:$A,0))</f>
        <v>30000</v>
      </c>
      <c r="H209" s="7" t="str">
        <f t="shared" si="9"/>
        <v>10_10,50_20,80_30</v>
      </c>
      <c r="I209" s="7">
        <v>11</v>
      </c>
      <c r="J209" s="7">
        <f t="shared" si="10"/>
        <v>50</v>
      </c>
      <c r="K209" s="7" t="s">
        <v>293</v>
      </c>
      <c r="L209" s="7">
        <v>22</v>
      </c>
      <c r="M209" s="7">
        <f>IF(INDEX([1]equip.xml!$B:$B,MATCH(D209&amp;"",[1]equip.xml!$A:$A,0))=0,0,N209)</f>
        <v>130</v>
      </c>
      <c r="N209" s="7">
        <f t="shared" si="11"/>
        <v>130</v>
      </c>
    </row>
    <row r="210" spans="1:14">
      <c r="A210" s="7">
        <v>10007</v>
      </c>
      <c r="B210" s="7">
        <f t="shared" si="12"/>
        <v>40000</v>
      </c>
      <c r="C210" s="7" t="str">
        <f t="shared" si="12"/>
        <v>装备</v>
      </c>
      <c r="D210" s="7" t="s">
        <v>251</v>
      </c>
      <c r="E210" s="7"/>
      <c r="F210" s="7">
        <v>1</v>
      </c>
      <c r="G210" s="7">
        <f>3*INDEX([1]equip.xml!$I:$I,MATCH(D210&amp;"",[1]equip.xml!$A:$A,0))</f>
        <v>30000</v>
      </c>
      <c r="H210" s="7" t="str">
        <f t="shared" si="9"/>
        <v>10_10,50_20,80_30</v>
      </c>
      <c r="I210" s="7">
        <v>11</v>
      </c>
      <c r="J210" s="7">
        <f t="shared" si="10"/>
        <v>50</v>
      </c>
      <c r="K210" s="7" t="s">
        <v>293</v>
      </c>
      <c r="L210" s="7">
        <v>22</v>
      </c>
      <c r="M210" s="7">
        <f>IF(INDEX([1]equip.xml!$B:$B,MATCH(D210&amp;"",[1]equip.xml!$A:$A,0))=0,0,N210)</f>
        <v>130</v>
      </c>
      <c r="N210" s="7">
        <f t="shared" si="11"/>
        <v>130</v>
      </c>
    </row>
    <row r="211" spans="1:14">
      <c r="A211" s="7">
        <v>10007</v>
      </c>
      <c r="B211" s="7">
        <f t="shared" si="12"/>
        <v>40000</v>
      </c>
      <c r="C211" s="7" t="str">
        <f t="shared" si="12"/>
        <v>装备</v>
      </c>
      <c r="D211" s="7" t="s">
        <v>252</v>
      </c>
      <c r="E211" s="7"/>
      <c r="F211" s="7">
        <v>1</v>
      </c>
      <c r="G211" s="7">
        <f>3*INDEX([1]equip.xml!$I:$I,MATCH(D211&amp;"",[1]equip.xml!$A:$A,0))</f>
        <v>30000</v>
      </c>
      <c r="H211" s="7" t="str">
        <f t="shared" si="9"/>
        <v>10_10,50_20,80_30</v>
      </c>
      <c r="I211" s="7">
        <v>11</v>
      </c>
      <c r="J211" s="7">
        <f t="shared" si="10"/>
        <v>50</v>
      </c>
      <c r="K211" s="7" t="s">
        <v>293</v>
      </c>
      <c r="L211" s="7">
        <v>22</v>
      </c>
      <c r="M211" s="7">
        <f>IF(INDEX([1]equip.xml!$B:$B,MATCH(D211&amp;"",[1]equip.xml!$A:$A,0))=0,0,N211)</f>
        <v>0</v>
      </c>
      <c r="N211" s="7">
        <f t="shared" si="11"/>
        <v>130</v>
      </c>
    </row>
    <row r="212" spans="1:14">
      <c r="A212" s="7">
        <v>10007</v>
      </c>
      <c r="B212" s="7">
        <f t="shared" si="12"/>
        <v>40000</v>
      </c>
      <c r="C212" s="7" t="str">
        <f t="shared" si="12"/>
        <v>装备</v>
      </c>
      <c r="D212" s="7" t="s">
        <v>258</v>
      </c>
      <c r="E212" s="7"/>
      <c r="F212" s="7">
        <v>1</v>
      </c>
      <c r="G212" s="7">
        <f>3*INDEX([1]equip.xml!$I:$I,MATCH(D212&amp;"",[1]equip.xml!$A:$A,0))</f>
        <v>30000</v>
      </c>
      <c r="H212" s="7" t="str">
        <f t="shared" si="9"/>
        <v>10_10,50_20,80_30</v>
      </c>
      <c r="I212" s="7">
        <v>11</v>
      </c>
      <c r="J212" s="7">
        <f t="shared" si="10"/>
        <v>50</v>
      </c>
      <c r="K212" s="7" t="s">
        <v>293</v>
      </c>
      <c r="L212" s="7">
        <v>22</v>
      </c>
      <c r="M212" s="7">
        <f>IF(INDEX([1]equip.xml!$B:$B,MATCH(D212&amp;"",[1]equip.xml!$A:$A,0))=0,0,N212)</f>
        <v>130</v>
      </c>
      <c r="N212" s="7">
        <f t="shared" si="11"/>
        <v>130</v>
      </c>
    </row>
    <row r="213" spans="1:14">
      <c r="A213" s="7">
        <v>10007</v>
      </c>
      <c r="B213" s="7">
        <f t="shared" si="12"/>
        <v>40000</v>
      </c>
      <c r="C213" s="7" t="str">
        <f t="shared" si="12"/>
        <v>装备</v>
      </c>
      <c r="D213" s="7" t="s">
        <v>253</v>
      </c>
      <c r="E213" s="7"/>
      <c r="F213" s="7">
        <v>1</v>
      </c>
      <c r="G213" s="7">
        <f>3*INDEX([1]equip.xml!$I:$I,MATCH(D213&amp;"",[1]equip.xml!$A:$A,0))</f>
        <v>39000</v>
      </c>
      <c r="H213" s="7" t="str">
        <f t="shared" si="9"/>
        <v>10_10,50_20,80_30</v>
      </c>
      <c r="I213" s="7">
        <v>11</v>
      </c>
      <c r="J213" s="7">
        <f t="shared" si="10"/>
        <v>50</v>
      </c>
      <c r="K213" s="7" t="s">
        <v>293</v>
      </c>
      <c r="L213" s="7">
        <v>22</v>
      </c>
      <c r="M213" s="7">
        <f>IF(INDEX([1]equip.xml!$B:$B,MATCH(D213&amp;"",[1]equip.xml!$A:$A,0))=0,0,N213)</f>
        <v>130</v>
      </c>
      <c r="N213" s="7">
        <f t="shared" si="11"/>
        <v>130</v>
      </c>
    </row>
    <row r="214" spans="1:14">
      <c r="A214" s="7">
        <v>10007</v>
      </c>
      <c r="B214" s="7">
        <f t="shared" si="12"/>
        <v>40000</v>
      </c>
      <c r="C214" s="7" t="str">
        <f t="shared" si="12"/>
        <v>装备</v>
      </c>
      <c r="D214" s="7" t="s">
        <v>254</v>
      </c>
      <c r="E214" s="7"/>
      <c r="F214" s="7">
        <v>1</v>
      </c>
      <c r="G214" s="7">
        <f>3*INDEX([1]equip.xml!$I:$I,MATCH(D214&amp;"",[1]equip.xml!$A:$A,0))</f>
        <v>30000</v>
      </c>
      <c r="H214" s="7" t="str">
        <f t="shared" si="9"/>
        <v>10_10,50_20,80_30</v>
      </c>
      <c r="I214" s="7">
        <v>11</v>
      </c>
      <c r="J214" s="7">
        <f t="shared" si="10"/>
        <v>50</v>
      </c>
      <c r="K214" s="7" t="s">
        <v>293</v>
      </c>
      <c r="L214" s="7">
        <v>22</v>
      </c>
      <c r="M214" s="7">
        <f>IF(INDEX([1]equip.xml!$B:$B,MATCH(D214&amp;"",[1]equip.xml!$A:$A,0))=0,0,N214)</f>
        <v>130</v>
      </c>
      <c r="N214" s="7">
        <f t="shared" si="11"/>
        <v>130</v>
      </c>
    </row>
    <row r="215" spans="1:14">
      <c r="A215" s="7">
        <v>10007</v>
      </c>
      <c r="B215" s="7">
        <f t="shared" si="12"/>
        <v>40000</v>
      </c>
      <c r="C215" s="7" t="str">
        <f t="shared" si="12"/>
        <v>装备</v>
      </c>
      <c r="D215" s="7" t="s">
        <v>255</v>
      </c>
      <c r="E215" s="7"/>
      <c r="F215" s="7">
        <v>1</v>
      </c>
      <c r="G215" s="7">
        <f>3*INDEX([1]equip.xml!$I:$I,MATCH(D215&amp;"",[1]equip.xml!$A:$A,0))</f>
        <v>39000</v>
      </c>
      <c r="H215" s="7" t="str">
        <f t="shared" si="9"/>
        <v>10_10,50_20,80_30</v>
      </c>
      <c r="I215" s="7">
        <v>11</v>
      </c>
      <c r="J215" s="7">
        <f t="shared" si="10"/>
        <v>50</v>
      </c>
      <c r="K215" s="7" t="s">
        <v>293</v>
      </c>
      <c r="L215" s="7">
        <v>22</v>
      </c>
      <c r="M215" s="7">
        <f>IF(INDEX([1]equip.xml!$B:$B,MATCH(D215&amp;"",[1]equip.xml!$A:$A,0))=0,0,N215)</f>
        <v>0</v>
      </c>
      <c r="N215" s="7">
        <f t="shared" si="11"/>
        <v>130</v>
      </c>
    </row>
    <row r="216" spans="1:14">
      <c r="A216" s="7">
        <v>10007</v>
      </c>
      <c r="B216" s="7">
        <f t="shared" si="12"/>
        <v>40000</v>
      </c>
      <c r="C216" s="7" t="str">
        <f t="shared" si="12"/>
        <v>装备</v>
      </c>
      <c r="D216" s="7" t="s">
        <v>256</v>
      </c>
      <c r="E216" s="7"/>
      <c r="F216" s="7">
        <v>1</v>
      </c>
      <c r="G216" s="7">
        <f>3*INDEX([1]equip.xml!$I:$I,MATCH(D216&amp;"",[1]equip.xml!$A:$A,0))</f>
        <v>30000</v>
      </c>
      <c r="H216" s="7" t="str">
        <f t="shared" si="9"/>
        <v>10_10,50_20,80_30</v>
      </c>
      <c r="I216" s="7">
        <v>11</v>
      </c>
      <c r="J216" s="7">
        <f t="shared" si="10"/>
        <v>50</v>
      </c>
      <c r="K216" s="7" t="s">
        <v>293</v>
      </c>
      <c r="L216" s="7">
        <v>22</v>
      </c>
      <c r="M216" s="7">
        <f>IF(INDEX([1]equip.xml!$B:$B,MATCH(D216&amp;"",[1]equip.xml!$A:$A,0))=0,0,N216)</f>
        <v>130</v>
      </c>
      <c r="N216" s="7">
        <f t="shared" si="11"/>
        <v>130</v>
      </c>
    </row>
    <row r="217" spans="1:14">
      <c r="A217" s="7">
        <v>10007</v>
      </c>
      <c r="B217" s="7">
        <f t="shared" si="12"/>
        <v>40000</v>
      </c>
      <c r="C217" s="7" t="str">
        <f t="shared" si="12"/>
        <v>装备</v>
      </c>
      <c r="D217" s="7" t="s">
        <v>257</v>
      </c>
      <c r="E217" s="7"/>
      <c r="F217" s="7">
        <v>1</v>
      </c>
      <c r="G217" s="7">
        <f>3*INDEX([1]equip.xml!$I:$I,MATCH(D217&amp;"",[1]equip.xml!$A:$A,0))</f>
        <v>39000</v>
      </c>
      <c r="H217" s="7" t="str">
        <f t="shared" si="9"/>
        <v>10_10,50_20,80_30</v>
      </c>
      <c r="I217" s="7">
        <v>11</v>
      </c>
      <c r="J217" s="7">
        <f t="shared" si="10"/>
        <v>50</v>
      </c>
      <c r="K217" s="7" t="s">
        <v>293</v>
      </c>
      <c r="L217" s="7">
        <v>22</v>
      </c>
      <c r="M217" s="7">
        <f>IF(INDEX([1]equip.xml!$B:$B,MATCH(D217&amp;"",[1]equip.xml!$A:$A,0))=0,0,N217)</f>
        <v>130</v>
      </c>
      <c r="N217" s="7">
        <f t="shared" si="11"/>
        <v>130</v>
      </c>
    </row>
    <row r="218" spans="1:14">
      <c r="A218" s="7">
        <v>10007</v>
      </c>
      <c r="B218" s="7">
        <f t="shared" si="12"/>
        <v>40000</v>
      </c>
      <c r="C218" s="7" t="str">
        <f t="shared" si="12"/>
        <v>装备</v>
      </c>
      <c r="D218" s="7" t="s">
        <v>259</v>
      </c>
      <c r="E218" s="7"/>
      <c r="F218" s="7">
        <v>1</v>
      </c>
      <c r="G218" s="7">
        <f>3*INDEX([1]equip.xml!$I:$I,MATCH(D218&amp;"",[1]equip.xml!$A:$A,0))</f>
        <v>30000</v>
      </c>
      <c r="H218" s="7" t="str">
        <f t="shared" si="9"/>
        <v>10_10,50_20,80_30</v>
      </c>
      <c r="I218" s="7">
        <v>11</v>
      </c>
      <c r="J218" s="7">
        <f t="shared" si="10"/>
        <v>50</v>
      </c>
      <c r="K218" s="7" t="s">
        <v>293</v>
      </c>
      <c r="L218" s="7">
        <v>22</v>
      </c>
      <c r="M218" s="7">
        <f>IF(INDEX([1]equip.xml!$B:$B,MATCH(D218&amp;"",[1]equip.xml!$A:$A,0))=0,0,N218)</f>
        <v>130</v>
      </c>
      <c r="N218" s="7">
        <f t="shared" si="11"/>
        <v>130</v>
      </c>
    </row>
    <row r="219" spans="1:14">
      <c r="A219" s="7">
        <v>10007</v>
      </c>
      <c r="B219" s="7">
        <f t="shared" si="12"/>
        <v>40000</v>
      </c>
      <c r="C219" s="7" t="str">
        <f t="shared" si="12"/>
        <v>装备</v>
      </c>
      <c r="D219" s="7" t="s">
        <v>260</v>
      </c>
      <c r="E219" s="7"/>
      <c r="F219" s="7">
        <v>1</v>
      </c>
      <c r="G219" s="7">
        <f>3*INDEX([1]equip.xml!$I:$I,MATCH(D219&amp;"",[1]equip.xml!$A:$A,0))</f>
        <v>39000</v>
      </c>
      <c r="H219" s="7" t="str">
        <f t="shared" si="9"/>
        <v>10_10,50_20,80_30</v>
      </c>
      <c r="I219" s="7">
        <v>11</v>
      </c>
      <c r="J219" s="7">
        <f t="shared" si="10"/>
        <v>50</v>
      </c>
      <c r="K219" s="7" t="s">
        <v>293</v>
      </c>
      <c r="L219" s="7">
        <v>22</v>
      </c>
      <c r="M219" s="7">
        <f>IF(INDEX([1]equip.xml!$B:$B,MATCH(D219&amp;"",[1]equip.xml!$A:$A,0))=0,0,N219)</f>
        <v>0</v>
      </c>
      <c r="N219" s="7">
        <f t="shared" si="11"/>
        <v>130</v>
      </c>
    </row>
    <row r="220" spans="1:14">
      <c r="A220" s="7">
        <v>10007</v>
      </c>
      <c r="B220" s="7">
        <f t="shared" si="12"/>
        <v>40000</v>
      </c>
      <c r="C220" s="7" t="str">
        <f t="shared" si="12"/>
        <v>装备</v>
      </c>
      <c r="D220" s="7" t="s">
        <v>261</v>
      </c>
      <c r="E220" s="7"/>
      <c r="F220" s="7">
        <v>1</v>
      </c>
      <c r="G220" s="7">
        <f>3*INDEX([1]equip.xml!$I:$I,MATCH(D220&amp;"",[1]equip.xml!$A:$A,0))</f>
        <v>30000</v>
      </c>
      <c r="H220" s="7" t="str">
        <f t="shared" si="9"/>
        <v>10_10,50_20,80_30</v>
      </c>
      <c r="I220" s="7">
        <v>11</v>
      </c>
      <c r="J220" s="7">
        <f t="shared" si="10"/>
        <v>50</v>
      </c>
      <c r="K220" s="7" t="s">
        <v>293</v>
      </c>
      <c r="L220" s="7">
        <v>22</v>
      </c>
      <c r="M220" s="7">
        <f>IF(INDEX([1]equip.xml!$B:$B,MATCH(D220&amp;"",[1]equip.xml!$A:$A,0))=0,0,N220)</f>
        <v>130</v>
      </c>
      <c r="N220" s="7">
        <f t="shared" si="11"/>
        <v>130</v>
      </c>
    </row>
    <row r="221" spans="1:14">
      <c r="A221" s="7">
        <v>10007</v>
      </c>
      <c r="B221" s="7">
        <f t="shared" si="12"/>
        <v>40000</v>
      </c>
      <c r="C221" s="7" t="str">
        <f t="shared" si="12"/>
        <v>装备</v>
      </c>
      <c r="D221" s="7" t="s">
        <v>262</v>
      </c>
      <c r="E221" s="7"/>
      <c r="F221" s="7">
        <v>1</v>
      </c>
      <c r="G221" s="7">
        <f>3*INDEX([1]equip.xml!$I:$I,MATCH(D221&amp;"",[1]equip.xml!$A:$A,0))</f>
        <v>39000</v>
      </c>
      <c r="H221" s="7" t="str">
        <f t="shared" si="9"/>
        <v>10_10,50_20,80_30</v>
      </c>
      <c r="I221" s="7">
        <v>11</v>
      </c>
      <c r="J221" s="7">
        <f t="shared" si="10"/>
        <v>50</v>
      </c>
      <c r="K221" s="7" t="s">
        <v>293</v>
      </c>
      <c r="L221" s="7">
        <v>22</v>
      </c>
      <c r="M221" s="7">
        <f>IF(INDEX([1]equip.xml!$B:$B,MATCH(D221&amp;"",[1]equip.xml!$A:$A,0))=0,0,N221)</f>
        <v>130</v>
      </c>
      <c r="N221" s="7">
        <f t="shared" si="11"/>
        <v>130</v>
      </c>
    </row>
    <row r="222" spans="1:14">
      <c r="A222" s="7">
        <v>10007</v>
      </c>
      <c r="B222" s="7">
        <f t="shared" si="12"/>
        <v>40000</v>
      </c>
      <c r="C222" s="7" t="str">
        <f t="shared" si="12"/>
        <v>装备</v>
      </c>
      <c r="D222" s="7" t="s">
        <v>263</v>
      </c>
      <c r="E222" s="7"/>
      <c r="F222" s="7">
        <v>1</v>
      </c>
      <c r="G222" s="7">
        <f>3*INDEX([1]equip.xml!$I:$I,MATCH(D222&amp;"",[1]equip.xml!$A:$A,0))</f>
        <v>30000</v>
      </c>
      <c r="H222" s="7" t="str">
        <f t="shared" si="9"/>
        <v>10_10,50_20,80_30</v>
      </c>
      <c r="I222" s="7">
        <v>11</v>
      </c>
      <c r="J222" s="7">
        <f t="shared" si="10"/>
        <v>50</v>
      </c>
      <c r="K222" s="7" t="s">
        <v>293</v>
      </c>
      <c r="L222" s="7">
        <v>22</v>
      </c>
      <c r="M222" s="7">
        <f>IF(INDEX([1]equip.xml!$B:$B,MATCH(D222&amp;"",[1]equip.xml!$A:$A,0))=0,0,N222)</f>
        <v>130</v>
      </c>
      <c r="N222" s="7">
        <f t="shared" si="11"/>
        <v>130</v>
      </c>
    </row>
    <row r="223" spans="1:14">
      <c r="A223" s="7">
        <v>10007</v>
      </c>
      <c r="B223" s="7">
        <f t="shared" si="12"/>
        <v>40000</v>
      </c>
      <c r="C223" s="7" t="str">
        <f t="shared" si="12"/>
        <v>装备</v>
      </c>
      <c r="D223" s="7" t="s">
        <v>264</v>
      </c>
      <c r="E223" s="7"/>
      <c r="F223" s="7">
        <v>1</v>
      </c>
      <c r="G223" s="7">
        <f>3*INDEX([1]equip.xml!$I:$I,MATCH(D223&amp;"",[1]equip.xml!$A:$A,0))</f>
        <v>39000</v>
      </c>
      <c r="H223" s="7" t="str">
        <f t="shared" si="9"/>
        <v>10_10,50_20,80_30</v>
      </c>
      <c r="I223" s="7">
        <v>11</v>
      </c>
      <c r="J223" s="7">
        <f t="shared" si="10"/>
        <v>50</v>
      </c>
      <c r="K223" s="7" t="s">
        <v>293</v>
      </c>
      <c r="L223" s="7">
        <v>22</v>
      </c>
      <c r="M223" s="7">
        <f>IF(INDEX([1]equip.xml!$B:$B,MATCH(D223&amp;"",[1]equip.xml!$A:$A,0))=0,0,N223)</f>
        <v>0</v>
      </c>
      <c r="N223" s="7">
        <f t="shared" si="11"/>
        <v>130</v>
      </c>
    </row>
    <row r="224" spans="1:14">
      <c r="A224" s="7">
        <v>10007</v>
      </c>
      <c r="B224" s="7">
        <f t="shared" si="12"/>
        <v>40000</v>
      </c>
      <c r="C224" s="7" t="str">
        <f t="shared" si="12"/>
        <v>装备</v>
      </c>
      <c r="D224" s="7" t="s">
        <v>265</v>
      </c>
      <c r="E224" s="7"/>
      <c r="F224" s="7">
        <v>1</v>
      </c>
      <c r="G224" s="7">
        <f>3*INDEX([1]equip.xml!$I:$I,MATCH(D224&amp;"",[1]equip.xml!$A:$A,0))</f>
        <v>30000</v>
      </c>
      <c r="H224" s="7" t="str">
        <f t="shared" si="9"/>
        <v>10_10,50_20,80_30</v>
      </c>
      <c r="I224" s="7">
        <v>11</v>
      </c>
      <c r="J224" s="7">
        <f t="shared" si="10"/>
        <v>50</v>
      </c>
      <c r="K224" s="7" t="s">
        <v>293</v>
      </c>
      <c r="L224" s="7">
        <v>22</v>
      </c>
      <c r="M224" s="7">
        <f>IF(INDEX([1]equip.xml!$B:$B,MATCH(D224&amp;"",[1]equip.xml!$A:$A,0))=0,0,N224)</f>
        <v>130</v>
      </c>
      <c r="N224" s="7">
        <f t="shared" si="11"/>
        <v>130</v>
      </c>
    </row>
    <row r="225" spans="1:14">
      <c r="A225" s="7">
        <v>10007</v>
      </c>
      <c r="B225" s="7">
        <f t="shared" si="12"/>
        <v>40000</v>
      </c>
      <c r="C225" s="7" t="str">
        <f t="shared" si="12"/>
        <v>装备</v>
      </c>
      <c r="D225" s="7">
        <v>40100041</v>
      </c>
      <c r="E225" s="7"/>
      <c r="F225" s="7">
        <v>1</v>
      </c>
      <c r="G225" s="7">
        <f>3*INDEX([1]equip.xml!$I:$I,MATCH(D225&amp;"",[1]equip.xml!$A:$A,0))</f>
        <v>39000</v>
      </c>
      <c r="H225" s="7" t="str">
        <f t="shared" si="9"/>
        <v>10_10,50_20,80_30</v>
      </c>
      <c r="I225" s="7">
        <v>11</v>
      </c>
      <c r="J225" s="7">
        <f t="shared" si="10"/>
        <v>50</v>
      </c>
      <c r="K225" s="7" t="s">
        <v>293</v>
      </c>
      <c r="L225" s="7">
        <v>22</v>
      </c>
      <c r="M225" s="7">
        <f>IF(INDEX([1]equip.xml!$B:$B,MATCH(D225&amp;"",[1]equip.xml!$A:$A,0))=0,0,N225)</f>
        <v>0</v>
      </c>
      <c r="N225" s="7">
        <f t="shared" si="11"/>
        <v>130</v>
      </c>
    </row>
    <row r="226" spans="1:14">
      <c r="A226" s="7">
        <v>10007</v>
      </c>
      <c r="B226" s="7">
        <f t="shared" si="12"/>
        <v>40000</v>
      </c>
      <c r="C226" s="7" t="str">
        <f t="shared" si="12"/>
        <v>装备</v>
      </c>
      <c r="D226" s="7" t="s">
        <v>266</v>
      </c>
      <c r="E226" s="7"/>
      <c r="F226" s="7">
        <v>1</v>
      </c>
      <c r="G226" s="7">
        <f>3*INDEX([1]equip.xml!$I:$I,MATCH(D226&amp;"",[1]equip.xml!$A:$A,0))</f>
        <v>30000</v>
      </c>
      <c r="H226" s="7" t="str">
        <f t="shared" si="9"/>
        <v>10_10,50_20,80_30</v>
      </c>
      <c r="I226" s="7">
        <v>11</v>
      </c>
      <c r="J226" s="7">
        <f t="shared" si="10"/>
        <v>50</v>
      </c>
      <c r="K226" s="7" t="s">
        <v>293</v>
      </c>
      <c r="L226" s="7">
        <v>22</v>
      </c>
      <c r="M226" s="7">
        <f>IF(INDEX([1]equip.xml!$B:$B,MATCH(D226&amp;"",[1]equip.xml!$A:$A,0))=0,0,N226)</f>
        <v>130</v>
      </c>
      <c r="N226" s="7">
        <f t="shared" si="11"/>
        <v>130</v>
      </c>
    </row>
    <row r="227" spans="1:14">
      <c r="A227" s="7">
        <v>10007</v>
      </c>
      <c r="B227" s="7">
        <f t="shared" si="12"/>
        <v>40000</v>
      </c>
      <c r="C227" s="7" t="str">
        <f t="shared" si="12"/>
        <v>装备</v>
      </c>
      <c r="D227" s="7" t="s">
        <v>267</v>
      </c>
      <c r="E227" s="7"/>
      <c r="F227" s="7">
        <v>1</v>
      </c>
      <c r="G227" s="7">
        <f>3*INDEX([1]equip.xml!$I:$I,MATCH(D227&amp;"",[1]equip.xml!$A:$A,0))</f>
        <v>39000</v>
      </c>
      <c r="H227" s="7" t="str">
        <f t="shared" si="9"/>
        <v>10_10,50_20,80_30</v>
      </c>
      <c r="I227" s="7">
        <v>11</v>
      </c>
      <c r="J227" s="7">
        <f t="shared" si="10"/>
        <v>50</v>
      </c>
      <c r="K227" s="7" t="s">
        <v>293</v>
      </c>
      <c r="L227" s="7">
        <v>22</v>
      </c>
      <c r="M227" s="7">
        <f>IF(INDEX([1]equip.xml!$B:$B,MATCH(D227&amp;"",[1]equip.xml!$A:$A,0))=0,0,N227)</f>
        <v>0</v>
      </c>
      <c r="N227" s="7">
        <f t="shared" si="11"/>
        <v>130</v>
      </c>
    </row>
    <row r="228" spans="1:14">
      <c r="A228" s="7">
        <v>10007</v>
      </c>
      <c r="B228" s="7">
        <f t="shared" si="12"/>
        <v>40000</v>
      </c>
      <c r="C228" s="7" t="str">
        <f t="shared" si="12"/>
        <v>装备</v>
      </c>
      <c r="D228" s="7" t="s">
        <v>268</v>
      </c>
      <c r="E228" s="7"/>
      <c r="F228" s="7">
        <v>1</v>
      </c>
      <c r="G228" s="7">
        <f>3*INDEX([1]equip.xml!$I:$I,MATCH(D228&amp;"",[1]equip.xml!$A:$A,0))</f>
        <v>45000</v>
      </c>
      <c r="H228" s="7" t="str">
        <f t="shared" si="9"/>
        <v>10_10,50_20,80_30</v>
      </c>
      <c r="I228" s="7">
        <v>11</v>
      </c>
      <c r="J228" s="7">
        <f t="shared" si="10"/>
        <v>50</v>
      </c>
      <c r="K228" s="7" t="s">
        <v>293</v>
      </c>
      <c r="L228" s="7">
        <v>22</v>
      </c>
      <c r="M228" s="7">
        <f>IF(INDEX([1]equip.xml!$B:$B,MATCH(D228&amp;"",[1]equip.xml!$A:$A,0))=0,0,N228)</f>
        <v>0</v>
      </c>
      <c r="N228" s="7">
        <f t="shared" si="11"/>
        <v>65</v>
      </c>
    </row>
    <row r="229" spans="1:14">
      <c r="A229" s="7">
        <v>10007</v>
      </c>
      <c r="B229" s="7">
        <f t="shared" si="12"/>
        <v>40000</v>
      </c>
      <c r="C229" s="7" t="str">
        <f t="shared" si="12"/>
        <v>装备</v>
      </c>
      <c r="D229" s="7" t="s">
        <v>269</v>
      </c>
      <c r="E229" s="7"/>
      <c r="F229" s="7">
        <v>1</v>
      </c>
      <c r="G229" s="7">
        <f>3*INDEX([1]equip.xml!$I:$I,MATCH(D229&amp;"",[1]equip.xml!$A:$A,0))</f>
        <v>45000</v>
      </c>
      <c r="H229" s="7" t="str">
        <f t="shared" si="9"/>
        <v>10_10,50_20,80_30</v>
      </c>
      <c r="I229" s="7">
        <v>11</v>
      </c>
      <c r="J229" s="7">
        <f t="shared" si="10"/>
        <v>50</v>
      </c>
      <c r="K229" s="7" t="s">
        <v>293</v>
      </c>
      <c r="L229" s="7">
        <v>22</v>
      </c>
      <c r="M229" s="7">
        <f>IF(INDEX([1]equip.xml!$B:$B,MATCH(D229&amp;"",[1]equip.xml!$A:$A,0))=0,0,N229)</f>
        <v>0</v>
      </c>
      <c r="N229" s="7">
        <f t="shared" si="11"/>
        <v>65</v>
      </c>
    </row>
    <row r="230" spans="1:14">
      <c r="A230" s="7">
        <v>10007</v>
      </c>
      <c r="B230" s="7">
        <f t="shared" si="12"/>
        <v>40000</v>
      </c>
      <c r="C230" s="7" t="str">
        <f t="shared" si="12"/>
        <v>装备</v>
      </c>
      <c r="D230" s="7" t="s">
        <v>270</v>
      </c>
      <c r="E230" s="7"/>
      <c r="F230" s="7">
        <v>1</v>
      </c>
      <c r="G230" s="7">
        <f>3*INDEX([1]equip.xml!$I:$I,MATCH(D230&amp;"",[1]equip.xml!$A:$A,0))</f>
        <v>45000</v>
      </c>
      <c r="H230" s="7" t="str">
        <f t="shared" si="9"/>
        <v>10_10,50_20,80_30</v>
      </c>
      <c r="I230" s="7">
        <v>11</v>
      </c>
      <c r="J230" s="7">
        <f t="shared" si="10"/>
        <v>50</v>
      </c>
      <c r="K230" s="7" t="s">
        <v>293</v>
      </c>
      <c r="L230" s="7">
        <v>22</v>
      </c>
      <c r="M230" s="7">
        <f>IF(INDEX([1]equip.xml!$B:$B,MATCH(D230&amp;"",[1]equip.xml!$A:$A,0))=0,0,N230)</f>
        <v>65</v>
      </c>
      <c r="N230" s="7">
        <f t="shared" si="11"/>
        <v>65</v>
      </c>
    </row>
    <row r="231" spans="1:14">
      <c r="A231" s="7">
        <v>10007</v>
      </c>
      <c r="B231" s="7">
        <f t="shared" si="12"/>
        <v>40000</v>
      </c>
      <c r="C231" s="7" t="str">
        <f t="shared" si="12"/>
        <v>装备</v>
      </c>
      <c r="D231" s="7" t="s">
        <v>271</v>
      </c>
      <c r="E231" s="7"/>
      <c r="F231" s="7">
        <v>1</v>
      </c>
      <c r="G231" s="7">
        <f>3*INDEX([1]equip.xml!$I:$I,MATCH(D231&amp;"",[1]equip.xml!$A:$A,0))</f>
        <v>45000</v>
      </c>
      <c r="H231" s="7" t="str">
        <f t="shared" si="9"/>
        <v>10_10,50_20,80_30</v>
      </c>
      <c r="I231" s="7">
        <v>11</v>
      </c>
      <c r="J231" s="7">
        <f t="shared" si="10"/>
        <v>50</v>
      </c>
      <c r="K231" s="7" t="s">
        <v>293</v>
      </c>
      <c r="L231" s="7">
        <v>22</v>
      </c>
      <c r="M231" s="7">
        <f>IF(INDEX([1]equip.xml!$B:$B,MATCH(D231&amp;"",[1]equip.xml!$A:$A,0))=0,0,N231)</f>
        <v>65</v>
      </c>
      <c r="N231" s="7">
        <f t="shared" si="11"/>
        <v>65</v>
      </c>
    </row>
    <row r="232" spans="1:14">
      <c r="A232" s="7">
        <v>10007</v>
      </c>
      <c r="B232" s="7">
        <f t="shared" si="12"/>
        <v>40000</v>
      </c>
      <c r="C232" s="7" t="str">
        <f t="shared" si="12"/>
        <v>装备</v>
      </c>
      <c r="D232" s="7" t="s">
        <v>272</v>
      </c>
      <c r="E232" s="7"/>
      <c r="F232" s="7">
        <v>1</v>
      </c>
      <c r="G232" s="7">
        <f>3*INDEX([1]equip.xml!$I:$I,MATCH(D232&amp;"",[1]equip.xml!$A:$A,0))</f>
        <v>45000</v>
      </c>
      <c r="H232" s="7" t="str">
        <f t="shared" si="9"/>
        <v>10_10,50_20,80_30</v>
      </c>
      <c r="I232" s="7">
        <v>11</v>
      </c>
      <c r="J232" s="7">
        <f t="shared" si="10"/>
        <v>50</v>
      </c>
      <c r="K232" s="7" t="s">
        <v>293</v>
      </c>
      <c r="L232" s="7">
        <v>22</v>
      </c>
      <c r="M232" s="7">
        <f>IF(INDEX([1]equip.xml!$B:$B,MATCH(D232&amp;"",[1]equip.xml!$A:$A,0))=0,0,N232)</f>
        <v>65</v>
      </c>
      <c r="N232" s="7">
        <f t="shared" si="11"/>
        <v>65</v>
      </c>
    </row>
    <row r="233" spans="1:14">
      <c r="A233" s="7">
        <v>10007</v>
      </c>
      <c r="B233" s="7">
        <f t="shared" si="12"/>
        <v>40000</v>
      </c>
      <c r="C233" s="7" t="str">
        <f t="shared" si="12"/>
        <v>装备</v>
      </c>
      <c r="D233" s="7" t="s">
        <v>273</v>
      </c>
      <c r="E233" s="7"/>
      <c r="F233" s="7">
        <v>1</v>
      </c>
      <c r="G233" s="7">
        <f>3*INDEX([1]equip.xml!$I:$I,MATCH(D233&amp;"",[1]equip.xml!$A:$A,0))</f>
        <v>45000</v>
      </c>
      <c r="H233" s="7" t="str">
        <f t="shared" si="9"/>
        <v>10_10,50_20,80_30</v>
      </c>
      <c r="I233" s="7">
        <v>11</v>
      </c>
      <c r="J233" s="7">
        <f t="shared" si="10"/>
        <v>50</v>
      </c>
      <c r="K233" s="7" t="s">
        <v>293</v>
      </c>
      <c r="L233" s="7">
        <v>22</v>
      </c>
      <c r="M233" s="7">
        <f>IF(INDEX([1]equip.xml!$B:$B,MATCH(D233&amp;"",[1]equip.xml!$A:$A,0))=0,0,N233)</f>
        <v>65</v>
      </c>
      <c r="N233" s="7">
        <f t="shared" si="11"/>
        <v>65</v>
      </c>
    </row>
    <row r="234" spans="1:14">
      <c r="A234" s="7">
        <v>10007</v>
      </c>
      <c r="B234" s="7">
        <f t="shared" si="12"/>
        <v>40000</v>
      </c>
      <c r="C234" s="7" t="str">
        <f t="shared" si="12"/>
        <v>装备</v>
      </c>
      <c r="D234" s="7" t="s">
        <v>274</v>
      </c>
      <c r="E234" s="7"/>
      <c r="F234" s="7">
        <v>1</v>
      </c>
      <c r="G234" s="7">
        <f>3*INDEX([1]equip.xml!$I:$I,MATCH(D234&amp;"",[1]equip.xml!$A:$A,0))</f>
        <v>45000</v>
      </c>
      <c r="H234" s="7" t="str">
        <f t="shared" si="9"/>
        <v>10_10,50_20,80_30</v>
      </c>
      <c r="I234" s="7">
        <v>11</v>
      </c>
      <c r="J234" s="7">
        <f t="shared" si="10"/>
        <v>50</v>
      </c>
      <c r="K234" s="7" t="s">
        <v>293</v>
      </c>
      <c r="L234" s="7">
        <v>22</v>
      </c>
      <c r="M234" s="7">
        <f>IF(INDEX([1]equip.xml!$B:$B,MATCH(D234&amp;"",[1]equip.xml!$A:$A,0))=0,0,N234)</f>
        <v>65</v>
      </c>
      <c r="N234" s="7">
        <f t="shared" si="11"/>
        <v>65</v>
      </c>
    </row>
    <row r="235" spans="1:14">
      <c r="A235" s="7">
        <v>10007</v>
      </c>
      <c r="B235" s="7">
        <f t="shared" si="12"/>
        <v>40000</v>
      </c>
      <c r="C235" s="7" t="str">
        <f t="shared" si="12"/>
        <v>装备</v>
      </c>
      <c r="D235" s="7">
        <v>40151051</v>
      </c>
      <c r="E235" s="7"/>
      <c r="F235" s="7">
        <v>1</v>
      </c>
      <c r="G235" s="7">
        <f>3*INDEX([1]equip.xml!$I:$I,MATCH(D235,[1]equip.xml!$A:$A,0))</f>
        <v>54000</v>
      </c>
      <c r="H235" s="7" t="str">
        <f t="shared" si="9"/>
        <v>10_10,50_20,80_30</v>
      </c>
      <c r="I235" s="7">
        <v>11</v>
      </c>
      <c r="J235" s="7">
        <f t="shared" si="10"/>
        <v>50</v>
      </c>
      <c r="K235" s="7" t="s">
        <v>293</v>
      </c>
      <c r="L235" s="7">
        <v>22</v>
      </c>
      <c r="M235" s="7">
        <f>IF(INDEX([1]equip.xml!$B:$B,MATCH(D235,[1]equip.xml!$A:$A,0))=0,0,N235)</f>
        <v>65</v>
      </c>
      <c r="N235" s="7">
        <f t="shared" si="11"/>
        <v>65</v>
      </c>
    </row>
    <row r="236" spans="1:14">
      <c r="A236" s="7">
        <v>10007</v>
      </c>
      <c r="B236" s="7">
        <f t="shared" si="12"/>
        <v>40000</v>
      </c>
      <c r="C236" s="7" t="str">
        <f t="shared" si="12"/>
        <v>装备</v>
      </c>
      <c r="D236" s="7">
        <v>40151060</v>
      </c>
      <c r="E236" s="7"/>
      <c r="F236" s="7">
        <v>1</v>
      </c>
      <c r="G236" s="7">
        <f>3*INDEX([1]equip.xml!$I:$I,MATCH(D236&amp;"",[1]equip.xml!$A:$A,0))</f>
        <v>45000</v>
      </c>
      <c r="H236" s="7" t="str">
        <f t="shared" si="9"/>
        <v>10_10,50_20,80_30</v>
      </c>
      <c r="I236" s="7">
        <v>11</v>
      </c>
      <c r="J236" s="7">
        <f t="shared" si="10"/>
        <v>50</v>
      </c>
      <c r="K236" s="7" t="s">
        <v>293</v>
      </c>
      <c r="L236" s="7">
        <v>22</v>
      </c>
      <c r="M236" s="7">
        <f>IF(INDEX([1]equip.xml!$B:$B,MATCH(D236&amp;"",[1]equip.xml!$A:$A,0))=0,0,N236)</f>
        <v>65</v>
      </c>
      <c r="N236" s="7">
        <f t="shared" si="11"/>
        <v>65</v>
      </c>
    </row>
    <row r="237" spans="1:14">
      <c r="A237" s="7">
        <v>10007</v>
      </c>
      <c r="B237" s="7">
        <f t="shared" si="12"/>
        <v>40000</v>
      </c>
      <c r="C237" s="7" t="str">
        <f t="shared" si="12"/>
        <v>装备</v>
      </c>
      <c r="D237" s="7">
        <v>40151061</v>
      </c>
      <c r="E237" s="7"/>
      <c r="F237" s="7">
        <v>1</v>
      </c>
      <c r="G237" s="7">
        <f>3*INDEX([1]equip.xml!$I:$I,MATCH(D237&amp;"",[1]equip.xml!$A:$A,0))</f>
        <v>54000</v>
      </c>
      <c r="H237" s="7" t="str">
        <f t="shared" si="9"/>
        <v>10_10,50_20,80_30</v>
      </c>
      <c r="I237" s="7">
        <v>11</v>
      </c>
      <c r="J237" s="7">
        <f t="shared" si="10"/>
        <v>50</v>
      </c>
      <c r="K237" s="7" t="s">
        <v>293</v>
      </c>
      <c r="L237" s="7">
        <v>22</v>
      </c>
      <c r="M237" s="7">
        <f>IF(INDEX([1]equip.xml!$B:$B,MATCH(D237&amp;"",[1]equip.xml!$A:$A,0))=0,0,N237)</f>
        <v>0</v>
      </c>
      <c r="N237" s="7">
        <f t="shared" si="11"/>
        <v>65</v>
      </c>
    </row>
    <row r="238" spans="1:14">
      <c r="A238" s="7">
        <v>10007</v>
      </c>
      <c r="B238" s="7">
        <f t="shared" si="12"/>
        <v>40000</v>
      </c>
      <c r="C238" s="7" t="str">
        <f t="shared" si="12"/>
        <v>装备</v>
      </c>
      <c r="D238" s="7">
        <v>40152050</v>
      </c>
      <c r="E238" s="7"/>
      <c r="F238" s="7">
        <v>1</v>
      </c>
      <c r="G238" s="7">
        <f>3*INDEX([1]equip.xml!$I:$I,MATCH(D238&amp;"",[1]equip.xml!$A:$A,0))</f>
        <v>45000</v>
      </c>
      <c r="H238" s="7" t="str">
        <f t="shared" si="9"/>
        <v>10_10,50_20,80_30</v>
      </c>
      <c r="I238" s="7">
        <v>11</v>
      </c>
      <c r="J238" s="7">
        <f t="shared" si="10"/>
        <v>50</v>
      </c>
      <c r="K238" s="7" t="s">
        <v>293</v>
      </c>
      <c r="L238" s="7">
        <v>22</v>
      </c>
      <c r="M238" s="7">
        <f>IF(INDEX([1]equip.xml!$B:$B,MATCH(D238&amp;"",[1]equip.xml!$A:$A,0))=0,0,N238)</f>
        <v>65</v>
      </c>
      <c r="N238" s="7">
        <f t="shared" si="11"/>
        <v>65</v>
      </c>
    </row>
    <row r="239" spans="1:14">
      <c r="A239" s="7">
        <v>10007</v>
      </c>
      <c r="B239" s="7">
        <f t="shared" si="12"/>
        <v>40000</v>
      </c>
      <c r="C239" s="7" t="str">
        <f t="shared" si="12"/>
        <v>装备</v>
      </c>
      <c r="D239" s="7">
        <v>40152051</v>
      </c>
      <c r="E239" s="7"/>
      <c r="F239" s="7">
        <v>1</v>
      </c>
      <c r="G239" s="7">
        <f>3*INDEX([1]equip.xml!$I:$I,MATCH(D239,[1]equip.xml!$A:$A,0))</f>
        <v>54000</v>
      </c>
      <c r="H239" s="7" t="str">
        <f t="shared" si="9"/>
        <v>10_10,50_20,80_30</v>
      </c>
      <c r="I239" s="7">
        <v>11</v>
      </c>
      <c r="J239" s="7">
        <f t="shared" si="10"/>
        <v>50</v>
      </c>
      <c r="K239" s="7" t="s">
        <v>293</v>
      </c>
      <c r="L239" s="7">
        <v>22</v>
      </c>
      <c r="M239" s="7">
        <f>IF(INDEX([1]equip.xml!$B:$B,MATCH(D239,[1]equip.xml!$A:$A,0))=0,0,N239)</f>
        <v>65</v>
      </c>
      <c r="N239" s="7">
        <f t="shared" si="11"/>
        <v>65</v>
      </c>
    </row>
    <row r="240" spans="1:14">
      <c r="A240" s="7">
        <v>10007</v>
      </c>
      <c r="B240" s="7">
        <f t="shared" si="12"/>
        <v>40000</v>
      </c>
      <c r="C240" s="7" t="str">
        <f t="shared" si="12"/>
        <v>装备</v>
      </c>
      <c r="D240" s="7">
        <v>40152060</v>
      </c>
      <c r="E240" s="7"/>
      <c r="F240" s="7">
        <v>1</v>
      </c>
      <c r="G240" s="7">
        <f>3*INDEX([1]equip.xml!$I:$I,MATCH(D240&amp;"",[1]equip.xml!$A:$A,0))</f>
        <v>45000</v>
      </c>
      <c r="H240" s="7" t="str">
        <f t="shared" si="9"/>
        <v>10_10,50_20,80_30</v>
      </c>
      <c r="I240" s="7">
        <v>11</v>
      </c>
      <c r="J240" s="7">
        <f t="shared" si="10"/>
        <v>50</v>
      </c>
      <c r="K240" s="7" t="s">
        <v>293</v>
      </c>
      <c r="L240" s="7">
        <v>22</v>
      </c>
      <c r="M240" s="7">
        <f>IF(INDEX([1]equip.xml!$B:$B,MATCH(D240&amp;"",[1]equip.xml!$A:$A,0))=0,0,N240)</f>
        <v>65</v>
      </c>
      <c r="N240" s="7">
        <f t="shared" si="11"/>
        <v>65</v>
      </c>
    </row>
    <row r="241" spans="1:14">
      <c r="A241" s="7">
        <v>10007</v>
      </c>
      <c r="B241" s="7">
        <f t="shared" si="12"/>
        <v>40000</v>
      </c>
      <c r="C241" s="7" t="str">
        <f t="shared" si="12"/>
        <v>装备</v>
      </c>
      <c r="D241" s="7">
        <v>40152061</v>
      </c>
      <c r="E241" s="7"/>
      <c r="F241" s="7">
        <v>1</v>
      </c>
      <c r="G241" s="7">
        <f>3*INDEX([1]equip.xml!$I:$I,MATCH(D241&amp;"",[1]equip.xml!$A:$A,0))</f>
        <v>54000</v>
      </c>
      <c r="H241" s="7" t="str">
        <f t="shared" si="9"/>
        <v>10_10,50_20,80_30</v>
      </c>
      <c r="I241" s="7">
        <v>11</v>
      </c>
      <c r="J241" s="7">
        <f t="shared" si="10"/>
        <v>50</v>
      </c>
      <c r="K241" s="7" t="s">
        <v>293</v>
      </c>
      <c r="L241" s="7">
        <v>22</v>
      </c>
      <c r="M241" s="7">
        <f>IF(INDEX([1]equip.xml!$B:$B,MATCH(D241&amp;"",[1]equip.xml!$A:$A,0))=0,0,N241)</f>
        <v>0</v>
      </c>
      <c r="N241" s="7">
        <f t="shared" si="11"/>
        <v>65</v>
      </c>
    </row>
    <row r="242" spans="1:14">
      <c r="A242" s="7">
        <v>10007</v>
      </c>
      <c r="B242" s="7">
        <f t="shared" si="12"/>
        <v>40000</v>
      </c>
      <c r="C242" s="7" t="str">
        <f t="shared" si="12"/>
        <v>装备</v>
      </c>
      <c r="D242" s="7">
        <v>40153050</v>
      </c>
      <c r="E242" s="7"/>
      <c r="F242" s="7">
        <v>1</v>
      </c>
      <c r="G242" s="7">
        <f>3*INDEX([1]equip.xml!$I:$I,MATCH(D242&amp;"",[1]equip.xml!$A:$A,0))</f>
        <v>45000</v>
      </c>
      <c r="H242" s="7" t="str">
        <f t="shared" si="9"/>
        <v>10_10,50_20,80_30</v>
      </c>
      <c r="I242" s="7">
        <v>11</v>
      </c>
      <c r="J242" s="7">
        <f t="shared" si="10"/>
        <v>50</v>
      </c>
      <c r="K242" s="7" t="s">
        <v>293</v>
      </c>
      <c r="L242" s="7">
        <v>22</v>
      </c>
      <c r="M242" s="7">
        <f>IF(INDEX([1]equip.xml!$B:$B,MATCH(D242&amp;"",[1]equip.xml!$A:$A,0))=0,0,N242)</f>
        <v>65</v>
      </c>
      <c r="N242" s="7">
        <f t="shared" si="11"/>
        <v>65</v>
      </c>
    </row>
    <row r="243" spans="1:14">
      <c r="A243" s="7">
        <v>10007</v>
      </c>
      <c r="B243" s="7">
        <f t="shared" si="12"/>
        <v>40000</v>
      </c>
      <c r="C243" s="7" t="str">
        <f t="shared" si="12"/>
        <v>装备</v>
      </c>
      <c r="D243" s="7">
        <v>40153051</v>
      </c>
      <c r="E243" s="7"/>
      <c r="F243" s="7">
        <v>1</v>
      </c>
      <c r="G243" s="7">
        <f>3*INDEX([1]equip.xml!$I:$I,MATCH(D243,[1]equip.xml!$A:$A,0))</f>
        <v>54000</v>
      </c>
      <c r="H243" s="7" t="str">
        <f t="shared" si="9"/>
        <v>10_10,50_20,80_30</v>
      </c>
      <c r="I243" s="7">
        <v>11</v>
      </c>
      <c r="J243" s="7">
        <f t="shared" si="10"/>
        <v>50</v>
      </c>
      <c r="K243" s="7" t="s">
        <v>293</v>
      </c>
      <c r="L243" s="7">
        <v>22</v>
      </c>
      <c r="M243" s="7">
        <f>IF(INDEX([1]equip.xml!$B:$B,MATCH(D243,[1]equip.xml!$A:$A,0))=0,0,N243)</f>
        <v>65</v>
      </c>
      <c r="N243" s="7">
        <f t="shared" si="11"/>
        <v>65</v>
      </c>
    </row>
    <row r="244" spans="1:14">
      <c r="A244" s="7">
        <v>10007</v>
      </c>
      <c r="B244" s="7">
        <f t="shared" si="12"/>
        <v>40000</v>
      </c>
      <c r="C244" s="7" t="str">
        <f t="shared" si="12"/>
        <v>装备</v>
      </c>
      <c r="D244" s="7">
        <v>40153060</v>
      </c>
      <c r="E244" s="7"/>
      <c r="F244" s="7">
        <v>1</v>
      </c>
      <c r="G244" s="7">
        <f>3*INDEX([1]equip.xml!$I:$I,MATCH(D244&amp;"",[1]equip.xml!$A:$A,0))</f>
        <v>45000</v>
      </c>
      <c r="H244" s="7" t="str">
        <f t="shared" si="9"/>
        <v>10_10,50_20,80_30</v>
      </c>
      <c r="I244" s="7">
        <v>11</v>
      </c>
      <c r="J244" s="7">
        <f t="shared" si="10"/>
        <v>50</v>
      </c>
      <c r="K244" s="7" t="s">
        <v>293</v>
      </c>
      <c r="L244" s="7">
        <v>22</v>
      </c>
      <c r="M244" s="7">
        <f>IF(INDEX([1]equip.xml!$B:$B,MATCH(D244&amp;"",[1]equip.xml!$A:$A,0))=0,0,N244)</f>
        <v>65</v>
      </c>
      <c r="N244" s="7">
        <f t="shared" si="11"/>
        <v>65</v>
      </c>
    </row>
    <row r="245" spans="1:14">
      <c r="A245" s="7">
        <v>10007</v>
      </c>
      <c r="B245" s="7">
        <f t="shared" si="12"/>
        <v>40000</v>
      </c>
      <c r="C245" s="7" t="str">
        <f t="shared" si="12"/>
        <v>装备</v>
      </c>
      <c r="D245" s="7">
        <v>40153061</v>
      </c>
      <c r="E245" s="7"/>
      <c r="F245" s="7">
        <v>1</v>
      </c>
      <c r="G245" s="7">
        <f>3*INDEX([1]equip.xml!$I:$I,MATCH(D245&amp;"",[1]equip.xml!$A:$A,0))</f>
        <v>54000</v>
      </c>
      <c r="H245" s="7" t="str">
        <f t="shared" si="9"/>
        <v>10_10,50_20,80_30</v>
      </c>
      <c r="I245" s="7">
        <v>11</v>
      </c>
      <c r="J245" s="7">
        <f t="shared" si="10"/>
        <v>50</v>
      </c>
      <c r="K245" s="7" t="s">
        <v>293</v>
      </c>
      <c r="L245" s="7">
        <v>22</v>
      </c>
      <c r="M245" s="7">
        <f>IF(INDEX([1]equip.xml!$B:$B,MATCH(D245&amp;"",[1]equip.xml!$A:$A,0))=0,0,N245)</f>
        <v>0</v>
      </c>
      <c r="N245" s="7">
        <f t="shared" si="11"/>
        <v>65</v>
      </c>
    </row>
    <row r="246" spans="1:14">
      <c r="A246" s="7">
        <v>10007</v>
      </c>
      <c r="B246" s="7">
        <f t="shared" si="12"/>
        <v>40000</v>
      </c>
      <c r="C246" s="7" t="str">
        <f t="shared" si="12"/>
        <v>装备</v>
      </c>
      <c r="D246" s="7">
        <v>40150040</v>
      </c>
      <c r="E246" s="7"/>
      <c r="F246" s="7">
        <v>1</v>
      </c>
      <c r="G246" s="7">
        <f>3*INDEX([1]equip.xml!$I:$I,MATCH(D246&amp;"",[1]equip.xml!$A:$A,0))</f>
        <v>45000</v>
      </c>
      <c r="H246" s="7" t="str">
        <f t="shared" si="9"/>
        <v>10_10,50_20,80_30</v>
      </c>
      <c r="I246" s="7">
        <v>11</v>
      </c>
      <c r="J246" s="7">
        <f t="shared" si="10"/>
        <v>50</v>
      </c>
      <c r="K246" s="7" t="s">
        <v>293</v>
      </c>
      <c r="L246" s="7">
        <v>22</v>
      </c>
      <c r="M246" s="7">
        <f>IF(INDEX([1]equip.xml!$B:$B,MATCH(D246&amp;"",[1]equip.xml!$A:$A,0))=0,0,N246)</f>
        <v>65</v>
      </c>
      <c r="N246" s="7">
        <f t="shared" si="11"/>
        <v>65</v>
      </c>
    </row>
    <row r="247" spans="1:14">
      <c r="A247" s="7">
        <v>10007</v>
      </c>
      <c r="B247" s="7">
        <f t="shared" si="12"/>
        <v>40000</v>
      </c>
      <c r="C247" s="7" t="str">
        <f t="shared" si="12"/>
        <v>装备</v>
      </c>
      <c r="D247" s="7">
        <v>40150041</v>
      </c>
      <c r="E247" s="7"/>
      <c r="F247" s="7">
        <v>1</v>
      </c>
      <c r="G247" s="7">
        <f>3*INDEX([1]equip.xml!$I:$I,MATCH(D247&amp;"",[1]equip.xml!$A:$A,0))</f>
        <v>54000</v>
      </c>
      <c r="H247" s="7" t="str">
        <f t="shared" ref="H247:H310" si="13">H159</f>
        <v>10_10,50_20,80_30</v>
      </c>
      <c r="I247" s="7">
        <v>11</v>
      </c>
      <c r="J247" s="7">
        <f t="shared" ref="J247:J310" si="14">J159</f>
        <v>50</v>
      </c>
      <c r="K247" s="7" t="s">
        <v>293</v>
      </c>
      <c r="L247" s="7">
        <v>22</v>
      </c>
      <c r="M247" s="7">
        <f>IF(INDEX([1]equip.xml!$B:$B,MATCH(D247&amp;"",[1]equip.xml!$A:$A,0))=0,0,N247)</f>
        <v>0</v>
      </c>
      <c r="N247" s="7">
        <f t="shared" ref="N247:N310" si="15">N159</f>
        <v>65</v>
      </c>
    </row>
    <row r="248" spans="1:14">
      <c r="A248" s="7">
        <v>10007</v>
      </c>
      <c r="B248" s="7">
        <f t="shared" si="12"/>
        <v>40000</v>
      </c>
      <c r="C248" s="7" t="str">
        <f t="shared" si="12"/>
        <v>装备</v>
      </c>
      <c r="D248" s="7">
        <v>40150070</v>
      </c>
      <c r="E248" s="7"/>
      <c r="F248" s="7">
        <v>1</v>
      </c>
      <c r="G248" s="7">
        <f>3*INDEX([1]equip.xml!$I:$I,MATCH(D248&amp;"",[1]equip.xml!$A:$A,0))</f>
        <v>45000</v>
      </c>
      <c r="H248" s="7" t="str">
        <f t="shared" si="13"/>
        <v>10_10,50_20,80_30</v>
      </c>
      <c r="I248" s="7">
        <v>11</v>
      </c>
      <c r="J248" s="7">
        <f t="shared" si="14"/>
        <v>50</v>
      </c>
      <c r="K248" s="7" t="s">
        <v>293</v>
      </c>
      <c r="L248" s="7">
        <v>22</v>
      </c>
      <c r="M248" s="7">
        <f>IF(INDEX([1]equip.xml!$B:$B,MATCH(D248&amp;"",[1]equip.xml!$A:$A,0))=0,0,N248)</f>
        <v>65</v>
      </c>
      <c r="N248" s="7">
        <f t="shared" si="15"/>
        <v>65</v>
      </c>
    </row>
    <row r="249" spans="1:14">
      <c r="A249" s="7">
        <v>10007</v>
      </c>
      <c r="B249" s="7">
        <f t="shared" si="12"/>
        <v>40000</v>
      </c>
      <c r="C249" s="7" t="str">
        <f t="shared" si="12"/>
        <v>装备</v>
      </c>
      <c r="D249" s="7">
        <v>40150071</v>
      </c>
      <c r="E249" s="7"/>
      <c r="F249" s="7">
        <v>1</v>
      </c>
      <c r="G249" s="7">
        <f>3*INDEX([1]equip.xml!$I:$I,MATCH(D249&amp;"",[1]equip.xml!$A:$A,0))</f>
        <v>54000</v>
      </c>
      <c r="H249" s="7" t="str">
        <f t="shared" si="13"/>
        <v>10_10,50_20,80_30</v>
      </c>
      <c r="I249" s="7">
        <v>11</v>
      </c>
      <c r="J249" s="7">
        <f t="shared" si="14"/>
        <v>50</v>
      </c>
      <c r="K249" s="7" t="s">
        <v>293</v>
      </c>
      <c r="L249" s="7">
        <v>22</v>
      </c>
      <c r="M249" s="7">
        <f>IF(INDEX([1]equip.xml!$B:$B,MATCH(D249&amp;"",[1]equip.xml!$A:$A,0))=0,0,N249)</f>
        <v>0</v>
      </c>
      <c r="N249" s="7">
        <f t="shared" si="15"/>
        <v>65</v>
      </c>
    </row>
    <row r="250" spans="1:14">
      <c r="A250" s="7">
        <v>10007</v>
      </c>
      <c r="B250" s="7">
        <f t="shared" si="12"/>
        <v>40000</v>
      </c>
      <c r="C250" s="7" t="str">
        <f t="shared" si="12"/>
        <v>装备</v>
      </c>
      <c r="D250" s="7">
        <f>D206+10000005</f>
        <v>50100015</v>
      </c>
      <c r="E250" s="7"/>
      <c r="F250" s="7">
        <v>1</v>
      </c>
      <c r="G250" s="8">
        <f>3*INDEX([1]equip.xml!$I:$I,MATCH(D250,[1]equip.xml!$A:$A,0))</f>
        <v>60000</v>
      </c>
      <c r="H250" s="7" t="str">
        <f t="shared" si="13"/>
        <v>10_10,50_20,80_30</v>
      </c>
      <c r="I250" s="7">
        <v>11</v>
      </c>
      <c r="J250" s="7">
        <f t="shared" si="14"/>
        <v>240</v>
      </c>
      <c r="K250" s="7" t="s">
        <v>293</v>
      </c>
      <c r="L250" s="7">
        <v>22</v>
      </c>
      <c r="M250" s="7">
        <f>IF(INDEX([1]equip.xml!$B:$B,MATCH(D250,[1]equip.xml!$A:$A,0))=0,0,N250)</f>
        <v>70</v>
      </c>
      <c r="N250" s="7">
        <f t="shared" si="15"/>
        <v>70</v>
      </c>
    </row>
    <row r="251" spans="1:14">
      <c r="A251" s="7">
        <v>10007</v>
      </c>
      <c r="B251" s="7">
        <f t="shared" si="12"/>
        <v>40000</v>
      </c>
      <c r="C251" s="7" t="str">
        <f t="shared" si="12"/>
        <v>装备</v>
      </c>
      <c r="D251" s="7">
        <f t="shared" ref="D251:D293" si="16">D207+10000005</f>
        <v>50100025</v>
      </c>
      <c r="E251" s="7"/>
      <c r="F251" s="7">
        <v>1</v>
      </c>
      <c r="G251" s="8">
        <f>3*INDEX([1]equip.xml!$I:$I,MATCH(D251,[1]equip.xml!$A:$A,0))</f>
        <v>60000</v>
      </c>
      <c r="H251" s="7" t="str">
        <f t="shared" si="13"/>
        <v>10_10,50_20,80_30</v>
      </c>
      <c r="I251" s="7">
        <v>11</v>
      </c>
      <c r="J251" s="7">
        <f t="shared" si="14"/>
        <v>240</v>
      </c>
      <c r="K251" s="7" t="s">
        <v>293</v>
      </c>
      <c r="L251" s="7">
        <v>22</v>
      </c>
      <c r="M251" s="7">
        <f>IF(INDEX([1]equip.xml!$B:$B,MATCH(D251,[1]equip.xml!$A:$A,0))=0,0,N251)</f>
        <v>70</v>
      </c>
      <c r="N251" s="7">
        <f t="shared" si="15"/>
        <v>70</v>
      </c>
    </row>
    <row r="252" spans="1:14">
      <c r="A252" s="7">
        <v>10007</v>
      </c>
      <c r="B252" s="7">
        <f t="shared" si="12"/>
        <v>40000</v>
      </c>
      <c r="C252" s="7" t="str">
        <f t="shared" si="12"/>
        <v>装备</v>
      </c>
      <c r="D252" s="7">
        <f t="shared" si="16"/>
        <v>50100035</v>
      </c>
      <c r="E252" s="7"/>
      <c r="F252" s="7">
        <v>1</v>
      </c>
      <c r="G252" s="8">
        <f>3*INDEX([1]equip.xml!$I:$I,MATCH(D252,[1]equip.xml!$A:$A,0))</f>
        <v>60000</v>
      </c>
      <c r="H252" s="7" t="str">
        <f t="shared" si="13"/>
        <v>10_10,50_20,80_30</v>
      </c>
      <c r="I252" s="7">
        <v>11</v>
      </c>
      <c r="J252" s="7">
        <f t="shared" si="14"/>
        <v>240</v>
      </c>
      <c r="K252" s="7" t="s">
        <v>293</v>
      </c>
      <c r="L252" s="7">
        <v>22</v>
      </c>
      <c r="M252" s="7">
        <f>IF(INDEX([1]equip.xml!$B:$B,MATCH(D252,[1]equip.xml!$A:$A,0))=0,0,N252)</f>
        <v>70</v>
      </c>
      <c r="N252" s="7">
        <f t="shared" si="15"/>
        <v>70</v>
      </c>
    </row>
    <row r="253" spans="1:14">
      <c r="A253" s="7">
        <v>10007</v>
      </c>
      <c r="B253" s="7">
        <f t="shared" si="12"/>
        <v>40000</v>
      </c>
      <c r="C253" s="7" t="str">
        <f t="shared" si="12"/>
        <v>装备</v>
      </c>
      <c r="D253" s="7">
        <f t="shared" si="16"/>
        <v>50100085</v>
      </c>
      <c r="E253" s="7"/>
      <c r="F253" s="7">
        <v>1</v>
      </c>
      <c r="G253" s="8">
        <f>3*INDEX([1]equip.xml!$I:$I,MATCH(D253,[1]equip.xml!$A:$A,0))</f>
        <v>60000</v>
      </c>
      <c r="H253" s="7" t="str">
        <f t="shared" si="13"/>
        <v>10_10,50_20,80_30</v>
      </c>
      <c r="I253" s="7">
        <v>11</v>
      </c>
      <c r="J253" s="7">
        <f t="shared" si="14"/>
        <v>240</v>
      </c>
      <c r="K253" s="7" t="s">
        <v>293</v>
      </c>
      <c r="L253" s="7">
        <v>22</v>
      </c>
      <c r="M253" s="7">
        <f>IF(INDEX([1]equip.xml!$B:$B,MATCH(D253,[1]equip.xml!$A:$A,0))=0,0,N253)</f>
        <v>70</v>
      </c>
      <c r="N253" s="7">
        <f t="shared" si="15"/>
        <v>70</v>
      </c>
    </row>
    <row r="254" spans="1:14">
      <c r="A254" s="7">
        <v>10007</v>
      </c>
      <c r="B254" s="7">
        <f t="shared" si="12"/>
        <v>40000</v>
      </c>
      <c r="C254" s="7" t="str">
        <f t="shared" si="12"/>
        <v>装备</v>
      </c>
      <c r="D254" s="7">
        <f t="shared" si="16"/>
        <v>50100095</v>
      </c>
      <c r="E254" s="7"/>
      <c r="F254" s="7">
        <v>1</v>
      </c>
      <c r="G254" s="8">
        <f>3*INDEX([1]equip.xml!$I:$I,MATCH(D254,[1]equip.xml!$A:$A,0))</f>
        <v>60000</v>
      </c>
      <c r="H254" s="7" t="str">
        <f t="shared" si="13"/>
        <v>10_10,50_20,80_30</v>
      </c>
      <c r="I254" s="7">
        <v>11</v>
      </c>
      <c r="J254" s="7">
        <f t="shared" si="14"/>
        <v>240</v>
      </c>
      <c r="K254" s="7" t="s">
        <v>293</v>
      </c>
      <c r="L254" s="7">
        <v>22</v>
      </c>
      <c r="M254" s="7">
        <f>IF(INDEX([1]equip.xml!$B:$B,MATCH(D254,[1]equip.xml!$A:$A,0))=0,0,N254)</f>
        <v>70</v>
      </c>
      <c r="N254" s="7">
        <f t="shared" si="15"/>
        <v>70</v>
      </c>
    </row>
    <row r="255" spans="1:14">
      <c r="A255" s="7">
        <v>10007</v>
      </c>
      <c r="B255" s="7">
        <f t="shared" si="12"/>
        <v>40000</v>
      </c>
      <c r="C255" s="7" t="str">
        <f t="shared" si="12"/>
        <v>装备</v>
      </c>
      <c r="D255" s="7">
        <f t="shared" si="16"/>
        <v>50100105</v>
      </c>
      <c r="E255" s="7"/>
      <c r="F255" s="7">
        <v>1</v>
      </c>
      <c r="G255" s="8">
        <f>3*INDEX([1]equip.xml!$I:$I,MATCH(D255,[1]equip.xml!$A:$A,0))</f>
        <v>60000</v>
      </c>
      <c r="H255" s="7" t="str">
        <f t="shared" si="13"/>
        <v>10_10,50_20,80_30</v>
      </c>
      <c r="I255" s="7">
        <v>11</v>
      </c>
      <c r="J255" s="7">
        <f t="shared" si="14"/>
        <v>240</v>
      </c>
      <c r="K255" s="7" t="s">
        <v>293</v>
      </c>
      <c r="L255" s="7">
        <v>22</v>
      </c>
      <c r="M255" s="7">
        <f>IF(INDEX([1]equip.xml!$B:$B,MATCH(D255,[1]equip.xml!$A:$A,0))=0,0,N255)</f>
        <v>0</v>
      </c>
      <c r="N255" s="7">
        <f t="shared" si="15"/>
        <v>70</v>
      </c>
    </row>
    <row r="256" spans="1:14">
      <c r="A256" s="7">
        <v>10007</v>
      </c>
      <c r="B256" s="7">
        <f t="shared" si="12"/>
        <v>40000</v>
      </c>
      <c r="C256" s="7" t="str">
        <f t="shared" si="12"/>
        <v>装备</v>
      </c>
      <c r="D256" s="7">
        <f t="shared" si="16"/>
        <v>50101055</v>
      </c>
      <c r="E256" s="7"/>
      <c r="F256" s="7">
        <v>1</v>
      </c>
      <c r="G256" s="8">
        <f>3*INDEX([1]equip.xml!$I:$I,MATCH(D256,[1]equip.xml!$A:$A,0))</f>
        <v>60000</v>
      </c>
      <c r="H256" s="7" t="str">
        <f t="shared" si="13"/>
        <v>10_10,50_20,80_30</v>
      </c>
      <c r="I256" s="7">
        <v>11</v>
      </c>
      <c r="J256" s="7">
        <f t="shared" si="14"/>
        <v>240</v>
      </c>
      <c r="K256" s="7" t="s">
        <v>293</v>
      </c>
      <c r="L256" s="7">
        <v>22</v>
      </c>
      <c r="M256" s="7">
        <f>IF(INDEX([1]equip.xml!$B:$B,MATCH(D256,[1]equip.xml!$A:$A,0))=0,0,N256)</f>
        <v>70</v>
      </c>
      <c r="N256" s="7">
        <f t="shared" si="15"/>
        <v>70</v>
      </c>
    </row>
    <row r="257" spans="1:14">
      <c r="A257" s="7">
        <v>10007</v>
      </c>
      <c r="B257" s="7">
        <f t="shared" si="12"/>
        <v>40000</v>
      </c>
      <c r="C257" s="7" t="str">
        <f t="shared" si="12"/>
        <v>装备</v>
      </c>
      <c r="D257" s="7">
        <f t="shared" si="16"/>
        <v>50101056</v>
      </c>
      <c r="E257" s="7"/>
      <c r="F257" s="7">
        <v>1</v>
      </c>
      <c r="G257" s="8">
        <f>3*INDEX([1]equip.xml!$I:$I,MATCH(D257,[1]equip.xml!$A:$A,0))</f>
        <v>78000</v>
      </c>
      <c r="H257" s="7" t="str">
        <f t="shared" si="13"/>
        <v>10_10,50_20,80_30</v>
      </c>
      <c r="I257" s="7">
        <v>11</v>
      </c>
      <c r="J257" s="7">
        <f t="shared" si="14"/>
        <v>240</v>
      </c>
      <c r="K257" s="7" t="s">
        <v>293</v>
      </c>
      <c r="L257" s="7">
        <v>22</v>
      </c>
      <c r="M257" s="7">
        <f>IF(INDEX([1]equip.xml!$B:$B,MATCH(D257,[1]equip.xml!$A:$A,0))=0,0,N257)</f>
        <v>70</v>
      </c>
      <c r="N257" s="7">
        <f t="shared" si="15"/>
        <v>70</v>
      </c>
    </row>
    <row r="258" spans="1:14">
      <c r="A258" s="7">
        <v>10007</v>
      </c>
      <c r="B258" s="7">
        <f t="shared" si="12"/>
        <v>40000</v>
      </c>
      <c r="C258" s="7" t="str">
        <f t="shared" si="12"/>
        <v>装备</v>
      </c>
      <c r="D258" s="7">
        <f t="shared" si="16"/>
        <v>50101065</v>
      </c>
      <c r="E258" s="7"/>
      <c r="F258" s="7">
        <v>1</v>
      </c>
      <c r="G258" s="8">
        <f>3*INDEX([1]equip.xml!$I:$I,MATCH(D258,[1]equip.xml!$A:$A,0))</f>
        <v>60000</v>
      </c>
      <c r="H258" s="7" t="str">
        <f t="shared" si="13"/>
        <v>10_10,50_20,80_30</v>
      </c>
      <c r="I258" s="7">
        <v>11</v>
      </c>
      <c r="J258" s="7">
        <f t="shared" si="14"/>
        <v>240</v>
      </c>
      <c r="K258" s="7" t="s">
        <v>293</v>
      </c>
      <c r="L258" s="7">
        <v>22</v>
      </c>
      <c r="M258" s="7">
        <f>IF(INDEX([1]equip.xml!$B:$B,MATCH(D258,[1]equip.xml!$A:$A,0))=0,0,N258)</f>
        <v>70</v>
      </c>
      <c r="N258" s="7">
        <f t="shared" si="15"/>
        <v>70</v>
      </c>
    </row>
    <row r="259" spans="1:14">
      <c r="A259" s="7">
        <v>10007</v>
      </c>
      <c r="B259" s="7">
        <f t="shared" si="12"/>
        <v>40000</v>
      </c>
      <c r="C259" s="7" t="str">
        <f t="shared" si="12"/>
        <v>装备</v>
      </c>
      <c r="D259" s="7">
        <f t="shared" si="16"/>
        <v>50101066</v>
      </c>
      <c r="E259" s="7"/>
      <c r="F259" s="7">
        <v>1</v>
      </c>
      <c r="G259" s="8">
        <f>3*INDEX([1]equip.xml!$I:$I,MATCH(D259,[1]equip.xml!$A:$A,0))</f>
        <v>78000</v>
      </c>
      <c r="H259" s="7" t="str">
        <f t="shared" si="13"/>
        <v>10_10,50_20,80_30</v>
      </c>
      <c r="I259" s="7">
        <v>11</v>
      </c>
      <c r="J259" s="7">
        <f t="shared" si="14"/>
        <v>240</v>
      </c>
      <c r="K259" s="7" t="s">
        <v>293</v>
      </c>
      <c r="L259" s="7">
        <v>22</v>
      </c>
      <c r="M259" s="7">
        <f>IF(INDEX([1]equip.xml!$B:$B,MATCH(D259,[1]equip.xml!$A:$A,0))=0,0,N259)</f>
        <v>0</v>
      </c>
      <c r="N259" s="7">
        <f t="shared" si="15"/>
        <v>70</v>
      </c>
    </row>
    <row r="260" spans="1:14">
      <c r="A260" s="7">
        <v>10007</v>
      </c>
      <c r="B260" s="7">
        <f t="shared" si="12"/>
        <v>40000</v>
      </c>
      <c r="C260" s="7" t="str">
        <f t="shared" si="12"/>
        <v>装备</v>
      </c>
      <c r="D260" s="7">
        <f t="shared" si="16"/>
        <v>50102055</v>
      </c>
      <c r="E260" s="7"/>
      <c r="F260" s="7">
        <v>1</v>
      </c>
      <c r="G260" s="8">
        <f>3*INDEX([1]equip.xml!$I:$I,MATCH(D260,[1]equip.xml!$A:$A,0))</f>
        <v>60000</v>
      </c>
      <c r="H260" s="7" t="str">
        <f t="shared" si="13"/>
        <v>10_10,50_20,80_30</v>
      </c>
      <c r="I260" s="7">
        <v>11</v>
      </c>
      <c r="J260" s="7">
        <f t="shared" si="14"/>
        <v>240</v>
      </c>
      <c r="K260" s="7" t="s">
        <v>293</v>
      </c>
      <c r="L260" s="7">
        <v>22</v>
      </c>
      <c r="M260" s="7">
        <f>IF(INDEX([1]equip.xml!$B:$B,MATCH(D260,[1]equip.xml!$A:$A,0))=0,0,N260)</f>
        <v>70</v>
      </c>
      <c r="N260" s="7">
        <f t="shared" si="15"/>
        <v>70</v>
      </c>
    </row>
    <row r="261" spans="1:14">
      <c r="A261" s="7">
        <v>10007</v>
      </c>
      <c r="B261" s="7">
        <f t="shared" si="12"/>
        <v>40000</v>
      </c>
      <c r="C261" s="7" t="str">
        <f t="shared" si="12"/>
        <v>装备</v>
      </c>
      <c r="D261" s="7">
        <f t="shared" si="16"/>
        <v>50102056</v>
      </c>
      <c r="E261" s="7"/>
      <c r="F261" s="7">
        <v>1</v>
      </c>
      <c r="G261" s="8">
        <f>3*INDEX([1]equip.xml!$I:$I,MATCH(D261,[1]equip.xml!$A:$A,0))</f>
        <v>78000</v>
      </c>
      <c r="H261" s="7" t="str">
        <f t="shared" si="13"/>
        <v>10_10,50_20,80_30</v>
      </c>
      <c r="I261" s="7">
        <v>11</v>
      </c>
      <c r="J261" s="7">
        <f t="shared" si="14"/>
        <v>240</v>
      </c>
      <c r="K261" s="7" t="s">
        <v>293</v>
      </c>
      <c r="L261" s="7">
        <v>22</v>
      </c>
      <c r="M261" s="7">
        <f>IF(INDEX([1]equip.xml!$B:$B,MATCH(D261,[1]equip.xml!$A:$A,0))=0,0,N261)</f>
        <v>70</v>
      </c>
      <c r="N261" s="7">
        <f t="shared" si="15"/>
        <v>70</v>
      </c>
    </row>
    <row r="262" spans="1:14">
      <c r="A262" s="7">
        <v>10007</v>
      </c>
      <c r="B262" s="7">
        <f t="shared" si="12"/>
        <v>40000</v>
      </c>
      <c r="C262" s="7" t="str">
        <f t="shared" si="12"/>
        <v>装备</v>
      </c>
      <c r="D262" s="7">
        <f t="shared" si="16"/>
        <v>50102065</v>
      </c>
      <c r="E262" s="7"/>
      <c r="F262" s="7">
        <v>1</v>
      </c>
      <c r="G262" s="8">
        <f>3*INDEX([1]equip.xml!$I:$I,MATCH(D262,[1]equip.xml!$A:$A,0))</f>
        <v>60000</v>
      </c>
      <c r="H262" s="7" t="str">
        <f t="shared" si="13"/>
        <v>10_10,50_20,80_30</v>
      </c>
      <c r="I262" s="7">
        <v>11</v>
      </c>
      <c r="J262" s="7">
        <f t="shared" si="14"/>
        <v>240</v>
      </c>
      <c r="K262" s="7" t="s">
        <v>293</v>
      </c>
      <c r="L262" s="7">
        <v>22</v>
      </c>
      <c r="M262" s="7">
        <f>IF(INDEX([1]equip.xml!$B:$B,MATCH(D262,[1]equip.xml!$A:$A,0))=0,0,N262)</f>
        <v>70</v>
      </c>
      <c r="N262" s="7">
        <f t="shared" si="15"/>
        <v>70</v>
      </c>
    </row>
    <row r="263" spans="1:14">
      <c r="A263" s="7">
        <v>10007</v>
      </c>
      <c r="B263" s="7">
        <f t="shared" si="12"/>
        <v>40000</v>
      </c>
      <c r="C263" s="7" t="str">
        <f t="shared" si="12"/>
        <v>装备</v>
      </c>
      <c r="D263" s="7">
        <f t="shared" si="16"/>
        <v>50102066</v>
      </c>
      <c r="E263" s="7"/>
      <c r="F263" s="7">
        <v>1</v>
      </c>
      <c r="G263" s="8">
        <f>3*INDEX([1]equip.xml!$I:$I,MATCH(D263,[1]equip.xml!$A:$A,0))</f>
        <v>78000</v>
      </c>
      <c r="H263" s="7" t="str">
        <f t="shared" si="13"/>
        <v>10_10,50_20,80_30</v>
      </c>
      <c r="I263" s="7">
        <v>11</v>
      </c>
      <c r="J263" s="7">
        <f t="shared" si="14"/>
        <v>240</v>
      </c>
      <c r="K263" s="7" t="s">
        <v>293</v>
      </c>
      <c r="L263" s="7">
        <v>22</v>
      </c>
      <c r="M263" s="7">
        <f>IF(INDEX([1]equip.xml!$B:$B,MATCH(D263,[1]equip.xml!$A:$A,0))=0,0,N263)</f>
        <v>0</v>
      </c>
      <c r="N263" s="7">
        <f t="shared" si="15"/>
        <v>70</v>
      </c>
    </row>
    <row r="264" spans="1:14">
      <c r="A264" s="7">
        <v>10007</v>
      </c>
      <c r="B264" s="7">
        <f t="shared" si="12"/>
        <v>40000</v>
      </c>
      <c r="C264" s="7" t="str">
        <f t="shared" si="12"/>
        <v>装备</v>
      </c>
      <c r="D264" s="7">
        <f t="shared" si="16"/>
        <v>50103055</v>
      </c>
      <c r="E264" s="7"/>
      <c r="F264" s="7">
        <v>1</v>
      </c>
      <c r="G264" s="8">
        <f>3*INDEX([1]equip.xml!$I:$I,MATCH(D264,[1]equip.xml!$A:$A,0))</f>
        <v>60000</v>
      </c>
      <c r="H264" s="7" t="str">
        <f t="shared" si="13"/>
        <v>10_10,50_20,80_30</v>
      </c>
      <c r="I264" s="7">
        <v>11</v>
      </c>
      <c r="J264" s="7">
        <f t="shared" si="14"/>
        <v>240</v>
      </c>
      <c r="K264" s="7" t="s">
        <v>293</v>
      </c>
      <c r="L264" s="7">
        <v>22</v>
      </c>
      <c r="M264" s="7">
        <f>IF(INDEX([1]equip.xml!$B:$B,MATCH(D264,[1]equip.xml!$A:$A,0))=0,0,N264)</f>
        <v>70</v>
      </c>
      <c r="N264" s="7">
        <f t="shared" si="15"/>
        <v>70</v>
      </c>
    </row>
    <row r="265" spans="1:14">
      <c r="A265" s="7">
        <v>10007</v>
      </c>
      <c r="B265" s="7">
        <f t="shared" si="12"/>
        <v>40000</v>
      </c>
      <c r="C265" s="7" t="str">
        <f t="shared" si="12"/>
        <v>装备</v>
      </c>
      <c r="D265" s="7">
        <f t="shared" si="16"/>
        <v>50103056</v>
      </c>
      <c r="E265" s="7"/>
      <c r="F265" s="7">
        <v>1</v>
      </c>
      <c r="G265" s="8">
        <f>3*INDEX([1]equip.xml!$I:$I,MATCH(D265,[1]equip.xml!$A:$A,0))</f>
        <v>78000</v>
      </c>
      <c r="H265" s="7" t="str">
        <f t="shared" si="13"/>
        <v>10_10,50_20,80_30</v>
      </c>
      <c r="I265" s="7">
        <v>11</v>
      </c>
      <c r="J265" s="7">
        <f t="shared" si="14"/>
        <v>240</v>
      </c>
      <c r="K265" s="7" t="s">
        <v>293</v>
      </c>
      <c r="L265" s="7">
        <v>22</v>
      </c>
      <c r="M265" s="7">
        <f>IF(INDEX([1]equip.xml!$B:$B,MATCH(D265,[1]equip.xml!$A:$A,0))=0,0,N265)</f>
        <v>70</v>
      </c>
      <c r="N265" s="7">
        <f t="shared" si="15"/>
        <v>70</v>
      </c>
    </row>
    <row r="266" spans="1:14">
      <c r="A266" s="7">
        <v>10007</v>
      </c>
      <c r="B266" s="7">
        <f t="shared" si="12"/>
        <v>40000</v>
      </c>
      <c r="C266" s="7" t="str">
        <f t="shared" si="12"/>
        <v>装备</v>
      </c>
      <c r="D266" s="7">
        <f t="shared" si="16"/>
        <v>50103065</v>
      </c>
      <c r="E266" s="7"/>
      <c r="F266" s="7">
        <v>1</v>
      </c>
      <c r="G266" s="8">
        <f>3*INDEX([1]equip.xml!$I:$I,MATCH(D266,[1]equip.xml!$A:$A,0))</f>
        <v>60000</v>
      </c>
      <c r="H266" s="7" t="str">
        <f t="shared" si="13"/>
        <v>10_10,50_20,80_30</v>
      </c>
      <c r="I266" s="7">
        <v>11</v>
      </c>
      <c r="J266" s="7">
        <f t="shared" si="14"/>
        <v>240</v>
      </c>
      <c r="K266" s="7" t="s">
        <v>293</v>
      </c>
      <c r="L266" s="7">
        <v>22</v>
      </c>
      <c r="M266" s="7">
        <f>IF(INDEX([1]equip.xml!$B:$B,MATCH(D266,[1]equip.xml!$A:$A,0))=0,0,N266)</f>
        <v>70</v>
      </c>
      <c r="N266" s="7">
        <f t="shared" si="15"/>
        <v>70</v>
      </c>
    </row>
    <row r="267" spans="1:14">
      <c r="A267" s="7">
        <v>10007</v>
      </c>
      <c r="B267" s="7">
        <f t="shared" si="12"/>
        <v>40000</v>
      </c>
      <c r="C267" s="7" t="str">
        <f t="shared" si="12"/>
        <v>装备</v>
      </c>
      <c r="D267" s="7">
        <f t="shared" si="16"/>
        <v>50103066</v>
      </c>
      <c r="E267" s="7"/>
      <c r="F267" s="7">
        <v>1</v>
      </c>
      <c r="G267" s="8">
        <f>3*INDEX([1]equip.xml!$I:$I,MATCH(D267,[1]equip.xml!$A:$A,0))</f>
        <v>78000</v>
      </c>
      <c r="H267" s="7" t="str">
        <f t="shared" si="13"/>
        <v>10_10,50_20,80_30</v>
      </c>
      <c r="I267" s="7">
        <v>11</v>
      </c>
      <c r="J267" s="7">
        <f t="shared" si="14"/>
        <v>240</v>
      </c>
      <c r="K267" s="7" t="s">
        <v>293</v>
      </c>
      <c r="L267" s="7">
        <v>22</v>
      </c>
      <c r="M267" s="7">
        <f>IF(INDEX([1]equip.xml!$B:$B,MATCH(D267,[1]equip.xml!$A:$A,0))=0,0,N267)</f>
        <v>0</v>
      </c>
      <c r="N267" s="7">
        <f t="shared" si="15"/>
        <v>70</v>
      </c>
    </row>
    <row r="268" spans="1:14">
      <c r="A268" s="7">
        <v>10007</v>
      </c>
      <c r="B268" s="7">
        <f t="shared" si="12"/>
        <v>40000</v>
      </c>
      <c r="C268" s="7" t="str">
        <f t="shared" si="12"/>
        <v>装备</v>
      </c>
      <c r="D268" s="7">
        <f t="shared" si="16"/>
        <v>50100045</v>
      </c>
      <c r="E268" s="7"/>
      <c r="F268" s="7">
        <v>1</v>
      </c>
      <c r="G268" s="8">
        <f>3*INDEX([1]equip.xml!$I:$I,MATCH(D268,[1]equip.xml!$A:$A,0))</f>
        <v>60000</v>
      </c>
      <c r="H268" s="7" t="str">
        <f t="shared" si="13"/>
        <v>10_10,50_20,80_30</v>
      </c>
      <c r="I268" s="7">
        <v>11</v>
      </c>
      <c r="J268" s="7">
        <f t="shared" si="14"/>
        <v>240</v>
      </c>
      <c r="K268" s="7" t="s">
        <v>293</v>
      </c>
      <c r="L268" s="7">
        <v>22</v>
      </c>
      <c r="M268" s="7">
        <f>IF(INDEX([1]equip.xml!$B:$B,MATCH(D268,[1]equip.xml!$A:$A,0))=0,0,N268)</f>
        <v>70</v>
      </c>
      <c r="N268" s="7">
        <f t="shared" si="15"/>
        <v>70</v>
      </c>
    </row>
    <row r="269" spans="1:14">
      <c r="A269" s="7">
        <v>10007</v>
      </c>
      <c r="B269" s="7">
        <f t="shared" si="12"/>
        <v>40000</v>
      </c>
      <c r="C269" s="7" t="str">
        <f t="shared" si="12"/>
        <v>装备</v>
      </c>
      <c r="D269" s="7">
        <f t="shared" si="16"/>
        <v>50100046</v>
      </c>
      <c r="E269" s="7"/>
      <c r="F269" s="7">
        <v>1</v>
      </c>
      <c r="G269" s="8">
        <f>3*INDEX([1]equip.xml!$I:$I,MATCH(D269,[1]equip.xml!$A:$A,0))</f>
        <v>78000</v>
      </c>
      <c r="H269" s="7" t="str">
        <f t="shared" si="13"/>
        <v>10_10,50_20,80_30</v>
      </c>
      <c r="I269" s="7">
        <v>11</v>
      </c>
      <c r="J269" s="7">
        <f t="shared" si="14"/>
        <v>240</v>
      </c>
      <c r="K269" s="7" t="s">
        <v>293</v>
      </c>
      <c r="L269" s="7">
        <v>22</v>
      </c>
      <c r="M269" s="7">
        <f>IF(INDEX([1]equip.xml!$B:$B,MATCH(D269,[1]equip.xml!$A:$A,0))=0,0,N269)</f>
        <v>0</v>
      </c>
      <c r="N269" s="7">
        <f t="shared" si="15"/>
        <v>70</v>
      </c>
    </row>
    <row r="270" spans="1:14">
      <c r="A270" s="7">
        <v>10007</v>
      </c>
      <c r="B270" s="7">
        <f t="shared" si="12"/>
        <v>40000</v>
      </c>
      <c r="C270" s="7" t="str">
        <f t="shared" si="12"/>
        <v>装备</v>
      </c>
      <c r="D270" s="7">
        <f t="shared" si="16"/>
        <v>50100075</v>
      </c>
      <c r="E270" s="7"/>
      <c r="F270" s="7">
        <v>1</v>
      </c>
      <c r="G270" s="8">
        <f>3*INDEX([1]equip.xml!$I:$I,MATCH(D270,[1]equip.xml!$A:$A,0))</f>
        <v>60000</v>
      </c>
      <c r="H270" s="7" t="str">
        <f t="shared" si="13"/>
        <v>10_10,50_20,80_30</v>
      </c>
      <c r="I270" s="7">
        <v>11</v>
      </c>
      <c r="J270" s="7">
        <f t="shared" si="14"/>
        <v>240</v>
      </c>
      <c r="K270" s="7" t="s">
        <v>293</v>
      </c>
      <c r="L270" s="7">
        <v>22</v>
      </c>
      <c r="M270" s="7">
        <f>IF(INDEX([1]equip.xml!$B:$B,MATCH(D270,[1]equip.xml!$A:$A,0))=0,0,N270)</f>
        <v>70</v>
      </c>
      <c r="N270" s="7">
        <f t="shared" si="15"/>
        <v>70</v>
      </c>
    </row>
    <row r="271" spans="1:14">
      <c r="A271" s="7">
        <v>10007</v>
      </c>
      <c r="B271" s="7">
        <f t="shared" ref="B271:C315" si="17">B183</f>
        <v>40000</v>
      </c>
      <c r="C271" s="7" t="str">
        <f t="shared" si="17"/>
        <v>装备</v>
      </c>
      <c r="D271" s="7">
        <f t="shared" si="16"/>
        <v>50100076</v>
      </c>
      <c r="E271" s="7"/>
      <c r="F271" s="7">
        <v>1</v>
      </c>
      <c r="G271" s="8">
        <f>3*INDEX([1]equip.xml!$I:$I,MATCH(D271,[1]equip.xml!$A:$A,0))</f>
        <v>78000</v>
      </c>
      <c r="H271" s="7" t="str">
        <f t="shared" si="13"/>
        <v>10_10,50_20,80_30</v>
      </c>
      <c r="I271" s="7">
        <v>11</v>
      </c>
      <c r="J271" s="7">
        <f t="shared" si="14"/>
        <v>240</v>
      </c>
      <c r="K271" s="7" t="s">
        <v>293</v>
      </c>
      <c r="L271" s="7">
        <v>22</v>
      </c>
      <c r="M271" s="7">
        <f>IF(INDEX([1]equip.xml!$B:$B,MATCH(D271,[1]equip.xml!$A:$A,0))=0,0,N271)</f>
        <v>0</v>
      </c>
      <c r="N271" s="7">
        <f t="shared" si="15"/>
        <v>70</v>
      </c>
    </row>
    <row r="272" spans="1:14">
      <c r="A272" s="7">
        <v>10007</v>
      </c>
      <c r="B272" s="7">
        <f t="shared" si="17"/>
        <v>40000</v>
      </c>
      <c r="C272" s="7" t="str">
        <f t="shared" si="17"/>
        <v>装备</v>
      </c>
      <c r="D272" s="7">
        <f t="shared" si="16"/>
        <v>50150015</v>
      </c>
      <c r="E272" s="7"/>
      <c r="F272" s="7">
        <v>1</v>
      </c>
      <c r="G272" s="8">
        <f>3*INDEX([1]equip.xml!$I:$I,MATCH(D272,[1]equip.xml!$A:$A,0))</f>
        <v>90000</v>
      </c>
      <c r="H272" s="7" t="str">
        <f t="shared" si="13"/>
        <v>10_10,50_20,80_30</v>
      </c>
      <c r="I272" s="7">
        <v>11</v>
      </c>
      <c r="J272" s="7">
        <f t="shared" si="14"/>
        <v>240</v>
      </c>
      <c r="K272" s="7" t="s">
        <v>293</v>
      </c>
      <c r="L272" s="7">
        <v>22</v>
      </c>
      <c r="M272" s="7">
        <f>IF(INDEX([1]equip.xml!$B:$B,MATCH(D272,[1]equip.xml!$A:$A,0))=0,0,N272)</f>
        <v>0</v>
      </c>
      <c r="N272" s="7">
        <f t="shared" si="15"/>
        <v>35</v>
      </c>
    </row>
    <row r="273" spans="1:14">
      <c r="A273" s="7">
        <v>10007</v>
      </c>
      <c r="B273" s="7">
        <f t="shared" si="17"/>
        <v>40000</v>
      </c>
      <c r="C273" s="7" t="str">
        <f t="shared" si="17"/>
        <v>装备</v>
      </c>
      <c r="D273" s="7">
        <f t="shared" si="16"/>
        <v>50150025</v>
      </c>
      <c r="E273" s="7"/>
      <c r="F273" s="7">
        <v>1</v>
      </c>
      <c r="G273" s="8">
        <f>3*INDEX([1]equip.xml!$I:$I,MATCH(D273,[1]equip.xml!$A:$A,0))</f>
        <v>90000</v>
      </c>
      <c r="H273" s="7" t="str">
        <f t="shared" si="13"/>
        <v>10_10,50_20,80_30</v>
      </c>
      <c r="I273" s="7">
        <v>11</v>
      </c>
      <c r="J273" s="7">
        <f t="shared" si="14"/>
        <v>240</v>
      </c>
      <c r="K273" s="7" t="s">
        <v>293</v>
      </c>
      <c r="L273" s="7">
        <v>22</v>
      </c>
      <c r="M273" s="7">
        <f>IF(INDEX([1]equip.xml!$B:$B,MATCH(D273,[1]equip.xml!$A:$A,0))=0,0,N273)</f>
        <v>0</v>
      </c>
      <c r="N273" s="7">
        <f t="shared" si="15"/>
        <v>35</v>
      </c>
    </row>
    <row r="274" spans="1:14">
      <c r="A274" s="7">
        <v>10007</v>
      </c>
      <c r="B274" s="7">
        <f t="shared" si="17"/>
        <v>40000</v>
      </c>
      <c r="C274" s="7" t="str">
        <f t="shared" si="17"/>
        <v>装备</v>
      </c>
      <c r="D274" s="7">
        <f t="shared" si="16"/>
        <v>50150035</v>
      </c>
      <c r="E274" s="7"/>
      <c r="F274" s="7">
        <v>1</v>
      </c>
      <c r="G274" s="8">
        <f>3*INDEX([1]equip.xml!$I:$I,MATCH(D274,[1]equip.xml!$A:$A,0))</f>
        <v>90000</v>
      </c>
      <c r="H274" s="7" t="str">
        <f t="shared" si="13"/>
        <v>10_10,50_20,80_30</v>
      </c>
      <c r="I274" s="7">
        <v>11</v>
      </c>
      <c r="J274" s="7">
        <f t="shared" si="14"/>
        <v>240</v>
      </c>
      <c r="K274" s="7" t="s">
        <v>293</v>
      </c>
      <c r="L274" s="7">
        <v>22</v>
      </c>
      <c r="M274" s="7">
        <f>IF(INDEX([1]equip.xml!$B:$B,MATCH(D274,[1]equip.xml!$A:$A,0))=0,0,N274)</f>
        <v>35</v>
      </c>
      <c r="N274" s="7">
        <f t="shared" si="15"/>
        <v>35</v>
      </c>
    </row>
    <row r="275" spans="1:14">
      <c r="A275" s="7">
        <v>10007</v>
      </c>
      <c r="B275" s="7">
        <f t="shared" si="17"/>
        <v>40000</v>
      </c>
      <c r="C275" s="7" t="str">
        <f t="shared" si="17"/>
        <v>装备</v>
      </c>
      <c r="D275" s="7">
        <f t="shared" si="16"/>
        <v>50150085</v>
      </c>
      <c r="E275" s="7"/>
      <c r="F275" s="7">
        <v>1</v>
      </c>
      <c r="G275" s="8">
        <f>3*INDEX([1]equip.xml!$I:$I,MATCH(D275,[1]equip.xml!$A:$A,0))</f>
        <v>90000</v>
      </c>
      <c r="H275" s="7" t="str">
        <f t="shared" si="13"/>
        <v>10_10,50_20,80_30</v>
      </c>
      <c r="I275" s="7">
        <v>11</v>
      </c>
      <c r="J275" s="7">
        <f t="shared" si="14"/>
        <v>240</v>
      </c>
      <c r="K275" s="7" t="s">
        <v>293</v>
      </c>
      <c r="L275" s="7">
        <v>22</v>
      </c>
      <c r="M275" s="7">
        <f>IF(INDEX([1]equip.xml!$B:$B,MATCH(D275,[1]equip.xml!$A:$A,0))=0,0,N275)</f>
        <v>35</v>
      </c>
      <c r="N275" s="7">
        <f t="shared" si="15"/>
        <v>35</v>
      </c>
    </row>
    <row r="276" spans="1:14">
      <c r="A276" s="7">
        <v>10007</v>
      </c>
      <c r="B276" s="7">
        <f t="shared" si="17"/>
        <v>40000</v>
      </c>
      <c r="C276" s="7" t="str">
        <f t="shared" si="17"/>
        <v>装备</v>
      </c>
      <c r="D276" s="7">
        <f t="shared" si="16"/>
        <v>50150095</v>
      </c>
      <c r="E276" s="7"/>
      <c r="F276" s="7">
        <v>1</v>
      </c>
      <c r="G276" s="8">
        <f>3*INDEX([1]equip.xml!$I:$I,MATCH(D276,[1]equip.xml!$A:$A,0))</f>
        <v>90000</v>
      </c>
      <c r="H276" s="7" t="str">
        <f t="shared" si="13"/>
        <v>10_10,50_20,80_30</v>
      </c>
      <c r="I276" s="7">
        <v>11</v>
      </c>
      <c r="J276" s="7">
        <f t="shared" si="14"/>
        <v>240</v>
      </c>
      <c r="K276" s="7" t="s">
        <v>293</v>
      </c>
      <c r="L276" s="7">
        <v>22</v>
      </c>
      <c r="M276" s="7">
        <f>IF(INDEX([1]equip.xml!$B:$B,MATCH(D276,[1]equip.xml!$A:$A,0))=0,0,N276)</f>
        <v>35</v>
      </c>
      <c r="N276" s="7">
        <f t="shared" si="15"/>
        <v>35</v>
      </c>
    </row>
    <row r="277" spans="1:14">
      <c r="A277" s="7">
        <v>10007</v>
      </c>
      <c r="B277" s="7">
        <f t="shared" si="17"/>
        <v>40000</v>
      </c>
      <c r="C277" s="7" t="str">
        <f t="shared" si="17"/>
        <v>装备</v>
      </c>
      <c r="D277" s="7">
        <f t="shared" si="16"/>
        <v>50150105</v>
      </c>
      <c r="E277" s="7"/>
      <c r="F277" s="7">
        <v>1</v>
      </c>
      <c r="G277" s="8">
        <f>3*INDEX([1]equip.xml!$I:$I,MATCH(D277,[1]equip.xml!$A:$A,0))</f>
        <v>90000</v>
      </c>
      <c r="H277" s="7" t="str">
        <f t="shared" si="13"/>
        <v>10_10,50_20,80_30</v>
      </c>
      <c r="I277" s="7">
        <v>11</v>
      </c>
      <c r="J277" s="7">
        <f t="shared" si="14"/>
        <v>240</v>
      </c>
      <c r="K277" s="7" t="s">
        <v>293</v>
      </c>
      <c r="L277" s="7">
        <v>22</v>
      </c>
      <c r="M277" s="7">
        <f>IF(INDEX([1]equip.xml!$B:$B,MATCH(D277,[1]equip.xml!$A:$A,0))=0,0,N277)</f>
        <v>35</v>
      </c>
      <c r="N277" s="7">
        <f t="shared" si="15"/>
        <v>35</v>
      </c>
    </row>
    <row r="278" spans="1:14">
      <c r="A278" s="7">
        <v>10007</v>
      </c>
      <c r="B278" s="7">
        <f t="shared" si="17"/>
        <v>40000</v>
      </c>
      <c r="C278" s="7" t="str">
        <f t="shared" si="17"/>
        <v>装备</v>
      </c>
      <c r="D278" s="7">
        <f t="shared" si="16"/>
        <v>50151055</v>
      </c>
      <c r="E278" s="7"/>
      <c r="F278" s="7">
        <v>1</v>
      </c>
      <c r="G278" s="8">
        <f>3*INDEX([1]equip.xml!$I:$I,MATCH(D278,[1]equip.xml!$A:$A,0))</f>
        <v>90000</v>
      </c>
      <c r="H278" s="7" t="str">
        <f t="shared" si="13"/>
        <v>10_10,50_20,80_30</v>
      </c>
      <c r="I278" s="7">
        <v>11</v>
      </c>
      <c r="J278" s="7">
        <f t="shared" si="14"/>
        <v>240</v>
      </c>
      <c r="K278" s="7" t="s">
        <v>293</v>
      </c>
      <c r="L278" s="7">
        <v>22</v>
      </c>
      <c r="M278" s="7">
        <f>IF(INDEX([1]equip.xml!$B:$B,MATCH(D278,[1]equip.xml!$A:$A,0))=0,0,N278)</f>
        <v>35</v>
      </c>
      <c r="N278" s="7">
        <f t="shared" si="15"/>
        <v>35</v>
      </c>
    </row>
    <row r="279" spans="1:14">
      <c r="A279" s="7">
        <v>10007</v>
      </c>
      <c r="B279" s="7">
        <f t="shared" si="17"/>
        <v>40000</v>
      </c>
      <c r="C279" s="7" t="str">
        <f t="shared" si="17"/>
        <v>装备</v>
      </c>
      <c r="D279" s="7">
        <f t="shared" si="16"/>
        <v>50151056</v>
      </c>
      <c r="E279" s="7"/>
      <c r="F279" s="7">
        <v>1</v>
      </c>
      <c r="G279" s="8">
        <f>3*INDEX([1]equip.xml!$I:$I,MATCH(D279,[1]equip.xml!$A:$A,0))</f>
        <v>108000</v>
      </c>
      <c r="H279" s="7" t="str">
        <f t="shared" si="13"/>
        <v>10_10,50_20,80_30</v>
      </c>
      <c r="I279" s="7">
        <v>11</v>
      </c>
      <c r="J279" s="7">
        <f t="shared" si="14"/>
        <v>240</v>
      </c>
      <c r="K279" s="7" t="s">
        <v>293</v>
      </c>
      <c r="L279" s="7">
        <v>22</v>
      </c>
      <c r="M279" s="7">
        <f>IF(INDEX([1]equip.xml!$B:$B,MATCH(D279,[1]equip.xml!$A:$A,0))=0,0,N279)</f>
        <v>35</v>
      </c>
      <c r="N279" s="7">
        <f t="shared" si="15"/>
        <v>35</v>
      </c>
    </row>
    <row r="280" spans="1:14">
      <c r="A280" s="7">
        <v>10007</v>
      </c>
      <c r="B280" s="7">
        <f t="shared" si="17"/>
        <v>40000</v>
      </c>
      <c r="C280" s="7" t="str">
        <f t="shared" si="17"/>
        <v>装备</v>
      </c>
      <c r="D280" s="7">
        <f t="shared" si="16"/>
        <v>50151065</v>
      </c>
      <c r="E280" s="7"/>
      <c r="F280" s="7">
        <v>1</v>
      </c>
      <c r="G280" s="8">
        <f>3*INDEX([1]equip.xml!$I:$I,MATCH(D280,[1]equip.xml!$A:$A,0))</f>
        <v>90000</v>
      </c>
      <c r="H280" s="7" t="str">
        <f t="shared" si="13"/>
        <v>10_10,50_20,80_30</v>
      </c>
      <c r="I280" s="7">
        <v>11</v>
      </c>
      <c r="J280" s="7">
        <f t="shared" si="14"/>
        <v>240</v>
      </c>
      <c r="K280" s="7" t="s">
        <v>293</v>
      </c>
      <c r="L280" s="7">
        <v>22</v>
      </c>
      <c r="M280" s="7">
        <f>IF(INDEX([1]equip.xml!$B:$B,MATCH(D280,[1]equip.xml!$A:$A,0))=0,0,N280)</f>
        <v>35</v>
      </c>
      <c r="N280" s="7">
        <f t="shared" si="15"/>
        <v>35</v>
      </c>
    </row>
    <row r="281" spans="1:14">
      <c r="A281" s="7">
        <v>10007</v>
      </c>
      <c r="B281" s="7">
        <f t="shared" si="17"/>
        <v>40000</v>
      </c>
      <c r="C281" s="7" t="str">
        <f t="shared" si="17"/>
        <v>装备</v>
      </c>
      <c r="D281" s="7">
        <f t="shared" si="16"/>
        <v>50151066</v>
      </c>
      <c r="E281" s="7"/>
      <c r="F281" s="7">
        <v>1</v>
      </c>
      <c r="G281" s="8">
        <f>3*INDEX([1]equip.xml!$I:$I,MATCH(D281,[1]equip.xml!$A:$A,0))</f>
        <v>108000</v>
      </c>
      <c r="H281" s="7" t="str">
        <f t="shared" si="13"/>
        <v>10_10,50_20,80_30</v>
      </c>
      <c r="I281" s="7">
        <v>11</v>
      </c>
      <c r="J281" s="7">
        <f t="shared" si="14"/>
        <v>240</v>
      </c>
      <c r="K281" s="7" t="s">
        <v>293</v>
      </c>
      <c r="L281" s="7">
        <v>22</v>
      </c>
      <c r="M281" s="7">
        <f>IF(INDEX([1]equip.xml!$B:$B,MATCH(D281,[1]equip.xml!$A:$A,0))=0,0,N281)</f>
        <v>0</v>
      </c>
      <c r="N281" s="7">
        <f t="shared" si="15"/>
        <v>35</v>
      </c>
    </row>
    <row r="282" spans="1:14">
      <c r="A282" s="7">
        <v>10007</v>
      </c>
      <c r="B282" s="7">
        <f t="shared" si="17"/>
        <v>40000</v>
      </c>
      <c r="C282" s="7" t="str">
        <f t="shared" si="17"/>
        <v>装备</v>
      </c>
      <c r="D282" s="7">
        <f t="shared" si="16"/>
        <v>50152055</v>
      </c>
      <c r="E282" s="7"/>
      <c r="F282" s="7">
        <v>1</v>
      </c>
      <c r="G282" s="8">
        <f>3*INDEX([1]equip.xml!$I:$I,MATCH(D282,[1]equip.xml!$A:$A,0))</f>
        <v>90000</v>
      </c>
      <c r="H282" s="7" t="str">
        <f t="shared" si="13"/>
        <v>10_10,50_20,80_30</v>
      </c>
      <c r="I282" s="7">
        <v>11</v>
      </c>
      <c r="J282" s="7">
        <f t="shared" si="14"/>
        <v>240</v>
      </c>
      <c r="K282" s="7" t="s">
        <v>293</v>
      </c>
      <c r="L282" s="7">
        <v>22</v>
      </c>
      <c r="M282" s="7">
        <f>IF(INDEX([1]equip.xml!$B:$B,MATCH(D282,[1]equip.xml!$A:$A,0))=0,0,N282)</f>
        <v>35</v>
      </c>
      <c r="N282" s="7">
        <f t="shared" si="15"/>
        <v>35</v>
      </c>
    </row>
    <row r="283" spans="1:14">
      <c r="A283" s="7">
        <v>10007</v>
      </c>
      <c r="B283" s="7">
        <f t="shared" si="17"/>
        <v>40000</v>
      </c>
      <c r="C283" s="7" t="str">
        <f t="shared" si="17"/>
        <v>装备</v>
      </c>
      <c r="D283" s="7">
        <f t="shared" si="16"/>
        <v>50152056</v>
      </c>
      <c r="E283" s="7"/>
      <c r="F283" s="7">
        <v>1</v>
      </c>
      <c r="G283" s="8">
        <f>3*INDEX([1]equip.xml!$I:$I,MATCH(D283,[1]equip.xml!$A:$A,0))</f>
        <v>108000</v>
      </c>
      <c r="H283" s="7" t="str">
        <f t="shared" si="13"/>
        <v>10_10,50_20,80_30</v>
      </c>
      <c r="I283" s="7">
        <v>11</v>
      </c>
      <c r="J283" s="7">
        <f t="shared" si="14"/>
        <v>240</v>
      </c>
      <c r="K283" s="7" t="s">
        <v>293</v>
      </c>
      <c r="L283" s="7">
        <v>22</v>
      </c>
      <c r="M283" s="7">
        <f>IF(INDEX([1]equip.xml!$B:$B,MATCH(D283,[1]equip.xml!$A:$A,0))=0,0,N283)</f>
        <v>35</v>
      </c>
      <c r="N283" s="7">
        <f t="shared" si="15"/>
        <v>35</v>
      </c>
    </row>
    <row r="284" spans="1:14">
      <c r="A284" s="7">
        <v>10007</v>
      </c>
      <c r="B284" s="7">
        <f t="shared" si="17"/>
        <v>40000</v>
      </c>
      <c r="C284" s="7" t="str">
        <f t="shared" si="17"/>
        <v>装备</v>
      </c>
      <c r="D284" s="7">
        <f t="shared" si="16"/>
        <v>50152065</v>
      </c>
      <c r="E284" s="7"/>
      <c r="F284" s="7">
        <v>1</v>
      </c>
      <c r="G284" s="8">
        <f>3*INDEX([1]equip.xml!$I:$I,MATCH(D284,[1]equip.xml!$A:$A,0))</f>
        <v>90000</v>
      </c>
      <c r="H284" s="7" t="str">
        <f t="shared" si="13"/>
        <v>10_10,50_20,80_30</v>
      </c>
      <c r="I284" s="7">
        <v>11</v>
      </c>
      <c r="J284" s="7">
        <f t="shared" si="14"/>
        <v>240</v>
      </c>
      <c r="K284" s="7" t="s">
        <v>293</v>
      </c>
      <c r="L284" s="7">
        <v>22</v>
      </c>
      <c r="M284" s="7">
        <f>IF(INDEX([1]equip.xml!$B:$B,MATCH(D284,[1]equip.xml!$A:$A,0))=0,0,N284)</f>
        <v>35</v>
      </c>
      <c r="N284" s="7">
        <f t="shared" si="15"/>
        <v>35</v>
      </c>
    </row>
    <row r="285" spans="1:14">
      <c r="A285" s="7">
        <v>10007</v>
      </c>
      <c r="B285" s="7">
        <f t="shared" si="17"/>
        <v>40000</v>
      </c>
      <c r="C285" s="7" t="str">
        <f t="shared" si="17"/>
        <v>装备</v>
      </c>
      <c r="D285" s="7">
        <f t="shared" si="16"/>
        <v>50152066</v>
      </c>
      <c r="E285" s="7"/>
      <c r="F285" s="7">
        <v>1</v>
      </c>
      <c r="G285" s="8">
        <f>3*INDEX([1]equip.xml!$I:$I,MATCH(D285,[1]equip.xml!$A:$A,0))</f>
        <v>108000</v>
      </c>
      <c r="H285" s="7" t="str">
        <f t="shared" si="13"/>
        <v>10_10,50_20,80_30</v>
      </c>
      <c r="I285" s="7">
        <v>11</v>
      </c>
      <c r="J285" s="7">
        <f t="shared" si="14"/>
        <v>240</v>
      </c>
      <c r="K285" s="7" t="s">
        <v>293</v>
      </c>
      <c r="L285" s="7">
        <v>22</v>
      </c>
      <c r="M285" s="7">
        <f>IF(INDEX([1]equip.xml!$B:$B,MATCH(D285,[1]equip.xml!$A:$A,0))=0,0,N285)</f>
        <v>0</v>
      </c>
      <c r="N285" s="7">
        <f t="shared" si="15"/>
        <v>35</v>
      </c>
    </row>
    <row r="286" spans="1:14">
      <c r="A286" s="7">
        <v>10007</v>
      </c>
      <c r="B286" s="7">
        <f t="shared" si="17"/>
        <v>40000</v>
      </c>
      <c r="C286" s="7" t="str">
        <f t="shared" si="17"/>
        <v>装备</v>
      </c>
      <c r="D286" s="7">
        <f t="shared" si="16"/>
        <v>50153055</v>
      </c>
      <c r="E286" s="7"/>
      <c r="F286" s="7">
        <v>1</v>
      </c>
      <c r="G286" s="8">
        <f>3*INDEX([1]equip.xml!$I:$I,MATCH(D286,[1]equip.xml!$A:$A,0))</f>
        <v>90000</v>
      </c>
      <c r="H286" s="7" t="str">
        <f t="shared" si="13"/>
        <v>10_10,50_20,80_30</v>
      </c>
      <c r="I286" s="7">
        <v>11</v>
      </c>
      <c r="J286" s="7">
        <f t="shared" si="14"/>
        <v>240</v>
      </c>
      <c r="K286" s="7" t="s">
        <v>293</v>
      </c>
      <c r="L286" s="7">
        <v>22</v>
      </c>
      <c r="M286" s="7">
        <f>IF(INDEX([1]equip.xml!$B:$B,MATCH(D286,[1]equip.xml!$A:$A,0))=0,0,N286)</f>
        <v>35</v>
      </c>
      <c r="N286" s="7">
        <f t="shared" si="15"/>
        <v>35</v>
      </c>
    </row>
    <row r="287" spans="1:14">
      <c r="A287" s="7">
        <v>10007</v>
      </c>
      <c r="B287" s="7">
        <f t="shared" si="17"/>
        <v>40000</v>
      </c>
      <c r="C287" s="7" t="str">
        <f t="shared" si="17"/>
        <v>装备</v>
      </c>
      <c r="D287" s="7">
        <f t="shared" si="16"/>
        <v>50153056</v>
      </c>
      <c r="E287" s="7"/>
      <c r="F287" s="7">
        <v>1</v>
      </c>
      <c r="G287" s="8">
        <f>3*INDEX([1]equip.xml!$I:$I,MATCH(D287,[1]equip.xml!$A:$A,0))</f>
        <v>108000</v>
      </c>
      <c r="H287" s="7" t="str">
        <f t="shared" si="13"/>
        <v>10_10,50_20,80_30</v>
      </c>
      <c r="I287" s="7">
        <v>11</v>
      </c>
      <c r="J287" s="7">
        <f t="shared" si="14"/>
        <v>240</v>
      </c>
      <c r="K287" s="7" t="s">
        <v>293</v>
      </c>
      <c r="L287" s="7">
        <v>22</v>
      </c>
      <c r="M287" s="7">
        <f>IF(INDEX([1]equip.xml!$B:$B,MATCH(D287,[1]equip.xml!$A:$A,0))=0,0,N287)</f>
        <v>35</v>
      </c>
      <c r="N287" s="7">
        <f t="shared" si="15"/>
        <v>35</v>
      </c>
    </row>
    <row r="288" spans="1:14">
      <c r="A288" s="7">
        <v>10007</v>
      </c>
      <c r="B288" s="7">
        <f t="shared" si="17"/>
        <v>40000</v>
      </c>
      <c r="C288" s="7" t="str">
        <f t="shared" si="17"/>
        <v>装备</v>
      </c>
      <c r="D288" s="7">
        <f t="shared" si="16"/>
        <v>50153065</v>
      </c>
      <c r="E288" s="7"/>
      <c r="F288" s="7">
        <v>1</v>
      </c>
      <c r="G288" s="8">
        <f>3*INDEX([1]equip.xml!$I:$I,MATCH(D288,[1]equip.xml!$A:$A,0))</f>
        <v>90000</v>
      </c>
      <c r="H288" s="7" t="str">
        <f t="shared" si="13"/>
        <v>10_10,50_20,80_30</v>
      </c>
      <c r="I288" s="7">
        <v>11</v>
      </c>
      <c r="J288" s="7">
        <f t="shared" si="14"/>
        <v>240</v>
      </c>
      <c r="K288" s="7" t="s">
        <v>293</v>
      </c>
      <c r="L288" s="7">
        <v>22</v>
      </c>
      <c r="M288" s="7">
        <f>IF(INDEX([1]equip.xml!$B:$B,MATCH(D288,[1]equip.xml!$A:$A,0))=0,0,N288)</f>
        <v>35</v>
      </c>
      <c r="N288" s="7">
        <f t="shared" si="15"/>
        <v>35</v>
      </c>
    </row>
    <row r="289" spans="1:14">
      <c r="A289" s="7">
        <v>10007</v>
      </c>
      <c r="B289" s="7">
        <f t="shared" si="17"/>
        <v>40000</v>
      </c>
      <c r="C289" s="7" t="str">
        <f t="shared" si="17"/>
        <v>装备</v>
      </c>
      <c r="D289" s="7">
        <f t="shared" si="16"/>
        <v>50153066</v>
      </c>
      <c r="E289" s="7"/>
      <c r="F289" s="7">
        <v>1</v>
      </c>
      <c r="G289" s="8">
        <f>3*INDEX([1]equip.xml!$I:$I,MATCH(D289,[1]equip.xml!$A:$A,0))</f>
        <v>108000</v>
      </c>
      <c r="H289" s="7" t="str">
        <f t="shared" si="13"/>
        <v>10_10,50_20,80_30</v>
      </c>
      <c r="I289" s="7">
        <v>11</v>
      </c>
      <c r="J289" s="7">
        <f t="shared" si="14"/>
        <v>240</v>
      </c>
      <c r="K289" s="7" t="s">
        <v>293</v>
      </c>
      <c r="L289" s="7">
        <v>22</v>
      </c>
      <c r="M289" s="7">
        <f>IF(INDEX([1]equip.xml!$B:$B,MATCH(D289,[1]equip.xml!$A:$A,0))=0,0,N289)</f>
        <v>0</v>
      </c>
      <c r="N289" s="7">
        <f t="shared" si="15"/>
        <v>35</v>
      </c>
    </row>
    <row r="290" spans="1:14">
      <c r="A290" s="7">
        <v>10007</v>
      </c>
      <c r="B290" s="7">
        <f t="shared" si="17"/>
        <v>40000</v>
      </c>
      <c r="C290" s="7" t="str">
        <f t="shared" si="17"/>
        <v>装备</v>
      </c>
      <c r="D290" s="7">
        <f t="shared" si="16"/>
        <v>50150045</v>
      </c>
      <c r="E290" s="7"/>
      <c r="F290" s="7">
        <v>1</v>
      </c>
      <c r="G290" s="8">
        <f>3*INDEX([1]equip.xml!$I:$I,MATCH(D290,[1]equip.xml!$A:$A,0))</f>
        <v>90000</v>
      </c>
      <c r="H290" s="7" t="str">
        <f t="shared" si="13"/>
        <v>10_10,50_20,80_30</v>
      </c>
      <c r="I290" s="7">
        <v>11</v>
      </c>
      <c r="J290" s="7">
        <f t="shared" si="14"/>
        <v>240</v>
      </c>
      <c r="K290" s="7" t="s">
        <v>293</v>
      </c>
      <c r="L290" s="7">
        <v>22</v>
      </c>
      <c r="M290" s="7">
        <f>IF(INDEX([1]equip.xml!$B:$B,MATCH(D290,[1]equip.xml!$A:$A,0))=0,0,N290)</f>
        <v>35</v>
      </c>
      <c r="N290" s="7">
        <f t="shared" si="15"/>
        <v>35</v>
      </c>
    </row>
    <row r="291" spans="1:14">
      <c r="A291" s="7">
        <v>10007</v>
      </c>
      <c r="B291" s="7">
        <f t="shared" si="17"/>
        <v>40000</v>
      </c>
      <c r="C291" s="7" t="str">
        <f t="shared" si="17"/>
        <v>装备</v>
      </c>
      <c r="D291" s="7">
        <f t="shared" si="16"/>
        <v>50150046</v>
      </c>
      <c r="E291" s="7"/>
      <c r="F291" s="7">
        <v>1</v>
      </c>
      <c r="G291" s="8">
        <f>3*INDEX([1]equip.xml!$I:$I,MATCH(D291,[1]equip.xml!$A:$A,0))</f>
        <v>108000</v>
      </c>
      <c r="H291" s="7" t="str">
        <f t="shared" si="13"/>
        <v>10_10,50_20,80_30</v>
      </c>
      <c r="I291" s="7">
        <v>11</v>
      </c>
      <c r="J291" s="7">
        <f t="shared" si="14"/>
        <v>240</v>
      </c>
      <c r="K291" s="7" t="s">
        <v>293</v>
      </c>
      <c r="L291" s="7">
        <v>22</v>
      </c>
      <c r="M291" s="7">
        <f>IF(INDEX([1]equip.xml!$B:$B,MATCH(D291,[1]equip.xml!$A:$A,0))=0,0,N291)</f>
        <v>0</v>
      </c>
      <c r="N291" s="7">
        <f t="shared" si="15"/>
        <v>35</v>
      </c>
    </row>
    <row r="292" spans="1:14">
      <c r="A292" s="7">
        <v>10007</v>
      </c>
      <c r="B292" s="7">
        <f t="shared" si="17"/>
        <v>40000</v>
      </c>
      <c r="C292" s="7" t="str">
        <f t="shared" si="17"/>
        <v>装备</v>
      </c>
      <c r="D292" s="7">
        <f t="shared" si="16"/>
        <v>50150075</v>
      </c>
      <c r="E292" s="7"/>
      <c r="F292" s="7">
        <v>1</v>
      </c>
      <c r="G292" s="8">
        <f>3*INDEX([1]equip.xml!$I:$I,MATCH(D292,[1]equip.xml!$A:$A,0))</f>
        <v>90000</v>
      </c>
      <c r="H292" s="7" t="str">
        <f t="shared" si="13"/>
        <v>10_10,50_20,80_30</v>
      </c>
      <c r="I292" s="7">
        <v>11</v>
      </c>
      <c r="J292" s="7">
        <f t="shared" si="14"/>
        <v>240</v>
      </c>
      <c r="K292" s="7" t="s">
        <v>293</v>
      </c>
      <c r="L292" s="7">
        <v>22</v>
      </c>
      <c r="M292" s="7">
        <f>IF(INDEX([1]equip.xml!$B:$B,MATCH(D292,[1]equip.xml!$A:$A,0))=0,0,N292)</f>
        <v>35</v>
      </c>
      <c r="N292" s="7">
        <f t="shared" si="15"/>
        <v>35</v>
      </c>
    </row>
    <row r="293" spans="1:14">
      <c r="A293" s="7">
        <v>10007</v>
      </c>
      <c r="B293" s="7">
        <f t="shared" si="17"/>
        <v>40000</v>
      </c>
      <c r="C293" s="7" t="str">
        <f t="shared" si="17"/>
        <v>装备</v>
      </c>
      <c r="D293" s="7">
        <f t="shared" si="16"/>
        <v>50150076</v>
      </c>
      <c r="E293" s="7"/>
      <c r="F293" s="7">
        <v>1</v>
      </c>
      <c r="G293" s="8">
        <f>3*INDEX([1]equip.xml!$I:$I,MATCH(D293,[1]equip.xml!$A:$A,0))</f>
        <v>108000</v>
      </c>
      <c r="H293" s="7" t="str">
        <f t="shared" si="13"/>
        <v>10_10,50_20,80_30</v>
      </c>
      <c r="I293" s="7">
        <v>11</v>
      </c>
      <c r="J293" s="7">
        <f t="shared" si="14"/>
        <v>240</v>
      </c>
      <c r="K293" s="7" t="s">
        <v>293</v>
      </c>
      <c r="L293" s="7">
        <v>22</v>
      </c>
      <c r="M293" s="7">
        <f>IF(INDEX([1]equip.xml!$B:$B,MATCH(D293,[1]equip.xml!$A:$A,0))=0,0,N293)</f>
        <v>0</v>
      </c>
      <c r="N293" s="7">
        <f t="shared" si="15"/>
        <v>35</v>
      </c>
    </row>
    <row r="294" spans="1:14">
      <c r="A294" s="8">
        <v>10008</v>
      </c>
      <c r="B294" s="8">
        <f t="shared" si="17"/>
        <v>40000</v>
      </c>
      <c r="C294" s="8" t="str">
        <f t="shared" si="17"/>
        <v>装备</v>
      </c>
      <c r="D294" s="8">
        <v>40150010</v>
      </c>
      <c r="E294" s="8"/>
      <c r="F294" s="8">
        <v>1</v>
      </c>
      <c r="G294" s="7">
        <f>3*INDEX([1]equip.xml!$I:$I,MATCH(D294&amp;"",[1]equip.xml!$A:$A,0))</f>
        <v>45000</v>
      </c>
      <c r="H294" s="8" t="str">
        <f t="shared" si="13"/>
        <v>10_10,50_20,80_30</v>
      </c>
      <c r="I294" s="8">
        <v>10</v>
      </c>
      <c r="J294" s="8">
        <f t="shared" si="14"/>
        <v>50</v>
      </c>
      <c r="K294" s="7" t="s">
        <v>309</v>
      </c>
      <c r="L294" s="8">
        <v>24</v>
      </c>
      <c r="M294" s="7">
        <f>IF(INDEX([1]equip.xml!$B:$B,MATCH(D294&amp;"",[1]equip.xml!$A:$A,0))=0,0,N294)</f>
        <v>0</v>
      </c>
      <c r="N294" s="8">
        <f t="shared" si="15"/>
        <v>130</v>
      </c>
    </row>
    <row r="295" spans="1:14">
      <c r="A295" s="8">
        <v>10008</v>
      </c>
      <c r="B295" s="8">
        <f t="shared" si="17"/>
        <v>40000</v>
      </c>
      <c r="C295" s="8" t="str">
        <f t="shared" si="17"/>
        <v>装备</v>
      </c>
      <c r="D295" s="8">
        <v>40150020</v>
      </c>
      <c r="E295" s="8"/>
      <c r="F295" s="8">
        <v>1</v>
      </c>
      <c r="G295" s="7">
        <f>3*INDEX([1]equip.xml!$I:$I,MATCH(D295&amp;"",[1]equip.xml!$A:$A,0))</f>
        <v>45000</v>
      </c>
      <c r="H295" s="8" t="str">
        <f t="shared" si="13"/>
        <v>10_10,50_20,80_30</v>
      </c>
      <c r="I295" s="8">
        <v>10</v>
      </c>
      <c r="J295" s="8">
        <f t="shared" si="14"/>
        <v>50</v>
      </c>
      <c r="K295" s="7" t="s">
        <v>309</v>
      </c>
      <c r="L295" s="8">
        <v>24</v>
      </c>
      <c r="M295" s="7">
        <f>IF(INDEX([1]equip.xml!$B:$B,MATCH(D295&amp;"",[1]equip.xml!$A:$A,0))=0,0,N295)</f>
        <v>0</v>
      </c>
      <c r="N295" s="8">
        <f t="shared" si="15"/>
        <v>130</v>
      </c>
    </row>
    <row r="296" spans="1:14">
      <c r="A296" s="8">
        <v>10008</v>
      </c>
      <c r="B296" s="8">
        <f t="shared" si="17"/>
        <v>40000</v>
      </c>
      <c r="C296" s="8" t="str">
        <f t="shared" si="17"/>
        <v>装备</v>
      </c>
      <c r="D296" s="8">
        <v>40150030</v>
      </c>
      <c r="E296" s="8"/>
      <c r="F296" s="8">
        <v>1</v>
      </c>
      <c r="G296" s="7">
        <f>3*INDEX([1]equip.xml!$I:$I,MATCH(D296&amp;"",[1]equip.xml!$A:$A,0))</f>
        <v>45000</v>
      </c>
      <c r="H296" s="8" t="str">
        <f t="shared" si="13"/>
        <v>10_10,50_20,80_30</v>
      </c>
      <c r="I296" s="8">
        <v>10</v>
      </c>
      <c r="J296" s="8">
        <f t="shared" si="14"/>
        <v>50</v>
      </c>
      <c r="K296" s="7" t="s">
        <v>309</v>
      </c>
      <c r="L296" s="8">
        <v>24</v>
      </c>
      <c r="M296" s="7">
        <f>IF(INDEX([1]equip.xml!$B:$B,MATCH(D296&amp;"",[1]equip.xml!$A:$A,0))=0,0,N296)</f>
        <v>130</v>
      </c>
      <c r="N296" s="8">
        <f t="shared" si="15"/>
        <v>130</v>
      </c>
    </row>
    <row r="297" spans="1:14">
      <c r="A297" s="8">
        <v>10008</v>
      </c>
      <c r="B297" s="8">
        <f t="shared" si="17"/>
        <v>40000</v>
      </c>
      <c r="C297" s="8" t="str">
        <f t="shared" si="17"/>
        <v>装备</v>
      </c>
      <c r="D297" s="8">
        <v>40150080</v>
      </c>
      <c r="E297" s="8"/>
      <c r="F297" s="8">
        <v>1</v>
      </c>
      <c r="G297" s="7">
        <f>3*INDEX([1]equip.xml!$I:$I,MATCH(D297&amp;"",[1]equip.xml!$A:$A,0))</f>
        <v>45000</v>
      </c>
      <c r="H297" s="8" t="str">
        <f t="shared" si="13"/>
        <v>10_10,50_20,80_30</v>
      </c>
      <c r="I297" s="8">
        <v>10</v>
      </c>
      <c r="J297" s="8">
        <f t="shared" si="14"/>
        <v>50</v>
      </c>
      <c r="K297" s="7" t="s">
        <v>309</v>
      </c>
      <c r="L297" s="8">
        <v>24</v>
      </c>
      <c r="M297" s="7">
        <f>IF(INDEX([1]equip.xml!$B:$B,MATCH(D297&amp;"",[1]equip.xml!$A:$A,0))=0,0,N297)</f>
        <v>130</v>
      </c>
      <c r="N297" s="8">
        <f t="shared" si="15"/>
        <v>130</v>
      </c>
    </row>
    <row r="298" spans="1:14">
      <c r="A298" s="8">
        <v>10008</v>
      </c>
      <c r="B298" s="8">
        <f t="shared" si="17"/>
        <v>40000</v>
      </c>
      <c r="C298" s="8" t="str">
        <f t="shared" si="17"/>
        <v>装备</v>
      </c>
      <c r="D298" s="8">
        <v>40150090</v>
      </c>
      <c r="E298" s="8"/>
      <c r="F298" s="8">
        <v>1</v>
      </c>
      <c r="G298" s="7">
        <f>3*INDEX([1]equip.xml!$I:$I,MATCH(D298&amp;"",[1]equip.xml!$A:$A,0))</f>
        <v>45000</v>
      </c>
      <c r="H298" s="8" t="str">
        <f t="shared" si="13"/>
        <v>10_10,50_20,80_30</v>
      </c>
      <c r="I298" s="8">
        <v>10</v>
      </c>
      <c r="J298" s="8">
        <f t="shared" si="14"/>
        <v>50</v>
      </c>
      <c r="K298" s="7" t="s">
        <v>309</v>
      </c>
      <c r="L298" s="8">
        <v>24</v>
      </c>
      <c r="M298" s="7">
        <f>IF(INDEX([1]equip.xml!$B:$B,MATCH(D298&amp;"",[1]equip.xml!$A:$A,0))=0,0,N298)</f>
        <v>130</v>
      </c>
      <c r="N298" s="8">
        <f t="shared" si="15"/>
        <v>130</v>
      </c>
    </row>
    <row r="299" spans="1:14">
      <c r="A299" s="8">
        <v>10008</v>
      </c>
      <c r="B299" s="8">
        <f t="shared" si="17"/>
        <v>40000</v>
      </c>
      <c r="C299" s="8" t="str">
        <f t="shared" si="17"/>
        <v>装备</v>
      </c>
      <c r="D299" s="8">
        <v>40150100</v>
      </c>
      <c r="E299" s="8"/>
      <c r="F299" s="8">
        <v>1</v>
      </c>
      <c r="G299" s="7">
        <f>3*INDEX([1]equip.xml!$I:$I,MATCH(D299&amp;"",[1]equip.xml!$A:$A,0))</f>
        <v>45000</v>
      </c>
      <c r="H299" s="8" t="str">
        <f t="shared" si="13"/>
        <v>10_10,50_20,80_30</v>
      </c>
      <c r="I299" s="8">
        <v>10</v>
      </c>
      <c r="J299" s="8">
        <f t="shared" si="14"/>
        <v>50</v>
      </c>
      <c r="K299" s="7" t="s">
        <v>309</v>
      </c>
      <c r="L299" s="8">
        <v>24</v>
      </c>
      <c r="M299" s="7">
        <f>IF(INDEX([1]equip.xml!$B:$B,MATCH(D299&amp;"",[1]equip.xml!$A:$A,0))=0,0,N299)</f>
        <v>130</v>
      </c>
      <c r="N299" s="8">
        <f t="shared" si="15"/>
        <v>130</v>
      </c>
    </row>
    <row r="300" spans="1:14">
      <c r="A300" s="8">
        <v>10008</v>
      </c>
      <c r="B300" s="8">
        <f t="shared" si="17"/>
        <v>40000</v>
      </c>
      <c r="C300" s="8" t="str">
        <f t="shared" si="17"/>
        <v>装备</v>
      </c>
      <c r="D300" s="8">
        <v>40151050</v>
      </c>
      <c r="E300" s="8"/>
      <c r="F300" s="8">
        <v>1</v>
      </c>
      <c r="G300" s="7">
        <f>3*INDEX([1]equip.xml!$I:$I,MATCH(D300&amp;"",[1]equip.xml!$A:$A,0))</f>
        <v>45000</v>
      </c>
      <c r="H300" s="8" t="str">
        <f t="shared" si="13"/>
        <v>10_10,50_20,80_30</v>
      </c>
      <c r="I300" s="8">
        <v>10</v>
      </c>
      <c r="J300" s="8">
        <f t="shared" si="14"/>
        <v>50</v>
      </c>
      <c r="K300" s="7" t="s">
        <v>309</v>
      </c>
      <c r="L300" s="8">
        <v>24</v>
      </c>
      <c r="M300" s="7">
        <f>IF(INDEX([1]equip.xml!$B:$B,MATCH(D300&amp;"",[1]equip.xml!$A:$A,0))=0,0,N300)</f>
        <v>130</v>
      </c>
      <c r="N300" s="8">
        <f t="shared" si="15"/>
        <v>130</v>
      </c>
    </row>
    <row r="301" spans="1:14">
      <c r="A301" s="8">
        <v>10008</v>
      </c>
      <c r="B301" s="8">
        <f t="shared" si="17"/>
        <v>40000</v>
      </c>
      <c r="C301" s="8" t="str">
        <f t="shared" si="17"/>
        <v>装备</v>
      </c>
      <c r="D301" s="8">
        <v>40151051</v>
      </c>
      <c r="E301" s="8"/>
      <c r="F301" s="8">
        <v>1</v>
      </c>
      <c r="G301" s="7">
        <f>3*INDEX([1]equip.xml!$I:$I,MATCH(D301,[1]equip.xml!$A:$A,0))</f>
        <v>54000</v>
      </c>
      <c r="H301" s="8" t="str">
        <f t="shared" si="13"/>
        <v>10_10,50_20,80_30</v>
      </c>
      <c r="I301" s="8">
        <v>10</v>
      </c>
      <c r="J301" s="8">
        <f t="shared" si="14"/>
        <v>50</v>
      </c>
      <c r="K301" s="7" t="s">
        <v>309</v>
      </c>
      <c r="L301" s="8">
        <v>24</v>
      </c>
      <c r="M301" s="7">
        <f>IF(INDEX([1]equip.xml!$B:$B,MATCH(D301,[1]equip.xml!$A:$A,0))=0,0,N301)</f>
        <v>130</v>
      </c>
      <c r="N301" s="8">
        <f t="shared" si="15"/>
        <v>130</v>
      </c>
    </row>
    <row r="302" spans="1:14">
      <c r="A302" s="8">
        <v>10008</v>
      </c>
      <c r="B302" s="8">
        <f t="shared" si="17"/>
        <v>40000</v>
      </c>
      <c r="C302" s="8" t="str">
        <f t="shared" si="17"/>
        <v>装备</v>
      </c>
      <c r="D302" s="8">
        <v>40151060</v>
      </c>
      <c r="E302" s="8"/>
      <c r="F302" s="8">
        <v>1</v>
      </c>
      <c r="G302" s="7">
        <f>3*INDEX([1]equip.xml!$I:$I,MATCH(D302&amp;"",[1]equip.xml!$A:$A,0))</f>
        <v>45000</v>
      </c>
      <c r="H302" s="8" t="str">
        <f t="shared" si="13"/>
        <v>10_10,50_20,80_30</v>
      </c>
      <c r="I302" s="8">
        <v>10</v>
      </c>
      <c r="J302" s="8">
        <f t="shared" si="14"/>
        <v>50</v>
      </c>
      <c r="K302" s="7" t="s">
        <v>309</v>
      </c>
      <c r="L302" s="8">
        <v>24</v>
      </c>
      <c r="M302" s="7">
        <f>IF(INDEX([1]equip.xml!$B:$B,MATCH(D302&amp;"",[1]equip.xml!$A:$A,0))=0,0,N302)</f>
        <v>130</v>
      </c>
      <c r="N302" s="8">
        <f t="shared" si="15"/>
        <v>130</v>
      </c>
    </row>
    <row r="303" spans="1:14">
      <c r="A303" s="8">
        <v>10008</v>
      </c>
      <c r="B303" s="8">
        <f t="shared" si="17"/>
        <v>40000</v>
      </c>
      <c r="C303" s="8" t="str">
        <f t="shared" si="17"/>
        <v>装备</v>
      </c>
      <c r="D303" s="8">
        <v>40151061</v>
      </c>
      <c r="E303" s="8"/>
      <c r="F303" s="8">
        <v>1</v>
      </c>
      <c r="G303" s="7">
        <f>3*INDEX([1]equip.xml!$I:$I,MATCH(D303&amp;"",[1]equip.xml!$A:$A,0))</f>
        <v>54000</v>
      </c>
      <c r="H303" s="8" t="str">
        <f t="shared" si="13"/>
        <v>10_10,50_20,80_30</v>
      </c>
      <c r="I303" s="8">
        <v>10</v>
      </c>
      <c r="J303" s="8">
        <f t="shared" si="14"/>
        <v>50</v>
      </c>
      <c r="K303" s="7" t="s">
        <v>309</v>
      </c>
      <c r="L303" s="8">
        <v>24</v>
      </c>
      <c r="M303" s="7">
        <f>IF(INDEX([1]equip.xml!$B:$B,MATCH(D303&amp;"",[1]equip.xml!$A:$A,0))=0,0,N303)</f>
        <v>0</v>
      </c>
      <c r="N303" s="8">
        <f t="shared" si="15"/>
        <v>130</v>
      </c>
    </row>
    <row r="304" spans="1:14">
      <c r="A304" s="8">
        <v>10008</v>
      </c>
      <c r="B304" s="8">
        <f t="shared" si="17"/>
        <v>40000</v>
      </c>
      <c r="C304" s="8" t="str">
        <f t="shared" si="17"/>
        <v>装备</v>
      </c>
      <c r="D304" s="8">
        <v>40152050</v>
      </c>
      <c r="E304" s="8"/>
      <c r="F304" s="8">
        <v>1</v>
      </c>
      <c r="G304" s="7">
        <f>3*INDEX([1]equip.xml!$I:$I,MATCH(D304&amp;"",[1]equip.xml!$A:$A,0))</f>
        <v>45000</v>
      </c>
      <c r="H304" s="8" t="str">
        <f t="shared" si="13"/>
        <v>10_10,50_20,80_30</v>
      </c>
      <c r="I304" s="8">
        <v>10</v>
      </c>
      <c r="J304" s="8">
        <f t="shared" si="14"/>
        <v>50</v>
      </c>
      <c r="K304" s="7" t="s">
        <v>309</v>
      </c>
      <c r="L304" s="8">
        <v>24</v>
      </c>
      <c r="M304" s="7">
        <f>IF(INDEX([1]equip.xml!$B:$B,MATCH(D304&amp;"",[1]equip.xml!$A:$A,0))=0,0,N304)</f>
        <v>130</v>
      </c>
      <c r="N304" s="8">
        <f t="shared" si="15"/>
        <v>130</v>
      </c>
    </row>
    <row r="305" spans="1:14">
      <c r="A305" s="8">
        <v>10008</v>
      </c>
      <c r="B305" s="8">
        <f t="shared" si="17"/>
        <v>40000</v>
      </c>
      <c r="C305" s="8" t="str">
        <f t="shared" si="17"/>
        <v>装备</v>
      </c>
      <c r="D305" s="8">
        <v>40152051</v>
      </c>
      <c r="E305" s="8"/>
      <c r="F305" s="8">
        <v>1</v>
      </c>
      <c r="G305" s="7">
        <f>3*INDEX([1]equip.xml!$I:$I,MATCH(D305,[1]equip.xml!$A:$A,0))</f>
        <v>54000</v>
      </c>
      <c r="H305" s="8" t="str">
        <f t="shared" si="13"/>
        <v>10_10,50_20,80_30</v>
      </c>
      <c r="I305" s="8">
        <v>10</v>
      </c>
      <c r="J305" s="8">
        <f t="shared" si="14"/>
        <v>50</v>
      </c>
      <c r="K305" s="7" t="s">
        <v>309</v>
      </c>
      <c r="L305" s="8">
        <v>24</v>
      </c>
      <c r="M305" s="7">
        <f>IF(INDEX([1]equip.xml!$B:$B,MATCH(D305,[1]equip.xml!$A:$A,0))=0,0,N305)</f>
        <v>130</v>
      </c>
      <c r="N305" s="8">
        <f t="shared" si="15"/>
        <v>130</v>
      </c>
    </row>
    <row r="306" spans="1:14">
      <c r="A306" s="8">
        <v>10008</v>
      </c>
      <c r="B306" s="8">
        <f t="shared" si="17"/>
        <v>40000</v>
      </c>
      <c r="C306" s="8" t="str">
        <f t="shared" si="17"/>
        <v>装备</v>
      </c>
      <c r="D306" s="8">
        <v>40152060</v>
      </c>
      <c r="E306" s="8"/>
      <c r="F306" s="8">
        <v>1</v>
      </c>
      <c r="G306" s="7">
        <f>3*INDEX([1]equip.xml!$I:$I,MATCH(D306&amp;"",[1]equip.xml!$A:$A,0))</f>
        <v>45000</v>
      </c>
      <c r="H306" s="8" t="str">
        <f t="shared" si="13"/>
        <v>10_10,50_20,80_30</v>
      </c>
      <c r="I306" s="8">
        <v>10</v>
      </c>
      <c r="J306" s="8">
        <f t="shared" si="14"/>
        <v>50</v>
      </c>
      <c r="K306" s="7" t="s">
        <v>309</v>
      </c>
      <c r="L306" s="8">
        <v>24</v>
      </c>
      <c r="M306" s="7">
        <f>IF(INDEX([1]equip.xml!$B:$B,MATCH(D306&amp;"",[1]equip.xml!$A:$A,0))=0,0,N306)</f>
        <v>130</v>
      </c>
      <c r="N306" s="8">
        <f t="shared" si="15"/>
        <v>130</v>
      </c>
    </row>
    <row r="307" spans="1:14">
      <c r="A307" s="8">
        <v>10008</v>
      </c>
      <c r="B307" s="8">
        <f t="shared" si="17"/>
        <v>40000</v>
      </c>
      <c r="C307" s="8" t="str">
        <f t="shared" si="17"/>
        <v>装备</v>
      </c>
      <c r="D307" s="8">
        <v>40152061</v>
      </c>
      <c r="E307" s="8"/>
      <c r="F307" s="8">
        <v>1</v>
      </c>
      <c r="G307" s="7">
        <f>3*INDEX([1]equip.xml!$I:$I,MATCH(D307&amp;"",[1]equip.xml!$A:$A,0))</f>
        <v>54000</v>
      </c>
      <c r="H307" s="8" t="str">
        <f t="shared" si="13"/>
        <v>10_10,50_20,80_30</v>
      </c>
      <c r="I307" s="8">
        <v>10</v>
      </c>
      <c r="J307" s="8">
        <f t="shared" si="14"/>
        <v>50</v>
      </c>
      <c r="K307" s="7" t="s">
        <v>309</v>
      </c>
      <c r="L307" s="8">
        <v>24</v>
      </c>
      <c r="M307" s="7">
        <f>IF(INDEX([1]equip.xml!$B:$B,MATCH(D307&amp;"",[1]equip.xml!$A:$A,0))=0,0,N307)</f>
        <v>0</v>
      </c>
      <c r="N307" s="8">
        <f t="shared" si="15"/>
        <v>130</v>
      </c>
    </row>
    <row r="308" spans="1:14">
      <c r="A308" s="8">
        <v>10008</v>
      </c>
      <c r="B308" s="8">
        <f t="shared" si="17"/>
        <v>40000</v>
      </c>
      <c r="C308" s="8" t="str">
        <f t="shared" si="17"/>
        <v>装备</v>
      </c>
      <c r="D308" s="8">
        <v>40153050</v>
      </c>
      <c r="E308" s="8"/>
      <c r="F308" s="8">
        <v>1</v>
      </c>
      <c r="G308" s="7">
        <f>3*INDEX([1]equip.xml!$I:$I,MATCH(D308&amp;"",[1]equip.xml!$A:$A,0))</f>
        <v>45000</v>
      </c>
      <c r="H308" s="8" t="str">
        <f t="shared" si="13"/>
        <v>10_10,50_20,80_30</v>
      </c>
      <c r="I308" s="8">
        <v>10</v>
      </c>
      <c r="J308" s="8">
        <f t="shared" si="14"/>
        <v>50</v>
      </c>
      <c r="K308" s="7" t="s">
        <v>309</v>
      </c>
      <c r="L308" s="8">
        <v>24</v>
      </c>
      <c r="M308" s="7">
        <f>IF(INDEX([1]equip.xml!$B:$B,MATCH(D308&amp;"",[1]equip.xml!$A:$A,0))=0,0,N308)</f>
        <v>130</v>
      </c>
      <c r="N308" s="8">
        <f t="shared" si="15"/>
        <v>130</v>
      </c>
    </row>
    <row r="309" spans="1:14">
      <c r="A309" s="8">
        <v>10008</v>
      </c>
      <c r="B309" s="8">
        <f t="shared" si="17"/>
        <v>40000</v>
      </c>
      <c r="C309" s="8" t="str">
        <f t="shared" si="17"/>
        <v>装备</v>
      </c>
      <c r="D309" s="8">
        <v>40153051</v>
      </c>
      <c r="E309" s="8"/>
      <c r="F309" s="8">
        <v>1</v>
      </c>
      <c r="G309" s="7">
        <f>3*INDEX([1]equip.xml!$I:$I,MATCH(D309,[1]equip.xml!$A:$A,0))</f>
        <v>54000</v>
      </c>
      <c r="H309" s="8" t="str">
        <f t="shared" si="13"/>
        <v>10_10,50_20,80_30</v>
      </c>
      <c r="I309" s="8">
        <v>10</v>
      </c>
      <c r="J309" s="8">
        <f t="shared" si="14"/>
        <v>50</v>
      </c>
      <c r="K309" s="7" t="s">
        <v>309</v>
      </c>
      <c r="L309" s="8">
        <v>24</v>
      </c>
      <c r="M309" s="7">
        <f>IF(INDEX([1]equip.xml!$B:$B,MATCH(D309,[1]equip.xml!$A:$A,0))=0,0,N309)</f>
        <v>130</v>
      </c>
      <c r="N309" s="8">
        <f t="shared" si="15"/>
        <v>130</v>
      </c>
    </row>
    <row r="310" spans="1:14">
      <c r="A310" s="8">
        <v>10008</v>
      </c>
      <c r="B310" s="8">
        <f t="shared" si="17"/>
        <v>40000</v>
      </c>
      <c r="C310" s="8" t="str">
        <f t="shared" si="17"/>
        <v>装备</v>
      </c>
      <c r="D310" s="8">
        <v>40153060</v>
      </c>
      <c r="E310" s="8"/>
      <c r="F310" s="8">
        <v>1</v>
      </c>
      <c r="G310" s="7">
        <f>3*INDEX([1]equip.xml!$I:$I,MATCH(D310&amp;"",[1]equip.xml!$A:$A,0))</f>
        <v>45000</v>
      </c>
      <c r="H310" s="8" t="str">
        <f t="shared" si="13"/>
        <v>10_10,50_20,80_30</v>
      </c>
      <c r="I310" s="8">
        <v>10</v>
      </c>
      <c r="J310" s="8">
        <f t="shared" si="14"/>
        <v>50</v>
      </c>
      <c r="K310" s="7" t="s">
        <v>309</v>
      </c>
      <c r="L310" s="8">
        <v>24</v>
      </c>
      <c r="M310" s="7">
        <f>IF(INDEX([1]equip.xml!$B:$B,MATCH(D310&amp;"",[1]equip.xml!$A:$A,0))=0,0,N310)</f>
        <v>130</v>
      </c>
      <c r="N310" s="8">
        <f t="shared" si="15"/>
        <v>130</v>
      </c>
    </row>
    <row r="311" spans="1:14">
      <c r="A311" s="8">
        <v>10008</v>
      </c>
      <c r="B311" s="8">
        <f t="shared" si="17"/>
        <v>40000</v>
      </c>
      <c r="C311" s="8" t="str">
        <f t="shared" si="17"/>
        <v>装备</v>
      </c>
      <c r="D311" s="8">
        <v>40153061</v>
      </c>
      <c r="E311" s="8"/>
      <c r="F311" s="8">
        <v>1</v>
      </c>
      <c r="G311" s="7">
        <f>3*INDEX([1]equip.xml!$I:$I,MATCH(D311&amp;"",[1]equip.xml!$A:$A,0))</f>
        <v>54000</v>
      </c>
      <c r="H311" s="8" t="str">
        <f t="shared" ref="H311:H374" si="18">H223</f>
        <v>10_10,50_20,80_30</v>
      </c>
      <c r="I311" s="8">
        <v>10</v>
      </c>
      <c r="J311" s="8">
        <f t="shared" ref="J311:J374" si="19">J223</f>
        <v>50</v>
      </c>
      <c r="K311" s="7" t="s">
        <v>309</v>
      </c>
      <c r="L311" s="8">
        <v>24</v>
      </c>
      <c r="M311" s="7">
        <f>IF(INDEX([1]equip.xml!$B:$B,MATCH(D311&amp;"",[1]equip.xml!$A:$A,0))=0,0,N311)</f>
        <v>0</v>
      </c>
      <c r="N311" s="8">
        <f t="shared" ref="N311:N315" si="20">N223</f>
        <v>130</v>
      </c>
    </row>
    <row r="312" spans="1:14">
      <c r="A312" s="8">
        <v>10008</v>
      </c>
      <c r="B312" s="8">
        <f t="shared" si="17"/>
        <v>40000</v>
      </c>
      <c r="C312" s="8" t="str">
        <f t="shared" si="17"/>
        <v>装备</v>
      </c>
      <c r="D312" s="8">
        <v>40150040</v>
      </c>
      <c r="E312" s="8"/>
      <c r="F312" s="8">
        <v>1</v>
      </c>
      <c r="G312" s="7">
        <f>3*INDEX([1]equip.xml!$I:$I,MATCH(D312&amp;"",[1]equip.xml!$A:$A,0))</f>
        <v>45000</v>
      </c>
      <c r="H312" s="8" t="str">
        <f t="shared" si="18"/>
        <v>10_10,50_20,80_30</v>
      </c>
      <c r="I312" s="8">
        <v>10</v>
      </c>
      <c r="J312" s="8">
        <f t="shared" si="19"/>
        <v>50</v>
      </c>
      <c r="K312" s="7" t="s">
        <v>309</v>
      </c>
      <c r="L312" s="8">
        <v>24</v>
      </c>
      <c r="M312" s="7">
        <f>IF(INDEX([1]equip.xml!$B:$B,MATCH(D312&amp;"",[1]equip.xml!$A:$A,0))=0,0,N312)</f>
        <v>130</v>
      </c>
      <c r="N312" s="8">
        <f t="shared" si="20"/>
        <v>130</v>
      </c>
    </row>
    <row r="313" spans="1:14">
      <c r="A313" s="8">
        <v>10008</v>
      </c>
      <c r="B313" s="8">
        <f t="shared" si="17"/>
        <v>40000</v>
      </c>
      <c r="C313" s="8" t="str">
        <f t="shared" si="17"/>
        <v>装备</v>
      </c>
      <c r="D313" s="8">
        <v>40150041</v>
      </c>
      <c r="E313" s="8"/>
      <c r="F313" s="8">
        <v>1</v>
      </c>
      <c r="G313" s="7">
        <f>3*INDEX([1]equip.xml!$I:$I,MATCH(D313&amp;"",[1]equip.xml!$A:$A,0))</f>
        <v>54000</v>
      </c>
      <c r="H313" s="8" t="str">
        <f t="shared" si="18"/>
        <v>10_10,50_20,80_30</v>
      </c>
      <c r="I313" s="8">
        <v>10</v>
      </c>
      <c r="J313" s="8">
        <f t="shared" si="19"/>
        <v>50</v>
      </c>
      <c r="K313" s="7" t="s">
        <v>309</v>
      </c>
      <c r="L313" s="8">
        <v>24</v>
      </c>
      <c r="M313" s="7">
        <f>IF(INDEX([1]equip.xml!$B:$B,MATCH(D313&amp;"",[1]equip.xml!$A:$A,0))=0,0,N313)</f>
        <v>0</v>
      </c>
      <c r="N313" s="8">
        <f t="shared" si="20"/>
        <v>130</v>
      </c>
    </row>
    <row r="314" spans="1:14">
      <c r="A314" s="8">
        <v>10008</v>
      </c>
      <c r="B314" s="8">
        <f t="shared" si="17"/>
        <v>40000</v>
      </c>
      <c r="C314" s="8" t="str">
        <f t="shared" si="17"/>
        <v>装备</v>
      </c>
      <c r="D314" s="8">
        <v>40150070</v>
      </c>
      <c r="E314" s="8"/>
      <c r="F314" s="8">
        <v>1</v>
      </c>
      <c r="G314" s="7">
        <f>3*INDEX([1]equip.xml!$I:$I,MATCH(D314&amp;"",[1]equip.xml!$A:$A,0))</f>
        <v>45000</v>
      </c>
      <c r="H314" s="8" t="str">
        <f t="shared" si="18"/>
        <v>10_10,50_20,80_30</v>
      </c>
      <c r="I314" s="8">
        <v>10</v>
      </c>
      <c r="J314" s="8">
        <f t="shared" si="19"/>
        <v>50</v>
      </c>
      <c r="K314" s="7" t="s">
        <v>309</v>
      </c>
      <c r="L314" s="8">
        <v>24</v>
      </c>
      <c r="M314" s="7">
        <f>IF(INDEX([1]equip.xml!$B:$B,MATCH(D314&amp;"",[1]equip.xml!$A:$A,0))=0,0,N314)</f>
        <v>130</v>
      </c>
      <c r="N314" s="8">
        <f t="shared" si="20"/>
        <v>130</v>
      </c>
    </row>
    <row r="315" spans="1:14">
      <c r="A315" s="8">
        <v>10008</v>
      </c>
      <c r="B315" s="8">
        <f t="shared" si="17"/>
        <v>40000</v>
      </c>
      <c r="C315" s="8" t="str">
        <f t="shared" si="17"/>
        <v>装备</v>
      </c>
      <c r="D315" s="8">
        <v>40150071</v>
      </c>
      <c r="E315" s="8"/>
      <c r="F315" s="8">
        <v>1</v>
      </c>
      <c r="G315" s="7">
        <f>3*INDEX([1]equip.xml!$I:$I,MATCH(D315&amp;"",[1]equip.xml!$A:$A,0))</f>
        <v>54000</v>
      </c>
      <c r="H315" s="8" t="str">
        <f t="shared" si="18"/>
        <v>10_10,50_20,80_30</v>
      </c>
      <c r="I315" s="8">
        <v>10</v>
      </c>
      <c r="J315" s="8">
        <f t="shared" si="19"/>
        <v>50</v>
      </c>
      <c r="K315" s="7" t="s">
        <v>309</v>
      </c>
      <c r="L315" s="8">
        <v>24</v>
      </c>
      <c r="M315" s="7">
        <f>IF(INDEX([1]equip.xml!$B:$B,MATCH(D315&amp;"",[1]equip.xml!$A:$A,0))=0,0,N315)</f>
        <v>0</v>
      </c>
      <c r="N315" s="8">
        <f t="shared" si="20"/>
        <v>130</v>
      </c>
    </row>
    <row r="316" spans="1:14">
      <c r="A316" s="8">
        <v>10008</v>
      </c>
      <c r="B316" s="8">
        <f t="shared" ref="B316:C316" si="21">B228</f>
        <v>40000</v>
      </c>
      <c r="C316" s="8" t="str">
        <f t="shared" si="21"/>
        <v>装备</v>
      </c>
      <c r="D316" s="8">
        <v>40200010</v>
      </c>
      <c r="E316" s="8"/>
      <c r="F316" s="8">
        <v>1</v>
      </c>
      <c r="G316" s="7">
        <f>3*INDEX([1]equip.xml!$I:$I,MATCH(D316&amp;"",[1]equip.xml!$A:$A,0))</f>
        <v>60000</v>
      </c>
      <c r="H316" s="8" t="str">
        <f t="shared" si="18"/>
        <v>10_10,50_20,80_30</v>
      </c>
      <c r="I316" s="8">
        <v>10</v>
      </c>
      <c r="J316" s="8">
        <f t="shared" si="19"/>
        <v>50</v>
      </c>
      <c r="K316" s="7" t="s">
        <v>309</v>
      </c>
      <c r="L316" s="8">
        <v>24</v>
      </c>
      <c r="M316" s="7">
        <f>IF(INDEX([1]equip.xml!$B:$B,MATCH(D316&amp;"",[1]equip.xml!$A:$A,0))=0,0,N316)</f>
        <v>65</v>
      </c>
      <c r="N316" s="8">
        <f t="shared" ref="N316" si="22">N228</f>
        <v>65</v>
      </c>
    </row>
    <row r="317" spans="1:14">
      <c r="A317" s="8">
        <v>10008</v>
      </c>
      <c r="B317" s="8">
        <f t="shared" ref="B317:C317" si="23">B229</f>
        <v>40000</v>
      </c>
      <c r="C317" s="8" t="str">
        <f t="shared" si="23"/>
        <v>装备</v>
      </c>
      <c r="D317" s="8">
        <v>40200020</v>
      </c>
      <c r="E317" s="8"/>
      <c r="F317" s="8">
        <v>1</v>
      </c>
      <c r="G317" s="7">
        <f>3*INDEX([1]equip.xml!$I:$I,MATCH(D317&amp;"",[1]equip.xml!$A:$A,0))</f>
        <v>60000</v>
      </c>
      <c r="H317" s="8" t="str">
        <f t="shared" si="18"/>
        <v>10_10,50_20,80_30</v>
      </c>
      <c r="I317" s="8">
        <v>10</v>
      </c>
      <c r="J317" s="8">
        <f t="shared" si="19"/>
        <v>50</v>
      </c>
      <c r="K317" s="7" t="s">
        <v>309</v>
      </c>
      <c r="L317" s="8">
        <v>24</v>
      </c>
      <c r="M317" s="7">
        <f>IF(INDEX([1]equip.xml!$B:$B,MATCH(D317&amp;"",[1]equip.xml!$A:$A,0))=0,0,N317)</f>
        <v>65</v>
      </c>
      <c r="N317" s="8">
        <f t="shared" ref="N317" si="24">N229</f>
        <v>65</v>
      </c>
    </row>
    <row r="318" spans="1:14">
      <c r="A318" s="8">
        <v>10008</v>
      </c>
      <c r="B318" s="8">
        <f t="shared" ref="B318:C318" si="25">B230</f>
        <v>40000</v>
      </c>
      <c r="C318" s="8" t="str">
        <f t="shared" si="25"/>
        <v>装备</v>
      </c>
      <c r="D318" s="8">
        <v>40200030</v>
      </c>
      <c r="E318" s="8"/>
      <c r="F318" s="8">
        <v>1</v>
      </c>
      <c r="G318" s="7">
        <f>3*INDEX([1]equip.xml!$I:$I,MATCH(D318&amp;"",[1]equip.xml!$A:$A,0))</f>
        <v>60000</v>
      </c>
      <c r="H318" s="8" t="str">
        <f t="shared" si="18"/>
        <v>10_10,50_20,80_30</v>
      </c>
      <c r="I318" s="8">
        <v>10</v>
      </c>
      <c r="J318" s="8">
        <f t="shared" si="19"/>
        <v>50</v>
      </c>
      <c r="K318" s="7" t="s">
        <v>309</v>
      </c>
      <c r="L318" s="8">
        <v>24</v>
      </c>
      <c r="M318" s="7">
        <f>IF(INDEX([1]equip.xml!$B:$B,MATCH(D318&amp;"",[1]equip.xml!$A:$A,0))=0,0,N318)</f>
        <v>65</v>
      </c>
      <c r="N318" s="8">
        <f t="shared" ref="N318" si="26">N230</f>
        <v>65</v>
      </c>
    </row>
    <row r="319" spans="1:14">
      <c r="A319" s="8">
        <v>10008</v>
      </c>
      <c r="B319" s="8">
        <f t="shared" ref="B319:C319" si="27">B231</f>
        <v>40000</v>
      </c>
      <c r="C319" s="8" t="str">
        <f t="shared" si="27"/>
        <v>装备</v>
      </c>
      <c r="D319" s="8">
        <v>40200080</v>
      </c>
      <c r="E319" s="8"/>
      <c r="F319" s="8">
        <v>1</v>
      </c>
      <c r="G319" s="7">
        <f>3*INDEX([1]equip.xml!$I:$I,MATCH(D319&amp;"",[1]equip.xml!$A:$A,0))</f>
        <v>60000</v>
      </c>
      <c r="H319" s="8" t="str">
        <f t="shared" si="18"/>
        <v>10_10,50_20,80_30</v>
      </c>
      <c r="I319" s="8">
        <v>10</v>
      </c>
      <c r="J319" s="8">
        <f t="shared" si="19"/>
        <v>50</v>
      </c>
      <c r="K319" s="7" t="s">
        <v>309</v>
      </c>
      <c r="L319" s="8">
        <v>24</v>
      </c>
      <c r="M319" s="7">
        <f>IF(INDEX([1]equip.xml!$B:$B,MATCH(D319&amp;"",[1]equip.xml!$A:$A,0))=0,0,N319)</f>
        <v>65</v>
      </c>
      <c r="N319" s="8">
        <f t="shared" ref="N319" si="28">N231</f>
        <v>65</v>
      </c>
    </row>
    <row r="320" spans="1:14">
      <c r="A320" s="8">
        <v>10008</v>
      </c>
      <c r="B320" s="8">
        <f t="shared" ref="B320:C320" si="29">B232</f>
        <v>40000</v>
      </c>
      <c r="C320" s="8" t="str">
        <f t="shared" si="29"/>
        <v>装备</v>
      </c>
      <c r="D320" s="8">
        <v>40200090</v>
      </c>
      <c r="E320" s="8"/>
      <c r="F320" s="8">
        <v>1</v>
      </c>
      <c r="G320" s="7">
        <f>3*INDEX([1]equip.xml!$I:$I,MATCH(D320&amp;"",[1]equip.xml!$A:$A,0))</f>
        <v>60000</v>
      </c>
      <c r="H320" s="8" t="str">
        <f t="shared" si="18"/>
        <v>10_10,50_20,80_30</v>
      </c>
      <c r="I320" s="8">
        <v>10</v>
      </c>
      <c r="J320" s="8">
        <f t="shared" si="19"/>
        <v>50</v>
      </c>
      <c r="K320" s="7" t="s">
        <v>309</v>
      </c>
      <c r="L320" s="8">
        <v>24</v>
      </c>
      <c r="M320" s="7">
        <f>IF(INDEX([1]equip.xml!$B:$B,MATCH(D320&amp;"",[1]equip.xml!$A:$A,0))=0,0,N320)</f>
        <v>65</v>
      </c>
      <c r="N320" s="8">
        <f t="shared" ref="N320" si="30">N232</f>
        <v>65</v>
      </c>
    </row>
    <row r="321" spans="1:14">
      <c r="A321" s="8">
        <v>10008</v>
      </c>
      <c r="B321" s="8">
        <f t="shared" ref="B321:C321" si="31">B233</f>
        <v>40000</v>
      </c>
      <c r="C321" s="8" t="str">
        <f t="shared" si="31"/>
        <v>装备</v>
      </c>
      <c r="D321" s="8">
        <v>40200100</v>
      </c>
      <c r="E321" s="8"/>
      <c r="F321" s="8">
        <v>1</v>
      </c>
      <c r="G321" s="7">
        <f>3*INDEX([1]equip.xml!$I:$I,MATCH(D321&amp;"",[1]equip.xml!$A:$A,0))</f>
        <v>60000</v>
      </c>
      <c r="H321" s="8" t="str">
        <f t="shared" si="18"/>
        <v>10_10,50_20,80_30</v>
      </c>
      <c r="I321" s="8">
        <v>10</v>
      </c>
      <c r="J321" s="8">
        <f t="shared" si="19"/>
        <v>50</v>
      </c>
      <c r="K321" s="7" t="s">
        <v>309</v>
      </c>
      <c r="L321" s="8">
        <v>24</v>
      </c>
      <c r="M321" s="7">
        <f>IF(INDEX([1]equip.xml!$B:$B,MATCH(D321&amp;"",[1]equip.xml!$A:$A,0))=0,0,N321)</f>
        <v>65</v>
      </c>
      <c r="N321" s="8">
        <f t="shared" ref="N321" si="32">N233</f>
        <v>65</v>
      </c>
    </row>
    <row r="322" spans="1:14">
      <c r="A322" s="8">
        <v>10008</v>
      </c>
      <c r="B322" s="8">
        <f t="shared" ref="B322:C322" si="33">B234</f>
        <v>40000</v>
      </c>
      <c r="C322" s="8" t="str">
        <f t="shared" si="33"/>
        <v>装备</v>
      </c>
      <c r="D322" s="8">
        <v>40201050</v>
      </c>
      <c r="E322" s="8"/>
      <c r="F322" s="8">
        <v>1</v>
      </c>
      <c r="G322" s="7">
        <f>3*INDEX([1]equip.xml!$I:$I,MATCH(D322&amp;"",[1]equip.xml!$A:$A,0))</f>
        <v>60000</v>
      </c>
      <c r="H322" s="8" t="str">
        <f t="shared" si="18"/>
        <v>10_10,50_20,80_30</v>
      </c>
      <c r="I322" s="8">
        <v>10</v>
      </c>
      <c r="J322" s="8">
        <f t="shared" si="19"/>
        <v>50</v>
      </c>
      <c r="K322" s="7" t="s">
        <v>309</v>
      </c>
      <c r="L322" s="8">
        <v>24</v>
      </c>
      <c r="M322" s="7">
        <f>IF(INDEX([1]equip.xml!$B:$B,MATCH(D322&amp;"",[1]equip.xml!$A:$A,0))=0,0,N322)</f>
        <v>65</v>
      </c>
      <c r="N322" s="8">
        <f t="shared" ref="N322" si="34">N234</f>
        <v>65</v>
      </c>
    </row>
    <row r="323" spans="1:14">
      <c r="A323" s="8">
        <v>10008</v>
      </c>
      <c r="B323" s="8">
        <f t="shared" ref="B323:C323" si="35">B235</f>
        <v>40000</v>
      </c>
      <c r="C323" s="8" t="str">
        <f t="shared" si="35"/>
        <v>装备</v>
      </c>
      <c r="D323" s="8">
        <v>40201051</v>
      </c>
      <c r="E323" s="8"/>
      <c r="F323" s="8">
        <v>1</v>
      </c>
      <c r="G323" s="7">
        <f>3*INDEX([1]equip.xml!$I:$I,MATCH(D323&amp;"",[1]equip.xml!$A:$A,0))</f>
        <v>69000</v>
      </c>
      <c r="H323" s="8" t="str">
        <f t="shared" si="18"/>
        <v>10_10,50_20,80_30</v>
      </c>
      <c r="I323" s="8">
        <v>10</v>
      </c>
      <c r="J323" s="8">
        <f t="shared" si="19"/>
        <v>50</v>
      </c>
      <c r="K323" s="7" t="s">
        <v>309</v>
      </c>
      <c r="L323" s="8">
        <v>24</v>
      </c>
      <c r="M323" s="7">
        <f>IF(INDEX([1]equip.xml!$B:$B,MATCH(D323&amp;"",[1]equip.xml!$A:$A,0))=0,0,N323)</f>
        <v>0</v>
      </c>
      <c r="N323" s="8">
        <f t="shared" ref="N323" si="36">N235</f>
        <v>65</v>
      </c>
    </row>
    <row r="324" spans="1:14">
      <c r="A324" s="8">
        <v>10008</v>
      </c>
      <c r="B324" s="8">
        <f t="shared" ref="B324:C324" si="37">B236</f>
        <v>40000</v>
      </c>
      <c r="C324" s="8" t="str">
        <f t="shared" si="37"/>
        <v>装备</v>
      </c>
      <c r="D324" s="8">
        <v>40201060</v>
      </c>
      <c r="E324" s="8"/>
      <c r="F324" s="8">
        <v>1</v>
      </c>
      <c r="G324" s="7">
        <f>3*INDEX([1]equip.xml!$I:$I,MATCH(D324&amp;"",[1]equip.xml!$A:$A,0))</f>
        <v>60000</v>
      </c>
      <c r="H324" s="8" t="str">
        <f t="shared" si="18"/>
        <v>10_10,50_20,80_30</v>
      </c>
      <c r="I324" s="8">
        <v>10</v>
      </c>
      <c r="J324" s="8">
        <f t="shared" si="19"/>
        <v>50</v>
      </c>
      <c r="K324" s="7" t="s">
        <v>309</v>
      </c>
      <c r="L324" s="8">
        <v>24</v>
      </c>
      <c r="M324" s="7">
        <f>IF(INDEX([1]equip.xml!$B:$B,MATCH(D324&amp;"",[1]equip.xml!$A:$A,0))=0,0,N324)</f>
        <v>65</v>
      </c>
      <c r="N324" s="8">
        <f t="shared" ref="N324" si="38">N236</f>
        <v>65</v>
      </c>
    </row>
    <row r="325" spans="1:14">
      <c r="A325" s="8">
        <v>10008</v>
      </c>
      <c r="B325" s="8">
        <f t="shared" ref="B325:C325" si="39">B237</f>
        <v>40000</v>
      </c>
      <c r="C325" s="8" t="str">
        <f t="shared" si="39"/>
        <v>装备</v>
      </c>
      <c r="D325" s="8">
        <v>40201061</v>
      </c>
      <c r="E325" s="8"/>
      <c r="F325" s="8">
        <v>1</v>
      </c>
      <c r="G325" s="7">
        <f>3*INDEX([1]equip.xml!$I:$I,MATCH(D325&amp;"",[1]equip.xml!$A:$A,0))</f>
        <v>69000</v>
      </c>
      <c r="H325" s="8" t="str">
        <f t="shared" si="18"/>
        <v>10_10,50_20,80_30</v>
      </c>
      <c r="I325" s="8">
        <v>10</v>
      </c>
      <c r="J325" s="8">
        <f t="shared" si="19"/>
        <v>50</v>
      </c>
      <c r="K325" s="7" t="s">
        <v>309</v>
      </c>
      <c r="L325" s="8">
        <v>24</v>
      </c>
      <c r="M325" s="7">
        <f>IF(INDEX([1]equip.xml!$B:$B,MATCH(D325&amp;"",[1]equip.xml!$A:$A,0))=0,0,N325)</f>
        <v>0</v>
      </c>
      <c r="N325" s="8">
        <f t="shared" ref="N325" si="40">N237</f>
        <v>65</v>
      </c>
    </row>
    <row r="326" spans="1:14">
      <c r="A326" s="8">
        <v>10008</v>
      </c>
      <c r="B326" s="8">
        <f t="shared" ref="B326:C326" si="41">B238</f>
        <v>40000</v>
      </c>
      <c r="C326" s="8" t="str">
        <f t="shared" si="41"/>
        <v>装备</v>
      </c>
      <c r="D326" s="8">
        <v>40202050</v>
      </c>
      <c r="E326" s="8"/>
      <c r="F326" s="8">
        <v>1</v>
      </c>
      <c r="G326" s="7">
        <f>3*INDEX([1]equip.xml!$I:$I,MATCH(D326&amp;"",[1]equip.xml!$A:$A,0))</f>
        <v>60000</v>
      </c>
      <c r="H326" s="8" t="str">
        <f t="shared" si="18"/>
        <v>10_10,50_20,80_30</v>
      </c>
      <c r="I326" s="8">
        <v>10</v>
      </c>
      <c r="J326" s="8">
        <f t="shared" si="19"/>
        <v>50</v>
      </c>
      <c r="K326" s="7" t="s">
        <v>309</v>
      </c>
      <c r="L326" s="8">
        <v>24</v>
      </c>
      <c r="M326" s="7">
        <f>IF(INDEX([1]equip.xml!$B:$B,MATCH(D326&amp;"",[1]equip.xml!$A:$A,0))=0,0,N326)</f>
        <v>65</v>
      </c>
      <c r="N326" s="8">
        <f t="shared" ref="N326" si="42">N238</f>
        <v>65</v>
      </c>
    </row>
    <row r="327" spans="1:14">
      <c r="A327" s="8">
        <v>10008</v>
      </c>
      <c r="B327" s="8">
        <f t="shared" ref="B327:C327" si="43">B239</f>
        <v>40000</v>
      </c>
      <c r="C327" s="8" t="str">
        <f t="shared" si="43"/>
        <v>装备</v>
      </c>
      <c r="D327" s="8">
        <v>40202051</v>
      </c>
      <c r="E327" s="8"/>
      <c r="F327" s="8">
        <v>1</v>
      </c>
      <c r="G327" s="7">
        <f>3*INDEX([1]equip.xml!$I:$I,MATCH(D327&amp;"",[1]equip.xml!$A:$A,0))</f>
        <v>69000</v>
      </c>
      <c r="H327" s="8" t="str">
        <f t="shared" si="18"/>
        <v>10_10,50_20,80_30</v>
      </c>
      <c r="I327" s="8">
        <v>10</v>
      </c>
      <c r="J327" s="8">
        <f t="shared" si="19"/>
        <v>50</v>
      </c>
      <c r="K327" s="7" t="s">
        <v>309</v>
      </c>
      <c r="L327" s="8">
        <v>24</v>
      </c>
      <c r="M327" s="7">
        <f>IF(INDEX([1]equip.xml!$B:$B,MATCH(D327&amp;"",[1]equip.xml!$A:$A,0))=0,0,N327)</f>
        <v>0</v>
      </c>
      <c r="N327" s="8">
        <f t="shared" ref="N327" si="44">N239</f>
        <v>65</v>
      </c>
    </row>
    <row r="328" spans="1:14">
      <c r="A328" s="8">
        <v>10008</v>
      </c>
      <c r="B328" s="8">
        <f t="shared" ref="B328:C328" si="45">B240</f>
        <v>40000</v>
      </c>
      <c r="C328" s="8" t="str">
        <f t="shared" si="45"/>
        <v>装备</v>
      </c>
      <c r="D328" s="8">
        <v>40202060</v>
      </c>
      <c r="E328" s="8"/>
      <c r="F328" s="8">
        <v>1</v>
      </c>
      <c r="G328" s="7">
        <f>3*INDEX([1]equip.xml!$I:$I,MATCH(D328&amp;"",[1]equip.xml!$A:$A,0))</f>
        <v>60000</v>
      </c>
      <c r="H328" s="8" t="str">
        <f t="shared" si="18"/>
        <v>10_10,50_20,80_30</v>
      </c>
      <c r="I328" s="8">
        <v>10</v>
      </c>
      <c r="J328" s="8">
        <f t="shared" si="19"/>
        <v>50</v>
      </c>
      <c r="K328" s="7" t="s">
        <v>309</v>
      </c>
      <c r="L328" s="8">
        <v>24</v>
      </c>
      <c r="M328" s="7">
        <f>IF(INDEX([1]equip.xml!$B:$B,MATCH(D328&amp;"",[1]equip.xml!$A:$A,0))=0,0,N328)</f>
        <v>65</v>
      </c>
      <c r="N328" s="8">
        <f t="shared" ref="N328" si="46">N240</f>
        <v>65</v>
      </c>
    </row>
    <row r="329" spans="1:14">
      <c r="A329" s="8">
        <v>10008</v>
      </c>
      <c r="B329" s="8">
        <f t="shared" ref="B329:C329" si="47">B241</f>
        <v>40000</v>
      </c>
      <c r="C329" s="8" t="str">
        <f t="shared" si="47"/>
        <v>装备</v>
      </c>
      <c r="D329" s="8">
        <v>40202061</v>
      </c>
      <c r="E329" s="8"/>
      <c r="F329" s="8">
        <v>1</v>
      </c>
      <c r="G329" s="7">
        <f>3*INDEX([1]equip.xml!$I:$I,MATCH(D329&amp;"",[1]equip.xml!$A:$A,0))</f>
        <v>69000</v>
      </c>
      <c r="H329" s="8" t="str">
        <f t="shared" si="18"/>
        <v>10_10,50_20,80_30</v>
      </c>
      <c r="I329" s="8">
        <v>10</v>
      </c>
      <c r="J329" s="8">
        <f t="shared" si="19"/>
        <v>50</v>
      </c>
      <c r="K329" s="7" t="s">
        <v>309</v>
      </c>
      <c r="L329" s="8">
        <v>24</v>
      </c>
      <c r="M329" s="7">
        <f>IF(INDEX([1]equip.xml!$B:$B,MATCH(D329&amp;"",[1]equip.xml!$A:$A,0))=0,0,N329)</f>
        <v>0</v>
      </c>
      <c r="N329" s="8">
        <f t="shared" ref="N329" si="48">N241</f>
        <v>65</v>
      </c>
    </row>
    <row r="330" spans="1:14">
      <c r="A330" s="8">
        <v>10008</v>
      </c>
      <c r="B330" s="8">
        <f t="shared" ref="B330:C330" si="49">B242</f>
        <v>40000</v>
      </c>
      <c r="C330" s="8" t="str">
        <f t="shared" si="49"/>
        <v>装备</v>
      </c>
      <c r="D330" s="8">
        <v>40203050</v>
      </c>
      <c r="E330" s="8"/>
      <c r="F330" s="8">
        <v>1</v>
      </c>
      <c r="G330" s="7">
        <f>3*INDEX([1]equip.xml!$I:$I,MATCH(D330&amp;"",[1]equip.xml!$A:$A,0))</f>
        <v>60000</v>
      </c>
      <c r="H330" s="8" t="str">
        <f t="shared" si="18"/>
        <v>10_10,50_20,80_30</v>
      </c>
      <c r="I330" s="8">
        <v>10</v>
      </c>
      <c r="J330" s="8">
        <f t="shared" si="19"/>
        <v>50</v>
      </c>
      <c r="K330" s="7" t="s">
        <v>309</v>
      </c>
      <c r="L330" s="8">
        <v>24</v>
      </c>
      <c r="M330" s="7">
        <f>IF(INDEX([1]equip.xml!$B:$B,MATCH(D330&amp;"",[1]equip.xml!$A:$A,0))=0,0,N330)</f>
        <v>65</v>
      </c>
      <c r="N330" s="8">
        <f t="shared" ref="N330" si="50">N242</f>
        <v>65</v>
      </c>
    </row>
    <row r="331" spans="1:14">
      <c r="A331" s="8">
        <v>10008</v>
      </c>
      <c r="B331" s="8">
        <f t="shared" ref="B331:C331" si="51">B243</f>
        <v>40000</v>
      </c>
      <c r="C331" s="8" t="str">
        <f t="shared" si="51"/>
        <v>装备</v>
      </c>
      <c r="D331" s="8">
        <v>40203051</v>
      </c>
      <c r="E331" s="8"/>
      <c r="F331" s="8">
        <v>1</v>
      </c>
      <c r="G331" s="7">
        <f>3*INDEX([1]equip.xml!$I:$I,MATCH(D331&amp;"",[1]equip.xml!$A:$A,0))</f>
        <v>69000</v>
      </c>
      <c r="H331" s="8" t="str">
        <f t="shared" si="18"/>
        <v>10_10,50_20,80_30</v>
      </c>
      <c r="I331" s="8">
        <v>10</v>
      </c>
      <c r="J331" s="8">
        <f t="shared" si="19"/>
        <v>50</v>
      </c>
      <c r="K331" s="7" t="s">
        <v>309</v>
      </c>
      <c r="L331" s="8">
        <v>24</v>
      </c>
      <c r="M331" s="7">
        <f>IF(INDEX([1]equip.xml!$B:$B,MATCH(D331&amp;"",[1]equip.xml!$A:$A,0))=0,0,N331)</f>
        <v>65</v>
      </c>
      <c r="N331" s="8">
        <f t="shared" ref="N331" si="52">N243</f>
        <v>65</v>
      </c>
    </row>
    <row r="332" spans="1:14">
      <c r="A332" s="8">
        <v>10008</v>
      </c>
      <c r="B332" s="8">
        <f t="shared" ref="B332:C332" si="53">B244</f>
        <v>40000</v>
      </c>
      <c r="C332" s="8" t="str">
        <f t="shared" si="53"/>
        <v>装备</v>
      </c>
      <c r="D332" s="8">
        <v>40203060</v>
      </c>
      <c r="E332" s="8"/>
      <c r="F332" s="8">
        <v>1</v>
      </c>
      <c r="G332" s="7">
        <f>3*INDEX([1]equip.xml!$I:$I,MATCH(D332&amp;"",[1]equip.xml!$A:$A,0))</f>
        <v>60000</v>
      </c>
      <c r="H332" s="8" t="str">
        <f t="shared" si="18"/>
        <v>10_10,50_20,80_30</v>
      </c>
      <c r="I332" s="8">
        <v>10</v>
      </c>
      <c r="J332" s="8">
        <f t="shared" si="19"/>
        <v>50</v>
      </c>
      <c r="K332" s="7" t="s">
        <v>309</v>
      </c>
      <c r="L332" s="8">
        <v>24</v>
      </c>
      <c r="M332" s="7">
        <f>IF(INDEX([1]equip.xml!$B:$B,MATCH(D332&amp;"",[1]equip.xml!$A:$A,0))=0,0,N332)</f>
        <v>65</v>
      </c>
      <c r="N332" s="8">
        <f t="shared" ref="N332" si="54">N244</f>
        <v>65</v>
      </c>
    </row>
    <row r="333" spans="1:14">
      <c r="A333" s="8">
        <v>10008</v>
      </c>
      <c r="B333" s="8">
        <f t="shared" ref="B333:C333" si="55">B245</f>
        <v>40000</v>
      </c>
      <c r="C333" s="8" t="str">
        <f t="shared" si="55"/>
        <v>装备</v>
      </c>
      <c r="D333" s="8">
        <v>40203061</v>
      </c>
      <c r="E333" s="8"/>
      <c r="F333" s="8">
        <v>1</v>
      </c>
      <c r="G333" s="7">
        <f>3*INDEX([1]equip.xml!$I:$I,MATCH(D333&amp;"",[1]equip.xml!$A:$A,0))</f>
        <v>69000</v>
      </c>
      <c r="H333" s="8" t="str">
        <f t="shared" si="18"/>
        <v>10_10,50_20,80_30</v>
      </c>
      <c r="I333" s="8">
        <v>10</v>
      </c>
      <c r="J333" s="8">
        <f t="shared" si="19"/>
        <v>50</v>
      </c>
      <c r="K333" s="7" t="s">
        <v>309</v>
      </c>
      <c r="L333" s="8">
        <v>24</v>
      </c>
      <c r="M333" s="7">
        <f>IF(INDEX([1]equip.xml!$B:$B,MATCH(D333&amp;"",[1]equip.xml!$A:$A,0))=0,0,N333)</f>
        <v>0</v>
      </c>
      <c r="N333" s="8">
        <f t="shared" ref="N333" si="56">N245</f>
        <v>65</v>
      </c>
    </row>
    <row r="334" spans="1:14">
      <c r="A334" s="8">
        <v>10008</v>
      </c>
      <c r="B334" s="8">
        <f t="shared" ref="B334:C334" si="57">B246</f>
        <v>40000</v>
      </c>
      <c r="C334" s="8" t="str">
        <f t="shared" si="57"/>
        <v>装备</v>
      </c>
      <c r="D334" s="8">
        <v>40200040</v>
      </c>
      <c r="E334" s="8"/>
      <c r="F334" s="8">
        <v>1</v>
      </c>
      <c r="G334" s="7">
        <f>3*INDEX([1]equip.xml!$I:$I,MATCH(D334&amp;"",[1]equip.xml!$A:$A,0))</f>
        <v>60000</v>
      </c>
      <c r="H334" s="8" t="str">
        <f t="shared" si="18"/>
        <v>10_10,50_20,80_30</v>
      </c>
      <c r="I334" s="8">
        <v>10</v>
      </c>
      <c r="J334" s="8">
        <f t="shared" si="19"/>
        <v>50</v>
      </c>
      <c r="K334" s="7" t="s">
        <v>309</v>
      </c>
      <c r="L334" s="8">
        <v>24</v>
      </c>
      <c r="M334" s="7">
        <f>IF(INDEX([1]equip.xml!$B:$B,MATCH(D334&amp;"",[1]equip.xml!$A:$A,0))=0,0,N334)</f>
        <v>65</v>
      </c>
      <c r="N334" s="8">
        <f t="shared" ref="N334" si="58">N246</f>
        <v>65</v>
      </c>
    </row>
    <row r="335" spans="1:14">
      <c r="A335" s="8">
        <v>10008</v>
      </c>
      <c r="B335" s="8">
        <f t="shared" ref="B335:C335" si="59">B247</f>
        <v>40000</v>
      </c>
      <c r="C335" s="8" t="str">
        <f t="shared" si="59"/>
        <v>装备</v>
      </c>
      <c r="D335" s="8">
        <v>40200041</v>
      </c>
      <c r="E335" s="8"/>
      <c r="F335" s="8">
        <v>1</v>
      </c>
      <c r="G335" s="7">
        <f>3*INDEX([1]equip.xml!$I:$I,MATCH(D335&amp;"",[1]equip.xml!$A:$A,0))</f>
        <v>69000</v>
      </c>
      <c r="H335" s="8" t="str">
        <f t="shared" si="18"/>
        <v>10_10,50_20,80_30</v>
      </c>
      <c r="I335" s="8">
        <v>10</v>
      </c>
      <c r="J335" s="8">
        <f t="shared" si="19"/>
        <v>50</v>
      </c>
      <c r="K335" s="7" t="s">
        <v>309</v>
      </c>
      <c r="L335" s="8">
        <v>24</v>
      </c>
      <c r="M335" s="7">
        <f>IF(INDEX([1]equip.xml!$B:$B,MATCH(D335&amp;"",[1]equip.xml!$A:$A,0))=0,0,N335)</f>
        <v>65</v>
      </c>
      <c r="N335" s="8">
        <f t="shared" ref="N335" si="60">N247</f>
        <v>65</v>
      </c>
    </row>
    <row r="336" spans="1:14">
      <c r="A336" s="8">
        <v>10008</v>
      </c>
      <c r="B336" s="8">
        <f t="shared" ref="B336:C336" si="61">B248</f>
        <v>40000</v>
      </c>
      <c r="C336" s="8" t="str">
        <f t="shared" si="61"/>
        <v>装备</v>
      </c>
      <c r="D336" s="8">
        <v>40200070</v>
      </c>
      <c r="E336" s="8"/>
      <c r="F336" s="8">
        <v>1</v>
      </c>
      <c r="G336" s="7">
        <f>3*INDEX([1]equip.xml!$I:$I,MATCH(D336&amp;"",[1]equip.xml!$A:$A,0))</f>
        <v>60000</v>
      </c>
      <c r="H336" s="8" t="str">
        <f t="shared" si="18"/>
        <v>10_10,50_20,80_30</v>
      </c>
      <c r="I336" s="8">
        <v>10</v>
      </c>
      <c r="J336" s="8">
        <f t="shared" si="19"/>
        <v>50</v>
      </c>
      <c r="K336" s="7" t="s">
        <v>309</v>
      </c>
      <c r="L336" s="8">
        <v>24</v>
      </c>
      <c r="M336" s="7">
        <f>IF(INDEX([1]equip.xml!$B:$B,MATCH(D336&amp;"",[1]equip.xml!$A:$A,0))=0,0,N336)</f>
        <v>65</v>
      </c>
      <c r="N336" s="8">
        <f t="shared" ref="N336" si="62">N248</f>
        <v>65</v>
      </c>
    </row>
    <row r="337" spans="1:14">
      <c r="A337" s="8">
        <v>10008</v>
      </c>
      <c r="B337" s="8">
        <f t="shared" ref="B337:C337" si="63">B249</f>
        <v>40000</v>
      </c>
      <c r="C337" s="8" t="str">
        <f t="shared" si="63"/>
        <v>装备</v>
      </c>
      <c r="D337" s="8">
        <v>40200071</v>
      </c>
      <c r="E337" s="8"/>
      <c r="F337" s="8">
        <v>1</v>
      </c>
      <c r="G337" s="7">
        <f>3*INDEX([1]equip.xml!$I:$I,MATCH(D337&amp;"",[1]equip.xml!$A:$A,0))</f>
        <v>69000</v>
      </c>
      <c r="H337" s="8" t="str">
        <f t="shared" si="18"/>
        <v>10_10,50_20,80_30</v>
      </c>
      <c r="I337" s="8">
        <v>10</v>
      </c>
      <c r="J337" s="8">
        <f t="shared" si="19"/>
        <v>50</v>
      </c>
      <c r="K337" s="7" t="s">
        <v>309</v>
      </c>
      <c r="L337" s="8">
        <v>24</v>
      </c>
      <c r="M337" s="7">
        <f>IF(INDEX([1]equip.xml!$B:$B,MATCH(D337&amp;"",[1]equip.xml!$A:$A,0))=0,0,N337)</f>
        <v>65</v>
      </c>
      <c r="N337" s="8">
        <f t="shared" ref="N337" si="64">N249</f>
        <v>65</v>
      </c>
    </row>
    <row r="338" spans="1:14">
      <c r="A338" s="8">
        <v>10008</v>
      </c>
      <c r="B338" s="8">
        <f t="shared" ref="B338:C338" si="65">B250</f>
        <v>40000</v>
      </c>
      <c r="C338" s="8" t="str">
        <f t="shared" si="65"/>
        <v>装备</v>
      </c>
      <c r="D338" s="7">
        <f>D294+10000005</f>
        <v>50150015</v>
      </c>
      <c r="E338" s="8"/>
      <c r="F338" s="8">
        <v>1</v>
      </c>
      <c r="G338" s="8">
        <f>3*INDEX([1]equip.xml!$I:$I,MATCH(D338,[1]equip.xml!$A:$A,0))</f>
        <v>90000</v>
      </c>
      <c r="H338" s="8" t="str">
        <f t="shared" si="18"/>
        <v>10_10,50_20,80_30</v>
      </c>
      <c r="I338" s="8">
        <v>10</v>
      </c>
      <c r="J338" s="8">
        <f t="shared" si="19"/>
        <v>240</v>
      </c>
      <c r="K338" s="7" t="s">
        <v>309</v>
      </c>
      <c r="L338" s="8">
        <v>24</v>
      </c>
      <c r="M338" s="7">
        <f>IF(INDEX([1]equip.xml!$B:$B,MATCH(D338,[1]equip.xml!$A:$A,0))=0,0,N338)</f>
        <v>0</v>
      </c>
      <c r="N338" s="8">
        <f t="shared" ref="N338" si="66">N250</f>
        <v>70</v>
      </c>
    </row>
    <row r="339" spans="1:14">
      <c r="A339" s="8">
        <v>10008</v>
      </c>
      <c r="B339" s="8">
        <f t="shared" ref="B339:C339" si="67">B251</f>
        <v>40000</v>
      </c>
      <c r="C339" s="8" t="str">
        <f t="shared" si="67"/>
        <v>装备</v>
      </c>
      <c r="D339" s="7">
        <f t="shared" ref="D339:D381" si="68">D295+10000005</f>
        <v>50150025</v>
      </c>
      <c r="E339" s="8"/>
      <c r="F339" s="8">
        <v>1</v>
      </c>
      <c r="G339" s="8">
        <f>3*INDEX([1]equip.xml!$I:$I,MATCH(D339,[1]equip.xml!$A:$A,0))</f>
        <v>90000</v>
      </c>
      <c r="H339" s="8" t="str">
        <f t="shared" si="18"/>
        <v>10_10,50_20,80_30</v>
      </c>
      <c r="I339" s="8">
        <v>10</v>
      </c>
      <c r="J339" s="8">
        <f t="shared" si="19"/>
        <v>240</v>
      </c>
      <c r="K339" s="7" t="s">
        <v>309</v>
      </c>
      <c r="L339" s="8">
        <v>24</v>
      </c>
      <c r="M339" s="7">
        <f>IF(INDEX([1]equip.xml!$B:$B,MATCH(D339,[1]equip.xml!$A:$A,0))=0,0,N339)</f>
        <v>0</v>
      </c>
      <c r="N339" s="8">
        <f t="shared" ref="N339" si="69">N251</f>
        <v>70</v>
      </c>
    </row>
    <row r="340" spans="1:14">
      <c r="A340" s="8">
        <v>10008</v>
      </c>
      <c r="B340" s="8">
        <f t="shared" ref="B340:C340" si="70">B252</f>
        <v>40000</v>
      </c>
      <c r="C340" s="8" t="str">
        <f t="shared" si="70"/>
        <v>装备</v>
      </c>
      <c r="D340" s="7">
        <f t="shared" si="68"/>
        <v>50150035</v>
      </c>
      <c r="E340" s="8"/>
      <c r="F340" s="8">
        <v>1</v>
      </c>
      <c r="G340" s="8">
        <f>3*INDEX([1]equip.xml!$I:$I,MATCH(D340,[1]equip.xml!$A:$A,0))</f>
        <v>90000</v>
      </c>
      <c r="H340" s="8" t="str">
        <f t="shared" si="18"/>
        <v>10_10,50_20,80_30</v>
      </c>
      <c r="I340" s="8">
        <v>10</v>
      </c>
      <c r="J340" s="8">
        <f t="shared" si="19"/>
        <v>240</v>
      </c>
      <c r="K340" s="7" t="s">
        <v>309</v>
      </c>
      <c r="L340" s="8">
        <v>24</v>
      </c>
      <c r="M340" s="7">
        <f>IF(INDEX([1]equip.xml!$B:$B,MATCH(D340,[1]equip.xml!$A:$A,0))=0,0,N340)</f>
        <v>70</v>
      </c>
      <c r="N340" s="8">
        <f t="shared" ref="N340" si="71">N252</f>
        <v>70</v>
      </c>
    </row>
    <row r="341" spans="1:14">
      <c r="A341" s="8">
        <v>10008</v>
      </c>
      <c r="B341" s="8">
        <f t="shared" ref="B341:C341" si="72">B253</f>
        <v>40000</v>
      </c>
      <c r="C341" s="8" t="str">
        <f t="shared" si="72"/>
        <v>装备</v>
      </c>
      <c r="D341" s="7">
        <f t="shared" si="68"/>
        <v>50150085</v>
      </c>
      <c r="E341" s="8"/>
      <c r="F341" s="8">
        <v>1</v>
      </c>
      <c r="G341" s="8">
        <f>3*INDEX([1]equip.xml!$I:$I,MATCH(D341,[1]equip.xml!$A:$A,0))</f>
        <v>90000</v>
      </c>
      <c r="H341" s="8" t="str">
        <f t="shared" si="18"/>
        <v>10_10,50_20,80_30</v>
      </c>
      <c r="I341" s="8">
        <v>10</v>
      </c>
      <c r="J341" s="8">
        <f t="shared" si="19"/>
        <v>240</v>
      </c>
      <c r="K341" s="7" t="s">
        <v>309</v>
      </c>
      <c r="L341" s="8">
        <v>24</v>
      </c>
      <c r="M341" s="7">
        <f>IF(INDEX([1]equip.xml!$B:$B,MATCH(D341,[1]equip.xml!$A:$A,0))=0,0,N341)</f>
        <v>70</v>
      </c>
      <c r="N341" s="8">
        <f t="shared" ref="N341" si="73">N253</f>
        <v>70</v>
      </c>
    </row>
    <row r="342" spans="1:14">
      <c r="A342" s="8">
        <v>10008</v>
      </c>
      <c r="B342" s="8">
        <f t="shared" ref="B342:C342" si="74">B254</f>
        <v>40000</v>
      </c>
      <c r="C342" s="8" t="str">
        <f t="shared" si="74"/>
        <v>装备</v>
      </c>
      <c r="D342" s="7">
        <f t="shared" si="68"/>
        <v>50150095</v>
      </c>
      <c r="E342" s="8"/>
      <c r="F342" s="8">
        <v>1</v>
      </c>
      <c r="G342" s="8">
        <f>3*INDEX([1]equip.xml!$I:$I,MATCH(D342,[1]equip.xml!$A:$A,0))</f>
        <v>90000</v>
      </c>
      <c r="H342" s="8" t="str">
        <f t="shared" si="18"/>
        <v>10_10,50_20,80_30</v>
      </c>
      <c r="I342" s="8">
        <v>10</v>
      </c>
      <c r="J342" s="8">
        <f t="shared" si="19"/>
        <v>240</v>
      </c>
      <c r="K342" s="7" t="s">
        <v>309</v>
      </c>
      <c r="L342" s="8">
        <v>24</v>
      </c>
      <c r="M342" s="7">
        <f>IF(INDEX([1]equip.xml!$B:$B,MATCH(D342,[1]equip.xml!$A:$A,0))=0,0,N342)</f>
        <v>70</v>
      </c>
      <c r="N342" s="8">
        <f t="shared" ref="N342" si="75">N254</f>
        <v>70</v>
      </c>
    </row>
    <row r="343" spans="1:14">
      <c r="A343" s="8">
        <v>10008</v>
      </c>
      <c r="B343" s="8">
        <f t="shared" ref="B343:C343" si="76">B255</f>
        <v>40000</v>
      </c>
      <c r="C343" s="8" t="str">
        <f t="shared" si="76"/>
        <v>装备</v>
      </c>
      <c r="D343" s="7">
        <f t="shared" si="68"/>
        <v>50150105</v>
      </c>
      <c r="E343" s="8"/>
      <c r="F343" s="8">
        <v>1</v>
      </c>
      <c r="G343" s="8">
        <f>3*INDEX([1]equip.xml!$I:$I,MATCH(D343,[1]equip.xml!$A:$A,0))</f>
        <v>90000</v>
      </c>
      <c r="H343" s="8" t="str">
        <f t="shared" si="18"/>
        <v>10_10,50_20,80_30</v>
      </c>
      <c r="I343" s="8">
        <v>10</v>
      </c>
      <c r="J343" s="8">
        <f t="shared" si="19"/>
        <v>240</v>
      </c>
      <c r="K343" s="7" t="s">
        <v>309</v>
      </c>
      <c r="L343" s="8">
        <v>24</v>
      </c>
      <c r="M343" s="7">
        <f>IF(INDEX([1]equip.xml!$B:$B,MATCH(D343,[1]equip.xml!$A:$A,0))=0,0,N343)</f>
        <v>70</v>
      </c>
      <c r="N343" s="8">
        <f t="shared" ref="N343" si="77">N255</f>
        <v>70</v>
      </c>
    </row>
    <row r="344" spans="1:14">
      <c r="A344" s="8">
        <v>10008</v>
      </c>
      <c r="B344" s="8">
        <f t="shared" ref="B344:C344" si="78">B256</f>
        <v>40000</v>
      </c>
      <c r="C344" s="8" t="str">
        <f t="shared" si="78"/>
        <v>装备</v>
      </c>
      <c r="D344" s="7">
        <f t="shared" si="68"/>
        <v>50151055</v>
      </c>
      <c r="E344" s="8"/>
      <c r="F344" s="8">
        <v>1</v>
      </c>
      <c r="G344" s="8">
        <f>3*INDEX([1]equip.xml!$I:$I,MATCH(D344,[1]equip.xml!$A:$A,0))</f>
        <v>90000</v>
      </c>
      <c r="H344" s="8" t="str">
        <f t="shared" si="18"/>
        <v>10_10,50_20,80_30</v>
      </c>
      <c r="I344" s="8">
        <v>10</v>
      </c>
      <c r="J344" s="8">
        <f t="shared" si="19"/>
        <v>240</v>
      </c>
      <c r="K344" s="7" t="s">
        <v>309</v>
      </c>
      <c r="L344" s="8">
        <v>24</v>
      </c>
      <c r="M344" s="7">
        <f>IF(INDEX([1]equip.xml!$B:$B,MATCH(D344,[1]equip.xml!$A:$A,0))=0,0,N344)</f>
        <v>70</v>
      </c>
      <c r="N344" s="8">
        <f t="shared" ref="N344" si="79">N256</f>
        <v>70</v>
      </c>
    </row>
    <row r="345" spans="1:14">
      <c r="A345" s="8">
        <v>10008</v>
      </c>
      <c r="B345" s="8">
        <f t="shared" ref="B345:C345" si="80">B257</f>
        <v>40000</v>
      </c>
      <c r="C345" s="8" t="str">
        <f t="shared" si="80"/>
        <v>装备</v>
      </c>
      <c r="D345" s="7">
        <f t="shared" si="68"/>
        <v>50151056</v>
      </c>
      <c r="E345" s="8"/>
      <c r="F345" s="8">
        <v>1</v>
      </c>
      <c r="G345" s="8">
        <f>3*INDEX([1]equip.xml!$I:$I,MATCH(D345,[1]equip.xml!$A:$A,0))</f>
        <v>108000</v>
      </c>
      <c r="H345" s="8" t="str">
        <f t="shared" si="18"/>
        <v>10_10,50_20,80_30</v>
      </c>
      <c r="I345" s="8">
        <v>10</v>
      </c>
      <c r="J345" s="8">
        <f t="shared" si="19"/>
        <v>240</v>
      </c>
      <c r="K345" s="7" t="s">
        <v>309</v>
      </c>
      <c r="L345" s="8">
        <v>24</v>
      </c>
      <c r="M345" s="7">
        <f>IF(INDEX([1]equip.xml!$B:$B,MATCH(D345,[1]equip.xml!$A:$A,0))=0,0,N345)</f>
        <v>70</v>
      </c>
      <c r="N345" s="8">
        <f t="shared" ref="N345" si="81">N257</f>
        <v>70</v>
      </c>
    </row>
    <row r="346" spans="1:14">
      <c r="A346" s="8">
        <v>10008</v>
      </c>
      <c r="B346" s="8">
        <f t="shared" ref="B346:C346" si="82">B258</f>
        <v>40000</v>
      </c>
      <c r="C346" s="8" t="str">
        <f t="shared" si="82"/>
        <v>装备</v>
      </c>
      <c r="D346" s="7">
        <f t="shared" si="68"/>
        <v>50151065</v>
      </c>
      <c r="E346" s="8"/>
      <c r="F346" s="8">
        <v>1</v>
      </c>
      <c r="G346" s="8">
        <f>3*INDEX([1]equip.xml!$I:$I,MATCH(D346,[1]equip.xml!$A:$A,0))</f>
        <v>90000</v>
      </c>
      <c r="H346" s="8" t="str">
        <f t="shared" si="18"/>
        <v>10_10,50_20,80_30</v>
      </c>
      <c r="I346" s="8">
        <v>10</v>
      </c>
      <c r="J346" s="8">
        <f t="shared" si="19"/>
        <v>240</v>
      </c>
      <c r="K346" s="7" t="s">
        <v>309</v>
      </c>
      <c r="L346" s="8">
        <v>24</v>
      </c>
      <c r="M346" s="7">
        <f>IF(INDEX([1]equip.xml!$B:$B,MATCH(D346,[1]equip.xml!$A:$A,0))=0,0,N346)</f>
        <v>70</v>
      </c>
      <c r="N346" s="8">
        <f t="shared" ref="N346" si="83">N258</f>
        <v>70</v>
      </c>
    </row>
    <row r="347" spans="1:14">
      <c r="A347" s="8">
        <v>10008</v>
      </c>
      <c r="B347" s="8">
        <f t="shared" ref="B347:C347" si="84">B259</f>
        <v>40000</v>
      </c>
      <c r="C347" s="8" t="str">
        <f t="shared" si="84"/>
        <v>装备</v>
      </c>
      <c r="D347" s="7">
        <f t="shared" si="68"/>
        <v>50151066</v>
      </c>
      <c r="E347" s="8"/>
      <c r="F347" s="8">
        <v>1</v>
      </c>
      <c r="G347" s="8">
        <f>3*INDEX([1]equip.xml!$I:$I,MATCH(D347,[1]equip.xml!$A:$A,0))</f>
        <v>108000</v>
      </c>
      <c r="H347" s="8" t="str">
        <f t="shared" si="18"/>
        <v>10_10,50_20,80_30</v>
      </c>
      <c r="I347" s="8">
        <v>10</v>
      </c>
      <c r="J347" s="8">
        <f t="shared" si="19"/>
        <v>240</v>
      </c>
      <c r="K347" s="7" t="s">
        <v>309</v>
      </c>
      <c r="L347" s="8">
        <v>24</v>
      </c>
      <c r="M347" s="7">
        <f>IF(INDEX([1]equip.xml!$B:$B,MATCH(D347,[1]equip.xml!$A:$A,0))=0,0,N347)</f>
        <v>0</v>
      </c>
      <c r="N347" s="8">
        <f t="shared" ref="N347" si="85">N259</f>
        <v>70</v>
      </c>
    </row>
    <row r="348" spans="1:14">
      <c r="A348" s="8">
        <v>10008</v>
      </c>
      <c r="B348" s="8">
        <f t="shared" ref="B348:C348" si="86">B260</f>
        <v>40000</v>
      </c>
      <c r="C348" s="8" t="str">
        <f t="shared" si="86"/>
        <v>装备</v>
      </c>
      <c r="D348" s="7">
        <f t="shared" si="68"/>
        <v>50152055</v>
      </c>
      <c r="E348" s="8"/>
      <c r="F348" s="8">
        <v>1</v>
      </c>
      <c r="G348" s="8">
        <f>3*INDEX([1]equip.xml!$I:$I,MATCH(D348,[1]equip.xml!$A:$A,0))</f>
        <v>90000</v>
      </c>
      <c r="H348" s="8" t="str">
        <f t="shared" si="18"/>
        <v>10_10,50_20,80_30</v>
      </c>
      <c r="I348" s="8">
        <v>10</v>
      </c>
      <c r="J348" s="8">
        <f t="shared" si="19"/>
        <v>240</v>
      </c>
      <c r="K348" s="7" t="s">
        <v>309</v>
      </c>
      <c r="L348" s="8">
        <v>24</v>
      </c>
      <c r="M348" s="7">
        <f>IF(INDEX([1]equip.xml!$B:$B,MATCH(D348,[1]equip.xml!$A:$A,0))=0,0,N348)</f>
        <v>70</v>
      </c>
      <c r="N348" s="8">
        <f t="shared" ref="N348" si="87">N260</f>
        <v>70</v>
      </c>
    </row>
    <row r="349" spans="1:14">
      <c r="A349" s="8">
        <v>10008</v>
      </c>
      <c r="B349" s="8">
        <f t="shared" ref="B349:C349" si="88">B261</f>
        <v>40000</v>
      </c>
      <c r="C349" s="8" t="str">
        <f t="shared" si="88"/>
        <v>装备</v>
      </c>
      <c r="D349" s="7">
        <f t="shared" si="68"/>
        <v>50152056</v>
      </c>
      <c r="E349" s="8"/>
      <c r="F349" s="8">
        <v>1</v>
      </c>
      <c r="G349" s="8">
        <f>3*INDEX([1]equip.xml!$I:$I,MATCH(D349,[1]equip.xml!$A:$A,0))</f>
        <v>108000</v>
      </c>
      <c r="H349" s="8" t="str">
        <f t="shared" si="18"/>
        <v>10_10,50_20,80_30</v>
      </c>
      <c r="I349" s="8">
        <v>10</v>
      </c>
      <c r="J349" s="8">
        <f t="shared" si="19"/>
        <v>240</v>
      </c>
      <c r="K349" s="7" t="s">
        <v>309</v>
      </c>
      <c r="L349" s="8">
        <v>24</v>
      </c>
      <c r="M349" s="7">
        <f>IF(INDEX([1]equip.xml!$B:$B,MATCH(D349,[1]equip.xml!$A:$A,0))=0,0,N349)</f>
        <v>70</v>
      </c>
      <c r="N349" s="8">
        <f t="shared" ref="N349" si="89">N261</f>
        <v>70</v>
      </c>
    </row>
    <row r="350" spans="1:14">
      <c r="A350" s="8">
        <v>10008</v>
      </c>
      <c r="B350" s="8">
        <f t="shared" ref="B350:C350" si="90">B262</f>
        <v>40000</v>
      </c>
      <c r="C350" s="8" t="str">
        <f t="shared" si="90"/>
        <v>装备</v>
      </c>
      <c r="D350" s="7">
        <f t="shared" si="68"/>
        <v>50152065</v>
      </c>
      <c r="E350" s="8"/>
      <c r="F350" s="8">
        <v>1</v>
      </c>
      <c r="G350" s="8">
        <f>3*INDEX([1]equip.xml!$I:$I,MATCH(D350,[1]equip.xml!$A:$A,0))</f>
        <v>90000</v>
      </c>
      <c r="H350" s="8" t="str">
        <f t="shared" si="18"/>
        <v>10_10,50_20,80_30</v>
      </c>
      <c r="I350" s="8">
        <v>10</v>
      </c>
      <c r="J350" s="8">
        <f t="shared" si="19"/>
        <v>240</v>
      </c>
      <c r="K350" s="7" t="s">
        <v>309</v>
      </c>
      <c r="L350" s="8">
        <v>24</v>
      </c>
      <c r="M350" s="7">
        <f>IF(INDEX([1]equip.xml!$B:$B,MATCH(D350,[1]equip.xml!$A:$A,0))=0,0,N350)</f>
        <v>70</v>
      </c>
      <c r="N350" s="8">
        <f t="shared" ref="N350" si="91">N262</f>
        <v>70</v>
      </c>
    </row>
    <row r="351" spans="1:14">
      <c r="A351" s="8">
        <v>10008</v>
      </c>
      <c r="B351" s="8">
        <f t="shared" ref="B351:C351" si="92">B263</f>
        <v>40000</v>
      </c>
      <c r="C351" s="8" t="str">
        <f t="shared" si="92"/>
        <v>装备</v>
      </c>
      <c r="D351" s="7">
        <f t="shared" si="68"/>
        <v>50152066</v>
      </c>
      <c r="E351" s="8"/>
      <c r="F351" s="8">
        <v>1</v>
      </c>
      <c r="G351" s="8">
        <f>3*INDEX([1]equip.xml!$I:$I,MATCH(D351,[1]equip.xml!$A:$A,0))</f>
        <v>108000</v>
      </c>
      <c r="H351" s="8" t="str">
        <f t="shared" si="18"/>
        <v>10_10,50_20,80_30</v>
      </c>
      <c r="I351" s="8">
        <v>10</v>
      </c>
      <c r="J351" s="8">
        <f t="shared" si="19"/>
        <v>240</v>
      </c>
      <c r="K351" s="7" t="s">
        <v>309</v>
      </c>
      <c r="L351" s="8">
        <v>24</v>
      </c>
      <c r="M351" s="7">
        <f>IF(INDEX([1]equip.xml!$B:$B,MATCH(D351,[1]equip.xml!$A:$A,0))=0,0,N351)</f>
        <v>0</v>
      </c>
      <c r="N351" s="8">
        <f t="shared" ref="N351" si="93">N263</f>
        <v>70</v>
      </c>
    </row>
    <row r="352" spans="1:14">
      <c r="A352" s="8">
        <v>10008</v>
      </c>
      <c r="B352" s="8">
        <f t="shared" ref="B352:C352" si="94">B264</f>
        <v>40000</v>
      </c>
      <c r="C352" s="8" t="str">
        <f t="shared" si="94"/>
        <v>装备</v>
      </c>
      <c r="D352" s="7">
        <f t="shared" si="68"/>
        <v>50153055</v>
      </c>
      <c r="E352" s="8"/>
      <c r="F352" s="8">
        <v>1</v>
      </c>
      <c r="G352" s="8">
        <f>3*INDEX([1]equip.xml!$I:$I,MATCH(D352,[1]equip.xml!$A:$A,0))</f>
        <v>90000</v>
      </c>
      <c r="H352" s="8" t="str">
        <f t="shared" si="18"/>
        <v>10_10,50_20,80_30</v>
      </c>
      <c r="I352" s="8">
        <v>10</v>
      </c>
      <c r="J352" s="8">
        <f t="shared" si="19"/>
        <v>240</v>
      </c>
      <c r="K352" s="7" t="s">
        <v>309</v>
      </c>
      <c r="L352" s="8">
        <v>24</v>
      </c>
      <c r="M352" s="7">
        <f>IF(INDEX([1]equip.xml!$B:$B,MATCH(D352,[1]equip.xml!$A:$A,0))=0,0,N352)</f>
        <v>70</v>
      </c>
      <c r="N352" s="8">
        <f t="shared" ref="N352" si="95">N264</f>
        <v>70</v>
      </c>
    </row>
    <row r="353" spans="1:14">
      <c r="A353" s="8">
        <v>10008</v>
      </c>
      <c r="B353" s="8">
        <f t="shared" ref="B353:C353" si="96">B265</f>
        <v>40000</v>
      </c>
      <c r="C353" s="8" t="str">
        <f t="shared" si="96"/>
        <v>装备</v>
      </c>
      <c r="D353" s="7">
        <f t="shared" si="68"/>
        <v>50153056</v>
      </c>
      <c r="E353" s="8"/>
      <c r="F353" s="8">
        <v>1</v>
      </c>
      <c r="G353" s="8">
        <f>3*INDEX([1]equip.xml!$I:$I,MATCH(D353,[1]equip.xml!$A:$A,0))</f>
        <v>108000</v>
      </c>
      <c r="H353" s="8" t="str">
        <f t="shared" si="18"/>
        <v>10_10,50_20,80_30</v>
      </c>
      <c r="I353" s="8">
        <v>10</v>
      </c>
      <c r="J353" s="8">
        <f t="shared" si="19"/>
        <v>240</v>
      </c>
      <c r="K353" s="7" t="s">
        <v>309</v>
      </c>
      <c r="L353" s="8">
        <v>24</v>
      </c>
      <c r="M353" s="7">
        <f>IF(INDEX([1]equip.xml!$B:$B,MATCH(D353,[1]equip.xml!$A:$A,0))=0,0,N353)</f>
        <v>70</v>
      </c>
      <c r="N353" s="8">
        <f t="shared" ref="N353" si="97">N265</f>
        <v>70</v>
      </c>
    </row>
    <row r="354" spans="1:14">
      <c r="A354" s="8">
        <v>10008</v>
      </c>
      <c r="B354" s="8">
        <f t="shared" ref="B354:C354" si="98">B266</f>
        <v>40000</v>
      </c>
      <c r="C354" s="8" t="str">
        <f t="shared" si="98"/>
        <v>装备</v>
      </c>
      <c r="D354" s="7">
        <f t="shared" si="68"/>
        <v>50153065</v>
      </c>
      <c r="E354" s="8"/>
      <c r="F354" s="8">
        <v>1</v>
      </c>
      <c r="G354" s="8">
        <f>3*INDEX([1]equip.xml!$I:$I,MATCH(D354,[1]equip.xml!$A:$A,0))</f>
        <v>90000</v>
      </c>
      <c r="H354" s="8" t="str">
        <f t="shared" si="18"/>
        <v>10_10,50_20,80_30</v>
      </c>
      <c r="I354" s="8">
        <v>10</v>
      </c>
      <c r="J354" s="8">
        <f t="shared" si="19"/>
        <v>240</v>
      </c>
      <c r="K354" s="7" t="s">
        <v>309</v>
      </c>
      <c r="L354" s="8">
        <v>24</v>
      </c>
      <c r="M354" s="7">
        <f>IF(INDEX([1]equip.xml!$B:$B,MATCH(D354,[1]equip.xml!$A:$A,0))=0,0,N354)</f>
        <v>70</v>
      </c>
      <c r="N354" s="8">
        <f t="shared" ref="N354" si="99">N266</f>
        <v>70</v>
      </c>
    </row>
    <row r="355" spans="1:14">
      <c r="A355" s="8">
        <v>10008</v>
      </c>
      <c r="B355" s="8">
        <f t="shared" ref="B355:C355" si="100">B267</f>
        <v>40000</v>
      </c>
      <c r="C355" s="8" t="str">
        <f t="shared" si="100"/>
        <v>装备</v>
      </c>
      <c r="D355" s="7">
        <f t="shared" si="68"/>
        <v>50153066</v>
      </c>
      <c r="E355" s="8"/>
      <c r="F355" s="8">
        <v>1</v>
      </c>
      <c r="G355" s="8">
        <f>3*INDEX([1]equip.xml!$I:$I,MATCH(D355,[1]equip.xml!$A:$A,0))</f>
        <v>108000</v>
      </c>
      <c r="H355" s="8" t="str">
        <f t="shared" si="18"/>
        <v>10_10,50_20,80_30</v>
      </c>
      <c r="I355" s="8">
        <v>10</v>
      </c>
      <c r="J355" s="8">
        <f t="shared" si="19"/>
        <v>240</v>
      </c>
      <c r="K355" s="7" t="s">
        <v>309</v>
      </c>
      <c r="L355" s="8">
        <v>24</v>
      </c>
      <c r="M355" s="7">
        <f>IF(INDEX([1]equip.xml!$B:$B,MATCH(D355,[1]equip.xml!$A:$A,0))=0,0,N355)</f>
        <v>0</v>
      </c>
      <c r="N355" s="8">
        <f t="shared" ref="N355" si="101">N267</f>
        <v>70</v>
      </c>
    </row>
    <row r="356" spans="1:14">
      <c r="A356" s="8">
        <v>10008</v>
      </c>
      <c r="B356" s="8">
        <f t="shared" ref="B356:C356" si="102">B268</f>
        <v>40000</v>
      </c>
      <c r="C356" s="8" t="str">
        <f t="shared" si="102"/>
        <v>装备</v>
      </c>
      <c r="D356" s="7">
        <f t="shared" si="68"/>
        <v>50150045</v>
      </c>
      <c r="E356" s="8"/>
      <c r="F356" s="8">
        <v>1</v>
      </c>
      <c r="G356" s="8">
        <f>3*INDEX([1]equip.xml!$I:$I,MATCH(D356,[1]equip.xml!$A:$A,0))</f>
        <v>90000</v>
      </c>
      <c r="H356" s="8" t="str">
        <f t="shared" si="18"/>
        <v>10_10,50_20,80_30</v>
      </c>
      <c r="I356" s="8">
        <v>10</v>
      </c>
      <c r="J356" s="8">
        <f t="shared" si="19"/>
        <v>240</v>
      </c>
      <c r="K356" s="7" t="s">
        <v>309</v>
      </c>
      <c r="L356" s="8">
        <v>24</v>
      </c>
      <c r="M356" s="7">
        <f>IF(INDEX([1]equip.xml!$B:$B,MATCH(D356,[1]equip.xml!$A:$A,0))=0,0,N356)</f>
        <v>70</v>
      </c>
      <c r="N356" s="8">
        <f t="shared" ref="N356" si="103">N268</f>
        <v>70</v>
      </c>
    </row>
    <row r="357" spans="1:14">
      <c r="A357" s="8">
        <v>10008</v>
      </c>
      <c r="B357" s="8">
        <f t="shared" ref="B357:C357" si="104">B269</f>
        <v>40000</v>
      </c>
      <c r="C357" s="8" t="str">
        <f t="shared" si="104"/>
        <v>装备</v>
      </c>
      <c r="D357" s="7">
        <f t="shared" si="68"/>
        <v>50150046</v>
      </c>
      <c r="E357" s="8"/>
      <c r="F357" s="8">
        <v>1</v>
      </c>
      <c r="G357" s="8">
        <f>3*INDEX([1]equip.xml!$I:$I,MATCH(D357,[1]equip.xml!$A:$A,0))</f>
        <v>108000</v>
      </c>
      <c r="H357" s="8" t="str">
        <f t="shared" si="18"/>
        <v>10_10,50_20,80_30</v>
      </c>
      <c r="I357" s="8">
        <v>10</v>
      </c>
      <c r="J357" s="8">
        <f t="shared" si="19"/>
        <v>240</v>
      </c>
      <c r="K357" s="7" t="s">
        <v>309</v>
      </c>
      <c r="L357" s="8">
        <v>24</v>
      </c>
      <c r="M357" s="7">
        <f>IF(INDEX([1]equip.xml!$B:$B,MATCH(D357,[1]equip.xml!$A:$A,0))=0,0,N357)</f>
        <v>0</v>
      </c>
      <c r="N357" s="8">
        <f t="shared" ref="N357" si="105">N269</f>
        <v>70</v>
      </c>
    </row>
    <row r="358" spans="1:14">
      <c r="A358" s="8">
        <v>10008</v>
      </c>
      <c r="B358" s="8">
        <f t="shared" ref="B358:C358" si="106">B270</f>
        <v>40000</v>
      </c>
      <c r="C358" s="8" t="str">
        <f t="shared" si="106"/>
        <v>装备</v>
      </c>
      <c r="D358" s="7">
        <f t="shared" si="68"/>
        <v>50150075</v>
      </c>
      <c r="E358" s="8"/>
      <c r="F358" s="8">
        <v>1</v>
      </c>
      <c r="G358" s="8">
        <f>3*INDEX([1]equip.xml!$I:$I,MATCH(D358,[1]equip.xml!$A:$A,0))</f>
        <v>90000</v>
      </c>
      <c r="H358" s="8" t="str">
        <f t="shared" si="18"/>
        <v>10_10,50_20,80_30</v>
      </c>
      <c r="I358" s="8">
        <v>10</v>
      </c>
      <c r="J358" s="8">
        <f t="shared" si="19"/>
        <v>240</v>
      </c>
      <c r="K358" s="7" t="s">
        <v>309</v>
      </c>
      <c r="L358" s="8">
        <v>24</v>
      </c>
      <c r="M358" s="7">
        <f>IF(INDEX([1]equip.xml!$B:$B,MATCH(D358,[1]equip.xml!$A:$A,0))=0,0,N358)</f>
        <v>70</v>
      </c>
      <c r="N358" s="8">
        <f t="shared" ref="N358" si="107">N270</f>
        <v>70</v>
      </c>
    </row>
    <row r="359" spans="1:14">
      <c r="A359" s="8">
        <v>10008</v>
      </c>
      <c r="B359" s="8">
        <f t="shared" ref="B359:C359" si="108">B271</f>
        <v>40000</v>
      </c>
      <c r="C359" s="8" t="str">
        <f t="shared" si="108"/>
        <v>装备</v>
      </c>
      <c r="D359" s="7">
        <f t="shared" si="68"/>
        <v>50150076</v>
      </c>
      <c r="E359" s="8"/>
      <c r="F359" s="8">
        <v>1</v>
      </c>
      <c r="G359" s="8">
        <f>3*INDEX([1]equip.xml!$I:$I,MATCH(D359,[1]equip.xml!$A:$A,0))</f>
        <v>108000</v>
      </c>
      <c r="H359" s="8" t="str">
        <f t="shared" si="18"/>
        <v>10_10,50_20,80_30</v>
      </c>
      <c r="I359" s="8">
        <v>10</v>
      </c>
      <c r="J359" s="8">
        <f t="shared" si="19"/>
        <v>240</v>
      </c>
      <c r="K359" s="7" t="s">
        <v>309</v>
      </c>
      <c r="L359" s="8">
        <v>24</v>
      </c>
      <c r="M359" s="7">
        <f>IF(INDEX([1]equip.xml!$B:$B,MATCH(D359,[1]equip.xml!$A:$A,0))=0,0,N359)</f>
        <v>0</v>
      </c>
      <c r="N359" s="8">
        <f t="shared" ref="N359" si="109">N271</f>
        <v>70</v>
      </c>
    </row>
    <row r="360" spans="1:14">
      <c r="A360" s="8">
        <v>10008</v>
      </c>
      <c r="B360" s="8">
        <f t="shared" ref="B360:C360" si="110">B272</f>
        <v>40000</v>
      </c>
      <c r="C360" s="8" t="str">
        <f t="shared" si="110"/>
        <v>装备</v>
      </c>
      <c r="D360" s="7">
        <f t="shared" si="68"/>
        <v>50200015</v>
      </c>
      <c r="E360" s="8"/>
      <c r="F360" s="8">
        <v>1</v>
      </c>
      <c r="G360" s="8">
        <f>3*INDEX([1]equip.xml!$I:$I,MATCH(D360,[1]equip.xml!$A:$A,0))</f>
        <v>120000</v>
      </c>
      <c r="H360" s="8" t="str">
        <f t="shared" si="18"/>
        <v>10_10,50_20,80_30</v>
      </c>
      <c r="I360" s="8">
        <v>10</v>
      </c>
      <c r="J360" s="8">
        <f t="shared" si="19"/>
        <v>240</v>
      </c>
      <c r="K360" s="7" t="s">
        <v>309</v>
      </c>
      <c r="L360" s="8">
        <v>24</v>
      </c>
      <c r="M360" s="7">
        <f>IF(INDEX([1]equip.xml!$B:$B,MATCH(D360,[1]equip.xml!$A:$A,0))=0,0,N360)</f>
        <v>35</v>
      </c>
      <c r="N360" s="8">
        <f t="shared" ref="N360" si="111">N272</f>
        <v>35</v>
      </c>
    </row>
    <row r="361" spans="1:14">
      <c r="A361" s="8">
        <v>10008</v>
      </c>
      <c r="B361" s="8">
        <f t="shared" ref="B361:C361" si="112">B273</f>
        <v>40000</v>
      </c>
      <c r="C361" s="8" t="str">
        <f t="shared" si="112"/>
        <v>装备</v>
      </c>
      <c r="D361" s="7">
        <f t="shared" si="68"/>
        <v>50200025</v>
      </c>
      <c r="E361" s="8"/>
      <c r="F361" s="8">
        <v>1</v>
      </c>
      <c r="G361" s="8">
        <f>3*INDEX([1]equip.xml!$I:$I,MATCH(D361,[1]equip.xml!$A:$A,0))</f>
        <v>120000</v>
      </c>
      <c r="H361" s="8" t="str">
        <f t="shared" si="18"/>
        <v>10_10,50_20,80_30</v>
      </c>
      <c r="I361" s="8">
        <v>10</v>
      </c>
      <c r="J361" s="8">
        <f t="shared" si="19"/>
        <v>240</v>
      </c>
      <c r="K361" s="7" t="s">
        <v>309</v>
      </c>
      <c r="L361" s="8">
        <v>24</v>
      </c>
      <c r="M361" s="7">
        <f>IF(INDEX([1]equip.xml!$B:$B,MATCH(D361,[1]equip.xml!$A:$A,0))=0,0,N361)</f>
        <v>35</v>
      </c>
      <c r="N361" s="8">
        <f t="shared" ref="N361" si="113">N273</f>
        <v>35</v>
      </c>
    </row>
    <row r="362" spans="1:14">
      <c r="A362" s="8">
        <v>10008</v>
      </c>
      <c r="B362" s="8">
        <f t="shared" ref="B362:C362" si="114">B274</f>
        <v>40000</v>
      </c>
      <c r="C362" s="8" t="str">
        <f t="shared" si="114"/>
        <v>装备</v>
      </c>
      <c r="D362" s="7">
        <f t="shared" si="68"/>
        <v>50200035</v>
      </c>
      <c r="E362" s="8"/>
      <c r="F362" s="8">
        <v>1</v>
      </c>
      <c r="G362" s="8">
        <f>3*INDEX([1]equip.xml!$I:$I,MATCH(D362,[1]equip.xml!$A:$A,0))</f>
        <v>120000</v>
      </c>
      <c r="H362" s="8" t="str">
        <f t="shared" si="18"/>
        <v>10_10,50_20,80_30</v>
      </c>
      <c r="I362" s="8">
        <v>10</v>
      </c>
      <c r="J362" s="8">
        <f t="shared" si="19"/>
        <v>240</v>
      </c>
      <c r="K362" s="7" t="s">
        <v>309</v>
      </c>
      <c r="L362" s="8">
        <v>24</v>
      </c>
      <c r="M362" s="7">
        <f>IF(INDEX([1]equip.xml!$B:$B,MATCH(D362,[1]equip.xml!$A:$A,0))=0,0,N362)</f>
        <v>35</v>
      </c>
      <c r="N362" s="8">
        <f t="shared" ref="N362" si="115">N274</f>
        <v>35</v>
      </c>
    </row>
    <row r="363" spans="1:14">
      <c r="A363" s="8">
        <v>10008</v>
      </c>
      <c r="B363" s="8">
        <f t="shared" ref="B363:C363" si="116">B275</f>
        <v>40000</v>
      </c>
      <c r="C363" s="8" t="str">
        <f t="shared" si="116"/>
        <v>装备</v>
      </c>
      <c r="D363" s="7">
        <f t="shared" si="68"/>
        <v>50200085</v>
      </c>
      <c r="E363" s="8"/>
      <c r="F363" s="8">
        <v>1</v>
      </c>
      <c r="G363" s="8">
        <f>3*INDEX([1]equip.xml!$I:$I,MATCH(D363,[1]equip.xml!$A:$A,0))</f>
        <v>120000</v>
      </c>
      <c r="H363" s="8" t="str">
        <f t="shared" si="18"/>
        <v>10_10,50_20,80_30</v>
      </c>
      <c r="I363" s="8">
        <v>10</v>
      </c>
      <c r="J363" s="8">
        <f t="shared" si="19"/>
        <v>240</v>
      </c>
      <c r="K363" s="7" t="s">
        <v>309</v>
      </c>
      <c r="L363" s="8">
        <v>24</v>
      </c>
      <c r="M363" s="7">
        <f>IF(INDEX([1]equip.xml!$B:$B,MATCH(D363,[1]equip.xml!$A:$A,0))=0,0,N363)</f>
        <v>35</v>
      </c>
      <c r="N363" s="8">
        <f t="shared" ref="N363" si="117">N275</f>
        <v>35</v>
      </c>
    </row>
    <row r="364" spans="1:14">
      <c r="A364" s="8">
        <v>10008</v>
      </c>
      <c r="B364" s="8">
        <f t="shared" ref="B364:C364" si="118">B276</f>
        <v>40000</v>
      </c>
      <c r="C364" s="8" t="str">
        <f t="shared" si="118"/>
        <v>装备</v>
      </c>
      <c r="D364" s="7">
        <f t="shared" si="68"/>
        <v>50200095</v>
      </c>
      <c r="E364" s="8"/>
      <c r="F364" s="8">
        <v>1</v>
      </c>
      <c r="G364" s="8">
        <f>3*INDEX([1]equip.xml!$I:$I,MATCH(D364,[1]equip.xml!$A:$A,0))</f>
        <v>120000</v>
      </c>
      <c r="H364" s="8" t="str">
        <f t="shared" si="18"/>
        <v>10_10,50_20,80_30</v>
      </c>
      <c r="I364" s="8">
        <v>10</v>
      </c>
      <c r="J364" s="8">
        <f t="shared" si="19"/>
        <v>240</v>
      </c>
      <c r="K364" s="7" t="s">
        <v>309</v>
      </c>
      <c r="L364" s="8">
        <v>24</v>
      </c>
      <c r="M364" s="7">
        <f>IF(INDEX([1]equip.xml!$B:$B,MATCH(D364,[1]equip.xml!$A:$A,0))=0,0,N364)</f>
        <v>35</v>
      </c>
      <c r="N364" s="8">
        <f t="shared" ref="N364" si="119">N276</f>
        <v>35</v>
      </c>
    </row>
    <row r="365" spans="1:14">
      <c r="A365" s="8">
        <v>10008</v>
      </c>
      <c r="B365" s="8">
        <f t="shared" ref="B365:C365" si="120">B277</f>
        <v>40000</v>
      </c>
      <c r="C365" s="8" t="str">
        <f t="shared" si="120"/>
        <v>装备</v>
      </c>
      <c r="D365" s="7">
        <f t="shared" si="68"/>
        <v>50200105</v>
      </c>
      <c r="E365" s="8"/>
      <c r="F365" s="8">
        <v>1</v>
      </c>
      <c r="G365" s="8">
        <f>3*INDEX([1]equip.xml!$I:$I,MATCH(D365,[1]equip.xml!$A:$A,0))</f>
        <v>120000</v>
      </c>
      <c r="H365" s="8" t="str">
        <f t="shared" si="18"/>
        <v>10_10,50_20,80_30</v>
      </c>
      <c r="I365" s="8">
        <v>10</v>
      </c>
      <c r="J365" s="8">
        <f t="shared" si="19"/>
        <v>240</v>
      </c>
      <c r="K365" s="7" t="s">
        <v>309</v>
      </c>
      <c r="L365" s="8">
        <v>24</v>
      </c>
      <c r="M365" s="7">
        <f>IF(INDEX([1]equip.xml!$B:$B,MATCH(D365,[1]equip.xml!$A:$A,0))=0,0,N365)</f>
        <v>35</v>
      </c>
      <c r="N365" s="8">
        <f t="shared" ref="N365" si="121">N277</f>
        <v>35</v>
      </c>
    </row>
    <row r="366" spans="1:14">
      <c r="A366" s="8">
        <v>10008</v>
      </c>
      <c r="B366" s="8">
        <f t="shared" ref="B366:C366" si="122">B278</f>
        <v>40000</v>
      </c>
      <c r="C366" s="8" t="str">
        <f t="shared" si="122"/>
        <v>装备</v>
      </c>
      <c r="D366" s="7">
        <f t="shared" si="68"/>
        <v>50201055</v>
      </c>
      <c r="E366" s="8"/>
      <c r="F366" s="8">
        <v>1</v>
      </c>
      <c r="G366" s="8">
        <f>3*INDEX([1]equip.xml!$I:$I,MATCH(D366,[1]equip.xml!$A:$A,0))</f>
        <v>120000</v>
      </c>
      <c r="H366" s="8" t="str">
        <f t="shared" si="18"/>
        <v>10_10,50_20,80_30</v>
      </c>
      <c r="I366" s="8">
        <v>10</v>
      </c>
      <c r="J366" s="8">
        <f t="shared" si="19"/>
        <v>240</v>
      </c>
      <c r="K366" s="7" t="s">
        <v>309</v>
      </c>
      <c r="L366" s="8">
        <v>24</v>
      </c>
      <c r="M366" s="7">
        <f>IF(INDEX([1]equip.xml!$B:$B,MATCH(D366,[1]equip.xml!$A:$A,0))=0,0,N366)</f>
        <v>35</v>
      </c>
      <c r="N366" s="8">
        <f t="shared" ref="N366" si="123">N278</f>
        <v>35</v>
      </c>
    </row>
    <row r="367" spans="1:14">
      <c r="A367" s="8">
        <v>10008</v>
      </c>
      <c r="B367" s="8">
        <f t="shared" ref="B367:C367" si="124">B279</f>
        <v>40000</v>
      </c>
      <c r="C367" s="8" t="str">
        <f t="shared" si="124"/>
        <v>装备</v>
      </c>
      <c r="D367" s="7">
        <f t="shared" si="68"/>
        <v>50201056</v>
      </c>
      <c r="E367" s="8"/>
      <c r="F367" s="8">
        <v>1</v>
      </c>
      <c r="G367" s="8">
        <f>3*INDEX([1]equip.xml!$I:$I,MATCH(D367,[1]equip.xml!$A:$A,0))</f>
        <v>138000</v>
      </c>
      <c r="H367" s="8" t="str">
        <f t="shared" si="18"/>
        <v>10_10,50_20,80_30</v>
      </c>
      <c r="I367" s="8">
        <v>10</v>
      </c>
      <c r="J367" s="8">
        <f t="shared" si="19"/>
        <v>240</v>
      </c>
      <c r="K367" s="7" t="s">
        <v>309</v>
      </c>
      <c r="L367" s="8">
        <v>24</v>
      </c>
      <c r="M367" s="7">
        <f>IF(INDEX([1]equip.xml!$B:$B,MATCH(D367,[1]equip.xml!$A:$A,0))=0,0,N367)</f>
        <v>0</v>
      </c>
      <c r="N367" s="8">
        <f t="shared" ref="N367" si="125">N279</f>
        <v>35</v>
      </c>
    </row>
    <row r="368" spans="1:14">
      <c r="A368" s="8">
        <v>10008</v>
      </c>
      <c r="B368" s="8">
        <f t="shared" ref="B368:C368" si="126">B280</f>
        <v>40000</v>
      </c>
      <c r="C368" s="8" t="str">
        <f t="shared" si="126"/>
        <v>装备</v>
      </c>
      <c r="D368" s="7">
        <f t="shared" si="68"/>
        <v>50201065</v>
      </c>
      <c r="E368" s="8"/>
      <c r="F368" s="8">
        <v>1</v>
      </c>
      <c r="G368" s="8">
        <f>3*INDEX([1]equip.xml!$I:$I,MATCH(D368,[1]equip.xml!$A:$A,0))</f>
        <v>120000</v>
      </c>
      <c r="H368" s="8" t="str">
        <f t="shared" si="18"/>
        <v>10_10,50_20,80_30</v>
      </c>
      <c r="I368" s="8">
        <v>10</v>
      </c>
      <c r="J368" s="8">
        <f t="shared" si="19"/>
        <v>240</v>
      </c>
      <c r="K368" s="7" t="s">
        <v>309</v>
      </c>
      <c r="L368" s="8">
        <v>24</v>
      </c>
      <c r="M368" s="7">
        <f>IF(INDEX([1]equip.xml!$B:$B,MATCH(D368,[1]equip.xml!$A:$A,0))=0,0,N368)</f>
        <v>35</v>
      </c>
      <c r="N368" s="8">
        <f t="shared" ref="N368" si="127">N280</f>
        <v>35</v>
      </c>
    </row>
    <row r="369" spans="1:14">
      <c r="A369" s="8">
        <v>10008</v>
      </c>
      <c r="B369" s="8">
        <f t="shared" ref="B369:C369" si="128">B281</f>
        <v>40000</v>
      </c>
      <c r="C369" s="8" t="str">
        <f t="shared" si="128"/>
        <v>装备</v>
      </c>
      <c r="D369" s="7">
        <f t="shared" si="68"/>
        <v>50201066</v>
      </c>
      <c r="E369" s="8"/>
      <c r="F369" s="8">
        <v>1</v>
      </c>
      <c r="G369" s="8">
        <f>3*INDEX([1]equip.xml!$I:$I,MATCH(D369,[1]equip.xml!$A:$A,0))</f>
        <v>138000</v>
      </c>
      <c r="H369" s="8" t="str">
        <f t="shared" si="18"/>
        <v>10_10,50_20,80_30</v>
      </c>
      <c r="I369" s="8">
        <v>10</v>
      </c>
      <c r="J369" s="8">
        <f t="shared" si="19"/>
        <v>240</v>
      </c>
      <c r="K369" s="7" t="s">
        <v>309</v>
      </c>
      <c r="L369" s="8">
        <v>24</v>
      </c>
      <c r="M369" s="7">
        <f>IF(INDEX([1]equip.xml!$B:$B,MATCH(D369,[1]equip.xml!$A:$A,0))=0,0,N369)</f>
        <v>0</v>
      </c>
      <c r="N369" s="8">
        <f t="shared" ref="N369" si="129">N281</f>
        <v>35</v>
      </c>
    </row>
    <row r="370" spans="1:14">
      <c r="A370" s="8">
        <v>10008</v>
      </c>
      <c r="B370" s="8">
        <f t="shared" ref="B370:C370" si="130">B282</f>
        <v>40000</v>
      </c>
      <c r="C370" s="8" t="str">
        <f t="shared" si="130"/>
        <v>装备</v>
      </c>
      <c r="D370" s="7">
        <f t="shared" si="68"/>
        <v>50202055</v>
      </c>
      <c r="E370" s="8"/>
      <c r="F370" s="8">
        <v>1</v>
      </c>
      <c r="G370" s="8">
        <f>3*INDEX([1]equip.xml!$I:$I,MATCH(D370,[1]equip.xml!$A:$A,0))</f>
        <v>120000</v>
      </c>
      <c r="H370" s="8" t="str">
        <f t="shared" si="18"/>
        <v>10_10,50_20,80_30</v>
      </c>
      <c r="I370" s="8">
        <v>10</v>
      </c>
      <c r="J370" s="8">
        <f t="shared" si="19"/>
        <v>240</v>
      </c>
      <c r="K370" s="7" t="s">
        <v>309</v>
      </c>
      <c r="L370" s="8">
        <v>24</v>
      </c>
      <c r="M370" s="7">
        <f>IF(INDEX([1]equip.xml!$B:$B,MATCH(D370,[1]equip.xml!$A:$A,0))=0,0,N370)</f>
        <v>35</v>
      </c>
      <c r="N370" s="8">
        <f t="shared" ref="N370" si="131">N282</f>
        <v>35</v>
      </c>
    </row>
    <row r="371" spans="1:14">
      <c r="A371" s="8">
        <v>10008</v>
      </c>
      <c r="B371" s="8">
        <f t="shared" ref="B371:C371" si="132">B283</f>
        <v>40000</v>
      </c>
      <c r="C371" s="8" t="str">
        <f t="shared" si="132"/>
        <v>装备</v>
      </c>
      <c r="D371" s="7">
        <f t="shared" si="68"/>
        <v>50202056</v>
      </c>
      <c r="E371" s="8"/>
      <c r="F371" s="8">
        <v>1</v>
      </c>
      <c r="G371" s="8">
        <f>3*INDEX([1]equip.xml!$I:$I,MATCH(D371,[1]equip.xml!$A:$A,0))</f>
        <v>138000</v>
      </c>
      <c r="H371" s="8" t="str">
        <f t="shared" si="18"/>
        <v>10_10,50_20,80_30</v>
      </c>
      <c r="I371" s="8">
        <v>10</v>
      </c>
      <c r="J371" s="8">
        <f t="shared" si="19"/>
        <v>240</v>
      </c>
      <c r="K371" s="7" t="s">
        <v>309</v>
      </c>
      <c r="L371" s="8">
        <v>24</v>
      </c>
      <c r="M371" s="7">
        <f>IF(INDEX([1]equip.xml!$B:$B,MATCH(D371,[1]equip.xml!$A:$A,0))=0,0,N371)</f>
        <v>0</v>
      </c>
      <c r="N371" s="8">
        <f t="shared" ref="N371" si="133">N283</f>
        <v>35</v>
      </c>
    </row>
    <row r="372" spans="1:14">
      <c r="A372" s="8">
        <v>10008</v>
      </c>
      <c r="B372" s="8">
        <f t="shared" ref="B372:C372" si="134">B284</f>
        <v>40000</v>
      </c>
      <c r="C372" s="8" t="str">
        <f t="shared" si="134"/>
        <v>装备</v>
      </c>
      <c r="D372" s="7">
        <f t="shared" si="68"/>
        <v>50202065</v>
      </c>
      <c r="E372" s="8"/>
      <c r="F372" s="8">
        <v>1</v>
      </c>
      <c r="G372" s="8">
        <f>3*INDEX([1]equip.xml!$I:$I,MATCH(D372,[1]equip.xml!$A:$A,0))</f>
        <v>120000</v>
      </c>
      <c r="H372" s="8" t="str">
        <f t="shared" si="18"/>
        <v>10_10,50_20,80_30</v>
      </c>
      <c r="I372" s="8">
        <v>10</v>
      </c>
      <c r="J372" s="8">
        <f t="shared" si="19"/>
        <v>240</v>
      </c>
      <c r="K372" s="7" t="s">
        <v>309</v>
      </c>
      <c r="L372" s="8">
        <v>24</v>
      </c>
      <c r="M372" s="7">
        <f>IF(INDEX([1]equip.xml!$B:$B,MATCH(D372,[1]equip.xml!$A:$A,0))=0,0,N372)</f>
        <v>35</v>
      </c>
      <c r="N372" s="8">
        <f t="shared" ref="N372" si="135">N284</f>
        <v>35</v>
      </c>
    </row>
    <row r="373" spans="1:14">
      <c r="A373" s="8">
        <v>10008</v>
      </c>
      <c r="B373" s="8">
        <f t="shared" ref="B373:C373" si="136">B285</f>
        <v>40000</v>
      </c>
      <c r="C373" s="8" t="str">
        <f t="shared" si="136"/>
        <v>装备</v>
      </c>
      <c r="D373" s="7">
        <f t="shared" si="68"/>
        <v>50202066</v>
      </c>
      <c r="E373" s="8"/>
      <c r="F373" s="8">
        <v>1</v>
      </c>
      <c r="G373" s="8">
        <f>3*INDEX([1]equip.xml!$I:$I,MATCH(D373,[1]equip.xml!$A:$A,0))</f>
        <v>138000</v>
      </c>
      <c r="H373" s="8" t="str">
        <f t="shared" si="18"/>
        <v>10_10,50_20,80_30</v>
      </c>
      <c r="I373" s="8">
        <v>10</v>
      </c>
      <c r="J373" s="8">
        <f t="shared" si="19"/>
        <v>240</v>
      </c>
      <c r="K373" s="7" t="s">
        <v>309</v>
      </c>
      <c r="L373" s="8">
        <v>24</v>
      </c>
      <c r="M373" s="7">
        <f>IF(INDEX([1]equip.xml!$B:$B,MATCH(D373,[1]equip.xml!$A:$A,0))=0,0,N373)</f>
        <v>0</v>
      </c>
      <c r="N373" s="8">
        <f t="shared" ref="N373" si="137">N285</f>
        <v>35</v>
      </c>
    </row>
    <row r="374" spans="1:14">
      <c r="A374" s="8">
        <v>10008</v>
      </c>
      <c r="B374" s="8">
        <f t="shared" ref="B374:C374" si="138">B286</f>
        <v>40000</v>
      </c>
      <c r="C374" s="8" t="str">
        <f t="shared" si="138"/>
        <v>装备</v>
      </c>
      <c r="D374" s="7">
        <f t="shared" si="68"/>
        <v>50203055</v>
      </c>
      <c r="E374" s="8"/>
      <c r="F374" s="8">
        <v>1</v>
      </c>
      <c r="G374" s="8">
        <f>3*INDEX([1]equip.xml!$I:$I,MATCH(D374,[1]equip.xml!$A:$A,0))</f>
        <v>120000</v>
      </c>
      <c r="H374" s="8" t="str">
        <f t="shared" si="18"/>
        <v>10_10,50_20,80_30</v>
      </c>
      <c r="I374" s="8">
        <v>10</v>
      </c>
      <c r="J374" s="8">
        <f t="shared" si="19"/>
        <v>240</v>
      </c>
      <c r="K374" s="7" t="s">
        <v>309</v>
      </c>
      <c r="L374" s="8">
        <v>24</v>
      </c>
      <c r="M374" s="7">
        <f>IF(INDEX([1]equip.xml!$B:$B,MATCH(D374,[1]equip.xml!$A:$A,0))=0,0,N374)</f>
        <v>35</v>
      </c>
      <c r="N374" s="8">
        <f t="shared" ref="N374" si="139">N286</f>
        <v>35</v>
      </c>
    </row>
    <row r="375" spans="1:14">
      <c r="A375" s="8">
        <v>10008</v>
      </c>
      <c r="B375" s="8">
        <f t="shared" ref="B375:C375" si="140">B287</f>
        <v>40000</v>
      </c>
      <c r="C375" s="8" t="str">
        <f t="shared" si="140"/>
        <v>装备</v>
      </c>
      <c r="D375" s="7">
        <f t="shared" si="68"/>
        <v>50203056</v>
      </c>
      <c r="E375" s="8"/>
      <c r="F375" s="8">
        <v>1</v>
      </c>
      <c r="G375" s="8">
        <f>3*INDEX([1]equip.xml!$I:$I,MATCH(D375,[1]equip.xml!$A:$A,0))</f>
        <v>138000</v>
      </c>
      <c r="H375" s="8" t="str">
        <f t="shared" ref="H375:H438" si="141">H287</f>
        <v>10_10,50_20,80_30</v>
      </c>
      <c r="I375" s="8">
        <v>10</v>
      </c>
      <c r="J375" s="8">
        <f t="shared" ref="J375:J438" si="142">J287</f>
        <v>240</v>
      </c>
      <c r="K375" s="7" t="s">
        <v>309</v>
      </c>
      <c r="L375" s="8">
        <v>24</v>
      </c>
      <c r="M375" s="7">
        <f>IF(INDEX([1]equip.xml!$B:$B,MATCH(D375,[1]equip.xml!$A:$A,0))=0,0,N375)</f>
        <v>35</v>
      </c>
      <c r="N375" s="8">
        <f t="shared" ref="N375" si="143">N287</f>
        <v>35</v>
      </c>
    </row>
    <row r="376" spans="1:14">
      <c r="A376" s="8">
        <v>10008</v>
      </c>
      <c r="B376" s="8">
        <f t="shared" ref="B376:C376" si="144">B288</f>
        <v>40000</v>
      </c>
      <c r="C376" s="8" t="str">
        <f t="shared" si="144"/>
        <v>装备</v>
      </c>
      <c r="D376" s="7">
        <f t="shared" si="68"/>
        <v>50203065</v>
      </c>
      <c r="E376" s="8"/>
      <c r="F376" s="8">
        <v>1</v>
      </c>
      <c r="G376" s="8">
        <f>3*INDEX([1]equip.xml!$I:$I,MATCH(D376,[1]equip.xml!$A:$A,0))</f>
        <v>120000</v>
      </c>
      <c r="H376" s="8" t="str">
        <f t="shared" si="141"/>
        <v>10_10,50_20,80_30</v>
      </c>
      <c r="I376" s="8">
        <v>10</v>
      </c>
      <c r="J376" s="8">
        <f t="shared" si="142"/>
        <v>240</v>
      </c>
      <c r="K376" s="7" t="s">
        <v>309</v>
      </c>
      <c r="L376" s="8">
        <v>24</v>
      </c>
      <c r="M376" s="7">
        <f>IF(INDEX([1]equip.xml!$B:$B,MATCH(D376,[1]equip.xml!$A:$A,0))=0,0,N376)</f>
        <v>35</v>
      </c>
      <c r="N376" s="8">
        <f t="shared" ref="N376" si="145">N288</f>
        <v>35</v>
      </c>
    </row>
    <row r="377" spans="1:14">
      <c r="A377" s="8">
        <v>10008</v>
      </c>
      <c r="B377" s="8">
        <f t="shared" ref="B377:C377" si="146">B289</f>
        <v>40000</v>
      </c>
      <c r="C377" s="8" t="str">
        <f t="shared" si="146"/>
        <v>装备</v>
      </c>
      <c r="D377" s="7">
        <f t="shared" si="68"/>
        <v>50203066</v>
      </c>
      <c r="E377" s="8"/>
      <c r="F377" s="8">
        <v>1</v>
      </c>
      <c r="G377" s="8">
        <f>3*INDEX([1]equip.xml!$I:$I,MATCH(D377,[1]equip.xml!$A:$A,0))</f>
        <v>138000</v>
      </c>
      <c r="H377" s="8" t="str">
        <f t="shared" si="141"/>
        <v>10_10,50_20,80_30</v>
      </c>
      <c r="I377" s="8">
        <v>10</v>
      </c>
      <c r="J377" s="8">
        <f t="shared" si="142"/>
        <v>240</v>
      </c>
      <c r="K377" s="7" t="s">
        <v>309</v>
      </c>
      <c r="L377" s="8">
        <v>24</v>
      </c>
      <c r="M377" s="7">
        <f>IF(INDEX([1]equip.xml!$B:$B,MATCH(D377,[1]equip.xml!$A:$A,0))=0,0,N377)</f>
        <v>0</v>
      </c>
      <c r="N377" s="8">
        <f t="shared" ref="N377" si="147">N289</f>
        <v>35</v>
      </c>
    </row>
    <row r="378" spans="1:14">
      <c r="A378" s="8">
        <v>10008</v>
      </c>
      <c r="B378" s="8">
        <f t="shared" ref="B378:C378" si="148">B290</f>
        <v>40000</v>
      </c>
      <c r="C378" s="8" t="str">
        <f t="shared" si="148"/>
        <v>装备</v>
      </c>
      <c r="D378" s="7">
        <f t="shared" si="68"/>
        <v>50200045</v>
      </c>
      <c r="E378" s="8"/>
      <c r="F378" s="8">
        <v>1</v>
      </c>
      <c r="G378" s="8">
        <f>3*INDEX([1]equip.xml!$I:$I,MATCH(D378,[1]equip.xml!$A:$A,0))</f>
        <v>120000</v>
      </c>
      <c r="H378" s="8" t="str">
        <f t="shared" si="141"/>
        <v>10_10,50_20,80_30</v>
      </c>
      <c r="I378" s="8">
        <v>10</v>
      </c>
      <c r="J378" s="8">
        <f t="shared" si="142"/>
        <v>240</v>
      </c>
      <c r="K378" s="7" t="s">
        <v>309</v>
      </c>
      <c r="L378" s="8">
        <v>24</v>
      </c>
      <c r="M378" s="7">
        <f>IF(INDEX([1]equip.xml!$B:$B,MATCH(D378,[1]equip.xml!$A:$A,0))=0,0,N378)</f>
        <v>35</v>
      </c>
      <c r="N378" s="8">
        <f t="shared" ref="N378" si="149">N290</f>
        <v>35</v>
      </c>
    </row>
    <row r="379" spans="1:14">
      <c r="A379" s="8">
        <v>10008</v>
      </c>
      <c r="B379" s="8">
        <f t="shared" ref="B379:C379" si="150">B291</f>
        <v>40000</v>
      </c>
      <c r="C379" s="8" t="str">
        <f t="shared" si="150"/>
        <v>装备</v>
      </c>
      <c r="D379" s="7">
        <f t="shared" si="68"/>
        <v>50200046</v>
      </c>
      <c r="E379" s="8"/>
      <c r="F379" s="8">
        <v>1</v>
      </c>
      <c r="G379" s="8">
        <f>3*INDEX([1]equip.xml!$I:$I,MATCH(D379,[1]equip.xml!$A:$A,0))</f>
        <v>138000</v>
      </c>
      <c r="H379" s="8" t="str">
        <f t="shared" si="141"/>
        <v>10_10,50_20,80_30</v>
      </c>
      <c r="I379" s="8">
        <v>10</v>
      </c>
      <c r="J379" s="8">
        <f t="shared" si="142"/>
        <v>240</v>
      </c>
      <c r="K379" s="7" t="s">
        <v>309</v>
      </c>
      <c r="L379" s="8">
        <v>24</v>
      </c>
      <c r="M379" s="7">
        <f>IF(INDEX([1]equip.xml!$B:$B,MATCH(D379,[1]equip.xml!$A:$A,0))=0,0,N379)</f>
        <v>35</v>
      </c>
      <c r="N379" s="8">
        <f t="shared" ref="N379" si="151">N291</f>
        <v>35</v>
      </c>
    </row>
    <row r="380" spans="1:14">
      <c r="A380" s="8">
        <v>10008</v>
      </c>
      <c r="B380" s="8">
        <f t="shared" ref="B380:C380" si="152">B292</f>
        <v>40000</v>
      </c>
      <c r="C380" s="8" t="str">
        <f t="shared" si="152"/>
        <v>装备</v>
      </c>
      <c r="D380" s="7">
        <f t="shared" si="68"/>
        <v>50200075</v>
      </c>
      <c r="E380" s="8"/>
      <c r="F380" s="8">
        <v>1</v>
      </c>
      <c r="G380" s="8">
        <f>3*INDEX([1]equip.xml!$I:$I,MATCH(D380,[1]equip.xml!$A:$A,0))</f>
        <v>120000</v>
      </c>
      <c r="H380" s="8" t="str">
        <f t="shared" si="141"/>
        <v>10_10,50_20,80_30</v>
      </c>
      <c r="I380" s="8">
        <v>10</v>
      </c>
      <c r="J380" s="8">
        <f t="shared" si="142"/>
        <v>240</v>
      </c>
      <c r="K380" s="7" t="s">
        <v>309</v>
      </c>
      <c r="L380" s="8">
        <v>24</v>
      </c>
      <c r="M380" s="7">
        <f>IF(INDEX([1]equip.xml!$B:$B,MATCH(D380,[1]equip.xml!$A:$A,0))=0,0,N380)</f>
        <v>35</v>
      </c>
      <c r="N380" s="8">
        <f t="shared" ref="N380" si="153">N292</f>
        <v>35</v>
      </c>
    </row>
    <row r="381" spans="1:14">
      <c r="A381" s="8">
        <v>10008</v>
      </c>
      <c r="B381" s="8">
        <f t="shared" ref="B381:C381" si="154">B293</f>
        <v>40000</v>
      </c>
      <c r="C381" s="8" t="str">
        <f t="shared" si="154"/>
        <v>装备</v>
      </c>
      <c r="D381" s="7">
        <f t="shared" si="68"/>
        <v>50200076</v>
      </c>
      <c r="E381" s="8"/>
      <c r="F381" s="8">
        <v>1</v>
      </c>
      <c r="G381" s="8">
        <f>3*INDEX([1]equip.xml!$I:$I,MATCH(D381,[1]equip.xml!$A:$A,0))</f>
        <v>138000</v>
      </c>
      <c r="H381" s="8" t="str">
        <f t="shared" si="141"/>
        <v>10_10,50_20,80_30</v>
      </c>
      <c r="I381" s="8">
        <v>10</v>
      </c>
      <c r="J381" s="8">
        <f t="shared" si="142"/>
        <v>240</v>
      </c>
      <c r="K381" s="7" t="s">
        <v>309</v>
      </c>
      <c r="L381" s="8">
        <v>24</v>
      </c>
      <c r="M381" s="7">
        <f>IF(INDEX([1]equip.xml!$B:$B,MATCH(D381,[1]equip.xml!$A:$A,0))=0,0,N381)</f>
        <v>35</v>
      </c>
      <c r="N381" s="8">
        <f t="shared" ref="N381" si="155">N293</f>
        <v>35</v>
      </c>
    </row>
    <row r="382" spans="1:14">
      <c r="A382" s="7">
        <v>10009</v>
      </c>
      <c r="B382" s="7">
        <f t="shared" ref="B382:C382" si="156">B294</f>
        <v>40000</v>
      </c>
      <c r="C382" s="7" t="str">
        <f t="shared" si="156"/>
        <v>装备</v>
      </c>
      <c r="D382" s="7">
        <v>40200010</v>
      </c>
      <c r="E382" s="7"/>
      <c r="F382" s="7">
        <v>1</v>
      </c>
      <c r="G382" s="7">
        <f>3*INDEX([1]equip.xml!$I:$I,MATCH(D382&amp;"",[1]equip.xml!$A:$A,0))</f>
        <v>60000</v>
      </c>
      <c r="H382" s="7" t="str">
        <f t="shared" si="141"/>
        <v>10_10,50_20,80_30</v>
      </c>
      <c r="I382" s="7">
        <v>9</v>
      </c>
      <c r="J382" s="7">
        <f t="shared" si="142"/>
        <v>50</v>
      </c>
      <c r="K382" s="7" t="s">
        <v>309</v>
      </c>
      <c r="L382" s="7">
        <v>26</v>
      </c>
      <c r="M382" s="7">
        <f>IF(INDEX([1]equip.xml!$B:$B,MATCH(D382&amp;"",[1]equip.xml!$A:$A,0))=0,0,N382)</f>
        <v>130</v>
      </c>
      <c r="N382" s="7">
        <f t="shared" ref="N382" si="157">N294</f>
        <v>130</v>
      </c>
    </row>
    <row r="383" spans="1:14">
      <c r="A383" s="7">
        <v>10009</v>
      </c>
      <c r="B383" s="7">
        <f t="shared" ref="B383:C383" si="158">B295</f>
        <v>40000</v>
      </c>
      <c r="C383" s="7" t="str">
        <f t="shared" si="158"/>
        <v>装备</v>
      </c>
      <c r="D383" s="7">
        <v>40200020</v>
      </c>
      <c r="E383" s="7"/>
      <c r="F383" s="7">
        <v>1</v>
      </c>
      <c r="G383" s="7">
        <f>3*INDEX([1]equip.xml!$I:$I,MATCH(D383&amp;"",[1]equip.xml!$A:$A,0))</f>
        <v>60000</v>
      </c>
      <c r="H383" s="7" t="str">
        <f t="shared" si="141"/>
        <v>10_10,50_20,80_30</v>
      </c>
      <c r="I383" s="7">
        <v>9</v>
      </c>
      <c r="J383" s="7">
        <f t="shared" si="142"/>
        <v>50</v>
      </c>
      <c r="K383" s="7" t="s">
        <v>309</v>
      </c>
      <c r="L383" s="7">
        <v>26</v>
      </c>
      <c r="M383" s="7">
        <f>IF(INDEX([1]equip.xml!$B:$B,MATCH(D383&amp;"",[1]equip.xml!$A:$A,0))=0,0,N383)</f>
        <v>130</v>
      </c>
      <c r="N383" s="7">
        <f t="shared" ref="N383" si="159">N295</f>
        <v>130</v>
      </c>
    </row>
    <row r="384" spans="1:14">
      <c r="A384" s="7">
        <v>10009</v>
      </c>
      <c r="B384" s="7">
        <f t="shared" ref="B384:C384" si="160">B296</f>
        <v>40000</v>
      </c>
      <c r="C384" s="7" t="str">
        <f t="shared" si="160"/>
        <v>装备</v>
      </c>
      <c r="D384" s="7">
        <v>40200030</v>
      </c>
      <c r="E384" s="7"/>
      <c r="F384" s="7">
        <v>1</v>
      </c>
      <c r="G384" s="7">
        <f>3*INDEX([1]equip.xml!$I:$I,MATCH(D384&amp;"",[1]equip.xml!$A:$A,0))</f>
        <v>60000</v>
      </c>
      <c r="H384" s="7" t="str">
        <f t="shared" si="141"/>
        <v>10_10,50_20,80_30</v>
      </c>
      <c r="I384" s="7">
        <v>9</v>
      </c>
      <c r="J384" s="7">
        <f t="shared" si="142"/>
        <v>50</v>
      </c>
      <c r="K384" s="7" t="s">
        <v>309</v>
      </c>
      <c r="L384" s="7">
        <v>26</v>
      </c>
      <c r="M384" s="7">
        <f>IF(INDEX([1]equip.xml!$B:$B,MATCH(D384&amp;"",[1]equip.xml!$A:$A,0))=0,0,N384)</f>
        <v>130</v>
      </c>
      <c r="N384" s="7">
        <f t="shared" ref="N384" si="161">N296</f>
        <v>130</v>
      </c>
    </row>
    <row r="385" spans="1:14">
      <c r="A385" s="7">
        <v>10009</v>
      </c>
      <c r="B385" s="7">
        <f t="shared" ref="B385:C385" si="162">B297</f>
        <v>40000</v>
      </c>
      <c r="C385" s="7" t="str">
        <f t="shared" si="162"/>
        <v>装备</v>
      </c>
      <c r="D385" s="7">
        <v>40200080</v>
      </c>
      <c r="E385" s="7"/>
      <c r="F385" s="7">
        <v>1</v>
      </c>
      <c r="G385" s="7">
        <f>3*INDEX([1]equip.xml!$I:$I,MATCH(D385&amp;"",[1]equip.xml!$A:$A,0))</f>
        <v>60000</v>
      </c>
      <c r="H385" s="7" t="str">
        <f t="shared" si="141"/>
        <v>10_10,50_20,80_30</v>
      </c>
      <c r="I385" s="7">
        <v>9</v>
      </c>
      <c r="J385" s="7">
        <f t="shared" si="142"/>
        <v>50</v>
      </c>
      <c r="K385" s="7" t="s">
        <v>309</v>
      </c>
      <c r="L385" s="7">
        <v>26</v>
      </c>
      <c r="M385" s="7">
        <f>IF(INDEX([1]equip.xml!$B:$B,MATCH(D385&amp;"",[1]equip.xml!$A:$A,0))=0,0,N385)</f>
        <v>130</v>
      </c>
      <c r="N385" s="7">
        <f t="shared" ref="N385" si="163">N297</f>
        <v>130</v>
      </c>
    </row>
    <row r="386" spans="1:14">
      <c r="A386" s="7">
        <v>10009</v>
      </c>
      <c r="B386" s="7">
        <f t="shared" ref="B386:C386" si="164">B298</f>
        <v>40000</v>
      </c>
      <c r="C386" s="7" t="str">
        <f t="shared" si="164"/>
        <v>装备</v>
      </c>
      <c r="D386" s="7">
        <v>40200090</v>
      </c>
      <c r="E386" s="7"/>
      <c r="F386" s="7">
        <v>1</v>
      </c>
      <c r="G386" s="7">
        <f>3*INDEX([1]equip.xml!$I:$I,MATCH(D386&amp;"",[1]equip.xml!$A:$A,0))</f>
        <v>60000</v>
      </c>
      <c r="H386" s="7" t="str">
        <f t="shared" si="141"/>
        <v>10_10,50_20,80_30</v>
      </c>
      <c r="I386" s="7">
        <v>9</v>
      </c>
      <c r="J386" s="7">
        <f t="shared" si="142"/>
        <v>50</v>
      </c>
      <c r="K386" s="7" t="s">
        <v>309</v>
      </c>
      <c r="L386" s="7">
        <v>26</v>
      </c>
      <c r="M386" s="7">
        <f>IF(INDEX([1]equip.xml!$B:$B,MATCH(D386&amp;"",[1]equip.xml!$A:$A,0))=0,0,N386)</f>
        <v>130</v>
      </c>
      <c r="N386" s="7">
        <f t="shared" ref="N386" si="165">N298</f>
        <v>130</v>
      </c>
    </row>
    <row r="387" spans="1:14">
      <c r="A387" s="7">
        <v>10009</v>
      </c>
      <c r="B387" s="7">
        <f t="shared" ref="B387:C387" si="166">B299</f>
        <v>40000</v>
      </c>
      <c r="C387" s="7" t="str">
        <f t="shared" si="166"/>
        <v>装备</v>
      </c>
      <c r="D387" s="7">
        <v>40200100</v>
      </c>
      <c r="E387" s="7"/>
      <c r="F387" s="7">
        <v>1</v>
      </c>
      <c r="G387" s="7">
        <f>3*INDEX([1]equip.xml!$I:$I,MATCH(D387&amp;"",[1]equip.xml!$A:$A,0))</f>
        <v>60000</v>
      </c>
      <c r="H387" s="7" t="str">
        <f t="shared" si="141"/>
        <v>10_10,50_20,80_30</v>
      </c>
      <c r="I387" s="7">
        <v>9</v>
      </c>
      <c r="J387" s="7">
        <f t="shared" si="142"/>
        <v>50</v>
      </c>
      <c r="K387" s="7" t="s">
        <v>309</v>
      </c>
      <c r="L387" s="7">
        <v>26</v>
      </c>
      <c r="M387" s="7">
        <f>IF(INDEX([1]equip.xml!$B:$B,MATCH(D387&amp;"",[1]equip.xml!$A:$A,0))=0,0,N387)</f>
        <v>130</v>
      </c>
      <c r="N387" s="7">
        <f t="shared" ref="N387" si="167">N299</f>
        <v>130</v>
      </c>
    </row>
    <row r="388" spans="1:14">
      <c r="A388" s="7">
        <v>10009</v>
      </c>
      <c r="B388" s="7">
        <f t="shared" ref="B388:C388" si="168">B300</f>
        <v>40000</v>
      </c>
      <c r="C388" s="7" t="str">
        <f t="shared" si="168"/>
        <v>装备</v>
      </c>
      <c r="D388" s="7">
        <v>40201050</v>
      </c>
      <c r="E388" s="7"/>
      <c r="F388" s="7">
        <v>1</v>
      </c>
      <c r="G388" s="7">
        <f>3*INDEX([1]equip.xml!$I:$I,MATCH(D388&amp;"",[1]equip.xml!$A:$A,0))</f>
        <v>60000</v>
      </c>
      <c r="H388" s="7" t="str">
        <f t="shared" si="141"/>
        <v>10_10,50_20,80_30</v>
      </c>
      <c r="I388" s="7">
        <v>9</v>
      </c>
      <c r="J388" s="7">
        <f t="shared" si="142"/>
        <v>50</v>
      </c>
      <c r="K388" s="7" t="s">
        <v>309</v>
      </c>
      <c r="L388" s="7">
        <v>26</v>
      </c>
      <c r="M388" s="7">
        <f>IF(INDEX([1]equip.xml!$B:$B,MATCH(D388&amp;"",[1]equip.xml!$A:$A,0))=0,0,N388)</f>
        <v>130</v>
      </c>
      <c r="N388" s="7">
        <f t="shared" ref="N388" si="169">N300</f>
        <v>130</v>
      </c>
    </row>
    <row r="389" spans="1:14">
      <c r="A389" s="7">
        <v>10009</v>
      </c>
      <c r="B389" s="7">
        <f t="shared" ref="B389:C389" si="170">B301</f>
        <v>40000</v>
      </c>
      <c r="C389" s="7" t="str">
        <f t="shared" si="170"/>
        <v>装备</v>
      </c>
      <c r="D389" s="7">
        <v>40201051</v>
      </c>
      <c r="E389" s="7"/>
      <c r="F389" s="7">
        <v>1</v>
      </c>
      <c r="G389" s="7">
        <f>3*INDEX([1]equip.xml!$I:$I,MATCH(D389&amp;"",[1]equip.xml!$A:$A,0))</f>
        <v>69000</v>
      </c>
      <c r="H389" s="7" t="str">
        <f t="shared" si="141"/>
        <v>10_10,50_20,80_30</v>
      </c>
      <c r="I389" s="7">
        <v>9</v>
      </c>
      <c r="J389" s="7">
        <f t="shared" si="142"/>
        <v>50</v>
      </c>
      <c r="K389" s="7" t="s">
        <v>309</v>
      </c>
      <c r="L389" s="7">
        <v>26</v>
      </c>
      <c r="M389" s="7">
        <f>IF(INDEX([1]equip.xml!$B:$B,MATCH(D389&amp;"",[1]equip.xml!$A:$A,0))=0,0,N389)</f>
        <v>0</v>
      </c>
      <c r="N389" s="7">
        <f t="shared" ref="N389" si="171">N301</f>
        <v>130</v>
      </c>
    </row>
    <row r="390" spans="1:14">
      <c r="A390" s="7">
        <v>10009</v>
      </c>
      <c r="B390" s="7">
        <f t="shared" ref="B390:C390" si="172">B302</f>
        <v>40000</v>
      </c>
      <c r="C390" s="7" t="str">
        <f t="shared" si="172"/>
        <v>装备</v>
      </c>
      <c r="D390" s="7">
        <v>40201060</v>
      </c>
      <c r="E390" s="7"/>
      <c r="F390" s="7">
        <v>1</v>
      </c>
      <c r="G390" s="7">
        <f>3*INDEX([1]equip.xml!$I:$I,MATCH(D390&amp;"",[1]equip.xml!$A:$A,0))</f>
        <v>60000</v>
      </c>
      <c r="H390" s="7" t="str">
        <f t="shared" si="141"/>
        <v>10_10,50_20,80_30</v>
      </c>
      <c r="I390" s="7">
        <v>9</v>
      </c>
      <c r="J390" s="7">
        <f t="shared" si="142"/>
        <v>50</v>
      </c>
      <c r="K390" s="7" t="s">
        <v>309</v>
      </c>
      <c r="L390" s="7">
        <v>26</v>
      </c>
      <c r="M390" s="7">
        <f>IF(INDEX([1]equip.xml!$B:$B,MATCH(D390&amp;"",[1]equip.xml!$A:$A,0))=0,0,N390)</f>
        <v>130</v>
      </c>
      <c r="N390" s="7">
        <f t="shared" ref="N390" si="173">N302</f>
        <v>130</v>
      </c>
    </row>
    <row r="391" spans="1:14">
      <c r="A391" s="7">
        <v>10009</v>
      </c>
      <c r="B391" s="7">
        <f t="shared" ref="B391:C391" si="174">B303</f>
        <v>40000</v>
      </c>
      <c r="C391" s="7" t="str">
        <f t="shared" si="174"/>
        <v>装备</v>
      </c>
      <c r="D391" s="7">
        <v>40201061</v>
      </c>
      <c r="E391" s="7"/>
      <c r="F391" s="7">
        <v>1</v>
      </c>
      <c r="G391" s="7">
        <f>3*INDEX([1]equip.xml!$I:$I,MATCH(D391&amp;"",[1]equip.xml!$A:$A,0))</f>
        <v>69000</v>
      </c>
      <c r="H391" s="7" t="str">
        <f t="shared" si="141"/>
        <v>10_10,50_20,80_30</v>
      </c>
      <c r="I391" s="7">
        <v>9</v>
      </c>
      <c r="J391" s="7">
        <f t="shared" si="142"/>
        <v>50</v>
      </c>
      <c r="K391" s="7" t="s">
        <v>309</v>
      </c>
      <c r="L391" s="7">
        <v>26</v>
      </c>
      <c r="M391" s="7">
        <f>IF(INDEX([1]equip.xml!$B:$B,MATCH(D391&amp;"",[1]equip.xml!$A:$A,0))=0,0,N391)</f>
        <v>0</v>
      </c>
      <c r="N391" s="7">
        <f t="shared" ref="N391" si="175">N303</f>
        <v>130</v>
      </c>
    </row>
    <row r="392" spans="1:14">
      <c r="A392" s="7">
        <v>10009</v>
      </c>
      <c r="B392" s="7">
        <f t="shared" ref="B392:C392" si="176">B304</f>
        <v>40000</v>
      </c>
      <c r="C392" s="7" t="str">
        <f t="shared" si="176"/>
        <v>装备</v>
      </c>
      <c r="D392" s="7">
        <v>40202050</v>
      </c>
      <c r="E392" s="7"/>
      <c r="F392" s="7">
        <v>1</v>
      </c>
      <c r="G392" s="7">
        <f>3*INDEX([1]equip.xml!$I:$I,MATCH(D392&amp;"",[1]equip.xml!$A:$A,0))</f>
        <v>60000</v>
      </c>
      <c r="H392" s="7" t="str">
        <f t="shared" si="141"/>
        <v>10_10,50_20,80_30</v>
      </c>
      <c r="I392" s="7">
        <v>9</v>
      </c>
      <c r="J392" s="7">
        <f t="shared" si="142"/>
        <v>50</v>
      </c>
      <c r="K392" s="7" t="s">
        <v>309</v>
      </c>
      <c r="L392" s="7">
        <v>26</v>
      </c>
      <c r="M392" s="7">
        <f>IF(INDEX([1]equip.xml!$B:$B,MATCH(D392&amp;"",[1]equip.xml!$A:$A,0))=0,0,N392)</f>
        <v>130</v>
      </c>
      <c r="N392" s="7">
        <f t="shared" ref="N392" si="177">N304</f>
        <v>130</v>
      </c>
    </row>
    <row r="393" spans="1:14">
      <c r="A393" s="7">
        <v>10009</v>
      </c>
      <c r="B393" s="7">
        <f t="shared" ref="B393:C393" si="178">B305</f>
        <v>40000</v>
      </c>
      <c r="C393" s="7" t="str">
        <f t="shared" si="178"/>
        <v>装备</v>
      </c>
      <c r="D393" s="7">
        <v>40202051</v>
      </c>
      <c r="E393" s="7"/>
      <c r="F393" s="7">
        <v>1</v>
      </c>
      <c r="G393" s="7">
        <f>3*INDEX([1]equip.xml!$I:$I,MATCH(D393&amp;"",[1]equip.xml!$A:$A,0))</f>
        <v>69000</v>
      </c>
      <c r="H393" s="7" t="str">
        <f t="shared" si="141"/>
        <v>10_10,50_20,80_30</v>
      </c>
      <c r="I393" s="7">
        <v>9</v>
      </c>
      <c r="J393" s="7">
        <f t="shared" si="142"/>
        <v>50</v>
      </c>
      <c r="K393" s="7" t="s">
        <v>309</v>
      </c>
      <c r="L393" s="7">
        <v>26</v>
      </c>
      <c r="M393" s="7">
        <f>IF(INDEX([1]equip.xml!$B:$B,MATCH(D393&amp;"",[1]equip.xml!$A:$A,0))=0,0,N393)</f>
        <v>0</v>
      </c>
      <c r="N393" s="7">
        <f t="shared" ref="N393" si="179">N305</f>
        <v>130</v>
      </c>
    </row>
    <row r="394" spans="1:14">
      <c r="A394" s="7">
        <v>10009</v>
      </c>
      <c r="B394" s="7">
        <f t="shared" ref="B394:C394" si="180">B306</f>
        <v>40000</v>
      </c>
      <c r="C394" s="7" t="str">
        <f t="shared" si="180"/>
        <v>装备</v>
      </c>
      <c r="D394" s="7">
        <v>40202060</v>
      </c>
      <c r="E394" s="7"/>
      <c r="F394" s="7">
        <v>1</v>
      </c>
      <c r="G394" s="7">
        <f>3*INDEX([1]equip.xml!$I:$I,MATCH(D394&amp;"",[1]equip.xml!$A:$A,0))</f>
        <v>60000</v>
      </c>
      <c r="H394" s="7" t="str">
        <f t="shared" si="141"/>
        <v>10_10,50_20,80_30</v>
      </c>
      <c r="I394" s="7">
        <v>9</v>
      </c>
      <c r="J394" s="7">
        <f t="shared" si="142"/>
        <v>50</v>
      </c>
      <c r="K394" s="7" t="s">
        <v>309</v>
      </c>
      <c r="L394" s="7">
        <v>26</v>
      </c>
      <c r="M394" s="7">
        <f>IF(INDEX([1]equip.xml!$B:$B,MATCH(D394&amp;"",[1]equip.xml!$A:$A,0))=0,0,N394)</f>
        <v>130</v>
      </c>
      <c r="N394" s="7">
        <f t="shared" ref="N394" si="181">N306</f>
        <v>130</v>
      </c>
    </row>
    <row r="395" spans="1:14">
      <c r="A395" s="7">
        <v>10009</v>
      </c>
      <c r="B395" s="7">
        <f t="shared" ref="B395:C395" si="182">B307</f>
        <v>40000</v>
      </c>
      <c r="C395" s="7" t="str">
        <f t="shared" si="182"/>
        <v>装备</v>
      </c>
      <c r="D395" s="7">
        <v>40202061</v>
      </c>
      <c r="E395" s="7"/>
      <c r="F395" s="7">
        <v>1</v>
      </c>
      <c r="G395" s="7">
        <f>3*INDEX([1]equip.xml!$I:$I,MATCH(D395&amp;"",[1]equip.xml!$A:$A,0))</f>
        <v>69000</v>
      </c>
      <c r="H395" s="7" t="str">
        <f t="shared" si="141"/>
        <v>10_10,50_20,80_30</v>
      </c>
      <c r="I395" s="7">
        <v>9</v>
      </c>
      <c r="J395" s="7">
        <f t="shared" si="142"/>
        <v>50</v>
      </c>
      <c r="K395" s="7" t="s">
        <v>309</v>
      </c>
      <c r="L395" s="7">
        <v>26</v>
      </c>
      <c r="M395" s="7">
        <f>IF(INDEX([1]equip.xml!$B:$B,MATCH(D395&amp;"",[1]equip.xml!$A:$A,0))=0,0,N395)</f>
        <v>0</v>
      </c>
      <c r="N395" s="7">
        <f t="shared" ref="N395" si="183">N307</f>
        <v>130</v>
      </c>
    </row>
    <row r="396" spans="1:14">
      <c r="A396" s="7">
        <v>10009</v>
      </c>
      <c r="B396" s="7">
        <f t="shared" ref="B396:C396" si="184">B308</f>
        <v>40000</v>
      </c>
      <c r="C396" s="7" t="str">
        <f t="shared" si="184"/>
        <v>装备</v>
      </c>
      <c r="D396" s="7">
        <v>40203050</v>
      </c>
      <c r="E396" s="7"/>
      <c r="F396" s="7">
        <v>1</v>
      </c>
      <c r="G396" s="7">
        <f>3*INDEX([1]equip.xml!$I:$I,MATCH(D396&amp;"",[1]equip.xml!$A:$A,0))</f>
        <v>60000</v>
      </c>
      <c r="H396" s="7" t="str">
        <f t="shared" si="141"/>
        <v>10_10,50_20,80_30</v>
      </c>
      <c r="I396" s="7">
        <v>9</v>
      </c>
      <c r="J396" s="7">
        <f t="shared" si="142"/>
        <v>50</v>
      </c>
      <c r="K396" s="7" t="s">
        <v>309</v>
      </c>
      <c r="L396" s="7">
        <v>26</v>
      </c>
      <c r="M396" s="7">
        <f>IF(INDEX([1]equip.xml!$B:$B,MATCH(D396&amp;"",[1]equip.xml!$A:$A,0))=0,0,N396)</f>
        <v>130</v>
      </c>
      <c r="N396" s="7">
        <f t="shared" ref="N396" si="185">N308</f>
        <v>130</v>
      </c>
    </row>
    <row r="397" spans="1:14">
      <c r="A397" s="7">
        <v>10009</v>
      </c>
      <c r="B397" s="7">
        <f t="shared" ref="B397:C397" si="186">B309</f>
        <v>40000</v>
      </c>
      <c r="C397" s="7" t="str">
        <f t="shared" si="186"/>
        <v>装备</v>
      </c>
      <c r="D397" s="7">
        <v>40203051</v>
      </c>
      <c r="E397" s="7"/>
      <c r="F397" s="7">
        <v>1</v>
      </c>
      <c r="G397" s="7">
        <f>3*INDEX([1]equip.xml!$I:$I,MATCH(D397&amp;"",[1]equip.xml!$A:$A,0))</f>
        <v>69000</v>
      </c>
      <c r="H397" s="7" t="str">
        <f t="shared" si="141"/>
        <v>10_10,50_20,80_30</v>
      </c>
      <c r="I397" s="7">
        <v>9</v>
      </c>
      <c r="J397" s="7">
        <f t="shared" si="142"/>
        <v>50</v>
      </c>
      <c r="K397" s="7" t="s">
        <v>309</v>
      </c>
      <c r="L397" s="7">
        <v>26</v>
      </c>
      <c r="M397" s="7">
        <f>IF(INDEX([1]equip.xml!$B:$B,MATCH(D397&amp;"",[1]equip.xml!$A:$A,0))=0,0,N397)</f>
        <v>130</v>
      </c>
      <c r="N397" s="7">
        <f t="shared" ref="N397" si="187">N309</f>
        <v>130</v>
      </c>
    </row>
    <row r="398" spans="1:14">
      <c r="A398" s="7">
        <v>10009</v>
      </c>
      <c r="B398" s="7">
        <f t="shared" ref="B398:C398" si="188">B310</f>
        <v>40000</v>
      </c>
      <c r="C398" s="7" t="str">
        <f t="shared" si="188"/>
        <v>装备</v>
      </c>
      <c r="D398" s="7">
        <v>40203060</v>
      </c>
      <c r="E398" s="7"/>
      <c r="F398" s="7">
        <v>1</v>
      </c>
      <c r="G398" s="7">
        <f>3*INDEX([1]equip.xml!$I:$I,MATCH(D398&amp;"",[1]equip.xml!$A:$A,0))</f>
        <v>60000</v>
      </c>
      <c r="H398" s="7" t="str">
        <f t="shared" si="141"/>
        <v>10_10,50_20,80_30</v>
      </c>
      <c r="I398" s="7">
        <v>9</v>
      </c>
      <c r="J398" s="7">
        <f t="shared" si="142"/>
        <v>50</v>
      </c>
      <c r="K398" s="7" t="s">
        <v>309</v>
      </c>
      <c r="L398" s="7">
        <v>26</v>
      </c>
      <c r="M398" s="7">
        <f>IF(INDEX([1]equip.xml!$B:$B,MATCH(D398&amp;"",[1]equip.xml!$A:$A,0))=0,0,N398)</f>
        <v>130</v>
      </c>
      <c r="N398" s="7">
        <f t="shared" ref="N398" si="189">N310</f>
        <v>130</v>
      </c>
    </row>
    <row r="399" spans="1:14">
      <c r="A399" s="7">
        <v>10009</v>
      </c>
      <c r="B399" s="7">
        <f t="shared" ref="B399:C399" si="190">B311</f>
        <v>40000</v>
      </c>
      <c r="C399" s="7" t="str">
        <f t="shared" si="190"/>
        <v>装备</v>
      </c>
      <c r="D399" s="7">
        <v>40203061</v>
      </c>
      <c r="E399" s="7"/>
      <c r="F399" s="7">
        <v>1</v>
      </c>
      <c r="G399" s="7">
        <f>3*INDEX([1]equip.xml!$I:$I,MATCH(D399&amp;"",[1]equip.xml!$A:$A,0))</f>
        <v>69000</v>
      </c>
      <c r="H399" s="7" t="str">
        <f t="shared" si="141"/>
        <v>10_10,50_20,80_30</v>
      </c>
      <c r="I399" s="7">
        <v>9</v>
      </c>
      <c r="J399" s="7">
        <f t="shared" si="142"/>
        <v>50</v>
      </c>
      <c r="K399" s="7" t="s">
        <v>309</v>
      </c>
      <c r="L399" s="7">
        <v>26</v>
      </c>
      <c r="M399" s="7">
        <f>IF(INDEX([1]equip.xml!$B:$B,MATCH(D399&amp;"",[1]equip.xml!$A:$A,0))=0,0,N399)</f>
        <v>0</v>
      </c>
      <c r="N399" s="7">
        <f t="shared" ref="N399" si="191">N311</f>
        <v>130</v>
      </c>
    </row>
    <row r="400" spans="1:14">
      <c r="A400" s="7">
        <v>10009</v>
      </c>
      <c r="B400" s="7">
        <f t="shared" ref="B400:C400" si="192">B312</f>
        <v>40000</v>
      </c>
      <c r="C400" s="7" t="str">
        <f t="shared" si="192"/>
        <v>装备</v>
      </c>
      <c r="D400" s="7">
        <v>40200040</v>
      </c>
      <c r="E400" s="7"/>
      <c r="F400" s="7">
        <v>1</v>
      </c>
      <c r="G400" s="7">
        <f>3*INDEX([1]equip.xml!$I:$I,MATCH(D400&amp;"",[1]equip.xml!$A:$A,0))</f>
        <v>60000</v>
      </c>
      <c r="H400" s="7" t="str">
        <f t="shared" si="141"/>
        <v>10_10,50_20,80_30</v>
      </c>
      <c r="I400" s="7">
        <v>9</v>
      </c>
      <c r="J400" s="7">
        <f t="shared" si="142"/>
        <v>50</v>
      </c>
      <c r="K400" s="7" t="s">
        <v>309</v>
      </c>
      <c r="L400" s="7">
        <v>26</v>
      </c>
      <c r="M400" s="7">
        <f>IF(INDEX([1]equip.xml!$B:$B,MATCH(D400&amp;"",[1]equip.xml!$A:$A,0))=0,0,N400)</f>
        <v>130</v>
      </c>
      <c r="N400" s="7">
        <f t="shared" ref="N400" si="193">N312</f>
        <v>130</v>
      </c>
    </row>
    <row r="401" spans="1:14">
      <c r="A401" s="7">
        <v>10009</v>
      </c>
      <c r="B401" s="7">
        <f t="shared" ref="B401:C401" si="194">B313</f>
        <v>40000</v>
      </c>
      <c r="C401" s="7" t="str">
        <f t="shared" si="194"/>
        <v>装备</v>
      </c>
      <c r="D401" s="7">
        <v>40200041</v>
      </c>
      <c r="E401" s="7"/>
      <c r="F401" s="7">
        <v>1</v>
      </c>
      <c r="G401" s="7">
        <f>3*INDEX([1]equip.xml!$I:$I,MATCH(D401&amp;"",[1]equip.xml!$A:$A,0))</f>
        <v>69000</v>
      </c>
      <c r="H401" s="7" t="str">
        <f t="shared" si="141"/>
        <v>10_10,50_20,80_30</v>
      </c>
      <c r="I401" s="7">
        <v>9</v>
      </c>
      <c r="J401" s="7">
        <f t="shared" si="142"/>
        <v>50</v>
      </c>
      <c r="K401" s="7" t="s">
        <v>309</v>
      </c>
      <c r="L401" s="7">
        <v>26</v>
      </c>
      <c r="M401" s="7">
        <f>IF(INDEX([1]equip.xml!$B:$B,MATCH(D401&amp;"",[1]equip.xml!$A:$A,0))=0,0,N401)</f>
        <v>130</v>
      </c>
      <c r="N401" s="7">
        <f t="shared" ref="N401" si="195">N313</f>
        <v>130</v>
      </c>
    </row>
    <row r="402" spans="1:14">
      <c r="A402" s="7">
        <v>10009</v>
      </c>
      <c r="B402" s="7">
        <f t="shared" ref="B402:C402" si="196">B314</f>
        <v>40000</v>
      </c>
      <c r="C402" s="7" t="str">
        <f t="shared" si="196"/>
        <v>装备</v>
      </c>
      <c r="D402" s="7">
        <v>40200070</v>
      </c>
      <c r="E402" s="7"/>
      <c r="F402" s="7">
        <v>1</v>
      </c>
      <c r="G402" s="7">
        <f>3*INDEX([1]equip.xml!$I:$I,MATCH(D402&amp;"",[1]equip.xml!$A:$A,0))</f>
        <v>60000</v>
      </c>
      <c r="H402" s="7" t="str">
        <f t="shared" si="141"/>
        <v>10_10,50_20,80_30</v>
      </c>
      <c r="I402" s="7">
        <v>9</v>
      </c>
      <c r="J402" s="7">
        <f t="shared" si="142"/>
        <v>50</v>
      </c>
      <c r="K402" s="7" t="s">
        <v>309</v>
      </c>
      <c r="L402" s="7">
        <v>26</v>
      </c>
      <c r="M402" s="7">
        <f>IF(INDEX([1]equip.xml!$B:$B,MATCH(D402&amp;"",[1]equip.xml!$A:$A,0))=0,0,N402)</f>
        <v>130</v>
      </c>
      <c r="N402" s="7">
        <f t="shared" ref="N402" si="197">N314</f>
        <v>130</v>
      </c>
    </row>
    <row r="403" spans="1:14">
      <c r="A403" s="7">
        <v>10009</v>
      </c>
      <c r="B403" s="7">
        <f t="shared" ref="B403:C403" si="198">B315</f>
        <v>40000</v>
      </c>
      <c r="C403" s="7" t="str">
        <f t="shared" si="198"/>
        <v>装备</v>
      </c>
      <c r="D403" s="7">
        <v>40200071</v>
      </c>
      <c r="E403" s="7"/>
      <c r="F403" s="7">
        <v>1</v>
      </c>
      <c r="G403" s="7">
        <f>3*INDEX([1]equip.xml!$I:$I,MATCH(D403&amp;"",[1]equip.xml!$A:$A,0))</f>
        <v>69000</v>
      </c>
      <c r="H403" s="7" t="str">
        <f t="shared" si="141"/>
        <v>10_10,50_20,80_30</v>
      </c>
      <c r="I403" s="7">
        <v>9</v>
      </c>
      <c r="J403" s="7">
        <f t="shared" si="142"/>
        <v>50</v>
      </c>
      <c r="K403" s="7" t="s">
        <v>309</v>
      </c>
      <c r="L403" s="7">
        <v>26</v>
      </c>
      <c r="M403" s="7">
        <f>IF(INDEX([1]equip.xml!$B:$B,MATCH(D403&amp;"",[1]equip.xml!$A:$A,0))=0,0,N403)</f>
        <v>130</v>
      </c>
      <c r="N403" s="7">
        <f t="shared" ref="N403" si="199">N315</f>
        <v>130</v>
      </c>
    </row>
    <row r="404" spans="1:14">
      <c r="A404" s="7">
        <v>10009</v>
      </c>
      <c r="B404" s="7">
        <f t="shared" ref="B404:C404" si="200">B316</f>
        <v>40000</v>
      </c>
      <c r="C404" s="7" t="str">
        <f t="shared" si="200"/>
        <v>装备</v>
      </c>
      <c r="D404" s="7">
        <v>40250010</v>
      </c>
      <c r="E404" s="7"/>
      <c r="F404" s="7">
        <v>1</v>
      </c>
      <c r="G404" s="7">
        <f>3*INDEX([1]equip.xml!$I:$I,MATCH(D404&amp;"",[1]equip.xml!$A:$A,0))</f>
        <v>75000</v>
      </c>
      <c r="H404" s="7" t="str">
        <f t="shared" si="141"/>
        <v>10_10,50_20,80_30</v>
      </c>
      <c r="I404" s="7">
        <v>9</v>
      </c>
      <c r="J404" s="7">
        <f t="shared" si="142"/>
        <v>50</v>
      </c>
      <c r="K404" s="7" t="s">
        <v>309</v>
      </c>
      <c r="L404" s="7">
        <v>26</v>
      </c>
      <c r="M404" s="7">
        <f>IF(INDEX([1]equip.xml!$B:$B,MATCH(D404&amp;"",[1]equip.xml!$A:$A,0))=0,0,N404)</f>
        <v>65</v>
      </c>
      <c r="N404" s="7">
        <f t="shared" ref="N404" si="201">N316</f>
        <v>65</v>
      </c>
    </row>
    <row r="405" spans="1:14">
      <c r="A405" s="7">
        <v>10009</v>
      </c>
      <c r="B405" s="7">
        <f t="shared" ref="B405:C405" si="202">B317</f>
        <v>40000</v>
      </c>
      <c r="C405" s="7" t="str">
        <f t="shared" si="202"/>
        <v>装备</v>
      </c>
      <c r="D405" s="7">
        <v>40250020</v>
      </c>
      <c r="E405" s="7"/>
      <c r="F405" s="7">
        <v>1</v>
      </c>
      <c r="G405" s="7">
        <f>3*INDEX([1]equip.xml!$I:$I,MATCH(D405&amp;"",[1]equip.xml!$A:$A,0))</f>
        <v>75000</v>
      </c>
      <c r="H405" s="7" t="str">
        <f t="shared" si="141"/>
        <v>10_10,50_20,80_30</v>
      </c>
      <c r="I405" s="7">
        <v>9</v>
      </c>
      <c r="J405" s="7">
        <f t="shared" si="142"/>
        <v>50</v>
      </c>
      <c r="K405" s="7" t="s">
        <v>309</v>
      </c>
      <c r="L405" s="7">
        <v>26</v>
      </c>
      <c r="M405" s="7">
        <f>IF(INDEX([1]equip.xml!$B:$B,MATCH(D405&amp;"",[1]equip.xml!$A:$A,0))=0,0,N405)</f>
        <v>65</v>
      </c>
      <c r="N405" s="7">
        <f t="shared" ref="N405" si="203">N317</f>
        <v>65</v>
      </c>
    </row>
    <row r="406" spans="1:14">
      <c r="A406" s="7">
        <v>10009</v>
      </c>
      <c r="B406" s="7">
        <f t="shared" ref="B406:C406" si="204">B318</f>
        <v>40000</v>
      </c>
      <c r="C406" s="7" t="str">
        <f t="shared" si="204"/>
        <v>装备</v>
      </c>
      <c r="D406" s="7">
        <v>40250030</v>
      </c>
      <c r="E406" s="7"/>
      <c r="F406" s="7">
        <v>1</v>
      </c>
      <c r="G406" s="7">
        <f>3*INDEX([1]equip.xml!$I:$I,MATCH(D406&amp;"",[1]equip.xml!$A:$A,0))</f>
        <v>75000</v>
      </c>
      <c r="H406" s="7" t="str">
        <f t="shared" si="141"/>
        <v>10_10,50_20,80_30</v>
      </c>
      <c r="I406" s="7">
        <v>9</v>
      </c>
      <c r="J406" s="7">
        <f t="shared" si="142"/>
        <v>50</v>
      </c>
      <c r="K406" s="7" t="s">
        <v>309</v>
      </c>
      <c r="L406" s="7">
        <v>26</v>
      </c>
      <c r="M406" s="7">
        <f>IF(INDEX([1]equip.xml!$B:$B,MATCH(D406&amp;"",[1]equip.xml!$A:$A,0))=0,0,N406)</f>
        <v>65</v>
      </c>
      <c r="N406" s="7">
        <f t="shared" ref="N406" si="205">N318</f>
        <v>65</v>
      </c>
    </row>
    <row r="407" spans="1:14">
      <c r="A407" s="7">
        <v>10009</v>
      </c>
      <c r="B407" s="7">
        <f t="shared" ref="B407:C407" si="206">B319</f>
        <v>40000</v>
      </c>
      <c r="C407" s="7" t="str">
        <f t="shared" si="206"/>
        <v>装备</v>
      </c>
      <c r="D407" s="7">
        <v>40250080</v>
      </c>
      <c r="E407" s="7"/>
      <c r="F407" s="7">
        <v>1</v>
      </c>
      <c r="G407" s="7">
        <f>3*INDEX([1]equip.xml!$I:$I,MATCH(D407&amp;"",[1]equip.xml!$A:$A,0))</f>
        <v>75000</v>
      </c>
      <c r="H407" s="7" t="str">
        <f t="shared" si="141"/>
        <v>10_10,50_20,80_30</v>
      </c>
      <c r="I407" s="7">
        <v>9</v>
      </c>
      <c r="J407" s="7">
        <f t="shared" si="142"/>
        <v>50</v>
      </c>
      <c r="K407" s="7" t="s">
        <v>309</v>
      </c>
      <c r="L407" s="7">
        <v>26</v>
      </c>
      <c r="M407" s="7">
        <f>IF(INDEX([1]equip.xml!$B:$B,MATCH(D407&amp;"",[1]equip.xml!$A:$A,0))=0,0,N407)</f>
        <v>65</v>
      </c>
      <c r="N407" s="7">
        <f t="shared" ref="N407" si="207">N319</f>
        <v>65</v>
      </c>
    </row>
    <row r="408" spans="1:14">
      <c r="A408" s="7">
        <v>10009</v>
      </c>
      <c r="B408" s="7">
        <f t="shared" ref="B408:C408" si="208">B320</f>
        <v>40000</v>
      </c>
      <c r="C408" s="7" t="str">
        <f t="shared" si="208"/>
        <v>装备</v>
      </c>
      <c r="D408" s="7">
        <v>40250090</v>
      </c>
      <c r="E408" s="7"/>
      <c r="F408" s="7">
        <v>1</v>
      </c>
      <c r="G408" s="7">
        <f>3*INDEX([1]equip.xml!$I:$I,MATCH(D408&amp;"",[1]equip.xml!$A:$A,0))</f>
        <v>75000</v>
      </c>
      <c r="H408" s="7" t="str">
        <f t="shared" si="141"/>
        <v>10_10,50_20,80_30</v>
      </c>
      <c r="I408" s="7">
        <v>9</v>
      </c>
      <c r="J408" s="7">
        <f t="shared" si="142"/>
        <v>50</v>
      </c>
      <c r="K408" s="7" t="s">
        <v>309</v>
      </c>
      <c r="L408" s="7">
        <v>26</v>
      </c>
      <c r="M408" s="7">
        <f>IF(INDEX([1]equip.xml!$B:$B,MATCH(D408&amp;"",[1]equip.xml!$A:$A,0))=0,0,N408)</f>
        <v>65</v>
      </c>
      <c r="N408" s="7">
        <f t="shared" ref="N408" si="209">N320</f>
        <v>65</v>
      </c>
    </row>
    <row r="409" spans="1:14">
      <c r="A409" s="7">
        <v>10009</v>
      </c>
      <c r="B409" s="7">
        <f t="shared" ref="B409:C409" si="210">B321</f>
        <v>40000</v>
      </c>
      <c r="C409" s="7" t="str">
        <f t="shared" si="210"/>
        <v>装备</v>
      </c>
      <c r="D409" s="7">
        <v>40250100</v>
      </c>
      <c r="E409" s="7"/>
      <c r="F409" s="7">
        <v>1</v>
      </c>
      <c r="G409" s="7">
        <f>3*INDEX([1]equip.xml!$I:$I,MATCH(D409&amp;"",[1]equip.xml!$A:$A,0))</f>
        <v>75000</v>
      </c>
      <c r="H409" s="7" t="str">
        <f t="shared" si="141"/>
        <v>10_10,50_20,80_30</v>
      </c>
      <c r="I409" s="7">
        <v>9</v>
      </c>
      <c r="J409" s="7">
        <f t="shared" si="142"/>
        <v>50</v>
      </c>
      <c r="K409" s="7" t="s">
        <v>309</v>
      </c>
      <c r="L409" s="7">
        <v>26</v>
      </c>
      <c r="M409" s="7">
        <f>IF(INDEX([1]equip.xml!$B:$B,MATCH(D409&amp;"",[1]equip.xml!$A:$A,0))=0,0,N409)</f>
        <v>65</v>
      </c>
      <c r="N409" s="7">
        <f t="shared" ref="N409" si="211">N321</f>
        <v>65</v>
      </c>
    </row>
    <row r="410" spans="1:14">
      <c r="A410" s="7">
        <v>10009</v>
      </c>
      <c r="B410" s="7">
        <f t="shared" ref="B410:C410" si="212">B322</f>
        <v>40000</v>
      </c>
      <c r="C410" s="7" t="str">
        <f t="shared" si="212"/>
        <v>装备</v>
      </c>
      <c r="D410" s="7">
        <v>40251050</v>
      </c>
      <c r="E410" s="7"/>
      <c r="F410" s="7">
        <v>1</v>
      </c>
      <c r="G410" s="7">
        <f>3*INDEX([1]equip.xml!$I:$I,MATCH(D410&amp;"",[1]equip.xml!$A:$A,0))</f>
        <v>75000</v>
      </c>
      <c r="H410" s="7" t="str">
        <f t="shared" si="141"/>
        <v>10_10,50_20,80_30</v>
      </c>
      <c r="I410" s="7">
        <v>9</v>
      </c>
      <c r="J410" s="7">
        <f t="shared" si="142"/>
        <v>50</v>
      </c>
      <c r="K410" s="7" t="s">
        <v>309</v>
      </c>
      <c r="L410" s="7">
        <v>26</v>
      </c>
      <c r="M410" s="7">
        <f>IF(INDEX([1]equip.xml!$B:$B,MATCH(D410&amp;"",[1]equip.xml!$A:$A,0))=0,0,N410)</f>
        <v>65</v>
      </c>
      <c r="N410" s="7">
        <f t="shared" ref="N410" si="213">N322</f>
        <v>65</v>
      </c>
    </row>
    <row r="411" spans="1:14">
      <c r="A411" s="7">
        <v>10009</v>
      </c>
      <c r="B411" s="7">
        <f t="shared" ref="B411:C411" si="214">B323</f>
        <v>40000</v>
      </c>
      <c r="C411" s="7" t="str">
        <f t="shared" si="214"/>
        <v>装备</v>
      </c>
      <c r="D411" s="7">
        <v>40251051</v>
      </c>
      <c r="E411" s="7"/>
      <c r="F411" s="7">
        <v>1</v>
      </c>
      <c r="G411" s="7">
        <f>3*INDEX([1]equip.xml!$I:$I,MATCH(D411&amp;"",[1]equip.xml!$A:$A,0))</f>
        <v>84000</v>
      </c>
      <c r="H411" s="7" t="str">
        <f t="shared" si="141"/>
        <v>10_10,50_20,80_30</v>
      </c>
      <c r="I411" s="7">
        <v>9</v>
      </c>
      <c r="J411" s="7">
        <f t="shared" si="142"/>
        <v>50</v>
      </c>
      <c r="K411" s="7" t="s">
        <v>309</v>
      </c>
      <c r="L411" s="7">
        <v>26</v>
      </c>
      <c r="M411" s="7">
        <f>IF(INDEX([1]equip.xml!$B:$B,MATCH(D411&amp;"",[1]equip.xml!$A:$A,0))=0,0,N411)</f>
        <v>65</v>
      </c>
      <c r="N411" s="7">
        <f t="shared" ref="N411" si="215">N323</f>
        <v>65</v>
      </c>
    </row>
    <row r="412" spans="1:14">
      <c r="A412" s="7">
        <v>10009</v>
      </c>
      <c r="B412" s="7">
        <f t="shared" ref="B412:C412" si="216">B324</f>
        <v>40000</v>
      </c>
      <c r="C412" s="7" t="str">
        <f t="shared" si="216"/>
        <v>装备</v>
      </c>
      <c r="D412" s="7">
        <v>40251060</v>
      </c>
      <c r="E412" s="7"/>
      <c r="F412" s="7">
        <v>1</v>
      </c>
      <c r="G412" s="7">
        <f>3*INDEX([1]equip.xml!$I:$I,MATCH(D412&amp;"",[1]equip.xml!$A:$A,0))</f>
        <v>75000</v>
      </c>
      <c r="H412" s="7" t="str">
        <f t="shared" si="141"/>
        <v>10_10,50_20,80_30</v>
      </c>
      <c r="I412" s="7">
        <v>9</v>
      </c>
      <c r="J412" s="7">
        <f t="shared" si="142"/>
        <v>50</v>
      </c>
      <c r="K412" s="7" t="s">
        <v>309</v>
      </c>
      <c r="L412" s="7">
        <v>26</v>
      </c>
      <c r="M412" s="7">
        <f>IF(INDEX([1]equip.xml!$B:$B,MATCH(D412&amp;"",[1]equip.xml!$A:$A,0))=0,0,N412)</f>
        <v>65</v>
      </c>
      <c r="N412" s="7">
        <f t="shared" ref="N412" si="217">N324</f>
        <v>65</v>
      </c>
    </row>
    <row r="413" spans="1:14">
      <c r="A413" s="7">
        <v>10009</v>
      </c>
      <c r="B413" s="7">
        <f t="shared" ref="B413:C413" si="218">B325</f>
        <v>40000</v>
      </c>
      <c r="C413" s="7" t="str">
        <f t="shared" si="218"/>
        <v>装备</v>
      </c>
      <c r="D413" s="7">
        <v>40251061</v>
      </c>
      <c r="E413" s="7"/>
      <c r="F413" s="7">
        <v>1</v>
      </c>
      <c r="G413" s="7">
        <f>3*INDEX([1]equip.xml!$I:$I,MATCH(D413&amp;"",[1]equip.xml!$A:$A,0))</f>
        <v>84000</v>
      </c>
      <c r="H413" s="7" t="str">
        <f t="shared" si="141"/>
        <v>10_10,50_20,80_30</v>
      </c>
      <c r="I413" s="7">
        <v>9</v>
      </c>
      <c r="J413" s="7">
        <f t="shared" si="142"/>
        <v>50</v>
      </c>
      <c r="K413" s="7" t="s">
        <v>309</v>
      </c>
      <c r="L413" s="7">
        <v>26</v>
      </c>
      <c r="M413" s="7">
        <f>IF(INDEX([1]equip.xml!$B:$B,MATCH(D413&amp;"",[1]equip.xml!$A:$A,0))=0,0,N413)</f>
        <v>0</v>
      </c>
      <c r="N413" s="7">
        <f t="shared" ref="N413" si="219">N325</f>
        <v>65</v>
      </c>
    </row>
    <row r="414" spans="1:14">
      <c r="A414" s="7">
        <v>10009</v>
      </c>
      <c r="B414" s="7">
        <f t="shared" ref="B414:C414" si="220">B326</f>
        <v>40000</v>
      </c>
      <c r="C414" s="7" t="str">
        <f t="shared" si="220"/>
        <v>装备</v>
      </c>
      <c r="D414" s="7">
        <v>40252050</v>
      </c>
      <c r="E414" s="7"/>
      <c r="F414" s="7">
        <v>1</v>
      </c>
      <c r="G414" s="7">
        <f>3*INDEX([1]equip.xml!$I:$I,MATCH(D414&amp;"",[1]equip.xml!$A:$A,0))</f>
        <v>75000</v>
      </c>
      <c r="H414" s="7" t="str">
        <f t="shared" si="141"/>
        <v>10_10,50_20,80_30</v>
      </c>
      <c r="I414" s="7">
        <v>9</v>
      </c>
      <c r="J414" s="7">
        <f t="shared" si="142"/>
        <v>50</v>
      </c>
      <c r="K414" s="7" t="s">
        <v>309</v>
      </c>
      <c r="L414" s="7">
        <v>26</v>
      </c>
      <c r="M414" s="7">
        <f>IF(INDEX([1]equip.xml!$B:$B,MATCH(D414&amp;"",[1]equip.xml!$A:$A,0))=0,0,N414)</f>
        <v>65</v>
      </c>
      <c r="N414" s="7">
        <f t="shared" ref="N414" si="221">N326</f>
        <v>65</v>
      </c>
    </row>
    <row r="415" spans="1:14">
      <c r="A415" s="7">
        <v>10009</v>
      </c>
      <c r="B415" s="7">
        <f t="shared" ref="B415:C415" si="222">B327</f>
        <v>40000</v>
      </c>
      <c r="C415" s="7" t="str">
        <f t="shared" si="222"/>
        <v>装备</v>
      </c>
      <c r="D415" s="7">
        <v>40252051</v>
      </c>
      <c r="E415" s="7"/>
      <c r="F415" s="7">
        <v>1</v>
      </c>
      <c r="G415" s="7">
        <f>3*INDEX([1]equip.xml!$I:$I,MATCH(D415&amp;"",[1]equip.xml!$A:$A,0))</f>
        <v>84000</v>
      </c>
      <c r="H415" s="7" t="str">
        <f t="shared" si="141"/>
        <v>10_10,50_20,80_30</v>
      </c>
      <c r="I415" s="7">
        <v>9</v>
      </c>
      <c r="J415" s="7">
        <f t="shared" si="142"/>
        <v>50</v>
      </c>
      <c r="K415" s="7" t="s">
        <v>309</v>
      </c>
      <c r="L415" s="7">
        <v>26</v>
      </c>
      <c r="M415" s="7">
        <f>IF(INDEX([1]equip.xml!$B:$B,MATCH(D415&amp;"",[1]equip.xml!$A:$A,0))=0,0,N415)</f>
        <v>65</v>
      </c>
      <c r="N415" s="7">
        <f t="shared" ref="N415" si="223">N327</f>
        <v>65</v>
      </c>
    </row>
    <row r="416" spans="1:14">
      <c r="A416" s="7">
        <v>10009</v>
      </c>
      <c r="B416" s="7">
        <f t="shared" ref="B416:C416" si="224">B328</f>
        <v>40000</v>
      </c>
      <c r="C416" s="7" t="str">
        <f t="shared" si="224"/>
        <v>装备</v>
      </c>
      <c r="D416" s="7">
        <v>40252060</v>
      </c>
      <c r="E416" s="7"/>
      <c r="F416" s="7">
        <v>1</v>
      </c>
      <c r="G416" s="7">
        <f>3*INDEX([1]equip.xml!$I:$I,MATCH(D416&amp;"",[1]equip.xml!$A:$A,0))</f>
        <v>75000</v>
      </c>
      <c r="H416" s="7" t="str">
        <f t="shared" si="141"/>
        <v>10_10,50_20,80_30</v>
      </c>
      <c r="I416" s="7">
        <v>9</v>
      </c>
      <c r="J416" s="7">
        <f t="shared" si="142"/>
        <v>50</v>
      </c>
      <c r="K416" s="7" t="s">
        <v>309</v>
      </c>
      <c r="L416" s="7">
        <v>26</v>
      </c>
      <c r="M416" s="7">
        <f>IF(INDEX([1]equip.xml!$B:$B,MATCH(D416&amp;"",[1]equip.xml!$A:$A,0))=0,0,N416)</f>
        <v>65</v>
      </c>
      <c r="N416" s="7">
        <f t="shared" ref="N416" si="225">N328</f>
        <v>65</v>
      </c>
    </row>
    <row r="417" spans="1:14">
      <c r="A417" s="7">
        <v>10009</v>
      </c>
      <c r="B417" s="7">
        <f t="shared" ref="B417:C417" si="226">B329</f>
        <v>40000</v>
      </c>
      <c r="C417" s="7" t="str">
        <f t="shared" si="226"/>
        <v>装备</v>
      </c>
      <c r="D417" s="7">
        <v>40252061</v>
      </c>
      <c r="E417" s="7"/>
      <c r="F417" s="7">
        <v>1</v>
      </c>
      <c r="G417" s="7">
        <f>3*INDEX([1]equip.xml!$I:$I,MATCH(D417&amp;"",[1]equip.xml!$A:$A,0))</f>
        <v>84000</v>
      </c>
      <c r="H417" s="7" t="str">
        <f t="shared" si="141"/>
        <v>10_10,50_20,80_30</v>
      </c>
      <c r="I417" s="7">
        <v>9</v>
      </c>
      <c r="J417" s="7">
        <f t="shared" si="142"/>
        <v>50</v>
      </c>
      <c r="K417" s="7" t="s">
        <v>309</v>
      </c>
      <c r="L417" s="7">
        <v>26</v>
      </c>
      <c r="M417" s="7">
        <f>IF(INDEX([1]equip.xml!$B:$B,MATCH(D417&amp;"",[1]equip.xml!$A:$A,0))=0,0,N417)</f>
        <v>0</v>
      </c>
      <c r="N417" s="7">
        <f t="shared" ref="N417" si="227">N329</f>
        <v>65</v>
      </c>
    </row>
    <row r="418" spans="1:14">
      <c r="A418" s="7">
        <v>10009</v>
      </c>
      <c r="B418" s="7">
        <f t="shared" ref="B418:C418" si="228">B330</f>
        <v>40000</v>
      </c>
      <c r="C418" s="7" t="str">
        <f t="shared" si="228"/>
        <v>装备</v>
      </c>
      <c r="D418" s="7">
        <v>40253050</v>
      </c>
      <c r="E418" s="7"/>
      <c r="F418" s="7">
        <v>1</v>
      </c>
      <c r="G418" s="7">
        <f>3*INDEX([1]equip.xml!$I:$I,MATCH(D418&amp;"",[1]equip.xml!$A:$A,0))</f>
        <v>75000</v>
      </c>
      <c r="H418" s="7" t="str">
        <f t="shared" si="141"/>
        <v>10_10,50_20,80_30</v>
      </c>
      <c r="I418" s="7">
        <v>9</v>
      </c>
      <c r="J418" s="7">
        <f t="shared" si="142"/>
        <v>50</v>
      </c>
      <c r="K418" s="7" t="s">
        <v>309</v>
      </c>
      <c r="L418" s="7">
        <v>26</v>
      </c>
      <c r="M418" s="7">
        <f>IF(INDEX([1]equip.xml!$B:$B,MATCH(D418&amp;"",[1]equip.xml!$A:$A,0))=0,0,N418)</f>
        <v>65</v>
      </c>
      <c r="N418" s="7">
        <f t="shared" ref="N418" si="229">N330</f>
        <v>65</v>
      </c>
    </row>
    <row r="419" spans="1:14">
      <c r="A419" s="7">
        <v>10009</v>
      </c>
      <c r="B419" s="7">
        <f t="shared" ref="B419:C419" si="230">B331</f>
        <v>40000</v>
      </c>
      <c r="C419" s="7" t="str">
        <f t="shared" si="230"/>
        <v>装备</v>
      </c>
      <c r="D419" s="7">
        <v>40253051</v>
      </c>
      <c r="E419" s="7"/>
      <c r="F419" s="7">
        <v>1</v>
      </c>
      <c r="G419" s="7">
        <f>3*INDEX([1]equip.xml!$I:$I,MATCH(D419&amp;"",[1]equip.xml!$A:$A,0))</f>
        <v>84000</v>
      </c>
      <c r="H419" s="7" t="str">
        <f t="shared" si="141"/>
        <v>10_10,50_20,80_30</v>
      </c>
      <c r="I419" s="7">
        <v>9</v>
      </c>
      <c r="J419" s="7">
        <f t="shared" si="142"/>
        <v>50</v>
      </c>
      <c r="K419" s="7" t="s">
        <v>309</v>
      </c>
      <c r="L419" s="7">
        <v>26</v>
      </c>
      <c r="M419" s="7">
        <f>IF(INDEX([1]equip.xml!$B:$B,MATCH(D419&amp;"",[1]equip.xml!$A:$A,0))=0,0,N419)</f>
        <v>0</v>
      </c>
      <c r="N419" s="7">
        <f t="shared" ref="N419" si="231">N331</f>
        <v>65</v>
      </c>
    </row>
    <row r="420" spans="1:14">
      <c r="A420" s="7">
        <v>10009</v>
      </c>
      <c r="B420" s="7">
        <f t="shared" ref="B420:C420" si="232">B332</f>
        <v>40000</v>
      </c>
      <c r="C420" s="7" t="str">
        <f t="shared" si="232"/>
        <v>装备</v>
      </c>
      <c r="D420" s="7">
        <v>40253060</v>
      </c>
      <c r="E420" s="7"/>
      <c r="F420" s="7">
        <v>1</v>
      </c>
      <c r="G420" s="7">
        <f>3*INDEX([1]equip.xml!$I:$I,MATCH(D420&amp;"",[1]equip.xml!$A:$A,0))</f>
        <v>75000</v>
      </c>
      <c r="H420" s="7" t="str">
        <f t="shared" si="141"/>
        <v>10_10,50_20,80_30</v>
      </c>
      <c r="I420" s="7">
        <v>9</v>
      </c>
      <c r="J420" s="7">
        <f t="shared" si="142"/>
        <v>50</v>
      </c>
      <c r="K420" s="7" t="s">
        <v>309</v>
      </c>
      <c r="L420" s="7">
        <v>26</v>
      </c>
      <c r="M420" s="7">
        <f>IF(INDEX([1]equip.xml!$B:$B,MATCH(D420&amp;"",[1]equip.xml!$A:$A,0))=0,0,N420)</f>
        <v>65</v>
      </c>
      <c r="N420" s="7">
        <f t="shared" ref="N420" si="233">N332</f>
        <v>65</v>
      </c>
    </row>
    <row r="421" spans="1:14">
      <c r="A421" s="7">
        <v>10009</v>
      </c>
      <c r="B421" s="7">
        <f t="shared" ref="B421:C421" si="234">B333</f>
        <v>40000</v>
      </c>
      <c r="C421" s="7" t="str">
        <f t="shared" si="234"/>
        <v>装备</v>
      </c>
      <c r="D421" s="7">
        <v>40253061</v>
      </c>
      <c r="E421" s="7"/>
      <c r="F421" s="7">
        <v>1</v>
      </c>
      <c r="G421" s="7">
        <f>3*INDEX([1]equip.xml!$I:$I,MATCH(D421&amp;"",[1]equip.xml!$A:$A,0))</f>
        <v>84000</v>
      </c>
      <c r="H421" s="7" t="str">
        <f t="shared" si="141"/>
        <v>10_10,50_20,80_30</v>
      </c>
      <c r="I421" s="7">
        <v>9</v>
      </c>
      <c r="J421" s="7">
        <f t="shared" si="142"/>
        <v>50</v>
      </c>
      <c r="K421" s="7" t="s">
        <v>309</v>
      </c>
      <c r="L421" s="7">
        <v>26</v>
      </c>
      <c r="M421" s="7">
        <f>IF(INDEX([1]equip.xml!$B:$B,MATCH(D421&amp;"",[1]equip.xml!$A:$A,0))=0,0,N421)</f>
        <v>0</v>
      </c>
      <c r="N421" s="7">
        <f t="shared" ref="N421" si="235">N333</f>
        <v>65</v>
      </c>
    </row>
    <row r="422" spans="1:14">
      <c r="A422" s="7">
        <v>10009</v>
      </c>
      <c r="B422" s="7">
        <f t="shared" ref="B422:C422" si="236">B334</f>
        <v>40000</v>
      </c>
      <c r="C422" s="7" t="str">
        <f t="shared" si="236"/>
        <v>装备</v>
      </c>
      <c r="D422" s="7">
        <v>40250040</v>
      </c>
      <c r="E422" s="7"/>
      <c r="F422" s="7">
        <v>1</v>
      </c>
      <c r="G422" s="7">
        <f>3*INDEX([1]equip.xml!$I:$I,MATCH(D422&amp;"",[1]equip.xml!$A:$A,0))</f>
        <v>75000</v>
      </c>
      <c r="H422" s="7" t="str">
        <f t="shared" si="141"/>
        <v>10_10,50_20,80_30</v>
      </c>
      <c r="I422" s="7">
        <v>9</v>
      </c>
      <c r="J422" s="7">
        <f t="shared" si="142"/>
        <v>50</v>
      </c>
      <c r="K422" s="7" t="s">
        <v>309</v>
      </c>
      <c r="L422" s="7">
        <v>26</v>
      </c>
      <c r="M422" s="7">
        <f>IF(INDEX([1]equip.xml!$B:$B,MATCH(D422&amp;"",[1]equip.xml!$A:$A,0))=0,0,N422)</f>
        <v>65</v>
      </c>
      <c r="N422" s="7">
        <f t="shared" ref="N422" si="237">N334</f>
        <v>65</v>
      </c>
    </row>
    <row r="423" spans="1:14">
      <c r="A423" s="7">
        <v>10009</v>
      </c>
      <c r="B423" s="7">
        <f t="shared" ref="B423:C423" si="238">B335</f>
        <v>40000</v>
      </c>
      <c r="C423" s="7" t="str">
        <f t="shared" si="238"/>
        <v>装备</v>
      </c>
      <c r="D423" s="7">
        <v>40250041</v>
      </c>
      <c r="E423" s="7"/>
      <c r="F423" s="7">
        <v>1</v>
      </c>
      <c r="G423" s="7">
        <f>3*INDEX([1]equip.xml!$I:$I,MATCH(D423&amp;"",[1]equip.xml!$A:$A,0))</f>
        <v>84000</v>
      </c>
      <c r="H423" s="7" t="str">
        <f t="shared" si="141"/>
        <v>10_10,50_20,80_30</v>
      </c>
      <c r="I423" s="7">
        <v>9</v>
      </c>
      <c r="J423" s="7">
        <f t="shared" si="142"/>
        <v>50</v>
      </c>
      <c r="K423" s="7" t="s">
        <v>309</v>
      </c>
      <c r="L423" s="7">
        <v>26</v>
      </c>
      <c r="M423" s="7">
        <f>IF(INDEX([1]equip.xml!$B:$B,MATCH(D423&amp;"",[1]equip.xml!$A:$A,0))=0,0,N423)</f>
        <v>0</v>
      </c>
      <c r="N423" s="7">
        <f t="shared" ref="N423" si="239">N335</f>
        <v>65</v>
      </c>
    </row>
    <row r="424" spans="1:14">
      <c r="A424" s="7">
        <v>10009</v>
      </c>
      <c r="B424" s="7">
        <f t="shared" ref="B424:C424" si="240">B336</f>
        <v>40000</v>
      </c>
      <c r="C424" s="7" t="str">
        <f t="shared" si="240"/>
        <v>装备</v>
      </c>
      <c r="D424" s="7">
        <v>40250070</v>
      </c>
      <c r="E424" s="7"/>
      <c r="F424" s="7">
        <v>1</v>
      </c>
      <c r="G424" s="7">
        <f>3*INDEX([1]equip.xml!$I:$I,MATCH(D424&amp;"",[1]equip.xml!$A:$A,0))</f>
        <v>75000</v>
      </c>
      <c r="H424" s="7" t="str">
        <f t="shared" si="141"/>
        <v>10_10,50_20,80_30</v>
      </c>
      <c r="I424" s="7">
        <v>9</v>
      </c>
      <c r="J424" s="7">
        <f t="shared" si="142"/>
        <v>50</v>
      </c>
      <c r="K424" s="7" t="s">
        <v>309</v>
      </c>
      <c r="L424" s="7">
        <v>26</v>
      </c>
      <c r="M424" s="7">
        <f>IF(INDEX([1]equip.xml!$B:$B,MATCH(D424&amp;"",[1]equip.xml!$A:$A,0))=0,0,N424)</f>
        <v>65</v>
      </c>
      <c r="N424" s="7">
        <f t="shared" ref="N424" si="241">N336</f>
        <v>65</v>
      </c>
    </row>
    <row r="425" spans="1:14">
      <c r="A425" s="7">
        <v>10009</v>
      </c>
      <c r="B425" s="7">
        <f t="shared" ref="B425:C425" si="242">B337</f>
        <v>40000</v>
      </c>
      <c r="C425" s="7" t="str">
        <f t="shared" si="242"/>
        <v>装备</v>
      </c>
      <c r="D425" s="7">
        <v>40250071</v>
      </c>
      <c r="E425" s="7"/>
      <c r="F425" s="7">
        <v>1</v>
      </c>
      <c r="G425" s="7">
        <f>3*INDEX([1]equip.xml!$I:$I,MATCH(D425&amp;"",[1]equip.xml!$A:$A,0))</f>
        <v>84000</v>
      </c>
      <c r="H425" s="7" t="str">
        <f t="shared" si="141"/>
        <v>10_10,50_20,80_30</v>
      </c>
      <c r="I425" s="7">
        <v>9</v>
      </c>
      <c r="J425" s="7">
        <f t="shared" si="142"/>
        <v>50</v>
      </c>
      <c r="K425" s="7" t="s">
        <v>309</v>
      </c>
      <c r="L425" s="7">
        <v>26</v>
      </c>
      <c r="M425" s="7">
        <f>IF(INDEX([1]equip.xml!$B:$B,MATCH(D425&amp;"",[1]equip.xml!$A:$A,0))=0,0,N425)</f>
        <v>0</v>
      </c>
      <c r="N425" s="7">
        <f t="shared" ref="N425" si="243">N337</f>
        <v>65</v>
      </c>
    </row>
    <row r="426" spans="1:14">
      <c r="A426" s="7">
        <v>10009</v>
      </c>
      <c r="B426" s="7">
        <f t="shared" ref="B426:C426" si="244">B338</f>
        <v>40000</v>
      </c>
      <c r="C426" s="7" t="str">
        <f t="shared" si="244"/>
        <v>装备</v>
      </c>
      <c r="D426" s="7">
        <f>D382+10000005</f>
        <v>50200015</v>
      </c>
      <c r="E426" s="7"/>
      <c r="F426" s="7">
        <v>1</v>
      </c>
      <c r="G426" s="8">
        <f>3*INDEX([1]equip.xml!$I:$I,MATCH(D426,[1]equip.xml!$A:$A,0))</f>
        <v>120000</v>
      </c>
      <c r="H426" s="7" t="str">
        <f t="shared" si="141"/>
        <v>10_10,50_20,80_30</v>
      </c>
      <c r="I426" s="7">
        <v>9</v>
      </c>
      <c r="J426" s="7">
        <f t="shared" si="142"/>
        <v>240</v>
      </c>
      <c r="K426" s="7" t="s">
        <v>309</v>
      </c>
      <c r="L426" s="7">
        <v>26</v>
      </c>
      <c r="M426" s="7">
        <f>IF(INDEX([1]equip.xml!$B:$B,MATCH(D426,[1]equip.xml!$A:$A,0))=0,0,N426)</f>
        <v>70</v>
      </c>
      <c r="N426" s="7">
        <f t="shared" ref="N426" si="245">N338</f>
        <v>70</v>
      </c>
    </row>
    <row r="427" spans="1:14">
      <c r="A427" s="7">
        <v>10009</v>
      </c>
      <c r="B427" s="7">
        <f t="shared" ref="B427:C427" si="246">B339</f>
        <v>40000</v>
      </c>
      <c r="C427" s="7" t="str">
        <f t="shared" si="246"/>
        <v>装备</v>
      </c>
      <c r="D427" s="7">
        <f t="shared" ref="D427:D469" si="247">D383+10000005</f>
        <v>50200025</v>
      </c>
      <c r="E427" s="7"/>
      <c r="F427" s="7">
        <v>1</v>
      </c>
      <c r="G427" s="8">
        <f>3*INDEX([1]equip.xml!$I:$I,MATCH(D427,[1]equip.xml!$A:$A,0))</f>
        <v>120000</v>
      </c>
      <c r="H427" s="7" t="str">
        <f t="shared" si="141"/>
        <v>10_10,50_20,80_30</v>
      </c>
      <c r="I427" s="7">
        <v>9</v>
      </c>
      <c r="J427" s="7">
        <f t="shared" si="142"/>
        <v>240</v>
      </c>
      <c r="K427" s="7" t="s">
        <v>309</v>
      </c>
      <c r="L427" s="7">
        <v>26</v>
      </c>
      <c r="M427" s="7">
        <f>IF(INDEX([1]equip.xml!$B:$B,MATCH(D427,[1]equip.xml!$A:$A,0))=0,0,N427)</f>
        <v>70</v>
      </c>
      <c r="N427" s="7">
        <f t="shared" ref="N427" si="248">N339</f>
        <v>70</v>
      </c>
    </row>
    <row r="428" spans="1:14">
      <c r="A428" s="7">
        <v>10009</v>
      </c>
      <c r="B428" s="7">
        <f t="shared" ref="B428:C428" si="249">B340</f>
        <v>40000</v>
      </c>
      <c r="C428" s="7" t="str">
        <f t="shared" si="249"/>
        <v>装备</v>
      </c>
      <c r="D428" s="7">
        <f t="shared" si="247"/>
        <v>50200035</v>
      </c>
      <c r="E428" s="7"/>
      <c r="F428" s="7">
        <v>1</v>
      </c>
      <c r="G428" s="8">
        <f>3*INDEX([1]equip.xml!$I:$I,MATCH(D428,[1]equip.xml!$A:$A,0))</f>
        <v>120000</v>
      </c>
      <c r="H428" s="7" t="str">
        <f t="shared" si="141"/>
        <v>10_10,50_20,80_30</v>
      </c>
      <c r="I428" s="7">
        <v>9</v>
      </c>
      <c r="J428" s="7">
        <f t="shared" si="142"/>
        <v>240</v>
      </c>
      <c r="K428" s="7" t="s">
        <v>309</v>
      </c>
      <c r="L428" s="7">
        <v>26</v>
      </c>
      <c r="M428" s="7">
        <f>IF(INDEX([1]equip.xml!$B:$B,MATCH(D428,[1]equip.xml!$A:$A,0))=0,0,N428)</f>
        <v>70</v>
      </c>
      <c r="N428" s="7">
        <f t="shared" ref="N428" si="250">N340</f>
        <v>70</v>
      </c>
    </row>
    <row r="429" spans="1:14">
      <c r="A429" s="7">
        <v>10009</v>
      </c>
      <c r="B429" s="7">
        <f t="shared" ref="B429:C429" si="251">B341</f>
        <v>40000</v>
      </c>
      <c r="C429" s="7" t="str">
        <f t="shared" si="251"/>
        <v>装备</v>
      </c>
      <c r="D429" s="7">
        <f t="shared" si="247"/>
        <v>50200085</v>
      </c>
      <c r="E429" s="7"/>
      <c r="F429" s="7">
        <v>1</v>
      </c>
      <c r="G429" s="8">
        <f>3*INDEX([1]equip.xml!$I:$I,MATCH(D429,[1]equip.xml!$A:$A,0))</f>
        <v>120000</v>
      </c>
      <c r="H429" s="7" t="str">
        <f t="shared" si="141"/>
        <v>10_10,50_20,80_30</v>
      </c>
      <c r="I429" s="7">
        <v>9</v>
      </c>
      <c r="J429" s="7">
        <f t="shared" si="142"/>
        <v>240</v>
      </c>
      <c r="K429" s="7" t="s">
        <v>309</v>
      </c>
      <c r="L429" s="7">
        <v>26</v>
      </c>
      <c r="M429" s="7">
        <f>IF(INDEX([1]equip.xml!$B:$B,MATCH(D429,[1]equip.xml!$A:$A,0))=0,0,N429)</f>
        <v>70</v>
      </c>
      <c r="N429" s="7">
        <f t="shared" ref="N429" si="252">N341</f>
        <v>70</v>
      </c>
    </row>
    <row r="430" spans="1:14">
      <c r="A430" s="7">
        <v>10009</v>
      </c>
      <c r="B430" s="7">
        <f t="shared" ref="B430:C430" si="253">B342</f>
        <v>40000</v>
      </c>
      <c r="C430" s="7" t="str">
        <f t="shared" si="253"/>
        <v>装备</v>
      </c>
      <c r="D430" s="7">
        <f t="shared" si="247"/>
        <v>50200095</v>
      </c>
      <c r="E430" s="7"/>
      <c r="F430" s="7">
        <v>1</v>
      </c>
      <c r="G430" s="8">
        <f>3*INDEX([1]equip.xml!$I:$I,MATCH(D430,[1]equip.xml!$A:$A,0))</f>
        <v>120000</v>
      </c>
      <c r="H430" s="7" t="str">
        <f t="shared" si="141"/>
        <v>10_10,50_20,80_30</v>
      </c>
      <c r="I430" s="7">
        <v>9</v>
      </c>
      <c r="J430" s="7">
        <f t="shared" si="142"/>
        <v>240</v>
      </c>
      <c r="K430" s="7" t="s">
        <v>309</v>
      </c>
      <c r="L430" s="7">
        <v>26</v>
      </c>
      <c r="M430" s="7">
        <f>IF(INDEX([1]equip.xml!$B:$B,MATCH(D430,[1]equip.xml!$A:$A,0))=0,0,N430)</f>
        <v>70</v>
      </c>
      <c r="N430" s="7">
        <f t="shared" ref="N430" si="254">N342</f>
        <v>70</v>
      </c>
    </row>
    <row r="431" spans="1:14">
      <c r="A431" s="7">
        <v>10009</v>
      </c>
      <c r="B431" s="7">
        <f t="shared" ref="B431:C431" si="255">B343</f>
        <v>40000</v>
      </c>
      <c r="C431" s="7" t="str">
        <f t="shared" si="255"/>
        <v>装备</v>
      </c>
      <c r="D431" s="7">
        <f t="shared" si="247"/>
        <v>50200105</v>
      </c>
      <c r="E431" s="7"/>
      <c r="F431" s="7">
        <v>1</v>
      </c>
      <c r="G431" s="8">
        <f>3*INDEX([1]equip.xml!$I:$I,MATCH(D431,[1]equip.xml!$A:$A,0))</f>
        <v>120000</v>
      </c>
      <c r="H431" s="7" t="str">
        <f t="shared" si="141"/>
        <v>10_10,50_20,80_30</v>
      </c>
      <c r="I431" s="7">
        <v>9</v>
      </c>
      <c r="J431" s="7">
        <f t="shared" si="142"/>
        <v>240</v>
      </c>
      <c r="K431" s="7" t="s">
        <v>309</v>
      </c>
      <c r="L431" s="7">
        <v>26</v>
      </c>
      <c r="M431" s="7">
        <f>IF(INDEX([1]equip.xml!$B:$B,MATCH(D431,[1]equip.xml!$A:$A,0))=0,0,N431)</f>
        <v>70</v>
      </c>
      <c r="N431" s="7">
        <f t="shared" ref="N431" si="256">N343</f>
        <v>70</v>
      </c>
    </row>
    <row r="432" spans="1:14">
      <c r="A432" s="7">
        <v>10009</v>
      </c>
      <c r="B432" s="7">
        <f t="shared" ref="B432:C432" si="257">B344</f>
        <v>40000</v>
      </c>
      <c r="C432" s="7" t="str">
        <f t="shared" si="257"/>
        <v>装备</v>
      </c>
      <c r="D432" s="7">
        <f t="shared" si="247"/>
        <v>50201055</v>
      </c>
      <c r="E432" s="7"/>
      <c r="F432" s="7">
        <v>1</v>
      </c>
      <c r="G432" s="8">
        <f>3*INDEX([1]equip.xml!$I:$I,MATCH(D432,[1]equip.xml!$A:$A,0))</f>
        <v>120000</v>
      </c>
      <c r="H432" s="7" t="str">
        <f t="shared" si="141"/>
        <v>10_10,50_20,80_30</v>
      </c>
      <c r="I432" s="7">
        <v>9</v>
      </c>
      <c r="J432" s="7">
        <f t="shared" si="142"/>
        <v>240</v>
      </c>
      <c r="K432" s="7" t="s">
        <v>309</v>
      </c>
      <c r="L432" s="7">
        <v>26</v>
      </c>
      <c r="M432" s="7">
        <f>IF(INDEX([1]equip.xml!$B:$B,MATCH(D432,[1]equip.xml!$A:$A,0))=0,0,N432)</f>
        <v>70</v>
      </c>
      <c r="N432" s="7">
        <f t="shared" ref="N432" si="258">N344</f>
        <v>70</v>
      </c>
    </row>
    <row r="433" spans="1:14">
      <c r="A433" s="7">
        <v>10009</v>
      </c>
      <c r="B433" s="7">
        <f t="shared" ref="B433:C433" si="259">B345</f>
        <v>40000</v>
      </c>
      <c r="C433" s="7" t="str">
        <f t="shared" si="259"/>
        <v>装备</v>
      </c>
      <c r="D433" s="7">
        <f t="shared" si="247"/>
        <v>50201056</v>
      </c>
      <c r="E433" s="7"/>
      <c r="F433" s="7">
        <v>1</v>
      </c>
      <c r="G433" s="8">
        <f>3*INDEX([1]equip.xml!$I:$I,MATCH(D433,[1]equip.xml!$A:$A,0))</f>
        <v>138000</v>
      </c>
      <c r="H433" s="7" t="str">
        <f t="shared" si="141"/>
        <v>10_10,50_20,80_30</v>
      </c>
      <c r="I433" s="7">
        <v>9</v>
      </c>
      <c r="J433" s="7">
        <f t="shared" si="142"/>
        <v>240</v>
      </c>
      <c r="K433" s="7" t="s">
        <v>309</v>
      </c>
      <c r="L433" s="7">
        <v>26</v>
      </c>
      <c r="M433" s="7">
        <f>IF(INDEX([1]equip.xml!$B:$B,MATCH(D433,[1]equip.xml!$A:$A,0))=0,0,N433)</f>
        <v>0</v>
      </c>
      <c r="N433" s="7">
        <f t="shared" ref="N433" si="260">N345</f>
        <v>70</v>
      </c>
    </row>
    <row r="434" spans="1:14">
      <c r="A434" s="7">
        <v>10009</v>
      </c>
      <c r="B434" s="7">
        <f t="shared" ref="B434:C434" si="261">B346</f>
        <v>40000</v>
      </c>
      <c r="C434" s="7" t="str">
        <f t="shared" si="261"/>
        <v>装备</v>
      </c>
      <c r="D434" s="7">
        <f t="shared" si="247"/>
        <v>50201065</v>
      </c>
      <c r="E434" s="7"/>
      <c r="F434" s="7">
        <v>1</v>
      </c>
      <c r="G434" s="8">
        <f>3*INDEX([1]equip.xml!$I:$I,MATCH(D434,[1]equip.xml!$A:$A,0))</f>
        <v>120000</v>
      </c>
      <c r="H434" s="7" t="str">
        <f t="shared" si="141"/>
        <v>10_10,50_20,80_30</v>
      </c>
      <c r="I434" s="7">
        <v>9</v>
      </c>
      <c r="J434" s="7">
        <f t="shared" si="142"/>
        <v>240</v>
      </c>
      <c r="K434" s="7" t="s">
        <v>309</v>
      </c>
      <c r="L434" s="7">
        <v>26</v>
      </c>
      <c r="M434" s="7">
        <f>IF(INDEX([1]equip.xml!$B:$B,MATCH(D434,[1]equip.xml!$A:$A,0))=0,0,N434)</f>
        <v>70</v>
      </c>
      <c r="N434" s="7">
        <f t="shared" ref="N434" si="262">N346</f>
        <v>70</v>
      </c>
    </row>
    <row r="435" spans="1:14">
      <c r="A435" s="7">
        <v>10009</v>
      </c>
      <c r="B435" s="7">
        <f t="shared" ref="B435:C435" si="263">B347</f>
        <v>40000</v>
      </c>
      <c r="C435" s="7" t="str">
        <f t="shared" si="263"/>
        <v>装备</v>
      </c>
      <c r="D435" s="7">
        <f t="shared" si="247"/>
        <v>50201066</v>
      </c>
      <c r="E435" s="7"/>
      <c r="F435" s="7">
        <v>1</v>
      </c>
      <c r="G435" s="8">
        <f>3*INDEX([1]equip.xml!$I:$I,MATCH(D435,[1]equip.xml!$A:$A,0))</f>
        <v>138000</v>
      </c>
      <c r="H435" s="7" t="str">
        <f t="shared" si="141"/>
        <v>10_10,50_20,80_30</v>
      </c>
      <c r="I435" s="7">
        <v>9</v>
      </c>
      <c r="J435" s="7">
        <f t="shared" si="142"/>
        <v>240</v>
      </c>
      <c r="K435" s="7" t="s">
        <v>309</v>
      </c>
      <c r="L435" s="7">
        <v>26</v>
      </c>
      <c r="M435" s="7">
        <f>IF(INDEX([1]equip.xml!$B:$B,MATCH(D435,[1]equip.xml!$A:$A,0))=0,0,N435)</f>
        <v>0</v>
      </c>
      <c r="N435" s="7">
        <f t="shared" ref="N435" si="264">N347</f>
        <v>70</v>
      </c>
    </row>
    <row r="436" spans="1:14">
      <c r="A436" s="7">
        <v>10009</v>
      </c>
      <c r="B436" s="7">
        <f t="shared" ref="B436:C436" si="265">B348</f>
        <v>40000</v>
      </c>
      <c r="C436" s="7" t="str">
        <f t="shared" si="265"/>
        <v>装备</v>
      </c>
      <c r="D436" s="7">
        <f t="shared" si="247"/>
        <v>50202055</v>
      </c>
      <c r="E436" s="7"/>
      <c r="F436" s="7">
        <v>1</v>
      </c>
      <c r="G436" s="8">
        <f>3*INDEX([1]equip.xml!$I:$I,MATCH(D436,[1]equip.xml!$A:$A,0))</f>
        <v>120000</v>
      </c>
      <c r="H436" s="7" t="str">
        <f t="shared" si="141"/>
        <v>10_10,50_20,80_30</v>
      </c>
      <c r="I436" s="7">
        <v>9</v>
      </c>
      <c r="J436" s="7">
        <f t="shared" si="142"/>
        <v>240</v>
      </c>
      <c r="K436" s="7" t="s">
        <v>309</v>
      </c>
      <c r="L436" s="7">
        <v>26</v>
      </c>
      <c r="M436" s="7">
        <f>IF(INDEX([1]equip.xml!$B:$B,MATCH(D436,[1]equip.xml!$A:$A,0))=0,0,N436)</f>
        <v>70</v>
      </c>
      <c r="N436" s="7">
        <f t="shared" ref="N436" si="266">N348</f>
        <v>70</v>
      </c>
    </row>
    <row r="437" spans="1:14">
      <c r="A437" s="7">
        <v>10009</v>
      </c>
      <c r="B437" s="7">
        <f t="shared" ref="B437:C437" si="267">B349</f>
        <v>40000</v>
      </c>
      <c r="C437" s="7" t="str">
        <f t="shared" si="267"/>
        <v>装备</v>
      </c>
      <c r="D437" s="7">
        <f t="shared" si="247"/>
        <v>50202056</v>
      </c>
      <c r="E437" s="7"/>
      <c r="F437" s="7">
        <v>1</v>
      </c>
      <c r="G437" s="8">
        <f>3*INDEX([1]equip.xml!$I:$I,MATCH(D437,[1]equip.xml!$A:$A,0))</f>
        <v>138000</v>
      </c>
      <c r="H437" s="7" t="str">
        <f t="shared" si="141"/>
        <v>10_10,50_20,80_30</v>
      </c>
      <c r="I437" s="7">
        <v>9</v>
      </c>
      <c r="J437" s="7">
        <f t="shared" si="142"/>
        <v>240</v>
      </c>
      <c r="K437" s="7" t="s">
        <v>309</v>
      </c>
      <c r="L437" s="7">
        <v>26</v>
      </c>
      <c r="M437" s="7">
        <f>IF(INDEX([1]equip.xml!$B:$B,MATCH(D437,[1]equip.xml!$A:$A,0))=0,0,N437)</f>
        <v>0</v>
      </c>
      <c r="N437" s="7">
        <f t="shared" ref="N437" si="268">N349</f>
        <v>70</v>
      </c>
    </row>
    <row r="438" spans="1:14">
      <c r="A438" s="7">
        <v>10009</v>
      </c>
      <c r="B438" s="7">
        <f t="shared" ref="B438:C438" si="269">B350</f>
        <v>40000</v>
      </c>
      <c r="C438" s="7" t="str">
        <f t="shared" si="269"/>
        <v>装备</v>
      </c>
      <c r="D438" s="7">
        <f t="shared" si="247"/>
        <v>50202065</v>
      </c>
      <c r="E438" s="7"/>
      <c r="F438" s="7">
        <v>1</v>
      </c>
      <c r="G438" s="8">
        <f>3*INDEX([1]equip.xml!$I:$I,MATCH(D438,[1]equip.xml!$A:$A,0))</f>
        <v>120000</v>
      </c>
      <c r="H438" s="7" t="str">
        <f t="shared" si="141"/>
        <v>10_10,50_20,80_30</v>
      </c>
      <c r="I438" s="7">
        <v>9</v>
      </c>
      <c r="J438" s="7">
        <f t="shared" si="142"/>
        <v>240</v>
      </c>
      <c r="K438" s="7" t="s">
        <v>309</v>
      </c>
      <c r="L438" s="7">
        <v>26</v>
      </c>
      <c r="M438" s="7">
        <f>IF(INDEX([1]equip.xml!$B:$B,MATCH(D438,[1]equip.xml!$A:$A,0))=0,0,N438)</f>
        <v>70</v>
      </c>
      <c r="N438" s="7">
        <f t="shared" ref="N438" si="270">N350</f>
        <v>70</v>
      </c>
    </row>
    <row r="439" spans="1:14">
      <c r="A439" s="7">
        <v>10009</v>
      </c>
      <c r="B439" s="7">
        <f t="shared" ref="B439:C439" si="271">B351</f>
        <v>40000</v>
      </c>
      <c r="C439" s="7" t="str">
        <f t="shared" si="271"/>
        <v>装备</v>
      </c>
      <c r="D439" s="7">
        <f t="shared" si="247"/>
        <v>50202066</v>
      </c>
      <c r="E439" s="7"/>
      <c r="F439" s="7">
        <v>1</v>
      </c>
      <c r="G439" s="8">
        <f>3*INDEX([1]equip.xml!$I:$I,MATCH(D439,[1]equip.xml!$A:$A,0))</f>
        <v>138000</v>
      </c>
      <c r="H439" s="7" t="str">
        <f t="shared" ref="H439:H502" si="272">H351</f>
        <v>10_10,50_20,80_30</v>
      </c>
      <c r="I439" s="7">
        <v>9</v>
      </c>
      <c r="J439" s="7">
        <f t="shared" ref="J439:J502" si="273">J351</f>
        <v>240</v>
      </c>
      <c r="K439" s="7" t="s">
        <v>309</v>
      </c>
      <c r="L439" s="7">
        <v>26</v>
      </c>
      <c r="M439" s="7">
        <f>IF(INDEX([1]equip.xml!$B:$B,MATCH(D439,[1]equip.xml!$A:$A,0))=0,0,N439)</f>
        <v>0</v>
      </c>
      <c r="N439" s="7">
        <f t="shared" ref="N439" si="274">N351</f>
        <v>70</v>
      </c>
    </row>
    <row r="440" spans="1:14">
      <c r="A440" s="7">
        <v>10009</v>
      </c>
      <c r="B440" s="7">
        <f t="shared" ref="B440:C440" si="275">B352</f>
        <v>40000</v>
      </c>
      <c r="C440" s="7" t="str">
        <f t="shared" si="275"/>
        <v>装备</v>
      </c>
      <c r="D440" s="7">
        <f t="shared" si="247"/>
        <v>50203055</v>
      </c>
      <c r="E440" s="7"/>
      <c r="F440" s="7">
        <v>1</v>
      </c>
      <c r="G440" s="8">
        <f>3*INDEX([1]equip.xml!$I:$I,MATCH(D440,[1]equip.xml!$A:$A,0))</f>
        <v>120000</v>
      </c>
      <c r="H440" s="7" t="str">
        <f t="shared" si="272"/>
        <v>10_10,50_20,80_30</v>
      </c>
      <c r="I440" s="7">
        <v>9</v>
      </c>
      <c r="J440" s="7">
        <f t="shared" si="273"/>
        <v>240</v>
      </c>
      <c r="K440" s="7" t="s">
        <v>309</v>
      </c>
      <c r="L440" s="7">
        <v>26</v>
      </c>
      <c r="M440" s="7">
        <f>IF(INDEX([1]equip.xml!$B:$B,MATCH(D440,[1]equip.xml!$A:$A,0))=0,0,N440)</f>
        <v>70</v>
      </c>
      <c r="N440" s="7">
        <f t="shared" ref="N440" si="276">N352</f>
        <v>70</v>
      </c>
    </row>
    <row r="441" spans="1:14">
      <c r="A441" s="7">
        <v>10009</v>
      </c>
      <c r="B441" s="7">
        <f t="shared" ref="B441:C441" si="277">B353</f>
        <v>40000</v>
      </c>
      <c r="C441" s="7" t="str">
        <f t="shared" si="277"/>
        <v>装备</v>
      </c>
      <c r="D441" s="7">
        <f t="shared" si="247"/>
        <v>50203056</v>
      </c>
      <c r="E441" s="7"/>
      <c r="F441" s="7">
        <v>1</v>
      </c>
      <c r="G441" s="8">
        <f>3*INDEX([1]equip.xml!$I:$I,MATCH(D441,[1]equip.xml!$A:$A,0))</f>
        <v>138000</v>
      </c>
      <c r="H441" s="7" t="str">
        <f t="shared" si="272"/>
        <v>10_10,50_20,80_30</v>
      </c>
      <c r="I441" s="7">
        <v>9</v>
      </c>
      <c r="J441" s="7">
        <f t="shared" si="273"/>
        <v>240</v>
      </c>
      <c r="K441" s="7" t="s">
        <v>309</v>
      </c>
      <c r="L441" s="7">
        <v>26</v>
      </c>
      <c r="M441" s="7">
        <f>IF(INDEX([1]equip.xml!$B:$B,MATCH(D441,[1]equip.xml!$A:$A,0))=0,0,N441)</f>
        <v>70</v>
      </c>
      <c r="N441" s="7">
        <f t="shared" ref="N441" si="278">N353</f>
        <v>70</v>
      </c>
    </row>
    <row r="442" spans="1:14">
      <c r="A442" s="7">
        <v>10009</v>
      </c>
      <c r="B442" s="7">
        <f t="shared" ref="B442:C442" si="279">B354</f>
        <v>40000</v>
      </c>
      <c r="C442" s="7" t="str">
        <f t="shared" si="279"/>
        <v>装备</v>
      </c>
      <c r="D442" s="7">
        <f t="shared" si="247"/>
        <v>50203065</v>
      </c>
      <c r="E442" s="7"/>
      <c r="F442" s="7">
        <v>1</v>
      </c>
      <c r="G442" s="8">
        <f>3*INDEX([1]equip.xml!$I:$I,MATCH(D442,[1]equip.xml!$A:$A,0))</f>
        <v>120000</v>
      </c>
      <c r="H442" s="7" t="str">
        <f t="shared" si="272"/>
        <v>10_10,50_20,80_30</v>
      </c>
      <c r="I442" s="7">
        <v>9</v>
      </c>
      <c r="J442" s="7">
        <f t="shared" si="273"/>
        <v>240</v>
      </c>
      <c r="K442" s="7" t="s">
        <v>309</v>
      </c>
      <c r="L442" s="7">
        <v>26</v>
      </c>
      <c r="M442" s="7">
        <f>IF(INDEX([1]equip.xml!$B:$B,MATCH(D442,[1]equip.xml!$A:$A,0))=0,0,N442)</f>
        <v>70</v>
      </c>
      <c r="N442" s="7">
        <f t="shared" ref="N442" si="280">N354</f>
        <v>70</v>
      </c>
    </row>
    <row r="443" spans="1:14">
      <c r="A443" s="7">
        <v>10009</v>
      </c>
      <c r="B443" s="7">
        <f t="shared" ref="B443:C443" si="281">B355</f>
        <v>40000</v>
      </c>
      <c r="C443" s="7" t="str">
        <f t="shared" si="281"/>
        <v>装备</v>
      </c>
      <c r="D443" s="7">
        <f t="shared" si="247"/>
        <v>50203066</v>
      </c>
      <c r="E443" s="7"/>
      <c r="F443" s="7">
        <v>1</v>
      </c>
      <c r="G443" s="8">
        <f>3*INDEX([1]equip.xml!$I:$I,MATCH(D443,[1]equip.xml!$A:$A,0))</f>
        <v>138000</v>
      </c>
      <c r="H443" s="7" t="str">
        <f t="shared" si="272"/>
        <v>10_10,50_20,80_30</v>
      </c>
      <c r="I443" s="7">
        <v>9</v>
      </c>
      <c r="J443" s="7">
        <f t="shared" si="273"/>
        <v>240</v>
      </c>
      <c r="K443" s="7" t="s">
        <v>309</v>
      </c>
      <c r="L443" s="7">
        <v>26</v>
      </c>
      <c r="M443" s="7">
        <f>IF(INDEX([1]equip.xml!$B:$B,MATCH(D443,[1]equip.xml!$A:$A,0))=0,0,N443)</f>
        <v>0</v>
      </c>
      <c r="N443" s="7">
        <f t="shared" ref="N443" si="282">N355</f>
        <v>70</v>
      </c>
    </row>
    <row r="444" spans="1:14">
      <c r="A444" s="7">
        <v>10009</v>
      </c>
      <c r="B444" s="7">
        <f t="shared" ref="B444:C444" si="283">B356</f>
        <v>40000</v>
      </c>
      <c r="C444" s="7" t="str">
        <f t="shared" si="283"/>
        <v>装备</v>
      </c>
      <c r="D444" s="7">
        <f t="shared" si="247"/>
        <v>50200045</v>
      </c>
      <c r="E444" s="7"/>
      <c r="F444" s="7">
        <v>1</v>
      </c>
      <c r="G444" s="8">
        <f>3*INDEX([1]equip.xml!$I:$I,MATCH(D444,[1]equip.xml!$A:$A,0))</f>
        <v>120000</v>
      </c>
      <c r="H444" s="7" t="str">
        <f t="shared" si="272"/>
        <v>10_10,50_20,80_30</v>
      </c>
      <c r="I444" s="7">
        <v>9</v>
      </c>
      <c r="J444" s="7">
        <f t="shared" si="273"/>
        <v>240</v>
      </c>
      <c r="K444" s="7" t="s">
        <v>309</v>
      </c>
      <c r="L444" s="7">
        <v>26</v>
      </c>
      <c r="M444" s="7">
        <f>IF(INDEX([1]equip.xml!$B:$B,MATCH(D444,[1]equip.xml!$A:$A,0))=0,0,N444)</f>
        <v>70</v>
      </c>
      <c r="N444" s="7">
        <f t="shared" ref="N444" si="284">N356</f>
        <v>70</v>
      </c>
    </row>
    <row r="445" spans="1:14">
      <c r="A445" s="7">
        <v>10009</v>
      </c>
      <c r="B445" s="7">
        <f t="shared" ref="B445:C445" si="285">B357</f>
        <v>40000</v>
      </c>
      <c r="C445" s="7" t="str">
        <f t="shared" si="285"/>
        <v>装备</v>
      </c>
      <c r="D445" s="7">
        <f t="shared" si="247"/>
        <v>50200046</v>
      </c>
      <c r="E445" s="7"/>
      <c r="F445" s="7">
        <v>1</v>
      </c>
      <c r="G445" s="8">
        <f>3*INDEX([1]equip.xml!$I:$I,MATCH(D445,[1]equip.xml!$A:$A,0))</f>
        <v>138000</v>
      </c>
      <c r="H445" s="7" t="str">
        <f t="shared" si="272"/>
        <v>10_10,50_20,80_30</v>
      </c>
      <c r="I445" s="7">
        <v>9</v>
      </c>
      <c r="J445" s="7">
        <f t="shared" si="273"/>
        <v>240</v>
      </c>
      <c r="K445" s="7" t="s">
        <v>309</v>
      </c>
      <c r="L445" s="7">
        <v>26</v>
      </c>
      <c r="M445" s="7">
        <f>IF(INDEX([1]equip.xml!$B:$B,MATCH(D445,[1]equip.xml!$A:$A,0))=0,0,N445)</f>
        <v>70</v>
      </c>
      <c r="N445" s="7">
        <f t="shared" ref="N445" si="286">N357</f>
        <v>70</v>
      </c>
    </row>
    <row r="446" spans="1:14">
      <c r="A446" s="7">
        <v>10009</v>
      </c>
      <c r="B446" s="7">
        <f t="shared" ref="B446:C446" si="287">B358</f>
        <v>40000</v>
      </c>
      <c r="C446" s="7" t="str">
        <f t="shared" si="287"/>
        <v>装备</v>
      </c>
      <c r="D446" s="7">
        <f t="shared" si="247"/>
        <v>50200075</v>
      </c>
      <c r="E446" s="7"/>
      <c r="F446" s="7">
        <v>1</v>
      </c>
      <c r="G446" s="8">
        <f>3*INDEX([1]equip.xml!$I:$I,MATCH(D446,[1]equip.xml!$A:$A,0))</f>
        <v>120000</v>
      </c>
      <c r="H446" s="7" t="str">
        <f t="shared" si="272"/>
        <v>10_10,50_20,80_30</v>
      </c>
      <c r="I446" s="7">
        <v>9</v>
      </c>
      <c r="J446" s="7">
        <f t="shared" si="273"/>
        <v>240</v>
      </c>
      <c r="K446" s="7" t="s">
        <v>309</v>
      </c>
      <c r="L446" s="7">
        <v>26</v>
      </c>
      <c r="M446" s="7">
        <f>IF(INDEX([1]equip.xml!$B:$B,MATCH(D446,[1]equip.xml!$A:$A,0))=0,0,N446)</f>
        <v>70</v>
      </c>
      <c r="N446" s="7">
        <f t="shared" ref="N446" si="288">N358</f>
        <v>70</v>
      </c>
    </row>
    <row r="447" spans="1:14">
      <c r="A447" s="7">
        <v>10009</v>
      </c>
      <c r="B447" s="7">
        <f t="shared" ref="B447:C447" si="289">B359</f>
        <v>40000</v>
      </c>
      <c r="C447" s="7" t="str">
        <f t="shared" si="289"/>
        <v>装备</v>
      </c>
      <c r="D447" s="7">
        <f t="shared" si="247"/>
        <v>50200076</v>
      </c>
      <c r="E447" s="7"/>
      <c r="F447" s="7">
        <v>1</v>
      </c>
      <c r="G447" s="8">
        <f>3*INDEX([1]equip.xml!$I:$I,MATCH(D447,[1]equip.xml!$A:$A,0))</f>
        <v>138000</v>
      </c>
      <c r="H447" s="7" t="str">
        <f t="shared" si="272"/>
        <v>10_10,50_20,80_30</v>
      </c>
      <c r="I447" s="7">
        <v>9</v>
      </c>
      <c r="J447" s="7">
        <f t="shared" si="273"/>
        <v>240</v>
      </c>
      <c r="K447" s="7" t="s">
        <v>309</v>
      </c>
      <c r="L447" s="7">
        <v>26</v>
      </c>
      <c r="M447" s="7">
        <f>IF(INDEX([1]equip.xml!$B:$B,MATCH(D447,[1]equip.xml!$A:$A,0))=0,0,N447)</f>
        <v>70</v>
      </c>
      <c r="N447" s="7">
        <f t="shared" ref="N447" si="290">N359</f>
        <v>70</v>
      </c>
    </row>
    <row r="448" spans="1:14">
      <c r="A448" s="7">
        <v>10009</v>
      </c>
      <c r="B448" s="7">
        <f t="shared" ref="B448:C448" si="291">B360</f>
        <v>40000</v>
      </c>
      <c r="C448" s="7" t="str">
        <f t="shared" si="291"/>
        <v>装备</v>
      </c>
      <c r="D448" s="7">
        <f t="shared" si="247"/>
        <v>50250015</v>
      </c>
      <c r="E448" s="7"/>
      <c r="F448" s="7">
        <v>1</v>
      </c>
      <c r="G448" s="8">
        <f>3*INDEX([1]equip.xml!$I:$I,MATCH(D448,[1]equip.xml!$A:$A,0))</f>
        <v>150000</v>
      </c>
      <c r="H448" s="7" t="str">
        <f t="shared" si="272"/>
        <v>10_10,50_20,80_30</v>
      </c>
      <c r="I448" s="7">
        <v>9</v>
      </c>
      <c r="J448" s="7">
        <f t="shared" si="273"/>
        <v>240</v>
      </c>
      <c r="K448" s="7" t="s">
        <v>309</v>
      </c>
      <c r="L448" s="7">
        <v>26</v>
      </c>
      <c r="M448" s="7">
        <f>IF(INDEX([1]equip.xml!$B:$B,MATCH(D448,[1]equip.xml!$A:$A,0))=0,0,N448)</f>
        <v>35</v>
      </c>
      <c r="N448" s="7">
        <f t="shared" ref="N448" si="292">N360</f>
        <v>35</v>
      </c>
    </row>
    <row r="449" spans="1:14">
      <c r="A449" s="7">
        <v>10009</v>
      </c>
      <c r="B449" s="7">
        <f t="shared" ref="B449:C449" si="293">B361</f>
        <v>40000</v>
      </c>
      <c r="C449" s="7" t="str">
        <f t="shared" si="293"/>
        <v>装备</v>
      </c>
      <c r="D449" s="7">
        <f t="shared" si="247"/>
        <v>50250025</v>
      </c>
      <c r="E449" s="7"/>
      <c r="F449" s="7">
        <v>1</v>
      </c>
      <c r="G449" s="8">
        <f>3*INDEX([1]equip.xml!$I:$I,MATCH(D449,[1]equip.xml!$A:$A,0))</f>
        <v>150000</v>
      </c>
      <c r="H449" s="7" t="str">
        <f t="shared" si="272"/>
        <v>10_10,50_20,80_30</v>
      </c>
      <c r="I449" s="7">
        <v>9</v>
      </c>
      <c r="J449" s="7">
        <f t="shared" si="273"/>
        <v>240</v>
      </c>
      <c r="K449" s="7" t="s">
        <v>309</v>
      </c>
      <c r="L449" s="7">
        <v>26</v>
      </c>
      <c r="M449" s="7">
        <f>IF(INDEX([1]equip.xml!$B:$B,MATCH(D449,[1]equip.xml!$A:$A,0))=0,0,N449)</f>
        <v>35</v>
      </c>
      <c r="N449" s="7">
        <f t="shared" ref="N449" si="294">N361</f>
        <v>35</v>
      </c>
    </row>
    <row r="450" spans="1:14">
      <c r="A450" s="7">
        <v>10009</v>
      </c>
      <c r="B450" s="7">
        <f t="shared" ref="B450:C450" si="295">B362</f>
        <v>40000</v>
      </c>
      <c r="C450" s="7" t="str">
        <f t="shared" si="295"/>
        <v>装备</v>
      </c>
      <c r="D450" s="7">
        <f t="shared" si="247"/>
        <v>50250035</v>
      </c>
      <c r="E450" s="7"/>
      <c r="F450" s="7">
        <v>1</v>
      </c>
      <c r="G450" s="8">
        <f>3*INDEX([1]equip.xml!$I:$I,MATCH(D450,[1]equip.xml!$A:$A,0))</f>
        <v>150000</v>
      </c>
      <c r="H450" s="7" t="str">
        <f t="shared" si="272"/>
        <v>10_10,50_20,80_30</v>
      </c>
      <c r="I450" s="7">
        <v>9</v>
      </c>
      <c r="J450" s="7">
        <f t="shared" si="273"/>
        <v>240</v>
      </c>
      <c r="K450" s="7" t="s">
        <v>309</v>
      </c>
      <c r="L450" s="7">
        <v>26</v>
      </c>
      <c r="M450" s="7">
        <f>IF(INDEX([1]equip.xml!$B:$B,MATCH(D450,[1]equip.xml!$A:$A,0))=0,0,N450)</f>
        <v>35</v>
      </c>
      <c r="N450" s="7">
        <f t="shared" ref="N450" si="296">N362</f>
        <v>35</v>
      </c>
    </row>
    <row r="451" spans="1:14">
      <c r="A451" s="7">
        <v>10009</v>
      </c>
      <c r="B451" s="7">
        <f t="shared" ref="B451:C451" si="297">B363</f>
        <v>40000</v>
      </c>
      <c r="C451" s="7" t="str">
        <f t="shared" si="297"/>
        <v>装备</v>
      </c>
      <c r="D451" s="7">
        <f t="shared" si="247"/>
        <v>50250085</v>
      </c>
      <c r="E451" s="7"/>
      <c r="F451" s="7">
        <v>1</v>
      </c>
      <c r="G451" s="8">
        <f>3*INDEX([1]equip.xml!$I:$I,MATCH(D451,[1]equip.xml!$A:$A,0))</f>
        <v>150000</v>
      </c>
      <c r="H451" s="7" t="str">
        <f t="shared" si="272"/>
        <v>10_10,50_20,80_30</v>
      </c>
      <c r="I451" s="7">
        <v>9</v>
      </c>
      <c r="J451" s="7">
        <f t="shared" si="273"/>
        <v>240</v>
      </c>
      <c r="K451" s="7" t="s">
        <v>309</v>
      </c>
      <c r="L451" s="7">
        <v>26</v>
      </c>
      <c r="M451" s="7">
        <f>IF(INDEX([1]equip.xml!$B:$B,MATCH(D451,[1]equip.xml!$A:$A,0))=0,0,N451)</f>
        <v>35</v>
      </c>
      <c r="N451" s="7">
        <f t="shared" ref="N451" si="298">N363</f>
        <v>35</v>
      </c>
    </row>
    <row r="452" spans="1:14">
      <c r="A452" s="7">
        <v>10009</v>
      </c>
      <c r="B452" s="7">
        <f t="shared" ref="B452:C452" si="299">B364</f>
        <v>40000</v>
      </c>
      <c r="C452" s="7" t="str">
        <f t="shared" si="299"/>
        <v>装备</v>
      </c>
      <c r="D452" s="7">
        <f t="shared" si="247"/>
        <v>50250095</v>
      </c>
      <c r="E452" s="7"/>
      <c r="F452" s="7">
        <v>1</v>
      </c>
      <c r="G452" s="8">
        <f>3*INDEX([1]equip.xml!$I:$I,MATCH(D452,[1]equip.xml!$A:$A,0))</f>
        <v>150000</v>
      </c>
      <c r="H452" s="7" t="str">
        <f t="shared" si="272"/>
        <v>10_10,50_20,80_30</v>
      </c>
      <c r="I452" s="7">
        <v>9</v>
      </c>
      <c r="J452" s="7">
        <f t="shared" si="273"/>
        <v>240</v>
      </c>
      <c r="K452" s="7" t="s">
        <v>309</v>
      </c>
      <c r="L452" s="7">
        <v>26</v>
      </c>
      <c r="M452" s="7">
        <f>IF(INDEX([1]equip.xml!$B:$B,MATCH(D452,[1]equip.xml!$A:$A,0))=0,0,N452)</f>
        <v>35</v>
      </c>
      <c r="N452" s="7">
        <f t="shared" ref="N452" si="300">N364</f>
        <v>35</v>
      </c>
    </row>
    <row r="453" spans="1:14">
      <c r="A453" s="7">
        <v>10009</v>
      </c>
      <c r="B453" s="7">
        <f t="shared" ref="B453:C453" si="301">B365</f>
        <v>40000</v>
      </c>
      <c r="C453" s="7" t="str">
        <f t="shared" si="301"/>
        <v>装备</v>
      </c>
      <c r="D453" s="7">
        <f t="shared" si="247"/>
        <v>50250105</v>
      </c>
      <c r="E453" s="7"/>
      <c r="F453" s="7">
        <v>1</v>
      </c>
      <c r="G453" s="8">
        <f>3*INDEX([1]equip.xml!$I:$I,MATCH(D453,[1]equip.xml!$A:$A,0))</f>
        <v>150000</v>
      </c>
      <c r="H453" s="7" t="str">
        <f t="shared" si="272"/>
        <v>10_10,50_20,80_30</v>
      </c>
      <c r="I453" s="7">
        <v>9</v>
      </c>
      <c r="J453" s="7">
        <f t="shared" si="273"/>
        <v>240</v>
      </c>
      <c r="K453" s="7" t="s">
        <v>309</v>
      </c>
      <c r="L453" s="7">
        <v>26</v>
      </c>
      <c r="M453" s="7">
        <f>IF(INDEX([1]equip.xml!$B:$B,MATCH(D453,[1]equip.xml!$A:$A,0))=0,0,N453)</f>
        <v>35</v>
      </c>
      <c r="N453" s="7">
        <f t="shared" ref="N453" si="302">N365</f>
        <v>35</v>
      </c>
    </row>
    <row r="454" spans="1:14">
      <c r="A454" s="7">
        <v>10009</v>
      </c>
      <c r="B454" s="7">
        <f t="shared" ref="B454:C454" si="303">B366</f>
        <v>40000</v>
      </c>
      <c r="C454" s="7" t="str">
        <f t="shared" si="303"/>
        <v>装备</v>
      </c>
      <c r="D454" s="7">
        <f t="shared" si="247"/>
        <v>50251055</v>
      </c>
      <c r="E454" s="7"/>
      <c r="F454" s="7">
        <v>1</v>
      </c>
      <c r="G454" s="8">
        <f>3*INDEX([1]equip.xml!$I:$I,MATCH(D454,[1]equip.xml!$A:$A,0))</f>
        <v>150000</v>
      </c>
      <c r="H454" s="7" t="str">
        <f t="shared" si="272"/>
        <v>10_10,50_20,80_30</v>
      </c>
      <c r="I454" s="7">
        <v>9</v>
      </c>
      <c r="J454" s="7">
        <f t="shared" si="273"/>
        <v>240</v>
      </c>
      <c r="K454" s="7" t="s">
        <v>309</v>
      </c>
      <c r="L454" s="7">
        <v>26</v>
      </c>
      <c r="M454" s="7">
        <f>IF(INDEX([1]equip.xml!$B:$B,MATCH(D454,[1]equip.xml!$A:$A,0))=0,0,N454)</f>
        <v>35</v>
      </c>
      <c r="N454" s="7">
        <f t="shared" ref="N454" si="304">N366</f>
        <v>35</v>
      </c>
    </row>
    <row r="455" spans="1:14">
      <c r="A455" s="7">
        <v>10009</v>
      </c>
      <c r="B455" s="7">
        <f t="shared" ref="B455:C455" si="305">B367</f>
        <v>40000</v>
      </c>
      <c r="C455" s="7" t="str">
        <f t="shared" si="305"/>
        <v>装备</v>
      </c>
      <c r="D455" s="7">
        <f t="shared" si="247"/>
        <v>50251056</v>
      </c>
      <c r="E455" s="7"/>
      <c r="F455" s="7">
        <v>1</v>
      </c>
      <c r="G455" s="8">
        <f>3*INDEX([1]equip.xml!$I:$I,MATCH(D455,[1]equip.xml!$A:$A,0))</f>
        <v>168000</v>
      </c>
      <c r="H455" s="7" t="str">
        <f t="shared" si="272"/>
        <v>10_10,50_20,80_30</v>
      </c>
      <c r="I455" s="7">
        <v>9</v>
      </c>
      <c r="J455" s="7">
        <f t="shared" si="273"/>
        <v>240</v>
      </c>
      <c r="K455" s="7" t="s">
        <v>309</v>
      </c>
      <c r="L455" s="7">
        <v>26</v>
      </c>
      <c r="M455" s="7">
        <f>IF(INDEX([1]equip.xml!$B:$B,MATCH(D455,[1]equip.xml!$A:$A,0))=0,0,N455)</f>
        <v>35</v>
      </c>
      <c r="N455" s="7">
        <f t="shared" ref="N455" si="306">N367</f>
        <v>35</v>
      </c>
    </row>
    <row r="456" spans="1:14">
      <c r="A456" s="7">
        <v>10009</v>
      </c>
      <c r="B456" s="7">
        <f t="shared" ref="B456:C456" si="307">B368</f>
        <v>40000</v>
      </c>
      <c r="C456" s="7" t="str">
        <f t="shared" si="307"/>
        <v>装备</v>
      </c>
      <c r="D456" s="7">
        <f t="shared" si="247"/>
        <v>50251065</v>
      </c>
      <c r="E456" s="7"/>
      <c r="F456" s="7">
        <v>1</v>
      </c>
      <c r="G456" s="8">
        <f>3*INDEX([1]equip.xml!$I:$I,MATCH(D456,[1]equip.xml!$A:$A,0))</f>
        <v>150000</v>
      </c>
      <c r="H456" s="7" t="str">
        <f t="shared" si="272"/>
        <v>10_10,50_20,80_30</v>
      </c>
      <c r="I456" s="7">
        <v>9</v>
      </c>
      <c r="J456" s="7">
        <f t="shared" si="273"/>
        <v>240</v>
      </c>
      <c r="K456" s="7" t="s">
        <v>309</v>
      </c>
      <c r="L456" s="7">
        <v>26</v>
      </c>
      <c r="M456" s="7">
        <f>IF(INDEX([1]equip.xml!$B:$B,MATCH(D456,[1]equip.xml!$A:$A,0))=0,0,N456)</f>
        <v>35</v>
      </c>
      <c r="N456" s="7">
        <f t="shared" ref="N456" si="308">N368</f>
        <v>35</v>
      </c>
    </row>
    <row r="457" spans="1:14">
      <c r="A457" s="7">
        <v>10009</v>
      </c>
      <c r="B457" s="7">
        <f t="shared" ref="B457:C457" si="309">B369</f>
        <v>40000</v>
      </c>
      <c r="C457" s="7" t="str">
        <f t="shared" si="309"/>
        <v>装备</v>
      </c>
      <c r="D457" s="7">
        <f t="shared" si="247"/>
        <v>50251066</v>
      </c>
      <c r="E457" s="7"/>
      <c r="F457" s="7">
        <v>1</v>
      </c>
      <c r="G457" s="8">
        <f>3*INDEX([1]equip.xml!$I:$I,MATCH(D457,[1]equip.xml!$A:$A,0))</f>
        <v>168000</v>
      </c>
      <c r="H457" s="7" t="str">
        <f t="shared" si="272"/>
        <v>10_10,50_20,80_30</v>
      </c>
      <c r="I457" s="7">
        <v>9</v>
      </c>
      <c r="J457" s="7">
        <f t="shared" si="273"/>
        <v>240</v>
      </c>
      <c r="K457" s="7" t="s">
        <v>309</v>
      </c>
      <c r="L457" s="7">
        <v>26</v>
      </c>
      <c r="M457" s="7">
        <f>IF(INDEX([1]equip.xml!$B:$B,MATCH(D457,[1]equip.xml!$A:$A,0))=0,0,N457)</f>
        <v>0</v>
      </c>
      <c r="N457" s="7">
        <f t="shared" ref="N457" si="310">N369</f>
        <v>35</v>
      </c>
    </row>
    <row r="458" spans="1:14">
      <c r="A458" s="7">
        <v>10009</v>
      </c>
      <c r="B458" s="7">
        <f t="shared" ref="B458:C458" si="311">B370</f>
        <v>40000</v>
      </c>
      <c r="C458" s="7" t="str">
        <f t="shared" si="311"/>
        <v>装备</v>
      </c>
      <c r="D458" s="7">
        <f t="shared" si="247"/>
        <v>50252055</v>
      </c>
      <c r="E458" s="7"/>
      <c r="F458" s="7">
        <v>1</v>
      </c>
      <c r="G458" s="8">
        <f>3*INDEX([1]equip.xml!$I:$I,MATCH(D458,[1]equip.xml!$A:$A,0))</f>
        <v>150000</v>
      </c>
      <c r="H458" s="7" t="str">
        <f t="shared" si="272"/>
        <v>10_10,50_20,80_30</v>
      </c>
      <c r="I458" s="7">
        <v>9</v>
      </c>
      <c r="J458" s="7">
        <f t="shared" si="273"/>
        <v>240</v>
      </c>
      <c r="K458" s="7" t="s">
        <v>309</v>
      </c>
      <c r="L458" s="7">
        <v>26</v>
      </c>
      <c r="M458" s="7">
        <f>IF(INDEX([1]equip.xml!$B:$B,MATCH(D458,[1]equip.xml!$A:$A,0))=0,0,N458)</f>
        <v>35</v>
      </c>
      <c r="N458" s="7">
        <f t="shared" ref="N458" si="312">N370</f>
        <v>35</v>
      </c>
    </row>
    <row r="459" spans="1:14">
      <c r="A459" s="7">
        <v>10009</v>
      </c>
      <c r="B459" s="7">
        <f t="shared" ref="B459:C459" si="313">B371</f>
        <v>40000</v>
      </c>
      <c r="C459" s="7" t="str">
        <f t="shared" si="313"/>
        <v>装备</v>
      </c>
      <c r="D459" s="7">
        <f t="shared" si="247"/>
        <v>50252056</v>
      </c>
      <c r="E459" s="7"/>
      <c r="F459" s="7">
        <v>1</v>
      </c>
      <c r="G459" s="8">
        <f>3*INDEX([1]equip.xml!$I:$I,MATCH(D459,[1]equip.xml!$A:$A,0))</f>
        <v>168000</v>
      </c>
      <c r="H459" s="7" t="str">
        <f t="shared" si="272"/>
        <v>10_10,50_20,80_30</v>
      </c>
      <c r="I459" s="7">
        <v>9</v>
      </c>
      <c r="J459" s="7">
        <f t="shared" si="273"/>
        <v>240</v>
      </c>
      <c r="K459" s="7" t="s">
        <v>309</v>
      </c>
      <c r="L459" s="7">
        <v>26</v>
      </c>
      <c r="M459" s="7">
        <f>IF(INDEX([1]equip.xml!$B:$B,MATCH(D459,[1]equip.xml!$A:$A,0))=0,0,N459)</f>
        <v>35</v>
      </c>
      <c r="N459" s="7">
        <f t="shared" ref="N459" si="314">N371</f>
        <v>35</v>
      </c>
    </row>
    <row r="460" spans="1:14">
      <c r="A460" s="7">
        <v>10009</v>
      </c>
      <c r="B460" s="7">
        <f t="shared" ref="B460:C460" si="315">B372</f>
        <v>40000</v>
      </c>
      <c r="C460" s="7" t="str">
        <f t="shared" si="315"/>
        <v>装备</v>
      </c>
      <c r="D460" s="7">
        <f t="shared" si="247"/>
        <v>50252065</v>
      </c>
      <c r="E460" s="7"/>
      <c r="F460" s="7">
        <v>1</v>
      </c>
      <c r="G460" s="8">
        <f>3*INDEX([1]equip.xml!$I:$I,MATCH(D460,[1]equip.xml!$A:$A,0))</f>
        <v>150000</v>
      </c>
      <c r="H460" s="7" t="str">
        <f t="shared" si="272"/>
        <v>10_10,50_20,80_30</v>
      </c>
      <c r="I460" s="7">
        <v>9</v>
      </c>
      <c r="J460" s="7">
        <f t="shared" si="273"/>
        <v>240</v>
      </c>
      <c r="K460" s="7" t="s">
        <v>309</v>
      </c>
      <c r="L460" s="7">
        <v>26</v>
      </c>
      <c r="M460" s="7">
        <f>IF(INDEX([1]equip.xml!$B:$B,MATCH(D460,[1]equip.xml!$A:$A,0))=0,0,N460)</f>
        <v>35</v>
      </c>
      <c r="N460" s="7">
        <f t="shared" ref="N460" si="316">N372</f>
        <v>35</v>
      </c>
    </row>
    <row r="461" spans="1:14">
      <c r="A461" s="7">
        <v>10009</v>
      </c>
      <c r="B461" s="7">
        <f t="shared" ref="B461:C461" si="317">B373</f>
        <v>40000</v>
      </c>
      <c r="C461" s="7" t="str">
        <f t="shared" si="317"/>
        <v>装备</v>
      </c>
      <c r="D461" s="7">
        <f t="shared" si="247"/>
        <v>50252066</v>
      </c>
      <c r="E461" s="7"/>
      <c r="F461" s="7">
        <v>1</v>
      </c>
      <c r="G461" s="8">
        <f>3*INDEX([1]equip.xml!$I:$I,MATCH(D461,[1]equip.xml!$A:$A,0))</f>
        <v>168000</v>
      </c>
      <c r="H461" s="7" t="str">
        <f t="shared" si="272"/>
        <v>10_10,50_20,80_30</v>
      </c>
      <c r="I461" s="7">
        <v>9</v>
      </c>
      <c r="J461" s="7">
        <f t="shared" si="273"/>
        <v>240</v>
      </c>
      <c r="K461" s="7" t="s">
        <v>309</v>
      </c>
      <c r="L461" s="7">
        <v>26</v>
      </c>
      <c r="M461" s="7">
        <f>IF(INDEX([1]equip.xml!$B:$B,MATCH(D461,[1]equip.xml!$A:$A,0))=0,0,N461)</f>
        <v>0</v>
      </c>
      <c r="N461" s="7">
        <f t="shared" ref="N461" si="318">N373</f>
        <v>35</v>
      </c>
    </row>
    <row r="462" spans="1:14">
      <c r="A462" s="7">
        <v>10009</v>
      </c>
      <c r="B462" s="7">
        <f t="shared" ref="B462:C462" si="319">B374</f>
        <v>40000</v>
      </c>
      <c r="C462" s="7" t="str">
        <f t="shared" si="319"/>
        <v>装备</v>
      </c>
      <c r="D462" s="7">
        <f t="shared" si="247"/>
        <v>50253055</v>
      </c>
      <c r="E462" s="7"/>
      <c r="F462" s="7">
        <v>1</v>
      </c>
      <c r="G462" s="8">
        <f>3*INDEX([1]equip.xml!$I:$I,MATCH(D462,[1]equip.xml!$A:$A,0))</f>
        <v>150000</v>
      </c>
      <c r="H462" s="7" t="str">
        <f t="shared" si="272"/>
        <v>10_10,50_20,80_30</v>
      </c>
      <c r="I462" s="7">
        <v>9</v>
      </c>
      <c r="J462" s="7">
        <f t="shared" si="273"/>
        <v>240</v>
      </c>
      <c r="K462" s="7" t="s">
        <v>309</v>
      </c>
      <c r="L462" s="7">
        <v>26</v>
      </c>
      <c r="M462" s="7">
        <f>IF(INDEX([1]equip.xml!$B:$B,MATCH(D462,[1]equip.xml!$A:$A,0))=0,0,N462)</f>
        <v>35</v>
      </c>
      <c r="N462" s="7">
        <f t="shared" ref="N462" si="320">N374</f>
        <v>35</v>
      </c>
    </row>
    <row r="463" spans="1:14">
      <c r="A463" s="7">
        <v>10009</v>
      </c>
      <c r="B463" s="7">
        <f t="shared" ref="B463:C463" si="321">B375</f>
        <v>40000</v>
      </c>
      <c r="C463" s="7" t="str">
        <f t="shared" si="321"/>
        <v>装备</v>
      </c>
      <c r="D463" s="7">
        <f t="shared" si="247"/>
        <v>50253056</v>
      </c>
      <c r="E463" s="7"/>
      <c r="F463" s="7">
        <v>1</v>
      </c>
      <c r="G463" s="8">
        <f>3*INDEX([1]equip.xml!$I:$I,MATCH(D463,[1]equip.xml!$A:$A,0))</f>
        <v>168000</v>
      </c>
      <c r="H463" s="7" t="str">
        <f t="shared" si="272"/>
        <v>10_10,50_20,80_30</v>
      </c>
      <c r="I463" s="7">
        <v>9</v>
      </c>
      <c r="J463" s="7">
        <f t="shared" si="273"/>
        <v>240</v>
      </c>
      <c r="K463" s="7" t="s">
        <v>309</v>
      </c>
      <c r="L463" s="7">
        <v>26</v>
      </c>
      <c r="M463" s="7">
        <f>IF(INDEX([1]equip.xml!$B:$B,MATCH(D463,[1]equip.xml!$A:$A,0))=0,0,N463)</f>
        <v>0</v>
      </c>
      <c r="N463" s="7">
        <f t="shared" ref="N463" si="322">N375</f>
        <v>35</v>
      </c>
    </row>
    <row r="464" spans="1:14">
      <c r="A464" s="7">
        <v>10009</v>
      </c>
      <c r="B464" s="7">
        <f t="shared" ref="B464:C464" si="323">B376</f>
        <v>40000</v>
      </c>
      <c r="C464" s="7" t="str">
        <f t="shared" si="323"/>
        <v>装备</v>
      </c>
      <c r="D464" s="7">
        <f t="shared" si="247"/>
        <v>50253065</v>
      </c>
      <c r="E464" s="7"/>
      <c r="F464" s="7">
        <v>1</v>
      </c>
      <c r="G464" s="8">
        <f>3*INDEX([1]equip.xml!$I:$I,MATCH(D464,[1]equip.xml!$A:$A,0))</f>
        <v>150000</v>
      </c>
      <c r="H464" s="7" t="str">
        <f t="shared" si="272"/>
        <v>10_10,50_20,80_30</v>
      </c>
      <c r="I464" s="7">
        <v>9</v>
      </c>
      <c r="J464" s="7">
        <f t="shared" si="273"/>
        <v>240</v>
      </c>
      <c r="K464" s="7" t="s">
        <v>309</v>
      </c>
      <c r="L464" s="7">
        <v>26</v>
      </c>
      <c r="M464" s="7">
        <f>IF(INDEX([1]equip.xml!$B:$B,MATCH(D464,[1]equip.xml!$A:$A,0))=0,0,N464)</f>
        <v>35</v>
      </c>
      <c r="N464" s="7">
        <f t="shared" ref="N464" si="324">N376</f>
        <v>35</v>
      </c>
    </row>
    <row r="465" spans="1:14">
      <c r="A465" s="7">
        <v>10009</v>
      </c>
      <c r="B465" s="7">
        <f t="shared" ref="B465:C465" si="325">B377</f>
        <v>40000</v>
      </c>
      <c r="C465" s="7" t="str">
        <f t="shared" si="325"/>
        <v>装备</v>
      </c>
      <c r="D465" s="7">
        <f t="shared" si="247"/>
        <v>50253066</v>
      </c>
      <c r="E465" s="7"/>
      <c r="F465" s="7">
        <v>1</v>
      </c>
      <c r="G465" s="8">
        <f>3*INDEX([1]equip.xml!$I:$I,MATCH(D465,[1]equip.xml!$A:$A,0))</f>
        <v>168000</v>
      </c>
      <c r="H465" s="7" t="str">
        <f t="shared" si="272"/>
        <v>10_10,50_20,80_30</v>
      </c>
      <c r="I465" s="7">
        <v>9</v>
      </c>
      <c r="J465" s="7">
        <f t="shared" si="273"/>
        <v>240</v>
      </c>
      <c r="K465" s="7" t="s">
        <v>309</v>
      </c>
      <c r="L465" s="7">
        <v>26</v>
      </c>
      <c r="M465" s="7">
        <f>IF(INDEX([1]equip.xml!$B:$B,MATCH(D465,[1]equip.xml!$A:$A,0))=0,0,N465)</f>
        <v>0</v>
      </c>
      <c r="N465" s="7">
        <f t="shared" ref="N465" si="326">N377</f>
        <v>35</v>
      </c>
    </row>
    <row r="466" spans="1:14">
      <c r="A466" s="7">
        <v>10009</v>
      </c>
      <c r="B466" s="7">
        <f t="shared" ref="B466:C466" si="327">B378</f>
        <v>40000</v>
      </c>
      <c r="C466" s="7" t="str">
        <f t="shared" si="327"/>
        <v>装备</v>
      </c>
      <c r="D466" s="7">
        <f t="shared" si="247"/>
        <v>50250045</v>
      </c>
      <c r="E466" s="7"/>
      <c r="F466" s="7">
        <v>1</v>
      </c>
      <c r="G466" s="8">
        <f>3*INDEX([1]equip.xml!$I:$I,MATCH(D466,[1]equip.xml!$A:$A,0))</f>
        <v>150000</v>
      </c>
      <c r="H466" s="7" t="str">
        <f t="shared" si="272"/>
        <v>10_10,50_20,80_30</v>
      </c>
      <c r="I466" s="7">
        <v>9</v>
      </c>
      <c r="J466" s="7">
        <f t="shared" si="273"/>
        <v>240</v>
      </c>
      <c r="K466" s="7" t="s">
        <v>309</v>
      </c>
      <c r="L466" s="7">
        <v>26</v>
      </c>
      <c r="M466" s="7">
        <f>IF(INDEX([1]equip.xml!$B:$B,MATCH(D466,[1]equip.xml!$A:$A,0))=0,0,N466)</f>
        <v>35</v>
      </c>
      <c r="N466" s="7">
        <f t="shared" ref="N466" si="328">N378</f>
        <v>35</v>
      </c>
    </row>
    <row r="467" spans="1:14">
      <c r="A467" s="7">
        <v>10009</v>
      </c>
      <c r="B467" s="7">
        <f t="shared" ref="B467:C467" si="329">B379</f>
        <v>40000</v>
      </c>
      <c r="C467" s="7" t="str">
        <f t="shared" si="329"/>
        <v>装备</v>
      </c>
      <c r="D467" s="7">
        <f t="shared" si="247"/>
        <v>50250046</v>
      </c>
      <c r="E467" s="7"/>
      <c r="F467" s="7">
        <v>1</v>
      </c>
      <c r="G467" s="8">
        <f>3*INDEX([1]equip.xml!$I:$I,MATCH(D467,[1]equip.xml!$A:$A,0))</f>
        <v>168000</v>
      </c>
      <c r="H467" s="7" t="str">
        <f t="shared" si="272"/>
        <v>10_10,50_20,80_30</v>
      </c>
      <c r="I467" s="7">
        <v>9</v>
      </c>
      <c r="J467" s="7">
        <f t="shared" si="273"/>
        <v>240</v>
      </c>
      <c r="K467" s="7" t="s">
        <v>309</v>
      </c>
      <c r="L467" s="7">
        <v>26</v>
      </c>
      <c r="M467" s="7">
        <f>IF(INDEX([1]equip.xml!$B:$B,MATCH(D467,[1]equip.xml!$A:$A,0))=0,0,N467)</f>
        <v>0</v>
      </c>
      <c r="N467" s="7">
        <f t="shared" ref="N467" si="330">N379</f>
        <v>35</v>
      </c>
    </row>
    <row r="468" spans="1:14">
      <c r="A468" s="7">
        <v>10009</v>
      </c>
      <c r="B468" s="7">
        <f t="shared" ref="B468:C468" si="331">B380</f>
        <v>40000</v>
      </c>
      <c r="C468" s="7" t="str">
        <f t="shared" si="331"/>
        <v>装备</v>
      </c>
      <c r="D468" s="7">
        <f t="shared" si="247"/>
        <v>50250075</v>
      </c>
      <c r="E468" s="7"/>
      <c r="F468" s="7">
        <v>1</v>
      </c>
      <c r="G468" s="8">
        <f>3*INDEX([1]equip.xml!$I:$I,MATCH(D468,[1]equip.xml!$A:$A,0))</f>
        <v>150000</v>
      </c>
      <c r="H468" s="7" t="str">
        <f t="shared" si="272"/>
        <v>10_10,50_20,80_30</v>
      </c>
      <c r="I468" s="7">
        <v>9</v>
      </c>
      <c r="J468" s="7">
        <f t="shared" si="273"/>
        <v>240</v>
      </c>
      <c r="K468" s="7" t="s">
        <v>309</v>
      </c>
      <c r="L468" s="7">
        <v>26</v>
      </c>
      <c r="M468" s="7">
        <f>IF(INDEX([1]equip.xml!$B:$B,MATCH(D468,[1]equip.xml!$A:$A,0))=0,0,N468)</f>
        <v>35</v>
      </c>
      <c r="N468" s="7">
        <f t="shared" ref="N468" si="332">N380</f>
        <v>35</v>
      </c>
    </row>
    <row r="469" spans="1:14">
      <c r="A469" s="7">
        <v>10009</v>
      </c>
      <c r="B469" s="7">
        <f t="shared" ref="B469:C469" si="333">B381</f>
        <v>40000</v>
      </c>
      <c r="C469" s="7" t="str">
        <f t="shared" si="333"/>
        <v>装备</v>
      </c>
      <c r="D469" s="7">
        <f t="shared" si="247"/>
        <v>50250076</v>
      </c>
      <c r="E469" s="7"/>
      <c r="F469" s="7">
        <v>1</v>
      </c>
      <c r="G469" s="8">
        <f>3*INDEX([1]equip.xml!$I:$I,MATCH(D469,[1]equip.xml!$A:$A,0))</f>
        <v>168000</v>
      </c>
      <c r="H469" s="7" t="str">
        <f t="shared" si="272"/>
        <v>10_10,50_20,80_30</v>
      </c>
      <c r="I469" s="7">
        <v>9</v>
      </c>
      <c r="J469" s="7">
        <f t="shared" si="273"/>
        <v>240</v>
      </c>
      <c r="K469" s="7" t="s">
        <v>309</v>
      </c>
      <c r="L469" s="7">
        <v>26</v>
      </c>
      <c r="M469" s="7">
        <f>IF(INDEX([1]equip.xml!$B:$B,MATCH(D469,[1]equip.xml!$A:$A,0))=0,0,N469)</f>
        <v>0</v>
      </c>
      <c r="N469" s="7">
        <f t="shared" ref="N469" si="334">N381</f>
        <v>35</v>
      </c>
    </row>
    <row r="470" spans="1:14">
      <c r="A470" s="8">
        <v>10010</v>
      </c>
      <c r="B470" s="8">
        <f t="shared" ref="B470:C470" si="335">B382</f>
        <v>40000</v>
      </c>
      <c r="C470" s="8" t="str">
        <f t="shared" si="335"/>
        <v>装备</v>
      </c>
      <c r="D470" s="8">
        <v>40250010</v>
      </c>
      <c r="E470" s="8"/>
      <c r="F470" s="8">
        <v>1</v>
      </c>
      <c r="G470" s="7">
        <f>3*INDEX([1]equip.xml!$I:$I,MATCH(D470&amp;"",[1]equip.xml!$A:$A,0))</f>
        <v>75000</v>
      </c>
      <c r="H470" s="8" t="str">
        <f t="shared" si="272"/>
        <v>10_10,50_20,80_30</v>
      </c>
      <c r="I470" s="8">
        <v>8</v>
      </c>
      <c r="J470" s="8">
        <f t="shared" si="273"/>
        <v>50</v>
      </c>
      <c r="K470" s="7" t="s">
        <v>309</v>
      </c>
      <c r="L470" s="8">
        <v>28</v>
      </c>
      <c r="M470" s="7">
        <f>IF(INDEX([1]equip.xml!$B:$B,MATCH(D470&amp;"",[1]equip.xml!$A:$A,0))=0,0,N470)</f>
        <v>130</v>
      </c>
      <c r="N470" s="8">
        <f t="shared" ref="N470" si="336">N382</f>
        <v>130</v>
      </c>
    </row>
    <row r="471" spans="1:14">
      <c r="A471" s="8">
        <v>10010</v>
      </c>
      <c r="B471" s="8">
        <f t="shared" ref="B471:C471" si="337">B383</f>
        <v>40000</v>
      </c>
      <c r="C471" s="8" t="str">
        <f t="shared" si="337"/>
        <v>装备</v>
      </c>
      <c r="D471" s="8">
        <v>40250020</v>
      </c>
      <c r="E471" s="8"/>
      <c r="F471" s="8">
        <v>1</v>
      </c>
      <c r="G471" s="7">
        <f>3*INDEX([1]equip.xml!$I:$I,MATCH(D471&amp;"",[1]equip.xml!$A:$A,0))</f>
        <v>75000</v>
      </c>
      <c r="H471" s="8" t="str">
        <f t="shared" si="272"/>
        <v>10_10,50_20,80_30</v>
      </c>
      <c r="I471" s="8">
        <v>8</v>
      </c>
      <c r="J471" s="8">
        <f t="shared" si="273"/>
        <v>50</v>
      </c>
      <c r="K471" s="7" t="s">
        <v>309</v>
      </c>
      <c r="L471" s="8">
        <v>28</v>
      </c>
      <c r="M471" s="7">
        <f>IF(INDEX([1]equip.xml!$B:$B,MATCH(D471&amp;"",[1]equip.xml!$A:$A,0))=0,0,N471)</f>
        <v>130</v>
      </c>
      <c r="N471" s="8">
        <f t="shared" ref="N471" si="338">N383</f>
        <v>130</v>
      </c>
    </row>
    <row r="472" spans="1:14">
      <c r="A472" s="8">
        <v>10010</v>
      </c>
      <c r="B472" s="8">
        <f t="shared" ref="B472:C472" si="339">B384</f>
        <v>40000</v>
      </c>
      <c r="C472" s="8" t="str">
        <f t="shared" si="339"/>
        <v>装备</v>
      </c>
      <c r="D472" s="8">
        <v>40250030</v>
      </c>
      <c r="E472" s="8"/>
      <c r="F472" s="8">
        <v>1</v>
      </c>
      <c r="G472" s="7">
        <f>3*INDEX([1]equip.xml!$I:$I,MATCH(D472&amp;"",[1]equip.xml!$A:$A,0))</f>
        <v>75000</v>
      </c>
      <c r="H472" s="8" t="str">
        <f t="shared" si="272"/>
        <v>10_10,50_20,80_30</v>
      </c>
      <c r="I472" s="8">
        <v>8</v>
      </c>
      <c r="J472" s="8">
        <f t="shared" si="273"/>
        <v>50</v>
      </c>
      <c r="K472" s="7" t="s">
        <v>309</v>
      </c>
      <c r="L472" s="8">
        <v>28</v>
      </c>
      <c r="M472" s="7">
        <f>IF(INDEX([1]equip.xml!$B:$B,MATCH(D472&amp;"",[1]equip.xml!$A:$A,0))=0,0,N472)</f>
        <v>130</v>
      </c>
      <c r="N472" s="8">
        <f t="shared" ref="N472" si="340">N384</f>
        <v>130</v>
      </c>
    </row>
    <row r="473" spans="1:14">
      <c r="A473" s="8">
        <v>10010</v>
      </c>
      <c r="B473" s="8">
        <f t="shared" ref="B473:C473" si="341">B385</f>
        <v>40000</v>
      </c>
      <c r="C473" s="8" t="str">
        <f t="shared" si="341"/>
        <v>装备</v>
      </c>
      <c r="D473" s="8">
        <v>40250080</v>
      </c>
      <c r="E473" s="8"/>
      <c r="F473" s="8">
        <v>1</v>
      </c>
      <c r="G473" s="7">
        <f>3*INDEX([1]equip.xml!$I:$I,MATCH(D473&amp;"",[1]equip.xml!$A:$A,0))</f>
        <v>75000</v>
      </c>
      <c r="H473" s="8" t="str">
        <f t="shared" si="272"/>
        <v>10_10,50_20,80_30</v>
      </c>
      <c r="I473" s="8">
        <v>8</v>
      </c>
      <c r="J473" s="8">
        <f t="shared" si="273"/>
        <v>50</v>
      </c>
      <c r="K473" s="7" t="s">
        <v>309</v>
      </c>
      <c r="L473" s="8">
        <v>28</v>
      </c>
      <c r="M473" s="7">
        <f>IF(INDEX([1]equip.xml!$B:$B,MATCH(D473&amp;"",[1]equip.xml!$A:$A,0))=0,0,N473)</f>
        <v>130</v>
      </c>
      <c r="N473" s="8">
        <f t="shared" ref="N473" si="342">N385</f>
        <v>130</v>
      </c>
    </row>
    <row r="474" spans="1:14">
      <c r="A474" s="8">
        <v>10010</v>
      </c>
      <c r="B474" s="8">
        <f t="shared" ref="B474:C474" si="343">B386</f>
        <v>40000</v>
      </c>
      <c r="C474" s="8" t="str">
        <f t="shared" si="343"/>
        <v>装备</v>
      </c>
      <c r="D474" s="8">
        <v>40250090</v>
      </c>
      <c r="E474" s="8"/>
      <c r="F474" s="8">
        <v>1</v>
      </c>
      <c r="G474" s="7">
        <f>3*INDEX([1]equip.xml!$I:$I,MATCH(D474&amp;"",[1]equip.xml!$A:$A,0))</f>
        <v>75000</v>
      </c>
      <c r="H474" s="8" t="str">
        <f t="shared" si="272"/>
        <v>10_10,50_20,80_30</v>
      </c>
      <c r="I474" s="8">
        <v>8</v>
      </c>
      <c r="J474" s="8">
        <f t="shared" si="273"/>
        <v>50</v>
      </c>
      <c r="K474" s="7" t="s">
        <v>309</v>
      </c>
      <c r="L474" s="8">
        <v>28</v>
      </c>
      <c r="M474" s="7">
        <f>IF(INDEX([1]equip.xml!$B:$B,MATCH(D474&amp;"",[1]equip.xml!$A:$A,0))=0,0,N474)</f>
        <v>130</v>
      </c>
      <c r="N474" s="8">
        <f t="shared" ref="N474" si="344">N386</f>
        <v>130</v>
      </c>
    </row>
    <row r="475" spans="1:14">
      <c r="A475" s="8">
        <v>10010</v>
      </c>
      <c r="B475" s="8">
        <f t="shared" ref="B475:C475" si="345">B387</f>
        <v>40000</v>
      </c>
      <c r="C475" s="8" t="str">
        <f t="shared" si="345"/>
        <v>装备</v>
      </c>
      <c r="D475" s="8">
        <v>40250100</v>
      </c>
      <c r="E475" s="8"/>
      <c r="F475" s="8">
        <v>1</v>
      </c>
      <c r="G475" s="7">
        <f>3*INDEX([1]equip.xml!$I:$I,MATCH(D475&amp;"",[1]equip.xml!$A:$A,0))</f>
        <v>75000</v>
      </c>
      <c r="H475" s="8" t="str">
        <f t="shared" si="272"/>
        <v>10_10,50_20,80_30</v>
      </c>
      <c r="I475" s="8">
        <v>8</v>
      </c>
      <c r="J475" s="8">
        <f t="shared" si="273"/>
        <v>50</v>
      </c>
      <c r="K475" s="7" t="s">
        <v>309</v>
      </c>
      <c r="L475" s="8">
        <v>28</v>
      </c>
      <c r="M475" s="7">
        <f>IF(INDEX([1]equip.xml!$B:$B,MATCH(D475&amp;"",[1]equip.xml!$A:$A,0))=0,0,N475)</f>
        <v>130</v>
      </c>
      <c r="N475" s="8">
        <f t="shared" ref="N475" si="346">N387</f>
        <v>130</v>
      </c>
    </row>
    <row r="476" spans="1:14">
      <c r="A476" s="8">
        <v>10010</v>
      </c>
      <c r="B476" s="8">
        <f t="shared" ref="B476:C476" si="347">B388</f>
        <v>40000</v>
      </c>
      <c r="C476" s="8" t="str">
        <f t="shared" si="347"/>
        <v>装备</v>
      </c>
      <c r="D476" s="8">
        <v>40251050</v>
      </c>
      <c r="E476" s="8"/>
      <c r="F476" s="8">
        <v>1</v>
      </c>
      <c r="G476" s="7">
        <f>3*INDEX([1]equip.xml!$I:$I,MATCH(D476&amp;"",[1]equip.xml!$A:$A,0))</f>
        <v>75000</v>
      </c>
      <c r="H476" s="8" t="str">
        <f t="shared" si="272"/>
        <v>10_10,50_20,80_30</v>
      </c>
      <c r="I476" s="8">
        <v>8</v>
      </c>
      <c r="J476" s="8">
        <f t="shared" si="273"/>
        <v>50</v>
      </c>
      <c r="K476" s="7" t="s">
        <v>309</v>
      </c>
      <c r="L476" s="8">
        <v>28</v>
      </c>
      <c r="M476" s="7">
        <f>IF(INDEX([1]equip.xml!$B:$B,MATCH(D476&amp;"",[1]equip.xml!$A:$A,0))=0,0,N476)</f>
        <v>130</v>
      </c>
      <c r="N476" s="8">
        <f t="shared" ref="N476" si="348">N388</f>
        <v>130</v>
      </c>
    </row>
    <row r="477" spans="1:14">
      <c r="A477" s="8">
        <v>10010</v>
      </c>
      <c r="B477" s="8">
        <f t="shared" ref="B477:C477" si="349">B389</f>
        <v>40000</v>
      </c>
      <c r="C477" s="8" t="str">
        <f t="shared" si="349"/>
        <v>装备</v>
      </c>
      <c r="D477" s="8">
        <v>40251051</v>
      </c>
      <c r="E477" s="8"/>
      <c r="F477" s="8">
        <v>1</v>
      </c>
      <c r="G477" s="7">
        <f>3*INDEX([1]equip.xml!$I:$I,MATCH(D477&amp;"",[1]equip.xml!$A:$A,0))</f>
        <v>84000</v>
      </c>
      <c r="H477" s="8" t="str">
        <f t="shared" si="272"/>
        <v>10_10,50_20,80_30</v>
      </c>
      <c r="I477" s="8">
        <v>8</v>
      </c>
      <c r="J477" s="8">
        <f t="shared" si="273"/>
        <v>50</v>
      </c>
      <c r="K477" s="7" t="s">
        <v>309</v>
      </c>
      <c r="L477" s="8">
        <v>28</v>
      </c>
      <c r="M477" s="7">
        <f>IF(INDEX([1]equip.xml!$B:$B,MATCH(D477&amp;"",[1]equip.xml!$A:$A,0))=0,0,N477)</f>
        <v>130</v>
      </c>
      <c r="N477" s="8">
        <f t="shared" ref="N477" si="350">N389</f>
        <v>130</v>
      </c>
    </row>
    <row r="478" spans="1:14">
      <c r="A478" s="8">
        <v>10010</v>
      </c>
      <c r="B478" s="8">
        <f t="shared" ref="B478:C478" si="351">B390</f>
        <v>40000</v>
      </c>
      <c r="C478" s="8" t="str">
        <f t="shared" si="351"/>
        <v>装备</v>
      </c>
      <c r="D478" s="8">
        <v>40251060</v>
      </c>
      <c r="E478" s="8"/>
      <c r="F478" s="8">
        <v>1</v>
      </c>
      <c r="G478" s="7">
        <f>3*INDEX([1]equip.xml!$I:$I,MATCH(D478&amp;"",[1]equip.xml!$A:$A,0))</f>
        <v>75000</v>
      </c>
      <c r="H478" s="8" t="str">
        <f t="shared" si="272"/>
        <v>10_10,50_20,80_30</v>
      </c>
      <c r="I478" s="8">
        <v>8</v>
      </c>
      <c r="J478" s="8">
        <f t="shared" si="273"/>
        <v>50</v>
      </c>
      <c r="K478" s="7" t="s">
        <v>309</v>
      </c>
      <c r="L478" s="8">
        <v>28</v>
      </c>
      <c r="M478" s="7">
        <f>IF(INDEX([1]equip.xml!$B:$B,MATCH(D478&amp;"",[1]equip.xml!$A:$A,0))=0,0,N478)</f>
        <v>130</v>
      </c>
      <c r="N478" s="8">
        <f t="shared" ref="N478" si="352">N390</f>
        <v>130</v>
      </c>
    </row>
    <row r="479" spans="1:14">
      <c r="A479" s="8">
        <v>10010</v>
      </c>
      <c r="B479" s="8">
        <f t="shared" ref="B479:C479" si="353">B391</f>
        <v>40000</v>
      </c>
      <c r="C479" s="8" t="str">
        <f t="shared" si="353"/>
        <v>装备</v>
      </c>
      <c r="D479" s="8">
        <v>40251061</v>
      </c>
      <c r="E479" s="8"/>
      <c r="F479" s="8">
        <v>1</v>
      </c>
      <c r="G479" s="7">
        <f>3*INDEX([1]equip.xml!$I:$I,MATCH(D479&amp;"",[1]equip.xml!$A:$A,0))</f>
        <v>84000</v>
      </c>
      <c r="H479" s="8" t="str">
        <f t="shared" si="272"/>
        <v>10_10,50_20,80_30</v>
      </c>
      <c r="I479" s="8">
        <v>8</v>
      </c>
      <c r="J479" s="8">
        <f t="shared" si="273"/>
        <v>50</v>
      </c>
      <c r="K479" s="7" t="s">
        <v>309</v>
      </c>
      <c r="L479" s="8">
        <v>28</v>
      </c>
      <c r="M479" s="7">
        <f>IF(INDEX([1]equip.xml!$B:$B,MATCH(D479&amp;"",[1]equip.xml!$A:$A,0))=0,0,N479)</f>
        <v>0</v>
      </c>
      <c r="N479" s="8">
        <f t="shared" ref="N479" si="354">N391</f>
        <v>130</v>
      </c>
    </row>
    <row r="480" spans="1:14">
      <c r="A480" s="8">
        <v>10010</v>
      </c>
      <c r="B480" s="8">
        <f t="shared" ref="B480:C480" si="355">B392</f>
        <v>40000</v>
      </c>
      <c r="C480" s="8" t="str">
        <f t="shared" si="355"/>
        <v>装备</v>
      </c>
      <c r="D480" s="8">
        <v>40252050</v>
      </c>
      <c r="E480" s="8"/>
      <c r="F480" s="8">
        <v>1</v>
      </c>
      <c r="G480" s="7">
        <f>3*INDEX([1]equip.xml!$I:$I,MATCH(D480&amp;"",[1]equip.xml!$A:$A,0))</f>
        <v>75000</v>
      </c>
      <c r="H480" s="8" t="str">
        <f t="shared" si="272"/>
        <v>10_10,50_20,80_30</v>
      </c>
      <c r="I480" s="8">
        <v>8</v>
      </c>
      <c r="J480" s="8">
        <f t="shared" si="273"/>
        <v>50</v>
      </c>
      <c r="K480" s="7" t="s">
        <v>309</v>
      </c>
      <c r="L480" s="8">
        <v>28</v>
      </c>
      <c r="M480" s="7">
        <f>IF(INDEX([1]equip.xml!$B:$B,MATCH(D480&amp;"",[1]equip.xml!$A:$A,0))=0,0,N480)</f>
        <v>130</v>
      </c>
      <c r="N480" s="8">
        <f t="shared" ref="N480" si="356">N392</f>
        <v>130</v>
      </c>
    </row>
    <row r="481" spans="1:14">
      <c r="A481" s="8">
        <v>10010</v>
      </c>
      <c r="B481" s="8">
        <f t="shared" ref="B481:C481" si="357">B393</f>
        <v>40000</v>
      </c>
      <c r="C481" s="8" t="str">
        <f t="shared" si="357"/>
        <v>装备</v>
      </c>
      <c r="D481" s="8">
        <v>40252051</v>
      </c>
      <c r="E481" s="8"/>
      <c r="F481" s="8">
        <v>1</v>
      </c>
      <c r="G481" s="7">
        <f>3*INDEX([1]equip.xml!$I:$I,MATCH(D481&amp;"",[1]equip.xml!$A:$A,0))</f>
        <v>84000</v>
      </c>
      <c r="H481" s="8" t="str">
        <f t="shared" si="272"/>
        <v>10_10,50_20,80_30</v>
      </c>
      <c r="I481" s="8">
        <v>8</v>
      </c>
      <c r="J481" s="8">
        <f t="shared" si="273"/>
        <v>50</v>
      </c>
      <c r="K481" s="7" t="s">
        <v>309</v>
      </c>
      <c r="L481" s="8">
        <v>28</v>
      </c>
      <c r="M481" s="7">
        <f>IF(INDEX([1]equip.xml!$B:$B,MATCH(D481&amp;"",[1]equip.xml!$A:$A,0))=0,0,N481)</f>
        <v>130</v>
      </c>
      <c r="N481" s="8">
        <f t="shared" ref="N481" si="358">N393</f>
        <v>130</v>
      </c>
    </row>
    <row r="482" spans="1:14">
      <c r="A482" s="8">
        <v>10010</v>
      </c>
      <c r="B482" s="8">
        <f t="shared" ref="B482:C482" si="359">B394</f>
        <v>40000</v>
      </c>
      <c r="C482" s="8" t="str">
        <f t="shared" si="359"/>
        <v>装备</v>
      </c>
      <c r="D482" s="8">
        <v>40252060</v>
      </c>
      <c r="E482" s="8"/>
      <c r="F482" s="8">
        <v>1</v>
      </c>
      <c r="G482" s="7">
        <f>3*INDEX([1]equip.xml!$I:$I,MATCH(D482&amp;"",[1]equip.xml!$A:$A,0))</f>
        <v>75000</v>
      </c>
      <c r="H482" s="8" t="str">
        <f t="shared" si="272"/>
        <v>10_10,50_20,80_30</v>
      </c>
      <c r="I482" s="8">
        <v>8</v>
      </c>
      <c r="J482" s="8">
        <f t="shared" si="273"/>
        <v>50</v>
      </c>
      <c r="K482" s="7" t="s">
        <v>309</v>
      </c>
      <c r="L482" s="8">
        <v>28</v>
      </c>
      <c r="M482" s="7">
        <f>IF(INDEX([1]equip.xml!$B:$B,MATCH(D482&amp;"",[1]equip.xml!$A:$A,0))=0,0,N482)</f>
        <v>130</v>
      </c>
      <c r="N482" s="8">
        <f t="shared" ref="N482" si="360">N394</f>
        <v>130</v>
      </c>
    </row>
    <row r="483" spans="1:14">
      <c r="A483" s="8">
        <v>10010</v>
      </c>
      <c r="B483" s="8">
        <f t="shared" ref="B483:C483" si="361">B395</f>
        <v>40000</v>
      </c>
      <c r="C483" s="8" t="str">
        <f t="shared" si="361"/>
        <v>装备</v>
      </c>
      <c r="D483" s="8">
        <v>40252061</v>
      </c>
      <c r="E483" s="8"/>
      <c r="F483" s="8">
        <v>1</v>
      </c>
      <c r="G483" s="7">
        <f>3*INDEX([1]equip.xml!$I:$I,MATCH(D483&amp;"",[1]equip.xml!$A:$A,0))</f>
        <v>84000</v>
      </c>
      <c r="H483" s="8" t="str">
        <f t="shared" si="272"/>
        <v>10_10,50_20,80_30</v>
      </c>
      <c r="I483" s="8">
        <v>8</v>
      </c>
      <c r="J483" s="8">
        <f t="shared" si="273"/>
        <v>50</v>
      </c>
      <c r="K483" s="7" t="s">
        <v>309</v>
      </c>
      <c r="L483" s="8">
        <v>28</v>
      </c>
      <c r="M483" s="7">
        <f>IF(INDEX([1]equip.xml!$B:$B,MATCH(D483&amp;"",[1]equip.xml!$A:$A,0))=0,0,N483)</f>
        <v>0</v>
      </c>
      <c r="N483" s="8">
        <f t="shared" ref="N483" si="362">N395</f>
        <v>130</v>
      </c>
    </row>
    <row r="484" spans="1:14">
      <c r="A484" s="8">
        <v>10010</v>
      </c>
      <c r="B484" s="8">
        <f t="shared" ref="B484:C484" si="363">B396</f>
        <v>40000</v>
      </c>
      <c r="C484" s="8" t="str">
        <f t="shared" si="363"/>
        <v>装备</v>
      </c>
      <c r="D484" s="8">
        <v>40253050</v>
      </c>
      <c r="E484" s="8"/>
      <c r="F484" s="8">
        <v>1</v>
      </c>
      <c r="G484" s="7">
        <f>3*INDEX([1]equip.xml!$I:$I,MATCH(D484&amp;"",[1]equip.xml!$A:$A,0))</f>
        <v>75000</v>
      </c>
      <c r="H484" s="8" t="str">
        <f t="shared" si="272"/>
        <v>10_10,50_20,80_30</v>
      </c>
      <c r="I484" s="8">
        <v>8</v>
      </c>
      <c r="J484" s="8">
        <f t="shared" si="273"/>
        <v>50</v>
      </c>
      <c r="K484" s="7" t="s">
        <v>309</v>
      </c>
      <c r="L484" s="8">
        <v>28</v>
      </c>
      <c r="M484" s="7">
        <f>IF(INDEX([1]equip.xml!$B:$B,MATCH(D484&amp;"",[1]equip.xml!$A:$A,0))=0,0,N484)</f>
        <v>130</v>
      </c>
      <c r="N484" s="8">
        <f t="shared" ref="N484" si="364">N396</f>
        <v>130</v>
      </c>
    </row>
    <row r="485" spans="1:14">
      <c r="A485" s="8">
        <v>10010</v>
      </c>
      <c r="B485" s="8">
        <f t="shared" ref="B485:C485" si="365">B397</f>
        <v>40000</v>
      </c>
      <c r="C485" s="8" t="str">
        <f t="shared" si="365"/>
        <v>装备</v>
      </c>
      <c r="D485" s="8">
        <v>40253051</v>
      </c>
      <c r="E485" s="8"/>
      <c r="F485" s="8">
        <v>1</v>
      </c>
      <c r="G485" s="7">
        <f>3*INDEX([1]equip.xml!$I:$I,MATCH(D485&amp;"",[1]equip.xml!$A:$A,0))</f>
        <v>84000</v>
      </c>
      <c r="H485" s="8" t="str">
        <f t="shared" si="272"/>
        <v>10_10,50_20,80_30</v>
      </c>
      <c r="I485" s="8">
        <v>8</v>
      </c>
      <c r="J485" s="8">
        <f t="shared" si="273"/>
        <v>50</v>
      </c>
      <c r="K485" s="7" t="s">
        <v>309</v>
      </c>
      <c r="L485" s="8">
        <v>28</v>
      </c>
      <c r="M485" s="7">
        <f>IF(INDEX([1]equip.xml!$B:$B,MATCH(D485&amp;"",[1]equip.xml!$A:$A,0))=0,0,N485)</f>
        <v>0</v>
      </c>
      <c r="N485" s="8">
        <f t="shared" ref="N485" si="366">N397</f>
        <v>130</v>
      </c>
    </row>
    <row r="486" spans="1:14">
      <c r="A486" s="8">
        <v>10010</v>
      </c>
      <c r="B486" s="8">
        <f t="shared" ref="B486:C486" si="367">B398</f>
        <v>40000</v>
      </c>
      <c r="C486" s="8" t="str">
        <f t="shared" si="367"/>
        <v>装备</v>
      </c>
      <c r="D486" s="8">
        <v>40253060</v>
      </c>
      <c r="E486" s="8"/>
      <c r="F486" s="8">
        <v>1</v>
      </c>
      <c r="G486" s="7">
        <f>3*INDEX([1]equip.xml!$I:$I,MATCH(D486&amp;"",[1]equip.xml!$A:$A,0))</f>
        <v>75000</v>
      </c>
      <c r="H486" s="8" t="str">
        <f t="shared" si="272"/>
        <v>10_10,50_20,80_30</v>
      </c>
      <c r="I486" s="8">
        <v>8</v>
      </c>
      <c r="J486" s="8">
        <f t="shared" si="273"/>
        <v>50</v>
      </c>
      <c r="K486" s="7" t="s">
        <v>309</v>
      </c>
      <c r="L486" s="8">
        <v>28</v>
      </c>
      <c r="M486" s="7">
        <f>IF(INDEX([1]equip.xml!$B:$B,MATCH(D486&amp;"",[1]equip.xml!$A:$A,0))=0,0,N486)</f>
        <v>130</v>
      </c>
      <c r="N486" s="8">
        <f t="shared" ref="N486" si="368">N398</f>
        <v>130</v>
      </c>
    </row>
    <row r="487" spans="1:14">
      <c r="A487" s="8">
        <v>10010</v>
      </c>
      <c r="B487" s="8">
        <f t="shared" ref="B487:C487" si="369">B399</f>
        <v>40000</v>
      </c>
      <c r="C487" s="8" t="str">
        <f t="shared" si="369"/>
        <v>装备</v>
      </c>
      <c r="D487" s="8">
        <v>40253061</v>
      </c>
      <c r="E487" s="8"/>
      <c r="F487" s="8">
        <v>1</v>
      </c>
      <c r="G487" s="7">
        <f>3*INDEX([1]equip.xml!$I:$I,MATCH(D487&amp;"",[1]equip.xml!$A:$A,0))</f>
        <v>84000</v>
      </c>
      <c r="H487" s="8" t="str">
        <f t="shared" si="272"/>
        <v>10_10,50_20,80_30</v>
      </c>
      <c r="I487" s="8">
        <v>8</v>
      </c>
      <c r="J487" s="8">
        <f t="shared" si="273"/>
        <v>50</v>
      </c>
      <c r="K487" s="7" t="s">
        <v>309</v>
      </c>
      <c r="L487" s="8">
        <v>28</v>
      </c>
      <c r="M487" s="7">
        <f>IF(INDEX([1]equip.xml!$B:$B,MATCH(D487&amp;"",[1]equip.xml!$A:$A,0))=0,0,N487)</f>
        <v>0</v>
      </c>
      <c r="N487" s="8">
        <f t="shared" ref="N487" si="370">N399</f>
        <v>130</v>
      </c>
    </row>
    <row r="488" spans="1:14">
      <c r="A488" s="8">
        <v>10010</v>
      </c>
      <c r="B488" s="8">
        <f t="shared" ref="B488:C488" si="371">B400</f>
        <v>40000</v>
      </c>
      <c r="C488" s="8" t="str">
        <f t="shared" si="371"/>
        <v>装备</v>
      </c>
      <c r="D488" s="8">
        <v>40250040</v>
      </c>
      <c r="E488" s="8"/>
      <c r="F488" s="8">
        <v>1</v>
      </c>
      <c r="G488" s="7">
        <f>3*INDEX([1]equip.xml!$I:$I,MATCH(D488&amp;"",[1]equip.xml!$A:$A,0))</f>
        <v>75000</v>
      </c>
      <c r="H488" s="8" t="str">
        <f t="shared" si="272"/>
        <v>10_10,50_20,80_30</v>
      </c>
      <c r="I488" s="8">
        <v>8</v>
      </c>
      <c r="J488" s="8">
        <f t="shared" si="273"/>
        <v>50</v>
      </c>
      <c r="K488" s="7" t="s">
        <v>309</v>
      </c>
      <c r="L488" s="8">
        <v>28</v>
      </c>
      <c r="M488" s="7">
        <f>IF(INDEX([1]equip.xml!$B:$B,MATCH(D488&amp;"",[1]equip.xml!$A:$A,0))=0,0,N488)</f>
        <v>130</v>
      </c>
      <c r="N488" s="8">
        <f t="shared" ref="N488" si="372">N400</f>
        <v>130</v>
      </c>
    </row>
    <row r="489" spans="1:14">
      <c r="A489" s="8">
        <v>10010</v>
      </c>
      <c r="B489" s="8">
        <f t="shared" ref="B489:C489" si="373">B401</f>
        <v>40000</v>
      </c>
      <c r="C489" s="8" t="str">
        <f t="shared" si="373"/>
        <v>装备</v>
      </c>
      <c r="D489" s="8">
        <v>40250041</v>
      </c>
      <c r="E489" s="8"/>
      <c r="F489" s="8">
        <v>1</v>
      </c>
      <c r="G489" s="7">
        <f>3*INDEX([1]equip.xml!$I:$I,MATCH(D489&amp;"",[1]equip.xml!$A:$A,0))</f>
        <v>84000</v>
      </c>
      <c r="H489" s="8" t="str">
        <f t="shared" si="272"/>
        <v>10_10,50_20,80_30</v>
      </c>
      <c r="I489" s="8">
        <v>8</v>
      </c>
      <c r="J489" s="8">
        <f t="shared" si="273"/>
        <v>50</v>
      </c>
      <c r="K489" s="7" t="s">
        <v>309</v>
      </c>
      <c r="L489" s="8">
        <v>28</v>
      </c>
      <c r="M489" s="7">
        <f>IF(INDEX([1]equip.xml!$B:$B,MATCH(D489&amp;"",[1]equip.xml!$A:$A,0))=0,0,N489)</f>
        <v>0</v>
      </c>
      <c r="N489" s="8">
        <f t="shared" ref="N489" si="374">N401</f>
        <v>130</v>
      </c>
    </row>
    <row r="490" spans="1:14">
      <c r="A490" s="8">
        <v>10010</v>
      </c>
      <c r="B490" s="8">
        <f t="shared" ref="B490:C490" si="375">B402</f>
        <v>40000</v>
      </c>
      <c r="C490" s="8" t="str">
        <f t="shared" si="375"/>
        <v>装备</v>
      </c>
      <c r="D490" s="8">
        <v>40250070</v>
      </c>
      <c r="E490" s="8"/>
      <c r="F490" s="8">
        <v>1</v>
      </c>
      <c r="G490" s="7">
        <f>3*INDEX([1]equip.xml!$I:$I,MATCH(D490&amp;"",[1]equip.xml!$A:$A,0))</f>
        <v>75000</v>
      </c>
      <c r="H490" s="8" t="str">
        <f t="shared" si="272"/>
        <v>10_10,50_20,80_30</v>
      </c>
      <c r="I490" s="8">
        <v>8</v>
      </c>
      <c r="J490" s="8">
        <f t="shared" si="273"/>
        <v>50</v>
      </c>
      <c r="K490" s="7" t="s">
        <v>309</v>
      </c>
      <c r="L490" s="8">
        <v>28</v>
      </c>
      <c r="M490" s="7">
        <f>IF(INDEX([1]equip.xml!$B:$B,MATCH(D490&amp;"",[1]equip.xml!$A:$A,0))=0,0,N490)</f>
        <v>130</v>
      </c>
      <c r="N490" s="8">
        <f t="shared" ref="N490" si="376">N402</f>
        <v>130</v>
      </c>
    </row>
    <row r="491" spans="1:14">
      <c r="A491" s="8">
        <v>10010</v>
      </c>
      <c r="B491" s="8">
        <f t="shared" ref="B491:C491" si="377">B403</f>
        <v>40000</v>
      </c>
      <c r="C491" s="8" t="str">
        <f t="shared" si="377"/>
        <v>装备</v>
      </c>
      <c r="D491" s="8">
        <v>40250071</v>
      </c>
      <c r="E491" s="8"/>
      <c r="F491" s="8">
        <v>1</v>
      </c>
      <c r="G491" s="7">
        <f>3*INDEX([1]equip.xml!$I:$I,MATCH(D491&amp;"",[1]equip.xml!$A:$A,0))</f>
        <v>84000</v>
      </c>
      <c r="H491" s="8" t="str">
        <f t="shared" si="272"/>
        <v>10_10,50_20,80_30</v>
      </c>
      <c r="I491" s="8">
        <v>8</v>
      </c>
      <c r="J491" s="8">
        <f t="shared" si="273"/>
        <v>50</v>
      </c>
      <c r="K491" s="7" t="s">
        <v>309</v>
      </c>
      <c r="L491" s="8">
        <v>28</v>
      </c>
      <c r="M491" s="7">
        <f>IF(INDEX([1]equip.xml!$B:$B,MATCH(D491&amp;"",[1]equip.xml!$A:$A,0))=0,0,N491)</f>
        <v>0</v>
      </c>
      <c r="N491" s="8">
        <f t="shared" ref="N491" si="378">N403</f>
        <v>130</v>
      </c>
    </row>
    <row r="492" spans="1:14">
      <c r="A492" s="8">
        <v>10010</v>
      </c>
      <c r="B492" s="8">
        <f t="shared" ref="B492:C492" si="379">B404</f>
        <v>40000</v>
      </c>
      <c r="C492" s="8" t="str">
        <f t="shared" si="379"/>
        <v>装备</v>
      </c>
      <c r="D492" s="8">
        <v>40300010</v>
      </c>
      <c r="E492" s="8"/>
      <c r="F492" s="8">
        <v>1</v>
      </c>
      <c r="G492" s="7">
        <f>3*INDEX([1]equip.xml!$I:$I,MATCH(D492&amp;"",[1]equip.xml!$A:$A,0))</f>
        <v>90000</v>
      </c>
      <c r="H492" s="8" t="str">
        <f t="shared" si="272"/>
        <v>10_10,50_20,80_30</v>
      </c>
      <c r="I492" s="8">
        <v>8</v>
      </c>
      <c r="J492" s="8">
        <f t="shared" si="273"/>
        <v>50</v>
      </c>
      <c r="K492" s="7" t="s">
        <v>309</v>
      </c>
      <c r="L492" s="8">
        <v>28</v>
      </c>
      <c r="M492" s="7">
        <f>IF(INDEX([1]equip.xml!$B:$B,MATCH(D492&amp;"",[1]equip.xml!$A:$A,0))=0,0,N492)</f>
        <v>65</v>
      </c>
      <c r="N492" s="8">
        <f t="shared" ref="N492" si="380">N404</f>
        <v>65</v>
      </c>
    </row>
    <row r="493" spans="1:14">
      <c r="A493" s="8">
        <v>10010</v>
      </c>
      <c r="B493" s="8">
        <f t="shared" ref="B493:C493" si="381">B405</f>
        <v>40000</v>
      </c>
      <c r="C493" s="8" t="str">
        <f t="shared" si="381"/>
        <v>装备</v>
      </c>
      <c r="D493" s="8">
        <v>40300020</v>
      </c>
      <c r="E493" s="8"/>
      <c r="F493" s="8">
        <v>1</v>
      </c>
      <c r="G493" s="7">
        <f>3*INDEX([1]equip.xml!$I:$I,MATCH(D493&amp;"",[1]equip.xml!$A:$A,0))</f>
        <v>90000</v>
      </c>
      <c r="H493" s="8" t="str">
        <f t="shared" si="272"/>
        <v>10_10,50_20,80_30</v>
      </c>
      <c r="I493" s="8">
        <v>8</v>
      </c>
      <c r="J493" s="8">
        <f t="shared" si="273"/>
        <v>50</v>
      </c>
      <c r="K493" s="7" t="s">
        <v>309</v>
      </c>
      <c r="L493" s="8">
        <v>28</v>
      </c>
      <c r="M493" s="7">
        <f>IF(INDEX([1]equip.xml!$B:$B,MATCH(D493&amp;"",[1]equip.xml!$A:$A,0))=0,0,N493)</f>
        <v>65</v>
      </c>
      <c r="N493" s="8">
        <f t="shared" ref="N493" si="382">N405</f>
        <v>65</v>
      </c>
    </row>
    <row r="494" spans="1:14">
      <c r="A494" s="8">
        <v>10010</v>
      </c>
      <c r="B494" s="8">
        <f t="shared" ref="B494:C494" si="383">B406</f>
        <v>40000</v>
      </c>
      <c r="C494" s="8" t="str">
        <f t="shared" si="383"/>
        <v>装备</v>
      </c>
      <c r="D494" s="8">
        <v>40300030</v>
      </c>
      <c r="E494" s="8"/>
      <c r="F494" s="8">
        <v>1</v>
      </c>
      <c r="G494" s="7">
        <f>3*INDEX([1]equip.xml!$I:$I,MATCH(D494&amp;"",[1]equip.xml!$A:$A,0))</f>
        <v>90000</v>
      </c>
      <c r="H494" s="8" t="str">
        <f t="shared" si="272"/>
        <v>10_10,50_20,80_30</v>
      </c>
      <c r="I494" s="8">
        <v>8</v>
      </c>
      <c r="J494" s="8">
        <f t="shared" si="273"/>
        <v>50</v>
      </c>
      <c r="K494" s="7" t="s">
        <v>309</v>
      </c>
      <c r="L494" s="8">
        <v>28</v>
      </c>
      <c r="M494" s="7">
        <f>IF(INDEX([1]equip.xml!$B:$B,MATCH(D494&amp;"",[1]equip.xml!$A:$A,0))=0,0,N494)</f>
        <v>65</v>
      </c>
      <c r="N494" s="8">
        <f t="shared" ref="N494" si="384">N406</f>
        <v>65</v>
      </c>
    </row>
    <row r="495" spans="1:14">
      <c r="A495" s="8">
        <v>10010</v>
      </c>
      <c r="B495" s="8">
        <f t="shared" ref="B495:C495" si="385">B407</f>
        <v>40000</v>
      </c>
      <c r="C495" s="8" t="str">
        <f t="shared" si="385"/>
        <v>装备</v>
      </c>
      <c r="D495" s="8">
        <v>40300080</v>
      </c>
      <c r="E495" s="8"/>
      <c r="F495" s="8">
        <v>1</v>
      </c>
      <c r="G495" s="7">
        <f>3*INDEX([1]equip.xml!$I:$I,MATCH(D495&amp;"",[1]equip.xml!$A:$A,0))</f>
        <v>90000</v>
      </c>
      <c r="H495" s="8" t="str">
        <f t="shared" si="272"/>
        <v>10_10,50_20,80_30</v>
      </c>
      <c r="I495" s="8">
        <v>8</v>
      </c>
      <c r="J495" s="8">
        <f t="shared" si="273"/>
        <v>50</v>
      </c>
      <c r="K495" s="7" t="s">
        <v>309</v>
      </c>
      <c r="L495" s="8">
        <v>28</v>
      </c>
      <c r="M495" s="7">
        <f>IF(INDEX([1]equip.xml!$B:$B,MATCH(D495&amp;"",[1]equip.xml!$A:$A,0))=0,0,N495)</f>
        <v>65</v>
      </c>
      <c r="N495" s="8">
        <f t="shared" ref="N495" si="386">N407</f>
        <v>65</v>
      </c>
    </row>
    <row r="496" spans="1:14">
      <c r="A496" s="8">
        <v>10010</v>
      </c>
      <c r="B496" s="8">
        <f t="shared" ref="B496:C496" si="387">B408</f>
        <v>40000</v>
      </c>
      <c r="C496" s="8" t="str">
        <f t="shared" si="387"/>
        <v>装备</v>
      </c>
      <c r="D496" s="8">
        <v>40300090</v>
      </c>
      <c r="E496" s="8"/>
      <c r="F496" s="8">
        <v>1</v>
      </c>
      <c r="G496" s="7">
        <f>3*INDEX([1]equip.xml!$I:$I,MATCH(D496&amp;"",[1]equip.xml!$A:$A,0))</f>
        <v>90000</v>
      </c>
      <c r="H496" s="8" t="str">
        <f t="shared" si="272"/>
        <v>10_10,50_20,80_30</v>
      </c>
      <c r="I496" s="8">
        <v>8</v>
      </c>
      <c r="J496" s="8">
        <f t="shared" si="273"/>
        <v>50</v>
      </c>
      <c r="K496" s="7" t="s">
        <v>309</v>
      </c>
      <c r="L496" s="8">
        <v>28</v>
      </c>
      <c r="M496" s="7">
        <f>IF(INDEX([1]equip.xml!$B:$B,MATCH(D496&amp;"",[1]equip.xml!$A:$A,0))=0,0,N496)</f>
        <v>65</v>
      </c>
      <c r="N496" s="8">
        <f t="shared" ref="N496" si="388">N408</f>
        <v>65</v>
      </c>
    </row>
    <row r="497" spans="1:14">
      <c r="A497" s="8">
        <v>10010</v>
      </c>
      <c r="B497" s="8">
        <f t="shared" ref="B497:C497" si="389">B409</f>
        <v>40000</v>
      </c>
      <c r="C497" s="8" t="str">
        <f t="shared" si="389"/>
        <v>装备</v>
      </c>
      <c r="D497" s="8">
        <v>40300100</v>
      </c>
      <c r="E497" s="8"/>
      <c r="F497" s="8">
        <v>1</v>
      </c>
      <c r="G497" s="7">
        <f>3*INDEX([1]equip.xml!$I:$I,MATCH(D497&amp;"",[1]equip.xml!$A:$A,0))</f>
        <v>90000</v>
      </c>
      <c r="H497" s="8" t="str">
        <f t="shared" si="272"/>
        <v>10_10,50_20,80_30</v>
      </c>
      <c r="I497" s="8">
        <v>8</v>
      </c>
      <c r="J497" s="8">
        <f t="shared" si="273"/>
        <v>50</v>
      </c>
      <c r="K497" s="7" t="s">
        <v>309</v>
      </c>
      <c r="L497" s="8">
        <v>28</v>
      </c>
      <c r="M497" s="7">
        <f>IF(INDEX([1]equip.xml!$B:$B,MATCH(D497&amp;"",[1]equip.xml!$A:$A,0))=0,0,N497)</f>
        <v>65</v>
      </c>
      <c r="N497" s="8">
        <f t="shared" ref="N497" si="390">N409</f>
        <v>65</v>
      </c>
    </row>
    <row r="498" spans="1:14">
      <c r="A498" s="8">
        <v>10010</v>
      </c>
      <c r="B498" s="8">
        <f t="shared" ref="B498:C498" si="391">B410</f>
        <v>40000</v>
      </c>
      <c r="C498" s="8" t="str">
        <f t="shared" si="391"/>
        <v>装备</v>
      </c>
      <c r="D498" s="8">
        <v>40301050</v>
      </c>
      <c r="E498" s="8"/>
      <c r="F498" s="8">
        <v>1</v>
      </c>
      <c r="G498" s="7">
        <f>3*INDEX([1]equip.xml!$I:$I,MATCH(D498&amp;"",[1]equip.xml!$A:$A,0))</f>
        <v>90000</v>
      </c>
      <c r="H498" s="8" t="str">
        <f t="shared" si="272"/>
        <v>10_10,50_20,80_30</v>
      </c>
      <c r="I498" s="8">
        <v>8</v>
      </c>
      <c r="J498" s="8">
        <f t="shared" si="273"/>
        <v>50</v>
      </c>
      <c r="K498" s="7" t="s">
        <v>309</v>
      </c>
      <c r="L498" s="8">
        <v>28</v>
      </c>
      <c r="M498" s="7">
        <f>IF(INDEX([1]equip.xml!$B:$B,MATCH(D498&amp;"",[1]equip.xml!$A:$A,0))=0,0,N498)</f>
        <v>65</v>
      </c>
      <c r="N498" s="8">
        <f t="shared" ref="N498" si="392">N410</f>
        <v>65</v>
      </c>
    </row>
    <row r="499" spans="1:14">
      <c r="A499" s="8">
        <v>10010</v>
      </c>
      <c r="B499" s="8">
        <f t="shared" ref="B499:C499" si="393">B411</f>
        <v>40000</v>
      </c>
      <c r="C499" s="8" t="str">
        <f t="shared" si="393"/>
        <v>装备</v>
      </c>
      <c r="D499" s="8">
        <v>40301051</v>
      </c>
      <c r="E499" s="8"/>
      <c r="F499" s="8">
        <v>1</v>
      </c>
      <c r="G499" s="7">
        <f>3*INDEX([1]equip.xml!$I:$I,MATCH(D499&amp;"",[1]equip.xml!$A:$A,0))</f>
        <v>99000</v>
      </c>
      <c r="H499" s="8" t="str">
        <f t="shared" si="272"/>
        <v>10_10,50_20,80_30</v>
      </c>
      <c r="I499" s="8">
        <v>8</v>
      </c>
      <c r="J499" s="8">
        <f t="shared" si="273"/>
        <v>50</v>
      </c>
      <c r="K499" s="7" t="s">
        <v>309</v>
      </c>
      <c r="L499" s="8">
        <v>28</v>
      </c>
      <c r="M499" s="7">
        <f>IF(INDEX([1]equip.xml!$B:$B,MATCH(D499&amp;"",[1]equip.xml!$A:$A,0))=0,0,N499)</f>
        <v>65</v>
      </c>
      <c r="N499" s="8">
        <f t="shared" ref="N499" si="394">N411</f>
        <v>65</v>
      </c>
    </row>
    <row r="500" spans="1:14">
      <c r="A500" s="8">
        <v>10010</v>
      </c>
      <c r="B500" s="8">
        <f t="shared" ref="B500:C500" si="395">B412</f>
        <v>40000</v>
      </c>
      <c r="C500" s="8" t="str">
        <f t="shared" si="395"/>
        <v>装备</v>
      </c>
      <c r="D500" s="8">
        <v>40301060</v>
      </c>
      <c r="E500" s="8"/>
      <c r="F500" s="8">
        <v>1</v>
      </c>
      <c r="G500" s="7">
        <f>3*INDEX([1]equip.xml!$I:$I,MATCH(D500&amp;"",[1]equip.xml!$A:$A,0))</f>
        <v>90000</v>
      </c>
      <c r="H500" s="8" t="str">
        <f t="shared" si="272"/>
        <v>10_10,50_20,80_30</v>
      </c>
      <c r="I500" s="8">
        <v>8</v>
      </c>
      <c r="J500" s="8">
        <f t="shared" si="273"/>
        <v>50</v>
      </c>
      <c r="K500" s="7" t="s">
        <v>309</v>
      </c>
      <c r="L500" s="8">
        <v>28</v>
      </c>
      <c r="M500" s="7">
        <f>IF(INDEX([1]equip.xml!$B:$B,MATCH(D500&amp;"",[1]equip.xml!$A:$A,0))=0,0,N500)</f>
        <v>65</v>
      </c>
      <c r="N500" s="8">
        <f t="shared" ref="N500" si="396">N412</f>
        <v>65</v>
      </c>
    </row>
    <row r="501" spans="1:14">
      <c r="A501" s="8">
        <v>10010</v>
      </c>
      <c r="B501" s="8">
        <f t="shared" ref="B501:C501" si="397">B413</f>
        <v>40000</v>
      </c>
      <c r="C501" s="8" t="str">
        <f t="shared" si="397"/>
        <v>装备</v>
      </c>
      <c r="D501" s="8">
        <v>40301061</v>
      </c>
      <c r="E501" s="8"/>
      <c r="F501" s="8">
        <v>1</v>
      </c>
      <c r="G501" s="7">
        <f>3*INDEX([1]equip.xml!$I:$I,MATCH(D501&amp;"",[1]equip.xml!$A:$A,0))</f>
        <v>99000</v>
      </c>
      <c r="H501" s="8" t="str">
        <f t="shared" si="272"/>
        <v>10_10,50_20,80_30</v>
      </c>
      <c r="I501" s="8">
        <v>8</v>
      </c>
      <c r="J501" s="8">
        <f t="shared" si="273"/>
        <v>50</v>
      </c>
      <c r="K501" s="7" t="s">
        <v>309</v>
      </c>
      <c r="L501" s="8">
        <v>28</v>
      </c>
      <c r="M501" s="7">
        <f>IF(INDEX([1]equip.xml!$B:$B,MATCH(D501&amp;"",[1]equip.xml!$A:$A,0))=0,0,N501)</f>
        <v>0</v>
      </c>
      <c r="N501" s="8">
        <f t="shared" ref="N501" si="398">N413</f>
        <v>65</v>
      </c>
    </row>
    <row r="502" spans="1:14">
      <c r="A502" s="8">
        <v>10010</v>
      </c>
      <c r="B502" s="8">
        <f t="shared" ref="B502:C502" si="399">B414</f>
        <v>40000</v>
      </c>
      <c r="C502" s="8" t="str">
        <f t="shared" si="399"/>
        <v>装备</v>
      </c>
      <c r="D502" s="8">
        <v>40302050</v>
      </c>
      <c r="E502" s="8"/>
      <c r="F502" s="8">
        <v>1</v>
      </c>
      <c r="G502" s="7">
        <f>3*INDEX([1]equip.xml!$I:$I,MATCH(D502&amp;"",[1]equip.xml!$A:$A,0))</f>
        <v>90000</v>
      </c>
      <c r="H502" s="8" t="str">
        <f t="shared" si="272"/>
        <v>10_10,50_20,80_30</v>
      </c>
      <c r="I502" s="8">
        <v>8</v>
      </c>
      <c r="J502" s="8">
        <f t="shared" si="273"/>
        <v>50</v>
      </c>
      <c r="K502" s="7" t="s">
        <v>309</v>
      </c>
      <c r="L502" s="8">
        <v>28</v>
      </c>
      <c r="M502" s="7">
        <f>IF(INDEX([1]equip.xml!$B:$B,MATCH(D502&amp;"",[1]equip.xml!$A:$A,0))=0,0,N502)</f>
        <v>65</v>
      </c>
      <c r="N502" s="8">
        <f t="shared" ref="N502" si="400">N414</f>
        <v>65</v>
      </c>
    </row>
    <row r="503" spans="1:14">
      <c r="A503" s="8">
        <v>10010</v>
      </c>
      <c r="B503" s="8">
        <f t="shared" ref="B503:C503" si="401">B415</f>
        <v>40000</v>
      </c>
      <c r="C503" s="8" t="str">
        <f t="shared" si="401"/>
        <v>装备</v>
      </c>
      <c r="D503" s="8">
        <v>40302051</v>
      </c>
      <c r="E503" s="8"/>
      <c r="F503" s="8">
        <v>1</v>
      </c>
      <c r="G503" s="7">
        <f>3*INDEX([1]equip.xml!$I:$I,MATCH(D503&amp;"",[1]equip.xml!$A:$A,0))</f>
        <v>99000</v>
      </c>
      <c r="H503" s="8" t="str">
        <f t="shared" ref="H503:H566" si="402">H415</f>
        <v>10_10,50_20,80_30</v>
      </c>
      <c r="I503" s="8">
        <v>8</v>
      </c>
      <c r="J503" s="8">
        <f t="shared" ref="J503:J566" si="403">J415</f>
        <v>50</v>
      </c>
      <c r="K503" s="7" t="s">
        <v>309</v>
      </c>
      <c r="L503" s="8">
        <v>28</v>
      </c>
      <c r="M503" s="7">
        <f>IF(INDEX([1]equip.xml!$B:$B,MATCH(D503&amp;"",[1]equip.xml!$A:$A,0))=0,0,N503)</f>
        <v>65</v>
      </c>
      <c r="N503" s="8">
        <f t="shared" ref="N503" si="404">N415</f>
        <v>65</v>
      </c>
    </row>
    <row r="504" spans="1:14">
      <c r="A504" s="8">
        <v>10010</v>
      </c>
      <c r="B504" s="8">
        <f t="shared" ref="B504:C504" si="405">B416</f>
        <v>40000</v>
      </c>
      <c r="C504" s="8" t="str">
        <f t="shared" si="405"/>
        <v>装备</v>
      </c>
      <c r="D504" s="8">
        <v>40302060</v>
      </c>
      <c r="E504" s="8"/>
      <c r="F504" s="8">
        <v>1</v>
      </c>
      <c r="G504" s="7">
        <f>3*INDEX([1]equip.xml!$I:$I,MATCH(D504&amp;"",[1]equip.xml!$A:$A,0))</f>
        <v>90000</v>
      </c>
      <c r="H504" s="8" t="str">
        <f t="shared" si="402"/>
        <v>10_10,50_20,80_30</v>
      </c>
      <c r="I504" s="8">
        <v>8</v>
      </c>
      <c r="J504" s="8">
        <f t="shared" si="403"/>
        <v>50</v>
      </c>
      <c r="K504" s="7" t="s">
        <v>309</v>
      </c>
      <c r="L504" s="8">
        <v>28</v>
      </c>
      <c r="M504" s="7">
        <f>IF(INDEX([1]equip.xml!$B:$B,MATCH(D504&amp;"",[1]equip.xml!$A:$A,0))=0,0,N504)</f>
        <v>65</v>
      </c>
      <c r="N504" s="8">
        <f t="shared" ref="N504" si="406">N416</f>
        <v>65</v>
      </c>
    </row>
    <row r="505" spans="1:14">
      <c r="A505" s="8">
        <v>10010</v>
      </c>
      <c r="B505" s="8">
        <f t="shared" ref="B505:C505" si="407">B417</f>
        <v>40000</v>
      </c>
      <c r="C505" s="8" t="str">
        <f t="shared" si="407"/>
        <v>装备</v>
      </c>
      <c r="D505" s="8">
        <v>40302061</v>
      </c>
      <c r="E505" s="8"/>
      <c r="F505" s="8">
        <v>1</v>
      </c>
      <c r="G505" s="7">
        <f>3*INDEX([1]equip.xml!$I:$I,MATCH(D505&amp;"",[1]equip.xml!$A:$A,0))</f>
        <v>99000</v>
      </c>
      <c r="H505" s="8" t="str">
        <f t="shared" si="402"/>
        <v>10_10,50_20,80_30</v>
      </c>
      <c r="I505" s="8">
        <v>8</v>
      </c>
      <c r="J505" s="8">
        <f t="shared" si="403"/>
        <v>50</v>
      </c>
      <c r="K505" s="7" t="s">
        <v>309</v>
      </c>
      <c r="L505" s="8">
        <v>28</v>
      </c>
      <c r="M505" s="7">
        <f>IF(INDEX([1]equip.xml!$B:$B,MATCH(D505&amp;"",[1]equip.xml!$A:$A,0))=0,0,N505)</f>
        <v>0</v>
      </c>
      <c r="N505" s="8">
        <f t="shared" ref="N505" si="408">N417</f>
        <v>65</v>
      </c>
    </row>
    <row r="506" spans="1:14">
      <c r="A506" s="8">
        <v>10010</v>
      </c>
      <c r="B506" s="8">
        <f t="shared" ref="B506:C506" si="409">B418</f>
        <v>40000</v>
      </c>
      <c r="C506" s="8" t="str">
        <f t="shared" si="409"/>
        <v>装备</v>
      </c>
      <c r="D506" s="8">
        <v>40303050</v>
      </c>
      <c r="E506" s="8"/>
      <c r="F506" s="8">
        <v>1</v>
      </c>
      <c r="G506" s="7">
        <f>3*INDEX([1]equip.xml!$I:$I,MATCH(D506&amp;"",[1]equip.xml!$A:$A,0))</f>
        <v>90000</v>
      </c>
      <c r="H506" s="8" t="str">
        <f t="shared" si="402"/>
        <v>10_10,50_20,80_30</v>
      </c>
      <c r="I506" s="8">
        <v>8</v>
      </c>
      <c r="J506" s="8">
        <f t="shared" si="403"/>
        <v>50</v>
      </c>
      <c r="K506" s="7" t="s">
        <v>309</v>
      </c>
      <c r="L506" s="8">
        <v>28</v>
      </c>
      <c r="M506" s="7">
        <f>IF(INDEX([1]equip.xml!$B:$B,MATCH(D506&amp;"",[1]equip.xml!$A:$A,0))=0,0,N506)</f>
        <v>65</v>
      </c>
      <c r="N506" s="8">
        <f t="shared" ref="N506" si="410">N418</f>
        <v>65</v>
      </c>
    </row>
    <row r="507" spans="1:14">
      <c r="A507" s="8">
        <v>10010</v>
      </c>
      <c r="B507" s="8">
        <f t="shared" ref="B507:C507" si="411">B419</f>
        <v>40000</v>
      </c>
      <c r="C507" s="8" t="str">
        <f t="shared" si="411"/>
        <v>装备</v>
      </c>
      <c r="D507" s="8">
        <v>40303051</v>
      </c>
      <c r="E507" s="8"/>
      <c r="F507" s="8">
        <v>1</v>
      </c>
      <c r="G507" s="7">
        <f>3*INDEX([1]equip.xml!$I:$I,MATCH(D507&amp;"",[1]equip.xml!$A:$A,0))</f>
        <v>99000</v>
      </c>
      <c r="H507" s="8" t="str">
        <f t="shared" si="402"/>
        <v>10_10,50_20,80_30</v>
      </c>
      <c r="I507" s="8">
        <v>8</v>
      </c>
      <c r="J507" s="8">
        <f t="shared" si="403"/>
        <v>50</v>
      </c>
      <c r="K507" s="7" t="s">
        <v>309</v>
      </c>
      <c r="L507" s="8">
        <v>28</v>
      </c>
      <c r="M507" s="7">
        <f>IF(INDEX([1]equip.xml!$B:$B,MATCH(D507&amp;"",[1]equip.xml!$A:$A,0))=0,0,N507)</f>
        <v>65</v>
      </c>
      <c r="N507" s="8">
        <f t="shared" ref="N507" si="412">N419</f>
        <v>65</v>
      </c>
    </row>
    <row r="508" spans="1:14">
      <c r="A508" s="8">
        <v>10010</v>
      </c>
      <c r="B508" s="8">
        <f t="shared" ref="B508:C508" si="413">B420</f>
        <v>40000</v>
      </c>
      <c r="C508" s="8" t="str">
        <f t="shared" si="413"/>
        <v>装备</v>
      </c>
      <c r="D508" s="8">
        <v>40303060</v>
      </c>
      <c r="E508" s="8"/>
      <c r="F508" s="8">
        <v>1</v>
      </c>
      <c r="G508" s="7">
        <f>3*INDEX([1]equip.xml!$I:$I,MATCH(D508&amp;"",[1]equip.xml!$A:$A,0))</f>
        <v>90000</v>
      </c>
      <c r="H508" s="8" t="str">
        <f t="shared" si="402"/>
        <v>10_10,50_20,80_30</v>
      </c>
      <c r="I508" s="8">
        <v>8</v>
      </c>
      <c r="J508" s="8">
        <f t="shared" si="403"/>
        <v>50</v>
      </c>
      <c r="K508" s="7" t="s">
        <v>309</v>
      </c>
      <c r="L508" s="8">
        <v>28</v>
      </c>
      <c r="M508" s="7">
        <f>IF(INDEX([1]equip.xml!$B:$B,MATCH(D508&amp;"",[1]equip.xml!$A:$A,0))=0,0,N508)</f>
        <v>65</v>
      </c>
      <c r="N508" s="8">
        <f t="shared" ref="N508" si="414">N420</f>
        <v>65</v>
      </c>
    </row>
    <row r="509" spans="1:14">
      <c r="A509" s="8">
        <v>10010</v>
      </c>
      <c r="B509" s="8">
        <f t="shared" ref="B509:C509" si="415">B421</f>
        <v>40000</v>
      </c>
      <c r="C509" s="8" t="str">
        <f t="shared" si="415"/>
        <v>装备</v>
      </c>
      <c r="D509" s="8">
        <v>40303061</v>
      </c>
      <c r="E509" s="8"/>
      <c r="F509" s="8">
        <v>1</v>
      </c>
      <c r="G509" s="7">
        <f>3*INDEX([1]equip.xml!$I:$I,MATCH(D509&amp;"",[1]equip.xml!$A:$A,0))</f>
        <v>99000</v>
      </c>
      <c r="H509" s="8" t="str">
        <f t="shared" si="402"/>
        <v>10_10,50_20,80_30</v>
      </c>
      <c r="I509" s="8">
        <v>8</v>
      </c>
      <c r="J509" s="8">
        <f t="shared" si="403"/>
        <v>50</v>
      </c>
      <c r="K509" s="7" t="s">
        <v>309</v>
      </c>
      <c r="L509" s="8">
        <v>28</v>
      </c>
      <c r="M509" s="7">
        <f>IF(INDEX([1]equip.xml!$B:$B,MATCH(D509&amp;"",[1]equip.xml!$A:$A,0))=0,0,N509)</f>
        <v>0</v>
      </c>
      <c r="N509" s="8">
        <f t="shared" ref="N509" si="416">N421</f>
        <v>65</v>
      </c>
    </row>
    <row r="510" spans="1:14">
      <c r="A510" s="8">
        <v>10010</v>
      </c>
      <c r="B510" s="8">
        <f t="shared" ref="B510:C510" si="417">B422</f>
        <v>40000</v>
      </c>
      <c r="C510" s="8" t="str">
        <f t="shared" si="417"/>
        <v>装备</v>
      </c>
      <c r="D510" s="8">
        <v>40300040</v>
      </c>
      <c r="E510" s="8"/>
      <c r="F510" s="8">
        <v>1</v>
      </c>
      <c r="G510" s="7">
        <f>3*INDEX([1]equip.xml!$I:$I,MATCH(D510&amp;"",[1]equip.xml!$A:$A,0))</f>
        <v>90000</v>
      </c>
      <c r="H510" s="8" t="str">
        <f t="shared" si="402"/>
        <v>10_10,50_20,80_30</v>
      </c>
      <c r="I510" s="8">
        <v>8</v>
      </c>
      <c r="J510" s="8">
        <f t="shared" si="403"/>
        <v>50</v>
      </c>
      <c r="K510" s="7" t="s">
        <v>309</v>
      </c>
      <c r="L510" s="8">
        <v>28</v>
      </c>
      <c r="M510" s="7">
        <f>IF(INDEX([1]equip.xml!$B:$B,MATCH(D510&amp;"",[1]equip.xml!$A:$A,0))=0,0,N510)</f>
        <v>65</v>
      </c>
      <c r="N510" s="8">
        <f t="shared" ref="N510" si="418">N422</f>
        <v>65</v>
      </c>
    </row>
    <row r="511" spans="1:14">
      <c r="A511" s="8">
        <v>10010</v>
      </c>
      <c r="B511" s="8">
        <f t="shared" ref="B511:C511" si="419">B423</f>
        <v>40000</v>
      </c>
      <c r="C511" s="8" t="str">
        <f t="shared" si="419"/>
        <v>装备</v>
      </c>
      <c r="D511" s="8">
        <v>40300041</v>
      </c>
      <c r="E511" s="8"/>
      <c r="F511" s="8">
        <v>1</v>
      </c>
      <c r="G511" s="7">
        <f>3*INDEX([1]equip.xml!$I:$I,MATCH(D511&amp;"",[1]equip.xml!$A:$A,0))</f>
        <v>99000</v>
      </c>
      <c r="H511" s="8" t="str">
        <f t="shared" si="402"/>
        <v>10_10,50_20,80_30</v>
      </c>
      <c r="I511" s="8">
        <v>8</v>
      </c>
      <c r="J511" s="8">
        <f t="shared" si="403"/>
        <v>50</v>
      </c>
      <c r="K511" s="7" t="s">
        <v>309</v>
      </c>
      <c r="L511" s="8">
        <v>28</v>
      </c>
      <c r="M511" s="7">
        <f>IF(INDEX([1]equip.xml!$B:$B,MATCH(D511&amp;"",[1]equip.xml!$A:$A,0))=0,0,N511)</f>
        <v>65</v>
      </c>
      <c r="N511" s="8">
        <f t="shared" ref="N511" si="420">N423</f>
        <v>65</v>
      </c>
    </row>
    <row r="512" spans="1:14">
      <c r="A512" s="8">
        <v>10010</v>
      </c>
      <c r="B512" s="8">
        <f t="shared" ref="B512:C512" si="421">B424</f>
        <v>40000</v>
      </c>
      <c r="C512" s="8" t="str">
        <f t="shared" si="421"/>
        <v>装备</v>
      </c>
      <c r="D512" s="8">
        <v>40300070</v>
      </c>
      <c r="E512" s="8"/>
      <c r="F512" s="8">
        <v>1</v>
      </c>
      <c r="G512" s="7">
        <f>3*INDEX([1]equip.xml!$I:$I,MATCH(D512&amp;"",[1]equip.xml!$A:$A,0))</f>
        <v>90000</v>
      </c>
      <c r="H512" s="8" t="str">
        <f t="shared" si="402"/>
        <v>10_10,50_20,80_30</v>
      </c>
      <c r="I512" s="8">
        <v>8</v>
      </c>
      <c r="J512" s="8">
        <f t="shared" si="403"/>
        <v>50</v>
      </c>
      <c r="K512" s="7" t="s">
        <v>309</v>
      </c>
      <c r="L512" s="8">
        <v>28</v>
      </c>
      <c r="M512" s="7">
        <f>IF(INDEX([1]equip.xml!$B:$B,MATCH(D512&amp;"",[1]equip.xml!$A:$A,0))=0,0,N512)</f>
        <v>65</v>
      </c>
      <c r="N512" s="8">
        <f t="shared" ref="N512" si="422">N424</f>
        <v>65</v>
      </c>
    </row>
    <row r="513" spans="1:14">
      <c r="A513" s="8">
        <v>10010</v>
      </c>
      <c r="B513" s="8">
        <f t="shared" ref="B513:C513" si="423">B425</f>
        <v>40000</v>
      </c>
      <c r="C513" s="8" t="str">
        <f t="shared" si="423"/>
        <v>装备</v>
      </c>
      <c r="D513" s="8">
        <v>40300071</v>
      </c>
      <c r="E513" s="8"/>
      <c r="F513" s="8">
        <v>1</v>
      </c>
      <c r="G513" s="7">
        <f>3*INDEX([1]equip.xml!$I:$I,MATCH(D513&amp;"",[1]equip.xml!$A:$A,0))</f>
        <v>99000</v>
      </c>
      <c r="H513" s="8" t="str">
        <f t="shared" si="402"/>
        <v>10_10,50_20,80_30</v>
      </c>
      <c r="I513" s="8">
        <v>8</v>
      </c>
      <c r="J513" s="8">
        <f t="shared" si="403"/>
        <v>50</v>
      </c>
      <c r="K513" s="7" t="s">
        <v>309</v>
      </c>
      <c r="L513" s="8">
        <v>28</v>
      </c>
      <c r="M513" s="7">
        <f>IF(INDEX([1]equip.xml!$B:$B,MATCH(D513&amp;"",[1]equip.xml!$A:$A,0))=0,0,N513)</f>
        <v>65</v>
      </c>
      <c r="N513" s="8">
        <f t="shared" ref="N513" si="424">N425</f>
        <v>65</v>
      </c>
    </row>
    <row r="514" spans="1:14">
      <c r="A514" s="8">
        <v>10010</v>
      </c>
      <c r="B514" s="8">
        <f t="shared" ref="B514:C514" si="425">B426</f>
        <v>40000</v>
      </c>
      <c r="C514" s="8" t="str">
        <f t="shared" si="425"/>
        <v>装备</v>
      </c>
      <c r="D514" s="7">
        <f>D470+10000005</f>
        <v>50250015</v>
      </c>
      <c r="E514" s="8"/>
      <c r="F514" s="8">
        <v>1</v>
      </c>
      <c r="G514" s="8">
        <f>3*INDEX([1]equip.xml!$I:$I,MATCH(D514,[1]equip.xml!$A:$A,0))</f>
        <v>150000</v>
      </c>
      <c r="H514" s="8" t="str">
        <f t="shared" si="402"/>
        <v>10_10,50_20,80_30</v>
      </c>
      <c r="I514" s="8">
        <v>8</v>
      </c>
      <c r="J514" s="8">
        <f t="shared" si="403"/>
        <v>240</v>
      </c>
      <c r="K514" s="7" t="s">
        <v>309</v>
      </c>
      <c r="L514" s="8">
        <v>28</v>
      </c>
      <c r="M514" s="7">
        <f>IF(INDEX([1]equip.xml!$B:$B,MATCH(D514,[1]equip.xml!$A:$A,0))=0,0,N514)</f>
        <v>70</v>
      </c>
      <c r="N514" s="8">
        <f t="shared" ref="N514" si="426">N426</f>
        <v>70</v>
      </c>
    </row>
    <row r="515" spans="1:14">
      <c r="A515" s="8">
        <v>10010</v>
      </c>
      <c r="B515" s="8">
        <f t="shared" ref="B515:C515" si="427">B427</f>
        <v>40000</v>
      </c>
      <c r="C515" s="8" t="str">
        <f t="shared" si="427"/>
        <v>装备</v>
      </c>
      <c r="D515" s="7">
        <f t="shared" ref="D515:D557" si="428">D471+10000005</f>
        <v>50250025</v>
      </c>
      <c r="E515" s="8"/>
      <c r="F515" s="8">
        <v>1</v>
      </c>
      <c r="G515" s="8">
        <f>3*INDEX([1]equip.xml!$I:$I,MATCH(D515,[1]equip.xml!$A:$A,0))</f>
        <v>150000</v>
      </c>
      <c r="H515" s="8" t="str">
        <f t="shared" si="402"/>
        <v>10_10,50_20,80_30</v>
      </c>
      <c r="I515" s="8">
        <v>8</v>
      </c>
      <c r="J515" s="8">
        <f t="shared" si="403"/>
        <v>240</v>
      </c>
      <c r="K515" s="7" t="s">
        <v>309</v>
      </c>
      <c r="L515" s="8">
        <v>28</v>
      </c>
      <c r="M515" s="7">
        <f>IF(INDEX([1]equip.xml!$B:$B,MATCH(D515,[1]equip.xml!$A:$A,0))=0,0,N515)</f>
        <v>70</v>
      </c>
      <c r="N515" s="8">
        <f t="shared" ref="N515" si="429">N427</f>
        <v>70</v>
      </c>
    </row>
    <row r="516" spans="1:14">
      <c r="A516" s="8">
        <v>10010</v>
      </c>
      <c r="B516" s="8">
        <f t="shared" ref="B516:C516" si="430">B428</f>
        <v>40000</v>
      </c>
      <c r="C516" s="8" t="str">
        <f t="shared" si="430"/>
        <v>装备</v>
      </c>
      <c r="D516" s="7">
        <f t="shared" si="428"/>
        <v>50250035</v>
      </c>
      <c r="E516" s="8"/>
      <c r="F516" s="8">
        <v>1</v>
      </c>
      <c r="G516" s="8">
        <f>3*INDEX([1]equip.xml!$I:$I,MATCH(D516,[1]equip.xml!$A:$A,0))</f>
        <v>150000</v>
      </c>
      <c r="H516" s="8" t="str">
        <f t="shared" si="402"/>
        <v>10_10,50_20,80_30</v>
      </c>
      <c r="I516" s="8">
        <v>8</v>
      </c>
      <c r="J516" s="8">
        <f t="shared" si="403"/>
        <v>240</v>
      </c>
      <c r="K516" s="7" t="s">
        <v>309</v>
      </c>
      <c r="L516" s="8">
        <v>28</v>
      </c>
      <c r="M516" s="7">
        <f>IF(INDEX([1]equip.xml!$B:$B,MATCH(D516,[1]equip.xml!$A:$A,0))=0,0,N516)</f>
        <v>70</v>
      </c>
      <c r="N516" s="8">
        <f t="shared" ref="N516" si="431">N428</f>
        <v>70</v>
      </c>
    </row>
    <row r="517" spans="1:14">
      <c r="A517" s="8">
        <v>10010</v>
      </c>
      <c r="B517" s="8">
        <f t="shared" ref="B517:C517" si="432">B429</f>
        <v>40000</v>
      </c>
      <c r="C517" s="8" t="str">
        <f t="shared" si="432"/>
        <v>装备</v>
      </c>
      <c r="D517" s="7">
        <f t="shared" si="428"/>
        <v>50250085</v>
      </c>
      <c r="E517" s="8"/>
      <c r="F517" s="8">
        <v>1</v>
      </c>
      <c r="G517" s="8">
        <f>3*INDEX([1]equip.xml!$I:$I,MATCH(D517,[1]equip.xml!$A:$A,0))</f>
        <v>150000</v>
      </c>
      <c r="H517" s="8" t="str">
        <f t="shared" si="402"/>
        <v>10_10,50_20,80_30</v>
      </c>
      <c r="I517" s="8">
        <v>8</v>
      </c>
      <c r="J517" s="8">
        <f t="shared" si="403"/>
        <v>240</v>
      </c>
      <c r="K517" s="7" t="s">
        <v>309</v>
      </c>
      <c r="L517" s="8">
        <v>28</v>
      </c>
      <c r="M517" s="7">
        <f>IF(INDEX([1]equip.xml!$B:$B,MATCH(D517,[1]equip.xml!$A:$A,0))=0,0,N517)</f>
        <v>70</v>
      </c>
      <c r="N517" s="8">
        <f t="shared" ref="N517" si="433">N429</f>
        <v>70</v>
      </c>
    </row>
    <row r="518" spans="1:14">
      <c r="A518" s="8">
        <v>10010</v>
      </c>
      <c r="B518" s="8">
        <f t="shared" ref="B518:C518" si="434">B430</f>
        <v>40000</v>
      </c>
      <c r="C518" s="8" t="str">
        <f t="shared" si="434"/>
        <v>装备</v>
      </c>
      <c r="D518" s="7">
        <f t="shared" si="428"/>
        <v>50250095</v>
      </c>
      <c r="E518" s="8"/>
      <c r="F518" s="8">
        <v>1</v>
      </c>
      <c r="G518" s="8">
        <f>3*INDEX([1]equip.xml!$I:$I,MATCH(D518,[1]equip.xml!$A:$A,0))</f>
        <v>150000</v>
      </c>
      <c r="H518" s="8" t="str">
        <f t="shared" si="402"/>
        <v>10_10,50_20,80_30</v>
      </c>
      <c r="I518" s="8">
        <v>8</v>
      </c>
      <c r="J518" s="8">
        <f t="shared" si="403"/>
        <v>240</v>
      </c>
      <c r="K518" s="7" t="s">
        <v>309</v>
      </c>
      <c r="L518" s="8">
        <v>28</v>
      </c>
      <c r="M518" s="7">
        <f>IF(INDEX([1]equip.xml!$B:$B,MATCH(D518,[1]equip.xml!$A:$A,0))=0,0,N518)</f>
        <v>70</v>
      </c>
      <c r="N518" s="8">
        <f t="shared" ref="N518" si="435">N430</f>
        <v>70</v>
      </c>
    </row>
    <row r="519" spans="1:14">
      <c r="A519" s="8">
        <v>10010</v>
      </c>
      <c r="B519" s="8">
        <f t="shared" ref="B519:C519" si="436">B431</f>
        <v>40000</v>
      </c>
      <c r="C519" s="8" t="str">
        <f t="shared" si="436"/>
        <v>装备</v>
      </c>
      <c r="D519" s="7">
        <f t="shared" si="428"/>
        <v>50250105</v>
      </c>
      <c r="E519" s="8"/>
      <c r="F519" s="8">
        <v>1</v>
      </c>
      <c r="G519" s="8">
        <f>3*INDEX([1]equip.xml!$I:$I,MATCH(D519,[1]equip.xml!$A:$A,0))</f>
        <v>150000</v>
      </c>
      <c r="H519" s="8" t="str">
        <f t="shared" si="402"/>
        <v>10_10,50_20,80_30</v>
      </c>
      <c r="I519" s="8">
        <v>8</v>
      </c>
      <c r="J519" s="8">
        <f t="shared" si="403"/>
        <v>240</v>
      </c>
      <c r="K519" s="7" t="s">
        <v>309</v>
      </c>
      <c r="L519" s="8">
        <v>28</v>
      </c>
      <c r="M519" s="7">
        <f>IF(INDEX([1]equip.xml!$B:$B,MATCH(D519,[1]equip.xml!$A:$A,0))=0,0,N519)</f>
        <v>70</v>
      </c>
      <c r="N519" s="8">
        <f t="shared" ref="N519" si="437">N431</f>
        <v>70</v>
      </c>
    </row>
    <row r="520" spans="1:14">
      <c r="A520" s="8">
        <v>10010</v>
      </c>
      <c r="B520" s="8">
        <f t="shared" ref="B520:C520" si="438">B432</f>
        <v>40000</v>
      </c>
      <c r="C520" s="8" t="str">
        <f t="shared" si="438"/>
        <v>装备</v>
      </c>
      <c r="D520" s="7">
        <f t="shared" si="428"/>
        <v>50251055</v>
      </c>
      <c r="E520" s="8"/>
      <c r="F520" s="8">
        <v>1</v>
      </c>
      <c r="G520" s="8">
        <f>3*INDEX([1]equip.xml!$I:$I,MATCH(D520,[1]equip.xml!$A:$A,0))</f>
        <v>150000</v>
      </c>
      <c r="H520" s="8" t="str">
        <f t="shared" si="402"/>
        <v>10_10,50_20,80_30</v>
      </c>
      <c r="I520" s="8">
        <v>8</v>
      </c>
      <c r="J520" s="8">
        <f t="shared" si="403"/>
        <v>240</v>
      </c>
      <c r="K520" s="7" t="s">
        <v>309</v>
      </c>
      <c r="L520" s="8">
        <v>28</v>
      </c>
      <c r="M520" s="7">
        <f>IF(INDEX([1]equip.xml!$B:$B,MATCH(D520,[1]equip.xml!$A:$A,0))=0,0,N520)</f>
        <v>70</v>
      </c>
      <c r="N520" s="8">
        <f t="shared" ref="N520" si="439">N432</f>
        <v>70</v>
      </c>
    </row>
    <row r="521" spans="1:14">
      <c r="A521" s="8">
        <v>10010</v>
      </c>
      <c r="B521" s="8">
        <f t="shared" ref="B521:C521" si="440">B433</f>
        <v>40000</v>
      </c>
      <c r="C521" s="8" t="str">
        <f t="shared" si="440"/>
        <v>装备</v>
      </c>
      <c r="D521" s="7">
        <f t="shared" si="428"/>
        <v>50251056</v>
      </c>
      <c r="E521" s="8"/>
      <c r="F521" s="8">
        <v>1</v>
      </c>
      <c r="G521" s="8">
        <f>3*INDEX([1]equip.xml!$I:$I,MATCH(D521,[1]equip.xml!$A:$A,0))</f>
        <v>168000</v>
      </c>
      <c r="H521" s="8" t="str">
        <f t="shared" si="402"/>
        <v>10_10,50_20,80_30</v>
      </c>
      <c r="I521" s="8">
        <v>8</v>
      </c>
      <c r="J521" s="8">
        <f t="shared" si="403"/>
        <v>240</v>
      </c>
      <c r="K521" s="7" t="s">
        <v>309</v>
      </c>
      <c r="L521" s="8">
        <v>28</v>
      </c>
      <c r="M521" s="7">
        <f>IF(INDEX([1]equip.xml!$B:$B,MATCH(D521,[1]equip.xml!$A:$A,0))=0,0,N521)</f>
        <v>70</v>
      </c>
      <c r="N521" s="8">
        <f t="shared" ref="N521" si="441">N433</f>
        <v>70</v>
      </c>
    </row>
    <row r="522" spans="1:14">
      <c r="A522" s="8">
        <v>10010</v>
      </c>
      <c r="B522" s="8">
        <f t="shared" ref="B522:C522" si="442">B434</f>
        <v>40000</v>
      </c>
      <c r="C522" s="8" t="str">
        <f t="shared" si="442"/>
        <v>装备</v>
      </c>
      <c r="D522" s="7">
        <f t="shared" si="428"/>
        <v>50251065</v>
      </c>
      <c r="E522" s="8"/>
      <c r="F522" s="8">
        <v>1</v>
      </c>
      <c r="G522" s="8">
        <f>3*INDEX([1]equip.xml!$I:$I,MATCH(D522,[1]equip.xml!$A:$A,0))</f>
        <v>150000</v>
      </c>
      <c r="H522" s="8" t="str">
        <f t="shared" si="402"/>
        <v>10_10,50_20,80_30</v>
      </c>
      <c r="I522" s="8">
        <v>8</v>
      </c>
      <c r="J522" s="8">
        <f t="shared" si="403"/>
        <v>240</v>
      </c>
      <c r="K522" s="7" t="s">
        <v>309</v>
      </c>
      <c r="L522" s="8">
        <v>28</v>
      </c>
      <c r="M522" s="7">
        <f>IF(INDEX([1]equip.xml!$B:$B,MATCH(D522,[1]equip.xml!$A:$A,0))=0,0,N522)</f>
        <v>70</v>
      </c>
      <c r="N522" s="8">
        <f t="shared" ref="N522" si="443">N434</f>
        <v>70</v>
      </c>
    </row>
    <row r="523" spans="1:14">
      <c r="A523" s="8">
        <v>10010</v>
      </c>
      <c r="B523" s="8">
        <f t="shared" ref="B523:C523" si="444">B435</f>
        <v>40000</v>
      </c>
      <c r="C523" s="8" t="str">
        <f t="shared" si="444"/>
        <v>装备</v>
      </c>
      <c r="D523" s="7">
        <f t="shared" si="428"/>
        <v>50251066</v>
      </c>
      <c r="E523" s="8"/>
      <c r="F523" s="8">
        <v>1</v>
      </c>
      <c r="G523" s="8">
        <f>3*INDEX([1]equip.xml!$I:$I,MATCH(D523,[1]equip.xml!$A:$A,0))</f>
        <v>168000</v>
      </c>
      <c r="H523" s="8" t="str">
        <f t="shared" si="402"/>
        <v>10_10,50_20,80_30</v>
      </c>
      <c r="I523" s="8">
        <v>8</v>
      </c>
      <c r="J523" s="8">
        <f t="shared" si="403"/>
        <v>240</v>
      </c>
      <c r="K523" s="7" t="s">
        <v>309</v>
      </c>
      <c r="L523" s="8">
        <v>28</v>
      </c>
      <c r="M523" s="7">
        <f>IF(INDEX([1]equip.xml!$B:$B,MATCH(D523,[1]equip.xml!$A:$A,0))=0,0,N523)</f>
        <v>0</v>
      </c>
      <c r="N523" s="8">
        <f t="shared" ref="N523" si="445">N435</f>
        <v>70</v>
      </c>
    </row>
    <row r="524" spans="1:14">
      <c r="A524" s="8">
        <v>10010</v>
      </c>
      <c r="B524" s="8">
        <f t="shared" ref="B524:C524" si="446">B436</f>
        <v>40000</v>
      </c>
      <c r="C524" s="8" t="str">
        <f t="shared" si="446"/>
        <v>装备</v>
      </c>
      <c r="D524" s="7">
        <f t="shared" si="428"/>
        <v>50252055</v>
      </c>
      <c r="E524" s="8"/>
      <c r="F524" s="8">
        <v>1</v>
      </c>
      <c r="G524" s="8">
        <f>3*INDEX([1]equip.xml!$I:$I,MATCH(D524,[1]equip.xml!$A:$A,0))</f>
        <v>150000</v>
      </c>
      <c r="H524" s="8" t="str">
        <f t="shared" si="402"/>
        <v>10_10,50_20,80_30</v>
      </c>
      <c r="I524" s="8">
        <v>8</v>
      </c>
      <c r="J524" s="8">
        <f t="shared" si="403"/>
        <v>240</v>
      </c>
      <c r="K524" s="7" t="s">
        <v>309</v>
      </c>
      <c r="L524" s="8">
        <v>28</v>
      </c>
      <c r="M524" s="7">
        <f>IF(INDEX([1]equip.xml!$B:$B,MATCH(D524,[1]equip.xml!$A:$A,0))=0,0,N524)</f>
        <v>70</v>
      </c>
      <c r="N524" s="8">
        <f t="shared" ref="N524" si="447">N436</f>
        <v>70</v>
      </c>
    </row>
    <row r="525" spans="1:14">
      <c r="A525" s="8">
        <v>10010</v>
      </c>
      <c r="B525" s="8">
        <f t="shared" ref="B525:C525" si="448">B437</f>
        <v>40000</v>
      </c>
      <c r="C525" s="8" t="str">
        <f t="shared" si="448"/>
        <v>装备</v>
      </c>
      <c r="D525" s="7">
        <f t="shared" si="428"/>
        <v>50252056</v>
      </c>
      <c r="E525" s="8"/>
      <c r="F525" s="8">
        <v>1</v>
      </c>
      <c r="G525" s="8">
        <f>3*INDEX([1]equip.xml!$I:$I,MATCH(D525,[1]equip.xml!$A:$A,0))</f>
        <v>168000</v>
      </c>
      <c r="H525" s="8" t="str">
        <f t="shared" si="402"/>
        <v>10_10,50_20,80_30</v>
      </c>
      <c r="I525" s="8">
        <v>8</v>
      </c>
      <c r="J525" s="8">
        <f t="shared" si="403"/>
        <v>240</v>
      </c>
      <c r="K525" s="7" t="s">
        <v>309</v>
      </c>
      <c r="L525" s="8">
        <v>28</v>
      </c>
      <c r="M525" s="7">
        <f>IF(INDEX([1]equip.xml!$B:$B,MATCH(D525,[1]equip.xml!$A:$A,0))=0,0,N525)</f>
        <v>70</v>
      </c>
      <c r="N525" s="8">
        <f t="shared" ref="N525" si="449">N437</f>
        <v>70</v>
      </c>
    </row>
    <row r="526" spans="1:14">
      <c r="A526" s="8">
        <v>10010</v>
      </c>
      <c r="B526" s="8">
        <f t="shared" ref="B526:C526" si="450">B438</f>
        <v>40000</v>
      </c>
      <c r="C526" s="8" t="str">
        <f t="shared" si="450"/>
        <v>装备</v>
      </c>
      <c r="D526" s="7">
        <f t="shared" si="428"/>
        <v>50252065</v>
      </c>
      <c r="E526" s="8"/>
      <c r="F526" s="8">
        <v>1</v>
      </c>
      <c r="G526" s="8">
        <f>3*INDEX([1]equip.xml!$I:$I,MATCH(D526,[1]equip.xml!$A:$A,0))</f>
        <v>150000</v>
      </c>
      <c r="H526" s="8" t="str">
        <f t="shared" si="402"/>
        <v>10_10,50_20,80_30</v>
      </c>
      <c r="I526" s="8">
        <v>8</v>
      </c>
      <c r="J526" s="8">
        <f t="shared" si="403"/>
        <v>240</v>
      </c>
      <c r="K526" s="7" t="s">
        <v>309</v>
      </c>
      <c r="L526" s="8">
        <v>28</v>
      </c>
      <c r="M526" s="7">
        <f>IF(INDEX([1]equip.xml!$B:$B,MATCH(D526,[1]equip.xml!$A:$A,0))=0,0,N526)</f>
        <v>70</v>
      </c>
      <c r="N526" s="8">
        <f t="shared" ref="N526" si="451">N438</f>
        <v>70</v>
      </c>
    </row>
    <row r="527" spans="1:14">
      <c r="A527" s="8">
        <v>10010</v>
      </c>
      <c r="B527" s="8">
        <f t="shared" ref="B527:C527" si="452">B439</f>
        <v>40000</v>
      </c>
      <c r="C527" s="8" t="str">
        <f t="shared" si="452"/>
        <v>装备</v>
      </c>
      <c r="D527" s="7">
        <f t="shared" si="428"/>
        <v>50252066</v>
      </c>
      <c r="E527" s="8"/>
      <c r="F527" s="8">
        <v>1</v>
      </c>
      <c r="G527" s="8">
        <f>3*INDEX([1]equip.xml!$I:$I,MATCH(D527,[1]equip.xml!$A:$A,0))</f>
        <v>168000</v>
      </c>
      <c r="H527" s="8" t="str">
        <f t="shared" si="402"/>
        <v>10_10,50_20,80_30</v>
      </c>
      <c r="I527" s="8">
        <v>8</v>
      </c>
      <c r="J527" s="8">
        <f t="shared" si="403"/>
        <v>240</v>
      </c>
      <c r="K527" s="7" t="s">
        <v>309</v>
      </c>
      <c r="L527" s="8">
        <v>28</v>
      </c>
      <c r="M527" s="7">
        <f>IF(INDEX([1]equip.xml!$B:$B,MATCH(D527,[1]equip.xml!$A:$A,0))=0,0,N527)</f>
        <v>0</v>
      </c>
      <c r="N527" s="8">
        <f t="shared" ref="N527" si="453">N439</f>
        <v>70</v>
      </c>
    </row>
    <row r="528" spans="1:14">
      <c r="A528" s="8">
        <v>10010</v>
      </c>
      <c r="B528" s="8">
        <f t="shared" ref="B528:C528" si="454">B440</f>
        <v>40000</v>
      </c>
      <c r="C528" s="8" t="str">
        <f t="shared" si="454"/>
        <v>装备</v>
      </c>
      <c r="D528" s="7">
        <f t="shared" si="428"/>
        <v>50253055</v>
      </c>
      <c r="E528" s="8"/>
      <c r="F528" s="8">
        <v>1</v>
      </c>
      <c r="G528" s="8">
        <f>3*INDEX([1]equip.xml!$I:$I,MATCH(D528,[1]equip.xml!$A:$A,0))</f>
        <v>150000</v>
      </c>
      <c r="H528" s="8" t="str">
        <f t="shared" si="402"/>
        <v>10_10,50_20,80_30</v>
      </c>
      <c r="I528" s="8">
        <v>8</v>
      </c>
      <c r="J528" s="8">
        <f t="shared" si="403"/>
        <v>240</v>
      </c>
      <c r="K528" s="7" t="s">
        <v>309</v>
      </c>
      <c r="L528" s="8">
        <v>28</v>
      </c>
      <c r="M528" s="7">
        <f>IF(INDEX([1]equip.xml!$B:$B,MATCH(D528,[1]equip.xml!$A:$A,0))=0,0,N528)</f>
        <v>70</v>
      </c>
      <c r="N528" s="8">
        <f t="shared" ref="N528" si="455">N440</f>
        <v>70</v>
      </c>
    </row>
    <row r="529" spans="1:14">
      <c r="A529" s="8">
        <v>10010</v>
      </c>
      <c r="B529" s="8">
        <f t="shared" ref="B529:C529" si="456">B441</f>
        <v>40000</v>
      </c>
      <c r="C529" s="8" t="str">
        <f t="shared" si="456"/>
        <v>装备</v>
      </c>
      <c r="D529" s="7">
        <f t="shared" si="428"/>
        <v>50253056</v>
      </c>
      <c r="E529" s="8"/>
      <c r="F529" s="8">
        <v>1</v>
      </c>
      <c r="G529" s="8">
        <f>3*INDEX([1]equip.xml!$I:$I,MATCH(D529,[1]equip.xml!$A:$A,0))</f>
        <v>168000</v>
      </c>
      <c r="H529" s="8" t="str">
        <f t="shared" si="402"/>
        <v>10_10,50_20,80_30</v>
      </c>
      <c r="I529" s="8">
        <v>8</v>
      </c>
      <c r="J529" s="8">
        <f t="shared" si="403"/>
        <v>240</v>
      </c>
      <c r="K529" s="7" t="s">
        <v>309</v>
      </c>
      <c r="L529" s="8">
        <v>28</v>
      </c>
      <c r="M529" s="7">
        <f>IF(INDEX([1]equip.xml!$B:$B,MATCH(D529,[1]equip.xml!$A:$A,0))=0,0,N529)</f>
        <v>0</v>
      </c>
      <c r="N529" s="8">
        <f t="shared" ref="N529" si="457">N441</f>
        <v>70</v>
      </c>
    </row>
    <row r="530" spans="1:14">
      <c r="A530" s="8">
        <v>10010</v>
      </c>
      <c r="B530" s="8">
        <f t="shared" ref="B530:C530" si="458">B442</f>
        <v>40000</v>
      </c>
      <c r="C530" s="8" t="str">
        <f t="shared" si="458"/>
        <v>装备</v>
      </c>
      <c r="D530" s="7">
        <f t="shared" si="428"/>
        <v>50253065</v>
      </c>
      <c r="E530" s="8"/>
      <c r="F530" s="8">
        <v>1</v>
      </c>
      <c r="G530" s="8">
        <f>3*INDEX([1]equip.xml!$I:$I,MATCH(D530,[1]equip.xml!$A:$A,0))</f>
        <v>150000</v>
      </c>
      <c r="H530" s="8" t="str">
        <f t="shared" si="402"/>
        <v>10_10,50_20,80_30</v>
      </c>
      <c r="I530" s="8">
        <v>8</v>
      </c>
      <c r="J530" s="8">
        <f t="shared" si="403"/>
        <v>240</v>
      </c>
      <c r="K530" s="7" t="s">
        <v>309</v>
      </c>
      <c r="L530" s="8">
        <v>28</v>
      </c>
      <c r="M530" s="7">
        <f>IF(INDEX([1]equip.xml!$B:$B,MATCH(D530,[1]equip.xml!$A:$A,0))=0,0,N530)</f>
        <v>70</v>
      </c>
      <c r="N530" s="8">
        <f t="shared" ref="N530" si="459">N442</f>
        <v>70</v>
      </c>
    </row>
    <row r="531" spans="1:14">
      <c r="A531" s="8">
        <v>10010</v>
      </c>
      <c r="B531" s="8">
        <f t="shared" ref="B531:C531" si="460">B443</f>
        <v>40000</v>
      </c>
      <c r="C531" s="8" t="str">
        <f t="shared" si="460"/>
        <v>装备</v>
      </c>
      <c r="D531" s="7">
        <f t="shared" si="428"/>
        <v>50253066</v>
      </c>
      <c r="E531" s="8"/>
      <c r="F531" s="8">
        <v>1</v>
      </c>
      <c r="G531" s="8">
        <f>3*INDEX([1]equip.xml!$I:$I,MATCH(D531,[1]equip.xml!$A:$A,0))</f>
        <v>168000</v>
      </c>
      <c r="H531" s="8" t="str">
        <f t="shared" si="402"/>
        <v>10_10,50_20,80_30</v>
      </c>
      <c r="I531" s="8">
        <v>8</v>
      </c>
      <c r="J531" s="8">
        <f t="shared" si="403"/>
        <v>240</v>
      </c>
      <c r="K531" s="7" t="s">
        <v>309</v>
      </c>
      <c r="L531" s="8">
        <v>28</v>
      </c>
      <c r="M531" s="7">
        <f>IF(INDEX([1]equip.xml!$B:$B,MATCH(D531,[1]equip.xml!$A:$A,0))=0,0,N531)</f>
        <v>0</v>
      </c>
      <c r="N531" s="8">
        <f t="shared" ref="N531" si="461">N443</f>
        <v>70</v>
      </c>
    </row>
    <row r="532" spans="1:14">
      <c r="A532" s="8">
        <v>10010</v>
      </c>
      <c r="B532" s="8">
        <f t="shared" ref="B532:C532" si="462">B444</f>
        <v>40000</v>
      </c>
      <c r="C532" s="8" t="str">
        <f t="shared" si="462"/>
        <v>装备</v>
      </c>
      <c r="D532" s="7">
        <f t="shared" si="428"/>
        <v>50250045</v>
      </c>
      <c r="E532" s="8"/>
      <c r="F532" s="8">
        <v>1</v>
      </c>
      <c r="G532" s="8">
        <f>3*INDEX([1]equip.xml!$I:$I,MATCH(D532,[1]equip.xml!$A:$A,0))</f>
        <v>150000</v>
      </c>
      <c r="H532" s="8" t="str">
        <f t="shared" si="402"/>
        <v>10_10,50_20,80_30</v>
      </c>
      <c r="I532" s="8">
        <v>8</v>
      </c>
      <c r="J532" s="8">
        <f t="shared" si="403"/>
        <v>240</v>
      </c>
      <c r="K532" s="7" t="s">
        <v>309</v>
      </c>
      <c r="L532" s="8">
        <v>28</v>
      </c>
      <c r="M532" s="7">
        <f>IF(INDEX([1]equip.xml!$B:$B,MATCH(D532,[1]equip.xml!$A:$A,0))=0,0,N532)</f>
        <v>70</v>
      </c>
      <c r="N532" s="8">
        <f t="shared" ref="N532" si="463">N444</f>
        <v>70</v>
      </c>
    </row>
    <row r="533" spans="1:14">
      <c r="A533" s="8">
        <v>10010</v>
      </c>
      <c r="B533" s="8">
        <f t="shared" ref="B533:C533" si="464">B445</f>
        <v>40000</v>
      </c>
      <c r="C533" s="8" t="str">
        <f t="shared" si="464"/>
        <v>装备</v>
      </c>
      <c r="D533" s="7">
        <f t="shared" si="428"/>
        <v>50250046</v>
      </c>
      <c r="E533" s="8"/>
      <c r="F533" s="8">
        <v>1</v>
      </c>
      <c r="G533" s="8">
        <f>3*INDEX([1]equip.xml!$I:$I,MATCH(D533,[1]equip.xml!$A:$A,0))</f>
        <v>168000</v>
      </c>
      <c r="H533" s="8" t="str">
        <f t="shared" si="402"/>
        <v>10_10,50_20,80_30</v>
      </c>
      <c r="I533" s="8">
        <v>8</v>
      </c>
      <c r="J533" s="8">
        <f t="shared" si="403"/>
        <v>240</v>
      </c>
      <c r="K533" s="7" t="s">
        <v>309</v>
      </c>
      <c r="L533" s="8">
        <v>28</v>
      </c>
      <c r="M533" s="7">
        <f>IF(INDEX([1]equip.xml!$B:$B,MATCH(D533,[1]equip.xml!$A:$A,0))=0,0,N533)</f>
        <v>0</v>
      </c>
      <c r="N533" s="8">
        <f t="shared" ref="N533" si="465">N445</f>
        <v>70</v>
      </c>
    </row>
    <row r="534" spans="1:14">
      <c r="A534" s="8">
        <v>10010</v>
      </c>
      <c r="B534" s="8">
        <f t="shared" ref="B534:C534" si="466">B446</f>
        <v>40000</v>
      </c>
      <c r="C534" s="8" t="str">
        <f t="shared" si="466"/>
        <v>装备</v>
      </c>
      <c r="D534" s="7">
        <f t="shared" si="428"/>
        <v>50250075</v>
      </c>
      <c r="E534" s="8"/>
      <c r="F534" s="8">
        <v>1</v>
      </c>
      <c r="G534" s="8">
        <f>3*INDEX([1]equip.xml!$I:$I,MATCH(D534,[1]equip.xml!$A:$A,0))</f>
        <v>150000</v>
      </c>
      <c r="H534" s="8" t="str">
        <f t="shared" si="402"/>
        <v>10_10,50_20,80_30</v>
      </c>
      <c r="I534" s="8">
        <v>8</v>
      </c>
      <c r="J534" s="8">
        <f t="shared" si="403"/>
        <v>240</v>
      </c>
      <c r="K534" s="7" t="s">
        <v>309</v>
      </c>
      <c r="L534" s="8">
        <v>28</v>
      </c>
      <c r="M534" s="7">
        <f>IF(INDEX([1]equip.xml!$B:$B,MATCH(D534,[1]equip.xml!$A:$A,0))=0,0,N534)</f>
        <v>70</v>
      </c>
      <c r="N534" s="8">
        <f t="shared" ref="N534" si="467">N446</f>
        <v>70</v>
      </c>
    </row>
    <row r="535" spans="1:14">
      <c r="A535" s="8">
        <v>10010</v>
      </c>
      <c r="B535" s="8">
        <f t="shared" ref="B535:C535" si="468">B447</f>
        <v>40000</v>
      </c>
      <c r="C535" s="8" t="str">
        <f t="shared" si="468"/>
        <v>装备</v>
      </c>
      <c r="D535" s="7">
        <f t="shared" si="428"/>
        <v>50250076</v>
      </c>
      <c r="E535" s="8"/>
      <c r="F535" s="8">
        <v>1</v>
      </c>
      <c r="G535" s="8">
        <f>3*INDEX([1]equip.xml!$I:$I,MATCH(D535,[1]equip.xml!$A:$A,0))</f>
        <v>168000</v>
      </c>
      <c r="H535" s="8" t="str">
        <f t="shared" si="402"/>
        <v>10_10,50_20,80_30</v>
      </c>
      <c r="I535" s="8">
        <v>8</v>
      </c>
      <c r="J535" s="8">
        <f t="shared" si="403"/>
        <v>240</v>
      </c>
      <c r="K535" s="7" t="s">
        <v>309</v>
      </c>
      <c r="L535" s="8">
        <v>28</v>
      </c>
      <c r="M535" s="7">
        <f>IF(INDEX([1]equip.xml!$B:$B,MATCH(D535,[1]equip.xml!$A:$A,0))=0,0,N535)</f>
        <v>0</v>
      </c>
      <c r="N535" s="8">
        <f t="shared" ref="N535" si="469">N447</f>
        <v>70</v>
      </c>
    </row>
    <row r="536" spans="1:14">
      <c r="A536" s="8">
        <v>10010</v>
      </c>
      <c r="B536" s="8">
        <f t="shared" ref="B536:C536" si="470">B448</f>
        <v>40000</v>
      </c>
      <c r="C536" s="8" t="str">
        <f t="shared" si="470"/>
        <v>装备</v>
      </c>
      <c r="D536" s="7">
        <f t="shared" si="428"/>
        <v>50300015</v>
      </c>
      <c r="E536" s="8"/>
      <c r="F536" s="8">
        <v>1</v>
      </c>
      <c r="G536" s="8">
        <f>3*INDEX([1]equip.xml!$I:$I,MATCH(D536,[1]equip.xml!$A:$A,0))</f>
        <v>180000</v>
      </c>
      <c r="H536" s="8" t="str">
        <f t="shared" si="402"/>
        <v>10_10,50_20,80_30</v>
      </c>
      <c r="I536" s="8">
        <v>8</v>
      </c>
      <c r="J536" s="8">
        <f t="shared" si="403"/>
        <v>240</v>
      </c>
      <c r="K536" s="7" t="s">
        <v>309</v>
      </c>
      <c r="L536" s="8">
        <v>28</v>
      </c>
      <c r="M536" s="7">
        <f>IF(INDEX([1]equip.xml!$B:$B,MATCH(D536,[1]equip.xml!$A:$A,0))=0,0,N536)</f>
        <v>35</v>
      </c>
      <c r="N536" s="8">
        <f t="shared" ref="N536" si="471">N448</f>
        <v>35</v>
      </c>
    </row>
    <row r="537" spans="1:14">
      <c r="A537" s="8">
        <v>10010</v>
      </c>
      <c r="B537" s="8">
        <f t="shared" ref="B537:C537" si="472">B449</f>
        <v>40000</v>
      </c>
      <c r="C537" s="8" t="str">
        <f t="shared" si="472"/>
        <v>装备</v>
      </c>
      <c r="D537" s="7">
        <f t="shared" si="428"/>
        <v>50300025</v>
      </c>
      <c r="E537" s="8"/>
      <c r="F537" s="8">
        <v>1</v>
      </c>
      <c r="G537" s="8">
        <f>3*INDEX([1]equip.xml!$I:$I,MATCH(D537,[1]equip.xml!$A:$A,0))</f>
        <v>180000</v>
      </c>
      <c r="H537" s="8" t="str">
        <f t="shared" si="402"/>
        <v>10_10,50_20,80_30</v>
      </c>
      <c r="I537" s="8">
        <v>8</v>
      </c>
      <c r="J537" s="8">
        <f t="shared" si="403"/>
        <v>240</v>
      </c>
      <c r="K537" s="7" t="s">
        <v>309</v>
      </c>
      <c r="L537" s="8">
        <v>28</v>
      </c>
      <c r="M537" s="7">
        <f>IF(INDEX([1]equip.xml!$B:$B,MATCH(D537,[1]equip.xml!$A:$A,0))=0,0,N537)</f>
        <v>35</v>
      </c>
      <c r="N537" s="8">
        <f t="shared" ref="N537" si="473">N449</f>
        <v>35</v>
      </c>
    </row>
    <row r="538" spans="1:14">
      <c r="A538" s="8">
        <v>10010</v>
      </c>
      <c r="B538" s="8">
        <f t="shared" ref="B538:C538" si="474">B450</f>
        <v>40000</v>
      </c>
      <c r="C538" s="8" t="str">
        <f t="shared" si="474"/>
        <v>装备</v>
      </c>
      <c r="D538" s="7">
        <f t="shared" si="428"/>
        <v>50300035</v>
      </c>
      <c r="E538" s="8"/>
      <c r="F538" s="8">
        <v>1</v>
      </c>
      <c r="G538" s="8">
        <f>3*INDEX([1]equip.xml!$I:$I,MATCH(D538,[1]equip.xml!$A:$A,0))</f>
        <v>180000</v>
      </c>
      <c r="H538" s="8" t="str">
        <f t="shared" si="402"/>
        <v>10_10,50_20,80_30</v>
      </c>
      <c r="I538" s="8">
        <v>8</v>
      </c>
      <c r="J538" s="8">
        <f t="shared" si="403"/>
        <v>240</v>
      </c>
      <c r="K538" s="7" t="s">
        <v>309</v>
      </c>
      <c r="L538" s="8">
        <v>28</v>
      </c>
      <c r="M538" s="7">
        <f>IF(INDEX([1]equip.xml!$B:$B,MATCH(D538,[1]equip.xml!$A:$A,0))=0,0,N538)</f>
        <v>35</v>
      </c>
      <c r="N538" s="8">
        <f t="shared" ref="N538" si="475">N450</f>
        <v>35</v>
      </c>
    </row>
    <row r="539" spans="1:14">
      <c r="A539" s="8">
        <v>10010</v>
      </c>
      <c r="B539" s="8">
        <f t="shared" ref="B539:C539" si="476">B451</f>
        <v>40000</v>
      </c>
      <c r="C539" s="8" t="str">
        <f t="shared" si="476"/>
        <v>装备</v>
      </c>
      <c r="D539" s="7">
        <f t="shared" si="428"/>
        <v>50300085</v>
      </c>
      <c r="E539" s="8"/>
      <c r="F539" s="8">
        <v>1</v>
      </c>
      <c r="G539" s="8">
        <f>3*INDEX([1]equip.xml!$I:$I,MATCH(D539,[1]equip.xml!$A:$A,0))</f>
        <v>180000</v>
      </c>
      <c r="H539" s="8" t="str">
        <f t="shared" si="402"/>
        <v>10_10,50_20,80_30</v>
      </c>
      <c r="I539" s="8">
        <v>8</v>
      </c>
      <c r="J539" s="8">
        <f t="shared" si="403"/>
        <v>240</v>
      </c>
      <c r="K539" s="7" t="s">
        <v>309</v>
      </c>
      <c r="L539" s="8">
        <v>28</v>
      </c>
      <c r="M539" s="7">
        <f>IF(INDEX([1]equip.xml!$B:$B,MATCH(D539,[1]equip.xml!$A:$A,0))=0,0,N539)</f>
        <v>35</v>
      </c>
      <c r="N539" s="8">
        <f t="shared" ref="N539" si="477">N451</f>
        <v>35</v>
      </c>
    </row>
    <row r="540" spans="1:14">
      <c r="A540" s="8">
        <v>10010</v>
      </c>
      <c r="B540" s="8">
        <f t="shared" ref="B540:C540" si="478">B452</f>
        <v>40000</v>
      </c>
      <c r="C540" s="8" t="str">
        <f t="shared" si="478"/>
        <v>装备</v>
      </c>
      <c r="D540" s="7">
        <f t="shared" si="428"/>
        <v>50300095</v>
      </c>
      <c r="E540" s="8"/>
      <c r="F540" s="8">
        <v>1</v>
      </c>
      <c r="G540" s="8">
        <f>3*INDEX([1]equip.xml!$I:$I,MATCH(D540,[1]equip.xml!$A:$A,0))</f>
        <v>180000</v>
      </c>
      <c r="H540" s="8" t="str">
        <f t="shared" si="402"/>
        <v>10_10,50_20,80_30</v>
      </c>
      <c r="I540" s="8">
        <v>8</v>
      </c>
      <c r="J540" s="8">
        <f t="shared" si="403"/>
        <v>240</v>
      </c>
      <c r="K540" s="7" t="s">
        <v>309</v>
      </c>
      <c r="L540" s="8">
        <v>28</v>
      </c>
      <c r="M540" s="7">
        <f>IF(INDEX([1]equip.xml!$B:$B,MATCH(D540,[1]equip.xml!$A:$A,0))=0,0,N540)</f>
        <v>35</v>
      </c>
      <c r="N540" s="8">
        <f t="shared" ref="N540" si="479">N452</f>
        <v>35</v>
      </c>
    </row>
    <row r="541" spans="1:14">
      <c r="A541" s="8">
        <v>10010</v>
      </c>
      <c r="B541" s="8">
        <f t="shared" ref="B541:C541" si="480">B453</f>
        <v>40000</v>
      </c>
      <c r="C541" s="8" t="str">
        <f t="shared" si="480"/>
        <v>装备</v>
      </c>
      <c r="D541" s="7">
        <f t="shared" si="428"/>
        <v>50300105</v>
      </c>
      <c r="E541" s="8"/>
      <c r="F541" s="8">
        <v>1</v>
      </c>
      <c r="G541" s="8">
        <f>3*INDEX([1]equip.xml!$I:$I,MATCH(D541,[1]equip.xml!$A:$A,0))</f>
        <v>180000</v>
      </c>
      <c r="H541" s="8" t="str">
        <f t="shared" si="402"/>
        <v>10_10,50_20,80_30</v>
      </c>
      <c r="I541" s="8">
        <v>8</v>
      </c>
      <c r="J541" s="8">
        <f t="shared" si="403"/>
        <v>240</v>
      </c>
      <c r="K541" s="7" t="s">
        <v>309</v>
      </c>
      <c r="L541" s="8">
        <v>28</v>
      </c>
      <c r="M541" s="7">
        <f>IF(INDEX([1]equip.xml!$B:$B,MATCH(D541,[1]equip.xml!$A:$A,0))=0,0,N541)</f>
        <v>35</v>
      </c>
      <c r="N541" s="8">
        <f t="shared" ref="N541" si="481">N453</f>
        <v>35</v>
      </c>
    </row>
    <row r="542" spans="1:14">
      <c r="A542" s="8">
        <v>10010</v>
      </c>
      <c r="B542" s="8">
        <f t="shared" ref="B542:C542" si="482">B454</f>
        <v>40000</v>
      </c>
      <c r="C542" s="8" t="str">
        <f t="shared" si="482"/>
        <v>装备</v>
      </c>
      <c r="D542" s="7">
        <f t="shared" si="428"/>
        <v>50301055</v>
      </c>
      <c r="E542" s="8"/>
      <c r="F542" s="8">
        <v>1</v>
      </c>
      <c r="G542" s="8">
        <f>3*INDEX([1]equip.xml!$I:$I,MATCH(D542,[1]equip.xml!$A:$A,0))</f>
        <v>180000</v>
      </c>
      <c r="H542" s="8" t="str">
        <f t="shared" si="402"/>
        <v>10_10,50_20,80_30</v>
      </c>
      <c r="I542" s="8">
        <v>8</v>
      </c>
      <c r="J542" s="8">
        <f t="shared" si="403"/>
        <v>240</v>
      </c>
      <c r="K542" s="7" t="s">
        <v>309</v>
      </c>
      <c r="L542" s="8">
        <v>28</v>
      </c>
      <c r="M542" s="7">
        <f>IF(INDEX([1]equip.xml!$B:$B,MATCH(D542,[1]equip.xml!$A:$A,0))=0,0,N542)</f>
        <v>35</v>
      </c>
      <c r="N542" s="8">
        <f t="shared" ref="N542" si="483">N454</f>
        <v>35</v>
      </c>
    </row>
    <row r="543" spans="1:14">
      <c r="A543" s="8">
        <v>10010</v>
      </c>
      <c r="B543" s="8">
        <f t="shared" ref="B543:C543" si="484">B455</f>
        <v>40000</v>
      </c>
      <c r="C543" s="8" t="str">
        <f t="shared" si="484"/>
        <v>装备</v>
      </c>
      <c r="D543" s="7">
        <f t="shared" si="428"/>
        <v>50301056</v>
      </c>
      <c r="E543" s="8"/>
      <c r="F543" s="8">
        <v>1</v>
      </c>
      <c r="G543" s="8">
        <f>3*INDEX([1]equip.xml!$I:$I,MATCH(D543,[1]equip.xml!$A:$A,0))</f>
        <v>198000</v>
      </c>
      <c r="H543" s="8" t="str">
        <f t="shared" si="402"/>
        <v>10_10,50_20,80_30</v>
      </c>
      <c r="I543" s="8">
        <v>8</v>
      </c>
      <c r="J543" s="8">
        <f t="shared" si="403"/>
        <v>240</v>
      </c>
      <c r="K543" s="7" t="s">
        <v>309</v>
      </c>
      <c r="L543" s="8">
        <v>28</v>
      </c>
      <c r="M543" s="7">
        <f>IF(INDEX([1]equip.xml!$B:$B,MATCH(D543,[1]equip.xml!$A:$A,0))=0,0,N543)</f>
        <v>35</v>
      </c>
      <c r="N543" s="8">
        <f t="shared" ref="N543" si="485">N455</f>
        <v>35</v>
      </c>
    </row>
    <row r="544" spans="1:14">
      <c r="A544" s="8">
        <v>10010</v>
      </c>
      <c r="B544" s="8">
        <f t="shared" ref="B544:C544" si="486">B456</f>
        <v>40000</v>
      </c>
      <c r="C544" s="8" t="str">
        <f t="shared" si="486"/>
        <v>装备</v>
      </c>
      <c r="D544" s="7">
        <f t="shared" si="428"/>
        <v>50301065</v>
      </c>
      <c r="E544" s="8"/>
      <c r="F544" s="8">
        <v>1</v>
      </c>
      <c r="G544" s="8">
        <f>3*INDEX([1]equip.xml!$I:$I,MATCH(D544,[1]equip.xml!$A:$A,0))</f>
        <v>180000</v>
      </c>
      <c r="H544" s="8" t="str">
        <f t="shared" si="402"/>
        <v>10_10,50_20,80_30</v>
      </c>
      <c r="I544" s="8">
        <v>8</v>
      </c>
      <c r="J544" s="8">
        <f t="shared" si="403"/>
        <v>240</v>
      </c>
      <c r="K544" s="7" t="s">
        <v>309</v>
      </c>
      <c r="L544" s="8">
        <v>28</v>
      </c>
      <c r="M544" s="7">
        <f>IF(INDEX([1]equip.xml!$B:$B,MATCH(D544,[1]equip.xml!$A:$A,0))=0,0,N544)</f>
        <v>35</v>
      </c>
      <c r="N544" s="8">
        <f t="shared" ref="N544" si="487">N456</f>
        <v>35</v>
      </c>
    </row>
    <row r="545" spans="1:14">
      <c r="A545" s="8">
        <v>10010</v>
      </c>
      <c r="B545" s="8">
        <f t="shared" ref="B545:C545" si="488">B457</f>
        <v>40000</v>
      </c>
      <c r="C545" s="8" t="str">
        <f t="shared" si="488"/>
        <v>装备</v>
      </c>
      <c r="D545" s="7">
        <f t="shared" si="428"/>
        <v>50301066</v>
      </c>
      <c r="E545" s="8"/>
      <c r="F545" s="8">
        <v>1</v>
      </c>
      <c r="G545" s="8">
        <f>3*INDEX([1]equip.xml!$I:$I,MATCH(D545,[1]equip.xml!$A:$A,0))</f>
        <v>198000</v>
      </c>
      <c r="H545" s="8" t="str">
        <f t="shared" si="402"/>
        <v>10_10,50_20,80_30</v>
      </c>
      <c r="I545" s="8">
        <v>8</v>
      </c>
      <c r="J545" s="8">
        <f t="shared" si="403"/>
        <v>240</v>
      </c>
      <c r="K545" s="7" t="s">
        <v>309</v>
      </c>
      <c r="L545" s="8">
        <v>28</v>
      </c>
      <c r="M545" s="7">
        <f>IF(INDEX([1]equip.xml!$B:$B,MATCH(D545,[1]equip.xml!$A:$A,0))=0,0,N545)</f>
        <v>0</v>
      </c>
      <c r="N545" s="8">
        <f t="shared" ref="N545" si="489">N457</f>
        <v>35</v>
      </c>
    </row>
    <row r="546" spans="1:14">
      <c r="A546" s="8">
        <v>10010</v>
      </c>
      <c r="B546" s="8">
        <f t="shared" ref="B546:C546" si="490">B458</f>
        <v>40000</v>
      </c>
      <c r="C546" s="8" t="str">
        <f t="shared" si="490"/>
        <v>装备</v>
      </c>
      <c r="D546" s="7">
        <f t="shared" si="428"/>
        <v>50302055</v>
      </c>
      <c r="E546" s="8"/>
      <c r="F546" s="8">
        <v>1</v>
      </c>
      <c r="G546" s="8">
        <f>3*INDEX([1]equip.xml!$I:$I,MATCH(D546,[1]equip.xml!$A:$A,0))</f>
        <v>180000</v>
      </c>
      <c r="H546" s="8" t="str">
        <f t="shared" si="402"/>
        <v>10_10,50_20,80_30</v>
      </c>
      <c r="I546" s="8">
        <v>8</v>
      </c>
      <c r="J546" s="8">
        <f t="shared" si="403"/>
        <v>240</v>
      </c>
      <c r="K546" s="7" t="s">
        <v>309</v>
      </c>
      <c r="L546" s="8">
        <v>28</v>
      </c>
      <c r="M546" s="7">
        <f>IF(INDEX([1]equip.xml!$B:$B,MATCH(D546,[1]equip.xml!$A:$A,0))=0,0,N546)</f>
        <v>35</v>
      </c>
      <c r="N546" s="8">
        <f t="shared" ref="N546" si="491">N458</f>
        <v>35</v>
      </c>
    </row>
    <row r="547" spans="1:14">
      <c r="A547" s="8">
        <v>10010</v>
      </c>
      <c r="B547" s="8">
        <f t="shared" ref="B547:C547" si="492">B459</f>
        <v>40000</v>
      </c>
      <c r="C547" s="8" t="str">
        <f t="shared" si="492"/>
        <v>装备</v>
      </c>
      <c r="D547" s="7">
        <f t="shared" si="428"/>
        <v>50302056</v>
      </c>
      <c r="E547" s="8"/>
      <c r="F547" s="8">
        <v>1</v>
      </c>
      <c r="G547" s="8">
        <f>3*INDEX([1]equip.xml!$I:$I,MATCH(D547,[1]equip.xml!$A:$A,0))</f>
        <v>198000</v>
      </c>
      <c r="H547" s="8" t="str">
        <f t="shared" si="402"/>
        <v>10_10,50_20,80_30</v>
      </c>
      <c r="I547" s="8">
        <v>8</v>
      </c>
      <c r="J547" s="8">
        <f t="shared" si="403"/>
        <v>240</v>
      </c>
      <c r="K547" s="7" t="s">
        <v>309</v>
      </c>
      <c r="L547" s="8">
        <v>28</v>
      </c>
      <c r="M547" s="7">
        <f>IF(INDEX([1]equip.xml!$B:$B,MATCH(D547,[1]equip.xml!$A:$A,0))=0,0,N547)</f>
        <v>35</v>
      </c>
      <c r="N547" s="8">
        <f t="shared" ref="N547" si="493">N459</f>
        <v>35</v>
      </c>
    </row>
    <row r="548" spans="1:14">
      <c r="A548" s="8">
        <v>10010</v>
      </c>
      <c r="B548" s="8">
        <f t="shared" ref="B548:C548" si="494">B460</f>
        <v>40000</v>
      </c>
      <c r="C548" s="8" t="str">
        <f t="shared" si="494"/>
        <v>装备</v>
      </c>
      <c r="D548" s="7">
        <f t="shared" si="428"/>
        <v>50302065</v>
      </c>
      <c r="E548" s="8"/>
      <c r="F548" s="8">
        <v>1</v>
      </c>
      <c r="G548" s="8">
        <f>3*INDEX([1]equip.xml!$I:$I,MATCH(D548,[1]equip.xml!$A:$A,0))</f>
        <v>180000</v>
      </c>
      <c r="H548" s="8" t="str">
        <f t="shared" si="402"/>
        <v>10_10,50_20,80_30</v>
      </c>
      <c r="I548" s="8">
        <v>8</v>
      </c>
      <c r="J548" s="8">
        <f t="shared" si="403"/>
        <v>240</v>
      </c>
      <c r="K548" s="7" t="s">
        <v>309</v>
      </c>
      <c r="L548" s="8">
        <v>28</v>
      </c>
      <c r="M548" s="7">
        <f>IF(INDEX([1]equip.xml!$B:$B,MATCH(D548,[1]equip.xml!$A:$A,0))=0,0,N548)</f>
        <v>35</v>
      </c>
      <c r="N548" s="8">
        <f t="shared" ref="N548" si="495">N460</f>
        <v>35</v>
      </c>
    </row>
    <row r="549" spans="1:14">
      <c r="A549" s="8">
        <v>10010</v>
      </c>
      <c r="B549" s="8">
        <f t="shared" ref="B549:C549" si="496">B461</f>
        <v>40000</v>
      </c>
      <c r="C549" s="8" t="str">
        <f t="shared" si="496"/>
        <v>装备</v>
      </c>
      <c r="D549" s="7">
        <f t="shared" si="428"/>
        <v>50302066</v>
      </c>
      <c r="E549" s="8"/>
      <c r="F549" s="8">
        <v>1</v>
      </c>
      <c r="G549" s="8">
        <f>3*INDEX([1]equip.xml!$I:$I,MATCH(D549,[1]equip.xml!$A:$A,0))</f>
        <v>198000</v>
      </c>
      <c r="H549" s="8" t="str">
        <f t="shared" si="402"/>
        <v>10_10,50_20,80_30</v>
      </c>
      <c r="I549" s="8">
        <v>8</v>
      </c>
      <c r="J549" s="8">
        <f t="shared" si="403"/>
        <v>240</v>
      </c>
      <c r="K549" s="7" t="s">
        <v>309</v>
      </c>
      <c r="L549" s="8">
        <v>28</v>
      </c>
      <c r="M549" s="7">
        <f>IF(INDEX([1]equip.xml!$B:$B,MATCH(D549,[1]equip.xml!$A:$A,0))=0,0,N549)</f>
        <v>0</v>
      </c>
      <c r="N549" s="8">
        <f t="shared" ref="N549" si="497">N461</f>
        <v>35</v>
      </c>
    </row>
    <row r="550" spans="1:14">
      <c r="A550" s="8">
        <v>10010</v>
      </c>
      <c r="B550" s="8">
        <f t="shared" ref="B550:C550" si="498">B462</f>
        <v>40000</v>
      </c>
      <c r="C550" s="8" t="str">
        <f t="shared" si="498"/>
        <v>装备</v>
      </c>
      <c r="D550" s="7">
        <f t="shared" si="428"/>
        <v>50303055</v>
      </c>
      <c r="E550" s="8"/>
      <c r="F550" s="8">
        <v>1</v>
      </c>
      <c r="G550" s="8">
        <f>3*INDEX([1]equip.xml!$I:$I,MATCH(D550,[1]equip.xml!$A:$A,0))</f>
        <v>180000</v>
      </c>
      <c r="H550" s="8" t="str">
        <f t="shared" si="402"/>
        <v>10_10,50_20,80_30</v>
      </c>
      <c r="I550" s="8">
        <v>8</v>
      </c>
      <c r="J550" s="8">
        <f t="shared" si="403"/>
        <v>240</v>
      </c>
      <c r="K550" s="7" t="s">
        <v>309</v>
      </c>
      <c r="L550" s="8">
        <v>28</v>
      </c>
      <c r="M550" s="7">
        <f>IF(INDEX([1]equip.xml!$B:$B,MATCH(D550,[1]equip.xml!$A:$A,0))=0,0,N550)</f>
        <v>35</v>
      </c>
      <c r="N550" s="8">
        <f t="shared" ref="N550" si="499">N462</f>
        <v>35</v>
      </c>
    </row>
    <row r="551" spans="1:14">
      <c r="A551" s="8">
        <v>10010</v>
      </c>
      <c r="B551" s="8">
        <f t="shared" ref="B551:C551" si="500">B463</f>
        <v>40000</v>
      </c>
      <c r="C551" s="8" t="str">
        <f t="shared" si="500"/>
        <v>装备</v>
      </c>
      <c r="D551" s="7">
        <f t="shared" si="428"/>
        <v>50303056</v>
      </c>
      <c r="E551" s="8"/>
      <c r="F551" s="8">
        <v>1</v>
      </c>
      <c r="G551" s="8">
        <f>3*INDEX([1]equip.xml!$I:$I,MATCH(D551,[1]equip.xml!$A:$A,0))</f>
        <v>198000</v>
      </c>
      <c r="H551" s="8" t="str">
        <f t="shared" si="402"/>
        <v>10_10,50_20,80_30</v>
      </c>
      <c r="I551" s="8">
        <v>8</v>
      </c>
      <c r="J551" s="8">
        <f t="shared" si="403"/>
        <v>240</v>
      </c>
      <c r="K551" s="7" t="s">
        <v>309</v>
      </c>
      <c r="L551" s="8">
        <v>28</v>
      </c>
      <c r="M551" s="7">
        <f>IF(INDEX([1]equip.xml!$B:$B,MATCH(D551,[1]equip.xml!$A:$A,0))=0,0,N551)</f>
        <v>35</v>
      </c>
      <c r="N551" s="8">
        <f t="shared" ref="N551" si="501">N463</f>
        <v>35</v>
      </c>
    </row>
    <row r="552" spans="1:14">
      <c r="A552" s="8">
        <v>10010</v>
      </c>
      <c r="B552" s="8">
        <f t="shared" ref="B552:C552" si="502">B464</f>
        <v>40000</v>
      </c>
      <c r="C552" s="8" t="str">
        <f t="shared" si="502"/>
        <v>装备</v>
      </c>
      <c r="D552" s="7">
        <f t="shared" si="428"/>
        <v>50303065</v>
      </c>
      <c r="E552" s="8"/>
      <c r="F552" s="8">
        <v>1</v>
      </c>
      <c r="G552" s="8">
        <f>3*INDEX([1]equip.xml!$I:$I,MATCH(D552,[1]equip.xml!$A:$A,0))</f>
        <v>180000</v>
      </c>
      <c r="H552" s="8" t="str">
        <f t="shared" si="402"/>
        <v>10_10,50_20,80_30</v>
      </c>
      <c r="I552" s="8">
        <v>8</v>
      </c>
      <c r="J552" s="8">
        <f t="shared" si="403"/>
        <v>240</v>
      </c>
      <c r="K552" s="7" t="s">
        <v>309</v>
      </c>
      <c r="L552" s="8">
        <v>28</v>
      </c>
      <c r="M552" s="7">
        <f>IF(INDEX([1]equip.xml!$B:$B,MATCH(D552,[1]equip.xml!$A:$A,0))=0,0,N552)</f>
        <v>35</v>
      </c>
      <c r="N552" s="8">
        <f t="shared" ref="N552" si="503">N464</f>
        <v>35</v>
      </c>
    </row>
    <row r="553" spans="1:14">
      <c r="A553" s="8">
        <v>10010</v>
      </c>
      <c r="B553" s="8">
        <f t="shared" ref="B553:C553" si="504">B465</f>
        <v>40000</v>
      </c>
      <c r="C553" s="8" t="str">
        <f t="shared" si="504"/>
        <v>装备</v>
      </c>
      <c r="D553" s="7">
        <f t="shared" si="428"/>
        <v>50303066</v>
      </c>
      <c r="E553" s="8"/>
      <c r="F553" s="8">
        <v>1</v>
      </c>
      <c r="G553" s="8">
        <f>3*INDEX([1]equip.xml!$I:$I,MATCH(D553,[1]equip.xml!$A:$A,0))</f>
        <v>198000</v>
      </c>
      <c r="H553" s="8" t="str">
        <f t="shared" si="402"/>
        <v>10_10,50_20,80_30</v>
      </c>
      <c r="I553" s="8">
        <v>8</v>
      </c>
      <c r="J553" s="8">
        <f t="shared" si="403"/>
        <v>240</v>
      </c>
      <c r="K553" s="7" t="s">
        <v>309</v>
      </c>
      <c r="L553" s="8">
        <v>28</v>
      </c>
      <c r="M553" s="7">
        <f>IF(INDEX([1]equip.xml!$B:$B,MATCH(D553,[1]equip.xml!$A:$A,0))=0,0,N553)</f>
        <v>0</v>
      </c>
      <c r="N553" s="8">
        <f t="shared" ref="N553" si="505">N465</f>
        <v>35</v>
      </c>
    </row>
    <row r="554" spans="1:14">
      <c r="A554" s="8">
        <v>10010</v>
      </c>
      <c r="B554" s="8">
        <f t="shared" ref="B554:C554" si="506">B466</f>
        <v>40000</v>
      </c>
      <c r="C554" s="8" t="str">
        <f t="shared" si="506"/>
        <v>装备</v>
      </c>
      <c r="D554" s="7">
        <f t="shared" si="428"/>
        <v>50300045</v>
      </c>
      <c r="E554" s="8"/>
      <c r="F554" s="8">
        <v>1</v>
      </c>
      <c r="G554" s="8">
        <f>3*INDEX([1]equip.xml!$I:$I,MATCH(D554,[1]equip.xml!$A:$A,0))</f>
        <v>180000</v>
      </c>
      <c r="H554" s="8" t="str">
        <f t="shared" si="402"/>
        <v>10_10,50_20,80_30</v>
      </c>
      <c r="I554" s="8">
        <v>8</v>
      </c>
      <c r="J554" s="8">
        <f t="shared" si="403"/>
        <v>240</v>
      </c>
      <c r="K554" s="7" t="s">
        <v>309</v>
      </c>
      <c r="L554" s="8">
        <v>28</v>
      </c>
      <c r="M554" s="7">
        <f>IF(INDEX([1]equip.xml!$B:$B,MATCH(D554,[1]equip.xml!$A:$A,0))=0,0,N554)</f>
        <v>35</v>
      </c>
      <c r="N554" s="8">
        <f t="shared" ref="N554" si="507">N466</f>
        <v>35</v>
      </c>
    </row>
    <row r="555" spans="1:14">
      <c r="A555" s="8">
        <v>10010</v>
      </c>
      <c r="B555" s="8">
        <f t="shared" ref="B555:C555" si="508">B467</f>
        <v>40000</v>
      </c>
      <c r="C555" s="8" t="str">
        <f t="shared" si="508"/>
        <v>装备</v>
      </c>
      <c r="D555" s="7">
        <f t="shared" si="428"/>
        <v>50300046</v>
      </c>
      <c r="E555" s="8"/>
      <c r="F555" s="8">
        <v>1</v>
      </c>
      <c r="G555" s="8">
        <f>3*INDEX([1]equip.xml!$I:$I,MATCH(D555,[1]equip.xml!$A:$A,0))</f>
        <v>198000</v>
      </c>
      <c r="H555" s="8" t="str">
        <f t="shared" si="402"/>
        <v>10_10,50_20,80_30</v>
      </c>
      <c r="I555" s="8">
        <v>8</v>
      </c>
      <c r="J555" s="8">
        <f t="shared" si="403"/>
        <v>240</v>
      </c>
      <c r="K555" s="7" t="s">
        <v>309</v>
      </c>
      <c r="L555" s="8">
        <v>28</v>
      </c>
      <c r="M555" s="7">
        <f>IF(INDEX([1]equip.xml!$B:$B,MATCH(D555,[1]equip.xml!$A:$A,0))=0,0,N555)</f>
        <v>35</v>
      </c>
      <c r="N555" s="8">
        <f t="shared" ref="N555" si="509">N467</f>
        <v>35</v>
      </c>
    </row>
    <row r="556" spans="1:14">
      <c r="A556" s="8">
        <v>10010</v>
      </c>
      <c r="B556" s="8">
        <f t="shared" ref="B556:C556" si="510">B468</f>
        <v>40000</v>
      </c>
      <c r="C556" s="8" t="str">
        <f t="shared" si="510"/>
        <v>装备</v>
      </c>
      <c r="D556" s="7">
        <f t="shared" si="428"/>
        <v>50300075</v>
      </c>
      <c r="E556" s="8"/>
      <c r="F556" s="8">
        <v>1</v>
      </c>
      <c r="G556" s="8">
        <f>3*INDEX([1]equip.xml!$I:$I,MATCH(D556,[1]equip.xml!$A:$A,0))</f>
        <v>180000</v>
      </c>
      <c r="H556" s="8" t="str">
        <f t="shared" si="402"/>
        <v>10_10,50_20,80_30</v>
      </c>
      <c r="I556" s="8">
        <v>8</v>
      </c>
      <c r="J556" s="8">
        <f t="shared" si="403"/>
        <v>240</v>
      </c>
      <c r="K556" s="7" t="s">
        <v>309</v>
      </c>
      <c r="L556" s="8">
        <v>28</v>
      </c>
      <c r="M556" s="7">
        <f>IF(INDEX([1]equip.xml!$B:$B,MATCH(D556,[1]equip.xml!$A:$A,0))=0,0,N556)</f>
        <v>35</v>
      </c>
      <c r="N556" s="8">
        <f t="shared" ref="N556" si="511">N468</f>
        <v>35</v>
      </c>
    </row>
    <row r="557" spans="1:14">
      <c r="A557" s="8">
        <v>10010</v>
      </c>
      <c r="B557" s="8">
        <f t="shared" ref="B557:C557" si="512">B469</f>
        <v>40000</v>
      </c>
      <c r="C557" s="8" t="str">
        <f t="shared" si="512"/>
        <v>装备</v>
      </c>
      <c r="D557" s="7">
        <f t="shared" si="428"/>
        <v>50300076</v>
      </c>
      <c r="E557" s="8"/>
      <c r="F557" s="8">
        <v>1</v>
      </c>
      <c r="G557" s="8">
        <f>3*INDEX([1]equip.xml!$I:$I,MATCH(D557,[1]equip.xml!$A:$A,0))</f>
        <v>198000</v>
      </c>
      <c r="H557" s="8" t="str">
        <f t="shared" si="402"/>
        <v>10_10,50_20,80_30</v>
      </c>
      <c r="I557" s="8">
        <v>8</v>
      </c>
      <c r="J557" s="8">
        <f t="shared" si="403"/>
        <v>240</v>
      </c>
      <c r="K557" s="7" t="s">
        <v>309</v>
      </c>
      <c r="L557" s="8">
        <v>28</v>
      </c>
      <c r="M557" s="7">
        <f>IF(INDEX([1]equip.xml!$B:$B,MATCH(D557,[1]equip.xml!$A:$A,0))=0,0,N557)</f>
        <v>35</v>
      </c>
      <c r="N557" s="8">
        <f t="shared" ref="N557" si="513">N469</f>
        <v>35</v>
      </c>
    </row>
    <row r="558" spans="1:14">
      <c r="A558" s="7">
        <v>10011</v>
      </c>
      <c r="B558" s="7">
        <f t="shared" ref="B558:C558" si="514">B470</f>
        <v>40000</v>
      </c>
      <c r="C558" s="7" t="str">
        <f t="shared" si="514"/>
        <v>装备</v>
      </c>
      <c r="D558" s="7">
        <v>40300010</v>
      </c>
      <c r="E558" s="7"/>
      <c r="F558" s="7">
        <v>1</v>
      </c>
      <c r="G558" s="7">
        <f>3*INDEX([1]equip.xml!$I:$I,MATCH(D558&amp;"",[1]equip.xml!$A:$A,0))</f>
        <v>90000</v>
      </c>
      <c r="H558" s="7" t="str">
        <f t="shared" si="402"/>
        <v>10_10,50_20,80_30</v>
      </c>
      <c r="I558" s="7">
        <v>7</v>
      </c>
      <c r="J558" s="7">
        <f t="shared" si="403"/>
        <v>50</v>
      </c>
      <c r="K558" s="7" t="s">
        <v>310</v>
      </c>
      <c r="L558" s="7">
        <v>30</v>
      </c>
      <c r="M558" s="7">
        <f>IF(INDEX([1]equip.xml!$B:$B,MATCH(D558&amp;"",[1]equip.xml!$A:$A,0))=0,0,N558)</f>
        <v>130</v>
      </c>
      <c r="N558" s="7">
        <f t="shared" ref="N558" si="515">N470</f>
        <v>130</v>
      </c>
    </row>
    <row r="559" spans="1:14">
      <c r="A559" s="7">
        <v>10011</v>
      </c>
      <c r="B559" s="7">
        <f t="shared" ref="B559:C559" si="516">B471</f>
        <v>40000</v>
      </c>
      <c r="C559" s="7" t="str">
        <f t="shared" si="516"/>
        <v>装备</v>
      </c>
      <c r="D559" s="7">
        <v>40300020</v>
      </c>
      <c r="E559" s="7"/>
      <c r="F559" s="7">
        <v>1</v>
      </c>
      <c r="G559" s="7">
        <f>3*INDEX([1]equip.xml!$I:$I,MATCH(D559&amp;"",[1]equip.xml!$A:$A,0))</f>
        <v>90000</v>
      </c>
      <c r="H559" s="7" t="str">
        <f t="shared" si="402"/>
        <v>10_10,50_20,80_30</v>
      </c>
      <c r="I559" s="7">
        <v>7</v>
      </c>
      <c r="J559" s="7">
        <f t="shared" si="403"/>
        <v>50</v>
      </c>
      <c r="K559" s="7" t="s">
        <v>310</v>
      </c>
      <c r="L559" s="7">
        <v>30</v>
      </c>
      <c r="M559" s="7">
        <f>IF(INDEX([1]equip.xml!$B:$B,MATCH(D559&amp;"",[1]equip.xml!$A:$A,0))=0,0,N559)</f>
        <v>130</v>
      </c>
      <c r="N559" s="7">
        <f t="shared" ref="N559" si="517">N471</f>
        <v>130</v>
      </c>
    </row>
    <row r="560" spans="1:14">
      <c r="A560" s="7">
        <v>10011</v>
      </c>
      <c r="B560" s="7">
        <f t="shared" ref="B560:C560" si="518">B472</f>
        <v>40000</v>
      </c>
      <c r="C560" s="7" t="str">
        <f t="shared" si="518"/>
        <v>装备</v>
      </c>
      <c r="D560" s="7">
        <v>40300030</v>
      </c>
      <c r="E560" s="7"/>
      <c r="F560" s="7">
        <v>1</v>
      </c>
      <c r="G560" s="7">
        <f>3*INDEX([1]equip.xml!$I:$I,MATCH(D560&amp;"",[1]equip.xml!$A:$A,0))</f>
        <v>90000</v>
      </c>
      <c r="H560" s="7" t="str">
        <f t="shared" si="402"/>
        <v>10_10,50_20,80_30</v>
      </c>
      <c r="I560" s="7">
        <v>7</v>
      </c>
      <c r="J560" s="7">
        <f t="shared" si="403"/>
        <v>50</v>
      </c>
      <c r="K560" s="7" t="s">
        <v>310</v>
      </c>
      <c r="L560" s="7">
        <v>30</v>
      </c>
      <c r="M560" s="7">
        <f>IF(INDEX([1]equip.xml!$B:$B,MATCH(D560&amp;"",[1]equip.xml!$A:$A,0))=0,0,N560)</f>
        <v>130</v>
      </c>
      <c r="N560" s="7">
        <f t="shared" ref="N560" si="519">N472</f>
        <v>130</v>
      </c>
    </row>
    <row r="561" spans="1:14">
      <c r="A561" s="7">
        <v>10011</v>
      </c>
      <c r="B561" s="7">
        <f t="shared" ref="B561:C561" si="520">B473</f>
        <v>40000</v>
      </c>
      <c r="C561" s="7" t="str">
        <f t="shared" si="520"/>
        <v>装备</v>
      </c>
      <c r="D561" s="7">
        <v>40300080</v>
      </c>
      <c r="E561" s="7"/>
      <c r="F561" s="7">
        <v>1</v>
      </c>
      <c r="G561" s="7">
        <f>3*INDEX([1]equip.xml!$I:$I,MATCH(D561&amp;"",[1]equip.xml!$A:$A,0))</f>
        <v>90000</v>
      </c>
      <c r="H561" s="7" t="str">
        <f t="shared" si="402"/>
        <v>10_10,50_20,80_30</v>
      </c>
      <c r="I561" s="7">
        <v>7</v>
      </c>
      <c r="J561" s="7">
        <f t="shared" si="403"/>
        <v>50</v>
      </c>
      <c r="K561" s="7" t="s">
        <v>310</v>
      </c>
      <c r="L561" s="7">
        <v>30</v>
      </c>
      <c r="M561" s="7">
        <f>IF(INDEX([1]equip.xml!$B:$B,MATCH(D561&amp;"",[1]equip.xml!$A:$A,0))=0,0,N561)</f>
        <v>130</v>
      </c>
      <c r="N561" s="7">
        <f t="shared" ref="N561" si="521">N473</f>
        <v>130</v>
      </c>
    </row>
    <row r="562" spans="1:14">
      <c r="A562" s="7">
        <v>10011</v>
      </c>
      <c r="B562" s="7">
        <f t="shared" ref="B562:C562" si="522">B474</f>
        <v>40000</v>
      </c>
      <c r="C562" s="7" t="str">
        <f t="shared" si="522"/>
        <v>装备</v>
      </c>
      <c r="D562" s="7">
        <v>40300090</v>
      </c>
      <c r="E562" s="7"/>
      <c r="F562" s="7">
        <v>1</v>
      </c>
      <c r="G562" s="7">
        <f>3*INDEX([1]equip.xml!$I:$I,MATCH(D562&amp;"",[1]equip.xml!$A:$A,0))</f>
        <v>90000</v>
      </c>
      <c r="H562" s="7" t="str">
        <f t="shared" si="402"/>
        <v>10_10,50_20,80_30</v>
      </c>
      <c r="I562" s="7">
        <v>7</v>
      </c>
      <c r="J562" s="7">
        <f t="shared" si="403"/>
        <v>50</v>
      </c>
      <c r="K562" s="7" t="s">
        <v>310</v>
      </c>
      <c r="L562" s="7">
        <v>30</v>
      </c>
      <c r="M562" s="7">
        <f>IF(INDEX([1]equip.xml!$B:$B,MATCH(D562&amp;"",[1]equip.xml!$A:$A,0))=0,0,N562)</f>
        <v>130</v>
      </c>
      <c r="N562" s="7">
        <f t="shared" ref="N562" si="523">N474</f>
        <v>130</v>
      </c>
    </row>
    <row r="563" spans="1:14">
      <c r="A563" s="7">
        <v>10011</v>
      </c>
      <c r="B563" s="7">
        <f t="shared" ref="B563:C563" si="524">B475</f>
        <v>40000</v>
      </c>
      <c r="C563" s="7" t="str">
        <f t="shared" si="524"/>
        <v>装备</v>
      </c>
      <c r="D563" s="7">
        <v>40300100</v>
      </c>
      <c r="E563" s="7"/>
      <c r="F563" s="7">
        <v>1</v>
      </c>
      <c r="G563" s="7">
        <f>3*INDEX([1]equip.xml!$I:$I,MATCH(D563&amp;"",[1]equip.xml!$A:$A,0))</f>
        <v>90000</v>
      </c>
      <c r="H563" s="7" t="str">
        <f t="shared" si="402"/>
        <v>10_10,50_20,80_30</v>
      </c>
      <c r="I563" s="7">
        <v>7</v>
      </c>
      <c r="J563" s="7">
        <f t="shared" si="403"/>
        <v>50</v>
      </c>
      <c r="K563" s="7" t="s">
        <v>310</v>
      </c>
      <c r="L563" s="7">
        <v>30</v>
      </c>
      <c r="M563" s="7">
        <f>IF(INDEX([1]equip.xml!$B:$B,MATCH(D563&amp;"",[1]equip.xml!$A:$A,0))=0,0,N563)</f>
        <v>130</v>
      </c>
      <c r="N563" s="7">
        <f t="shared" ref="N563" si="525">N475</f>
        <v>130</v>
      </c>
    </row>
    <row r="564" spans="1:14">
      <c r="A564" s="7">
        <v>10011</v>
      </c>
      <c r="B564" s="7">
        <f t="shared" ref="B564:C564" si="526">B476</f>
        <v>40000</v>
      </c>
      <c r="C564" s="7" t="str">
        <f t="shared" si="526"/>
        <v>装备</v>
      </c>
      <c r="D564" s="7">
        <v>40301050</v>
      </c>
      <c r="E564" s="7"/>
      <c r="F564" s="7">
        <v>1</v>
      </c>
      <c r="G564" s="7">
        <f>3*INDEX([1]equip.xml!$I:$I,MATCH(D564&amp;"",[1]equip.xml!$A:$A,0))</f>
        <v>90000</v>
      </c>
      <c r="H564" s="7" t="str">
        <f t="shared" si="402"/>
        <v>10_10,50_20,80_30</v>
      </c>
      <c r="I564" s="7">
        <v>7</v>
      </c>
      <c r="J564" s="7">
        <f t="shared" si="403"/>
        <v>50</v>
      </c>
      <c r="K564" s="7" t="s">
        <v>310</v>
      </c>
      <c r="L564" s="7">
        <v>30</v>
      </c>
      <c r="M564" s="7">
        <f>IF(INDEX([1]equip.xml!$B:$B,MATCH(D564&amp;"",[1]equip.xml!$A:$A,0))=0,0,N564)</f>
        <v>130</v>
      </c>
      <c r="N564" s="7">
        <f t="shared" ref="N564" si="527">N476</f>
        <v>130</v>
      </c>
    </row>
    <row r="565" spans="1:14">
      <c r="A565" s="7">
        <v>10011</v>
      </c>
      <c r="B565" s="7">
        <f t="shared" ref="B565:C565" si="528">B477</f>
        <v>40000</v>
      </c>
      <c r="C565" s="7" t="str">
        <f t="shared" si="528"/>
        <v>装备</v>
      </c>
      <c r="D565" s="7">
        <v>40301051</v>
      </c>
      <c r="E565" s="7"/>
      <c r="F565" s="7">
        <v>1</v>
      </c>
      <c r="G565" s="7">
        <f>3*INDEX([1]equip.xml!$I:$I,MATCH(D565&amp;"",[1]equip.xml!$A:$A,0))</f>
        <v>99000</v>
      </c>
      <c r="H565" s="7" t="str">
        <f t="shared" si="402"/>
        <v>10_10,50_20,80_30</v>
      </c>
      <c r="I565" s="7">
        <v>7</v>
      </c>
      <c r="J565" s="7">
        <f t="shared" si="403"/>
        <v>50</v>
      </c>
      <c r="K565" s="7" t="s">
        <v>310</v>
      </c>
      <c r="L565" s="7">
        <v>30</v>
      </c>
      <c r="M565" s="7">
        <f>IF(INDEX([1]equip.xml!$B:$B,MATCH(D565&amp;"",[1]equip.xml!$A:$A,0))=0,0,N565)</f>
        <v>130</v>
      </c>
      <c r="N565" s="7">
        <f t="shared" ref="N565" si="529">N477</f>
        <v>130</v>
      </c>
    </row>
    <row r="566" spans="1:14">
      <c r="A566" s="7">
        <v>10011</v>
      </c>
      <c r="B566" s="7">
        <f t="shared" ref="B566:C566" si="530">B478</f>
        <v>40000</v>
      </c>
      <c r="C566" s="7" t="str">
        <f t="shared" si="530"/>
        <v>装备</v>
      </c>
      <c r="D566" s="7">
        <v>40301060</v>
      </c>
      <c r="E566" s="7"/>
      <c r="F566" s="7">
        <v>1</v>
      </c>
      <c r="G566" s="7">
        <f>3*INDEX([1]equip.xml!$I:$I,MATCH(D566&amp;"",[1]equip.xml!$A:$A,0))</f>
        <v>90000</v>
      </c>
      <c r="H566" s="7" t="str">
        <f t="shared" si="402"/>
        <v>10_10,50_20,80_30</v>
      </c>
      <c r="I566" s="7">
        <v>7</v>
      </c>
      <c r="J566" s="7">
        <f t="shared" si="403"/>
        <v>50</v>
      </c>
      <c r="K566" s="7" t="s">
        <v>310</v>
      </c>
      <c r="L566" s="7">
        <v>30</v>
      </c>
      <c r="M566" s="7">
        <f>IF(INDEX([1]equip.xml!$B:$B,MATCH(D566&amp;"",[1]equip.xml!$A:$A,0))=0,0,N566)</f>
        <v>130</v>
      </c>
      <c r="N566" s="7">
        <f t="shared" ref="N566" si="531">N478</f>
        <v>130</v>
      </c>
    </row>
    <row r="567" spans="1:14">
      <c r="A567" s="7">
        <v>10011</v>
      </c>
      <c r="B567" s="7">
        <f t="shared" ref="B567:C567" si="532">B479</f>
        <v>40000</v>
      </c>
      <c r="C567" s="7" t="str">
        <f t="shared" si="532"/>
        <v>装备</v>
      </c>
      <c r="D567" s="7">
        <v>40301061</v>
      </c>
      <c r="E567" s="7"/>
      <c r="F567" s="7">
        <v>1</v>
      </c>
      <c r="G567" s="7">
        <f>3*INDEX([1]equip.xml!$I:$I,MATCH(D567&amp;"",[1]equip.xml!$A:$A,0))</f>
        <v>99000</v>
      </c>
      <c r="H567" s="7" t="str">
        <f t="shared" ref="H567:H630" si="533">H479</f>
        <v>10_10,50_20,80_30</v>
      </c>
      <c r="I567" s="7">
        <v>7</v>
      </c>
      <c r="J567" s="7">
        <f t="shared" ref="J567:J630" si="534">J479</f>
        <v>50</v>
      </c>
      <c r="K567" s="7" t="s">
        <v>310</v>
      </c>
      <c r="L567" s="7">
        <v>30</v>
      </c>
      <c r="M567" s="7">
        <f>IF(INDEX([1]equip.xml!$B:$B,MATCH(D567&amp;"",[1]equip.xml!$A:$A,0))=0,0,N567)</f>
        <v>0</v>
      </c>
      <c r="N567" s="7">
        <f t="shared" ref="N567" si="535">N479</f>
        <v>130</v>
      </c>
    </row>
    <row r="568" spans="1:14">
      <c r="A568" s="7">
        <v>10011</v>
      </c>
      <c r="B568" s="7">
        <f t="shared" ref="B568:C568" si="536">B480</f>
        <v>40000</v>
      </c>
      <c r="C568" s="7" t="str">
        <f t="shared" si="536"/>
        <v>装备</v>
      </c>
      <c r="D568" s="7">
        <v>40302050</v>
      </c>
      <c r="E568" s="7"/>
      <c r="F568" s="7">
        <v>1</v>
      </c>
      <c r="G568" s="7">
        <f>3*INDEX([1]equip.xml!$I:$I,MATCH(D568&amp;"",[1]equip.xml!$A:$A,0))</f>
        <v>90000</v>
      </c>
      <c r="H568" s="7" t="str">
        <f t="shared" si="533"/>
        <v>10_10,50_20,80_30</v>
      </c>
      <c r="I568" s="7">
        <v>7</v>
      </c>
      <c r="J568" s="7">
        <f t="shared" si="534"/>
        <v>50</v>
      </c>
      <c r="K568" s="7" t="s">
        <v>310</v>
      </c>
      <c r="L568" s="7">
        <v>30</v>
      </c>
      <c r="M568" s="7">
        <f>IF(INDEX([1]equip.xml!$B:$B,MATCH(D568&amp;"",[1]equip.xml!$A:$A,0))=0,0,N568)</f>
        <v>130</v>
      </c>
      <c r="N568" s="7">
        <f t="shared" ref="N568" si="537">N480</f>
        <v>130</v>
      </c>
    </row>
    <row r="569" spans="1:14">
      <c r="A569" s="7">
        <v>10011</v>
      </c>
      <c r="B569" s="7">
        <f t="shared" ref="B569:C569" si="538">B481</f>
        <v>40000</v>
      </c>
      <c r="C569" s="7" t="str">
        <f t="shared" si="538"/>
        <v>装备</v>
      </c>
      <c r="D569" s="7">
        <v>40302051</v>
      </c>
      <c r="E569" s="7"/>
      <c r="F569" s="7">
        <v>1</v>
      </c>
      <c r="G569" s="7">
        <f>3*INDEX([1]equip.xml!$I:$I,MATCH(D569&amp;"",[1]equip.xml!$A:$A,0))</f>
        <v>99000</v>
      </c>
      <c r="H569" s="7" t="str">
        <f t="shared" si="533"/>
        <v>10_10,50_20,80_30</v>
      </c>
      <c r="I569" s="7">
        <v>7</v>
      </c>
      <c r="J569" s="7">
        <f t="shared" si="534"/>
        <v>50</v>
      </c>
      <c r="K569" s="7" t="s">
        <v>310</v>
      </c>
      <c r="L569" s="7">
        <v>30</v>
      </c>
      <c r="M569" s="7">
        <f>IF(INDEX([1]equip.xml!$B:$B,MATCH(D569&amp;"",[1]equip.xml!$A:$A,0))=0,0,N569)</f>
        <v>130</v>
      </c>
      <c r="N569" s="7">
        <f t="shared" ref="N569" si="539">N481</f>
        <v>130</v>
      </c>
    </row>
    <row r="570" spans="1:14">
      <c r="A570" s="7">
        <v>10011</v>
      </c>
      <c r="B570" s="7">
        <f t="shared" ref="B570:C570" si="540">B482</f>
        <v>40000</v>
      </c>
      <c r="C570" s="7" t="str">
        <f t="shared" si="540"/>
        <v>装备</v>
      </c>
      <c r="D570" s="7">
        <v>40302060</v>
      </c>
      <c r="E570" s="7"/>
      <c r="F570" s="7">
        <v>1</v>
      </c>
      <c r="G570" s="7">
        <f>3*INDEX([1]equip.xml!$I:$I,MATCH(D570&amp;"",[1]equip.xml!$A:$A,0))</f>
        <v>90000</v>
      </c>
      <c r="H570" s="7" t="str">
        <f t="shared" si="533"/>
        <v>10_10,50_20,80_30</v>
      </c>
      <c r="I570" s="7">
        <v>7</v>
      </c>
      <c r="J570" s="7">
        <f t="shared" si="534"/>
        <v>50</v>
      </c>
      <c r="K570" s="7" t="s">
        <v>310</v>
      </c>
      <c r="L570" s="7">
        <v>30</v>
      </c>
      <c r="M570" s="7">
        <f>IF(INDEX([1]equip.xml!$B:$B,MATCH(D570&amp;"",[1]equip.xml!$A:$A,0))=0,0,N570)</f>
        <v>130</v>
      </c>
      <c r="N570" s="7">
        <f t="shared" ref="N570" si="541">N482</f>
        <v>130</v>
      </c>
    </row>
    <row r="571" spans="1:14">
      <c r="A571" s="7">
        <v>10011</v>
      </c>
      <c r="B571" s="7">
        <f t="shared" ref="B571:C571" si="542">B483</f>
        <v>40000</v>
      </c>
      <c r="C571" s="7" t="str">
        <f t="shared" si="542"/>
        <v>装备</v>
      </c>
      <c r="D571" s="7">
        <v>40302061</v>
      </c>
      <c r="E571" s="7"/>
      <c r="F571" s="7">
        <v>1</v>
      </c>
      <c r="G571" s="7">
        <f>3*INDEX([1]equip.xml!$I:$I,MATCH(D571&amp;"",[1]equip.xml!$A:$A,0))</f>
        <v>99000</v>
      </c>
      <c r="H571" s="7" t="str">
        <f t="shared" si="533"/>
        <v>10_10,50_20,80_30</v>
      </c>
      <c r="I571" s="7">
        <v>7</v>
      </c>
      <c r="J571" s="7">
        <f t="shared" si="534"/>
        <v>50</v>
      </c>
      <c r="K571" s="7" t="s">
        <v>310</v>
      </c>
      <c r="L571" s="7">
        <v>30</v>
      </c>
      <c r="M571" s="7">
        <f>IF(INDEX([1]equip.xml!$B:$B,MATCH(D571&amp;"",[1]equip.xml!$A:$A,0))=0,0,N571)</f>
        <v>0</v>
      </c>
      <c r="N571" s="7">
        <f t="shared" ref="N571" si="543">N483</f>
        <v>130</v>
      </c>
    </row>
    <row r="572" spans="1:14">
      <c r="A572" s="7">
        <v>10011</v>
      </c>
      <c r="B572" s="7">
        <f t="shared" ref="B572:C572" si="544">B484</f>
        <v>40000</v>
      </c>
      <c r="C572" s="7" t="str">
        <f t="shared" si="544"/>
        <v>装备</v>
      </c>
      <c r="D572" s="7">
        <v>40303050</v>
      </c>
      <c r="E572" s="7"/>
      <c r="F572" s="7">
        <v>1</v>
      </c>
      <c r="G572" s="7">
        <f>3*INDEX([1]equip.xml!$I:$I,MATCH(D572&amp;"",[1]equip.xml!$A:$A,0))</f>
        <v>90000</v>
      </c>
      <c r="H572" s="7" t="str">
        <f t="shared" si="533"/>
        <v>10_10,50_20,80_30</v>
      </c>
      <c r="I572" s="7">
        <v>7</v>
      </c>
      <c r="J572" s="7">
        <f t="shared" si="534"/>
        <v>50</v>
      </c>
      <c r="K572" s="7" t="s">
        <v>310</v>
      </c>
      <c r="L572" s="7">
        <v>30</v>
      </c>
      <c r="M572" s="7">
        <f>IF(INDEX([1]equip.xml!$B:$B,MATCH(D572&amp;"",[1]equip.xml!$A:$A,0))=0,0,N572)</f>
        <v>130</v>
      </c>
      <c r="N572" s="7">
        <f t="shared" ref="N572" si="545">N484</f>
        <v>130</v>
      </c>
    </row>
    <row r="573" spans="1:14">
      <c r="A573" s="7">
        <v>10011</v>
      </c>
      <c r="B573" s="7">
        <f t="shared" ref="B573:C573" si="546">B485</f>
        <v>40000</v>
      </c>
      <c r="C573" s="7" t="str">
        <f t="shared" si="546"/>
        <v>装备</v>
      </c>
      <c r="D573" s="7">
        <v>40303051</v>
      </c>
      <c r="E573" s="7"/>
      <c r="F573" s="7">
        <v>1</v>
      </c>
      <c r="G573" s="7">
        <f>3*INDEX([1]equip.xml!$I:$I,MATCH(D573&amp;"",[1]equip.xml!$A:$A,0))</f>
        <v>99000</v>
      </c>
      <c r="H573" s="7" t="str">
        <f t="shared" si="533"/>
        <v>10_10,50_20,80_30</v>
      </c>
      <c r="I573" s="7">
        <v>7</v>
      </c>
      <c r="J573" s="7">
        <f t="shared" si="534"/>
        <v>50</v>
      </c>
      <c r="K573" s="7" t="s">
        <v>310</v>
      </c>
      <c r="L573" s="7">
        <v>30</v>
      </c>
      <c r="M573" s="7">
        <f>IF(INDEX([1]equip.xml!$B:$B,MATCH(D573&amp;"",[1]equip.xml!$A:$A,0))=0,0,N573)</f>
        <v>130</v>
      </c>
      <c r="N573" s="7">
        <f t="shared" ref="N573" si="547">N485</f>
        <v>130</v>
      </c>
    </row>
    <row r="574" spans="1:14">
      <c r="A574" s="7">
        <v>10011</v>
      </c>
      <c r="B574" s="7">
        <f t="shared" ref="B574:C574" si="548">B486</f>
        <v>40000</v>
      </c>
      <c r="C574" s="7" t="str">
        <f t="shared" si="548"/>
        <v>装备</v>
      </c>
      <c r="D574" s="7">
        <v>40303060</v>
      </c>
      <c r="E574" s="7"/>
      <c r="F574" s="7">
        <v>1</v>
      </c>
      <c r="G574" s="7">
        <f>3*INDEX([1]equip.xml!$I:$I,MATCH(D574&amp;"",[1]equip.xml!$A:$A,0))</f>
        <v>90000</v>
      </c>
      <c r="H574" s="7" t="str">
        <f t="shared" si="533"/>
        <v>10_10,50_20,80_30</v>
      </c>
      <c r="I574" s="7">
        <v>7</v>
      </c>
      <c r="J574" s="7">
        <f t="shared" si="534"/>
        <v>50</v>
      </c>
      <c r="K574" s="7" t="s">
        <v>310</v>
      </c>
      <c r="L574" s="7">
        <v>30</v>
      </c>
      <c r="M574" s="7">
        <f>IF(INDEX([1]equip.xml!$B:$B,MATCH(D574&amp;"",[1]equip.xml!$A:$A,0))=0,0,N574)</f>
        <v>130</v>
      </c>
      <c r="N574" s="7">
        <f t="shared" ref="N574" si="549">N486</f>
        <v>130</v>
      </c>
    </row>
    <row r="575" spans="1:14">
      <c r="A575" s="7">
        <v>10011</v>
      </c>
      <c r="B575" s="7">
        <f t="shared" ref="B575:C575" si="550">B487</f>
        <v>40000</v>
      </c>
      <c r="C575" s="7" t="str">
        <f t="shared" si="550"/>
        <v>装备</v>
      </c>
      <c r="D575" s="7">
        <v>40303061</v>
      </c>
      <c r="E575" s="7"/>
      <c r="F575" s="7">
        <v>1</v>
      </c>
      <c r="G575" s="7">
        <f>3*INDEX([1]equip.xml!$I:$I,MATCH(D575&amp;"",[1]equip.xml!$A:$A,0))</f>
        <v>99000</v>
      </c>
      <c r="H575" s="7" t="str">
        <f t="shared" si="533"/>
        <v>10_10,50_20,80_30</v>
      </c>
      <c r="I575" s="7">
        <v>7</v>
      </c>
      <c r="J575" s="7">
        <f t="shared" si="534"/>
        <v>50</v>
      </c>
      <c r="K575" s="7" t="s">
        <v>310</v>
      </c>
      <c r="L575" s="7">
        <v>30</v>
      </c>
      <c r="M575" s="7">
        <f>IF(INDEX([1]equip.xml!$B:$B,MATCH(D575&amp;"",[1]equip.xml!$A:$A,0))=0,0,N575)</f>
        <v>0</v>
      </c>
      <c r="N575" s="7">
        <f t="shared" ref="N575" si="551">N487</f>
        <v>130</v>
      </c>
    </row>
    <row r="576" spans="1:14">
      <c r="A576" s="7">
        <v>10011</v>
      </c>
      <c r="B576" s="7">
        <f t="shared" ref="B576:C576" si="552">B488</f>
        <v>40000</v>
      </c>
      <c r="C576" s="7" t="str">
        <f t="shared" si="552"/>
        <v>装备</v>
      </c>
      <c r="D576" s="7">
        <v>40300040</v>
      </c>
      <c r="E576" s="7"/>
      <c r="F576" s="7">
        <v>1</v>
      </c>
      <c r="G576" s="7">
        <f>3*INDEX([1]equip.xml!$I:$I,MATCH(D576&amp;"",[1]equip.xml!$A:$A,0))</f>
        <v>90000</v>
      </c>
      <c r="H576" s="7" t="str">
        <f t="shared" si="533"/>
        <v>10_10,50_20,80_30</v>
      </c>
      <c r="I576" s="7">
        <v>7</v>
      </c>
      <c r="J576" s="7">
        <f t="shared" si="534"/>
        <v>50</v>
      </c>
      <c r="K576" s="7" t="s">
        <v>310</v>
      </c>
      <c r="L576" s="7">
        <v>30</v>
      </c>
      <c r="M576" s="7">
        <f>IF(INDEX([1]equip.xml!$B:$B,MATCH(D576&amp;"",[1]equip.xml!$A:$A,0))=0,0,N576)</f>
        <v>130</v>
      </c>
      <c r="N576" s="7">
        <f t="shared" ref="N576" si="553">N488</f>
        <v>130</v>
      </c>
    </row>
    <row r="577" spans="1:14">
      <c r="A577" s="7">
        <v>10011</v>
      </c>
      <c r="B577" s="7">
        <f t="shared" ref="B577:C577" si="554">B489</f>
        <v>40000</v>
      </c>
      <c r="C577" s="7" t="str">
        <f t="shared" si="554"/>
        <v>装备</v>
      </c>
      <c r="D577" s="7">
        <v>40300041</v>
      </c>
      <c r="E577" s="7"/>
      <c r="F577" s="7">
        <v>1</v>
      </c>
      <c r="G577" s="7">
        <f>3*INDEX([1]equip.xml!$I:$I,MATCH(D577&amp;"",[1]equip.xml!$A:$A,0))</f>
        <v>99000</v>
      </c>
      <c r="H577" s="7" t="str">
        <f t="shared" si="533"/>
        <v>10_10,50_20,80_30</v>
      </c>
      <c r="I577" s="7">
        <v>7</v>
      </c>
      <c r="J577" s="7">
        <f t="shared" si="534"/>
        <v>50</v>
      </c>
      <c r="K577" s="7" t="s">
        <v>310</v>
      </c>
      <c r="L577" s="7">
        <v>30</v>
      </c>
      <c r="M577" s="7">
        <f>IF(INDEX([1]equip.xml!$B:$B,MATCH(D577&amp;"",[1]equip.xml!$A:$A,0))=0,0,N577)</f>
        <v>130</v>
      </c>
      <c r="N577" s="7">
        <f t="shared" ref="N577" si="555">N489</f>
        <v>130</v>
      </c>
    </row>
    <row r="578" spans="1:14">
      <c r="A578" s="7">
        <v>10011</v>
      </c>
      <c r="B578" s="7">
        <f t="shared" ref="B578:C578" si="556">B490</f>
        <v>40000</v>
      </c>
      <c r="C578" s="7" t="str">
        <f t="shared" si="556"/>
        <v>装备</v>
      </c>
      <c r="D578" s="7">
        <v>40300070</v>
      </c>
      <c r="E578" s="7"/>
      <c r="F578" s="7">
        <v>1</v>
      </c>
      <c r="G578" s="7">
        <f>3*INDEX([1]equip.xml!$I:$I,MATCH(D578&amp;"",[1]equip.xml!$A:$A,0))</f>
        <v>90000</v>
      </c>
      <c r="H578" s="7" t="str">
        <f t="shared" si="533"/>
        <v>10_10,50_20,80_30</v>
      </c>
      <c r="I578" s="7">
        <v>7</v>
      </c>
      <c r="J578" s="7">
        <f t="shared" si="534"/>
        <v>50</v>
      </c>
      <c r="K578" s="7" t="s">
        <v>310</v>
      </c>
      <c r="L578" s="7">
        <v>30</v>
      </c>
      <c r="M578" s="7">
        <f>IF(INDEX([1]equip.xml!$B:$B,MATCH(D578&amp;"",[1]equip.xml!$A:$A,0))=0,0,N578)</f>
        <v>130</v>
      </c>
      <c r="N578" s="7">
        <f t="shared" ref="N578" si="557">N490</f>
        <v>130</v>
      </c>
    </row>
    <row r="579" spans="1:14">
      <c r="A579" s="7">
        <v>10011</v>
      </c>
      <c r="B579" s="7">
        <f t="shared" ref="B579:C579" si="558">B491</f>
        <v>40000</v>
      </c>
      <c r="C579" s="7" t="str">
        <f t="shared" si="558"/>
        <v>装备</v>
      </c>
      <c r="D579" s="7">
        <v>40300071</v>
      </c>
      <c r="E579" s="7"/>
      <c r="F579" s="7">
        <v>1</v>
      </c>
      <c r="G579" s="7">
        <f>3*INDEX([1]equip.xml!$I:$I,MATCH(D579&amp;"",[1]equip.xml!$A:$A,0))</f>
        <v>99000</v>
      </c>
      <c r="H579" s="7" t="str">
        <f t="shared" si="533"/>
        <v>10_10,50_20,80_30</v>
      </c>
      <c r="I579" s="7">
        <v>7</v>
      </c>
      <c r="J579" s="7">
        <f t="shared" si="534"/>
        <v>50</v>
      </c>
      <c r="K579" s="7" t="s">
        <v>310</v>
      </c>
      <c r="L579" s="7">
        <v>30</v>
      </c>
      <c r="M579" s="7">
        <f>IF(INDEX([1]equip.xml!$B:$B,MATCH(D579&amp;"",[1]equip.xml!$A:$A,0))=0,0,N579)</f>
        <v>130</v>
      </c>
      <c r="N579" s="7">
        <f t="shared" ref="N579" si="559">N491</f>
        <v>130</v>
      </c>
    </row>
    <row r="580" spans="1:14">
      <c r="A580" s="7">
        <v>10011</v>
      </c>
      <c r="B580" s="7">
        <f t="shared" ref="B580:C580" si="560">B492</f>
        <v>40000</v>
      </c>
      <c r="C580" s="7" t="str">
        <f t="shared" si="560"/>
        <v>装备</v>
      </c>
      <c r="D580" s="7">
        <v>40350010</v>
      </c>
      <c r="E580" s="7"/>
      <c r="F580" s="7">
        <v>1</v>
      </c>
      <c r="G580" s="7">
        <f>3*INDEX([1]equip.xml!$I:$I,MATCH(D580&amp;"",[1]equip.xml!$A:$A,0))</f>
        <v>105000</v>
      </c>
      <c r="H580" s="7" t="str">
        <f t="shared" si="533"/>
        <v>10_10,50_20,80_30</v>
      </c>
      <c r="I580" s="7">
        <v>7</v>
      </c>
      <c r="J580" s="7">
        <f t="shared" si="534"/>
        <v>50</v>
      </c>
      <c r="K580" s="7" t="s">
        <v>310</v>
      </c>
      <c r="L580" s="7">
        <v>30</v>
      </c>
      <c r="M580" s="7">
        <f>IF(INDEX([1]equip.xml!$B:$B,MATCH(D580&amp;"",[1]equip.xml!$A:$A,0))=0,0,N580)</f>
        <v>65</v>
      </c>
      <c r="N580" s="7">
        <f t="shared" ref="N580" si="561">N492</f>
        <v>65</v>
      </c>
    </row>
    <row r="581" spans="1:14">
      <c r="A581" s="7">
        <v>10011</v>
      </c>
      <c r="B581" s="7">
        <f t="shared" ref="B581:C581" si="562">B493</f>
        <v>40000</v>
      </c>
      <c r="C581" s="7" t="str">
        <f t="shared" si="562"/>
        <v>装备</v>
      </c>
      <c r="D581" s="7">
        <v>40350020</v>
      </c>
      <c r="E581" s="7"/>
      <c r="F581" s="7">
        <v>1</v>
      </c>
      <c r="G581" s="7">
        <f>3*INDEX([1]equip.xml!$I:$I,MATCH(D581&amp;"",[1]equip.xml!$A:$A,0))</f>
        <v>105000</v>
      </c>
      <c r="H581" s="7" t="str">
        <f t="shared" si="533"/>
        <v>10_10,50_20,80_30</v>
      </c>
      <c r="I581" s="7">
        <v>7</v>
      </c>
      <c r="J581" s="7">
        <f t="shared" si="534"/>
        <v>50</v>
      </c>
      <c r="K581" s="7" t="s">
        <v>310</v>
      </c>
      <c r="L581" s="7">
        <v>30</v>
      </c>
      <c r="M581" s="7">
        <f>IF(INDEX([1]equip.xml!$B:$B,MATCH(D581&amp;"",[1]equip.xml!$A:$A,0))=0,0,N581)</f>
        <v>65</v>
      </c>
      <c r="N581" s="7">
        <f t="shared" ref="N581" si="563">N493</f>
        <v>65</v>
      </c>
    </row>
    <row r="582" spans="1:14">
      <c r="A582" s="7">
        <v>10011</v>
      </c>
      <c r="B582" s="7">
        <f t="shared" ref="B582:C582" si="564">B494</f>
        <v>40000</v>
      </c>
      <c r="C582" s="7" t="str">
        <f t="shared" si="564"/>
        <v>装备</v>
      </c>
      <c r="D582" s="7">
        <v>40350030</v>
      </c>
      <c r="E582" s="7"/>
      <c r="F582" s="7">
        <v>1</v>
      </c>
      <c r="G582" s="7">
        <f>3*INDEX([1]equip.xml!$I:$I,MATCH(D582&amp;"",[1]equip.xml!$A:$A,0))</f>
        <v>105000</v>
      </c>
      <c r="H582" s="7" t="str">
        <f t="shared" si="533"/>
        <v>10_10,50_20,80_30</v>
      </c>
      <c r="I582" s="7">
        <v>7</v>
      </c>
      <c r="J582" s="7">
        <f t="shared" si="534"/>
        <v>50</v>
      </c>
      <c r="K582" s="7" t="s">
        <v>310</v>
      </c>
      <c r="L582" s="7">
        <v>30</v>
      </c>
      <c r="M582" s="7">
        <f>IF(INDEX([1]equip.xml!$B:$B,MATCH(D582&amp;"",[1]equip.xml!$A:$A,0))=0,0,N582)</f>
        <v>65</v>
      </c>
      <c r="N582" s="7">
        <f t="shared" ref="N582" si="565">N494</f>
        <v>65</v>
      </c>
    </row>
    <row r="583" spans="1:14">
      <c r="A583" s="7">
        <v>10011</v>
      </c>
      <c r="B583" s="7">
        <f t="shared" ref="B583:C583" si="566">B495</f>
        <v>40000</v>
      </c>
      <c r="C583" s="7" t="str">
        <f t="shared" si="566"/>
        <v>装备</v>
      </c>
      <c r="D583" s="7">
        <v>40350080</v>
      </c>
      <c r="E583" s="7"/>
      <c r="F583" s="7">
        <v>1</v>
      </c>
      <c r="G583" s="7">
        <f>3*INDEX([1]equip.xml!$I:$I,MATCH(D583&amp;"",[1]equip.xml!$A:$A,0))</f>
        <v>105000</v>
      </c>
      <c r="H583" s="7" t="str">
        <f t="shared" si="533"/>
        <v>10_10,50_20,80_30</v>
      </c>
      <c r="I583" s="7">
        <v>7</v>
      </c>
      <c r="J583" s="7">
        <f t="shared" si="534"/>
        <v>50</v>
      </c>
      <c r="K583" s="7" t="s">
        <v>310</v>
      </c>
      <c r="L583" s="7">
        <v>30</v>
      </c>
      <c r="M583" s="7">
        <f>IF(INDEX([1]equip.xml!$B:$B,MATCH(D583&amp;"",[1]equip.xml!$A:$A,0))=0,0,N583)</f>
        <v>65</v>
      </c>
      <c r="N583" s="7">
        <f t="shared" ref="N583" si="567">N495</f>
        <v>65</v>
      </c>
    </row>
    <row r="584" spans="1:14">
      <c r="A584" s="7">
        <v>10011</v>
      </c>
      <c r="B584" s="7">
        <f t="shared" ref="B584:C584" si="568">B496</f>
        <v>40000</v>
      </c>
      <c r="C584" s="7" t="str">
        <f t="shared" si="568"/>
        <v>装备</v>
      </c>
      <c r="D584" s="7">
        <v>40350090</v>
      </c>
      <c r="E584" s="7"/>
      <c r="F584" s="7">
        <v>1</v>
      </c>
      <c r="G584" s="7">
        <f>3*INDEX([1]equip.xml!$I:$I,MATCH(D584&amp;"",[1]equip.xml!$A:$A,0))</f>
        <v>105000</v>
      </c>
      <c r="H584" s="7" t="str">
        <f t="shared" si="533"/>
        <v>10_10,50_20,80_30</v>
      </c>
      <c r="I584" s="7">
        <v>7</v>
      </c>
      <c r="J584" s="7">
        <f t="shared" si="534"/>
        <v>50</v>
      </c>
      <c r="K584" s="7" t="s">
        <v>310</v>
      </c>
      <c r="L584" s="7">
        <v>30</v>
      </c>
      <c r="M584" s="7">
        <f>IF(INDEX([1]equip.xml!$B:$B,MATCH(D584&amp;"",[1]equip.xml!$A:$A,0))=0,0,N584)</f>
        <v>65</v>
      </c>
      <c r="N584" s="7">
        <f t="shared" ref="N584" si="569">N496</f>
        <v>65</v>
      </c>
    </row>
    <row r="585" spans="1:14">
      <c r="A585" s="7">
        <v>10011</v>
      </c>
      <c r="B585" s="7">
        <f t="shared" ref="B585:C585" si="570">B497</f>
        <v>40000</v>
      </c>
      <c r="C585" s="7" t="str">
        <f t="shared" si="570"/>
        <v>装备</v>
      </c>
      <c r="D585" s="7">
        <v>40350100</v>
      </c>
      <c r="E585" s="7"/>
      <c r="F585" s="7">
        <v>1</v>
      </c>
      <c r="G585" s="7">
        <f>3*INDEX([1]equip.xml!$I:$I,MATCH(D585&amp;"",[1]equip.xml!$A:$A,0))</f>
        <v>105000</v>
      </c>
      <c r="H585" s="7" t="str">
        <f t="shared" si="533"/>
        <v>10_10,50_20,80_30</v>
      </c>
      <c r="I585" s="7">
        <v>7</v>
      </c>
      <c r="J585" s="7">
        <f t="shared" si="534"/>
        <v>50</v>
      </c>
      <c r="K585" s="7" t="s">
        <v>310</v>
      </c>
      <c r="L585" s="7">
        <v>30</v>
      </c>
      <c r="M585" s="7">
        <f>IF(INDEX([1]equip.xml!$B:$B,MATCH(D585&amp;"",[1]equip.xml!$A:$A,0))=0,0,N585)</f>
        <v>65</v>
      </c>
      <c r="N585" s="7">
        <f t="shared" ref="N585" si="571">N497</f>
        <v>65</v>
      </c>
    </row>
    <row r="586" spans="1:14">
      <c r="A586" s="7">
        <v>10011</v>
      </c>
      <c r="B586" s="7">
        <f t="shared" ref="B586:C586" si="572">B498</f>
        <v>40000</v>
      </c>
      <c r="C586" s="7" t="str">
        <f t="shared" si="572"/>
        <v>装备</v>
      </c>
      <c r="D586" s="7">
        <v>40351050</v>
      </c>
      <c r="E586" s="7"/>
      <c r="F586" s="7">
        <v>1</v>
      </c>
      <c r="G586" s="7">
        <f>3*INDEX([1]equip.xml!$I:$I,MATCH(D586&amp;"",[1]equip.xml!$A:$A,0))</f>
        <v>105000</v>
      </c>
      <c r="H586" s="7" t="str">
        <f t="shared" si="533"/>
        <v>10_10,50_20,80_30</v>
      </c>
      <c r="I586" s="7">
        <v>7</v>
      </c>
      <c r="J586" s="7">
        <f t="shared" si="534"/>
        <v>50</v>
      </c>
      <c r="K586" s="7" t="s">
        <v>310</v>
      </c>
      <c r="L586" s="7">
        <v>30</v>
      </c>
      <c r="M586" s="7">
        <f>IF(INDEX([1]equip.xml!$B:$B,MATCH(D586&amp;"",[1]equip.xml!$A:$A,0))=0,0,N586)</f>
        <v>65</v>
      </c>
      <c r="N586" s="7">
        <f t="shared" ref="N586" si="573">N498</f>
        <v>65</v>
      </c>
    </row>
    <row r="587" spans="1:14">
      <c r="A587" s="7">
        <v>10011</v>
      </c>
      <c r="B587" s="7">
        <f t="shared" ref="B587:C587" si="574">B499</f>
        <v>40000</v>
      </c>
      <c r="C587" s="7" t="str">
        <f t="shared" si="574"/>
        <v>装备</v>
      </c>
      <c r="D587" s="7">
        <v>40351051</v>
      </c>
      <c r="E587" s="7"/>
      <c r="F587" s="7">
        <v>1</v>
      </c>
      <c r="G587" s="7">
        <f>3*INDEX([1]equip.xml!$I:$I,MATCH(D587&amp;"",[1]equip.xml!$A:$A,0))</f>
        <v>114000</v>
      </c>
      <c r="H587" s="7" t="str">
        <f t="shared" si="533"/>
        <v>10_10,50_20,80_30</v>
      </c>
      <c r="I587" s="7">
        <v>7</v>
      </c>
      <c r="J587" s="7">
        <f t="shared" si="534"/>
        <v>50</v>
      </c>
      <c r="K587" s="7" t="s">
        <v>310</v>
      </c>
      <c r="L587" s="7">
        <v>30</v>
      </c>
      <c r="M587" s="7">
        <f>IF(INDEX([1]equip.xml!$B:$B,MATCH(D587&amp;"",[1]equip.xml!$A:$A,0))=0,0,N587)</f>
        <v>0</v>
      </c>
      <c r="N587" s="7">
        <f t="shared" ref="N587" si="575">N499</f>
        <v>65</v>
      </c>
    </row>
    <row r="588" spans="1:14">
      <c r="A588" s="7">
        <v>10011</v>
      </c>
      <c r="B588" s="7">
        <f t="shared" ref="B588:C588" si="576">B500</f>
        <v>40000</v>
      </c>
      <c r="C588" s="7" t="str">
        <f t="shared" si="576"/>
        <v>装备</v>
      </c>
      <c r="D588" s="7">
        <v>40351060</v>
      </c>
      <c r="E588" s="7"/>
      <c r="F588" s="7">
        <v>1</v>
      </c>
      <c r="G588" s="7">
        <f>3*INDEX([1]equip.xml!$I:$I,MATCH(D588&amp;"",[1]equip.xml!$A:$A,0))</f>
        <v>105000</v>
      </c>
      <c r="H588" s="7" t="str">
        <f t="shared" si="533"/>
        <v>10_10,50_20,80_30</v>
      </c>
      <c r="I588" s="7">
        <v>7</v>
      </c>
      <c r="J588" s="7">
        <f t="shared" si="534"/>
        <v>50</v>
      </c>
      <c r="K588" s="7" t="s">
        <v>310</v>
      </c>
      <c r="L588" s="7">
        <v>30</v>
      </c>
      <c r="M588" s="7">
        <f>IF(INDEX([1]equip.xml!$B:$B,MATCH(D588&amp;"",[1]equip.xml!$A:$A,0))=0,0,N588)</f>
        <v>65</v>
      </c>
      <c r="N588" s="7">
        <f t="shared" ref="N588" si="577">N500</f>
        <v>65</v>
      </c>
    </row>
    <row r="589" spans="1:14">
      <c r="A589" s="7">
        <v>10011</v>
      </c>
      <c r="B589" s="7">
        <f t="shared" ref="B589:C589" si="578">B501</f>
        <v>40000</v>
      </c>
      <c r="C589" s="7" t="str">
        <f t="shared" si="578"/>
        <v>装备</v>
      </c>
      <c r="D589" s="7">
        <v>40351061</v>
      </c>
      <c r="E589" s="7"/>
      <c r="F589" s="7">
        <v>1</v>
      </c>
      <c r="G589" s="7">
        <f>3*INDEX([1]equip.xml!$I:$I,MATCH(D589&amp;"",[1]equip.xml!$A:$A,0))</f>
        <v>114000</v>
      </c>
      <c r="H589" s="7" t="str">
        <f t="shared" si="533"/>
        <v>10_10,50_20,80_30</v>
      </c>
      <c r="I589" s="7">
        <v>7</v>
      </c>
      <c r="J589" s="7">
        <f t="shared" si="534"/>
        <v>50</v>
      </c>
      <c r="K589" s="7" t="s">
        <v>310</v>
      </c>
      <c r="L589" s="7">
        <v>30</v>
      </c>
      <c r="M589" s="7">
        <f>IF(INDEX([1]equip.xml!$B:$B,MATCH(D589&amp;"",[1]equip.xml!$A:$A,0))=0,0,N589)</f>
        <v>65</v>
      </c>
      <c r="N589" s="7">
        <f t="shared" ref="N589" si="579">N501</f>
        <v>65</v>
      </c>
    </row>
    <row r="590" spans="1:14">
      <c r="A590" s="7">
        <v>10011</v>
      </c>
      <c r="B590" s="7">
        <f t="shared" ref="B590:C590" si="580">B502</f>
        <v>40000</v>
      </c>
      <c r="C590" s="7" t="str">
        <f t="shared" si="580"/>
        <v>装备</v>
      </c>
      <c r="D590" s="7">
        <v>40352050</v>
      </c>
      <c r="E590" s="7"/>
      <c r="F590" s="7">
        <v>1</v>
      </c>
      <c r="G590" s="7">
        <f>3*INDEX([1]equip.xml!$I:$I,MATCH(D590&amp;"",[1]equip.xml!$A:$A,0))</f>
        <v>105000</v>
      </c>
      <c r="H590" s="7" t="str">
        <f t="shared" si="533"/>
        <v>10_10,50_20,80_30</v>
      </c>
      <c r="I590" s="7">
        <v>7</v>
      </c>
      <c r="J590" s="7">
        <f t="shared" si="534"/>
        <v>50</v>
      </c>
      <c r="K590" s="7" t="s">
        <v>310</v>
      </c>
      <c r="L590" s="7">
        <v>30</v>
      </c>
      <c r="M590" s="7">
        <f>IF(INDEX([1]equip.xml!$B:$B,MATCH(D590&amp;"",[1]equip.xml!$A:$A,0))=0,0,N590)</f>
        <v>65</v>
      </c>
      <c r="N590" s="7">
        <f t="shared" ref="N590" si="581">N502</f>
        <v>65</v>
      </c>
    </row>
    <row r="591" spans="1:14">
      <c r="A591" s="7">
        <v>10011</v>
      </c>
      <c r="B591" s="7">
        <f t="shared" ref="B591:C591" si="582">B503</f>
        <v>40000</v>
      </c>
      <c r="C591" s="7" t="str">
        <f t="shared" si="582"/>
        <v>装备</v>
      </c>
      <c r="D591" s="7">
        <v>40352051</v>
      </c>
      <c r="E591" s="7"/>
      <c r="F591" s="7">
        <v>1</v>
      </c>
      <c r="G591" s="7">
        <f>3*INDEX([1]equip.xml!$I:$I,MATCH(D591&amp;"",[1]equip.xml!$A:$A,0))</f>
        <v>114000</v>
      </c>
      <c r="H591" s="7" t="str">
        <f t="shared" si="533"/>
        <v>10_10,50_20,80_30</v>
      </c>
      <c r="I591" s="7">
        <v>7</v>
      </c>
      <c r="J591" s="7">
        <f t="shared" si="534"/>
        <v>50</v>
      </c>
      <c r="K591" s="7" t="s">
        <v>310</v>
      </c>
      <c r="L591" s="7">
        <v>30</v>
      </c>
      <c r="M591" s="7">
        <f>IF(INDEX([1]equip.xml!$B:$B,MATCH(D591&amp;"",[1]equip.xml!$A:$A,0))=0,0,N591)</f>
        <v>0</v>
      </c>
      <c r="N591" s="7">
        <f t="shared" ref="N591" si="583">N503</f>
        <v>65</v>
      </c>
    </row>
    <row r="592" spans="1:14">
      <c r="A592" s="7">
        <v>10011</v>
      </c>
      <c r="B592" s="7">
        <f t="shared" ref="B592:C592" si="584">B504</f>
        <v>40000</v>
      </c>
      <c r="C592" s="7" t="str">
        <f t="shared" si="584"/>
        <v>装备</v>
      </c>
      <c r="D592" s="7">
        <v>40352060</v>
      </c>
      <c r="E592" s="7"/>
      <c r="F592" s="7">
        <v>1</v>
      </c>
      <c r="G592" s="7">
        <f>3*INDEX([1]equip.xml!$I:$I,MATCH(D592&amp;"",[1]equip.xml!$A:$A,0))</f>
        <v>105000</v>
      </c>
      <c r="H592" s="7" t="str">
        <f t="shared" si="533"/>
        <v>10_10,50_20,80_30</v>
      </c>
      <c r="I592" s="7">
        <v>7</v>
      </c>
      <c r="J592" s="7">
        <f t="shared" si="534"/>
        <v>50</v>
      </c>
      <c r="K592" s="7" t="s">
        <v>310</v>
      </c>
      <c r="L592" s="7">
        <v>30</v>
      </c>
      <c r="M592" s="7">
        <f>IF(INDEX([1]equip.xml!$B:$B,MATCH(D592&amp;"",[1]equip.xml!$A:$A,0))=0,0,N592)</f>
        <v>65</v>
      </c>
      <c r="N592" s="7">
        <f t="shared" ref="N592" si="585">N504</f>
        <v>65</v>
      </c>
    </row>
    <row r="593" spans="1:14">
      <c r="A593" s="7">
        <v>10011</v>
      </c>
      <c r="B593" s="7">
        <f t="shared" ref="B593:C593" si="586">B505</f>
        <v>40000</v>
      </c>
      <c r="C593" s="7" t="str">
        <f t="shared" si="586"/>
        <v>装备</v>
      </c>
      <c r="D593" s="7">
        <v>40352061</v>
      </c>
      <c r="E593" s="7"/>
      <c r="F593" s="7">
        <v>1</v>
      </c>
      <c r="G593" s="7">
        <f>3*INDEX([1]equip.xml!$I:$I,MATCH(D593&amp;"",[1]equip.xml!$A:$A,0))</f>
        <v>114000</v>
      </c>
      <c r="H593" s="7" t="str">
        <f t="shared" si="533"/>
        <v>10_10,50_20,80_30</v>
      </c>
      <c r="I593" s="7">
        <v>7</v>
      </c>
      <c r="J593" s="7">
        <f t="shared" si="534"/>
        <v>50</v>
      </c>
      <c r="K593" s="7" t="s">
        <v>310</v>
      </c>
      <c r="L593" s="7">
        <v>30</v>
      </c>
      <c r="M593" s="7">
        <f>IF(INDEX([1]equip.xml!$B:$B,MATCH(D593&amp;"",[1]equip.xml!$A:$A,0))=0,0,N593)</f>
        <v>65</v>
      </c>
      <c r="N593" s="7">
        <f t="shared" ref="N593" si="587">N505</f>
        <v>65</v>
      </c>
    </row>
    <row r="594" spans="1:14">
      <c r="A594" s="7">
        <v>10011</v>
      </c>
      <c r="B594" s="7">
        <f t="shared" ref="B594:C594" si="588">B506</f>
        <v>40000</v>
      </c>
      <c r="C594" s="7" t="str">
        <f t="shared" si="588"/>
        <v>装备</v>
      </c>
      <c r="D594" s="7">
        <v>40353050</v>
      </c>
      <c r="E594" s="7"/>
      <c r="F594" s="7">
        <v>1</v>
      </c>
      <c r="G594" s="7">
        <f>3*INDEX([1]equip.xml!$I:$I,MATCH(D594&amp;"",[1]equip.xml!$A:$A,0))</f>
        <v>105000</v>
      </c>
      <c r="H594" s="7" t="str">
        <f t="shared" si="533"/>
        <v>10_10,50_20,80_30</v>
      </c>
      <c r="I594" s="7">
        <v>7</v>
      </c>
      <c r="J594" s="7">
        <f t="shared" si="534"/>
        <v>50</v>
      </c>
      <c r="K594" s="7" t="s">
        <v>310</v>
      </c>
      <c r="L594" s="7">
        <v>30</v>
      </c>
      <c r="M594" s="7">
        <f>IF(INDEX([1]equip.xml!$B:$B,MATCH(D594&amp;"",[1]equip.xml!$A:$A,0))=0,0,N594)</f>
        <v>65</v>
      </c>
      <c r="N594" s="7">
        <f t="shared" ref="N594" si="589">N506</f>
        <v>65</v>
      </c>
    </row>
    <row r="595" spans="1:14">
      <c r="A595" s="7">
        <v>10011</v>
      </c>
      <c r="B595" s="7">
        <f t="shared" ref="B595:C595" si="590">B507</f>
        <v>40000</v>
      </c>
      <c r="C595" s="7" t="str">
        <f t="shared" si="590"/>
        <v>装备</v>
      </c>
      <c r="D595" s="7">
        <v>40353051</v>
      </c>
      <c r="E595" s="7"/>
      <c r="F595" s="7">
        <v>1</v>
      </c>
      <c r="G595" s="7">
        <f>3*INDEX([1]equip.xml!$I:$I,MATCH(D595&amp;"",[1]equip.xml!$A:$A,0))</f>
        <v>114000</v>
      </c>
      <c r="H595" s="7" t="str">
        <f t="shared" si="533"/>
        <v>10_10,50_20,80_30</v>
      </c>
      <c r="I595" s="7">
        <v>7</v>
      </c>
      <c r="J595" s="7">
        <f t="shared" si="534"/>
        <v>50</v>
      </c>
      <c r="K595" s="7" t="s">
        <v>310</v>
      </c>
      <c r="L595" s="7">
        <v>30</v>
      </c>
      <c r="M595" s="7">
        <f>IF(INDEX([1]equip.xml!$B:$B,MATCH(D595&amp;"",[1]equip.xml!$A:$A,0))=0,0,N595)</f>
        <v>0</v>
      </c>
      <c r="N595" s="7">
        <f t="shared" ref="N595" si="591">N507</f>
        <v>65</v>
      </c>
    </row>
    <row r="596" spans="1:14">
      <c r="A596" s="7">
        <v>10011</v>
      </c>
      <c r="B596" s="7">
        <f t="shared" ref="B596:C596" si="592">B508</f>
        <v>40000</v>
      </c>
      <c r="C596" s="7" t="str">
        <f t="shared" si="592"/>
        <v>装备</v>
      </c>
      <c r="D596" s="7">
        <v>40353060</v>
      </c>
      <c r="E596" s="7"/>
      <c r="F596" s="7">
        <v>1</v>
      </c>
      <c r="G596" s="7">
        <f>3*INDEX([1]equip.xml!$I:$I,MATCH(D596&amp;"",[1]equip.xml!$A:$A,0))</f>
        <v>105000</v>
      </c>
      <c r="H596" s="7" t="str">
        <f t="shared" si="533"/>
        <v>10_10,50_20,80_30</v>
      </c>
      <c r="I596" s="7">
        <v>7</v>
      </c>
      <c r="J596" s="7">
        <f t="shared" si="534"/>
        <v>50</v>
      </c>
      <c r="K596" s="7" t="s">
        <v>310</v>
      </c>
      <c r="L596" s="7">
        <v>30</v>
      </c>
      <c r="M596" s="7">
        <f>IF(INDEX([1]equip.xml!$B:$B,MATCH(D596&amp;"",[1]equip.xml!$A:$A,0))=0,0,N596)</f>
        <v>65</v>
      </c>
      <c r="N596" s="7">
        <f t="shared" ref="N596" si="593">N508</f>
        <v>65</v>
      </c>
    </row>
    <row r="597" spans="1:14">
      <c r="A597" s="7">
        <v>10011</v>
      </c>
      <c r="B597" s="7">
        <f t="shared" ref="B597:C597" si="594">B509</f>
        <v>40000</v>
      </c>
      <c r="C597" s="7" t="str">
        <f t="shared" si="594"/>
        <v>装备</v>
      </c>
      <c r="D597" s="7">
        <v>40353061</v>
      </c>
      <c r="E597" s="7"/>
      <c r="F597" s="7">
        <v>1</v>
      </c>
      <c r="G597" s="7">
        <f>3*INDEX([1]equip.xml!$I:$I,MATCH(D597&amp;"",[1]equip.xml!$A:$A,0))</f>
        <v>114000</v>
      </c>
      <c r="H597" s="7" t="str">
        <f t="shared" si="533"/>
        <v>10_10,50_20,80_30</v>
      </c>
      <c r="I597" s="7">
        <v>7</v>
      </c>
      <c r="J597" s="7">
        <f t="shared" si="534"/>
        <v>50</v>
      </c>
      <c r="K597" s="7" t="s">
        <v>310</v>
      </c>
      <c r="L597" s="7">
        <v>30</v>
      </c>
      <c r="M597" s="7">
        <f>IF(INDEX([1]equip.xml!$B:$B,MATCH(D597&amp;"",[1]equip.xml!$A:$A,0))=0,0,N597)</f>
        <v>65</v>
      </c>
      <c r="N597" s="7">
        <f t="shared" ref="N597" si="595">N509</f>
        <v>65</v>
      </c>
    </row>
    <row r="598" spans="1:14">
      <c r="A598" s="7">
        <v>10011</v>
      </c>
      <c r="B598" s="7">
        <f t="shared" ref="B598:C598" si="596">B510</f>
        <v>40000</v>
      </c>
      <c r="C598" s="7" t="str">
        <f t="shared" si="596"/>
        <v>装备</v>
      </c>
      <c r="D598" s="7">
        <v>40350040</v>
      </c>
      <c r="E598" s="7"/>
      <c r="F598" s="7">
        <v>1</v>
      </c>
      <c r="G598" s="7">
        <f>3*INDEX([1]equip.xml!$I:$I,MATCH(D598&amp;"",[1]equip.xml!$A:$A,0))</f>
        <v>105000</v>
      </c>
      <c r="H598" s="7" t="str">
        <f t="shared" si="533"/>
        <v>10_10,50_20,80_30</v>
      </c>
      <c r="I598" s="7">
        <v>7</v>
      </c>
      <c r="J598" s="7">
        <f t="shared" si="534"/>
        <v>50</v>
      </c>
      <c r="K598" s="7" t="s">
        <v>310</v>
      </c>
      <c r="L598" s="7">
        <v>30</v>
      </c>
      <c r="M598" s="7">
        <f>IF(INDEX([1]equip.xml!$B:$B,MATCH(D598&amp;"",[1]equip.xml!$A:$A,0))=0,0,N598)</f>
        <v>65</v>
      </c>
      <c r="N598" s="7">
        <f t="shared" ref="N598" si="597">N510</f>
        <v>65</v>
      </c>
    </row>
    <row r="599" spans="1:14">
      <c r="A599" s="7">
        <v>10011</v>
      </c>
      <c r="B599" s="7">
        <f t="shared" ref="B599:C599" si="598">B511</f>
        <v>40000</v>
      </c>
      <c r="C599" s="7" t="str">
        <f t="shared" si="598"/>
        <v>装备</v>
      </c>
      <c r="D599" s="7">
        <v>40350041</v>
      </c>
      <c r="E599" s="7"/>
      <c r="F599" s="7">
        <v>1</v>
      </c>
      <c r="G599" s="7">
        <f>3*INDEX([1]equip.xml!$I:$I,MATCH(D599&amp;"",[1]equip.xml!$A:$A,0))</f>
        <v>114000</v>
      </c>
      <c r="H599" s="7" t="str">
        <f t="shared" si="533"/>
        <v>10_10,50_20,80_30</v>
      </c>
      <c r="I599" s="7">
        <v>7</v>
      </c>
      <c r="J599" s="7">
        <f t="shared" si="534"/>
        <v>50</v>
      </c>
      <c r="K599" s="7" t="s">
        <v>310</v>
      </c>
      <c r="L599" s="7">
        <v>30</v>
      </c>
      <c r="M599" s="7">
        <f>IF(INDEX([1]equip.xml!$B:$B,MATCH(D599&amp;"",[1]equip.xml!$A:$A,0))=0,0,N599)</f>
        <v>65</v>
      </c>
      <c r="N599" s="7">
        <f t="shared" ref="N599" si="599">N511</f>
        <v>65</v>
      </c>
    </row>
    <row r="600" spans="1:14">
      <c r="A600" s="7">
        <v>10011</v>
      </c>
      <c r="B600" s="7">
        <f t="shared" ref="B600:C600" si="600">B512</f>
        <v>40000</v>
      </c>
      <c r="C600" s="7" t="str">
        <f t="shared" si="600"/>
        <v>装备</v>
      </c>
      <c r="D600" s="7">
        <v>40350070</v>
      </c>
      <c r="E600" s="7"/>
      <c r="F600" s="7">
        <v>1</v>
      </c>
      <c r="G600" s="7">
        <f>3*INDEX([1]equip.xml!$I:$I,MATCH(D600&amp;"",[1]equip.xml!$A:$A,0))</f>
        <v>105000</v>
      </c>
      <c r="H600" s="7" t="str">
        <f t="shared" si="533"/>
        <v>10_10,50_20,80_30</v>
      </c>
      <c r="I600" s="7">
        <v>7</v>
      </c>
      <c r="J600" s="7">
        <f t="shared" si="534"/>
        <v>50</v>
      </c>
      <c r="K600" s="7" t="s">
        <v>310</v>
      </c>
      <c r="L600" s="7">
        <v>30</v>
      </c>
      <c r="M600" s="7">
        <f>IF(INDEX([1]equip.xml!$B:$B,MATCH(D600&amp;"",[1]equip.xml!$A:$A,0))=0,0,N600)</f>
        <v>65</v>
      </c>
      <c r="N600" s="7">
        <f t="shared" ref="N600" si="601">N512</f>
        <v>65</v>
      </c>
    </row>
    <row r="601" spans="1:14">
      <c r="A601" s="7">
        <v>10011</v>
      </c>
      <c r="B601" s="7">
        <f t="shared" ref="B601:C601" si="602">B513</f>
        <v>40000</v>
      </c>
      <c r="C601" s="7" t="str">
        <f t="shared" si="602"/>
        <v>装备</v>
      </c>
      <c r="D601" s="7">
        <v>40350071</v>
      </c>
      <c r="E601" s="7"/>
      <c r="F601" s="7">
        <v>1</v>
      </c>
      <c r="G601" s="7">
        <f>3*INDEX([1]equip.xml!$I:$I,MATCH(D601&amp;"",[1]equip.xml!$A:$A,0))</f>
        <v>114000</v>
      </c>
      <c r="H601" s="7" t="str">
        <f t="shared" si="533"/>
        <v>10_10,50_20,80_30</v>
      </c>
      <c r="I601" s="7">
        <v>7</v>
      </c>
      <c r="J601" s="7">
        <f t="shared" si="534"/>
        <v>50</v>
      </c>
      <c r="K601" s="7" t="s">
        <v>310</v>
      </c>
      <c r="L601" s="7">
        <v>30</v>
      </c>
      <c r="M601" s="7">
        <f>IF(INDEX([1]equip.xml!$B:$B,MATCH(D601&amp;"",[1]equip.xml!$A:$A,0))=0,0,N601)</f>
        <v>0</v>
      </c>
      <c r="N601" s="7">
        <f t="shared" ref="N601" si="603">N513</f>
        <v>65</v>
      </c>
    </row>
    <row r="602" spans="1:14">
      <c r="A602" s="7">
        <v>10011</v>
      </c>
      <c r="B602" s="7">
        <f t="shared" ref="B602:C602" si="604">B514</f>
        <v>40000</v>
      </c>
      <c r="C602" s="7" t="str">
        <f t="shared" si="604"/>
        <v>装备</v>
      </c>
      <c r="D602" s="7">
        <f>D558+10000005</f>
        <v>50300015</v>
      </c>
      <c r="E602" s="7"/>
      <c r="F602" s="7">
        <v>1</v>
      </c>
      <c r="G602" s="8">
        <f>3*INDEX([1]equip.xml!$I:$I,MATCH(D602,[1]equip.xml!$A:$A,0))</f>
        <v>180000</v>
      </c>
      <c r="H602" s="7" t="str">
        <f t="shared" si="533"/>
        <v>10_10,50_20,80_30</v>
      </c>
      <c r="I602" s="7">
        <v>7</v>
      </c>
      <c r="J602" s="7">
        <f t="shared" si="534"/>
        <v>240</v>
      </c>
      <c r="K602" s="7" t="s">
        <v>310</v>
      </c>
      <c r="L602" s="7">
        <v>30</v>
      </c>
      <c r="M602" s="7">
        <f>IF(INDEX([1]equip.xml!$B:$B,MATCH(D602,[1]equip.xml!$A:$A,0))=0,0,N602)</f>
        <v>70</v>
      </c>
      <c r="N602" s="7">
        <f t="shared" ref="N602" si="605">N514</f>
        <v>70</v>
      </c>
    </row>
    <row r="603" spans="1:14">
      <c r="A603" s="7">
        <v>10011</v>
      </c>
      <c r="B603" s="7">
        <f t="shared" ref="B603:C603" si="606">B515</f>
        <v>40000</v>
      </c>
      <c r="C603" s="7" t="str">
        <f t="shared" si="606"/>
        <v>装备</v>
      </c>
      <c r="D603" s="7">
        <f t="shared" ref="D603:D645" si="607">D559+10000005</f>
        <v>50300025</v>
      </c>
      <c r="E603" s="7"/>
      <c r="F603" s="7">
        <v>1</v>
      </c>
      <c r="G603" s="8">
        <f>3*INDEX([1]equip.xml!$I:$I,MATCH(D603,[1]equip.xml!$A:$A,0))</f>
        <v>180000</v>
      </c>
      <c r="H603" s="7" t="str">
        <f t="shared" si="533"/>
        <v>10_10,50_20,80_30</v>
      </c>
      <c r="I603" s="7">
        <v>7</v>
      </c>
      <c r="J603" s="7">
        <f t="shared" si="534"/>
        <v>240</v>
      </c>
      <c r="K603" s="7" t="s">
        <v>310</v>
      </c>
      <c r="L603" s="7">
        <v>30</v>
      </c>
      <c r="M603" s="7">
        <f>IF(INDEX([1]equip.xml!$B:$B,MATCH(D603,[1]equip.xml!$A:$A,0))=0,0,N603)</f>
        <v>70</v>
      </c>
      <c r="N603" s="7">
        <f t="shared" ref="N603" si="608">N515</f>
        <v>70</v>
      </c>
    </row>
    <row r="604" spans="1:14">
      <c r="A604" s="7">
        <v>10011</v>
      </c>
      <c r="B604" s="7">
        <f t="shared" ref="B604:C604" si="609">B516</f>
        <v>40000</v>
      </c>
      <c r="C604" s="7" t="str">
        <f t="shared" si="609"/>
        <v>装备</v>
      </c>
      <c r="D604" s="7">
        <f t="shared" si="607"/>
        <v>50300035</v>
      </c>
      <c r="E604" s="7"/>
      <c r="F604" s="7">
        <v>1</v>
      </c>
      <c r="G604" s="8">
        <f>3*INDEX([1]equip.xml!$I:$I,MATCH(D604,[1]equip.xml!$A:$A,0))</f>
        <v>180000</v>
      </c>
      <c r="H604" s="7" t="str">
        <f t="shared" si="533"/>
        <v>10_10,50_20,80_30</v>
      </c>
      <c r="I604" s="7">
        <v>7</v>
      </c>
      <c r="J604" s="7">
        <f t="shared" si="534"/>
        <v>240</v>
      </c>
      <c r="K604" s="7" t="s">
        <v>310</v>
      </c>
      <c r="L604" s="7">
        <v>30</v>
      </c>
      <c r="M604" s="7">
        <f>IF(INDEX([1]equip.xml!$B:$B,MATCH(D604,[1]equip.xml!$A:$A,0))=0,0,N604)</f>
        <v>70</v>
      </c>
      <c r="N604" s="7">
        <f t="shared" ref="N604" si="610">N516</f>
        <v>70</v>
      </c>
    </row>
    <row r="605" spans="1:14">
      <c r="A605" s="7">
        <v>10011</v>
      </c>
      <c r="B605" s="7">
        <f t="shared" ref="B605:C605" si="611">B517</f>
        <v>40000</v>
      </c>
      <c r="C605" s="7" t="str">
        <f t="shared" si="611"/>
        <v>装备</v>
      </c>
      <c r="D605" s="7">
        <f t="shared" si="607"/>
        <v>50300085</v>
      </c>
      <c r="E605" s="7"/>
      <c r="F605" s="7">
        <v>1</v>
      </c>
      <c r="G605" s="8">
        <f>3*INDEX([1]equip.xml!$I:$I,MATCH(D605,[1]equip.xml!$A:$A,0))</f>
        <v>180000</v>
      </c>
      <c r="H605" s="7" t="str">
        <f t="shared" si="533"/>
        <v>10_10,50_20,80_30</v>
      </c>
      <c r="I605" s="7">
        <v>7</v>
      </c>
      <c r="J605" s="7">
        <f t="shared" si="534"/>
        <v>240</v>
      </c>
      <c r="K605" s="7" t="s">
        <v>310</v>
      </c>
      <c r="L605" s="7">
        <v>30</v>
      </c>
      <c r="M605" s="7">
        <f>IF(INDEX([1]equip.xml!$B:$B,MATCH(D605,[1]equip.xml!$A:$A,0))=0,0,N605)</f>
        <v>70</v>
      </c>
      <c r="N605" s="7">
        <f t="shared" ref="N605" si="612">N517</f>
        <v>70</v>
      </c>
    </row>
    <row r="606" spans="1:14">
      <c r="A606" s="7">
        <v>10011</v>
      </c>
      <c r="B606" s="7">
        <f t="shared" ref="B606:C606" si="613">B518</f>
        <v>40000</v>
      </c>
      <c r="C606" s="7" t="str">
        <f t="shared" si="613"/>
        <v>装备</v>
      </c>
      <c r="D606" s="7">
        <f t="shared" si="607"/>
        <v>50300095</v>
      </c>
      <c r="E606" s="7"/>
      <c r="F606" s="7">
        <v>1</v>
      </c>
      <c r="G606" s="8">
        <f>3*INDEX([1]equip.xml!$I:$I,MATCH(D606,[1]equip.xml!$A:$A,0))</f>
        <v>180000</v>
      </c>
      <c r="H606" s="7" t="str">
        <f t="shared" si="533"/>
        <v>10_10,50_20,80_30</v>
      </c>
      <c r="I606" s="7">
        <v>7</v>
      </c>
      <c r="J606" s="7">
        <f t="shared" si="534"/>
        <v>240</v>
      </c>
      <c r="K606" s="7" t="s">
        <v>310</v>
      </c>
      <c r="L606" s="7">
        <v>30</v>
      </c>
      <c r="M606" s="7">
        <f>IF(INDEX([1]equip.xml!$B:$B,MATCH(D606,[1]equip.xml!$A:$A,0))=0,0,N606)</f>
        <v>70</v>
      </c>
      <c r="N606" s="7">
        <f t="shared" ref="N606" si="614">N518</f>
        <v>70</v>
      </c>
    </row>
    <row r="607" spans="1:14">
      <c r="A607" s="7">
        <v>10011</v>
      </c>
      <c r="B607" s="7">
        <f t="shared" ref="B607:C607" si="615">B519</f>
        <v>40000</v>
      </c>
      <c r="C607" s="7" t="str">
        <f t="shared" si="615"/>
        <v>装备</v>
      </c>
      <c r="D607" s="7">
        <f t="shared" si="607"/>
        <v>50300105</v>
      </c>
      <c r="E607" s="7"/>
      <c r="F607" s="7">
        <v>1</v>
      </c>
      <c r="G607" s="8">
        <f>3*INDEX([1]equip.xml!$I:$I,MATCH(D607,[1]equip.xml!$A:$A,0))</f>
        <v>180000</v>
      </c>
      <c r="H607" s="7" t="str">
        <f t="shared" si="533"/>
        <v>10_10,50_20,80_30</v>
      </c>
      <c r="I607" s="7">
        <v>7</v>
      </c>
      <c r="J607" s="7">
        <f t="shared" si="534"/>
        <v>240</v>
      </c>
      <c r="K607" s="7" t="s">
        <v>310</v>
      </c>
      <c r="L607" s="7">
        <v>30</v>
      </c>
      <c r="M607" s="7">
        <f>IF(INDEX([1]equip.xml!$B:$B,MATCH(D607,[1]equip.xml!$A:$A,0))=0,0,N607)</f>
        <v>70</v>
      </c>
      <c r="N607" s="7">
        <f t="shared" ref="N607" si="616">N519</f>
        <v>70</v>
      </c>
    </row>
    <row r="608" spans="1:14">
      <c r="A608" s="7">
        <v>10011</v>
      </c>
      <c r="B608" s="7">
        <f t="shared" ref="B608:C608" si="617">B520</f>
        <v>40000</v>
      </c>
      <c r="C608" s="7" t="str">
        <f t="shared" si="617"/>
        <v>装备</v>
      </c>
      <c r="D608" s="7">
        <f t="shared" si="607"/>
        <v>50301055</v>
      </c>
      <c r="E608" s="7"/>
      <c r="F608" s="7">
        <v>1</v>
      </c>
      <c r="G608" s="8">
        <f>3*INDEX([1]equip.xml!$I:$I,MATCH(D608,[1]equip.xml!$A:$A,0))</f>
        <v>180000</v>
      </c>
      <c r="H608" s="7" t="str">
        <f t="shared" si="533"/>
        <v>10_10,50_20,80_30</v>
      </c>
      <c r="I608" s="7">
        <v>7</v>
      </c>
      <c r="J608" s="7">
        <f t="shared" si="534"/>
        <v>240</v>
      </c>
      <c r="K608" s="7" t="s">
        <v>310</v>
      </c>
      <c r="L608" s="7">
        <v>30</v>
      </c>
      <c r="M608" s="7">
        <f>IF(INDEX([1]equip.xml!$B:$B,MATCH(D608,[1]equip.xml!$A:$A,0))=0,0,N608)</f>
        <v>70</v>
      </c>
      <c r="N608" s="7">
        <f t="shared" ref="N608" si="618">N520</f>
        <v>70</v>
      </c>
    </row>
    <row r="609" spans="1:14">
      <c r="A609" s="7">
        <v>10011</v>
      </c>
      <c r="B609" s="7">
        <f t="shared" ref="B609:C609" si="619">B521</f>
        <v>40000</v>
      </c>
      <c r="C609" s="7" t="str">
        <f t="shared" si="619"/>
        <v>装备</v>
      </c>
      <c r="D609" s="7">
        <f t="shared" si="607"/>
        <v>50301056</v>
      </c>
      <c r="E609" s="7"/>
      <c r="F609" s="7">
        <v>1</v>
      </c>
      <c r="G609" s="8">
        <f>3*INDEX([1]equip.xml!$I:$I,MATCH(D609,[1]equip.xml!$A:$A,0))</f>
        <v>198000</v>
      </c>
      <c r="H609" s="7" t="str">
        <f t="shared" si="533"/>
        <v>10_10,50_20,80_30</v>
      </c>
      <c r="I609" s="7">
        <v>7</v>
      </c>
      <c r="J609" s="7">
        <f t="shared" si="534"/>
        <v>240</v>
      </c>
      <c r="K609" s="7" t="s">
        <v>310</v>
      </c>
      <c r="L609" s="7">
        <v>30</v>
      </c>
      <c r="M609" s="7">
        <f>IF(INDEX([1]equip.xml!$B:$B,MATCH(D609,[1]equip.xml!$A:$A,0))=0,0,N609)</f>
        <v>70</v>
      </c>
      <c r="N609" s="7">
        <f t="shared" ref="N609" si="620">N521</f>
        <v>70</v>
      </c>
    </row>
    <row r="610" spans="1:14">
      <c r="A610" s="7">
        <v>10011</v>
      </c>
      <c r="B610" s="7">
        <f t="shared" ref="B610:C610" si="621">B522</f>
        <v>40000</v>
      </c>
      <c r="C610" s="7" t="str">
        <f t="shared" si="621"/>
        <v>装备</v>
      </c>
      <c r="D610" s="7">
        <f t="shared" si="607"/>
        <v>50301065</v>
      </c>
      <c r="E610" s="7"/>
      <c r="F610" s="7">
        <v>1</v>
      </c>
      <c r="G610" s="8">
        <f>3*INDEX([1]equip.xml!$I:$I,MATCH(D610,[1]equip.xml!$A:$A,0))</f>
        <v>180000</v>
      </c>
      <c r="H610" s="7" t="str">
        <f t="shared" si="533"/>
        <v>10_10,50_20,80_30</v>
      </c>
      <c r="I610" s="7">
        <v>7</v>
      </c>
      <c r="J610" s="7">
        <f t="shared" si="534"/>
        <v>240</v>
      </c>
      <c r="K610" s="7" t="s">
        <v>310</v>
      </c>
      <c r="L610" s="7">
        <v>30</v>
      </c>
      <c r="M610" s="7">
        <f>IF(INDEX([1]equip.xml!$B:$B,MATCH(D610,[1]equip.xml!$A:$A,0))=0,0,N610)</f>
        <v>70</v>
      </c>
      <c r="N610" s="7">
        <f t="shared" ref="N610" si="622">N522</f>
        <v>70</v>
      </c>
    </row>
    <row r="611" spans="1:14">
      <c r="A611" s="7">
        <v>10011</v>
      </c>
      <c r="B611" s="7">
        <f t="shared" ref="B611:C611" si="623">B523</f>
        <v>40000</v>
      </c>
      <c r="C611" s="7" t="str">
        <f t="shared" si="623"/>
        <v>装备</v>
      </c>
      <c r="D611" s="7">
        <f t="shared" si="607"/>
        <v>50301066</v>
      </c>
      <c r="E611" s="7"/>
      <c r="F611" s="7">
        <v>1</v>
      </c>
      <c r="G611" s="8">
        <f>3*INDEX([1]equip.xml!$I:$I,MATCH(D611,[1]equip.xml!$A:$A,0))</f>
        <v>198000</v>
      </c>
      <c r="H611" s="7" t="str">
        <f t="shared" si="533"/>
        <v>10_10,50_20,80_30</v>
      </c>
      <c r="I611" s="7">
        <v>7</v>
      </c>
      <c r="J611" s="7">
        <f t="shared" si="534"/>
        <v>240</v>
      </c>
      <c r="K611" s="7" t="s">
        <v>310</v>
      </c>
      <c r="L611" s="7">
        <v>30</v>
      </c>
      <c r="M611" s="7">
        <f>IF(INDEX([1]equip.xml!$B:$B,MATCH(D611,[1]equip.xml!$A:$A,0))=0,0,N611)</f>
        <v>0</v>
      </c>
      <c r="N611" s="7">
        <f t="shared" ref="N611" si="624">N523</f>
        <v>70</v>
      </c>
    </row>
    <row r="612" spans="1:14">
      <c r="A612" s="7">
        <v>10011</v>
      </c>
      <c r="B612" s="7">
        <f t="shared" ref="B612:C612" si="625">B524</f>
        <v>40000</v>
      </c>
      <c r="C612" s="7" t="str">
        <f t="shared" si="625"/>
        <v>装备</v>
      </c>
      <c r="D612" s="7">
        <f t="shared" si="607"/>
        <v>50302055</v>
      </c>
      <c r="E612" s="7"/>
      <c r="F612" s="7">
        <v>1</v>
      </c>
      <c r="G612" s="8">
        <f>3*INDEX([1]equip.xml!$I:$I,MATCH(D612,[1]equip.xml!$A:$A,0))</f>
        <v>180000</v>
      </c>
      <c r="H612" s="7" t="str">
        <f t="shared" si="533"/>
        <v>10_10,50_20,80_30</v>
      </c>
      <c r="I612" s="7">
        <v>7</v>
      </c>
      <c r="J612" s="7">
        <f t="shared" si="534"/>
        <v>240</v>
      </c>
      <c r="K612" s="7" t="s">
        <v>310</v>
      </c>
      <c r="L612" s="7">
        <v>30</v>
      </c>
      <c r="M612" s="7">
        <f>IF(INDEX([1]equip.xml!$B:$B,MATCH(D612,[1]equip.xml!$A:$A,0))=0,0,N612)</f>
        <v>70</v>
      </c>
      <c r="N612" s="7">
        <f t="shared" ref="N612" si="626">N524</f>
        <v>70</v>
      </c>
    </row>
    <row r="613" spans="1:14">
      <c r="A613" s="7">
        <v>10011</v>
      </c>
      <c r="B613" s="7">
        <f t="shared" ref="B613:C613" si="627">B525</f>
        <v>40000</v>
      </c>
      <c r="C613" s="7" t="str">
        <f t="shared" si="627"/>
        <v>装备</v>
      </c>
      <c r="D613" s="7">
        <f t="shared" si="607"/>
        <v>50302056</v>
      </c>
      <c r="E613" s="7"/>
      <c r="F613" s="7">
        <v>1</v>
      </c>
      <c r="G613" s="8">
        <f>3*INDEX([1]equip.xml!$I:$I,MATCH(D613,[1]equip.xml!$A:$A,0))</f>
        <v>198000</v>
      </c>
      <c r="H613" s="7" t="str">
        <f t="shared" si="533"/>
        <v>10_10,50_20,80_30</v>
      </c>
      <c r="I613" s="7">
        <v>7</v>
      </c>
      <c r="J613" s="7">
        <f t="shared" si="534"/>
        <v>240</v>
      </c>
      <c r="K613" s="7" t="s">
        <v>310</v>
      </c>
      <c r="L613" s="7">
        <v>30</v>
      </c>
      <c r="M613" s="7">
        <f>IF(INDEX([1]equip.xml!$B:$B,MATCH(D613,[1]equip.xml!$A:$A,0))=0,0,N613)</f>
        <v>70</v>
      </c>
      <c r="N613" s="7">
        <f t="shared" ref="N613" si="628">N525</f>
        <v>70</v>
      </c>
    </row>
    <row r="614" spans="1:14">
      <c r="A614" s="7">
        <v>10011</v>
      </c>
      <c r="B614" s="7">
        <f t="shared" ref="B614:C614" si="629">B526</f>
        <v>40000</v>
      </c>
      <c r="C614" s="7" t="str">
        <f t="shared" si="629"/>
        <v>装备</v>
      </c>
      <c r="D614" s="7">
        <f t="shared" si="607"/>
        <v>50302065</v>
      </c>
      <c r="E614" s="7"/>
      <c r="F614" s="7">
        <v>1</v>
      </c>
      <c r="G614" s="8">
        <f>3*INDEX([1]equip.xml!$I:$I,MATCH(D614,[1]equip.xml!$A:$A,0))</f>
        <v>180000</v>
      </c>
      <c r="H614" s="7" t="str">
        <f t="shared" si="533"/>
        <v>10_10,50_20,80_30</v>
      </c>
      <c r="I614" s="7">
        <v>7</v>
      </c>
      <c r="J614" s="7">
        <f t="shared" si="534"/>
        <v>240</v>
      </c>
      <c r="K614" s="7" t="s">
        <v>310</v>
      </c>
      <c r="L614" s="7">
        <v>30</v>
      </c>
      <c r="M614" s="7">
        <f>IF(INDEX([1]equip.xml!$B:$B,MATCH(D614,[1]equip.xml!$A:$A,0))=0,0,N614)</f>
        <v>70</v>
      </c>
      <c r="N614" s="7">
        <f t="shared" ref="N614" si="630">N526</f>
        <v>70</v>
      </c>
    </row>
    <row r="615" spans="1:14">
      <c r="A615" s="7">
        <v>10011</v>
      </c>
      <c r="B615" s="7">
        <f t="shared" ref="B615:C615" si="631">B527</f>
        <v>40000</v>
      </c>
      <c r="C615" s="7" t="str">
        <f t="shared" si="631"/>
        <v>装备</v>
      </c>
      <c r="D615" s="7">
        <f t="shared" si="607"/>
        <v>50302066</v>
      </c>
      <c r="E615" s="7"/>
      <c r="F615" s="7">
        <v>1</v>
      </c>
      <c r="G615" s="8">
        <f>3*INDEX([1]equip.xml!$I:$I,MATCH(D615,[1]equip.xml!$A:$A,0))</f>
        <v>198000</v>
      </c>
      <c r="H615" s="7" t="str">
        <f t="shared" si="533"/>
        <v>10_10,50_20,80_30</v>
      </c>
      <c r="I615" s="7">
        <v>7</v>
      </c>
      <c r="J615" s="7">
        <f t="shared" si="534"/>
        <v>240</v>
      </c>
      <c r="K615" s="7" t="s">
        <v>310</v>
      </c>
      <c r="L615" s="7">
        <v>30</v>
      </c>
      <c r="M615" s="7">
        <f>IF(INDEX([1]equip.xml!$B:$B,MATCH(D615,[1]equip.xml!$A:$A,0))=0,0,N615)</f>
        <v>0</v>
      </c>
      <c r="N615" s="7">
        <f t="shared" ref="N615" si="632">N527</f>
        <v>70</v>
      </c>
    </row>
    <row r="616" spans="1:14">
      <c r="A616" s="7">
        <v>10011</v>
      </c>
      <c r="B616" s="7">
        <f t="shared" ref="B616:C616" si="633">B528</f>
        <v>40000</v>
      </c>
      <c r="C616" s="7" t="str">
        <f t="shared" si="633"/>
        <v>装备</v>
      </c>
      <c r="D616" s="7">
        <f t="shared" si="607"/>
        <v>50303055</v>
      </c>
      <c r="E616" s="7"/>
      <c r="F616" s="7">
        <v>1</v>
      </c>
      <c r="G616" s="8">
        <f>3*INDEX([1]equip.xml!$I:$I,MATCH(D616,[1]equip.xml!$A:$A,0))</f>
        <v>180000</v>
      </c>
      <c r="H616" s="7" t="str">
        <f t="shared" si="533"/>
        <v>10_10,50_20,80_30</v>
      </c>
      <c r="I616" s="7">
        <v>7</v>
      </c>
      <c r="J616" s="7">
        <f t="shared" si="534"/>
        <v>240</v>
      </c>
      <c r="K616" s="7" t="s">
        <v>310</v>
      </c>
      <c r="L616" s="7">
        <v>30</v>
      </c>
      <c r="M616" s="7">
        <f>IF(INDEX([1]equip.xml!$B:$B,MATCH(D616,[1]equip.xml!$A:$A,0))=0,0,N616)</f>
        <v>70</v>
      </c>
      <c r="N616" s="7">
        <f t="shared" ref="N616" si="634">N528</f>
        <v>70</v>
      </c>
    </row>
    <row r="617" spans="1:14">
      <c r="A617" s="7">
        <v>10011</v>
      </c>
      <c r="B617" s="7">
        <f t="shared" ref="B617:C617" si="635">B529</f>
        <v>40000</v>
      </c>
      <c r="C617" s="7" t="str">
        <f t="shared" si="635"/>
        <v>装备</v>
      </c>
      <c r="D617" s="7">
        <f t="shared" si="607"/>
        <v>50303056</v>
      </c>
      <c r="E617" s="7"/>
      <c r="F617" s="7">
        <v>1</v>
      </c>
      <c r="G617" s="8">
        <f>3*INDEX([1]equip.xml!$I:$I,MATCH(D617,[1]equip.xml!$A:$A,0))</f>
        <v>198000</v>
      </c>
      <c r="H617" s="7" t="str">
        <f t="shared" si="533"/>
        <v>10_10,50_20,80_30</v>
      </c>
      <c r="I617" s="7">
        <v>7</v>
      </c>
      <c r="J617" s="7">
        <f t="shared" si="534"/>
        <v>240</v>
      </c>
      <c r="K617" s="7" t="s">
        <v>310</v>
      </c>
      <c r="L617" s="7">
        <v>30</v>
      </c>
      <c r="M617" s="7">
        <f>IF(INDEX([1]equip.xml!$B:$B,MATCH(D617,[1]equip.xml!$A:$A,0))=0,0,N617)</f>
        <v>70</v>
      </c>
      <c r="N617" s="7">
        <f t="shared" ref="N617" si="636">N529</f>
        <v>70</v>
      </c>
    </row>
    <row r="618" spans="1:14">
      <c r="A618" s="7">
        <v>10011</v>
      </c>
      <c r="B618" s="7">
        <f t="shared" ref="B618:C618" si="637">B530</f>
        <v>40000</v>
      </c>
      <c r="C618" s="7" t="str">
        <f t="shared" si="637"/>
        <v>装备</v>
      </c>
      <c r="D618" s="7">
        <f t="shared" si="607"/>
        <v>50303065</v>
      </c>
      <c r="E618" s="7"/>
      <c r="F618" s="7">
        <v>1</v>
      </c>
      <c r="G618" s="8">
        <f>3*INDEX([1]equip.xml!$I:$I,MATCH(D618,[1]equip.xml!$A:$A,0))</f>
        <v>180000</v>
      </c>
      <c r="H618" s="7" t="str">
        <f t="shared" si="533"/>
        <v>10_10,50_20,80_30</v>
      </c>
      <c r="I618" s="7">
        <v>7</v>
      </c>
      <c r="J618" s="7">
        <f t="shared" si="534"/>
        <v>240</v>
      </c>
      <c r="K618" s="7" t="s">
        <v>310</v>
      </c>
      <c r="L618" s="7">
        <v>30</v>
      </c>
      <c r="M618" s="7">
        <f>IF(INDEX([1]equip.xml!$B:$B,MATCH(D618,[1]equip.xml!$A:$A,0))=0,0,N618)</f>
        <v>70</v>
      </c>
      <c r="N618" s="7">
        <f t="shared" ref="N618" si="638">N530</f>
        <v>70</v>
      </c>
    </row>
    <row r="619" spans="1:14">
      <c r="A619" s="7">
        <v>10011</v>
      </c>
      <c r="B619" s="7">
        <f t="shared" ref="B619:C619" si="639">B531</f>
        <v>40000</v>
      </c>
      <c r="C619" s="7" t="str">
        <f t="shared" si="639"/>
        <v>装备</v>
      </c>
      <c r="D619" s="7">
        <f t="shared" si="607"/>
        <v>50303066</v>
      </c>
      <c r="E619" s="7"/>
      <c r="F619" s="7">
        <v>1</v>
      </c>
      <c r="G619" s="8">
        <f>3*INDEX([1]equip.xml!$I:$I,MATCH(D619,[1]equip.xml!$A:$A,0))</f>
        <v>198000</v>
      </c>
      <c r="H619" s="7" t="str">
        <f t="shared" si="533"/>
        <v>10_10,50_20,80_30</v>
      </c>
      <c r="I619" s="7">
        <v>7</v>
      </c>
      <c r="J619" s="7">
        <f t="shared" si="534"/>
        <v>240</v>
      </c>
      <c r="K619" s="7" t="s">
        <v>310</v>
      </c>
      <c r="L619" s="7">
        <v>30</v>
      </c>
      <c r="M619" s="7">
        <f>IF(INDEX([1]equip.xml!$B:$B,MATCH(D619,[1]equip.xml!$A:$A,0))=0,0,N619)</f>
        <v>0</v>
      </c>
      <c r="N619" s="7">
        <f t="shared" ref="N619" si="640">N531</f>
        <v>70</v>
      </c>
    </row>
    <row r="620" spans="1:14">
      <c r="A620" s="7">
        <v>10011</v>
      </c>
      <c r="B620" s="7">
        <f t="shared" ref="B620:C620" si="641">B532</f>
        <v>40000</v>
      </c>
      <c r="C620" s="7" t="str">
        <f t="shared" si="641"/>
        <v>装备</v>
      </c>
      <c r="D620" s="7">
        <f t="shared" si="607"/>
        <v>50300045</v>
      </c>
      <c r="E620" s="7"/>
      <c r="F620" s="7">
        <v>1</v>
      </c>
      <c r="G620" s="8">
        <f>3*INDEX([1]equip.xml!$I:$I,MATCH(D620,[1]equip.xml!$A:$A,0))</f>
        <v>180000</v>
      </c>
      <c r="H620" s="7" t="str">
        <f t="shared" si="533"/>
        <v>10_10,50_20,80_30</v>
      </c>
      <c r="I620" s="7">
        <v>7</v>
      </c>
      <c r="J620" s="7">
        <f t="shared" si="534"/>
        <v>240</v>
      </c>
      <c r="K620" s="7" t="s">
        <v>310</v>
      </c>
      <c r="L620" s="7">
        <v>30</v>
      </c>
      <c r="M620" s="7">
        <f>IF(INDEX([1]equip.xml!$B:$B,MATCH(D620,[1]equip.xml!$A:$A,0))=0,0,N620)</f>
        <v>70</v>
      </c>
      <c r="N620" s="7">
        <f t="shared" ref="N620" si="642">N532</f>
        <v>70</v>
      </c>
    </row>
    <row r="621" spans="1:14">
      <c r="A621" s="7">
        <v>10011</v>
      </c>
      <c r="B621" s="7">
        <f t="shared" ref="B621:C621" si="643">B533</f>
        <v>40000</v>
      </c>
      <c r="C621" s="7" t="str">
        <f t="shared" si="643"/>
        <v>装备</v>
      </c>
      <c r="D621" s="7">
        <f t="shared" si="607"/>
        <v>50300046</v>
      </c>
      <c r="E621" s="7"/>
      <c r="F621" s="7">
        <v>1</v>
      </c>
      <c r="G621" s="8">
        <f>3*INDEX([1]equip.xml!$I:$I,MATCH(D621,[1]equip.xml!$A:$A,0))</f>
        <v>198000</v>
      </c>
      <c r="H621" s="7" t="str">
        <f t="shared" si="533"/>
        <v>10_10,50_20,80_30</v>
      </c>
      <c r="I621" s="7">
        <v>7</v>
      </c>
      <c r="J621" s="7">
        <f t="shared" si="534"/>
        <v>240</v>
      </c>
      <c r="K621" s="7" t="s">
        <v>310</v>
      </c>
      <c r="L621" s="7">
        <v>30</v>
      </c>
      <c r="M621" s="7">
        <f>IF(INDEX([1]equip.xml!$B:$B,MATCH(D621,[1]equip.xml!$A:$A,0))=0,0,N621)</f>
        <v>70</v>
      </c>
      <c r="N621" s="7">
        <f t="shared" ref="N621" si="644">N533</f>
        <v>70</v>
      </c>
    </row>
    <row r="622" spans="1:14">
      <c r="A622" s="7">
        <v>10011</v>
      </c>
      <c r="B622" s="7">
        <f t="shared" ref="B622:C622" si="645">B534</f>
        <v>40000</v>
      </c>
      <c r="C622" s="7" t="str">
        <f t="shared" si="645"/>
        <v>装备</v>
      </c>
      <c r="D622" s="7">
        <f t="shared" si="607"/>
        <v>50300075</v>
      </c>
      <c r="E622" s="7"/>
      <c r="F622" s="7">
        <v>1</v>
      </c>
      <c r="G622" s="8">
        <f>3*INDEX([1]equip.xml!$I:$I,MATCH(D622,[1]equip.xml!$A:$A,0))</f>
        <v>180000</v>
      </c>
      <c r="H622" s="7" t="str">
        <f t="shared" si="533"/>
        <v>10_10,50_20,80_30</v>
      </c>
      <c r="I622" s="7">
        <v>7</v>
      </c>
      <c r="J622" s="7">
        <f t="shared" si="534"/>
        <v>240</v>
      </c>
      <c r="K622" s="7" t="s">
        <v>310</v>
      </c>
      <c r="L622" s="7">
        <v>30</v>
      </c>
      <c r="M622" s="7">
        <f>IF(INDEX([1]equip.xml!$B:$B,MATCH(D622,[1]equip.xml!$A:$A,0))=0,0,N622)</f>
        <v>70</v>
      </c>
      <c r="N622" s="7">
        <f t="shared" ref="N622" si="646">N534</f>
        <v>70</v>
      </c>
    </row>
    <row r="623" spans="1:14">
      <c r="A623" s="7">
        <v>10011</v>
      </c>
      <c r="B623" s="7">
        <f t="shared" ref="B623:C623" si="647">B535</f>
        <v>40000</v>
      </c>
      <c r="C623" s="7" t="str">
        <f t="shared" si="647"/>
        <v>装备</v>
      </c>
      <c r="D623" s="7">
        <f t="shared" si="607"/>
        <v>50300076</v>
      </c>
      <c r="E623" s="7"/>
      <c r="F623" s="7">
        <v>1</v>
      </c>
      <c r="G623" s="8">
        <f>3*INDEX([1]equip.xml!$I:$I,MATCH(D623,[1]equip.xml!$A:$A,0))</f>
        <v>198000</v>
      </c>
      <c r="H623" s="7" t="str">
        <f t="shared" si="533"/>
        <v>10_10,50_20,80_30</v>
      </c>
      <c r="I623" s="7">
        <v>7</v>
      </c>
      <c r="J623" s="7">
        <f t="shared" si="534"/>
        <v>240</v>
      </c>
      <c r="K623" s="7" t="s">
        <v>310</v>
      </c>
      <c r="L623" s="7">
        <v>30</v>
      </c>
      <c r="M623" s="7">
        <f>IF(INDEX([1]equip.xml!$B:$B,MATCH(D623,[1]equip.xml!$A:$A,0))=0,0,N623)</f>
        <v>70</v>
      </c>
      <c r="N623" s="7">
        <f t="shared" ref="N623" si="648">N535</f>
        <v>70</v>
      </c>
    </row>
    <row r="624" spans="1:14">
      <c r="A624" s="7">
        <v>10011</v>
      </c>
      <c r="B624" s="7">
        <f t="shared" ref="B624:C624" si="649">B536</f>
        <v>40000</v>
      </c>
      <c r="C624" s="7" t="str">
        <f t="shared" si="649"/>
        <v>装备</v>
      </c>
      <c r="D624" s="7">
        <f t="shared" si="607"/>
        <v>50350015</v>
      </c>
      <c r="E624" s="7"/>
      <c r="F624" s="7">
        <v>1</v>
      </c>
      <c r="G624" s="8">
        <f>3*INDEX([1]equip.xml!$I:$I,MATCH(D624,[1]equip.xml!$A:$A,0))</f>
        <v>210000</v>
      </c>
      <c r="H624" s="7" t="str">
        <f t="shared" si="533"/>
        <v>10_10,50_20,80_30</v>
      </c>
      <c r="I624" s="7">
        <v>7</v>
      </c>
      <c r="J624" s="7">
        <f t="shared" si="534"/>
        <v>240</v>
      </c>
      <c r="K624" s="7" t="s">
        <v>310</v>
      </c>
      <c r="L624" s="7">
        <v>30</v>
      </c>
      <c r="M624" s="7">
        <f>IF(INDEX([1]equip.xml!$B:$B,MATCH(D624,[1]equip.xml!$A:$A,0))=0,0,N624)</f>
        <v>35</v>
      </c>
      <c r="N624" s="7">
        <f t="shared" ref="N624" si="650">N536</f>
        <v>35</v>
      </c>
    </row>
    <row r="625" spans="1:14">
      <c r="A625" s="7">
        <v>10011</v>
      </c>
      <c r="B625" s="7">
        <f t="shared" ref="B625:C625" si="651">B537</f>
        <v>40000</v>
      </c>
      <c r="C625" s="7" t="str">
        <f t="shared" si="651"/>
        <v>装备</v>
      </c>
      <c r="D625" s="7">
        <f t="shared" si="607"/>
        <v>50350025</v>
      </c>
      <c r="E625" s="7"/>
      <c r="F625" s="7">
        <v>1</v>
      </c>
      <c r="G625" s="8">
        <f>3*INDEX([1]equip.xml!$I:$I,MATCH(D625,[1]equip.xml!$A:$A,0))</f>
        <v>210000</v>
      </c>
      <c r="H625" s="7" t="str">
        <f t="shared" si="533"/>
        <v>10_10,50_20,80_30</v>
      </c>
      <c r="I625" s="7">
        <v>7</v>
      </c>
      <c r="J625" s="7">
        <f t="shared" si="534"/>
        <v>240</v>
      </c>
      <c r="K625" s="7" t="s">
        <v>310</v>
      </c>
      <c r="L625" s="7">
        <v>30</v>
      </c>
      <c r="M625" s="7">
        <f>IF(INDEX([1]equip.xml!$B:$B,MATCH(D625,[1]equip.xml!$A:$A,0))=0,0,N625)</f>
        <v>35</v>
      </c>
      <c r="N625" s="7">
        <f t="shared" ref="N625" si="652">N537</f>
        <v>35</v>
      </c>
    </row>
    <row r="626" spans="1:14">
      <c r="A626" s="7">
        <v>10011</v>
      </c>
      <c r="B626" s="7">
        <f t="shared" ref="B626:C626" si="653">B538</f>
        <v>40000</v>
      </c>
      <c r="C626" s="7" t="str">
        <f t="shared" si="653"/>
        <v>装备</v>
      </c>
      <c r="D626" s="7">
        <f t="shared" si="607"/>
        <v>50350035</v>
      </c>
      <c r="E626" s="7"/>
      <c r="F626" s="7">
        <v>1</v>
      </c>
      <c r="G626" s="8">
        <f>3*INDEX([1]equip.xml!$I:$I,MATCH(D626,[1]equip.xml!$A:$A,0))</f>
        <v>210000</v>
      </c>
      <c r="H626" s="7" t="str">
        <f t="shared" si="533"/>
        <v>10_10,50_20,80_30</v>
      </c>
      <c r="I626" s="7">
        <v>7</v>
      </c>
      <c r="J626" s="7">
        <f t="shared" si="534"/>
        <v>240</v>
      </c>
      <c r="K626" s="7" t="s">
        <v>310</v>
      </c>
      <c r="L626" s="7">
        <v>30</v>
      </c>
      <c r="M626" s="7">
        <f>IF(INDEX([1]equip.xml!$B:$B,MATCH(D626,[1]equip.xml!$A:$A,0))=0,0,N626)</f>
        <v>35</v>
      </c>
      <c r="N626" s="7">
        <f t="shared" ref="N626" si="654">N538</f>
        <v>35</v>
      </c>
    </row>
    <row r="627" spans="1:14">
      <c r="A627" s="7">
        <v>10011</v>
      </c>
      <c r="B627" s="7">
        <f t="shared" ref="B627:C627" si="655">B539</f>
        <v>40000</v>
      </c>
      <c r="C627" s="7" t="str">
        <f t="shared" si="655"/>
        <v>装备</v>
      </c>
      <c r="D627" s="7">
        <f t="shared" si="607"/>
        <v>50350085</v>
      </c>
      <c r="E627" s="7"/>
      <c r="F627" s="7">
        <v>1</v>
      </c>
      <c r="G627" s="8">
        <f>3*INDEX([1]equip.xml!$I:$I,MATCH(D627,[1]equip.xml!$A:$A,0))</f>
        <v>210000</v>
      </c>
      <c r="H627" s="7" t="str">
        <f t="shared" si="533"/>
        <v>10_10,50_20,80_30</v>
      </c>
      <c r="I627" s="7">
        <v>7</v>
      </c>
      <c r="J627" s="7">
        <f t="shared" si="534"/>
        <v>240</v>
      </c>
      <c r="K627" s="7" t="s">
        <v>310</v>
      </c>
      <c r="L627" s="7">
        <v>30</v>
      </c>
      <c r="M627" s="7">
        <f>IF(INDEX([1]equip.xml!$B:$B,MATCH(D627,[1]equip.xml!$A:$A,0))=0,0,N627)</f>
        <v>35</v>
      </c>
      <c r="N627" s="7">
        <f t="shared" ref="N627" si="656">N539</f>
        <v>35</v>
      </c>
    </row>
    <row r="628" spans="1:14">
      <c r="A628" s="7">
        <v>10011</v>
      </c>
      <c r="B628" s="7">
        <f t="shared" ref="B628:C628" si="657">B540</f>
        <v>40000</v>
      </c>
      <c r="C628" s="7" t="str">
        <f t="shared" si="657"/>
        <v>装备</v>
      </c>
      <c r="D628" s="7">
        <f t="shared" si="607"/>
        <v>50350095</v>
      </c>
      <c r="E628" s="7"/>
      <c r="F628" s="7">
        <v>1</v>
      </c>
      <c r="G628" s="8">
        <f>3*INDEX([1]equip.xml!$I:$I,MATCH(D628,[1]equip.xml!$A:$A,0))</f>
        <v>210000</v>
      </c>
      <c r="H628" s="7" t="str">
        <f t="shared" si="533"/>
        <v>10_10,50_20,80_30</v>
      </c>
      <c r="I628" s="7">
        <v>7</v>
      </c>
      <c r="J628" s="7">
        <f t="shared" si="534"/>
        <v>240</v>
      </c>
      <c r="K628" s="7" t="s">
        <v>310</v>
      </c>
      <c r="L628" s="7">
        <v>30</v>
      </c>
      <c r="M628" s="7">
        <f>IF(INDEX([1]equip.xml!$B:$B,MATCH(D628,[1]equip.xml!$A:$A,0))=0,0,N628)</f>
        <v>35</v>
      </c>
      <c r="N628" s="7">
        <f t="shared" ref="N628" si="658">N540</f>
        <v>35</v>
      </c>
    </row>
    <row r="629" spans="1:14">
      <c r="A629" s="7">
        <v>10011</v>
      </c>
      <c r="B629" s="7">
        <f t="shared" ref="B629:C629" si="659">B541</f>
        <v>40000</v>
      </c>
      <c r="C629" s="7" t="str">
        <f t="shared" si="659"/>
        <v>装备</v>
      </c>
      <c r="D629" s="7">
        <f t="shared" si="607"/>
        <v>50350105</v>
      </c>
      <c r="E629" s="7"/>
      <c r="F629" s="7">
        <v>1</v>
      </c>
      <c r="G629" s="8">
        <f>3*INDEX([1]equip.xml!$I:$I,MATCH(D629,[1]equip.xml!$A:$A,0))</f>
        <v>210000</v>
      </c>
      <c r="H629" s="7" t="str">
        <f t="shared" si="533"/>
        <v>10_10,50_20,80_30</v>
      </c>
      <c r="I629" s="7">
        <v>7</v>
      </c>
      <c r="J629" s="7">
        <f t="shared" si="534"/>
        <v>240</v>
      </c>
      <c r="K629" s="7" t="s">
        <v>310</v>
      </c>
      <c r="L629" s="7">
        <v>30</v>
      </c>
      <c r="M629" s="7">
        <f>IF(INDEX([1]equip.xml!$B:$B,MATCH(D629,[1]equip.xml!$A:$A,0))=0,0,N629)</f>
        <v>35</v>
      </c>
      <c r="N629" s="7">
        <f t="shared" ref="N629" si="660">N541</f>
        <v>35</v>
      </c>
    </row>
    <row r="630" spans="1:14">
      <c r="A630" s="7">
        <v>10011</v>
      </c>
      <c r="B630" s="7">
        <f t="shared" ref="B630:C630" si="661">B542</f>
        <v>40000</v>
      </c>
      <c r="C630" s="7" t="str">
        <f t="shared" si="661"/>
        <v>装备</v>
      </c>
      <c r="D630" s="7">
        <f t="shared" si="607"/>
        <v>50351055</v>
      </c>
      <c r="E630" s="7"/>
      <c r="F630" s="7">
        <v>1</v>
      </c>
      <c r="G630" s="8">
        <f>3*INDEX([1]equip.xml!$I:$I,MATCH(D630,[1]equip.xml!$A:$A,0))</f>
        <v>210000</v>
      </c>
      <c r="H630" s="7" t="str">
        <f t="shared" si="533"/>
        <v>10_10,50_20,80_30</v>
      </c>
      <c r="I630" s="7">
        <v>7</v>
      </c>
      <c r="J630" s="7">
        <f t="shared" si="534"/>
        <v>240</v>
      </c>
      <c r="K630" s="7" t="s">
        <v>310</v>
      </c>
      <c r="L630" s="7">
        <v>30</v>
      </c>
      <c r="M630" s="7">
        <f>IF(INDEX([1]equip.xml!$B:$B,MATCH(D630,[1]equip.xml!$A:$A,0))=0,0,N630)</f>
        <v>35</v>
      </c>
      <c r="N630" s="7">
        <f t="shared" ref="N630" si="662">N542</f>
        <v>35</v>
      </c>
    </row>
    <row r="631" spans="1:14">
      <c r="A631" s="7">
        <v>10011</v>
      </c>
      <c r="B631" s="7">
        <f t="shared" ref="B631:C631" si="663">B543</f>
        <v>40000</v>
      </c>
      <c r="C631" s="7" t="str">
        <f t="shared" si="663"/>
        <v>装备</v>
      </c>
      <c r="D631" s="7">
        <f t="shared" si="607"/>
        <v>50351056</v>
      </c>
      <c r="E631" s="7"/>
      <c r="F631" s="7">
        <v>1</v>
      </c>
      <c r="G631" s="8">
        <f>3*INDEX([1]equip.xml!$I:$I,MATCH(D631,[1]equip.xml!$A:$A,0))</f>
        <v>228000</v>
      </c>
      <c r="H631" s="7" t="str">
        <f t="shared" ref="H631:H694" si="664">H543</f>
        <v>10_10,50_20,80_30</v>
      </c>
      <c r="I631" s="7">
        <v>7</v>
      </c>
      <c r="J631" s="7">
        <f t="shared" ref="J631:J694" si="665">J543</f>
        <v>240</v>
      </c>
      <c r="K631" s="7" t="s">
        <v>310</v>
      </c>
      <c r="L631" s="7">
        <v>30</v>
      </c>
      <c r="M631" s="7">
        <f>IF(INDEX([1]equip.xml!$B:$B,MATCH(D631,[1]equip.xml!$A:$A,0))=0,0,N631)</f>
        <v>0</v>
      </c>
      <c r="N631" s="7">
        <f t="shared" ref="N631" si="666">N543</f>
        <v>35</v>
      </c>
    </row>
    <row r="632" spans="1:14">
      <c r="A632" s="7">
        <v>10011</v>
      </c>
      <c r="B632" s="7">
        <f t="shared" ref="B632:C632" si="667">B544</f>
        <v>40000</v>
      </c>
      <c r="C632" s="7" t="str">
        <f t="shared" si="667"/>
        <v>装备</v>
      </c>
      <c r="D632" s="7">
        <f t="shared" si="607"/>
        <v>50351065</v>
      </c>
      <c r="E632" s="7"/>
      <c r="F632" s="7">
        <v>1</v>
      </c>
      <c r="G632" s="8">
        <f>3*INDEX([1]equip.xml!$I:$I,MATCH(D632,[1]equip.xml!$A:$A,0))</f>
        <v>210000</v>
      </c>
      <c r="H632" s="7" t="str">
        <f t="shared" si="664"/>
        <v>10_10,50_20,80_30</v>
      </c>
      <c r="I632" s="7">
        <v>7</v>
      </c>
      <c r="J632" s="7">
        <f t="shared" si="665"/>
        <v>240</v>
      </c>
      <c r="K632" s="7" t="s">
        <v>310</v>
      </c>
      <c r="L632" s="7">
        <v>30</v>
      </c>
      <c r="M632" s="7">
        <f>IF(INDEX([1]equip.xml!$B:$B,MATCH(D632,[1]equip.xml!$A:$A,0))=0,0,N632)</f>
        <v>35</v>
      </c>
      <c r="N632" s="7">
        <f t="shared" ref="N632" si="668">N544</f>
        <v>35</v>
      </c>
    </row>
    <row r="633" spans="1:14">
      <c r="A633" s="7">
        <v>10011</v>
      </c>
      <c r="B633" s="7">
        <f t="shared" ref="B633:C633" si="669">B545</f>
        <v>40000</v>
      </c>
      <c r="C633" s="7" t="str">
        <f t="shared" si="669"/>
        <v>装备</v>
      </c>
      <c r="D633" s="7">
        <f t="shared" si="607"/>
        <v>50351066</v>
      </c>
      <c r="E633" s="7"/>
      <c r="F633" s="7">
        <v>1</v>
      </c>
      <c r="G633" s="8">
        <f>3*INDEX([1]equip.xml!$I:$I,MATCH(D633,[1]equip.xml!$A:$A,0))</f>
        <v>228000</v>
      </c>
      <c r="H633" s="7" t="str">
        <f t="shared" si="664"/>
        <v>10_10,50_20,80_30</v>
      </c>
      <c r="I633" s="7">
        <v>7</v>
      </c>
      <c r="J633" s="7">
        <f t="shared" si="665"/>
        <v>240</v>
      </c>
      <c r="K633" s="7" t="s">
        <v>310</v>
      </c>
      <c r="L633" s="7">
        <v>30</v>
      </c>
      <c r="M633" s="7">
        <f>IF(INDEX([1]equip.xml!$B:$B,MATCH(D633,[1]equip.xml!$A:$A,0))=0,0,N633)</f>
        <v>35</v>
      </c>
      <c r="N633" s="7">
        <f t="shared" ref="N633" si="670">N545</f>
        <v>35</v>
      </c>
    </row>
    <row r="634" spans="1:14">
      <c r="A634" s="7">
        <v>10011</v>
      </c>
      <c r="B634" s="7">
        <f t="shared" ref="B634:C634" si="671">B546</f>
        <v>40000</v>
      </c>
      <c r="C634" s="7" t="str">
        <f t="shared" si="671"/>
        <v>装备</v>
      </c>
      <c r="D634" s="7">
        <f t="shared" si="607"/>
        <v>50352055</v>
      </c>
      <c r="E634" s="7"/>
      <c r="F634" s="7">
        <v>1</v>
      </c>
      <c r="G634" s="8">
        <f>3*INDEX([1]equip.xml!$I:$I,MATCH(D634,[1]equip.xml!$A:$A,0))</f>
        <v>210000</v>
      </c>
      <c r="H634" s="7" t="str">
        <f t="shared" si="664"/>
        <v>10_10,50_20,80_30</v>
      </c>
      <c r="I634" s="7">
        <v>7</v>
      </c>
      <c r="J634" s="7">
        <f t="shared" si="665"/>
        <v>240</v>
      </c>
      <c r="K634" s="7" t="s">
        <v>310</v>
      </c>
      <c r="L634" s="7">
        <v>30</v>
      </c>
      <c r="M634" s="7">
        <f>IF(INDEX([1]equip.xml!$B:$B,MATCH(D634,[1]equip.xml!$A:$A,0))=0,0,N634)</f>
        <v>35</v>
      </c>
      <c r="N634" s="7">
        <f t="shared" ref="N634" si="672">N546</f>
        <v>35</v>
      </c>
    </row>
    <row r="635" spans="1:14">
      <c r="A635" s="7">
        <v>10011</v>
      </c>
      <c r="B635" s="7">
        <f t="shared" ref="B635:C635" si="673">B547</f>
        <v>40000</v>
      </c>
      <c r="C635" s="7" t="str">
        <f t="shared" si="673"/>
        <v>装备</v>
      </c>
      <c r="D635" s="7">
        <f t="shared" si="607"/>
        <v>50352056</v>
      </c>
      <c r="E635" s="7"/>
      <c r="F635" s="7">
        <v>1</v>
      </c>
      <c r="G635" s="8">
        <f>3*INDEX([1]equip.xml!$I:$I,MATCH(D635,[1]equip.xml!$A:$A,0))</f>
        <v>228000</v>
      </c>
      <c r="H635" s="7" t="str">
        <f t="shared" si="664"/>
        <v>10_10,50_20,80_30</v>
      </c>
      <c r="I635" s="7">
        <v>7</v>
      </c>
      <c r="J635" s="7">
        <f t="shared" si="665"/>
        <v>240</v>
      </c>
      <c r="K635" s="7" t="s">
        <v>310</v>
      </c>
      <c r="L635" s="7">
        <v>30</v>
      </c>
      <c r="M635" s="7">
        <f>IF(INDEX([1]equip.xml!$B:$B,MATCH(D635,[1]equip.xml!$A:$A,0))=0,0,N635)</f>
        <v>0</v>
      </c>
      <c r="N635" s="7">
        <f t="shared" ref="N635" si="674">N547</f>
        <v>35</v>
      </c>
    </row>
    <row r="636" spans="1:14">
      <c r="A636" s="7">
        <v>10011</v>
      </c>
      <c r="B636" s="7">
        <f t="shared" ref="B636:C636" si="675">B548</f>
        <v>40000</v>
      </c>
      <c r="C636" s="7" t="str">
        <f t="shared" si="675"/>
        <v>装备</v>
      </c>
      <c r="D636" s="7">
        <f t="shared" si="607"/>
        <v>50352065</v>
      </c>
      <c r="E636" s="7"/>
      <c r="F636" s="7">
        <v>1</v>
      </c>
      <c r="G636" s="8">
        <f>3*INDEX([1]equip.xml!$I:$I,MATCH(D636,[1]equip.xml!$A:$A,0))</f>
        <v>210000</v>
      </c>
      <c r="H636" s="7" t="str">
        <f t="shared" si="664"/>
        <v>10_10,50_20,80_30</v>
      </c>
      <c r="I636" s="7">
        <v>7</v>
      </c>
      <c r="J636" s="7">
        <f t="shared" si="665"/>
        <v>240</v>
      </c>
      <c r="K636" s="7" t="s">
        <v>310</v>
      </c>
      <c r="L636" s="7">
        <v>30</v>
      </c>
      <c r="M636" s="7">
        <f>IF(INDEX([1]equip.xml!$B:$B,MATCH(D636,[1]equip.xml!$A:$A,0))=0,0,N636)</f>
        <v>35</v>
      </c>
      <c r="N636" s="7">
        <f t="shared" ref="N636" si="676">N548</f>
        <v>35</v>
      </c>
    </row>
    <row r="637" spans="1:14">
      <c r="A637" s="7">
        <v>10011</v>
      </c>
      <c r="B637" s="7">
        <f t="shared" ref="B637:C637" si="677">B549</f>
        <v>40000</v>
      </c>
      <c r="C637" s="7" t="str">
        <f t="shared" si="677"/>
        <v>装备</v>
      </c>
      <c r="D637" s="7">
        <f t="shared" si="607"/>
        <v>50352066</v>
      </c>
      <c r="E637" s="7"/>
      <c r="F637" s="7">
        <v>1</v>
      </c>
      <c r="G637" s="8">
        <f>3*INDEX([1]equip.xml!$I:$I,MATCH(D637,[1]equip.xml!$A:$A,0))</f>
        <v>228000</v>
      </c>
      <c r="H637" s="7" t="str">
        <f t="shared" si="664"/>
        <v>10_10,50_20,80_30</v>
      </c>
      <c r="I637" s="7">
        <v>7</v>
      </c>
      <c r="J637" s="7">
        <f t="shared" si="665"/>
        <v>240</v>
      </c>
      <c r="K637" s="7" t="s">
        <v>310</v>
      </c>
      <c r="L637" s="7">
        <v>30</v>
      </c>
      <c r="M637" s="7">
        <f>IF(INDEX([1]equip.xml!$B:$B,MATCH(D637,[1]equip.xml!$A:$A,0))=0,0,N637)</f>
        <v>35</v>
      </c>
      <c r="N637" s="7">
        <f t="shared" ref="N637" si="678">N549</f>
        <v>35</v>
      </c>
    </row>
    <row r="638" spans="1:14">
      <c r="A638" s="7">
        <v>10011</v>
      </c>
      <c r="B638" s="7">
        <f t="shared" ref="B638:C638" si="679">B550</f>
        <v>40000</v>
      </c>
      <c r="C638" s="7" t="str">
        <f t="shared" si="679"/>
        <v>装备</v>
      </c>
      <c r="D638" s="7">
        <f t="shared" si="607"/>
        <v>50353055</v>
      </c>
      <c r="E638" s="7"/>
      <c r="F638" s="7">
        <v>1</v>
      </c>
      <c r="G638" s="8">
        <f>3*INDEX([1]equip.xml!$I:$I,MATCH(D638,[1]equip.xml!$A:$A,0))</f>
        <v>210000</v>
      </c>
      <c r="H638" s="7" t="str">
        <f t="shared" si="664"/>
        <v>10_10,50_20,80_30</v>
      </c>
      <c r="I638" s="7">
        <v>7</v>
      </c>
      <c r="J638" s="7">
        <f t="shared" si="665"/>
        <v>240</v>
      </c>
      <c r="K638" s="7" t="s">
        <v>310</v>
      </c>
      <c r="L638" s="7">
        <v>30</v>
      </c>
      <c r="M638" s="7">
        <f>IF(INDEX([1]equip.xml!$B:$B,MATCH(D638,[1]equip.xml!$A:$A,0))=0,0,N638)</f>
        <v>35</v>
      </c>
      <c r="N638" s="7">
        <f t="shared" ref="N638" si="680">N550</f>
        <v>35</v>
      </c>
    </row>
    <row r="639" spans="1:14">
      <c r="A639" s="7">
        <v>10011</v>
      </c>
      <c r="B639" s="7">
        <f t="shared" ref="B639:C639" si="681">B551</f>
        <v>40000</v>
      </c>
      <c r="C639" s="7" t="str">
        <f t="shared" si="681"/>
        <v>装备</v>
      </c>
      <c r="D639" s="7">
        <f t="shared" si="607"/>
        <v>50353056</v>
      </c>
      <c r="E639" s="7"/>
      <c r="F639" s="7">
        <v>1</v>
      </c>
      <c r="G639" s="8">
        <f>3*INDEX([1]equip.xml!$I:$I,MATCH(D639,[1]equip.xml!$A:$A,0))</f>
        <v>228000</v>
      </c>
      <c r="H639" s="7" t="str">
        <f t="shared" si="664"/>
        <v>10_10,50_20,80_30</v>
      </c>
      <c r="I639" s="7">
        <v>7</v>
      </c>
      <c r="J639" s="7">
        <f t="shared" si="665"/>
        <v>240</v>
      </c>
      <c r="K639" s="7" t="s">
        <v>310</v>
      </c>
      <c r="L639" s="7">
        <v>30</v>
      </c>
      <c r="M639" s="7">
        <f>IF(INDEX([1]equip.xml!$B:$B,MATCH(D639,[1]equip.xml!$A:$A,0))=0,0,N639)</f>
        <v>0</v>
      </c>
      <c r="N639" s="7">
        <f t="shared" ref="N639" si="682">N551</f>
        <v>35</v>
      </c>
    </row>
    <row r="640" spans="1:14">
      <c r="A640" s="7">
        <v>10011</v>
      </c>
      <c r="B640" s="7">
        <f t="shared" ref="B640:C640" si="683">B552</f>
        <v>40000</v>
      </c>
      <c r="C640" s="7" t="str">
        <f t="shared" si="683"/>
        <v>装备</v>
      </c>
      <c r="D640" s="7">
        <f t="shared" si="607"/>
        <v>50353065</v>
      </c>
      <c r="E640" s="7"/>
      <c r="F640" s="7">
        <v>1</v>
      </c>
      <c r="G640" s="8">
        <f>3*INDEX([1]equip.xml!$I:$I,MATCH(D640,[1]equip.xml!$A:$A,0))</f>
        <v>210000</v>
      </c>
      <c r="H640" s="7" t="str">
        <f t="shared" si="664"/>
        <v>10_10,50_20,80_30</v>
      </c>
      <c r="I640" s="7">
        <v>7</v>
      </c>
      <c r="J640" s="7">
        <f t="shared" si="665"/>
        <v>240</v>
      </c>
      <c r="K640" s="7" t="s">
        <v>310</v>
      </c>
      <c r="L640" s="7">
        <v>30</v>
      </c>
      <c r="M640" s="7">
        <f>IF(INDEX([1]equip.xml!$B:$B,MATCH(D640,[1]equip.xml!$A:$A,0))=0,0,N640)</f>
        <v>35</v>
      </c>
      <c r="N640" s="7">
        <f t="shared" ref="N640" si="684">N552</f>
        <v>35</v>
      </c>
    </row>
    <row r="641" spans="1:14">
      <c r="A641" s="7">
        <v>10011</v>
      </c>
      <c r="B641" s="7">
        <f t="shared" ref="B641:C641" si="685">B553</f>
        <v>40000</v>
      </c>
      <c r="C641" s="7" t="str">
        <f t="shared" si="685"/>
        <v>装备</v>
      </c>
      <c r="D641" s="7">
        <f t="shared" si="607"/>
        <v>50353066</v>
      </c>
      <c r="E641" s="7"/>
      <c r="F641" s="7">
        <v>1</v>
      </c>
      <c r="G641" s="8">
        <f>3*INDEX([1]equip.xml!$I:$I,MATCH(D641,[1]equip.xml!$A:$A,0))</f>
        <v>228000</v>
      </c>
      <c r="H641" s="7" t="str">
        <f t="shared" si="664"/>
        <v>10_10,50_20,80_30</v>
      </c>
      <c r="I641" s="7">
        <v>7</v>
      </c>
      <c r="J641" s="7">
        <f t="shared" si="665"/>
        <v>240</v>
      </c>
      <c r="K641" s="7" t="s">
        <v>310</v>
      </c>
      <c r="L641" s="7">
        <v>30</v>
      </c>
      <c r="M641" s="7">
        <f>IF(INDEX([1]equip.xml!$B:$B,MATCH(D641,[1]equip.xml!$A:$A,0))=0,0,N641)</f>
        <v>35</v>
      </c>
      <c r="N641" s="7">
        <f t="shared" ref="N641" si="686">N553</f>
        <v>35</v>
      </c>
    </row>
    <row r="642" spans="1:14">
      <c r="A642" s="7">
        <v>10011</v>
      </c>
      <c r="B642" s="7">
        <f t="shared" ref="B642:C642" si="687">B554</f>
        <v>40000</v>
      </c>
      <c r="C642" s="7" t="str">
        <f t="shared" si="687"/>
        <v>装备</v>
      </c>
      <c r="D642" s="7">
        <f t="shared" si="607"/>
        <v>50350045</v>
      </c>
      <c r="E642" s="7"/>
      <c r="F642" s="7">
        <v>1</v>
      </c>
      <c r="G642" s="8">
        <f>3*INDEX([1]equip.xml!$I:$I,MATCH(D642,[1]equip.xml!$A:$A,0))</f>
        <v>210000</v>
      </c>
      <c r="H642" s="7" t="str">
        <f t="shared" si="664"/>
        <v>10_10,50_20,80_30</v>
      </c>
      <c r="I642" s="7">
        <v>7</v>
      </c>
      <c r="J642" s="7">
        <f t="shared" si="665"/>
        <v>240</v>
      </c>
      <c r="K642" s="7" t="s">
        <v>310</v>
      </c>
      <c r="L642" s="7">
        <v>30</v>
      </c>
      <c r="M642" s="7">
        <f>IF(INDEX([1]equip.xml!$B:$B,MATCH(D642,[1]equip.xml!$A:$A,0))=0,0,N642)</f>
        <v>35</v>
      </c>
      <c r="N642" s="7">
        <f t="shared" ref="N642" si="688">N554</f>
        <v>35</v>
      </c>
    </row>
    <row r="643" spans="1:14">
      <c r="A643" s="7">
        <v>10011</v>
      </c>
      <c r="B643" s="7">
        <f t="shared" ref="B643:C643" si="689">B555</f>
        <v>40000</v>
      </c>
      <c r="C643" s="7" t="str">
        <f t="shared" si="689"/>
        <v>装备</v>
      </c>
      <c r="D643" s="7">
        <f t="shared" si="607"/>
        <v>50350046</v>
      </c>
      <c r="E643" s="7"/>
      <c r="F643" s="7">
        <v>1</v>
      </c>
      <c r="G643" s="8">
        <f>3*INDEX([1]equip.xml!$I:$I,MATCH(D643,[1]equip.xml!$A:$A,0))</f>
        <v>228000</v>
      </c>
      <c r="H643" s="7" t="str">
        <f t="shared" si="664"/>
        <v>10_10,50_20,80_30</v>
      </c>
      <c r="I643" s="7">
        <v>7</v>
      </c>
      <c r="J643" s="7">
        <f t="shared" si="665"/>
        <v>240</v>
      </c>
      <c r="K643" s="7" t="s">
        <v>310</v>
      </c>
      <c r="L643" s="7">
        <v>30</v>
      </c>
      <c r="M643" s="7">
        <f>IF(INDEX([1]equip.xml!$B:$B,MATCH(D643,[1]equip.xml!$A:$A,0))=0,0,N643)</f>
        <v>35</v>
      </c>
      <c r="N643" s="7">
        <f t="shared" ref="N643" si="690">N555</f>
        <v>35</v>
      </c>
    </row>
    <row r="644" spans="1:14">
      <c r="A644" s="7">
        <v>10011</v>
      </c>
      <c r="B644" s="7">
        <f t="shared" ref="B644:C644" si="691">B556</f>
        <v>40000</v>
      </c>
      <c r="C644" s="7" t="str">
        <f t="shared" si="691"/>
        <v>装备</v>
      </c>
      <c r="D644" s="7">
        <f t="shared" si="607"/>
        <v>50350075</v>
      </c>
      <c r="E644" s="7"/>
      <c r="F644" s="7">
        <v>1</v>
      </c>
      <c r="G644" s="8">
        <f>3*INDEX([1]equip.xml!$I:$I,MATCH(D644,[1]equip.xml!$A:$A,0))</f>
        <v>210000</v>
      </c>
      <c r="H644" s="7" t="str">
        <f t="shared" si="664"/>
        <v>10_10,50_20,80_30</v>
      </c>
      <c r="I644" s="7">
        <v>7</v>
      </c>
      <c r="J644" s="7">
        <f t="shared" si="665"/>
        <v>240</v>
      </c>
      <c r="K644" s="7" t="s">
        <v>310</v>
      </c>
      <c r="L644" s="7">
        <v>30</v>
      </c>
      <c r="M644" s="7">
        <f>IF(INDEX([1]equip.xml!$B:$B,MATCH(D644,[1]equip.xml!$A:$A,0))=0,0,N644)</f>
        <v>35</v>
      </c>
      <c r="N644" s="7">
        <f t="shared" ref="N644" si="692">N556</f>
        <v>35</v>
      </c>
    </row>
    <row r="645" spans="1:14">
      <c r="A645" s="7">
        <v>10011</v>
      </c>
      <c r="B645" s="7">
        <f t="shared" ref="B645:C645" si="693">B557</f>
        <v>40000</v>
      </c>
      <c r="C645" s="7" t="str">
        <f t="shared" si="693"/>
        <v>装备</v>
      </c>
      <c r="D645" s="7">
        <f t="shared" si="607"/>
        <v>50350076</v>
      </c>
      <c r="E645" s="7"/>
      <c r="F645" s="7">
        <v>1</v>
      </c>
      <c r="G645" s="8">
        <f>3*INDEX([1]equip.xml!$I:$I,MATCH(D645,[1]equip.xml!$A:$A,0))</f>
        <v>228000</v>
      </c>
      <c r="H645" s="7" t="str">
        <f t="shared" si="664"/>
        <v>10_10,50_20,80_30</v>
      </c>
      <c r="I645" s="7">
        <v>7</v>
      </c>
      <c r="J645" s="7">
        <f t="shared" si="665"/>
        <v>240</v>
      </c>
      <c r="K645" s="7" t="s">
        <v>310</v>
      </c>
      <c r="L645" s="7">
        <v>30</v>
      </c>
      <c r="M645" s="7">
        <f>IF(INDEX([1]equip.xml!$B:$B,MATCH(D645,[1]equip.xml!$A:$A,0))=0,0,N645)</f>
        <v>0</v>
      </c>
      <c r="N645" s="7">
        <f t="shared" ref="N645" si="694">N557</f>
        <v>35</v>
      </c>
    </row>
    <row r="646" spans="1:14">
      <c r="A646" s="8">
        <v>10012</v>
      </c>
      <c r="B646" s="8">
        <f t="shared" ref="B646:C646" si="695">B558</f>
        <v>40000</v>
      </c>
      <c r="C646" s="8" t="str">
        <f t="shared" si="695"/>
        <v>装备</v>
      </c>
      <c r="D646" s="8">
        <v>40350010</v>
      </c>
      <c r="E646" s="8"/>
      <c r="F646" s="8">
        <v>1</v>
      </c>
      <c r="G646" s="7">
        <f>3*INDEX([1]equip.xml!$I:$I,MATCH(D646&amp;"",[1]equip.xml!$A:$A,0))</f>
        <v>105000</v>
      </c>
      <c r="H646" s="8" t="str">
        <f t="shared" si="664"/>
        <v>10_10,50_20,80_30</v>
      </c>
      <c r="I646" s="8">
        <v>6</v>
      </c>
      <c r="J646" s="8">
        <f t="shared" si="665"/>
        <v>50</v>
      </c>
      <c r="K646" s="7" t="s">
        <v>310</v>
      </c>
      <c r="L646" s="8">
        <v>32</v>
      </c>
      <c r="M646" s="7">
        <f>IF(INDEX([1]equip.xml!$B:$B,MATCH(D646&amp;"",[1]equip.xml!$A:$A,0))=0,0,N646)</f>
        <v>130</v>
      </c>
      <c r="N646" s="8">
        <f t="shared" ref="N646" si="696">N558</f>
        <v>130</v>
      </c>
    </row>
    <row r="647" spans="1:14">
      <c r="A647" s="8">
        <v>10012</v>
      </c>
      <c r="B647" s="8">
        <f t="shared" ref="B647:C647" si="697">B559</f>
        <v>40000</v>
      </c>
      <c r="C647" s="8" t="str">
        <f t="shared" si="697"/>
        <v>装备</v>
      </c>
      <c r="D647" s="8">
        <v>40350020</v>
      </c>
      <c r="E647" s="8"/>
      <c r="F647" s="8">
        <v>1</v>
      </c>
      <c r="G647" s="7">
        <f>3*INDEX([1]equip.xml!$I:$I,MATCH(D647&amp;"",[1]equip.xml!$A:$A,0))</f>
        <v>105000</v>
      </c>
      <c r="H647" s="8" t="str">
        <f t="shared" si="664"/>
        <v>10_10,50_20,80_30</v>
      </c>
      <c r="I647" s="8">
        <v>6</v>
      </c>
      <c r="J647" s="8">
        <f t="shared" si="665"/>
        <v>50</v>
      </c>
      <c r="K647" s="7" t="s">
        <v>310</v>
      </c>
      <c r="L647" s="8">
        <v>32</v>
      </c>
      <c r="M647" s="7">
        <f>IF(INDEX([1]equip.xml!$B:$B,MATCH(D647&amp;"",[1]equip.xml!$A:$A,0))=0,0,N647)</f>
        <v>130</v>
      </c>
      <c r="N647" s="8">
        <f t="shared" ref="N647" si="698">N559</f>
        <v>130</v>
      </c>
    </row>
    <row r="648" spans="1:14">
      <c r="A648" s="8">
        <v>10012</v>
      </c>
      <c r="B648" s="8">
        <f t="shared" ref="B648:C648" si="699">B560</f>
        <v>40000</v>
      </c>
      <c r="C648" s="8" t="str">
        <f t="shared" si="699"/>
        <v>装备</v>
      </c>
      <c r="D648" s="8">
        <v>40350030</v>
      </c>
      <c r="E648" s="8"/>
      <c r="F648" s="8">
        <v>1</v>
      </c>
      <c r="G648" s="7">
        <f>3*INDEX([1]equip.xml!$I:$I,MATCH(D648&amp;"",[1]equip.xml!$A:$A,0))</f>
        <v>105000</v>
      </c>
      <c r="H648" s="8" t="str">
        <f t="shared" si="664"/>
        <v>10_10,50_20,80_30</v>
      </c>
      <c r="I648" s="8">
        <v>6</v>
      </c>
      <c r="J648" s="8">
        <f t="shared" si="665"/>
        <v>50</v>
      </c>
      <c r="K648" s="7" t="s">
        <v>310</v>
      </c>
      <c r="L648" s="8">
        <v>32</v>
      </c>
      <c r="M648" s="7">
        <f>IF(INDEX([1]equip.xml!$B:$B,MATCH(D648&amp;"",[1]equip.xml!$A:$A,0))=0,0,N648)</f>
        <v>130</v>
      </c>
      <c r="N648" s="8">
        <f t="shared" ref="N648" si="700">N560</f>
        <v>130</v>
      </c>
    </row>
    <row r="649" spans="1:14">
      <c r="A649" s="8">
        <v>10012</v>
      </c>
      <c r="B649" s="8">
        <f t="shared" ref="B649:C649" si="701">B561</f>
        <v>40000</v>
      </c>
      <c r="C649" s="8" t="str">
        <f t="shared" si="701"/>
        <v>装备</v>
      </c>
      <c r="D649" s="8">
        <v>40350080</v>
      </c>
      <c r="E649" s="8"/>
      <c r="F649" s="8">
        <v>1</v>
      </c>
      <c r="G649" s="7">
        <f>3*INDEX([1]equip.xml!$I:$I,MATCH(D649&amp;"",[1]equip.xml!$A:$A,0))</f>
        <v>105000</v>
      </c>
      <c r="H649" s="8" t="str">
        <f t="shared" si="664"/>
        <v>10_10,50_20,80_30</v>
      </c>
      <c r="I649" s="8">
        <v>6</v>
      </c>
      <c r="J649" s="8">
        <f t="shared" si="665"/>
        <v>50</v>
      </c>
      <c r="K649" s="7" t="s">
        <v>310</v>
      </c>
      <c r="L649" s="8">
        <v>32</v>
      </c>
      <c r="M649" s="7">
        <f>IF(INDEX([1]equip.xml!$B:$B,MATCH(D649&amp;"",[1]equip.xml!$A:$A,0))=0,0,N649)</f>
        <v>130</v>
      </c>
      <c r="N649" s="8">
        <f t="shared" ref="N649" si="702">N561</f>
        <v>130</v>
      </c>
    </row>
    <row r="650" spans="1:14">
      <c r="A650" s="8">
        <v>10012</v>
      </c>
      <c r="B650" s="8">
        <f t="shared" ref="B650:C650" si="703">B562</f>
        <v>40000</v>
      </c>
      <c r="C650" s="8" t="str">
        <f t="shared" si="703"/>
        <v>装备</v>
      </c>
      <c r="D650" s="8">
        <v>40350090</v>
      </c>
      <c r="E650" s="8"/>
      <c r="F650" s="8">
        <v>1</v>
      </c>
      <c r="G650" s="7">
        <f>3*INDEX([1]equip.xml!$I:$I,MATCH(D650&amp;"",[1]equip.xml!$A:$A,0))</f>
        <v>105000</v>
      </c>
      <c r="H650" s="8" t="str">
        <f t="shared" si="664"/>
        <v>10_10,50_20,80_30</v>
      </c>
      <c r="I650" s="8">
        <v>6</v>
      </c>
      <c r="J650" s="8">
        <f t="shared" si="665"/>
        <v>50</v>
      </c>
      <c r="K650" s="7" t="s">
        <v>310</v>
      </c>
      <c r="L650" s="8">
        <v>32</v>
      </c>
      <c r="M650" s="7">
        <f>IF(INDEX([1]equip.xml!$B:$B,MATCH(D650&amp;"",[1]equip.xml!$A:$A,0))=0,0,N650)</f>
        <v>130</v>
      </c>
      <c r="N650" s="8">
        <f t="shared" ref="N650" si="704">N562</f>
        <v>130</v>
      </c>
    </row>
    <row r="651" spans="1:14">
      <c r="A651" s="8">
        <v>10012</v>
      </c>
      <c r="B651" s="8">
        <f t="shared" ref="B651:C651" si="705">B563</f>
        <v>40000</v>
      </c>
      <c r="C651" s="8" t="str">
        <f t="shared" si="705"/>
        <v>装备</v>
      </c>
      <c r="D651" s="8">
        <v>40350100</v>
      </c>
      <c r="E651" s="8"/>
      <c r="F651" s="8">
        <v>1</v>
      </c>
      <c r="G651" s="7">
        <f>3*INDEX([1]equip.xml!$I:$I,MATCH(D651&amp;"",[1]equip.xml!$A:$A,0))</f>
        <v>105000</v>
      </c>
      <c r="H651" s="8" t="str">
        <f t="shared" si="664"/>
        <v>10_10,50_20,80_30</v>
      </c>
      <c r="I651" s="8">
        <v>6</v>
      </c>
      <c r="J651" s="8">
        <f t="shared" si="665"/>
        <v>50</v>
      </c>
      <c r="K651" s="7" t="s">
        <v>310</v>
      </c>
      <c r="L651" s="8">
        <v>32</v>
      </c>
      <c r="M651" s="7">
        <f>IF(INDEX([1]equip.xml!$B:$B,MATCH(D651&amp;"",[1]equip.xml!$A:$A,0))=0,0,N651)</f>
        <v>130</v>
      </c>
      <c r="N651" s="8">
        <f t="shared" ref="N651" si="706">N563</f>
        <v>130</v>
      </c>
    </row>
    <row r="652" spans="1:14">
      <c r="A652" s="8">
        <v>10012</v>
      </c>
      <c r="B652" s="8">
        <f t="shared" ref="B652:C652" si="707">B564</f>
        <v>40000</v>
      </c>
      <c r="C652" s="8" t="str">
        <f t="shared" si="707"/>
        <v>装备</v>
      </c>
      <c r="D652" s="8">
        <v>40351050</v>
      </c>
      <c r="E652" s="8"/>
      <c r="F652" s="8">
        <v>1</v>
      </c>
      <c r="G652" s="7">
        <f>3*INDEX([1]equip.xml!$I:$I,MATCH(D652&amp;"",[1]equip.xml!$A:$A,0))</f>
        <v>105000</v>
      </c>
      <c r="H652" s="8" t="str">
        <f t="shared" si="664"/>
        <v>10_10,50_20,80_30</v>
      </c>
      <c r="I652" s="8">
        <v>6</v>
      </c>
      <c r="J652" s="8">
        <f t="shared" si="665"/>
        <v>50</v>
      </c>
      <c r="K652" s="7" t="s">
        <v>310</v>
      </c>
      <c r="L652" s="8">
        <v>32</v>
      </c>
      <c r="M652" s="7">
        <f>IF(INDEX([1]equip.xml!$B:$B,MATCH(D652&amp;"",[1]equip.xml!$A:$A,0))=0,0,N652)</f>
        <v>130</v>
      </c>
      <c r="N652" s="8">
        <f t="shared" ref="N652" si="708">N564</f>
        <v>130</v>
      </c>
    </row>
    <row r="653" spans="1:14">
      <c r="A653" s="8">
        <v>10012</v>
      </c>
      <c r="B653" s="8">
        <f t="shared" ref="B653:C653" si="709">B565</f>
        <v>40000</v>
      </c>
      <c r="C653" s="8" t="str">
        <f t="shared" si="709"/>
        <v>装备</v>
      </c>
      <c r="D653" s="8">
        <v>40351051</v>
      </c>
      <c r="E653" s="8"/>
      <c r="F653" s="8">
        <v>1</v>
      </c>
      <c r="G653" s="7">
        <f>3*INDEX([1]equip.xml!$I:$I,MATCH(D653&amp;"",[1]equip.xml!$A:$A,0))</f>
        <v>114000</v>
      </c>
      <c r="H653" s="8" t="str">
        <f t="shared" si="664"/>
        <v>10_10,50_20,80_30</v>
      </c>
      <c r="I653" s="8">
        <v>6</v>
      </c>
      <c r="J653" s="8">
        <f t="shared" si="665"/>
        <v>50</v>
      </c>
      <c r="K653" s="7" t="s">
        <v>310</v>
      </c>
      <c r="L653" s="8">
        <v>32</v>
      </c>
      <c r="M653" s="7">
        <f>IF(INDEX([1]equip.xml!$B:$B,MATCH(D653&amp;"",[1]equip.xml!$A:$A,0))=0,0,N653)</f>
        <v>0</v>
      </c>
      <c r="N653" s="8">
        <f t="shared" ref="N653" si="710">N565</f>
        <v>130</v>
      </c>
    </row>
    <row r="654" spans="1:14">
      <c r="A654" s="8">
        <v>10012</v>
      </c>
      <c r="B654" s="8">
        <f t="shared" ref="B654:C654" si="711">B566</f>
        <v>40000</v>
      </c>
      <c r="C654" s="8" t="str">
        <f t="shared" si="711"/>
        <v>装备</v>
      </c>
      <c r="D654" s="8">
        <v>40351060</v>
      </c>
      <c r="E654" s="8"/>
      <c r="F654" s="8">
        <v>1</v>
      </c>
      <c r="G654" s="7">
        <f>3*INDEX([1]equip.xml!$I:$I,MATCH(D654&amp;"",[1]equip.xml!$A:$A,0))</f>
        <v>105000</v>
      </c>
      <c r="H654" s="8" t="str">
        <f t="shared" si="664"/>
        <v>10_10,50_20,80_30</v>
      </c>
      <c r="I654" s="8">
        <v>6</v>
      </c>
      <c r="J654" s="8">
        <f t="shared" si="665"/>
        <v>50</v>
      </c>
      <c r="K654" s="7" t="s">
        <v>310</v>
      </c>
      <c r="L654" s="8">
        <v>32</v>
      </c>
      <c r="M654" s="7">
        <f>IF(INDEX([1]equip.xml!$B:$B,MATCH(D654&amp;"",[1]equip.xml!$A:$A,0))=0,0,N654)</f>
        <v>130</v>
      </c>
      <c r="N654" s="8">
        <f t="shared" ref="N654" si="712">N566</f>
        <v>130</v>
      </c>
    </row>
    <row r="655" spans="1:14">
      <c r="A655" s="8">
        <v>10012</v>
      </c>
      <c r="B655" s="8">
        <f t="shared" ref="B655:C655" si="713">B567</f>
        <v>40000</v>
      </c>
      <c r="C655" s="8" t="str">
        <f t="shared" si="713"/>
        <v>装备</v>
      </c>
      <c r="D655" s="8">
        <v>40351061</v>
      </c>
      <c r="E655" s="8"/>
      <c r="F655" s="8">
        <v>1</v>
      </c>
      <c r="G655" s="7">
        <f>3*INDEX([1]equip.xml!$I:$I,MATCH(D655&amp;"",[1]equip.xml!$A:$A,0))</f>
        <v>114000</v>
      </c>
      <c r="H655" s="8" t="str">
        <f t="shared" si="664"/>
        <v>10_10,50_20,80_30</v>
      </c>
      <c r="I655" s="8">
        <v>6</v>
      </c>
      <c r="J655" s="8">
        <f t="shared" si="665"/>
        <v>50</v>
      </c>
      <c r="K655" s="7" t="s">
        <v>310</v>
      </c>
      <c r="L655" s="8">
        <v>32</v>
      </c>
      <c r="M655" s="7">
        <f>IF(INDEX([1]equip.xml!$B:$B,MATCH(D655&amp;"",[1]equip.xml!$A:$A,0))=0,0,N655)</f>
        <v>130</v>
      </c>
      <c r="N655" s="8">
        <f t="shared" ref="N655" si="714">N567</f>
        <v>130</v>
      </c>
    </row>
    <row r="656" spans="1:14">
      <c r="A656" s="8">
        <v>10012</v>
      </c>
      <c r="B656" s="8">
        <f t="shared" ref="B656:C656" si="715">B568</f>
        <v>40000</v>
      </c>
      <c r="C656" s="8" t="str">
        <f t="shared" si="715"/>
        <v>装备</v>
      </c>
      <c r="D656" s="8">
        <v>40352050</v>
      </c>
      <c r="E656" s="8"/>
      <c r="F656" s="8">
        <v>1</v>
      </c>
      <c r="G656" s="7">
        <f>3*INDEX([1]equip.xml!$I:$I,MATCH(D656&amp;"",[1]equip.xml!$A:$A,0))</f>
        <v>105000</v>
      </c>
      <c r="H656" s="8" t="str">
        <f t="shared" si="664"/>
        <v>10_10,50_20,80_30</v>
      </c>
      <c r="I656" s="8">
        <v>6</v>
      </c>
      <c r="J656" s="8">
        <f t="shared" si="665"/>
        <v>50</v>
      </c>
      <c r="K656" s="7" t="s">
        <v>310</v>
      </c>
      <c r="L656" s="8">
        <v>32</v>
      </c>
      <c r="M656" s="7">
        <f>IF(INDEX([1]equip.xml!$B:$B,MATCH(D656&amp;"",[1]equip.xml!$A:$A,0))=0,0,N656)</f>
        <v>130</v>
      </c>
      <c r="N656" s="8">
        <f t="shared" ref="N656" si="716">N568</f>
        <v>130</v>
      </c>
    </row>
    <row r="657" spans="1:14">
      <c r="A657" s="8">
        <v>10012</v>
      </c>
      <c r="B657" s="8">
        <f t="shared" ref="B657:C657" si="717">B569</f>
        <v>40000</v>
      </c>
      <c r="C657" s="8" t="str">
        <f t="shared" si="717"/>
        <v>装备</v>
      </c>
      <c r="D657" s="8">
        <v>40352051</v>
      </c>
      <c r="E657" s="8"/>
      <c r="F657" s="8">
        <v>1</v>
      </c>
      <c r="G657" s="7">
        <f>3*INDEX([1]equip.xml!$I:$I,MATCH(D657&amp;"",[1]equip.xml!$A:$A,0))</f>
        <v>114000</v>
      </c>
      <c r="H657" s="8" t="str">
        <f t="shared" si="664"/>
        <v>10_10,50_20,80_30</v>
      </c>
      <c r="I657" s="8">
        <v>6</v>
      </c>
      <c r="J657" s="8">
        <f t="shared" si="665"/>
        <v>50</v>
      </c>
      <c r="K657" s="7" t="s">
        <v>310</v>
      </c>
      <c r="L657" s="8">
        <v>32</v>
      </c>
      <c r="M657" s="7">
        <f>IF(INDEX([1]equip.xml!$B:$B,MATCH(D657&amp;"",[1]equip.xml!$A:$A,0))=0,0,N657)</f>
        <v>0</v>
      </c>
      <c r="N657" s="8">
        <f t="shared" ref="N657" si="718">N569</f>
        <v>130</v>
      </c>
    </row>
    <row r="658" spans="1:14">
      <c r="A658" s="8">
        <v>10012</v>
      </c>
      <c r="B658" s="8">
        <f t="shared" ref="B658:C658" si="719">B570</f>
        <v>40000</v>
      </c>
      <c r="C658" s="8" t="str">
        <f t="shared" si="719"/>
        <v>装备</v>
      </c>
      <c r="D658" s="8">
        <v>40352060</v>
      </c>
      <c r="E658" s="8"/>
      <c r="F658" s="8">
        <v>1</v>
      </c>
      <c r="G658" s="7">
        <f>3*INDEX([1]equip.xml!$I:$I,MATCH(D658&amp;"",[1]equip.xml!$A:$A,0))</f>
        <v>105000</v>
      </c>
      <c r="H658" s="8" t="str">
        <f t="shared" si="664"/>
        <v>10_10,50_20,80_30</v>
      </c>
      <c r="I658" s="8">
        <v>6</v>
      </c>
      <c r="J658" s="8">
        <f t="shared" si="665"/>
        <v>50</v>
      </c>
      <c r="K658" s="7" t="s">
        <v>310</v>
      </c>
      <c r="L658" s="8">
        <v>32</v>
      </c>
      <c r="M658" s="7">
        <f>IF(INDEX([1]equip.xml!$B:$B,MATCH(D658&amp;"",[1]equip.xml!$A:$A,0))=0,0,N658)</f>
        <v>130</v>
      </c>
      <c r="N658" s="8">
        <f t="shared" ref="N658" si="720">N570</f>
        <v>130</v>
      </c>
    </row>
    <row r="659" spans="1:14">
      <c r="A659" s="8">
        <v>10012</v>
      </c>
      <c r="B659" s="8">
        <f t="shared" ref="B659:C659" si="721">B571</f>
        <v>40000</v>
      </c>
      <c r="C659" s="8" t="str">
        <f t="shared" si="721"/>
        <v>装备</v>
      </c>
      <c r="D659" s="8">
        <v>40352061</v>
      </c>
      <c r="E659" s="8"/>
      <c r="F659" s="8">
        <v>1</v>
      </c>
      <c r="G659" s="7">
        <f>3*INDEX([1]equip.xml!$I:$I,MATCH(D659&amp;"",[1]equip.xml!$A:$A,0))</f>
        <v>114000</v>
      </c>
      <c r="H659" s="8" t="str">
        <f t="shared" si="664"/>
        <v>10_10,50_20,80_30</v>
      </c>
      <c r="I659" s="8">
        <v>6</v>
      </c>
      <c r="J659" s="8">
        <f t="shared" si="665"/>
        <v>50</v>
      </c>
      <c r="K659" s="7" t="s">
        <v>310</v>
      </c>
      <c r="L659" s="8">
        <v>32</v>
      </c>
      <c r="M659" s="7">
        <f>IF(INDEX([1]equip.xml!$B:$B,MATCH(D659&amp;"",[1]equip.xml!$A:$A,0))=0,0,N659)</f>
        <v>130</v>
      </c>
      <c r="N659" s="8">
        <f t="shared" ref="N659" si="722">N571</f>
        <v>130</v>
      </c>
    </row>
    <row r="660" spans="1:14">
      <c r="A660" s="8">
        <v>10012</v>
      </c>
      <c r="B660" s="8">
        <f t="shared" ref="B660:C660" si="723">B572</f>
        <v>40000</v>
      </c>
      <c r="C660" s="8" t="str">
        <f t="shared" si="723"/>
        <v>装备</v>
      </c>
      <c r="D660" s="8">
        <v>40353050</v>
      </c>
      <c r="E660" s="8"/>
      <c r="F660" s="8">
        <v>1</v>
      </c>
      <c r="G660" s="7">
        <f>3*INDEX([1]equip.xml!$I:$I,MATCH(D660&amp;"",[1]equip.xml!$A:$A,0))</f>
        <v>105000</v>
      </c>
      <c r="H660" s="8" t="str">
        <f t="shared" si="664"/>
        <v>10_10,50_20,80_30</v>
      </c>
      <c r="I660" s="8">
        <v>6</v>
      </c>
      <c r="J660" s="8">
        <f t="shared" si="665"/>
        <v>50</v>
      </c>
      <c r="K660" s="7" t="s">
        <v>310</v>
      </c>
      <c r="L660" s="8">
        <v>32</v>
      </c>
      <c r="M660" s="7">
        <f>IF(INDEX([1]equip.xml!$B:$B,MATCH(D660&amp;"",[1]equip.xml!$A:$A,0))=0,0,N660)</f>
        <v>130</v>
      </c>
      <c r="N660" s="8">
        <f t="shared" ref="N660" si="724">N572</f>
        <v>130</v>
      </c>
    </row>
    <row r="661" spans="1:14">
      <c r="A661" s="8">
        <v>10012</v>
      </c>
      <c r="B661" s="8">
        <f t="shared" ref="B661:C661" si="725">B573</f>
        <v>40000</v>
      </c>
      <c r="C661" s="8" t="str">
        <f t="shared" si="725"/>
        <v>装备</v>
      </c>
      <c r="D661" s="8">
        <v>40353051</v>
      </c>
      <c r="E661" s="8"/>
      <c r="F661" s="8">
        <v>1</v>
      </c>
      <c r="G661" s="7">
        <f>3*INDEX([1]equip.xml!$I:$I,MATCH(D661&amp;"",[1]equip.xml!$A:$A,0))</f>
        <v>114000</v>
      </c>
      <c r="H661" s="8" t="str">
        <f t="shared" si="664"/>
        <v>10_10,50_20,80_30</v>
      </c>
      <c r="I661" s="8">
        <v>6</v>
      </c>
      <c r="J661" s="8">
        <f t="shared" si="665"/>
        <v>50</v>
      </c>
      <c r="K661" s="7" t="s">
        <v>310</v>
      </c>
      <c r="L661" s="8">
        <v>32</v>
      </c>
      <c r="M661" s="7">
        <f>IF(INDEX([1]equip.xml!$B:$B,MATCH(D661&amp;"",[1]equip.xml!$A:$A,0))=0,0,N661)</f>
        <v>0</v>
      </c>
      <c r="N661" s="8">
        <f t="shared" ref="N661" si="726">N573</f>
        <v>130</v>
      </c>
    </row>
    <row r="662" spans="1:14">
      <c r="A662" s="8">
        <v>10012</v>
      </c>
      <c r="B662" s="8">
        <f t="shared" ref="B662:C662" si="727">B574</f>
        <v>40000</v>
      </c>
      <c r="C662" s="8" t="str">
        <f t="shared" si="727"/>
        <v>装备</v>
      </c>
      <c r="D662" s="8">
        <v>40353060</v>
      </c>
      <c r="E662" s="8"/>
      <c r="F662" s="8">
        <v>1</v>
      </c>
      <c r="G662" s="7">
        <f>3*INDEX([1]equip.xml!$I:$I,MATCH(D662&amp;"",[1]equip.xml!$A:$A,0))</f>
        <v>105000</v>
      </c>
      <c r="H662" s="8" t="str">
        <f t="shared" si="664"/>
        <v>10_10,50_20,80_30</v>
      </c>
      <c r="I662" s="8">
        <v>6</v>
      </c>
      <c r="J662" s="8">
        <f t="shared" si="665"/>
        <v>50</v>
      </c>
      <c r="K662" s="7" t="s">
        <v>310</v>
      </c>
      <c r="L662" s="8">
        <v>32</v>
      </c>
      <c r="M662" s="7">
        <f>IF(INDEX([1]equip.xml!$B:$B,MATCH(D662&amp;"",[1]equip.xml!$A:$A,0))=0,0,N662)</f>
        <v>130</v>
      </c>
      <c r="N662" s="8">
        <f t="shared" ref="N662" si="728">N574</f>
        <v>130</v>
      </c>
    </row>
    <row r="663" spans="1:14">
      <c r="A663" s="8">
        <v>10012</v>
      </c>
      <c r="B663" s="8">
        <f t="shared" ref="B663:C663" si="729">B575</f>
        <v>40000</v>
      </c>
      <c r="C663" s="8" t="str">
        <f t="shared" si="729"/>
        <v>装备</v>
      </c>
      <c r="D663" s="8">
        <v>40353061</v>
      </c>
      <c r="E663" s="8"/>
      <c r="F663" s="8">
        <v>1</v>
      </c>
      <c r="G663" s="7">
        <f>3*INDEX([1]equip.xml!$I:$I,MATCH(D663&amp;"",[1]equip.xml!$A:$A,0))</f>
        <v>114000</v>
      </c>
      <c r="H663" s="8" t="str">
        <f t="shared" si="664"/>
        <v>10_10,50_20,80_30</v>
      </c>
      <c r="I663" s="8">
        <v>6</v>
      </c>
      <c r="J663" s="8">
        <f t="shared" si="665"/>
        <v>50</v>
      </c>
      <c r="K663" s="7" t="s">
        <v>310</v>
      </c>
      <c r="L663" s="8">
        <v>32</v>
      </c>
      <c r="M663" s="7">
        <f>IF(INDEX([1]equip.xml!$B:$B,MATCH(D663&amp;"",[1]equip.xml!$A:$A,0))=0,0,N663)</f>
        <v>130</v>
      </c>
      <c r="N663" s="8">
        <f t="shared" ref="N663" si="730">N575</f>
        <v>130</v>
      </c>
    </row>
    <row r="664" spans="1:14">
      <c r="A664" s="8">
        <v>10012</v>
      </c>
      <c r="B664" s="8">
        <f t="shared" ref="B664:C664" si="731">B576</f>
        <v>40000</v>
      </c>
      <c r="C664" s="8" t="str">
        <f t="shared" si="731"/>
        <v>装备</v>
      </c>
      <c r="D664" s="8">
        <v>40350040</v>
      </c>
      <c r="E664" s="8"/>
      <c r="F664" s="8">
        <v>1</v>
      </c>
      <c r="G664" s="7">
        <f>3*INDEX([1]equip.xml!$I:$I,MATCH(D664&amp;"",[1]equip.xml!$A:$A,0))</f>
        <v>105000</v>
      </c>
      <c r="H664" s="8" t="str">
        <f t="shared" si="664"/>
        <v>10_10,50_20,80_30</v>
      </c>
      <c r="I664" s="8">
        <v>6</v>
      </c>
      <c r="J664" s="8">
        <f t="shared" si="665"/>
        <v>50</v>
      </c>
      <c r="K664" s="7" t="s">
        <v>310</v>
      </c>
      <c r="L664" s="8">
        <v>32</v>
      </c>
      <c r="M664" s="7">
        <f>IF(INDEX([1]equip.xml!$B:$B,MATCH(D664&amp;"",[1]equip.xml!$A:$A,0))=0,0,N664)</f>
        <v>130</v>
      </c>
      <c r="N664" s="8">
        <f t="shared" ref="N664" si="732">N576</f>
        <v>130</v>
      </c>
    </row>
    <row r="665" spans="1:14">
      <c r="A665" s="8">
        <v>10012</v>
      </c>
      <c r="B665" s="8">
        <f t="shared" ref="B665:C665" si="733">B577</f>
        <v>40000</v>
      </c>
      <c r="C665" s="8" t="str">
        <f t="shared" si="733"/>
        <v>装备</v>
      </c>
      <c r="D665" s="8">
        <v>40350041</v>
      </c>
      <c r="E665" s="8"/>
      <c r="F665" s="8">
        <v>1</v>
      </c>
      <c r="G665" s="7">
        <f>3*INDEX([1]equip.xml!$I:$I,MATCH(D665&amp;"",[1]equip.xml!$A:$A,0))</f>
        <v>114000</v>
      </c>
      <c r="H665" s="8" t="str">
        <f t="shared" si="664"/>
        <v>10_10,50_20,80_30</v>
      </c>
      <c r="I665" s="8">
        <v>6</v>
      </c>
      <c r="J665" s="8">
        <f t="shared" si="665"/>
        <v>50</v>
      </c>
      <c r="K665" s="7" t="s">
        <v>310</v>
      </c>
      <c r="L665" s="8">
        <v>32</v>
      </c>
      <c r="M665" s="7">
        <f>IF(INDEX([1]equip.xml!$B:$B,MATCH(D665&amp;"",[1]equip.xml!$A:$A,0))=0,0,N665)</f>
        <v>130</v>
      </c>
      <c r="N665" s="8">
        <f t="shared" ref="N665" si="734">N577</f>
        <v>130</v>
      </c>
    </row>
    <row r="666" spans="1:14">
      <c r="A666" s="8">
        <v>10012</v>
      </c>
      <c r="B666" s="8">
        <f t="shared" ref="B666:C666" si="735">B578</f>
        <v>40000</v>
      </c>
      <c r="C666" s="8" t="str">
        <f t="shared" si="735"/>
        <v>装备</v>
      </c>
      <c r="D666" s="8">
        <v>40350070</v>
      </c>
      <c r="E666" s="8"/>
      <c r="F666" s="8">
        <v>1</v>
      </c>
      <c r="G666" s="7">
        <f>3*INDEX([1]equip.xml!$I:$I,MATCH(D666&amp;"",[1]equip.xml!$A:$A,0))</f>
        <v>105000</v>
      </c>
      <c r="H666" s="8" t="str">
        <f t="shared" si="664"/>
        <v>10_10,50_20,80_30</v>
      </c>
      <c r="I666" s="8">
        <v>6</v>
      </c>
      <c r="J666" s="8">
        <f t="shared" si="665"/>
        <v>50</v>
      </c>
      <c r="K666" s="7" t="s">
        <v>310</v>
      </c>
      <c r="L666" s="8">
        <v>32</v>
      </c>
      <c r="M666" s="7">
        <f>IF(INDEX([1]equip.xml!$B:$B,MATCH(D666&amp;"",[1]equip.xml!$A:$A,0))=0,0,N666)</f>
        <v>130</v>
      </c>
      <c r="N666" s="8">
        <f t="shared" ref="N666" si="736">N578</f>
        <v>130</v>
      </c>
    </row>
    <row r="667" spans="1:14">
      <c r="A667" s="8">
        <v>10012</v>
      </c>
      <c r="B667" s="8">
        <f t="shared" ref="B667:C667" si="737">B579</f>
        <v>40000</v>
      </c>
      <c r="C667" s="8" t="str">
        <f t="shared" si="737"/>
        <v>装备</v>
      </c>
      <c r="D667" s="8">
        <v>40350071</v>
      </c>
      <c r="E667" s="8"/>
      <c r="F667" s="8">
        <v>1</v>
      </c>
      <c r="G667" s="7">
        <f>3*INDEX([1]equip.xml!$I:$I,MATCH(D667&amp;"",[1]equip.xml!$A:$A,0))</f>
        <v>114000</v>
      </c>
      <c r="H667" s="8" t="str">
        <f t="shared" si="664"/>
        <v>10_10,50_20,80_30</v>
      </c>
      <c r="I667" s="8">
        <v>6</v>
      </c>
      <c r="J667" s="8">
        <f t="shared" si="665"/>
        <v>50</v>
      </c>
      <c r="K667" s="7" t="s">
        <v>310</v>
      </c>
      <c r="L667" s="8">
        <v>32</v>
      </c>
      <c r="M667" s="7">
        <f>IF(INDEX([1]equip.xml!$B:$B,MATCH(D667&amp;"",[1]equip.xml!$A:$A,0))=0,0,N667)</f>
        <v>0</v>
      </c>
      <c r="N667" s="8">
        <f t="shared" ref="N667" si="738">N579</f>
        <v>130</v>
      </c>
    </row>
    <row r="668" spans="1:14">
      <c r="A668" s="8">
        <v>10012</v>
      </c>
      <c r="B668" s="8">
        <f t="shared" ref="B668:C668" si="739">B580</f>
        <v>40000</v>
      </c>
      <c r="C668" s="8" t="str">
        <f t="shared" si="739"/>
        <v>装备</v>
      </c>
      <c r="D668" s="8">
        <v>40400010</v>
      </c>
      <c r="E668" s="8"/>
      <c r="F668" s="8">
        <v>1</v>
      </c>
      <c r="G668" s="7">
        <f>3*INDEX([1]equip.xml!$I:$I,MATCH(D668&amp;"",[1]equip.xml!$A:$A,0))</f>
        <v>120000</v>
      </c>
      <c r="H668" s="8" t="str">
        <f t="shared" si="664"/>
        <v>10_10,50_20,80_30</v>
      </c>
      <c r="I668" s="8">
        <v>6</v>
      </c>
      <c r="J668" s="8">
        <f t="shared" si="665"/>
        <v>50</v>
      </c>
      <c r="K668" s="7" t="s">
        <v>310</v>
      </c>
      <c r="L668" s="8">
        <v>32</v>
      </c>
      <c r="M668" s="7">
        <f>IF(INDEX([1]equip.xml!$B:$B,MATCH(D668&amp;"",[1]equip.xml!$A:$A,0))=0,0,N668)</f>
        <v>65</v>
      </c>
      <c r="N668" s="8">
        <f t="shared" ref="N668" si="740">N580</f>
        <v>65</v>
      </c>
    </row>
    <row r="669" spans="1:14">
      <c r="A669" s="8">
        <v>10012</v>
      </c>
      <c r="B669" s="8">
        <f t="shared" ref="B669:C669" si="741">B581</f>
        <v>40000</v>
      </c>
      <c r="C669" s="8" t="str">
        <f t="shared" si="741"/>
        <v>装备</v>
      </c>
      <c r="D669" s="8">
        <v>40400020</v>
      </c>
      <c r="E669" s="8"/>
      <c r="F669" s="8">
        <v>1</v>
      </c>
      <c r="G669" s="7">
        <f>3*INDEX([1]equip.xml!$I:$I,MATCH(D669&amp;"",[1]equip.xml!$A:$A,0))</f>
        <v>120000</v>
      </c>
      <c r="H669" s="8" t="str">
        <f t="shared" si="664"/>
        <v>10_10,50_20,80_30</v>
      </c>
      <c r="I669" s="8">
        <v>6</v>
      </c>
      <c r="J669" s="8">
        <f t="shared" si="665"/>
        <v>50</v>
      </c>
      <c r="K669" s="7" t="s">
        <v>310</v>
      </c>
      <c r="L669" s="8">
        <v>32</v>
      </c>
      <c r="M669" s="7">
        <f>IF(INDEX([1]equip.xml!$B:$B,MATCH(D669&amp;"",[1]equip.xml!$A:$A,0))=0,0,N669)</f>
        <v>65</v>
      </c>
      <c r="N669" s="8">
        <f t="shared" ref="N669" si="742">N581</f>
        <v>65</v>
      </c>
    </row>
    <row r="670" spans="1:14">
      <c r="A670" s="8">
        <v>10012</v>
      </c>
      <c r="B670" s="8">
        <f t="shared" ref="B670:C670" si="743">B582</f>
        <v>40000</v>
      </c>
      <c r="C670" s="8" t="str">
        <f t="shared" si="743"/>
        <v>装备</v>
      </c>
      <c r="D670" s="8">
        <v>40400030</v>
      </c>
      <c r="E670" s="8"/>
      <c r="F670" s="8">
        <v>1</v>
      </c>
      <c r="G670" s="7">
        <f>3*INDEX([1]equip.xml!$I:$I,MATCH(D670&amp;"",[1]equip.xml!$A:$A,0))</f>
        <v>120000</v>
      </c>
      <c r="H670" s="8" t="str">
        <f t="shared" si="664"/>
        <v>10_10,50_20,80_30</v>
      </c>
      <c r="I670" s="8">
        <v>6</v>
      </c>
      <c r="J670" s="8">
        <f t="shared" si="665"/>
        <v>50</v>
      </c>
      <c r="K670" s="7" t="s">
        <v>310</v>
      </c>
      <c r="L670" s="8">
        <v>32</v>
      </c>
      <c r="M670" s="7">
        <f>IF(INDEX([1]equip.xml!$B:$B,MATCH(D670&amp;"",[1]equip.xml!$A:$A,0))=0,0,N670)</f>
        <v>65</v>
      </c>
      <c r="N670" s="8">
        <f t="shared" ref="N670" si="744">N582</f>
        <v>65</v>
      </c>
    </row>
    <row r="671" spans="1:14">
      <c r="A671" s="8">
        <v>10012</v>
      </c>
      <c r="B671" s="8">
        <f t="shared" ref="B671:C671" si="745">B583</f>
        <v>40000</v>
      </c>
      <c r="C671" s="8" t="str">
        <f t="shared" si="745"/>
        <v>装备</v>
      </c>
      <c r="D671" s="8">
        <v>40400080</v>
      </c>
      <c r="E671" s="8"/>
      <c r="F671" s="8">
        <v>1</v>
      </c>
      <c r="G671" s="7">
        <f>3*INDEX([1]equip.xml!$I:$I,MATCH(D671&amp;"",[1]equip.xml!$A:$A,0))</f>
        <v>120000</v>
      </c>
      <c r="H671" s="8" t="str">
        <f t="shared" si="664"/>
        <v>10_10,50_20,80_30</v>
      </c>
      <c r="I671" s="8">
        <v>6</v>
      </c>
      <c r="J671" s="8">
        <f t="shared" si="665"/>
        <v>50</v>
      </c>
      <c r="K671" s="7" t="s">
        <v>310</v>
      </c>
      <c r="L671" s="8">
        <v>32</v>
      </c>
      <c r="M671" s="7">
        <f>IF(INDEX([1]equip.xml!$B:$B,MATCH(D671&amp;"",[1]equip.xml!$A:$A,0))=0,0,N671)</f>
        <v>65</v>
      </c>
      <c r="N671" s="8">
        <f t="shared" ref="N671" si="746">N583</f>
        <v>65</v>
      </c>
    </row>
    <row r="672" spans="1:14">
      <c r="A672" s="8">
        <v>10012</v>
      </c>
      <c r="B672" s="8">
        <f t="shared" ref="B672:C672" si="747">B584</f>
        <v>40000</v>
      </c>
      <c r="C672" s="8" t="str">
        <f t="shared" si="747"/>
        <v>装备</v>
      </c>
      <c r="D672" s="8">
        <v>40400090</v>
      </c>
      <c r="E672" s="8"/>
      <c r="F672" s="8">
        <v>1</v>
      </c>
      <c r="G672" s="7">
        <f>3*INDEX([1]equip.xml!$I:$I,MATCH(D672&amp;"",[1]equip.xml!$A:$A,0))</f>
        <v>120000</v>
      </c>
      <c r="H672" s="8" t="str">
        <f t="shared" si="664"/>
        <v>10_10,50_20,80_30</v>
      </c>
      <c r="I672" s="8">
        <v>6</v>
      </c>
      <c r="J672" s="8">
        <f t="shared" si="665"/>
        <v>50</v>
      </c>
      <c r="K672" s="7" t="s">
        <v>310</v>
      </c>
      <c r="L672" s="8">
        <v>32</v>
      </c>
      <c r="M672" s="7">
        <f>IF(INDEX([1]equip.xml!$B:$B,MATCH(D672&amp;"",[1]equip.xml!$A:$A,0))=0,0,N672)</f>
        <v>65</v>
      </c>
      <c r="N672" s="8">
        <f t="shared" ref="N672" si="748">N584</f>
        <v>65</v>
      </c>
    </row>
    <row r="673" spans="1:14">
      <c r="A673" s="8">
        <v>10012</v>
      </c>
      <c r="B673" s="8">
        <f t="shared" ref="B673:C673" si="749">B585</f>
        <v>40000</v>
      </c>
      <c r="C673" s="8" t="str">
        <f t="shared" si="749"/>
        <v>装备</v>
      </c>
      <c r="D673" s="8">
        <v>40400100</v>
      </c>
      <c r="E673" s="8"/>
      <c r="F673" s="8">
        <v>1</v>
      </c>
      <c r="G673" s="7">
        <f>3*INDEX([1]equip.xml!$I:$I,MATCH(D673&amp;"",[1]equip.xml!$A:$A,0))</f>
        <v>120000</v>
      </c>
      <c r="H673" s="8" t="str">
        <f t="shared" si="664"/>
        <v>10_10,50_20,80_30</v>
      </c>
      <c r="I673" s="8">
        <v>6</v>
      </c>
      <c r="J673" s="8">
        <f t="shared" si="665"/>
        <v>50</v>
      </c>
      <c r="K673" s="7" t="s">
        <v>310</v>
      </c>
      <c r="L673" s="8">
        <v>32</v>
      </c>
      <c r="M673" s="7">
        <f>IF(INDEX([1]equip.xml!$B:$B,MATCH(D673&amp;"",[1]equip.xml!$A:$A,0))=0,0,N673)</f>
        <v>65</v>
      </c>
      <c r="N673" s="8">
        <f t="shared" ref="N673" si="750">N585</f>
        <v>65</v>
      </c>
    </row>
    <row r="674" spans="1:14">
      <c r="A674" s="8">
        <v>10012</v>
      </c>
      <c r="B674" s="8">
        <f t="shared" ref="B674:C674" si="751">B586</f>
        <v>40000</v>
      </c>
      <c r="C674" s="8" t="str">
        <f t="shared" si="751"/>
        <v>装备</v>
      </c>
      <c r="D674" s="8">
        <v>40401050</v>
      </c>
      <c r="E674" s="8"/>
      <c r="F674" s="8">
        <v>1</v>
      </c>
      <c r="G674" s="7">
        <f>3*INDEX([1]equip.xml!$I:$I,MATCH(D674&amp;"",[1]equip.xml!$A:$A,0))</f>
        <v>120000</v>
      </c>
      <c r="H674" s="8" t="str">
        <f t="shared" si="664"/>
        <v>10_10,50_20,80_30</v>
      </c>
      <c r="I674" s="8">
        <v>6</v>
      </c>
      <c r="J674" s="8">
        <f t="shared" si="665"/>
        <v>50</v>
      </c>
      <c r="K674" s="7" t="s">
        <v>310</v>
      </c>
      <c r="L674" s="8">
        <v>32</v>
      </c>
      <c r="M674" s="7">
        <f>IF(INDEX([1]equip.xml!$B:$B,MATCH(D674&amp;"",[1]equip.xml!$A:$A,0))=0,0,N674)</f>
        <v>65</v>
      </c>
      <c r="N674" s="8">
        <f t="shared" ref="N674" si="752">N586</f>
        <v>65</v>
      </c>
    </row>
    <row r="675" spans="1:14">
      <c r="A675" s="8">
        <v>10012</v>
      </c>
      <c r="B675" s="8">
        <f t="shared" ref="B675:C675" si="753">B587</f>
        <v>40000</v>
      </c>
      <c r="C675" s="8" t="str">
        <f t="shared" si="753"/>
        <v>装备</v>
      </c>
      <c r="D675" s="8">
        <v>40401051</v>
      </c>
      <c r="E675" s="8"/>
      <c r="F675" s="8">
        <v>1</v>
      </c>
      <c r="G675" s="7">
        <f>3*INDEX([1]equip.xml!$I:$I,MATCH(D675&amp;"",[1]equip.xml!$A:$A,0))</f>
        <v>129000</v>
      </c>
      <c r="H675" s="8" t="str">
        <f t="shared" si="664"/>
        <v>10_10,50_20,80_30</v>
      </c>
      <c r="I675" s="8">
        <v>6</v>
      </c>
      <c r="J675" s="8">
        <f t="shared" si="665"/>
        <v>50</v>
      </c>
      <c r="K675" s="7" t="s">
        <v>310</v>
      </c>
      <c r="L675" s="8">
        <v>32</v>
      </c>
      <c r="M675" s="7">
        <f>IF(INDEX([1]equip.xml!$B:$B,MATCH(D675&amp;"",[1]equip.xml!$A:$A,0))=0,0,N675)</f>
        <v>65</v>
      </c>
      <c r="N675" s="8">
        <f t="shared" ref="N675" si="754">N587</f>
        <v>65</v>
      </c>
    </row>
    <row r="676" spans="1:14">
      <c r="A676" s="8">
        <v>10012</v>
      </c>
      <c r="B676" s="8">
        <f t="shared" ref="B676:C676" si="755">B588</f>
        <v>40000</v>
      </c>
      <c r="C676" s="8" t="str">
        <f t="shared" si="755"/>
        <v>装备</v>
      </c>
      <c r="D676" s="8">
        <v>40401060</v>
      </c>
      <c r="E676" s="8"/>
      <c r="F676" s="8">
        <v>1</v>
      </c>
      <c r="G676" s="7">
        <f>3*INDEX([1]equip.xml!$I:$I,MATCH(D676&amp;"",[1]equip.xml!$A:$A,0))</f>
        <v>120000</v>
      </c>
      <c r="H676" s="8" t="str">
        <f t="shared" si="664"/>
        <v>10_10,50_20,80_30</v>
      </c>
      <c r="I676" s="8">
        <v>6</v>
      </c>
      <c r="J676" s="8">
        <f t="shared" si="665"/>
        <v>50</v>
      </c>
      <c r="K676" s="7" t="s">
        <v>310</v>
      </c>
      <c r="L676" s="8">
        <v>32</v>
      </c>
      <c r="M676" s="7">
        <f>IF(INDEX([1]equip.xml!$B:$B,MATCH(D676&amp;"",[1]equip.xml!$A:$A,0))=0,0,N676)</f>
        <v>65</v>
      </c>
      <c r="N676" s="8">
        <f t="shared" ref="N676" si="756">N588</f>
        <v>65</v>
      </c>
    </row>
    <row r="677" spans="1:14">
      <c r="A677" s="8">
        <v>10012</v>
      </c>
      <c r="B677" s="8">
        <f t="shared" ref="B677:C677" si="757">B589</f>
        <v>40000</v>
      </c>
      <c r="C677" s="8" t="str">
        <f t="shared" si="757"/>
        <v>装备</v>
      </c>
      <c r="D677" s="8">
        <v>40401061</v>
      </c>
      <c r="E677" s="8"/>
      <c r="F677" s="8">
        <v>1</v>
      </c>
      <c r="G677" s="7">
        <f>3*INDEX([1]equip.xml!$I:$I,MATCH(D677&amp;"",[1]equip.xml!$A:$A,0))</f>
        <v>129000</v>
      </c>
      <c r="H677" s="8" t="str">
        <f t="shared" si="664"/>
        <v>10_10,50_20,80_30</v>
      </c>
      <c r="I677" s="8">
        <v>6</v>
      </c>
      <c r="J677" s="8">
        <f t="shared" si="665"/>
        <v>50</v>
      </c>
      <c r="K677" s="7" t="s">
        <v>310</v>
      </c>
      <c r="L677" s="8">
        <v>32</v>
      </c>
      <c r="M677" s="7">
        <f>IF(INDEX([1]equip.xml!$B:$B,MATCH(D677&amp;"",[1]equip.xml!$A:$A,0))=0,0,N677)</f>
        <v>0</v>
      </c>
      <c r="N677" s="8">
        <f t="shared" ref="N677" si="758">N589</f>
        <v>65</v>
      </c>
    </row>
    <row r="678" spans="1:14">
      <c r="A678" s="8">
        <v>10012</v>
      </c>
      <c r="B678" s="8">
        <f t="shared" ref="B678:C678" si="759">B590</f>
        <v>40000</v>
      </c>
      <c r="C678" s="8" t="str">
        <f t="shared" si="759"/>
        <v>装备</v>
      </c>
      <c r="D678" s="8">
        <v>40402050</v>
      </c>
      <c r="E678" s="8"/>
      <c r="F678" s="8">
        <v>1</v>
      </c>
      <c r="G678" s="7">
        <f>3*INDEX([1]equip.xml!$I:$I,MATCH(D678&amp;"",[1]equip.xml!$A:$A,0))</f>
        <v>120000</v>
      </c>
      <c r="H678" s="8" t="str">
        <f t="shared" si="664"/>
        <v>10_10,50_20,80_30</v>
      </c>
      <c r="I678" s="8">
        <v>6</v>
      </c>
      <c r="J678" s="8">
        <f t="shared" si="665"/>
        <v>50</v>
      </c>
      <c r="K678" s="7" t="s">
        <v>310</v>
      </c>
      <c r="L678" s="8">
        <v>32</v>
      </c>
      <c r="M678" s="7">
        <f>IF(INDEX([1]equip.xml!$B:$B,MATCH(D678&amp;"",[1]equip.xml!$A:$A,0))=0,0,N678)</f>
        <v>65</v>
      </c>
      <c r="N678" s="8">
        <f t="shared" ref="N678" si="760">N590</f>
        <v>65</v>
      </c>
    </row>
    <row r="679" spans="1:14">
      <c r="A679" s="8">
        <v>10012</v>
      </c>
      <c r="B679" s="8">
        <f t="shared" ref="B679:C679" si="761">B591</f>
        <v>40000</v>
      </c>
      <c r="C679" s="8" t="str">
        <f t="shared" si="761"/>
        <v>装备</v>
      </c>
      <c r="D679" s="8">
        <v>40402051</v>
      </c>
      <c r="E679" s="8"/>
      <c r="F679" s="8">
        <v>1</v>
      </c>
      <c r="G679" s="7">
        <f>3*INDEX([1]equip.xml!$I:$I,MATCH(D679&amp;"",[1]equip.xml!$A:$A,0))</f>
        <v>129000</v>
      </c>
      <c r="H679" s="8" t="str">
        <f t="shared" si="664"/>
        <v>10_10,50_20,80_30</v>
      </c>
      <c r="I679" s="8">
        <v>6</v>
      </c>
      <c r="J679" s="8">
        <f t="shared" si="665"/>
        <v>50</v>
      </c>
      <c r="K679" s="7" t="s">
        <v>310</v>
      </c>
      <c r="L679" s="8">
        <v>32</v>
      </c>
      <c r="M679" s="7">
        <f>IF(INDEX([1]equip.xml!$B:$B,MATCH(D679&amp;"",[1]equip.xml!$A:$A,0))=0,0,N679)</f>
        <v>65</v>
      </c>
      <c r="N679" s="8">
        <f t="shared" ref="N679" si="762">N591</f>
        <v>65</v>
      </c>
    </row>
    <row r="680" spans="1:14">
      <c r="A680" s="8">
        <v>10012</v>
      </c>
      <c r="B680" s="8">
        <f t="shared" ref="B680:C680" si="763">B592</f>
        <v>40000</v>
      </c>
      <c r="C680" s="8" t="str">
        <f t="shared" si="763"/>
        <v>装备</v>
      </c>
      <c r="D680" s="8">
        <v>40402060</v>
      </c>
      <c r="E680" s="8"/>
      <c r="F680" s="8">
        <v>1</v>
      </c>
      <c r="G680" s="7">
        <f>3*INDEX([1]equip.xml!$I:$I,MATCH(D680&amp;"",[1]equip.xml!$A:$A,0))</f>
        <v>120000</v>
      </c>
      <c r="H680" s="8" t="str">
        <f t="shared" si="664"/>
        <v>10_10,50_20,80_30</v>
      </c>
      <c r="I680" s="8">
        <v>6</v>
      </c>
      <c r="J680" s="8">
        <f t="shared" si="665"/>
        <v>50</v>
      </c>
      <c r="K680" s="7" t="s">
        <v>310</v>
      </c>
      <c r="L680" s="8">
        <v>32</v>
      </c>
      <c r="M680" s="7">
        <f>IF(INDEX([1]equip.xml!$B:$B,MATCH(D680&amp;"",[1]equip.xml!$A:$A,0))=0,0,N680)</f>
        <v>65</v>
      </c>
      <c r="N680" s="8">
        <f t="shared" ref="N680" si="764">N592</f>
        <v>65</v>
      </c>
    </row>
    <row r="681" spans="1:14">
      <c r="A681" s="8">
        <v>10012</v>
      </c>
      <c r="B681" s="8">
        <f t="shared" ref="B681:C681" si="765">B593</f>
        <v>40000</v>
      </c>
      <c r="C681" s="8" t="str">
        <f t="shared" si="765"/>
        <v>装备</v>
      </c>
      <c r="D681" s="8">
        <v>40402061</v>
      </c>
      <c r="E681" s="8"/>
      <c r="F681" s="8">
        <v>1</v>
      </c>
      <c r="G681" s="7">
        <f>3*INDEX([1]equip.xml!$I:$I,MATCH(D681&amp;"",[1]equip.xml!$A:$A,0))</f>
        <v>129000</v>
      </c>
      <c r="H681" s="8" t="str">
        <f t="shared" si="664"/>
        <v>10_10,50_20,80_30</v>
      </c>
      <c r="I681" s="8">
        <v>6</v>
      </c>
      <c r="J681" s="8">
        <f t="shared" si="665"/>
        <v>50</v>
      </c>
      <c r="K681" s="7" t="s">
        <v>310</v>
      </c>
      <c r="L681" s="8">
        <v>32</v>
      </c>
      <c r="M681" s="7">
        <f>IF(INDEX([1]equip.xml!$B:$B,MATCH(D681&amp;"",[1]equip.xml!$A:$A,0))=0,0,N681)</f>
        <v>0</v>
      </c>
      <c r="N681" s="8">
        <f t="shared" ref="N681" si="766">N593</f>
        <v>65</v>
      </c>
    </row>
    <row r="682" spans="1:14">
      <c r="A682" s="8">
        <v>10012</v>
      </c>
      <c r="B682" s="8">
        <f t="shared" ref="B682:C682" si="767">B594</f>
        <v>40000</v>
      </c>
      <c r="C682" s="8" t="str">
        <f t="shared" si="767"/>
        <v>装备</v>
      </c>
      <c r="D682" s="8">
        <v>40403050</v>
      </c>
      <c r="E682" s="8"/>
      <c r="F682" s="8">
        <v>1</v>
      </c>
      <c r="G682" s="7">
        <f>3*INDEX([1]equip.xml!$I:$I,MATCH(D682&amp;"",[1]equip.xml!$A:$A,0))</f>
        <v>120000</v>
      </c>
      <c r="H682" s="8" t="str">
        <f t="shared" si="664"/>
        <v>10_10,50_20,80_30</v>
      </c>
      <c r="I682" s="8">
        <v>6</v>
      </c>
      <c r="J682" s="8">
        <f t="shared" si="665"/>
        <v>50</v>
      </c>
      <c r="K682" s="7" t="s">
        <v>310</v>
      </c>
      <c r="L682" s="8">
        <v>32</v>
      </c>
      <c r="M682" s="7">
        <f>IF(INDEX([1]equip.xml!$B:$B,MATCH(D682&amp;"",[1]equip.xml!$A:$A,0))=0,0,N682)</f>
        <v>65</v>
      </c>
      <c r="N682" s="8">
        <f t="shared" ref="N682" si="768">N594</f>
        <v>65</v>
      </c>
    </row>
    <row r="683" spans="1:14">
      <c r="A683" s="8">
        <v>10012</v>
      </c>
      <c r="B683" s="8">
        <f t="shared" ref="B683:C683" si="769">B595</f>
        <v>40000</v>
      </c>
      <c r="C683" s="8" t="str">
        <f t="shared" si="769"/>
        <v>装备</v>
      </c>
      <c r="D683" s="8">
        <v>40403051</v>
      </c>
      <c r="E683" s="8"/>
      <c r="F683" s="8">
        <v>1</v>
      </c>
      <c r="G683" s="7">
        <f>3*INDEX([1]equip.xml!$I:$I,MATCH(D683&amp;"",[1]equip.xml!$A:$A,0))</f>
        <v>129000</v>
      </c>
      <c r="H683" s="8" t="str">
        <f t="shared" si="664"/>
        <v>10_10,50_20,80_30</v>
      </c>
      <c r="I683" s="8">
        <v>6</v>
      </c>
      <c r="J683" s="8">
        <f t="shared" si="665"/>
        <v>50</v>
      </c>
      <c r="K683" s="7" t="s">
        <v>310</v>
      </c>
      <c r="L683" s="8">
        <v>32</v>
      </c>
      <c r="M683" s="7">
        <f>IF(INDEX([1]equip.xml!$B:$B,MATCH(D683&amp;"",[1]equip.xml!$A:$A,0))=0,0,N683)</f>
        <v>65</v>
      </c>
      <c r="N683" s="8">
        <f t="shared" ref="N683" si="770">N595</f>
        <v>65</v>
      </c>
    </row>
    <row r="684" spans="1:14">
      <c r="A684" s="8">
        <v>10012</v>
      </c>
      <c r="B684" s="8">
        <f t="shared" ref="B684:C684" si="771">B596</f>
        <v>40000</v>
      </c>
      <c r="C684" s="8" t="str">
        <f t="shared" si="771"/>
        <v>装备</v>
      </c>
      <c r="D684" s="8">
        <v>40403060</v>
      </c>
      <c r="E684" s="8"/>
      <c r="F684" s="8">
        <v>1</v>
      </c>
      <c r="G684" s="7">
        <f>3*INDEX([1]equip.xml!$I:$I,MATCH(D684&amp;"",[1]equip.xml!$A:$A,0))</f>
        <v>120000</v>
      </c>
      <c r="H684" s="8" t="str">
        <f t="shared" si="664"/>
        <v>10_10,50_20,80_30</v>
      </c>
      <c r="I684" s="8">
        <v>6</v>
      </c>
      <c r="J684" s="8">
        <f t="shared" si="665"/>
        <v>50</v>
      </c>
      <c r="K684" s="7" t="s">
        <v>310</v>
      </c>
      <c r="L684" s="8">
        <v>32</v>
      </c>
      <c r="M684" s="7">
        <f>IF(INDEX([1]equip.xml!$B:$B,MATCH(D684&amp;"",[1]equip.xml!$A:$A,0))=0,0,N684)</f>
        <v>65</v>
      </c>
      <c r="N684" s="8">
        <f t="shared" ref="N684" si="772">N596</f>
        <v>65</v>
      </c>
    </row>
    <row r="685" spans="1:14">
      <c r="A685" s="8">
        <v>10012</v>
      </c>
      <c r="B685" s="8">
        <f t="shared" ref="B685:C685" si="773">B597</f>
        <v>40000</v>
      </c>
      <c r="C685" s="8" t="str">
        <f t="shared" si="773"/>
        <v>装备</v>
      </c>
      <c r="D685" s="8">
        <v>40403061</v>
      </c>
      <c r="E685" s="8"/>
      <c r="F685" s="8">
        <v>1</v>
      </c>
      <c r="G685" s="7">
        <f>3*INDEX([1]equip.xml!$I:$I,MATCH(D685&amp;"",[1]equip.xml!$A:$A,0))</f>
        <v>129000</v>
      </c>
      <c r="H685" s="8" t="str">
        <f t="shared" si="664"/>
        <v>10_10,50_20,80_30</v>
      </c>
      <c r="I685" s="8">
        <v>6</v>
      </c>
      <c r="J685" s="8">
        <f t="shared" si="665"/>
        <v>50</v>
      </c>
      <c r="K685" s="7" t="s">
        <v>310</v>
      </c>
      <c r="L685" s="8">
        <v>32</v>
      </c>
      <c r="M685" s="7">
        <f>IF(INDEX([1]equip.xml!$B:$B,MATCH(D685&amp;"",[1]equip.xml!$A:$A,0))=0,0,N685)</f>
        <v>0</v>
      </c>
      <c r="N685" s="8">
        <f t="shared" ref="N685" si="774">N597</f>
        <v>65</v>
      </c>
    </row>
    <row r="686" spans="1:14">
      <c r="A686" s="8">
        <v>10012</v>
      </c>
      <c r="B686" s="8">
        <f t="shared" ref="B686:C686" si="775">B598</f>
        <v>40000</v>
      </c>
      <c r="C686" s="8" t="str">
        <f t="shared" si="775"/>
        <v>装备</v>
      </c>
      <c r="D686" s="8">
        <v>40400040</v>
      </c>
      <c r="E686" s="8"/>
      <c r="F686" s="8">
        <v>1</v>
      </c>
      <c r="G686" s="7">
        <f>3*INDEX([1]equip.xml!$I:$I,MATCH(D686&amp;"",[1]equip.xml!$A:$A,0))</f>
        <v>120000</v>
      </c>
      <c r="H686" s="8" t="str">
        <f t="shared" si="664"/>
        <v>10_10,50_20,80_30</v>
      </c>
      <c r="I686" s="8">
        <v>6</v>
      </c>
      <c r="J686" s="8">
        <f t="shared" si="665"/>
        <v>50</v>
      </c>
      <c r="K686" s="7" t="s">
        <v>310</v>
      </c>
      <c r="L686" s="8">
        <v>32</v>
      </c>
      <c r="M686" s="7">
        <f>IF(INDEX([1]equip.xml!$B:$B,MATCH(D686&amp;"",[1]equip.xml!$A:$A,0))=0,0,N686)</f>
        <v>65</v>
      </c>
      <c r="N686" s="8">
        <f t="shared" ref="N686" si="776">N598</f>
        <v>65</v>
      </c>
    </row>
    <row r="687" spans="1:14">
      <c r="A687" s="8">
        <v>10012</v>
      </c>
      <c r="B687" s="8">
        <f t="shared" ref="B687:C687" si="777">B599</f>
        <v>40000</v>
      </c>
      <c r="C687" s="8" t="str">
        <f t="shared" si="777"/>
        <v>装备</v>
      </c>
      <c r="D687" s="8">
        <v>40400041</v>
      </c>
      <c r="E687" s="8"/>
      <c r="F687" s="8">
        <v>1</v>
      </c>
      <c r="G687" s="7">
        <f>3*INDEX([1]equip.xml!$I:$I,MATCH(D687&amp;"",[1]equip.xml!$A:$A,0))</f>
        <v>129000</v>
      </c>
      <c r="H687" s="8" t="str">
        <f t="shared" si="664"/>
        <v>10_10,50_20,80_30</v>
      </c>
      <c r="I687" s="8">
        <v>6</v>
      </c>
      <c r="J687" s="8">
        <f t="shared" si="665"/>
        <v>50</v>
      </c>
      <c r="K687" s="7" t="s">
        <v>310</v>
      </c>
      <c r="L687" s="8">
        <v>32</v>
      </c>
      <c r="M687" s="7">
        <f>IF(INDEX([1]equip.xml!$B:$B,MATCH(D687&amp;"",[1]equip.xml!$A:$A,0))=0,0,N687)</f>
        <v>0</v>
      </c>
      <c r="N687" s="8">
        <f t="shared" ref="N687" si="778">N599</f>
        <v>65</v>
      </c>
    </row>
    <row r="688" spans="1:14">
      <c r="A688" s="8">
        <v>10012</v>
      </c>
      <c r="B688" s="8">
        <f t="shared" ref="B688:C688" si="779">B600</f>
        <v>40000</v>
      </c>
      <c r="C688" s="8" t="str">
        <f t="shared" si="779"/>
        <v>装备</v>
      </c>
      <c r="D688" s="8">
        <v>40400070</v>
      </c>
      <c r="E688" s="8"/>
      <c r="F688" s="8">
        <v>1</v>
      </c>
      <c r="G688" s="7">
        <f>3*INDEX([1]equip.xml!$I:$I,MATCH(D688&amp;"",[1]equip.xml!$A:$A,0))</f>
        <v>120000</v>
      </c>
      <c r="H688" s="8" t="str">
        <f t="shared" si="664"/>
        <v>10_10,50_20,80_30</v>
      </c>
      <c r="I688" s="8">
        <v>6</v>
      </c>
      <c r="J688" s="8">
        <f t="shared" si="665"/>
        <v>50</v>
      </c>
      <c r="K688" s="7" t="s">
        <v>310</v>
      </c>
      <c r="L688" s="8">
        <v>32</v>
      </c>
      <c r="M688" s="7">
        <f>IF(INDEX([1]equip.xml!$B:$B,MATCH(D688&amp;"",[1]equip.xml!$A:$A,0))=0,0,N688)</f>
        <v>65</v>
      </c>
      <c r="N688" s="8">
        <f t="shared" ref="N688" si="780">N600</f>
        <v>65</v>
      </c>
    </row>
    <row r="689" spans="1:14">
      <c r="A689" s="8">
        <v>10012</v>
      </c>
      <c r="B689" s="8">
        <f t="shared" ref="B689:C689" si="781">B601</f>
        <v>40000</v>
      </c>
      <c r="C689" s="8" t="str">
        <f t="shared" si="781"/>
        <v>装备</v>
      </c>
      <c r="D689" s="8">
        <v>40400071</v>
      </c>
      <c r="E689" s="8"/>
      <c r="F689" s="8">
        <v>1</v>
      </c>
      <c r="G689" s="7">
        <f>3*INDEX([1]equip.xml!$I:$I,MATCH(D689&amp;"",[1]equip.xml!$A:$A,0))</f>
        <v>129000</v>
      </c>
      <c r="H689" s="8" t="str">
        <f t="shared" si="664"/>
        <v>10_10,50_20,80_30</v>
      </c>
      <c r="I689" s="8">
        <v>6</v>
      </c>
      <c r="J689" s="8">
        <f t="shared" si="665"/>
        <v>50</v>
      </c>
      <c r="K689" s="7" t="s">
        <v>310</v>
      </c>
      <c r="L689" s="8">
        <v>32</v>
      </c>
      <c r="M689" s="7">
        <f>IF(INDEX([1]equip.xml!$B:$B,MATCH(D689&amp;"",[1]equip.xml!$A:$A,0))=0,0,N689)</f>
        <v>0</v>
      </c>
      <c r="N689" s="8">
        <f t="shared" ref="N689" si="782">N601</f>
        <v>65</v>
      </c>
    </row>
    <row r="690" spans="1:14">
      <c r="A690" s="8">
        <v>10012</v>
      </c>
      <c r="B690" s="8">
        <f t="shared" ref="B690:C690" si="783">B602</f>
        <v>40000</v>
      </c>
      <c r="C690" s="8" t="str">
        <f t="shared" si="783"/>
        <v>装备</v>
      </c>
      <c r="D690" s="7">
        <f>D646+10000005</f>
        <v>50350015</v>
      </c>
      <c r="E690" s="8"/>
      <c r="F690" s="8">
        <v>1</v>
      </c>
      <c r="G690" s="8">
        <f>3*INDEX([1]equip.xml!$I:$I,MATCH(D690,[1]equip.xml!$A:$A,0))</f>
        <v>210000</v>
      </c>
      <c r="H690" s="8" t="str">
        <f t="shared" si="664"/>
        <v>10_10,50_20,80_30</v>
      </c>
      <c r="I690" s="8">
        <v>6</v>
      </c>
      <c r="J690" s="8">
        <f t="shared" si="665"/>
        <v>240</v>
      </c>
      <c r="K690" s="7" t="s">
        <v>310</v>
      </c>
      <c r="L690" s="8">
        <v>32</v>
      </c>
      <c r="M690" s="7">
        <f>IF(INDEX([1]equip.xml!$B:$B,MATCH(D690,[1]equip.xml!$A:$A,0))=0,0,N690)</f>
        <v>70</v>
      </c>
      <c r="N690" s="8">
        <f t="shared" ref="N690" si="784">N602</f>
        <v>70</v>
      </c>
    </row>
    <row r="691" spans="1:14">
      <c r="A691" s="8">
        <v>10012</v>
      </c>
      <c r="B691" s="8">
        <f t="shared" ref="B691:C691" si="785">B603</f>
        <v>40000</v>
      </c>
      <c r="C691" s="8" t="str">
        <f t="shared" si="785"/>
        <v>装备</v>
      </c>
      <c r="D691" s="7">
        <f t="shared" ref="D691:D733" si="786">D647+10000005</f>
        <v>50350025</v>
      </c>
      <c r="E691" s="8"/>
      <c r="F691" s="8">
        <v>1</v>
      </c>
      <c r="G691" s="8">
        <f>3*INDEX([1]equip.xml!$I:$I,MATCH(D691,[1]equip.xml!$A:$A,0))</f>
        <v>210000</v>
      </c>
      <c r="H691" s="8" t="str">
        <f t="shared" si="664"/>
        <v>10_10,50_20,80_30</v>
      </c>
      <c r="I691" s="8">
        <v>6</v>
      </c>
      <c r="J691" s="8">
        <f t="shared" si="665"/>
        <v>240</v>
      </c>
      <c r="K691" s="7" t="s">
        <v>310</v>
      </c>
      <c r="L691" s="8">
        <v>32</v>
      </c>
      <c r="M691" s="7">
        <f>IF(INDEX([1]equip.xml!$B:$B,MATCH(D691,[1]equip.xml!$A:$A,0))=0,0,N691)</f>
        <v>70</v>
      </c>
      <c r="N691" s="8">
        <f t="shared" ref="N691" si="787">N603</f>
        <v>70</v>
      </c>
    </row>
    <row r="692" spans="1:14">
      <c r="A692" s="8">
        <v>10012</v>
      </c>
      <c r="B692" s="8">
        <f t="shared" ref="B692:C692" si="788">B604</f>
        <v>40000</v>
      </c>
      <c r="C692" s="8" t="str">
        <f t="shared" si="788"/>
        <v>装备</v>
      </c>
      <c r="D692" s="7">
        <f t="shared" si="786"/>
        <v>50350035</v>
      </c>
      <c r="E692" s="8"/>
      <c r="F692" s="8">
        <v>1</v>
      </c>
      <c r="G692" s="8">
        <f>3*INDEX([1]equip.xml!$I:$I,MATCH(D692,[1]equip.xml!$A:$A,0))</f>
        <v>210000</v>
      </c>
      <c r="H692" s="8" t="str">
        <f t="shared" si="664"/>
        <v>10_10,50_20,80_30</v>
      </c>
      <c r="I692" s="8">
        <v>6</v>
      </c>
      <c r="J692" s="8">
        <f t="shared" si="665"/>
        <v>240</v>
      </c>
      <c r="K692" s="7" t="s">
        <v>310</v>
      </c>
      <c r="L692" s="8">
        <v>32</v>
      </c>
      <c r="M692" s="7">
        <f>IF(INDEX([1]equip.xml!$B:$B,MATCH(D692,[1]equip.xml!$A:$A,0))=0,0,N692)</f>
        <v>70</v>
      </c>
      <c r="N692" s="8">
        <f t="shared" ref="N692" si="789">N604</f>
        <v>70</v>
      </c>
    </row>
    <row r="693" spans="1:14">
      <c r="A693" s="8">
        <v>10012</v>
      </c>
      <c r="B693" s="8">
        <f t="shared" ref="B693:C693" si="790">B605</f>
        <v>40000</v>
      </c>
      <c r="C693" s="8" t="str">
        <f t="shared" si="790"/>
        <v>装备</v>
      </c>
      <c r="D693" s="7">
        <f t="shared" si="786"/>
        <v>50350085</v>
      </c>
      <c r="E693" s="8"/>
      <c r="F693" s="8">
        <v>1</v>
      </c>
      <c r="G693" s="8">
        <f>3*INDEX([1]equip.xml!$I:$I,MATCH(D693,[1]equip.xml!$A:$A,0))</f>
        <v>210000</v>
      </c>
      <c r="H693" s="8" t="str">
        <f t="shared" si="664"/>
        <v>10_10,50_20,80_30</v>
      </c>
      <c r="I693" s="8">
        <v>6</v>
      </c>
      <c r="J693" s="8">
        <f t="shared" si="665"/>
        <v>240</v>
      </c>
      <c r="K693" s="7" t="s">
        <v>310</v>
      </c>
      <c r="L693" s="8">
        <v>32</v>
      </c>
      <c r="M693" s="7">
        <f>IF(INDEX([1]equip.xml!$B:$B,MATCH(D693,[1]equip.xml!$A:$A,0))=0,0,N693)</f>
        <v>70</v>
      </c>
      <c r="N693" s="8">
        <f t="shared" ref="N693" si="791">N605</f>
        <v>70</v>
      </c>
    </row>
    <row r="694" spans="1:14">
      <c r="A694" s="8">
        <v>10012</v>
      </c>
      <c r="B694" s="8">
        <f t="shared" ref="B694:C694" si="792">B606</f>
        <v>40000</v>
      </c>
      <c r="C694" s="8" t="str">
        <f t="shared" si="792"/>
        <v>装备</v>
      </c>
      <c r="D694" s="7">
        <f t="shared" si="786"/>
        <v>50350095</v>
      </c>
      <c r="E694" s="8"/>
      <c r="F694" s="8">
        <v>1</v>
      </c>
      <c r="G694" s="8">
        <f>3*INDEX([1]equip.xml!$I:$I,MATCH(D694,[1]equip.xml!$A:$A,0))</f>
        <v>210000</v>
      </c>
      <c r="H694" s="8" t="str">
        <f t="shared" si="664"/>
        <v>10_10,50_20,80_30</v>
      </c>
      <c r="I694" s="8">
        <v>6</v>
      </c>
      <c r="J694" s="8">
        <f t="shared" si="665"/>
        <v>240</v>
      </c>
      <c r="K694" s="7" t="s">
        <v>310</v>
      </c>
      <c r="L694" s="8">
        <v>32</v>
      </c>
      <c r="M694" s="7">
        <f>IF(INDEX([1]equip.xml!$B:$B,MATCH(D694,[1]equip.xml!$A:$A,0))=0,0,N694)</f>
        <v>70</v>
      </c>
      <c r="N694" s="8">
        <f t="shared" ref="N694" si="793">N606</f>
        <v>70</v>
      </c>
    </row>
    <row r="695" spans="1:14">
      <c r="A695" s="8">
        <v>10012</v>
      </c>
      <c r="B695" s="8">
        <f t="shared" ref="B695:C695" si="794">B607</f>
        <v>40000</v>
      </c>
      <c r="C695" s="8" t="str">
        <f t="shared" si="794"/>
        <v>装备</v>
      </c>
      <c r="D695" s="7">
        <f t="shared" si="786"/>
        <v>50350105</v>
      </c>
      <c r="E695" s="8"/>
      <c r="F695" s="8">
        <v>1</v>
      </c>
      <c r="G695" s="8">
        <f>3*INDEX([1]equip.xml!$I:$I,MATCH(D695,[1]equip.xml!$A:$A,0))</f>
        <v>210000</v>
      </c>
      <c r="H695" s="8" t="str">
        <f t="shared" ref="H695:H758" si="795">H607</f>
        <v>10_10,50_20,80_30</v>
      </c>
      <c r="I695" s="8">
        <v>6</v>
      </c>
      <c r="J695" s="8">
        <f t="shared" ref="I695:J758" si="796">J607</f>
        <v>240</v>
      </c>
      <c r="K695" s="7" t="s">
        <v>310</v>
      </c>
      <c r="L695" s="8">
        <v>32</v>
      </c>
      <c r="M695" s="7">
        <f>IF(INDEX([1]equip.xml!$B:$B,MATCH(D695,[1]equip.xml!$A:$A,0))=0,0,N695)</f>
        <v>70</v>
      </c>
      <c r="N695" s="8">
        <f t="shared" ref="N695" si="797">N607</f>
        <v>70</v>
      </c>
    </row>
    <row r="696" spans="1:14">
      <c r="A696" s="8">
        <v>10012</v>
      </c>
      <c r="B696" s="8">
        <f t="shared" ref="B696:C696" si="798">B608</f>
        <v>40000</v>
      </c>
      <c r="C696" s="8" t="str">
        <f t="shared" si="798"/>
        <v>装备</v>
      </c>
      <c r="D696" s="7">
        <f t="shared" si="786"/>
        <v>50351055</v>
      </c>
      <c r="E696" s="8"/>
      <c r="F696" s="8">
        <v>1</v>
      </c>
      <c r="G696" s="8">
        <f>3*INDEX([1]equip.xml!$I:$I,MATCH(D696,[1]equip.xml!$A:$A,0))</f>
        <v>210000</v>
      </c>
      <c r="H696" s="8" t="str">
        <f t="shared" si="795"/>
        <v>10_10,50_20,80_30</v>
      </c>
      <c r="I696" s="8">
        <v>6</v>
      </c>
      <c r="J696" s="8">
        <f t="shared" si="796"/>
        <v>240</v>
      </c>
      <c r="K696" s="7" t="s">
        <v>310</v>
      </c>
      <c r="L696" s="8">
        <v>32</v>
      </c>
      <c r="M696" s="7">
        <f>IF(INDEX([1]equip.xml!$B:$B,MATCH(D696,[1]equip.xml!$A:$A,0))=0,0,N696)</f>
        <v>70</v>
      </c>
      <c r="N696" s="8">
        <f t="shared" ref="N696" si="799">N608</f>
        <v>70</v>
      </c>
    </row>
    <row r="697" spans="1:14">
      <c r="A697" s="8">
        <v>10012</v>
      </c>
      <c r="B697" s="8">
        <f t="shared" ref="B697:C697" si="800">B609</f>
        <v>40000</v>
      </c>
      <c r="C697" s="8" t="str">
        <f t="shared" si="800"/>
        <v>装备</v>
      </c>
      <c r="D697" s="7">
        <f t="shared" si="786"/>
        <v>50351056</v>
      </c>
      <c r="E697" s="8"/>
      <c r="F697" s="8">
        <v>1</v>
      </c>
      <c r="G697" s="8">
        <f>3*INDEX([1]equip.xml!$I:$I,MATCH(D697,[1]equip.xml!$A:$A,0))</f>
        <v>228000</v>
      </c>
      <c r="H697" s="8" t="str">
        <f t="shared" si="795"/>
        <v>10_10,50_20,80_30</v>
      </c>
      <c r="I697" s="8">
        <v>6</v>
      </c>
      <c r="J697" s="8">
        <f t="shared" si="796"/>
        <v>240</v>
      </c>
      <c r="K697" s="7" t="s">
        <v>310</v>
      </c>
      <c r="L697" s="8">
        <v>32</v>
      </c>
      <c r="M697" s="7">
        <f>IF(INDEX([1]equip.xml!$B:$B,MATCH(D697,[1]equip.xml!$A:$A,0))=0,0,N697)</f>
        <v>0</v>
      </c>
      <c r="N697" s="8">
        <f t="shared" ref="N697" si="801">N609</f>
        <v>70</v>
      </c>
    </row>
    <row r="698" spans="1:14">
      <c r="A698" s="8">
        <v>10012</v>
      </c>
      <c r="B698" s="8">
        <f t="shared" ref="B698:C698" si="802">B610</f>
        <v>40000</v>
      </c>
      <c r="C698" s="8" t="str">
        <f t="shared" si="802"/>
        <v>装备</v>
      </c>
      <c r="D698" s="7">
        <f t="shared" si="786"/>
        <v>50351065</v>
      </c>
      <c r="E698" s="8"/>
      <c r="F698" s="8">
        <v>1</v>
      </c>
      <c r="G698" s="8">
        <f>3*INDEX([1]equip.xml!$I:$I,MATCH(D698,[1]equip.xml!$A:$A,0))</f>
        <v>210000</v>
      </c>
      <c r="H698" s="8" t="str">
        <f t="shared" si="795"/>
        <v>10_10,50_20,80_30</v>
      </c>
      <c r="I698" s="8">
        <v>6</v>
      </c>
      <c r="J698" s="8">
        <f t="shared" si="796"/>
        <v>240</v>
      </c>
      <c r="K698" s="7" t="s">
        <v>310</v>
      </c>
      <c r="L698" s="8">
        <v>32</v>
      </c>
      <c r="M698" s="7">
        <f>IF(INDEX([1]equip.xml!$B:$B,MATCH(D698,[1]equip.xml!$A:$A,0))=0,0,N698)</f>
        <v>70</v>
      </c>
      <c r="N698" s="8">
        <f t="shared" ref="N698" si="803">N610</f>
        <v>70</v>
      </c>
    </row>
    <row r="699" spans="1:14">
      <c r="A699" s="8">
        <v>10012</v>
      </c>
      <c r="B699" s="8">
        <f t="shared" ref="B699:C699" si="804">B611</f>
        <v>40000</v>
      </c>
      <c r="C699" s="8" t="str">
        <f t="shared" si="804"/>
        <v>装备</v>
      </c>
      <c r="D699" s="7">
        <f t="shared" si="786"/>
        <v>50351066</v>
      </c>
      <c r="E699" s="8"/>
      <c r="F699" s="8">
        <v>1</v>
      </c>
      <c r="G699" s="8">
        <f>3*INDEX([1]equip.xml!$I:$I,MATCH(D699,[1]equip.xml!$A:$A,0))</f>
        <v>228000</v>
      </c>
      <c r="H699" s="8" t="str">
        <f t="shared" si="795"/>
        <v>10_10,50_20,80_30</v>
      </c>
      <c r="I699" s="8">
        <v>6</v>
      </c>
      <c r="J699" s="8">
        <f t="shared" si="796"/>
        <v>240</v>
      </c>
      <c r="K699" s="7" t="s">
        <v>310</v>
      </c>
      <c r="L699" s="8">
        <v>32</v>
      </c>
      <c r="M699" s="7">
        <f>IF(INDEX([1]equip.xml!$B:$B,MATCH(D699,[1]equip.xml!$A:$A,0))=0,0,N699)</f>
        <v>70</v>
      </c>
      <c r="N699" s="8">
        <f t="shared" ref="N699" si="805">N611</f>
        <v>70</v>
      </c>
    </row>
    <row r="700" spans="1:14">
      <c r="A700" s="8">
        <v>10012</v>
      </c>
      <c r="B700" s="8">
        <f t="shared" ref="B700:C700" si="806">B612</f>
        <v>40000</v>
      </c>
      <c r="C700" s="8" t="str">
        <f t="shared" si="806"/>
        <v>装备</v>
      </c>
      <c r="D700" s="7">
        <f t="shared" si="786"/>
        <v>50352055</v>
      </c>
      <c r="E700" s="8"/>
      <c r="F700" s="8">
        <v>1</v>
      </c>
      <c r="G700" s="8">
        <f>3*INDEX([1]equip.xml!$I:$I,MATCH(D700,[1]equip.xml!$A:$A,0))</f>
        <v>210000</v>
      </c>
      <c r="H700" s="8" t="str">
        <f t="shared" si="795"/>
        <v>10_10,50_20,80_30</v>
      </c>
      <c r="I700" s="8">
        <v>6</v>
      </c>
      <c r="J700" s="8">
        <f t="shared" si="796"/>
        <v>240</v>
      </c>
      <c r="K700" s="7" t="s">
        <v>310</v>
      </c>
      <c r="L700" s="8">
        <v>32</v>
      </c>
      <c r="M700" s="7">
        <f>IF(INDEX([1]equip.xml!$B:$B,MATCH(D700,[1]equip.xml!$A:$A,0))=0,0,N700)</f>
        <v>70</v>
      </c>
      <c r="N700" s="8">
        <f t="shared" ref="N700" si="807">N612</f>
        <v>70</v>
      </c>
    </row>
    <row r="701" spans="1:14">
      <c r="A701" s="8">
        <v>10012</v>
      </c>
      <c r="B701" s="8">
        <f t="shared" ref="B701:C701" si="808">B613</f>
        <v>40000</v>
      </c>
      <c r="C701" s="8" t="str">
        <f t="shared" si="808"/>
        <v>装备</v>
      </c>
      <c r="D701" s="7">
        <f t="shared" si="786"/>
        <v>50352056</v>
      </c>
      <c r="E701" s="8"/>
      <c r="F701" s="8">
        <v>1</v>
      </c>
      <c r="G701" s="8">
        <f>3*INDEX([1]equip.xml!$I:$I,MATCH(D701,[1]equip.xml!$A:$A,0))</f>
        <v>228000</v>
      </c>
      <c r="H701" s="8" t="str">
        <f t="shared" si="795"/>
        <v>10_10,50_20,80_30</v>
      </c>
      <c r="I701" s="8">
        <v>6</v>
      </c>
      <c r="J701" s="8">
        <f t="shared" si="796"/>
        <v>240</v>
      </c>
      <c r="K701" s="7" t="s">
        <v>310</v>
      </c>
      <c r="L701" s="8">
        <v>32</v>
      </c>
      <c r="M701" s="7">
        <f>IF(INDEX([1]equip.xml!$B:$B,MATCH(D701,[1]equip.xml!$A:$A,0))=0,0,N701)</f>
        <v>0</v>
      </c>
      <c r="N701" s="8">
        <f t="shared" ref="N701" si="809">N613</f>
        <v>70</v>
      </c>
    </row>
    <row r="702" spans="1:14">
      <c r="A702" s="8">
        <v>10012</v>
      </c>
      <c r="B702" s="8">
        <f t="shared" ref="B702:C702" si="810">B614</f>
        <v>40000</v>
      </c>
      <c r="C702" s="8" t="str">
        <f t="shared" si="810"/>
        <v>装备</v>
      </c>
      <c r="D702" s="7">
        <f t="shared" si="786"/>
        <v>50352065</v>
      </c>
      <c r="E702" s="8"/>
      <c r="F702" s="8">
        <v>1</v>
      </c>
      <c r="G702" s="8">
        <f>3*INDEX([1]equip.xml!$I:$I,MATCH(D702,[1]equip.xml!$A:$A,0))</f>
        <v>210000</v>
      </c>
      <c r="H702" s="8" t="str">
        <f t="shared" si="795"/>
        <v>10_10,50_20,80_30</v>
      </c>
      <c r="I702" s="8">
        <v>6</v>
      </c>
      <c r="J702" s="8">
        <f t="shared" si="796"/>
        <v>240</v>
      </c>
      <c r="K702" s="7" t="s">
        <v>310</v>
      </c>
      <c r="L702" s="8">
        <v>32</v>
      </c>
      <c r="M702" s="7">
        <f>IF(INDEX([1]equip.xml!$B:$B,MATCH(D702,[1]equip.xml!$A:$A,0))=0,0,N702)</f>
        <v>70</v>
      </c>
      <c r="N702" s="8">
        <f t="shared" ref="N702" si="811">N614</f>
        <v>70</v>
      </c>
    </row>
    <row r="703" spans="1:14">
      <c r="A703" s="8">
        <v>10012</v>
      </c>
      <c r="B703" s="8">
        <f t="shared" ref="B703:C703" si="812">B615</f>
        <v>40000</v>
      </c>
      <c r="C703" s="8" t="str">
        <f t="shared" si="812"/>
        <v>装备</v>
      </c>
      <c r="D703" s="7">
        <f t="shared" si="786"/>
        <v>50352066</v>
      </c>
      <c r="E703" s="8"/>
      <c r="F703" s="8">
        <v>1</v>
      </c>
      <c r="G703" s="8">
        <f>3*INDEX([1]equip.xml!$I:$I,MATCH(D703,[1]equip.xml!$A:$A,0))</f>
        <v>228000</v>
      </c>
      <c r="H703" s="8" t="str">
        <f t="shared" si="795"/>
        <v>10_10,50_20,80_30</v>
      </c>
      <c r="I703" s="8">
        <v>6</v>
      </c>
      <c r="J703" s="8">
        <f t="shared" si="796"/>
        <v>240</v>
      </c>
      <c r="K703" s="7" t="s">
        <v>310</v>
      </c>
      <c r="L703" s="8">
        <v>32</v>
      </c>
      <c r="M703" s="7">
        <f>IF(INDEX([1]equip.xml!$B:$B,MATCH(D703,[1]equip.xml!$A:$A,0))=0,0,N703)</f>
        <v>70</v>
      </c>
      <c r="N703" s="8">
        <f t="shared" ref="N703" si="813">N615</f>
        <v>70</v>
      </c>
    </row>
    <row r="704" spans="1:14">
      <c r="A704" s="8">
        <v>10012</v>
      </c>
      <c r="B704" s="8">
        <f t="shared" ref="B704:C704" si="814">B616</f>
        <v>40000</v>
      </c>
      <c r="C704" s="8" t="str">
        <f t="shared" si="814"/>
        <v>装备</v>
      </c>
      <c r="D704" s="7">
        <f t="shared" si="786"/>
        <v>50353055</v>
      </c>
      <c r="E704" s="8"/>
      <c r="F704" s="8">
        <v>1</v>
      </c>
      <c r="G704" s="8">
        <f>3*INDEX([1]equip.xml!$I:$I,MATCH(D704,[1]equip.xml!$A:$A,0))</f>
        <v>210000</v>
      </c>
      <c r="H704" s="8" t="str">
        <f t="shared" si="795"/>
        <v>10_10,50_20,80_30</v>
      </c>
      <c r="I704" s="8">
        <v>6</v>
      </c>
      <c r="J704" s="8">
        <f t="shared" si="796"/>
        <v>240</v>
      </c>
      <c r="K704" s="7" t="s">
        <v>310</v>
      </c>
      <c r="L704" s="8">
        <v>32</v>
      </c>
      <c r="M704" s="7">
        <f>IF(INDEX([1]equip.xml!$B:$B,MATCH(D704,[1]equip.xml!$A:$A,0))=0,0,N704)</f>
        <v>70</v>
      </c>
      <c r="N704" s="8">
        <f t="shared" ref="N704" si="815">N616</f>
        <v>70</v>
      </c>
    </row>
    <row r="705" spans="1:14">
      <c r="A705" s="8">
        <v>10012</v>
      </c>
      <c r="B705" s="8">
        <f t="shared" ref="B705:C705" si="816">B617</f>
        <v>40000</v>
      </c>
      <c r="C705" s="8" t="str">
        <f t="shared" si="816"/>
        <v>装备</v>
      </c>
      <c r="D705" s="7">
        <f t="shared" si="786"/>
        <v>50353056</v>
      </c>
      <c r="E705" s="8"/>
      <c r="F705" s="8">
        <v>1</v>
      </c>
      <c r="G705" s="8">
        <f>3*INDEX([1]equip.xml!$I:$I,MATCH(D705,[1]equip.xml!$A:$A,0))</f>
        <v>228000</v>
      </c>
      <c r="H705" s="8" t="str">
        <f t="shared" si="795"/>
        <v>10_10,50_20,80_30</v>
      </c>
      <c r="I705" s="8">
        <v>6</v>
      </c>
      <c r="J705" s="8">
        <f t="shared" si="796"/>
        <v>240</v>
      </c>
      <c r="K705" s="7" t="s">
        <v>310</v>
      </c>
      <c r="L705" s="8">
        <v>32</v>
      </c>
      <c r="M705" s="7">
        <f>IF(INDEX([1]equip.xml!$B:$B,MATCH(D705,[1]equip.xml!$A:$A,0))=0,0,N705)</f>
        <v>0</v>
      </c>
      <c r="N705" s="8">
        <f t="shared" ref="N705" si="817">N617</f>
        <v>70</v>
      </c>
    </row>
    <row r="706" spans="1:14">
      <c r="A706" s="8">
        <v>10012</v>
      </c>
      <c r="B706" s="8">
        <f t="shared" ref="B706:C706" si="818">B618</f>
        <v>40000</v>
      </c>
      <c r="C706" s="8" t="str">
        <f t="shared" si="818"/>
        <v>装备</v>
      </c>
      <c r="D706" s="7">
        <f t="shared" si="786"/>
        <v>50353065</v>
      </c>
      <c r="E706" s="8"/>
      <c r="F706" s="8">
        <v>1</v>
      </c>
      <c r="G706" s="8">
        <f>3*INDEX([1]equip.xml!$I:$I,MATCH(D706,[1]equip.xml!$A:$A,0))</f>
        <v>210000</v>
      </c>
      <c r="H706" s="8" t="str">
        <f t="shared" si="795"/>
        <v>10_10,50_20,80_30</v>
      </c>
      <c r="I706" s="8">
        <v>6</v>
      </c>
      <c r="J706" s="8">
        <f t="shared" si="796"/>
        <v>240</v>
      </c>
      <c r="K706" s="7" t="s">
        <v>310</v>
      </c>
      <c r="L706" s="8">
        <v>32</v>
      </c>
      <c r="M706" s="7">
        <f>IF(INDEX([1]equip.xml!$B:$B,MATCH(D706,[1]equip.xml!$A:$A,0))=0,0,N706)</f>
        <v>70</v>
      </c>
      <c r="N706" s="8">
        <f t="shared" ref="N706" si="819">N618</f>
        <v>70</v>
      </c>
    </row>
    <row r="707" spans="1:14">
      <c r="A707" s="8">
        <v>10012</v>
      </c>
      <c r="B707" s="8">
        <f t="shared" ref="B707:C707" si="820">B619</f>
        <v>40000</v>
      </c>
      <c r="C707" s="8" t="str">
        <f t="shared" si="820"/>
        <v>装备</v>
      </c>
      <c r="D707" s="7">
        <f t="shared" si="786"/>
        <v>50353066</v>
      </c>
      <c r="E707" s="8"/>
      <c r="F707" s="8">
        <v>1</v>
      </c>
      <c r="G707" s="8">
        <f>3*INDEX([1]equip.xml!$I:$I,MATCH(D707,[1]equip.xml!$A:$A,0))</f>
        <v>228000</v>
      </c>
      <c r="H707" s="8" t="str">
        <f t="shared" si="795"/>
        <v>10_10,50_20,80_30</v>
      </c>
      <c r="I707" s="8">
        <v>6</v>
      </c>
      <c r="J707" s="8">
        <f t="shared" si="796"/>
        <v>240</v>
      </c>
      <c r="K707" s="7" t="s">
        <v>310</v>
      </c>
      <c r="L707" s="8">
        <v>32</v>
      </c>
      <c r="M707" s="7">
        <f>IF(INDEX([1]equip.xml!$B:$B,MATCH(D707,[1]equip.xml!$A:$A,0))=0,0,N707)</f>
        <v>70</v>
      </c>
      <c r="N707" s="8">
        <f t="shared" ref="N707" si="821">N619</f>
        <v>70</v>
      </c>
    </row>
    <row r="708" spans="1:14">
      <c r="A708" s="8">
        <v>10012</v>
      </c>
      <c r="B708" s="8">
        <f t="shared" ref="B708:C708" si="822">B620</f>
        <v>40000</v>
      </c>
      <c r="C708" s="8" t="str">
        <f t="shared" si="822"/>
        <v>装备</v>
      </c>
      <c r="D708" s="7">
        <f t="shared" si="786"/>
        <v>50350045</v>
      </c>
      <c r="E708" s="8"/>
      <c r="F708" s="8">
        <v>1</v>
      </c>
      <c r="G708" s="8">
        <f>3*INDEX([1]equip.xml!$I:$I,MATCH(D708,[1]equip.xml!$A:$A,0))</f>
        <v>210000</v>
      </c>
      <c r="H708" s="8" t="str">
        <f t="shared" si="795"/>
        <v>10_10,50_20,80_30</v>
      </c>
      <c r="I708" s="8">
        <v>6</v>
      </c>
      <c r="J708" s="8">
        <f t="shared" si="796"/>
        <v>240</v>
      </c>
      <c r="K708" s="7" t="s">
        <v>310</v>
      </c>
      <c r="L708" s="8">
        <v>32</v>
      </c>
      <c r="M708" s="7">
        <f>IF(INDEX([1]equip.xml!$B:$B,MATCH(D708,[1]equip.xml!$A:$A,0))=0,0,N708)</f>
        <v>70</v>
      </c>
      <c r="N708" s="8">
        <f t="shared" ref="N708" si="823">N620</f>
        <v>70</v>
      </c>
    </row>
    <row r="709" spans="1:14">
      <c r="A709" s="8">
        <v>10012</v>
      </c>
      <c r="B709" s="8">
        <f t="shared" ref="B709:C709" si="824">B621</f>
        <v>40000</v>
      </c>
      <c r="C709" s="8" t="str">
        <f t="shared" si="824"/>
        <v>装备</v>
      </c>
      <c r="D709" s="7">
        <f t="shared" si="786"/>
        <v>50350046</v>
      </c>
      <c r="E709" s="8"/>
      <c r="F709" s="8">
        <v>1</v>
      </c>
      <c r="G709" s="8">
        <f>3*INDEX([1]equip.xml!$I:$I,MATCH(D709,[1]equip.xml!$A:$A,0))</f>
        <v>228000</v>
      </c>
      <c r="H709" s="8" t="str">
        <f t="shared" si="795"/>
        <v>10_10,50_20,80_30</v>
      </c>
      <c r="I709" s="8">
        <v>6</v>
      </c>
      <c r="J709" s="8">
        <f t="shared" si="796"/>
        <v>240</v>
      </c>
      <c r="K709" s="7" t="s">
        <v>310</v>
      </c>
      <c r="L709" s="8">
        <v>32</v>
      </c>
      <c r="M709" s="7">
        <f>IF(INDEX([1]equip.xml!$B:$B,MATCH(D709,[1]equip.xml!$A:$A,0))=0,0,N709)</f>
        <v>70</v>
      </c>
      <c r="N709" s="8">
        <f t="shared" ref="N709" si="825">N621</f>
        <v>70</v>
      </c>
    </row>
    <row r="710" spans="1:14">
      <c r="A710" s="8">
        <v>10012</v>
      </c>
      <c r="B710" s="8">
        <f t="shared" ref="B710:C710" si="826">B622</f>
        <v>40000</v>
      </c>
      <c r="C710" s="8" t="str">
        <f t="shared" si="826"/>
        <v>装备</v>
      </c>
      <c r="D710" s="7">
        <f t="shared" si="786"/>
        <v>50350075</v>
      </c>
      <c r="E710" s="8"/>
      <c r="F710" s="8">
        <v>1</v>
      </c>
      <c r="G710" s="8">
        <f>3*INDEX([1]equip.xml!$I:$I,MATCH(D710,[1]equip.xml!$A:$A,0))</f>
        <v>210000</v>
      </c>
      <c r="H710" s="8" t="str">
        <f t="shared" si="795"/>
        <v>10_10,50_20,80_30</v>
      </c>
      <c r="I710" s="8">
        <v>6</v>
      </c>
      <c r="J710" s="8">
        <f t="shared" si="796"/>
        <v>240</v>
      </c>
      <c r="K710" s="7" t="s">
        <v>310</v>
      </c>
      <c r="L710" s="8">
        <v>32</v>
      </c>
      <c r="M710" s="7">
        <f>IF(INDEX([1]equip.xml!$B:$B,MATCH(D710,[1]equip.xml!$A:$A,0))=0,0,N710)</f>
        <v>70</v>
      </c>
      <c r="N710" s="8">
        <f t="shared" ref="N710" si="827">N622</f>
        <v>70</v>
      </c>
    </row>
    <row r="711" spans="1:14">
      <c r="A711" s="8">
        <v>10012</v>
      </c>
      <c r="B711" s="8">
        <f t="shared" ref="B711:C711" si="828">B623</f>
        <v>40000</v>
      </c>
      <c r="C711" s="8" t="str">
        <f t="shared" si="828"/>
        <v>装备</v>
      </c>
      <c r="D711" s="7">
        <f t="shared" si="786"/>
        <v>50350076</v>
      </c>
      <c r="E711" s="8"/>
      <c r="F711" s="8">
        <v>1</v>
      </c>
      <c r="G711" s="8">
        <f>3*INDEX([1]equip.xml!$I:$I,MATCH(D711,[1]equip.xml!$A:$A,0))</f>
        <v>228000</v>
      </c>
      <c r="H711" s="8" t="str">
        <f t="shared" si="795"/>
        <v>10_10,50_20,80_30</v>
      </c>
      <c r="I711" s="8">
        <v>6</v>
      </c>
      <c r="J711" s="8">
        <f t="shared" si="796"/>
        <v>240</v>
      </c>
      <c r="K711" s="7" t="s">
        <v>310</v>
      </c>
      <c r="L711" s="8">
        <v>32</v>
      </c>
      <c r="M711" s="7">
        <f>IF(INDEX([1]equip.xml!$B:$B,MATCH(D711,[1]equip.xml!$A:$A,0))=0,0,N711)</f>
        <v>0</v>
      </c>
      <c r="N711" s="8">
        <f t="shared" ref="N711" si="829">N623</f>
        <v>70</v>
      </c>
    </row>
    <row r="712" spans="1:14">
      <c r="A712" s="8">
        <v>10012</v>
      </c>
      <c r="B712" s="8">
        <f t="shared" ref="B712:C712" si="830">B624</f>
        <v>40000</v>
      </c>
      <c r="C712" s="8" t="str">
        <f t="shared" si="830"/>
        <v>装备</v>
      </c>
      <c r="D712" s="7">
        <f t="shared" si="786"/>
        <v>50400015</v>
      </c>
      <c r="E712" s="8"/>
      <c r="F712" s="8">
        <v>1</v>
      </c>
      <c r="G712" s="8">
        <f>3*INDEX([1]equip.xml!$I:$I,MATCH(D712,[1]equip.xml!$A:$A,0))</f>
        <v>240000</v>
      </c>
      <c r="H712" s="8" t="str">
        <f t="shared" si="795"/>
        <v>10_10,50_20,80_30</v>
      </c>
      <c r="I712" s="8">
        <v>6</v>
      </c>
      <c r="J712" s="8">
        <f t="shared" si="796"/>
        <v>240</v>
      </c>
      <c r="K712" s="7" t="s">
        <v>310</v>
      </c>
      <c r="L712" s="8">
        <v>32</v>
      </c>
      <c r="M712" s="7">
        <f>IF(INDEX([1]equip.xml!$B:$B,MATCH(D712,[1]equip.xml!$A:$A,0))=0,0,N712)</f>
        <v>35</v>
      </c>
      <c r="N712" s="8">
        <f t="shared" ref="N712" si="831">N624</f>
        <v>35</v>
      </c>
    </row>
    <row r="713" spans="1:14">
      <c r="A713" s="8">
        <v>10012</v>
      </c>
      <c r="B713" s="8">
        <f t="shared" ref="B713:C713" si="832">B625</f>
        <v>40000</v>
      </c>
      <c r="C713" s="8" t="str">
        <f t="shared" si="832"/>
        <v>装备</v>
      </c>
      <c r="D713" s="7">
        <f t="shared" si="786"/>
        <v>50400025</v>
      </c>
      <c r="E713" s="8"/>
      <c r="F713" s="8">
        <v>1</v>
      </c>
      <c r="G713" s="8">
        <f>3*INDEX([1]equip.xml!$I:$I,MATCH(D713,[1]equip.xml!$A:$A,0))</f>
        <v>240000</v>
      </c>
      <c r="H713" s="8" t="str">
        <f t="shared" si="795"/>
        <v>10_10,50_20,80_30</v>
      </c>
      <c r="I713" s="8">
        <v>6</v>
      </c>
      <c r="J713" s="8">
        <f t="shared" si="796"/>
        <v>240</v>
      </c>
      <c r="K713" s="7" t="s">
        <v>310</v>
      </c>
      <c r="L713" s="8">
        <v>32</v>
      </c>
      <c r="M713" s="7">
        <f>IF(INDEX([1]equip.xml!$B:$B,MATCH(D713,[1]equip.xml!$A:$A,0))=0,0,N713)</f>
        <v>35</v>
      </c>
      <c r="N713" s="8">
        <f t="shared" ref="N713" si="833">N625</f>
        <v>35</v>
      </c>
    </row>
    <row r="714" spans="1:14">
      <c r="A714" s="8">
        <v>10012</v>
      </c>
      <c r="B714" s="8">
        <f t="shared" ref="B714:C714" si="834">B626</f>
        <v>40000</v>
      </c>
      <c r="C714" s="8" t="str">
        <f t="shared" si="834"/>
        <v>装备</v>
      </c>
      <c r="D714" s="7">
        <f t="shared" si="786"/>
        <v>50400035</v>
      </c>
      <c r="E714" s="8"/>
      <c r="F714" s="8">
        <v>1</v>
      </c>
      <c r="G714" s="8">
        <f>3*INDEX([1]equip.xml!$I:$I,MATCH(D714,[1]equip.xml!$A:$A,0))</f>
        <v>240000</v>
      </c>
      <c r="H714" s="8" t="str">
        <f t="shared" si="795"/>
        <v>10_10,50_20,80_30</v>
      </c>
      <c r="I714" s="8">
        <v>6</v>
      </c>
      <c r="J714" s="8">
        <f t="shared" si="796"/>
        <v>240</v>
      </c>
      <c r="K714" s="7" t="s">
        <v>310</v>
      </c>
      <c r="L714" s="8">
        <v>32</v>
      </c>
      <c r="M714" s="7">
        <f>IF(INDEX([1]equip.xml!$B:$B,MATCH(D714,[1]equip.xml!$A:$A,0))=0,0,N714)</f>
        <v>35</v>
      </c>
      <c r="N714" s="8">
        <f t="shared" ref="N714" si="835">N626</f>
        <v>35</v>
      </c>
    </row>
    <row r="715" spans="1:14">
      <c r="A715" s="8">
        <v>10012</v>
      </c>
      <c r="B715" s="8">
        <f t="shared" ref="B715:C715" si="836">B627</f>
        <v>40000</v>
      </c>
      <c r="C715" s="8" t="str">
        <f t="shared" si="836"/>
        <v>装备</v>
      </c>
      <c r="D715" s="7">
        <f t="shared" si="786"/>
        <v>50400085</v>
      </c>
      <c r="E715" s="8"/>
      <c r="F715" s="8">
        <v>1</v>
      </c>
      <c r="G715" s="8">
        <f>3*INDEX([1]equip.xml!$I:$I,MATCH(D715,[1]equip.xml!$A:$A,0))</f>
        <v>240000</v>
      </c>
      <c r="H715" s="8" t="str">
        <f t="shared" si="795"/>
        <v>10_10,50_20,80_30</v>
      </c>
      <c r="I715" s="8">
        <v>6</v>
      </c>
      <c r="J715" s="8">
        <f t="shared" si="796"/>
        <v>240</v>
      </c>
      <c r="K715" s="7" t="s">
        <v>310</v>
      </c>
      <c r="L715" s="8">
        <v>32</v>
      </c>
      <c r="M715" s="7">
        <f>IF(INDEX([1]equip.xml!$B:$B,MATCH(D715,[1]equip.xml!$A:$A,0))=0,0,N715)</f>
        <v>35</v>
      </c>
      <c r="N715" s="8">
        <f t="shared" ref="N715" si="837">N627</f>
        <v>35</v>
      </c>
    </row>
    <row r="716" spans="1:14">
      <c r="A716" s="8">
        <v>10012</v>
      </c>
      <c r="B716" s="8">
        <f t="shared" ref="B716:C716" si="838">B628</f>
        <v>40000</v>
      </c>
      <c r="C716" s="8" t="str">
        <f t="shared" si="838"/>
        <v>装备</v>
      </c>
      <c r="D716" s="7">
        <f t="shared" si="786"/>
        <v>50400095</v>
      </c>
      <c r="E716" s="8"/>
      <c r="F716" s="8">
        <v>1</v>
      </c>
      <c r="G716" s="8">
        <f>3*INDEX([1]equip.xml!$I:$I,MATCH(D716,[1]equip.xml!$A:$A,0))</f>
        <v>240000</v>
      </c>
      <c r="H716" s="8" t="str">
        <f t="shared" si="795"/>
        <v>10_10,50_20,80_30</v>
      </c>
      <c r="I716" s="8">
        <v>6</v>
      </c>
      <c r="J716" s="8">
        <f t="shared" si="796"/>
        <v>240</v>
      </c>
      <c r="K716" s="7" t="s">
        <v>310</v>
      </c>
      <c r="L716" s="8">
        <v>32</v>
      </c>
      <c r="M716" s="7">
        <f>IF(INDEX([1]equip.xml!$B:$B,MATCH(D716,[1]equip.xml!$A:$A,0))=0,0,N716)</f>
        <v>35</v>
      </c>
      <c r="N716" s="8">
        <f t="shared" ref="N716" si="839">N628</f>
        <v>35</v>
      </c>
    </row>
    <row r="717" spans="1:14">
      <c r="A717" s="8">
        <v>10012</v>
      </c>
      <c r="B717" s="8">
        <f t="shared" ref="B717:C717" si="840">B629</f>
        <v>40000</v>
      </c>
      <c r="C717" s="8" t="str">
        <f t="shared" si="840"/>
        <v>装备</v>
      </c>
      <c r="D717" s="7">
        <f t="shared" si="786"/>
        <v>50400105</v>
      </c>
      <c r="E717" s="8"/>
      <c r="F717" s="8">
        <v>1</v>
      </c>
      <c r="G717" s="8">
        <f>3*INDEX([1]equip.xml!$I:$I,MATCH(D717,[1]equip.xml!$A:$A,0))</f>
        <v>240000</v>
      </c>
      <c r="H717" s="8" t="str">
        <f t="shared" si="795"/>
        <v>10_10,50_20,80_30</v>
      </c>
      <c r="I717" s="8">
        <v>6</v>
      </c>
      <c r="J717" s="8">
        <f t="shared" si="796"/>
        <v>240</v>
      </c>
      <c r="K717" s="7" t="s">
        <v>310</v>
      </c>
      <c r="L717" s="8">
        <v>32</v>
      </c>
      <c r="M717" s="7">
        <f>IF(INDEX([1]equip.xml!$B:$B,MATCH(D717,[1]equip.xml!$A:$A,0))=0,0,N717)</f>
        <v>35</v>
      </c>
      <c r="N717" s="8">
        <f t="shared" ref="N717" si="841">N629</f>
        <v>35</v>
      </c>
    </row>
    <row r="718" spans="1:14">
      <c r="A718" s="8">
        <v>10012</v>
      </c>
      <c r="B718" s="8">
        <f t="shared" ref="B718:C718" si="842">B630</f>
        <v>40000</v>
      </c>
      <c r="C718" s="8" t="str">
        <f t="shared" si="842"/>
        <v>装备</v>
      </c>
      <c r="D718" s="7">
        <f t="shared" si="786"/>
        <v>50401055</v>
      </c>
      <c r="E718" s="8"/>
      <c r="F718" s="8">
        <v>1</v>
      </c>
      <c r="G718" s="8">
        <f>3*INDEX([1]equip.xml!$I:$I,MATCH(D718,[1]equip.xml!$A:$A,0))</f>
        <v>240000</v>
      </c>
      <c r="H718" s="8" t="str">
        <f t="shared" si="795"/>
        <v>10_10,50_20,80_30</v>
      </c>
      <c r="I718" s="8">
        <v>6</v>
      </c>
      <c r="J718" s="8">
        <f t="shared" si="796"/>
        <v>240</v>
      </c>
      <c r="K718" s="7" t="s">
        <v>310</v>
      </c>
      <c r="L718" s="8">
        <v>32</v>
      </c>
      <c r="M718" s="7">
        <f>IF(INDEX([1]equip.xml!$B:$B,MATCH(D718,[1]equip.xml!$A:$A,0))=0,0,N718)</f>
        <v>35</v>
      </c>
      <c r="N718" s="8">
        <f t="shared" ref="N718" si="843">N630</f>
        <v>35</v>
      </c>
    </row>
    <row r="719" spans="1:14">
      <c r="A719" s="8">
        <v>10012</v>
      </c>
      <c r="B719" s="8">
        <f t="shared" ref="B719:C719" si="844">B631</f>
        <v>40000</v>
      </c>
      <c r="C719" s="8" t="str">
        <f t="shared" si="844"/>
        <v>装备</v>
      </c>
      <c r="D719" s="7">
        <f t="shared" si="786"/>
        <v>50401056</v>
      </c>
      <c r="E719" s="8"/>
      <c r="F719" s="8">
        <v>1</v>
      </c>
      <c r="G719" s="8">
        <f>3*INDEX([1]equip.xml!$I:$I,MATCH(D719,[1]equip.xml!$A:$A,0))</f>
        <v>258000</v>
      </c>
      <c r="H719" s="8" t="str">
        <f t="shared" si="795"/>
        <v>10_10,50_20,80_30</v>
      </c>
      <c r="I719" s="8">
        <v>6</v>
      </c>
      <c r="J719" s="8">
        <f t="shared" si="796"/>
        <v>240</v>
      </c>
      <c r="K719" s="7" t="s">
        <v>310</v>
      </c>
      <c r="L719" s="8">
        <v>32</v>
      </c>
      <c r="M719" s="7">
        <f>IF(INDEX([1]equip.xml!$B:$B,MATCH(D719,[1]equip.xml!$A:$A,0))=0,0,N719)</f>
        <v>35</v>
      </c>
      <c r="N719" s="8">
        <f t="shared" ref="N719" si="845">N631</f>
        <v>35</v>
      </c>
    </row>
    <row r="720" spans="1:14">
      <c r="A720" s="8">
        <v>10012</v>
      </c>
      <c r="B720" s="8">
        <f t="shared" ref="B720:C720" si="846">B632</f>
        <v>40000</v>
      </c>
      <c r="C720" s="8" t="str">
        <f t="shared" si="846"/>
        <v>装备</v>
      </c>
      <c r="D720" s="7">
        <f t="shared" si="786"/>
        <v>50401065</v>
      </c>
      <c r="E720" s="8"/>
      <c r="F720" s="8">
        <v>1</v>
      </c>
      <c r="G720" s="8">
        <f>3*INDEX([1]equip.xml!$I:$I,MATCH(D720,[1]equip.xml!$A:$A,0))</f>
        <v>240000</v>
      </c>
      <c r="H720" s="8" t="str">
        <f t="shared" si="795"/>
        <v>10_10,50_20,80_30</v>
      </c>
      <c r="I720" s="8">
        <v>6</v>
      </c>
      <c r="J720" s="8">
        <f t="shared" si="796"/>
        <v>240</v>
      </c>
      <c r="K720" s="7" t="s">
        <v>310</v>
      </c>
      <c r="L720" s="8">
        <v>32</v>
      </c>
      <c r="M720" s="7">
        <f>IF(INDEX([1]equip.xml!$B:$B,MATCH(D720,[1]equip.xml!$A:$A,0))=0,0,N720)</f>
        <v>35</v>
      </c>
      <c r="N720" s="8">
        <f t="shared" ref="N720" si="847">N632</f>
        <v>35</v>
      </c>
    </row>
    <row r="721" spans="1:14">
      <c r="A721" s="8">
        <v>10012</v>
      </c>
      <c r="B721" s="8">
        <f t="shared" ref="B721:C721" si="848">B633</f>
        <v>40000</v>
      </c>
      <c r="C721" s="8" t="str">
        <f t="shared" si="848"/>
        <v>装备</v>
      </c>
      <c r="D721" s="7">
        <f t="shared" si="786"/>
        <v>50401066</v>
      </c>
      <c r="E721" s="8"/>
      <c r="F721" s="8">
        <v>1</v>
      </c>
      <c r="G721" s="8">
        <f>3*INDEX([1]equip.xml!$I:$I,MATCH(D721,[1]equip.xml!$A:$A,0))</f>
        <v>258000</v>
      </c>
      <c r="H721" s="8" t="str">
        <f t="shared" si="795"/>
        <v>10_10,50_20,80_30</v>
      </c>
      <c r="I721" s="8">
        <v>6</v>
      </c>
      <c r="J721" s="8">
        <f t="shared" si="796"/>
        <v>240</v>
      </c>
      <c r="K721" s="7" t="s">
        <v>310</v>
      </c>
      <c r="L721" s="8">
        <v>32</v>
      </c>
      <c r="M721" s="7">
        <f>IF(INDEX([1]equip.xml!$B:$B,MATCH(D721,[1]equip.xml!$A:$A,0))=0,0,N721)</f>
        <v>0</v>
      </c>
      <c r="N721" s="8">
        <f t="shared" ref="N721" si="849">N633</f>
        <v>35</v>
      </c>
    </row>
    <row r="722" spans="1:14">
      <c r="A722" s="8">
        <v>10012</v>
      </c>
      <c r="B722" s="8">
        <f t="shared" ref="B722:C722" si="850">B634</f>
        <v>40000</v>
      </c>
      <c r="C722" s="8" t="str">
        <f t="shared" si="850"/>
        <v>装备</v>
      </c>
      <c r="D722" s="7">
        <f t="shared" si="786"/>
        <v>50402055</v>
      </c>
      <c r="E722" s="8"/>
      <c r="F722" s="8">
        <v>1</v>
      </c>
      <c r="G722" s="8">
        <f>3*INDEX([1]equip.xml!$I:$I,MATCH(D722,[1]equip.xml!$A:$A,0))</f>
        <v>240000</v>
      </c>
      <c r="H722" s="8" t="str">
        <f t="shared" si="795"/>
        <v>10_10,50_20,80_30</v>
      </c>
      <c r="I722" s="8">
        <v>6</v>
      </c>
      <c r="J722" s="8">
        <f t="shared" si="796"/>
        <v>240</v>
      </c>
      <c r="K722" s="7" t="s">
        <v>310</v>
      </c>
      <c r="L722" s="8">
        <v>32</v>
      </c>
      <c r="M722" s="7">
        <f>IF(INDEX([1]equip.xml!$B:$B,MATCH(D722,[1]equip.xml!$A:$A,0))=0,0,N722)</f>
        <v>35</v>
      </c>
      <c r="N722" s="8">
        <f t="shared" ref="N722" si="851">N634</f>
        <v>35</v>
      </c>
    </row>
    <row r="723" spans="1:14">
      <c r="A723" s="8">
        <v>10012</v>
      </c>
      <c r="B723" s="8">
        <f t="shared" ref="B723:C723" si="852">B635</f>
        <v>40000</v>
      </c>
      <c r="C723" s="8" t="str">
        <f t="shared" si="852"/>
        <v>装备</v>
      </c>
      <c r="D723" s="7">
        <f t="shared" si="786"/>
        <v>50402056</v>
      </c>
      <c r="E723" s="8"/>
      <c r="F723" s="8">
        <v>1</v>
      </c>
      <c r="G723" s="8">
        <f>3*INDEX([1]equip.xml!$I:$I,MATCH(D723,[1]equip.xml!$A:$A,0))</f>
        <v>258000</v>
      </c>
      <c r="H723" s="8" t="str">
        <f t="shared" si="795"/>
        <v>10_10,50_20,80_30</v>
      </c>
      <c r="I723" s="8">
        <v>6</v>
      </c>
      <c r="J723" s="8">
        <f t="shared" si="796"/>
        <v>240</v>
      </c>
      <c r="K723" s="7" t="s">
        <v>310</v>
      </c>
      <c r="L723" s="8">
        <v>32</v>
      </c>
      <c r="M723" s="7">
        <f>IF(INDEX([1]equip.xml!$B:$B,MATCH(D723,[1]equip.xml!$A:$A,0))=0,0,N723)</f>
        <v>35</v>
      </c>
      <c r="N723" s="8">
        <f t="shared" ref="N723" si="853">N635</f>
        <v>35</v>
      </c>
    </row>
    <row r="724" spans="1:14">
      <c r="A724" s="8">
        <v>10012</v>
      </c>
      <c r="B724" s="8">
        <f t="shared" ref="B724:C724" si="854">B636</f>
        <v>40000</v>
      </c>
      <c r="C724" s="8" t="str">
        <f t="shared" si="854"/>
        <v>装备</v>
      </c>
      <c r="D724" s="7">
        <f t="shared" si="786"/>
        <v>50402065</v>
      </c>
      <c r="E724" s="8"/>
      <c r="F724" s="8">
        <v>1</v>
      </c>
      <c r="G724" s="8">
        <f>3*INDEX([1]equip.xml!$I:$I,MATCH(D724,[1]equip.xml!$A:$A,0))</f>
        <v>240000</v>
      </c>
      <c r="H724" s="8" t="str">
        <f t="shared" si="795"/>
        <v>10_10,50_20,80_30</v>
      </c>
      <c r="I724" s="8">
        <v>6</v>
      </c>
      <c r="J724" s="8">
        <f t="shared" si="796"/>
        <v>240</v>
      </c>
      <c r="K724" s="7" t="s">
        <v>310</v>
      </c>
      <c r="L724" s="8">
        <v>32</v>
      </c>
      <c r="M724" s="7">
        <f>IF(INDEX([1]equip.xml!$B:$B,MATCH(D724,[1]equip.xml!$A:$A,0))=0,0,N724)</f>
        <v>35</v>
      </c>
      <c r="N724" s="8">
        <f t="shared" ref="N724" si="855">N636</f>
        <v>35</v>
      </c>
    </row>
    <row r="725" spans="1:14">
      <c r="A725" s="8">
        <v>10012</v>
      </c>
      <c r="B725" s="8">
        <f t="shared" ref="B725:C725" si="856">B637</f>
        <v>40000</v>
      </c>
      <c r="C725" s="8" t="str">
        <f t="shared" si="856"/>
        <v>装备</v>
      </c>
      <c r="D725" s="7">
        <f t="shared" si="786"/>
        <v>50402066</v>
      </c>
      <c r="E725" s="8"/>
      <c r="F725" s="8">
        <v>1</v>
      </c>
      <c r="G725" s="8">
        <f>3*INDEX([1]equip.xml!$I:$I,MATCH(D725,[1]equip.xml!$A:$A,0))</f>
        <v>258000</v>
      </c>
      <c r="H725" s="8" t="str">
        <f t="shared" si="795"/>
        <v>10_10,50_20,80_30</v>
      </c>
      <c r="I725" s="8">
        <v>6</v>
      </c>
      <c r="J725" s="8">
        <f t="shared" si="796"/>
        <v>240</v>
      </c>
      <c r="K725" s="7" t="s">
        <v>310</v>
      </c>
      <c r="L725" s="8">
        <v>32</v>
      </c>
      <c r="M725" s="7">
        <f>IF(INDEX([1]equip.xml!$B:$B,MATCH(D725,[1]equip.xml!$A:$A,0))=0,0,N725)</f>
        <v>0</v>
      </c>
      <c r="N725" s="8">
        <f t="shared" ref="N725" si="857">N637</f>
        <v>35</v>
      </c>
    </row>
    <row r="726" spans="1:14">
      <c r="A726" s="8">
        <v>10012</v>
      </c>
      <c r="B726" s="8">
        <f t="shared" ref="B726:C726" si="858">B638</f>
        <v>40000</v>
      </c>
      <c r="C726" s="8" t="str">
        <f t="shared" si="858"/>
        <v>装备</v>
      </c>
      <c r="D726" s="7">
        <f t="shared" si="786"/>
        <v>50403055</v>
      </c>
      <c r="E726" s="8"/>
      <c r="F726" s="8">
        <v>1</v>
      </c>
      <c r="G726" s="8">
        <f>3*INDEX([1]equip.xml!$I:$I,MATCH(D726,[1]equip.xml!$A:$A,0))</f>
        <v>240000</v>
      </c>
      <c r="H726" s="8" t="str">
        <f t="shared" si="795"/>
        <v>10_10,50_20,80_30</v>
      </c>
      <c r="I726" s="8">
        <v>6</v>
      </c>
      <c r="J726" s="8">
        <f t="shared" si="796"/>
        <v>240</v>
      </c>
      <c r="K726" s="7" t="s">
        <v>310</v>
      </c>
      <c r="L726" s="8">
        <v>32</v>
      </c>
      <c r="M726" s="7">
        <f>IF(INDEX([1]equip.xml!$B:$B,MATCH(D726,[1]equip.xml!$A:$A,0))=0,0,N726)</f>
        <v>35</v>
      </c>
      <c r="N726" s="8">
        <f t="shared" ref="N726" si="859">N638</f>
        <v>35</v>
      </c>
    </row>
    <row r="727" spans="1:14">
      <c r="A727" s="8">
        <v>10012</v>
      </c>
      <c r="B727" s="8">
        <f t="shared" ref="B727:C727" si="860">B639</f>
        <v>40000</v>
      </c>
      <c r="C727" s="8" t="str">
        <f t="shared" si="860"/>
        <v>装备</v>
      </c>
      <c r="D727" s="7">
        <f t="shared" si="786"/>
        <v>50403056</v>
      </c>
      <c r="E727" s="8"/>
      <c r="F727" s="8">
        <v>1</v>
      </c>
      <c r="G727" s="8">
        <f>3*INDEX([1]equip.xml!$I:$I,MATCH(D727,[1]equip.xml!$A:$A,0))</f>
        <v>258000</v>
      </c>
      <c r="H727" s="8" t="str">
        <f t="shared" si="795"/>
        <v>10_10,50_20,80_30</v>
      </c>
      <c r="I727" s="8">
        <v>6</v>
      </c>
      <c r="J727" s="8">
        <f t="shared" si="796"/>
        <v>240</v>
      </c>
      <c r="K727" s="7" t="s">
        <v>310</v>
      </c>
      <c r="L727" s="8">
        <v>32</v>
      </c>
      <c r="M727" s="7">
        <f>IF(INDEX([1]equip.xml!$B:$B,MATCH(D727,[1]equip.xml!$A:$A,0))=0,0,N727)</f>
        <v>35</v>
      </c>
      <c r="N727" s="8">
        <f t="shared" ref="N727" si="861">N639</f>
        <v>35</v>
      </c>
    </row>
    <row r="728" spans="1:14">
      <c r="A728" s="8">
        <v>10012</v>
      </c>
      <c r="B728" s="8">
        <f t="shared" ref="B728:C728" si="862">B640</f>
        <v>40000</v>
      </c>
      <c r="C728" s="8" t="str">
        <f t="shared" si="862"/>
        <v>装备</v>
      </c>
      <c r="D728" s="7">
        <f t="shared" si="786"/>
        <v>50403065</v>
      </c>
      <c r="E728" s="8"/>
      <c r="F728" s="8">
        <v>1</v>
      </c>
      <c r="G728" s="8">
        <f>3*INDEX([1]equip.xml!$I:$I,MATCH(D728,[1]equip.xml!$A:$A,0))</f>
        <v>240000</v>
      </c>
      <c r="H728" s="8" t="str">
        <f t="shared" si="795"/>
        <v>10_10,50_20,80_30</v>
      </c>
      <c r="I728" s="8">
        <v>6</v>
      </c>
      <c r="J728" s="8">
        <f t="shared" si="796"/>
        <v>240</v>
      </c>
      <c r="K728" s="7" t="s">
        <v>310</v>
      </c>
      <c r="L728" s="8">
        <v>32</v>
      </c>
      <c r="M728" s="7">
        <f>IF(INDEX([1]equip.xml!$B:$B,MATCH(D728,[1]equip.xml!$A:$A,0))=0,0,N728)</f>
        <v>35</v>
      </c>
      <c r="N728" s="8">
        <f t="shared" ref="N728" si="863">N640</f>
        <v>35</v>
      </c>
    </row>
    <row r="729" spans="1:14">
      <c r="A729" s="8">
        <v>10012</v>
      </c>
      <c r="B729" s="8">
        <f t="shared" ref="B729:C729" si="864">B641</f>
        <v>40000</v>
      </c>
      <c r="C729" s="8" t="str">
        <f t="shared" si="864"/>
        <v>装备</v>
      </c>
      <c r="D729" s="7">
        <f t="shared" si="786"/>
        <v>50403066</v>
      </c>
      <c r="E729" s="8"/>
      <c r="F729" s="8">
        <v>1</v>
      </c>
      <c r="G729" s="8">
        <f>3*INDEX([1]equip.xml!$I:$I,MATCH(D729,[1]equip.xml!$A:$A,0))</f>
        <v>258000</v>
      </c>
      <c r="H729" s="8" t="str">
        <f t="shared" si="795"/>
        <v>10_10,50_20,80_30</v>
      </c>
      <c r="I729" s="8">
        <v>6</v>
      </c>
      <c r="J729" s="8">
        <f t="shared" si="796"/>
        <v>240</v>
      </c>
      <c r="K729" s="7" t="s">
        <v>310</v>
      </c>
      <c r="L729" s="8">
        <v>32</v>
      </c>
      <c r="M729" s="7">
        <f>IF(INDEX([1]equip.xml!$B:$B,MATCH(D729,[1]equip.xml!$A:$A,0))=0,0,N729)</f>
        <v>0</v>
      </c>
      <c r="N729" s="8">
        <f t="shared" ref="N729" si="865">N641</f>
        <v>35</v>
      </c>
    </row>
    <row r="730" spans="1:14">
      <c r="A730" s="8">
        <v>10012</v>
      </c>
      <c r="B730" s="8">
        <f t="shared" ref="B730:C730" si="866">B642</f>
        <v>40000</v>
      </c>
      <c r="C730" s="8" t="str">
        <f t="shared" si="866"/>
        <v>装备</v>
      </c>
      <c r="D730" s="7">
        <f t="shared" si="786"/>
        <v>50400045</v>
      </c>
      <c r="E730" s="8"/>
      <c r="F730" s="8">
        <v>1</v>
      </c>
      <c r="G730" s="8">
        <f>3*INDEX([1]equip.xml!$I:$I,MATCH(D730,[1]equip.xml!$A:$A,0))</f>
        <v>240000</v>
      </c>
      <c r="H730" s="8" t="str">
        <f t="shared" si="795"/>
        <v>10_10,50_20,80_30</v>
      </c>
      <c r="I730" s="8">
        <v>6</v>
      </c>
      <c r="J730" s="8">
        <f t="shared" si="796"/>
        <v>240</v>
      </c>
      <c r="K730" s="7" t="s">
        <v>310</v>
      </c>
      <c r="L730" s="8">
        <v>32</v>
      </c>
      <c r="M730" s="7">
        <f>IF(INDEX([1]equip.xml!$B:$B,MATCH(D730,[1]equip.xml!$A:$A,0))=0,0,N730)</f>
        <v>35</v>
      </c>
      <c r="N730" s="8">
        <f t="shared" ref="N730" si="867">N642</f>
        <v>35</v>
      </c>
    </row>
    <row r="731" spans="1:14">
      <c r="A731" s="8">
        <v>10012</v>
      </c>
      <c r="B731" s="8">
        <f t="shared" ref="B731:C731" si="868">B643</f>
        <v>40000</v>
      </c>
      <c r="C731" s="8" t="str">
        <f t="shared" si="868"/>
        <v>装备</v>
      </c>
      <c r="D731" s="7">
        <f t="shared" si="786"/>
        <v>50400046</v>
      </c>
      <c r="E731" s="8"/>
      <c r="F731" s="8">
        <v>1</v>
      </c>
      <c r="G731" s="8">
        <f>3*INDEX([1]equip.xml!$I:$I,MATCH(D731,[1]equip.xml!$A:$A,0))</f>
        <v>258000</v>
      </c>
      <c r="H731" s="8" t="str">
        <f t="shared" si="795"/>
        <v>10_10,50_20,80_30</v>
      </c>
      <c r="I731" s="8">
        <v>6</v>
      </c>
      <c r="J731" s="8">
        <f t="shared" si="796"/>
        <v>240</v>
      </c>
      <c r="K731" s="7" t="s">
        <v>310</v>
      </c>
      <c r="L731" s="8">
        <v>32</v>
      </c>
      <c r="M731" s="7">
        <f>IF(INDEX([1]equip.xml!$B:$B,MATCH(D731,[1]equip.xml!$A:$A,0))=0,0,N731)</f>
        <v>0</v>
      </c>
      <c r="N731" s="8">
        <f t="shared" ref="N731" si="869">N643</f>
        <v>35</v>
      </c>
    </row>
    <row r="732" spans="1:14">
      <c r="A732" s="8">
        <v>10012</v>
      </c>
      <c r="B732" s="8">
        <f t="shared" ref="B732:C732" si="870">B644</f>
        <v>40000</v>
      </c>
      <c r="C732" s="8" t="str">
        <f t="shared" si="870"/>
        <v>装备</v>
      </c>
      <c r="D732" s="7">
        <f t="shared" si="786"/>
        <v>50400075</v>
      </c>
      <c r="E732" s="8"/>
      <c r="F732" s="8">
        <v>1</v>
      </c>
      <c r="G732" s="8">
        <f>3*INDEX([1]equip.xml!$I:$I,MATCH(D732,[1]equip.xml!$A:$A,0))</f>
        <v>240000</v>
      </c>
      <c r="H732" s="8" t="str">
        <f t="shared" si="795"/>
        <v>10_10,50_20,80_30</v>
      </c>
      <c r="I732" s="8">
        <v>6</v>
      </c>
      <c r="J732" s="8">
        <f t="shared" si="796"/>
        <v>240</v>
      </c>
      <c r="K732" s="7" t="s">
        <v>310</v>
      </c>
      <c r="L732" s="8">
        <v>32</v>
      </c>
      <c r="M732" s="7">
        <f>IF(INDEX([1]equip.xml!$B:$B,MATCH(D732,[1]equip.xml!$A:$A,0))=0,0,N732)</f>
        <v>35</v>
      </c>
      <c r="N732" s="8">
        <f t="shared" ref="N732" si="871">N644</f>
        <v>35</v>
      </c>
    </row>
    <row r="733" spans="1:14">
      <c r="A733" s="8">
        <v>10012</v>
      </c>
      <c r="B733" s="8">
        <f t="shared" ref="B733:C733" si="872">B645</f>
        <v>40000</v>
      </c>
      <c r="C733" s="8" t="str">
        <f t="shared" si="872"/>
        <v>装备</v>
      </c>
      <c r="D733" s="7">
        <f t="shared" si="786"/>
        <v>50400076</v>
      </c>
      <c r="E733" s="8"/>
      <c r="F733" s="8">
        <v>1</v>
      </c>
      <c r="G733" s="8">
        <f>3*INDEX([1]equip.xml!$I:$I,MATCH(D733,[1]equip.xml!$A:$A,0))</f>
        <v>258000</v>
      </c>
      <c r="H733" s="8" t="str">
        <f t="shared" si="795"/>
        <v>10_10,50_20,80_30</v>
      </c>
      <c r="I733" s="8">
        <v>6</v>
      </c>
      <c r="J733" s="8">
        <f t="shared" si="796"/>
        <v>240</v>
      </c>
      <c r="K733" s="7" t="s">
        <v>310</v>
      </c>
      <c r="L733" s="8">
        <v>32</v>
      </c>
      <c r="M733" s="7">
        <f>IF(INDEX([1]equip.xml!$B:$B,MATCH(D733,[1]equip.xml!$A:$A,0))=0,0,N733)</f>
        <v>0</v>
      </c>
      <c r="N733" s="8">
        <f t="shared" ref="N733" si="873">N645</f>
        <v>35</v>
      </c>
    </row>
    <row r="734" spans="1:14">
      <c r="A734" s="7">
        <v>10013</v>
      </c>
      <c r="B734" s="7">
        <f t="shared" ref="B734:C734" si="874">B646</f>
        <v>40000</v>
      </c>
      <c r="C734" s="7" t="str">
        <f t="shared" si="874"/>
        <v>装备</v>
      </c>
      <c r="D734" s="7">
        <v>40400010</v>
      </c>
      <c r="E734" s="7"/>
      <c r="F734" s="7">
        <v>1</v>
      </c>
      <c r="G734" s="7">
        <f>3*INDEX([1]equip.xml!$I:$I,MATCH(D734&amp;"",[1]equip.xml!$A:$A,0))</f>
        <v>120000</v>
      </c>
      <c r="H734" s="7" t="str">
        <f t="shared" si="795"/>
        <v>10_10,50_20,80_30</v>
      </c>
      <c r="I734" s="7">
        <f t="shared" si="796"/>
        <v>6</v>
      </c>
      <c r="J734" s="7">
        <f t="shared" si="796"/>
        <v>50</v>
      </c>
      <c r="K734" s="7" t="s">
        <v>310</v>
      </c>
      <c r="L734" s="7">
        <v>34</v>
      </c>
      <c r="M734" s="7">
        <f>IF(INDEX([1]equip.xml!$B:$B,MATCH(D734&amp;"",[1]equip.xml!$A:$A,0))=0,0,N734)</f>
        <v>130</v>
      </c>
      <c r="N734" s="7">
        <f t="shared" ref="N734" si="875">N646</f>
        <v>130</v>
      </c>
    </row>
    <row r="735" spans="1:14">
      <c r="A735" s="7">
        <v>10013</v>
      </c>
      <c r="B735" s="7">
        <f t="shared" ref="B735:C735" si="876">B647</f>
        <v>40000</v>
      </c>
      <c r="C735" s="7" t="str">
        <f t="shared" si="876"/>
        <v>装备</v>
      </c>
      <c r="D735" s="7">
        <v>40400020</v>
      </c>
      <c r="E735" s="7"/>
      <c r="F735" s="7">
        <v>1</v>
      </c>
      <c r="G735" s="7">
        <f>3*INDEX([1]equip.xml!$I:$I,MATCH(D735&amp;"",[1]equip.xml!$A:$A,0))</f>
        <v>120000</v>
      </c>
      <c r="H735" s="7" t="str">
        <f t="shared" si="795"/>
        <v>10_10,50_20,80_30</v>
      </c>
      <c r="I735" s="7">
        <f t="shared" si="796"/>
        <v>6</v>
      </c>
      <c r="J735" s="7">
        <f t="shared" si="796"/>
        <v>50</v>
      </c>
      <c r="K735" s="7" t="s">
        <v>310</v>
      </c>
      <c r="L735" s="7">
        <v>34</v>
      </c>
      <c r="M735" s="7">
        <f>IF(INDEX([1]equip.xml!$B:$B,MATCH(D735&amp;"",[1]equip.xml!$A:$A,0))=0,0,N735)</f>
        <v>130</v>
      </c>
      <c r="N735" s="7">
        <f t="shared" ref="N735" si="877">N647</f>
        <v>130</v>
      </c>
    </row>
    <row r="736" spans="1:14">
      <c r="A736" s="7">
        <v>10013</v>
      </c>
      <c r="B736" s="7">
        <f t="shared" ref="B736:C736" si="878">B648</f>
        <v>40000</v>
      </c>
      <c r="C736" s="7" t="str">
        <f t="shared" si="878"/>
        <v>装备</v>
      </c>
      <c r="D736" s="7">
        <v>40400030</v>
      </c>
      <c r="E736" s="7"/>
      <c r="F736" s="7">
        <v>1</v>
      </c>
      <c r="G736" s="7">
        <f>3*INDEX([1]equip.xml!$I:$I,MATCH(D736&amp;"",[1]equip.xml!$A:$A,0))</f>
        <v>120000</v>
      </c>
      <c r="H736" s="7" t="str">
        <f t="shared" si="795"/>
        <v>10_10,50_20,80_30</v>
      </c>
      <c r="I736" s="7">
        <f t="shared" si="796"/>
        <v>6</v>
      </c>
      <c r="J736" s="7">
        <f t="shared" si="796"/>
        <v>50</v>
      </c>
      <c r="K736" s="7" t="s">
        <v>310</v>
      </c>
      <c r="L736" s="7">
        <v>34</v>
      </c>
      <c r="M736" s="7">
        <f>IF(INDEX([1]equip.xml!$B:$B,MATCH(D736&amp;"",[1]equip.xml!$A:$A,0))=0,0,N736)</f>
        <v>130</v>
      </c>
      <c r="N736" s="7">
        <f t="shared" ref="N736" si="879">N648</f>
        <v>130</v>
      </c>
    </row>
    <row r="737" spans="1:14">
      <c r="A737" s="7">
        <v>10013</v>
      </c>
      <c r="B737" s="7">
        <f t="shared" ref="B737:C737" si="880">B649</f>
        <v>40000</v>
      </c>
      <c r="C737" s="7" t="str">
        <f t="shared" si="880"/>
        <v>装备</v>
      </c>
      <c r="D737" s="7">
        <v>40400080</v>
      </c>
      <c r="E737" s="7"/>
      <c r="F737" s="7">
        <v>1</v>
      </c>
      <c r="G737" s="7">
        <f>3*INDEX([1]equip.xml!$I:$I,MATCH(D737&amp;"",[1]equip.xml!$A:$A,0))</f>
        <v>120000</v>
      </c>
      <c r="H737" s="7" t="str">
        <f t="shared" si="795"/>
        <v>10_10,50_20,80_30</v>
      </c>
      <c r="I737" s="7">
        <f t="shared" si="796"/>
        <v>6</v>
      </c>
      <c r="J737" s="7">
        <f t="shared" si="796"/>
        <v>50</v>
      </c>
      <c r="K737" s="7" t="s">
        <v>310</v>
      </c>
      <c r="L737" s="7">
        <v>34</v>
      </c>
      <c r="M737" s="7">
        <f>IF(INDEX([1]equip.xml!$B:$B,MATCH(D737&amp;"",[1]equip.xml!$A:$A,0))=0,0,N737)</f>
        <v>130</v>
      </c>
      <c r="N737" s="7">
        <f t="shared" ref="N737" si="881">N649</f>
        <v>130</v>
      </c>
    </row>
    <row r="738" spans="1:14">
      <c r="A738" s="7">
        <v>10013</v>
      </c>
      <c r="B738" s="7">
        <f t="shared" ref="B738:C738" si="882">B650</f>
        <v>40000</v>
      </c>
      <c r="C738" s="7" t="str">
        <f t="shared" si="882"/>
        <v>装备</v>
      </c>
      <c r="D738" s="7">
        <v>40400090</v>
      </c>
      <c r="E738" s="7"/>
      <c r="F738" s="7">
        <v>1</v>
      </c>
      <c r="G738" s="7">
        <f>3*INDEX([1]equip.xml!$I:$I,MATCH(D738&amp;"",[1]equip.xml!$A:$A,0))</f>
        <v>120000</v>
      </c>
      <c r="H738" s="7" t="str">
        <f t="shared" si="795"/>
        <v>10_10,50_20,80_30</v>
      </c>
      <c r="I738" s="7">
        <f t="shared" si="796"/>
        <v>6</v>
      </c>
      <c r="J738" s="7">
        <f t="shared" si="796"/>
        <v>50</v>
      </c>
      <c r="K738" s="7" t="s">
        <v>310</v>
      </c>
      <c r="L738" s="7">
        <v>34</v>
      </c>
      <c r="M738" s="7">
        <f>IF(INDEX([1]equip.xml!$B:$B,MATCH(D738&amp;"",[1]equip.xml!$A:$A,0))=0,0,N738)</f>
        <v>130</v>
      </c>
      <c r="N738" s="7">
        <f t="shared" ref="N738" si="883">N650</f>
        <v>130</v>
      </c>
    </row>
    <row r="739" spans="1:14">
      <c r="A739" s="7">
        <v>10013</v>
      </c>
      <c r="B739" s="7">
        <f t="shared" ref="B739:C739" si="884">B651</f>
        <v>40000</v>
      </c>
      <c r="C739" s="7" t="str">
        <f t="shared" si="884"/>
        <v>装备</v>
      </c>
      <c r="D739" s="7">
        <v>40400100</v>
      </c>
      <c r="E739" s="7"/>
      <c r="F739" s="7">
        <v>1</v>
      </c>
      <c r="G739" s="7">
        <f>3*INDEX([1]equip.xml!$I:$I,MATCH(D739&amp;"",[1]equip.xml!$A:$A,0))</f>
        <v>120000</v>
      </c>
      <c r="H739" s="7" t="str">
        <f t="shared" si="795"/>
        <v>10_10,50_20,80_30</v>
      </c>
      <c r="I739" s="7">
        <f t="shared" si="796"/>
        <v>6</v>
      </c>
      <c r="J739" s="7">
        <f t="shared" si="796"/>
        <v>50</v>
      </c>
      <c r="K739" s="7" t="s">
        <v>310</v>
      </c>
      <c r="L739" s="7">
        <v>34</v>
      </c>
      <c r="M739" s="7">
        <f>IF(INDEX([1]equip.xml!$B:$B,MATCH(D739&amp;"",[1]equip.xml!$A:$A,0))=0,0,N739)</f>
        <v>130</v>
      </c>
      <c r="N739" s="7">
        <f t="shared" ref="N739" si="885">N651</f>
        <v>130</v>
      </c>
    </row>
    <row r="740" spans="1:14">
      <c r="A740" s="7">
        <v>10013</v>
      </c>
      <c r="B740" s="7">
        <f t="shared" ref="B740:C740" si="886">B652</f>
        <v>40000</v>
      </c>
      <c r="C740" s="7" t="str">
        <f t="shared" si="886"/>
        <v>装备</v>
      </c>
      <c r="D740" s="7">
        <v>40401050</v>
      </c>
      <c r="E740" s="7"/>
      <c r="F740" s="7">
        <v>1</v>
      </c>
      <c r="G740" s="7">
        <f>3*INDEX([1]equip.xml!$I:$I,MATCH(D740&amp;"",[1]equip.xml!$A:$A,0))</f>
        <v>120000</v>
      </c>
      <c r="H740" s="7" t="str">
        <f t="shared" si="795"/>
        <v>10_10,50_20,80_30</v>
      </c>
      <c r="I740" s="7">
        <f t="shared" si="796"/>
        <v>6</v>
      </c>
      <c r="J740" s="7">
        <f t="shared" si="796"/>
        <v>50</v>
      </c>
      <c r="K740" s="7" t="s">
        <v>310</v>
      </c>
      <c r="L740" s="7">
        <v>34</v>
      </c>
      <c r="M740" s="7">
        <f>IF(INDEX([1]equip.xml!$B:$B,MATCH(D740&amp;"",[1]equip.xml!$A:$A,0))=0,0,N740)</f>
        <v>130</v>
      </c>
      <c r="N740" s="7">
        <f t="shared" ref="N740" si="887">N652</f>
        <v>130</v>
      </c>
    </row>
    <row r="741" spans="1:14">
      <c r="A741" s="7">
        <v>10013</v>
      </c>
      <c r="B741" s="7">
        <f t="shared" ref="B741:C741" si="888">B653</f>
        <v>40000</v>
      </c>
      <c r="C741" s="7" t="str">
        <f t="shared" si="888"/>
        <v>装备</v>
      </c>
      <c r="D741" s="7">
        <v>40401051</v>
      </c>
      <c r="E741" s="7"/>
      <c r="F741" s="7">
        <v>1</v>
      </c>
      <c r="G741" s="7">
        <f>3*INDEX([1]equip.xml!$I:$I,MATCH(D741&amp;"",[1]equip.xml!$A:$A,0))</f>
        <v>129000</v>
      </c>
      <c r="H741" s="7" t="str">
        <f t="shared" si="795"/>
        <v>10_10,50_20,80_30</v>
      </c>
      <c r="I741" s="7">
        <f t="shared" si="796"/>
        <v>6</v>
      </c>
      <c r="J741" s="7">
        <f t="shared" si="796"/>
        <v>50</v>
      </c>
      <c r="K741" s="7" t="s">
        <v>310</v>
      </c>
      <c r="L741" s="7">
        <v>34</v>
      </c>
      <c r="M741" s="7">
        <f>IF(INDEX([1]equip.xml!$B:$B,MATCH(D741&amp;"",[1]equip.xml!$A:$A,0))=0,0,N741)</f>
        <v>130</v>
      </c>
      <c r="N741" s="7">
        <f t="shared" ref="N741" si="889">N653</f>
        <v>130</v>
      </c>
    </row>
    <row r="742" spans="1:14">
      <c r="A742" s="7">
        <v>10013</v>
      </c>
      <c r="B742" s="7">
        <f t="shared" ref="B742:C742" si="890">B654</f>
        <v>40000</v>
      </c>
      <c r="C742" s="7" t="str">
        <f t="shared" si="890"/>
        <v>装备</v>
      </c>
      <c r="D742" s="7">
        <v>40401060</v>
      </c>
      <c r="E742" s="7"/>
      <c r="F742" s="7">
        <v>1</v>
      </c>
      <c r="G742" s="7">
        <f>3*INDEX([1]equip.xml!$I:$I,MATCH(D742&amp;"",[1]equip.xml!$A:$A,0))</f>
        <v>120000</v>
      </c>
      <c r="H742" s="7" t="str">
        <f t="shared" si="795"/>
        <v>10_10,50_20,80_30</v>
      </c>
      <c r="I742" s="7">
        <f t="shared" si="796"/>
        <v>6</v>
      </c>
      <c r="J742" s="7">
        <f t="shared" si="796"/>
        <v>50</v>
      </c>
      <c r="K742" s="7" t="s">
        <v>310</v>
      </c>
      <c r="L742" s="7">
        <v>34</v>
      </c>
      <c r="M742" s="7">
        <f>IF(INDEX([1]equip.xml!$B:$B,MATCH(D742&amp;"",[1]equip.xml!$A:$A,0))=0,0,N742)</f>
        <v>130</v>
      </c>
      <c r="N742" s="7">
        <f t="shared" ref="N742" si="891">N654</f>
        <v>130</v>
      </c>
    </row>
    <row r="743" spans="1:14">
      <c r="A743" s="7">
        <v>10013</v>
      </c>
      <c r="B743" s="7">
        <f t="shared" ref="B743:C743" si="892">B655</f>
        <v>40000</v>
      </c>
      <c r="C743" s="7" t="str">
        <f t="shared" si="892"/>
        <v>装备</v>
      </c>
      <c r="D743" s="7">
        <v>40401061</v>
      </c>
      <c r="E743" s="7"/>
      <c r="F743" s="7">
        <v>1</v>
      </c>
      <c r="G743" s="7">
        <f>3*INDEX([1]equip.xml!$I:$I,MATCH(D743&amp;"",[1]equip.xml!$A:$A,0))</f>
        <v>129000</v>
      </c>
      <c r="H743" s="7" t="str">
        <f t="shared" si="795"/>
        <v>10_10,50_20,80_30</v>
      </c>
      <c r="I743" s="7">
        <f t="shared" si="796"/>
        <v>6</v>
      </c>
      <c r="J743" s="7">
        <f t="shared" si="796"/>
        <v>50</v>
      </c>
      <c r="K743" s="7" t="s">
        <v>310</v>
      </c>
      <c r="L743" s="7">
        <v>34</v>
      </c>
      <c r="M743" s="7">
        <f>IF(INDEX([1]equip.xml!$B:$B,MATCH(D743&amp;"",[1]equip.xml!$A:$A,0))=0,0,N743)</f>
        <v>0</v>
      </c>
      <c r="N743" s="7">
        <f t="shared" ref="N743" si="893">N655</f>
        <v>130</v>
      </c>
    </row>
    <row r="744" spans="1:14">
      <c r="A744" s="7">
        <v>10013</v>
      </c>
      <c r="B744" s="7">
        <f t="shared" ref="B744:C744" si="894">B656</f>
        <v>40000</v>
      </c>
      <c r="C744" s="7" t="str">
        <f t="shared" si="894"/>
        <v>装备</v>
      </c>
      <c r="D744" s="7">
        <v>40402050</v>
      </c>
      <c r="E744" s="7"/>
      <c r="F744" s="7">
        <v>1</v>
      </c>
      <c r="G744" s="7">
        <f>3*INDEX([1]equip.xml!$I:$I,MATCH(D744&amp;"",[1]equip.xml!$A:$A,0))</f>
        <v>120000</v>
      </c>
      <c r="H744" s="7" t="str">
        <f t="shared" si="795"/>
        <v>10_10,50_20,80_30</v>
      </c>
      <c r="I744" s="7">
        <f t="shared" si="796"/>
        <v>6</v>
      </c>
      <c r="J744" s="7">
        <f t="shared" si="796"/>
        <v>50</v>
      </c>
      <c r="K744" s="7" t="s">
        <v>310</v>
      </c>
      <c r="L744" s="7">
        <v>34</v>
      </c>
      <c r="M744" s="7">
        <f>IF(INDEX([1]equip.xml!$B:$B,MATCH(D744&amp;"",[1]equip.xml!$A:$A,0))=0,0,N744)</f>
        <v>130</v>
      </c>
      <c r="N744" s="7">
        <f t="shared" ref="N744" si="895">N656</f>
        <v>130</v>
      </c>
    </row>
    <row r="745" spans="1:14">
      <c r="A745" s="7">
        <v>10013</v>
      </c>
      <c r="B745" s="7">
        <f t="shared" ref="B745:C745" si="896">B657</f>
        <v>40000</v>
      </c>
      <c r="C745" s="7" t="str">
        <f t="shared" si="896"/>
        <v>装备</v>
      </c>
      <c r="D745" s="7">
        <v>40402051</v>
      </c>
      <c r="E745" s="7"/>
      <c r="F745" s="7">
        <v>1</v>
      </c>
      <c r="G745" s="7">
        <f>3*INDEX([1]equip.xml!$I:$I,MATCH(D745&amp;"",[1]equip.xml!$A:$A,0))</f>
        <v>129000</v>
      </c>
      <c r="H745" s="7" t="str">
        <f t="shared" si="795"/>
        <v>10_10,50_20,80_30</v>
      </c>
      <c r="I745" s="7">
        <f t="shared" si="796"/>
        <v>6</v>
      </c>
      <c r="J745" s="7">
        <f t="shared" si="796"/>
        <v>50</v>
      </c>
      <c r="K745" s="7" t="s">
        <v>310</v>
      </c>
      <c r="L745" s="7">
        <v>34</v>
      </c>
      <c r="M745" s="7">
        <f>IF(INDEX([1]equip.xml!$B:$B,MATCH(D745&amp;"",[1]equip.xml!$A:$A,0))=0,0,N745)</f>
        <v>130</v>
      </c>
      <c r="N745" s="7">
        <f t="shared" ref="N745" si="897">N657</f>
        <v>130</v>
      </c>
    </row>
    <row r="746" spans="1:14">
      <c r="A746" s="7">
        <v>10013</v>
      </c>
      <c r="B746" s="7">
        <f t="shared" ref="B746:C746" si="898">B658</f>
        <v>40000</v>
      </c>
      <c r="C746" s="7" t="str">
        <f t="shared" si="898"/>
        <v>装备</v>
      </c>
      <c r="D746" s="7">
        <v>40402060</v>
      </c>
      <c r="E746" s="7"/>
      <c r="F746" s="7">
        <v>1</v>
      </c>
      <c r="G746" s="7">
        <f>3*INDEX([1]equip.xml!$I:$I,MATCH(D746&amp;"",[1]equip.xml!$A:$A,0))</f>
        <v>120000</v>
      </c>
      <c r="H746" s="7" t="str">
        <f t="shared" si="795"/>
        <v>10_10,50_20,80_30</v>
      </c>
      <c r="I746" s="7">
        <f t="shared" si="796"/>
        <v>6</v>
      </c>
      <c r="J746" s="7">
        <f t="shared" si="796"/>
        <v>50</v>
      </c>
      <c r="K746" s="7" t="s">
        <v>310</v>
      </c>
      <c r="L746" s="7">
        <v>34</v>
      </c>
      <c r="M746" s="7">
        <f>IF(INDEX([1]equip.xml!$B:$B,MATCH(D746&amp;"",[1]equip.xml!$A:$A,0))=0,0,N746)</f>
        <v>130</v>
      </c>
      <c r="N746" s="7">
        <f t="shared" ref="N746" si="899">N658</f>
        <v>130</v>
      </c>
    </row>
    <row r="747" spans="1:14">
      <c r="A747" s="7">
        <v>10013</v>
      </c>
      <c r="B747" s="7">
        <f t="shared" ref="B747:C747" si="900">B659</f>
        <v>40000</v>
      </c>
      <c r="C747" s="7" t="str">
        <f t="shared" si="900"/>
        <v>装备</v>
      </c>
      <c r="D747" s="7">
        <v>40402061</v>
      </c>
      <c r="E747" s="7"/>
      <c r="F747" s="7">
        <v>1</v>
      </c>
      <c r="G747" s="7">
        <f>3*INDEX([1]equip.xml!$I:$I,MATCH(D747&amp;"",[1]equip.xml!$A:$A,0))</f>
        <v>129000</v>
      </c>
      <c r="H747" s="7" t="str">
        <f t="shared" si="795"/>
        <v>10_10,50_20,80_30</v>
      </c>
      <c r="I747" s="7">
        <f t="shared" si="796"/>
        <v>6</v>
      </c>
      <c r="J747" s="7">
        <f t="shared" si="796"/>
        <v>50</v>
      </c>
      <c r="K747" s="7" t="s">
        <v>310</v>
      </c>
      <c r="L747" s="7">
        <v>34</v>
      </c>
      <c r="M747" s="7">
        <f>IF(INDEX([1]equip.xml!$B:$B,MATCH(D747&amp;"",[1]equip.xml!$A:$A,0))=0,0,N747)</f>
        <v>0</v>
      </c>
      <c r="N747" s="7">
        <f t="shared" ref="N747" si="901">N659</f>
        <v>130</v>
      </c>
    </row>
    <row r="748" spans="1:14">
      <c r="A748" s="7">
        <v>10013</v>
      </c>
      <c r="B748" s="7">
        <f t="shared" ref="B748:C748" si="902">B660</f>
        <v>40000</v>
      </c>
      <c r="C748" s="7" t="str">
        <f t="shared" si="902"/>
        <v>装备</v>
      </c>
      <c r="D748" s="7">
        <v>40403050</v>
      </c>
      <c r="E748" s="7"/>
      <c r="F748" s="7">
        <v>1</v>
      </c>
      <c r="G748" s="7">
        <f>3*INDEX([1]equip.xml!$I:$I,MATCH(D748&amp;"",[1]equip.xml!$A:$A,0))</f>
        <v>120000</v>
      </c>
      <c r="H748" s="7" t="str">
        <f t="shared" si="795"/>
        <v>10_10,50_20,80_30</v>
      </c>
      <c r="I748" s="7">
        <f t="shared" si="796"/>
        <v>6</v>
      </c>
      <c r="J748" s="7">
        <f t="shared" si="796"/>
        <v>50</v>
      </c>
      <c r="K748" s="7" t="s">
        <v>310</v>
      </c>
      <c r="L748" s="7">
        <v>34</v>
      </c>
      <c r="M748" s="7">
        <f>IF(INDEX([1]equip.xml!$B:$B,MATCH(D748&amp;"",[1]equip.xml!$A:$A,0))=0,0,N748)</f>
        <v>130</v>
      </c>
      <c r="N748" s="7">
        <f t="shared" ref="N748" si="903">N660</f>
        <v>130</v>
      </c>
    </row>
    <row r="749" spans="1:14">
      <c r="A749" s="7">
        <v>10013</v>
      </c>
      <c r="B749" s="7">
        <f t="shared" ref="B749:C749" si="904">B661</f>
        <v>40000</v>
      </c>
      <c r="C749" s="7" t="str">
        <f t="shared" si="904"/>
        <v>装备</v>
      </c>
      <c r="D749" s="7">
        <v>40403051</v>
      </c>
      <c r="E749" s="7"/>
      <c r="F749" s="7">
        <v>1</v>
      </c>
      <c r="G749" s="7">
        <f>3*INDEX([1]equip.xml!$I:$I,MATCH(D749&amp;"",[1]equip.xml!$A:$A,0))</f>
        <v>129000</v>
      </c>
      <c r="H749" s="7" t="str">
        <f t="shared" si="795"/>
        <v>10_10,50_20,80_30</v>
      </c>
      <c r="I749" s="7">
        <f t="shared" si="796"/>
        <v>6</v>
      </c>
      <c r="J749" s="7">
        <f t="shared" si="796"/>
        <v>50</v>
      </c>
      <c r="K749" s="7" t="s">
        <v>310</v>
      </c>
      <c r="L749" s="7">
        <v>34</v>
      </c>
      <c r="M749" s="7">
        <f>IF(INDEX([1]equip.xml!$B:$B,MATCH(D749&amp;"",[1]equip.xml!$A:$A,0))=0,0,N749)</f>
        <v>130</v>
      </c>
      <c r="N749" s="7">
        <f t="shared" ref="N749" si="905">N661</f>
        <v>130</v>
      </c>
    </row>
    <row r="750" spans="1:14">
      <c r="A750" s="7">
        <v>10013</v>
      </c>
      <c r="B750" s="7">
        <f t="shared" ref="B750:C750" si="906">B662</f>
        <v>40000</v>
      </c>
      <c r="C750" s="7" t="str">
        <f t="shared" si="906"/>
        <v>装备</v>
      </c>
      <c r="D750" s="7">
        <v>40403060</v>
      </c>
      <c r="E750" s="7"/>
      <c r="F750" s="7">
        <v>1</v>
      </c>
      <c r="G750" s="7">
        <f>3*INDEX([1]equip.xml!$I:$I,MATCH(D750&amp;"",[1]equip.xml!$A:$A,0))</f>
        <v>120000</v>
      </c>
      <c r="H750" s="7" t="str">
        <f t="shared" si="795"/>
        <v>10_10,50_20,80_30</v>
      </c>
      <c r="I750" s="7">
        <f t="shared" si="796"/>
        <v>6</v>
      </c>
      <c r="J750" s="7">
        <f t="shared" si="796"/>
        <v>50</v>
      </c>
      <c r="K750" s="7" t="s">
        <v>310</v>
      </c>
      <c r="L750" s="7">
        <v>34</v>
      </c>
      <c r="M750" s="7">
        <f>IF(INDEX([1]equip.xml!$B:$B,MATCH(D750&amp;"",[1]equip.xml!$A:$A,0))=0,0,N750)</f>
        <v>130</v>
      </c>
      <c r="N750" s="7">
        <f t="shared" ref="N750" si="907">N662</f>
        <v>130</v>
      </c>
    </row>
    <row r="751" spans="1:14">
      <c r="A751" s="7">
        <v>10013</v>
      </c>
      <c r="B751" s="7">
        <f t="shared" ref="B751:C751" si="908">B663</f>
        <v>40000</v>
      </c>
      <c r="C751" s="7" t="str">
        <f t="shared" si="908"/>
        <v>装备</v>
      </c>
      <c r="D751" s="7">
        <v>40403061</v>
      </c>
      <c r="E751" s="7"/>
      <c r="F751" s="7">
        <v>1</v>
      </c>
      <c r="G751" s="7">
        <f>3*INDEX([1]equip.xml!$I:$I,MATCH(D751&amp;"",[1]equip.xml!$A:$A,0))</f>
        <v>129000</v>
      </c>
      <c r="H751" s="7" t="str">
        <f t="shared" si="795"/>
        <v>10_10,50_20,80_30</v>
      </c>
      <c r="I751" s="7">
        <f t="shared" si="796"/>
        <v>6</v>
      </c>
      <c r="J751" s="7">
        <f t="shared" si="796"/>
        <v>50</v>
      </c>
      <c r="K751" s="7" t="s">
        <v>310</v>
      </c>
      <c r="L751" s="7">
        <v>34</v>
      </c>
      <c r="M751" s="7">
        <f>IF(INDEX([1]equip.xml!$B:$B,MATCH(D751&amp;"",[1]equip.xml!$A:$A,0))=0,0,N751)</f>
        <v>0</v>
      </c>
      <c r="N751" s="7">
        <f t="shared" ref="N751" si="909">N663</f>
        <v>130</v>
      </c>
    </row>
    <row r="752" spans="1:14">
      <c r="A752" s="7">
        <v>10013</v>
      </c>
      <c r="B752" s="7">
        <f t="shared" ref="B752:C752" si="910">B664</f>
        <v>40000</v>
      </c>
      <c r="C752" s="7" t="str">
        <f t="shared" si="910"/>
        <v>装备</v>
      </c>
      <c r="D752" s="7">
        <v>40400040</v>
      </c>
      <c r="E752" s="7"/>
      <c r="F752" s="7">
        <v>1</v>
      </c>
      <c r="G752" s="7">
        <f>3*INDEX([1]equip.xml!$I:$I,MATCH(D752&amp;"",[1]equip.xml!$A:$A,0))</f>
        <v>120000</v>
      </c>
      <c r="H752" s="7" t="str">
        <f t="shared" si="795"/>
        <v>10_10,50_20,80_30</v>
      </c>
      <c r="I752" s="7">
        <f t="shared" si="796"/>
        <v>6</v>
      </c>
      <c r="J752" s="7">
        <f t="shared" si="796"/>
        <v>50</v>
      </c>
      <c r="K752" s="7" t="s">
        <v>310</v>
      </c>
      <c r="L752" s="7">
        <v>34</v>
      </c>
      <c r="M752" s="7">
        <f>IF(INDEX([1]equip.xml!$B:$B,MATCH(D752&amp;"",[1]equip.xml!$A:$A,0))=0,0,N752)</f>
        <v>130</v>
      </c>
      <c r="N752" s="7">
        <f t="shared" ref="N752" si="911">N664</f>
        <v>130</v>
      </c>
    </row>
    <row r="753" spans="1:14">
      <c r="A753" s="7">
        <v>10013</v>
      </c>
      <c r="B753" s="7">
        <f t="shared" ref="B753:C753" si="912">B665</f>
        <v>40000</v>
      </c>
      <c r="C753" s="7" t="str">
        <f t="shared" si="912"/>
        <v>装备</v>
      </c>
      <c r="D753" s="7">
        <v>40400041</v>
      </c>
      <c r="E753" s="7"/>
      <c r="F753" s="7">
        <v>1</v>
      </c>
      <c r="G753" s="7">
        <f>3*INDEX([1]equip.xml!$I:$I,MATCH(D753&amp;"",[1]equip.xml!$A:$A,0))</f>
        <v>129000</v>
      </c>
      <c r="H753" s="7" t="str">
        <f t="shared" si="795"/>
        <v>10_10,50_20,80_30</v>
      </c>
      <c r="I753" s="7">
        <f t="shared" si="796"/>
        <v>6</v>
      </c>
      <c r="J753" s="7">
        <f t="shared" si="796"/>
        <v>50</v>
      </c>
      <c r="K753" s="7" t="s">
        <v>310</v>
      </c>
      <c r="L753" s="7">
        <v>34</v>
      </c>
      <c r="M753" s="7">
        <f>IF(INDEX([1]equip.xml!$B:$B,MATCH(D753&amp;"",[1]equip.xml!$A:$A,0))=0,0,N753)</f>
        <v>0</v>
      </c>
      <c r="N753" s="7">
        <f t="shared" ref="N753" si="913">N665</f>
        <v>130</v>
      </c>
    </row>
    <row r="754" spans="1:14">
      <c r="A754" s="7">
        <v>10013</v>
      </c>
      <c r="B754" s="7">
        <f t="shared" ref="B754:C754" si="914">B666</f>
        <v>40000</v>
      </c>
      <c r="C754" s="7" t="str">
        <f t="shared" si="914"/>
        <v>装备</v>
      </c>
      <c r="D754" s="7">
        <v>40400070</v>
      </c>
      <c r="E754" s="7"/>
      <c r="F754" s="7">
        <v>1</v>
      </c>
      <c r="G754" s="7">
        <f>3*INDEX([1]equip.xml!$I:$I,MATCH(D754&amp;"",[1]equip.xml!$A:$A,0))</f>
        <v>120000</v>
      </c>
      <c r="H754" s="7" t="str">
        <f t="shared" si="795"/>
        <v>10_10,50_20,80_30</v>
      </c>
      <c r="I754" s="7">
        <f t="shared" si="796"/>
        <v>6</v>
      </c>
      <c r="J754" s="7">
        <f t="shared" si="796"/>
        <v>50</v>
      </c>
      <c r="K754" s="7" t="s">
        <v>310</v>
      </c>
      <c r="L754" s="7">
        <v>34</v>
      </c>
      <c r="M754" s="7">
        <f>IF(INDEX([1]equip.xml!$B:$B,MATCH(D754&amp;"",[1]equip.xml!$A:$A,0))=0,0,N754)</f>
        <v>130</v>
      </c>
      <c r="N754" s="7">
        <f t="shared" ref="N754" si="915">N666</f>
        <v>130</v>
      </c>
    </row>
    <row r="755" spans="1:14">
      <c r="A755" s="7">
        <v>10013</v>
      </c>
      <c r="B755" s="7">
        <f t="shared" ref="B755:C755" si="916">B667</f>
        <v>40000</v>
      </c>
      <c r="C755" s="7" t="str">
        <f t="shared" si="916"/>
        <v>装备</v>
      </c>
      <c r="D755" s="7">
        <v>40400071</v>
      </c>
      <c r="E755" s="7"/>
      <c r="F755" s="7">
        <v>1</v>
      </c>
      <c r="G755" s="7">
        <f>3*INDEX([1]equip.xml!$I:$I,MATCH(D755&amp;"",[1]equip.xml!$A:$A,0))</f>
        <v>129000</v>
      </c>
      <c r="H755" s="7" t="str">
        <f t="shared" si="795"/>
        <v>10_10,50_20,80_30</v>
      </c>
      <c r="I755" s="7">
        <f t="shared" si="796"/>
        <v>6</v>
      </c>
      <c r="J755" s="7">
        <f t="shared" si="796"/>
        <v>50</v>
      </c>
      <c r="K755" s="7" t="s">
        <v>310</v>
      </c>
      <c r="L755" s="7">
        <v>34</v>
      </c>
      <c r="M755" s="7">
        <f>IF(INDEX([1]equip.xml!$B:$B,MATCH(D755&amp;"",[1]equip.xml!$A:$A,0))=0,0,N755)</f>
        <v>0</v>
      </c>
      <c r="N755" s="7">
        <f t="shared" ref="N755" si="917">N667</f>
        <v>130</v>
      </c>
    </row>
    <row r="756" spans="1:14">
      <c r="A756" s="7">
        <v>10013</v>
      </c>
      <c r="B756" s="7">
        <f t="shared" ref="B756:C756" si="918">B668</f>
        <v>40000</v>
      </c>
      <c r="C756" s="7" t="str">
        <f t="shared" si="918"/>
        <v>装备</v>
      </c>
      <c r="D756" s="7">
        <v>40450010</v>
      </c>
      <c r="E756" s="7"/>
      <c r="F756" s="7">
        <v>1</v>
      </c>
      <c r="G756" s="7">
        <f>3*INDEX([1]equip.xml!$I:$I,MATCH(D756&amp;"",[1]equip.xml!$A:$A,0))</f>
        <v>135000</v>
      </c>
      <c r="H756" s="7" t="str">
        <f t="shared" si="795"/>
        <v>10_10,50_20,80_30</v>
      </c>
      <c r="I756" s="7">
        <f t="shared" si="796"/>
        <v>6</v>
      </c>
      <c r="J756" s="7">
        <f t="shared" si="796"/>
        <v>50</v>
      </c>
      <c r="K756" s="7" t="s">
        <v>310</v>
      </c>
      <c r="L756" s="7">
        <v>34</v>
      </c>
      <c r="M756" s="7">
        <f>IF(INDEX([1]equip.xml!$B:$B,MATCH(D756&amp;"",[1]equip.xml!$A:$A,0))=0,0,N756)</f>
        <v>65</v>
      </c>
      <c r="N756" s="7">
        <f t="shared" ref="N756" si="919">N668</f>
        <v>65</v>
      </c>
    </row>
    <row r="757" spans="1:14">
      <c r="A757" s="7">
        <v>10013</v>
      </c>
      <c r="B757" s="7">
        <f t="shared" ref="B757:C757" si="920">B669</f>
        <v>40000</v>
      </c>
      <c r="C757" s="7" t="str">
        <f t="shared" si="920"/>
        <v>装备</v>
      </c>
      <c r="D757" s="7">
        <v>40450020</v>
      </c>
      <c r="E757" s="7"/>
      <c r="F757" s="7">
        <v>1</v>
      </c>
      <c r="G757" s="7">
        <f>3*INDEX([1]equip.xml!$I:$I,MATCH(D757&amp;"",[1]equip.xml!$A:$A,0))</f>
        <v>135000</v>
      </c>
      <c r="H757" s="7" t="str">
        <f t="shared" si="795"/>
        <v>10_10,50_20,80_30</v>
      </c>
      <c r="I757" s="7">
        <f t="shared" si="796"/>
        <v>6</v>
      </c>
      <c r="J757" s="7">
        <f t="shared" si="796"/>
        <v>50</v>
      </c>
      <c r="K757" s="7" t="s">
        <v>310</v>
      </c>
      <c r="L757" s="7">
        <v>34</v>
      </c>
      <c r="M757" s="7">
        <f>IF(INDEX([1]equip.xml!$B:$B,MATCH(D757&amp;"",[1]equip.xml!$A:$A,0))=0,0,N757)</f>
        <v>65</v>
      </c>
      <c r="N757" s="7">
        <f t="shared" ref="N757" si="921">N669</f>
        <v>65</v>
      </c>
    </row>
    <row r="758" spans="1:14">
      <c r="A758" s="7">
        <v>10013</v>
      </c>
      <c r="B758" s="7">
        <f t="shared" ref="B758:C758" si="922">B670</f>
        <v>40000</v>
      </c>
      <c r="C758" s="7" t="str">
        <f t="shared" si="922"/>
        <v>装备</v>
      </c>
      <c r="D758" s="7">
        <v>40450030</v>
      </c>
      <c r="E758" s="7"/>
      <c r="F758" s="7">
        <v>1</v>
      </c>
      <c r="G758" s="7">
        <f>3*INDEX([1]equip.xml!$I:$I,MATCH(D758&amp;"",[1]equip.xml!$A:$A,0))</f>
        <v>135000</v>
      </c>
      <c r="H758" s="7" t="str">
        <f t="shared" si="795"/>
        <v>10_10,50_20,80_30</v>
      </c>
      <c r="I758" s="7">
        <f t="shared" si="796"/>
        <v>6</v>
      </c>
      <c r="J758" s="7">
        <f t="shared" si="796"/>
        <v>50</v>
      </c>
      <c r="K758" s="7" t="s">
        <v>310</v>
      </c>
      <c r="L758" s="7">
        <v>34</v>
      </c>
      <c r="M758" s="7">
        <f>IF(INDEX([1]equip.xml!$B:$B,MATCH(D758&amp;"",[1]equip.xml!$A:$A,0))=0,0,N758)</f>
        <v>65</v>
      </c>
      <c r="N758" s="7">
        <f t="shared" ref="N758" si="923">N670</f>
        <v>65</v>
      </c>
    </row>
    <row r="759" spans="1:14">
      <c r="A759" s="7">
        <v>10013</v>
      </c>
      <c r="B759" s="7">
        <f t="shared" ref="B759:C759" si="924">B671</f>
        <v>40000</v>
      </c>
      <c r="C759" s="7" t="str">
        <f t="shared" si="924"/>
        <v>装备</v>
      </c>
      <c r="D759" s="7">
        <v>40450080</v>
      </c>
      <c r="E759" s="7"/>
      <c r="F759" s="7">
        <v>1</v>
      </c>
      <c r="G759" s="7">
        <f>3*INDEX([1]equip.xml!$I:$I,MATCH(D759&amp;"",[1]equip.xml!$A:$A,0))</f>
        <v>135000</v>
      </c>
      <c r="H759" s="7" t="str">
        <f t="shared" ref="H759:H822" si="925">H671</f>
        <v>10_10,50_20,80_30</v>
      </c>
      <c r="I759" s="7">
        <f t="shared" ref="I759:J822" si="926">I671</f>
        <v>6</v>
      </c>
      <c r="J759" s="7">
        <f t="shared" si="926"/>
        <v>50</v>
      </c>
      <c r="K759" s="7" t="s">
        <v>310</v>
      </c>
      <c r="L759" s="7">
        <v>34</v>
      </c>
      <c r="M759" s="7">
        <f>IF(INDEX([1]equip.xml!$B:$B,MATCH(D759&amp;"",[1]equip.xml!$A:$A,0))=0,0,N759)</f>
        <v>65</v>
      </c>
      <c r="N759" s="7">
        <f t="shared" ref="N759" si="927">N671</f>
        <v>65</v>
      </c>
    </row>
    <row r="760" spans="1:14">
      <c r="A760" s="7">
        <v>10013</v>
      </c>
      <c r="B760" s="7">
        <f t="shared" ref="B760:C760" si="928">B672</f>
        <v>40000</v>
      </c>
      <c r="C760" s="7" t="str">
        <f t="shared" si="928"/>
        <v>装备</v>
      </c>
      <c r="D760" s="7">
        <v>40450090</v>
      </c>
      <c r="E760" s="7"/>
      <c r="F760" s="7">
        <v>1</v>
      </c>
      <c r="G760" s="7">
        <f>3*INDEX([1]equip.xml!$I:$I,MATCH(D760&amp;"",[1]equip.xml!$A:$A,0))</f>
        <v>135000</v>
      </c>
      <c r="H760" s="7" t="str">
        <f t="shared" si="925"/>
        <v>10_10,50_20,80_30</v>
      </c>
      <c r="I760" s="7">
        <f t="shared" si="926"/>
        <v>6</v>
      </c>
      <c r="J760" s="7">
        <f t="shared" si="926"/>
        <v>50</v>
      </c>
      <c r="K760" s="7" t="s">
        <v>310</v>
      </c>
      <c r="L760" s="7">
        <v>34</v>
      </c>
      <c r="M760" s="7">
        <f>IF(INDEX([1]equip.xml!$B:$B,MATCH(D760&amp;"",[1]equip.xml!$A:$A,0))=0,0,N760)</f>
        <v>65</v>
      </c>
      <c r="N760" s="7">
        <f t="shared" ref="N760" si="929">N672</f>
        <v>65</v>
      </c>
    </row>
    <row r="761" spans="1:14">
      <c r="A761" s="7">
        <v>10013</v>
      </c>
      <c r="B761" s="7">
        <f t="shared" ref="B761:C761" si="930">B673</f>
        <v>40000</v>
      </c>
      <c r="C761" s="7" t="str">
        <f t="shared" si="930"/>
        <v>装备</v>
      </c>
      <c r="D761" s="7">
        <v>40450100</v>
      </c>
      <c r="E761" s="7"/>
      <c r="F761" s="7">
        <v>1</v>
      </c>
      <c r="G761" s="7">
        <f>3*INDEX([1]equip.xml!$I:$I,MATCH(D761&amp;"",[1]equip.xml!$A:$A,0))</f>
        <v>135000</v>
      </c>
      <c r="H761" s="7" t="str">
        <f t="shared" si="925"/>
        <v>10_10,50_20,80_30</v>
      </c>
      <c r="I761" s="7">
        <f t="shared" si="926"/>
        <v>6</v>
      </c>
      <c r="J761" s="7">
        <f t="shared" si="926"/>
        <v>50</v>
      </c>
      <c r="K761" s="7" t="s">
        <v>310</v>
      </c>
      <c r="L761" s="7">
        <v>34</v>
      </c>
      <c r="M761" s="7">
        <f>IF(INDEX([1]equip.xml!$B:$B,MATCH(D761&amp;"",[1]equip.xml!$A:$A,0))=0,0,N761)</f>
        <v>65</v>
      </c>
      <c r="N761" s="7">
        <f t="shared" ref="N761" si="931">N673</f>
        <v>65</v>
      </c>
    </row>
    <row r="762" spans="1:14">
      <c r="A762" s="7">
        <v>10013</v>
      </c>
      <c r="B762" s="7">
        <f t="shared" ref="B762:C762" si="932">B674</f>
        <v>40000</v>
      </c>
      <c r="C762" s="7" t="str">
        <f t="shared" si="932"/>
        <v>装备</v>
      </c>
      <c r="D762" s="7">
        <v>40451050</v>
      </c>
      <c r="E762" s="7"/>
      <c r="F762" s="7">
        <v>1</v>
      </c>
      <c r="G762" s="7">
        <f>3*INDEX([1]equip.xml!$I:$I,MATCH(D762&amp;"",[1]equip.xml!$A:$A,0))</f>
        <v>135000</v>
      </c>
      <c r="H762" s="7" t="str">
        <f t="shared" si="925"/>
        <v>10_10,50_20,80_30</v>
      </c>
      <c r="I762" s="7">
        <f t="shared" si="926"/>
        <v>6</v>
      </c>
      <c r="J762" s="7">
        <f t="shared" si="926"/>
        <v>50</v>
      </c>
      <c r="K762" s="7" t="s">
        <v>310</v>
      </c>
      <c r="L762" s="7">
        <v>34</v>
      </c>
      <c r="M762" s="7">
        <f>IF(INDEX([1]equip.xml!$B:$B,MATCH(D762&amp;"",[1]equip.xml!$A:$A,0))=0,0,N762)</f>
        <v>65</v>
      </c>
      <c r="N762" s="7">
        <f t="shared" ref="N762" si="933">N674</f>
        <v>65</v>
      </c>
    </row>
    <row r="763" spans="1:14">
      <c r="A763" s="7">
        <v>10013</v>
      </c>
      <c r="B763" s="7">
        <f t="shared" ref="B763:C763" si="934">B675</f>
        <v>40000</v>
      </c>
      <c r="C763" s="7" t="str">
        <f t="shared" si="934"/>
        <v>装备</v>
      </c>
      <c r="D763" s="7">
        <v>40451051</v>
      </c>
      <c r="E763" s="7"/>
      <c r="F763" s="7">
        <v>1</v>
      </c>
      <c r="G763" s="7">
        <f>3*INDEX([1]equip.xml!$I:$I,MATCH(D763&amp;"",[1]equip.xml!$A:$A,0))</f>
        <v>144000</v>
      </c>
      <c r="H763" s="7" t="str">
        <f t="shared" si="925"/>
        <v>10_10,50_20,80_30</v>
      </c>
      <c r="I763" s="7">
        <f t="shared" si="926"/>
        <v>6</v>
      </c>
      <c r="J763" s="7">
        <f t="shared" si="926"/>
        <v>50</v>
      </c>
      <c r="K763" s="7" t="s">
        <v>310</v>
      </c>
      <c r="L763" s="7">
        <v>34</v>
      </c>
      <c r="M763" s="7">
        <f>IF(INDEX([1]equip.xml!$B:$B,MATCH(D763&amp;"",[1]equip.xml!$A:$A,0))=0,0,N763)</f>
        <v>0</v>
      </c>
      <c r="N763" s="7">
        <f t="shared" ref="N763" si="935">N675</f>
        <v>65</v>
      </c>
    </row>
    <row r="764" spans="1:14">
      <c r="A764" s="7">
        <v>10013</v>
      </c>
      <c r="B764" s="7">
        <f t="shared" ref="B764:C764" si="936">B676</f>
        <v>40000</v>
      </c>
      <c r="C764" s="7" t="str">
        <f t="shared" si="936"/>
        <v>装备</v>
      </c>
      <c r="D764" s="7">
        <v>40451060</v>
      </c>
      <c r="E764" s="7"/>
      <c r="F764" s="7">
        <v>1</v>
      </c>
      <c r="G764" s="7">
        <f>3*INDEX([1]equip.xml!$I:$I,MATCH(D764&amp;"",[1]equip.xml!$A:$A,0))</f>
        <v>135000</v>
      </c>
      <c r="H764" s="7" t="str">
        <f t="shared" si="925"/>
        <v>10_10,50_20,80_30</v>
      </c>
      <c r="I764" s="7">
        <f t="shared" si="926"/>
        <v>6</v>
      </c>
      <c r="J764" s="7">
        <f t="shared" si="926"/>
        <v>50</v>
      </c>
      <c r="K764" s="7" t="s">
        <v>310</v>
      </c>
      <c r="L764" s="7">
        <v>34</v>
      </c>
      <c r="M764" s="7">
        <f>IF(INDEX([1]equip.xml!$B:$B,MATCH(D764&amp;"",[1]equip.xml!$A:$A,0))=0,0,N764)</f>
        <v>65</v>
      </c>
      <c r="N764" s="7">
        <f t="shared" ref="N764" si="937">N676</f>
        <v>65</v>
      </c>
    </row>
    <row r="765" spans="1:14">
      <c r="A765" s="7">
        <v>10013</v>
      </c>
      <c r="B765" s="7">
        <f t="shared" ref="B765:C765" si="938">B677</f>
        <v>40000</v>
      </c>
      <c r="C765" s="7" t="str">
        <f t="shared" si="938"/>
        <v>装备</v>
      </c>
      <c r="D765" s="7">
        <v>40451061</v>
      </c>
      <c r="E765" s="7"/>
      <c r="F765" s="7">
        <v>1</v>
      </c>
      <c r="G765" s="7">
        <f>3*INDEX([1]equip.xml!$I:$I,MATCH(D765&amp;"",[1]equip.xml!$A:$A,0))</f>
        <v>144000</v>
      </c>
      <c r="H765" s="7" t="str">
        <f t="shared" si="925"/>
        <v>10_10,50_20,80_30</v>
      </c>
      <c r="I765" s="7">
        <f t="shared" si="926"/>
        <v>6</v>
      </c>
      <c r="J765" s="7">
        <f t="shared" si="926"/>
        <v>50</v>
      </c>
      <c r="K765" s="7" t="s">
        <v>310</v>
      </c>
      <c r="L765" s="7">
        <v>34</v>
      </c>
      <c r="M765" s="7">
        <f>IF(INDEX([1]equip.xml!$B:$B,MATCH(D765&amp;"",[1]equip.xml!$A:$A,0))=0,0,N765)</f>
        <v>0</v>
      </c>
      <c r="N765" s="7">
        <f t="shared" ref="N765" si="939">N677</f>
        <v>65</v>
      </c>
    </row>
    <row r="766" spans="1:14">
      <c r="A766" s="7">
        <v>10013</v>
      </c>
      <c r="B766" s="7">
        <f t="shared" ref="B766:C766" si="940">B678</f>
        <v>40000</v>
      </c>
      <c r="C766" s="7" t="str">
        <f t="shared" si="940"/>
        <v>装备</v>
      </c>
      <c r="D766" s="7">
        <v>40452050</v>
      </c>
      <c r="E766" s="7"/>
      <c r="F766" s="7">
        <v>1</v>
      </c>
      <c r="G766" s="7">
        <f>3*INDEX([1]equip.xml!$I:$I,MATCH(D766&amp;"",[1]equip.xml!$A:$A,0))</f>
        <v>135000</v>
      </c>
      <c r="H766" s="7" t="str">
        <f t="shared" si="925"/>
        <v>10_10,50_20,80_30</v>
      </c>
      <c r="I766" s="7">
        <f t="shared" si="926"/>
        <v>6</v>
      </c>
      <c r="J766" s="7">
        <f t="shared" si="926"/>
        <v>50</v>
      </c>
      <c r="K766" s="7" t="s">
        <v>310</v>
      </c>
      <c r="L766" s="7">
        <v>34</v>
      </c>
      <c r="M766" s="7">
        <f>IF(INDEX([1]equip.xml!$B:$B,MATCH(D766&amp;"",[1]equip.xml!$A:$A,0))=0,0,N766)</f>
        <v>65</v>
      </c>
      <c r="N766" s="7">
        <f t="shared" ref="N766" si="941">N678</f>
        <v>65</v>
      </c>
    </row>
    <row r="767" spans="1:14">
      <c r="A767" s="7">
        <v>10013</v>
      </c>
      <c r="B767" s="7">
        <f t="shared" ref="B767:C767" si="942">B679</f>
        <v>40000</v>
      </c>
      <c r="C767" s="7" t="str">
        <f t="shared" si="942"/>
        <v>装备</v>
      </c>
      <c r="D767" s="7">
        <v>40452051</v>
      </c>
      <c r="E767" s="7"/>
      <c r="F767" s="7">
        <v>1</v>
      </c>
      <c r="G767" s="7">
        <f>3*INDEX([1]equip.xml!$I:$I,MATCH(D767&amp;"",[1]equip.xml!$A:$A,0))</f>
        <v>144000</v>
      </c>
      <c r="H767" s="7" t="str">
        <f t="shared" si="925"/>
        <v>10_10,50_20,80_30</v>
      </c>
      <c r="I767" s="7">
        <f t="shared" si="926"/>
        <v>6</v>
      </c>
      <c r="J767" s="7">
        <f t="shared" si="926"/>
        <v>50</v>
      </c>
      <c r="K767" s="7" t="s">
        <v>310</v>
      </c>
      <c r="L767" s="7">
        <v>34</v>
      </c>
      <c r="M767" s="7">
        <f>IF(INDEX([1]equip.xml!$B:$B,MATCH(D767&amp;"",[1]equip.xml!$A:$A,0))=0,0,N767)</f>
        <v>0</v>
      </c>
      <c r="N767" s="7">
        <f t="shared" ref="N767" si="943">N679</f>
        <v>65</v>
      </c>
    </row>
    <row r="768" spans="1:14">
      <c r="A768" s="7">
        <v>10013</v>
      </c>
      <c r="B768" s="7">
        <f t="shared" ref="B768:C768" si="944">B680</f>
        <v>40000</v>
      </c>
      <c r="C768" s="7" t="str">
        <f t="shared" si="944"/>
        <v>装备</v>
      </c>
      <c r="D768" s="7">
        <v>40452060</v>
      </c>
      <c r="E768" s="7"/>
      <c r="F768" s="7">
        <v>1</v>
      </c>
      <c r="G768" s="7">
        <f>3*INDEX([1]equip.xml!$I:$I,MATCH(D768&amp;"",[1]equip.xml!$A:$A,0))</f>
        <v>135000</v>
      </c>
      <c r="H768" s="7" t="str">
        <f t="shared" si="925"/>
        <v>10_10,50_20,80_30</v>
      </c>
      <c r="I768" s="7">
        <f t="shared" si="926"/>
        <v>6</v>
      </c>
      <c r="J768" s="7">
        <f t="shared" si="926"/>
        <v>50</v>
      </c>
      <c r="K768" s="7" t="s">
        <v>310</v>
      </c>
      <c r="L768" s="7">
        <v>34</v>
      </c>
      <c r="M768" s="7">
        <f>IF(INDEX([1]equip.xml!$B:$B,MATCH(D768&amp;"",[1]equip.xml!$A:$A,0))=0,0,N768)</f>
        <v>65</v>
      </c>
      <c r="N768" s="7">
        <f t="shared" ref="N768" si="945">N680</f>
        <v>65</v>
      </c>
    </row>
    <row r="769" spans="1:14">
      <c r="A769" s="7">
        <v>10013</v>
      </c>
      <c r="B769" s="7">
        <f t="shared" ref="B769:C769" si="946">B681</f>
        <v>40000</v>
      </c>
      <c r="C769" s="7" t="str">
        <f t="shared" si="946"/>
        <v>装备</v>
      </c>
      <c r="D769" s="7">
        <v>40452061</v>
      </c>
      <c r="E769" s="7"/>
      <c r="F769" s="7">
        <v>1</v>
      </c>
      <c r="G769" s="7">
        <f>3*INDEX([1]equip.xml!$I:$I,MATCH(D769&amp;"",[1]equip.xml!$A:$A,0))</f>
        <v>144000</v>
      </c>
      <c r="H769" s="7" t="str">
        <f t="shared" si="925"/>
        <v>10_10,50_20,80_30</v>
      </c>
      <c r="I769" s="7">
        <f t="shared" si="926"/>
        <v>6</v>
      </c>
      <c r="J769" s="7">
        <f t="shared" si="926"/>
        <v>50</v>
      </c>
      <c r="K769" s="7" t="s">
        <v>310</v>
      </c>
      <c r="L769" s="7">
        <v>34</v>
      </c>
      <c r="M769" s="7">
        <f>IF(INDEX([1]equip.xml!$B:$B,MATCH(D769&amp;"",[1]equip.xml!$A:$A,0))=0,0,N769)</f>
        <v>0</v>
      </c>
      <c r="N769" s="7">
        <f t="shared" ref="N769" si="947">N681</f>
        <v>65</v>
      </c>
    </row>
    <row r="770" spans="1:14">
      <c r="A770" s="7">
        <v>10013</v>
      </c>
      <c r="B770" s="7">
        <f t="shared" ref="B770:C770" si="948">B682</f>
        <v>40000</v>
      </c>
      <c r="C770" s="7" t="str">
        <f t="shared" si="948"/>
        <v>装备</v>
      </c>
      <c r="D770" s="7">
        <v>40453050</v>
      </c>
      <c r="E770" s="7"/>
      <c r="F770" s="7">
        <v>1</v>
      </c>
      <c r="G770" s="7">
        <f>3*INDEX([1]equip.xml!$I:$I,MATCH(D770&amp;"",[1]equip.xml!$A:$A,0))</f>
        <v>135000</v>
      </c>
      <c r="H770" s="7" t="str">
        <f t="shared" si="925"/>
        <v>10_10,50_20,80_30</v>
      </c>
      <c r="I770" s="7">
        <f t="shared" si="926"/>
        <v>6</v>
      </c>
      <c r="J770" s="7">
        <f t="shared" si="926"/>
        <v>50</v>
      </c>
      <c r="K770" s="7" t="s">
        <v>310</v>
      </c>
      <c r="L770" s="7">
        <v>34</v>
      </c>
      <c r="M770" s="7">
        <f>IF(INDEX([1]equip.xml!$B:$B,MATCH(D770&amp;"",[1]equip.xml!$A:$A,0))=0,0,N770)</f>
        <v>65</v>
      </c>
      <c r="N770" s="7">
        <f t="shared" ref="N770" si="949">N682</f>
        <v>65</v>
      </c>
    </row>
    <row r="771" spans="1:14">
      <c r="A771" s="7">
        <v>10013</v>
      </c>
      <c r="B771" s="7">
        <f t="shared" ref="B771:C771" si="950">B683</f>
        <v>40000</v>
      </c>
      <c r="C771" s="7" t="str">
        <f t="shared" si="950"/>
        <v>装备</v>
      </c>
      <c r="D771" s="7">
        <v>40453051</v>
      </c>
      <c r="E771" s="7"/>
      <c r="F771" s="7">
        <v>1</v>
      </c>
      <c r="G771" s="7">
        <f>3*INDEX([1]equip.xml!$I:$I,MATCH(D771&amp;"",[1]equip.xml!$A:$A,0))</f>
        <v>144000</v>
      </c>
      <c r="H771" s="7" t="str">
        <f t="shared" si="925"/>
        <v>10_10,50_20,80_30</v>
      </c>
      <c r="I771" s="7">
        <f t="shared" si="926"/>
        <v>6</v>
      </c>
      <c r="J771" s="7">
        <f t="shared" si="926"/>
        <v>50</v>
      </c>
      <c r="K771" s="7" t="s">
        <v>310</v>
      </c>
      <c r="L771" s="7">
        <v>34</v>
      </c>
      <c r="M771" s="7">
        <f>IF(INDEX([1]equip.xml!$B:$B,MATCH(D771&amp;"",[1]equip.xml!$A:$A,0))=0,0,N771)</f>
        <v>65</v>
      </c>
      <c r="N771" s="7">
        <f t="shared" ref="N771" si="951">N683</f>
        <v>65</v>
      </c>
    </row>
    <row r="772" spans="1:14">
      <c r="A772" s="7">
        <v>10013</v>
      </c>
      <c r="B772" s="7">
        <f t="shared" ref="B772:C772" si="952">B684</f>
        <v>40000</v>
      </c>
      <c r="C772" s="7" t="str">
        <f t="shared" si="952"/>
        <v>装备</v>
      </c>
      <c r="D772" s="7">
        <v>40453060</v>
      </c>
      <c r="E772" s="7"/>
      <c r="F772" s="7">
        <v>1</v>
      </c>
      <c r="G772" s="7">
        <f>3*INDEX([1]equip.xml!$I:$I,MATCH(D772&amp;"",[1]equip.xml!$A:$A,0))</f>
        <v>135000</v>
      </c>
      <c r="H772" s="7" t="str">
        <f t="shared" si="925"/>
        <v>10_10,50_20,80_30</v>
      </c>
      <c r="I772" s="7">
        <f t="shared" si="926"/>
        <v>6</v>
      </c>
      <c r="J772" s="7">
        <f t="shared" si="926"/>
        <v>50</v>
      </c>
      <c r="K772" s="7" t="s">
        <v>310</v>
      </c>
      <c r="L772" s="7">
        <v>34</v>
      </c>
      <c r="M772" s="7">
        <f>IF(INDEX([1]equip.xml!$B:$B,MATCH(D772&amp;"",[1]equip.xml!$A:$A,0))=0,0,N772)</f>
        <v>65</v>
      </c>
      <c r="N772" s="7">
        <f t="shared" ref="N772" si="953">N684</f>
        <v>65</v>
      </c>
    </row>
    <row r="773" spans="1:14">
      <c r="A773" s="7">
        <v>10013</v>
      </c>
      <c r="B773" s="7">
        <f t="shared" ref="B773:C773" si="954">B685</f>
        <v>40000</v>
      </c>
      <c r="C773" s="7" t="str">
        <f t="shared" si="954"/>
        <v>装备</v>
      </c>
      <c r="D773" s="7">
        <v>40453061</v>
      </c>
      <c r="E773" s="7"/>
      <c r="F773" s="7">
        <v>1</v>
      </c>
      <c r="G773" s="7">
        <f>3*INDEX([1]equip.xml!$I:$I,MATCH(D773&amp;"",[1]equip.xml!$A:$A,0))</f>
        <v>144000</v>
      </c>
      <c r="H773" s="7" t="str">
        <f t="shared" si="925"/>
        <v>10_10,50_20,80_30</v>
      </c>
      <c r="I773" s="7">
        <f t="shared" si="926"/>
        <v>6</v>
      </c>
      <c r="J773" s="7">
        <f t="shared" si="926"/>
        <v>50</v>
      </c>
      <c r="K773" s="7" t="s">
        <v>310</v>
      </c>
      <c r="L773" s="7">
        <v>34</v>
      </c>
      <c r="M773" s="7">
        <f>IF(INDEX([1]equip.xml!$B:$B,MATCH(D773&amp;"",[1]equip.xml!$A:$A,0))=0,0,N773)</f>
        <v>0</v>
      </c>
      <c r="N773" s="7">
        <f t="shared" ref="N773" si="955">N685</f>
        <v>65</v>
      </c>
    </row>
    <row r="774" spans="1:14">
      <c r="A774" s="7">
        <v>10013</v>
      </c>
      <c r="B774" s="7">
        <f t="shared" ref="B774:C774" si="956">B686</f>
        <v>40000</v>
      </c>
      <c r="C774" s="7" t="str">
        <f t="shared" si="956"/>
        <v>装备</v>
      </c>
      <c r="D774" s="7">
        <v>40450040</v>
      </c>
      <c r="E774" s="7"/>
      <c r="F774" s="7">
        <v>1</v>
      </c>
      <c r="G774" s="7">
        <f>3*INDEX([1]equip.xml!$I:$I,MATCH(D774&amp;"",[1]equip.xml!$A:$A,0))</f>
        <v>135000</v>
      </c>
      <c r="H774" s="7" t="str">
        <f t="shared" si="925"/>
        <v>10_10,50_20,80_30</v>
      </c>
      <c r="I774" s="7">
        <f t="shared" si="926"/>
        <v>6</v>
      </c>
      <c r="J774" s="7">
        <f t="shared" si="926"/>
        <v>50</v>
      </c>
      <c r="K774" s="7" t="s">
        <v>310</v>
      </c>
      <c r="L774" s="7">
        <v>34</v>
      </c>
      <c r="M774" s="7">
        <f>IF(INDEX([1]equip.xml!$B:$B,MATCH(D774&amp;"",[1]equip.xml!$A:$A,0))=0,0,N774)</f>
        <v>65</v>
      </c>
      <c r="N774" s="7">
        <f t="shared" ref="N774" si="957">N686</f>
        <v>65</v>
      </c>
    </row>
    <row r="775" spans="1:14">
      <c r="A775" s="7">
        <v>10013</v>
      </c>
      <c r="B775" s="7">
        <f t="shared" ref="B775:C775" si="958">B687</f>
        <v>40000</v>
      </c>
      <c r="C775" s="7" t="str">
        <f t="shared" si="958"/>
        <v>装备</v>
      </c>
      <c r="D775" s="7">
        <v>40450041</v>
      </c>
      <c r="E775" s="7"/>
      <c r="F775" s="7">
        <v>1</v>
      </c>
      <c r="G775" s="7">
        <f>3*INDEX([1]equip.xml!$I:$I,MATCH(D775&amp;"",[1]equip.xml!$A:$A,0))</f>
        <v>144000</v>
      </c>
      <c r="H775" s="7" t="str">
        <f t="shared" si="925"/>
        <v>10_10,50_20,80_30</v>
      </c>
      <c r="I775" s="7">
        <f t="shared" si="926"/>
        <v>6</v>
      </c>
      <c r="J775" s="7">
        <f t="shared" si="926"/>
        <v>50</v>
      </c>
      <c r="K775" s="7" t="s">
        <v>310</v>
      </c>
      <c r="L775" s="7">
        <v>34</v>
      </c>
      <c r="M775" s="7">
        <f>IF(INDEX([1]equip.xml!$B:$B,MATCH(D775&amp;"",[1]equip.xml!$A:$A,0))=0,0,N775)</f>
        <v>65</v>
      </c>
      <c r="N775" s="7">
        <f t="shared" ref="N775" si="959">N687</f>
        <v>65</v>
      </c>
    </row>
    <row r="776" spans="1:14">
      <c r="A776" s="7">
        <v>10013</v>
      </c>
      <c r="B776" s="7">
        <f t="shared" ref="B776:C776" si="960">B688</f>
        <v>40000</v>
      </c>
      <c r="C776" s="7" t="str">
        <f t="shared" si="960"/>
        <v>装备</v>
      </c>
      <c r="D776" s="7">
        <v>40450070</v>
      </c>
      <c r="E776" s="7"/>
      <c r="F776" s="7">
        <v>1</v>
      </c>
      <c r="G776" s="7">
        <f>3*INDEX([1]equip.xml!$I:$I,MATCH(D776&amp;"",[1]equip.xml!$A:$A,0))</f>
        <v>135000</v>
      </c>
      <c r="H776" s="7" t="str">
        <f t="shared" si="925"/>
        <v>10_10,50_20,80_30</v>
      </c>
      <c r="I776" s="7">
        <f t="shared" si="926"/>
        <v>6</v>
      </c>
      <c r="J776" s="7">
        <f t="shared" si="926"/>
        <v>50</v>
      </c>
      <c r="K776" s="7" t="s">
        <v>310</v>
      </c>
      <c r="L776" s="7">
        <v>34</v>
      </c>
      <c r="M776" s="7">
        <f>IF(INDEX([1]equip.xml!$B:$B,MATCH(D776&amp;"",[1]equip.xml!$A:$A,0))=0,0,N776)</f>
        <v>65</v>
      </c>
      <c r="N776" s="7">
        <f t="shared" ref="N776" si="961">N688</f>
        <v>65</v>
      </c>
    </row>
    <row r="777" spans="1:14">
      <c r="A777" s="7">
        <v>10013</v>
      </c>
      <c r="B777" s="7">
        <f t="shared" ref="B777:C777" si="962">B689</f>
        <v>40000</v>
      </c>
      <c r="C777" s="7" t="str">
        <f t="shared" si="962"/>
        <v>装备</v>
      </c>
      <c r="D777" s="7">
        <v>40450071</v>
      </c>
      <c r="E777" s="7"/>
      <c r="F777" s="7">
        <v>1</v>
      </c>
      <c r="G777" s="7">
        <f>3*INDEX([1]equip.xml!$I:$I,MATCH(D777&amp;"",[1]equip.xml!$A:$A,0))</f>
        <v>144000</v>
      </c>
      <c r="H777" s="7" t="str">
        <f t="shared" si="925"/>
        <v>10_10,50_20,80_30</v>
      </c>
      <c r="I777" s="7">
        <f t="shared" si="926"/>
        <v>6</v>
      </c>
      <c r="J777" s="7">
        <f t="shared" si="926"/>
        <v>50</v>
      </c>
      <c r="K777" s="7" t="s">
        <v>310</v>
      </c>
      <c r="L777" s="7">
        <v>34</v>
      </c>
      <c r="M777" s="7">
        <f>IF(INDEX([1]equip.xml!$B:$B,MATCH(D777&amp;"",[1]equip.xml!$A:$A,0))=0,0,N777)</f>
        <v>65</v>
      </c>
      <c r="N777" s="7">
        <f t="shared" ref="N777" si="963">N689</f>
        <v>65</v>
      </c>
    </row>
    <row r="778" spans="1:14">
      <c r="A778" s="7">
        <v>10013</v>
      </c>
      <c r="B778" s="7">
        <f t="shared" ref="B778:C778" si="964">B690</f>
        <v>40000</v>
      </c>
      <c r="C778" s="7" t="str">
        <f t="shared" si="964"/>
        <v>装备</v>
      </c>
      <c r="D778" s="7">
        <f>D734+10000005</f>
        <v>50400015</v>
      </c>
      <c r="E778" s="7"/>
      <c r="F778" s="7">
        <v>1</v>
      </c>
      <c r="G778" s="8">
        <f>3*INDEX([1]equip.xml!$I:$I,MATCH(D778,[1]equip.xml!$A:$A,0))</f>
        <v>240000</v>
      </c>
      <c r="H778" s="7" t="str">
        <f t="shared" si="925"/>
        <v>10_10,50_20,80_30</v>
      </c>
      <c r="I778" s="7">
        <v>5</v>
      </c>
      <c r="J778" s="7">
        <f t="shared" si="926"/>
        <v>240</v>
      </c>
      <c r="K778" s="7" t="s">
        <v>310</v>
      </c>
      <c r="L778" s="7">
        <v>34</v>
      </c>
      <c r="M778" s="7">
        <f>IF(INDEX([1]equip.xml!$B:$B,MATCH(D778,[1]equip.xml!$A:$A,0))=0,0,N778)</f>
        <v>70</v>
      </c>
      <c r="N778" s="7">
        <f t="shared" ref="N778" si="965">N690</f>
        <v>70</v>
      </c>
    </row>
    <row r="779" spans="1:14">
      <c r="A779" s="7">
        <v>10013</v>
      </c>
      <c r="B779" s="7">
        <f t="shared" ref="B779:C779" si="966">B691</f>
        <v>40000</v>
      </c>
      <c r="C779" s="7" t="str">
        <f t="shared" si="966"/>
        <v>装备</v>
      </c>
      <c r="D779" s="7">
        <f t="shared" ref="D779:D821" si="967">D735+10000005</f>
        <v>50400025</v>
      </c>
      <c r="E779" s="7"/>
      <c r="F779" s="7">
        <v>1</v>
      </c>
      <c r="G779" s="8">
        <f>3*INDEX([1]equip.xml!$I:$I,MATCH(D779,[1]equip.xml!$A:$A,0))</f>
        <v>240000</v>
      </c>
      <c r="H779" s="7" t="str">
        <f t="shared" si="925"/>
        <v>10_10,50_20,80_30</v>
      </c>
      <c r="I779" s="7">
        <v>5</v>
      </c>
      <c r="J779" s="7">
        <f t="shared" si="926"/>
        <v>240</v>
      </c>
      <c r="K779" s="7" t="s">
        <v>310</v>
      </c>
      <c r="L779" s="7">
        <v>34</v>
      </c>
      <c r="M779" s="7">
        <f>IF(INDEX([1]equip.xml!$B:$B,MATCH(D779,[1]equip.xml!$A:$A,0))=0,0,N779)</f>
        <v>70</v>
      </c>
      <c r="N779" s="7">
        <f t="shared" ref="N779" si="968">N691</f>
        <v>70</v>
      </c>
    </row>
    <row r="780" spans="1:14">
      <c r="A780" s="7">
        <v>10013</v>
      </c>
      <c r="B780" s="7">
        <f t="shared" ref="B780:C780" si="969">B692</f>
        <v>40000</v>
      </c>
      <c r="C780" s="7" t="str">
        <f t="shared" si="969"/>
        <v>装备</v>
      </c>
      <c r="D780" s="7">
        <f t="shared" si="967"/>
        <v>50400035</v>
      </c>
      <c r="E780" s="7"/>
      <c r="F780" s="7">
        <v>1</v>
      </c>
      <c r="G780" s="8">
        <f>3*INDEX([1]equip.xml!$I:$I,MATCH(D780,[1]equip.xml!$A:$A,0))</f>
        <v>240000</v>
      </c>
      <c r="H780" s="7" t="str">
        <f t="shared" si="925"/>
        <v>10_10,50_20,80_30</v>
      </c>
      <c r="I780" s="7">
        <v>5</v>
      </c>
      <c r="J780" s="7">
        <f t="shared" si="926"/>
        <v>240</v>
      </c>
      <c r="K780" s="7" t="s">
        <v>310</v>
      </c>
      <c r="L780" s="7">
        <v>34</v>
      </c>
      <c r="M780" s="7">
        <f>IF(INDEX([1]equip.xml!$B:$B,MATCH(D780,[1]equip.xml!$A:$A,0))=0,0,N780)</f>
        <v>70</v>
      </c>
      <c r="N780" s="7">
        <f t="shared" ref="N780" si="970">N692</f>
        <v>70</v>
      </c>
    </row>
    <row r="781" spans="1:14">
      <c r="A781" s="7">
        <v>10013</v>
      </c>
      <c r="B781" s="7">
        <f t="shared" ref="B781:C781" si="971">B693</f>
        <v>40000</v>
      </c>
      <c r="C781" s="7" t="str">
        <f t="shared" si="971"/>
        <v>装备</v>
      </c>
      <c r="D781" s="7">
        <f t="shared" si="967"/>
        <v>50400085</v>
      </c>
      <c r="E781" s="7"/>
      <c r="F781" s="7">
        <v>1</v>
      </c>
      <c r="G781" s="8">
        <f>3*INDEX([1]equip.xml!$I:$I,MATCH(D781,[1]equip.xml!$A:$A,0))</f>
        <v>240000</v>
      </c>
      <c r="H781" s="7" t="str">
        <f t="shared" si="925"/>
        <v>10_10,50_20,80_30</v>
      </c>
      <c r="I781" s="7">
        <v>5</v>
      </c>
      <c r="J781" s="7">
        <f t="shared" si="926"/>
        <v>240</v>
      </c>
      <c r="K781" s="7" t="s">
        <v>310</v>
      </c>
      <c r="L781" s="7">
        <v>34</v>
      </c>
      <c r="M781" s="7">
        <f>IF(INDEX([1]equip.xml!$B:$B,MATCH(D781,[1]equip.xml!$A:$A,0))=0,0,N781)</f>
        <v>70</v>
      </c>
      <c r="N781" s="7">
        <f t="shared" ref="N781" si="972">N693</f>
        <v>70</v>
      </c>
    </row>
    <row r="782" spans="1:14">
      <c r="A782" s="7">
        <v>10013</v>
      </c>
      <c r="B782" s="7">
        <f t="shared" ref="B782:C782" si="973">B694</f>
        <v>40000</v>
      </c>
      <c r="C782" s="7" t="str">
        <f t="shared" si="973"/>
        <v>装备</v>
      </c>
      <c r="D782" s="7">
        <f t="shared" si="967"/>
        <v>50400095</v>
      </c>
      <c r="E782" s="7"/>
      <c r="F782" s="7">
        <v>1</v>
      </c>
      <c r="G782" s="8">
        <f>3*INDEX([1]equip.xml!$I:$I,MATCH(D782,[1]equip.xml!$A:$A,0))</f>
        <v>240000</v>
      </c>
      <c r="H782" s="7" t="str">
        <f t="shared" si="925"/>
        <v>10_10,50_20,80_30</v>
      </c>
      <c r="I782" s="7">
        <v>5</v>
      </c>
      <c r="J782" s="7">
        <f t="shared" si="926"/>
        <v>240</v>
      </c>
      <c r="K782" s="7" t="s">
        <v>310</v>
      </c>
      <c r="L782" s="7">
        <v>34</v>
      </c>
      <c r="M782" s="7">
        <f>IF(INDEX([1]equip.xml!$B:$B,MATCH(D782,[1]equip.xml!$A:$A,0))=0,0,N782)</f>
        <v>70</v>
      </c>
      <c r="N782" s="7">
        <f t="shared" ref="N782" si="974">N694</f>
        <v>70</v>
      </c>
    </row>
    <row r="783" spans="1:14">
      <c r="A783" s="7">
        <v>10013</v>
      </c>
      <c r="B783" s="7">
        <f t="shared" ref="B783:C783" si="975">B695</f>
        <v>40000</v>
      </c>
      <c r="C783" s="7" t="str">
        <f t="shared" si="975"/>
        <v>装备</v>
      </c>
      <c r="D783" s="7">
        <f t="shared" si="967"/>
        <v>50400105</v>
      </c>
      <c r="E783" s="7"/>
      <c r="F783" s="7">
        <v>1</v>
      </c>
      <c r="G783" s="8">
        <f>3*INDEX([1]equip.xml!$I:$I,MATCH(D783,[1]equip.xml!$A:$A,0))</f>
        <v>240000</v>
      </c>
      <c r="H783" s="7" t="str">
        <f t="shared" si="925"/>
        <v>10_10,50_20,80_30</v>
      </c>
      <c r="I783" s="7">
        <v>5</v>
      </c>
      <c r="J783" s="7">
        <f t="shared" si="926"/>
        <v>240</v>
      </c>
      <c r="K783" s="7" t="s">
        <v>310</v>
      </c>
      <c r="L783" s="7">
        <v>34</v>
      </c>
      <c r="M783" s="7">
        <f>IF(INDEX([1]equip.xml!$B:$B,MATCH(D783,[1]equip.xml!$A:$A,0))=0,0,N783)</f>
        <v>70</v>
      </c>
      <c r="N783" s="7">
        <f t="shared" ref="N783" si="976">N695</f>
        <v>70</v>
      </c>
    </row>
    <row r="784" spans="1:14">
      <c r="A784" s="7">
        <v>10013</v>
      </c>
      <c r="B784" s="7">
        <f t="shared" ref="B784:C784" si="977">B696</f>
        <v>40000</v>
      </c>
      <c r="C784" s="7" t="str">
        <f t="shared" si="977"/>
        <v>装备</v>
      </c>
      <c r="D784" s="7">
        <f t="shared" si="967"/>
        <v>50401055</v>
      </c>
      <c r="E784" s="7"/>
      <c r="F784" s="7">
        <v>1</v>
      </c>
      <c r="G784" s="8">
        <f>3*INDEX([1]equip.xml!$I:$I,MATCH(D784,[1]equip.xml!$A:$A,0))</f>
        <v>240000</v>
      </c>
      <c r="H784" s="7" t="str">
        <f t="shared" si="925"/>
        <v>10_10,50_20,80_30</v>
      </c>
      <c r="I784" s="7">
        <v>5</v>
      </c>
      <c r="J784" s="7">
        <f t="shared" si="926"/>
        <v>240</v>
      </c>
      <c r="K784" s="7" t="s">
        <v>310</v>
      </c>
      <c r="L784" s="7">
        <v>34</v>
      </c>
      <c r="M784" s="7">
        <f>IF(INDEX([1]equip.xml!$B:$B,MATCH(D784,[1]equip.xml!$A:$A,0))=0,0,N784)</f>
        <v>70</v>
      </c>
      <c r="N784" s="7">
        <f t="shared" ref="N784" si="978">N696</f>
        <v>70</v>
      </c>
    </row>
    <row r="785" spans="1:14">
      <c r="A785" s="7">
        <v>10013</v>
      </c>
      <c r="B785" s="7">
        <f t="shared" ref="B785:C785" si="979">B697</f>
        <v>40000</v>
      </c>
      <c r="C785" s="7" t="str">
        <f t="shared" si="979"/>
        <v>装备</v>
      </c>
      <c r="D785" s="7">
        <f t="shared" si="967"/>
        <v>50401056</v>
      </c>
      <c r="E785" s="7"/>
      <c r="F785" s="7">
        <v>1</v>
      </c>
      <c r="G785" s="8">
        <f>3*INDEX([1]equip.xml!$I:$I,MATCH(D785,[1]equip.xml!$A:$A,0))</f>
        <v>258000</v>
      </c>
      <c r="H785" s="7" t="str">
        <f t="shared" si="925"/>
        <v>10_10,50_20,80_30</v>
      </c>
      <c r="I785" s="7">
        <v>5</v>
      </c>
      <c r="J785" s="7">
        <f t="shared" si="926"/>
        <v>240</v>
      </c>
      <c r="K785" s="7" t="s">
        <v>310</v>
      </c>
      <c r="L785" s="7">
        <v>34</v>
      </c>
      <c r="M785" s="7">
        <f>IF(INDEX([1]equip.xml!$B:$B,MATCH(D785,[1]equip.xml!$A:$A,0))=0,0,N785)</f>
        <v>70</v>
      </c>
      <c r="N785" s="7">
        <f t="shared" ref="N785" si="980">N697</f>
        <v>70</v>
      </c>
    </row>
    <row r="786" spans="1:14">
      <c r="A786" s="7">
        <v>10013</v>
      </c>
      <c r="B786" s="7">
        <f t="shared" ref="B786:C786" si="981">B698</f>
        <v>40000</v>
      </c>
      <c r="C786" s="7" t="str">
        <f t="shared" si="981"/>
        <v>装备</v>
      </c>
      <c r="D786" s="7">
        <f t="shared" si="967"/>
        <v>50401065</v>
      </c>
      <c r="E786" s="7"/>
      <c r="F786" s="7">
        <v>1</v>
      </c>
      <c r="G786" s="8">
        <f>3*INDEX([1]equip.xml!$I:$I,MATCH(D786,[1]equip.xml!$A:$A,0))</f>
        <v>240000</v>
      </c>
      <c r="H786" s="7" t="str">
        <f t="shared" si="925"/>
        <v>10_10,50_20,80_30</v>
      </c>
      <c r="I786" s="7">
        <v>5</v>
      </c>
      <c r="J786" s="7">
        <f t="shared" si="926"/>
        <v>240</v>
      </c>
      <c r="K786" s="7" t="s">
        <v>310</v>
      </c>
      <c r="L786" s="7">
        <v>34</v>
      </c>
      <c r="M786" s="7">
        <f>IF(INDEX([1]equip.xml!$B:$B,MATCH(D786,[1]equip.xml!$A:$A,0))=0,0,N786)</f>
        <v>70</v>
      </c>
      <c r="N786" s="7">
        <f t="shared" ref="N786" si="982">N698</f>
        <v>70</v>
      </c>
    </row>
    <row r="787" spans="1:14">
      <c r="A787" s="7">
        <v>10013</v>
      </c>
      <c r="B787" s="7">
        <f t="shared" ref="B787:C787" si="983">B699</f>
        <v>40000</v>
      </c>
      <c r="C787" s="7" t="str">
        <f t="shared" si="983"/>
        <v>装备</v>
      </c>
      <c r="D787" s="7">
        <f t="shared" si="967"/>
        <v>50401066</v>
      </c>
      <c r="E787" s="7"/>
      <c r="F787" s="7">
        <v>1</v>
      </c>
      <c r="G787" s="8">
        <f>3*INDEX([1]equip.xml!$I:$I,MATCH(D787,[1]equip.xml!$A:$A,0))</f>
        <v>258000</v>
      </c>
      <c r="H787" s="7" t="str">
        <f t="shared" si="925"/>
        <v>10_10,50_20,80_30</v>
      </c>
      <c r="I787" s="7">
        <v>5</v>
      </c>
      <c r="J787" s="7">
        <f t="shared" si="926"/>
        <v>240</v>
      </c>
      <c r="K787" s="7" t="s">
        <v>310</v>
      </c>
      <c r="L787" s="7">
        <v>34</v>
      </c>
      <c r="M787" s="7">
        <f>IF(INDEX([1]equip.xml!$B:$B,MATCH(D787,[1]equip.xml!$A:$A,0))=0,0,N787)</f>
        <v>0</v>
      </c>
      <c r="N787" s="7">
        <f t="shared" ref="N787" si="984">N699</f>
        <v>70</v>
      </c>
    </row>
    <row r="788" spans="1:14">
      <c r="A788" s="7">
        <v>10013</v>
      </c>
      <c r="B788" s="7">
        <f t="shared" ref="B788:C788" si="985">B700</f>
        <v>40000</v>
      </c>
      <c r="C788" s="7" t="str">
        <f t="shared" si="985"/>
        <v>装备</v>
      </c>
      <c r="D788" s="7">
        <f t="shared" si="967"/>
        <v>50402055</v>
      </c>
      <c r="E788" s="7"/>
      <c r="F788" s="7">
        <v>1</v>
      </c>
      <c r="G788" s="8">
        <f>3*INDEX([1]equip.xml!$I:$I,MATCH(D788,[1]equip.xml!$A:$A,0))</f>
        <v>240000</v>
      </c>
      <c r="H788" s="7" t="str">
        <f t="shared" si="925"/>
        <v>10_10,50_20,80_30</v>
      </c>
      <c r="I788" s="7">
        <v>5</v>
      </c>
      <c r="J788" s="7">
        <f t="shared" si="926"/>
        <v>240</v>
      </c>
      <c r="K788" s="7" t="s">
        <v>310</v>
      </c>
      <c r="L788" s="7">
        <v>34</v>
      </c>
      <c r="M788" s="7">
        <f>IF(INDEX([1]equip.xml!$B:$B,MATCH(D788,[1]equip.xml!$A:$A,0))=0,0,N788)</f>
        <v>70</v>
      </c>
      <c r="N788" s="7">
        <f t="shared" ref="N788" si="986">N700</f>
        <v>70</v>
      </c>
    </row>
    <row r="789" spans="1:14">
      <c r="A789" s="7">
        <v>10013</v>
      </c>
      <c r="B789" s="7">
        <f t="shared" ref="B789:C789" si="987">B701</f>
        <v>40000</v>
      </c>
      <c r="C789" s="7" t="str">
        <f t="shared" si="987"/>
        <v>装备</v>
      </c>
      <c r="D789" s="7">
        <f t="shared" si="967"/>
        <v>50402056</v>
      </c>
      <c r="E789" s="7"/>
      <c r="F789" s="7">
        <v>1</v>
      </c>
      <c r="G789" s="8">
        <f>3*INDEX([1]equip.xml!$I:$I,MATCH(D789,[1]equip.xml!$A:$A,0))</f>
        <v>258000</v>
      </c>
      <c r="H789" s="7" t="str">
        <f t="shared" si="925"/>
        <v>10_10,50_20,80_30</v>
      </c>
      <c r="I789" s="7">
        <v>5</v>
      </c>
      <c r="J789" s="7">
        <f t="shared" si="926"/>
        <v>240</v>
      </c>
      <c r="K789" s="7" t="s">
        <v>310</v>
      </c>
      <c r="L789" s="7">
        <v>34</v>
      </c>
      <c r="M789" s="7">
        <f>IF(INDEX([1]equip.xml!$B:$B,MATCH(D789,[1]equip.xml!$A:$A,0))=0,0,N789)</f>
        <v>70</v>
      </c>
      <c r="N789" s="7">
        <f t="shared" ref="N789" si="988">N701</f>
        <v>70</v>
      </c>
    </row>
    <row r="790" spans="1:14">
      <c r="A790" s="7">
        <v>10013</v>
      </c>
      <c r="B790" s="7">
        <f t="shared" ref="B790:C790" si="989">B702</f>
        <v>40000</v>
      </c>
      <c r="C790" s="7" t="str">
        <f t="shared" si="989"/>
        <v>装备</v>
      </c>
      <c r="D790" s="7">
        <f t="shared" si="967"/>
        <v>50402065</v>
      </c>
      <c r="E790" s="7"/>
      <c r="F790" s="7">
        <v>1</v>
      </c>
      <c r="G790" s="8">
        <f>3*INDEX([1]equip.xml!$I:$I,MATCH(D790,[1]equip.xml!$A:$A,0))</f>
        <v>240000</v>
      </c>
      <c r="H790" s="7" t="str">
        <f t="shared" si="925"/>
        <v>10_10,50_20,80_30</v>
      </c>
      <c r="I790" s="7">
        <v>5</v>
      </c>
      <c r="J790" s="7">
        <f t="shared" si="926"/>
        <v>240</v>
      </c>
      <c r="K790" s="7" t="s">
        <v>310</v>
      </c>
      <c r="L790" s="7">
        <v>34</v>
      </c>
      <c r="M790" s="7">
        <f>IF(INDEX([1]equip.xml!$B:$B,MATCH(D790,[1]equip.xml!$A:$A,0))=0,0,N790)</f>
        <v>70</v>
      </c>
      <c r="N790" s="7">
        <f t="shared" ref="N790" si="990">N702</f>
        <v>70</v>
      </c>
    </row>
    <row r="791" spans="1:14">
      <c r="A791" s="7">
        <v>10013</v>
      </c>
      <c r="B791" s="7">
        <f t="shared" ref="B791:C791" si="991">B703</f>
        <v>40000</v>
      </c>
      <c r="C791" s="7" t="str">
        <f t="shared" si="991"/>
        <v>装备</v>
      </c>
      <c r="D791" s="7">
        <f t="shared" si="967"/>
        <v>50402066</v>
      </c>
      <c r="E791" s="7"/>
      <c r="F791" s="7">
        <v>1</v>
      </c>
      <c r="G791" s="8">
        <f>3*INDEX([1]equip.xml!$I:$I,MATCH(D791,[1]equip.xml!$A:$A,0))</f>
        <v>258000</v>
      </c>
      <c r="H791" s="7" t="str">
        <f t="shared" si="925"/>
        <v>10_10,50_20,80_30</v>
      </c>
      <c r="I791" s="7">
        <v>5</v>
      </c>
      <c r="J791" s="7">
        <f t="shared" si="926"/>
        <v>240</v>
      </c>
      <c r="K791" s="7" t="s">
        <v>310</v>
      </c>
      <c r="L791" s="7">
        <v>34</v>
      </c>
      <c r="M791" s="7">
        <f>IF(INDEX([1]equip.xml!$B:$B,MATCH(D791,[1]equip.xml!$A:$A,0))=0,0,N791)</f>
        <v>0</v>
      </c>
      <c r="N791" s="7">
        <f t="shared" ref="N791" si="992">N703</f>
        <v>70</v>
      </c>
    </row>
    <row r="792" spans="1:14">
      <c r="A792" s="7">
        <v>10013</v>
      </c>
      <c r="B792" s="7">
        <f t="shared" ref="B792:C792" si="993">B704</f>
        <v>40000</v>
      </c>
      <c r="C792" s="7" t="str">
        <f t="shared" si="993"/>
        <v>装备</v>
      </c>
      <c r="D792" s="7">
        <f t="shared" si="967"/>
        <v>50403055</v>
      </c>
      <c r="E792" s="7"/>
      <c r="F792" s="7">
        <v>1</v>
      </c>
      <c r="G792" s="8">
        <f>3*INDEX([1]equip.xml!$I:$I,MATCH(D792,[1]equip.xml!$A:$A,0))</f>
        <v>240000</v>
      </c>
      <c r="H792" s="7" t="str">
        <f t="shared" si="925"/>
        <v>10_10,50_20,80_30</v>
      </c>
      <c r="I792" s="7">
        <v>5</v>
      </c>
      <c r="J792" s="7">
        <f t="shared" si="926"/>
        <v>240</v>
      </c>
      <c r="K792" s="7" t="s">
        <v>310</v>
      </c>
      <c r="L792" s="7">
        <v>34</v>
      </c>
      <c r="M792" s="7">
        <f>IF(INDEX([1]equip.xml!$B:$B,MATCH(D792,[1]equip.xml!$A:$A,0))=0,0,N792)</f>
        <v>70</v>
      </c>
      <c r="N792" s="7">
        <f t="shared" ref="N792" si="994">N704</f>
        <v>70</v>
      </c>
    </row>
    <row r="793" spans="1:14">
      <c r="A793" s="7">
        <v>10013</v>
      </c>
      <c r="B793" s="7">
        <f t="shared" ref="B793:C793" si="995">B705</f>
        <v>40000</v>
      </c>
      <c r="C793" s="7" t="str">
        <f t="shared" si="995"/>
        <v>装备</v>
      </c>
      <c r="D793" s="7">
        <f t="shared" si="967"/>
        <v>50403056</v>
      </c>
      <c r="E793" s="7"/>
      <c r="F793" s="7">
        <v>1</v>
      </c>
      <c r="G793" s="8">
        <f>3*INDEX([1]equip.xml!$I:$I,MATCH(D793,[1]equip.xml!$A:$A,0))</f>
        <v>258000</v>
      </c>
      <c r="H793" s="7" t="str">
        <f t="shared" si="925"/>
        <v>10_10,50_20,80_30</v>
      </c>
      <c r="I793" s="7">
        <v>5</v>
      </c>
      <c r="J793" s="7">
        <f t="shared" si="926"/>
        <v>240</v>
      </c>
      <c r="K793" s="7" t="s">
        <v>310</v>
      </c>
      <c r="L793" s="7">
        <v>34</v>
      </c>
      <c r="M793" s="7">
        <f>IF(INDEX([1]equip.xml!$B:$B,MATCH(D793,[1]equip.xml!$A:$A,0))=0,0,N793)</f>
        <v>70</v>
      </c>
      <c r="N793" s="7">
        <f t="shared" ref="N793" si="996">N705</f>
        <v>70</v>
      </c>
    </row>
    <row r="794" spans="1:14">
      <c r="A794" s="7">
        <v>10013</v>
      </c>
      <c r="B794" s="7">
        <f t="shared" ref="B794:C794" si="997">B706</f>
        <v>40000</v>
      </c>
      <c r="C794" s="7" t="str">
        <f t="shared" si="997"/>
        <v>装备</v>
      </c>
      <c r="D794" s="7">
        <f t="shared" si="967"/>
        <v>50403065</v>
      </c>
      <c r="E794" s="7"/>
      <c r="F794" s="7">
        <v>1</v>
      </c>
      <c r="G794" s="8">
        <f>3*INDEX([1]equip.xml!$I:$I,MATCH(D794,[1]equip.xml!$A:$A,0))</f>
        <v>240000</v>
      </c>
      <c r="H794" s="7" t="str">
        <f t="shared" si="925"/>
        <v>10_10,50_20,80_30</v>
      </c>
      <c r="I794" s="7">
        <v>5</v>
      </c>
      <c r="J794" s="7">
        <f t="shared" si="926"/>
        <v>240</v>
      </c>
      <c r="K794" s="7" t="s">
        <v>310</v>
      </c>
      <c r="L794" s="7">
        <v>34</v>
      </c>
      <c r="M794" s="7">
        <f>IF(INDEX([1]equip.xml!$B:$B,MATCH(D794,[1]equip.xml!$A:$A,0))=0,0,N794)</f>
        <v>70</v>
      </c>
      <c r="N794" s="7">
        <f t="shared" ref="N794" si="998">N706</f>
        <v>70</v>
      </c>
    </row>
    <row r="795" spans="1:14">
      <c r="A795" s="7">
        <v>10013</v>
      </c>
      <c r="B795" s="7">
        <f t="shared" ref="B795:C795" si="999">B707</f>
        <v>40000</v>
      </c>
      <c r="C795" s="7" t="str">
        <f t="shared" si="999"/>
        <v>装备</v>
      </c>
      <c r="D795" s="7">
        <f t="shared" si="967"/>
        <v>50403066</v>
      </c>
      <c r="E795" s="7"/>
      <c r="F795" s="7">
        <v>1</v>
      </c>
      <c r="G795" s="8">
        <f>3*INDEX([1]equip.xml!$I:$I,MATCH(D795,[1]equip.xml!$A:$A,0))</f>
        <v>258000</v>
      </c>
      <c r="H795" s="7" t="str">
        <f t="shared" si="925"/>
        <v>10_10,50_20,80_30</v>
      </c>
      <c r="I795" s="7">
        <v>5</v>
      </c>
      <c r="J795" s="7">
        <f t="shared" si="926"/>
        <v>240</v>
      </c>
      <c r="K795" s="7" t="s">
        <v>310</v>
      </c>
      <c r="L795" s="7">
        <v>34</v>
      </c>
      <c r="M795" s="7">
        <f>IF(INDEX([1]equip.xml!$B:$B,MATCH(D795,[1]equip.xml!$A:$A,0))=0,0,N795)</f>
        <v>0</v>
      </c>
      <c r="N795" s="7">
        <f t="shared" ref="N795" si="1000">N707</f>
        <v>70</v>
      </c>
    </row>
    <row r="796" spans="1:14">
      <c r="A796" s="7">
        <v>10013</v>
      </c>
      <c r="B796" s="7">
        <f t="shared" ref="B796:C796" si="1001">B708</f>
        <v>40000</v>
      </c>
      <c r="C796" s="7" t="str">
        <f t="shared" si="1001"/>
        <v>装备</v>
      </c>
      <c r="D796" s="7">
        <f t="shared" si="967"/>
        <v>50400045</v>
      </c>
      <c r="E796" s="7"/>
      <c r="F796" s="7">
        <v>1</v>
      </c>
      <c r="G796" s="8">
        <f>3*INDEX([1]equip.xml!$I:$I,MATCH(D796,[1]equip.xml!$A:$A,0))</f>
        <v>240000</v>
      </c>
      <c r="H796" s="7" t="str">
        <f t="shared" si="925"/>
        <v>10_10,50_20,80_30</v>
      </c>
      <c r="I796" s="7">
        <v>5</v>
      </c>
      <c r="J796" s="7">
        <f t="shared" si="926"/>
        <v>240</v>
      </c>
      <c r="K796" s="7" t="s">
        <v>310</v>
      </c>
      <c r="L796" s="7">
        <v>34</v>
      </c>
      <c r="M796" s="7">
        <f>IF(INDEX([1]equip.xml!$B:$B,MATCH(D796,[1]equip.xml!$A:$A,0))=0,0,N796)</f>
        <v>70</v>
      </c>
      <c r="N796" s="7">
        <f t="shared" ref="N796" si="1002">N708</f>
        <v>70</v>
      </c>
    </row>
    <row r="797" spans="1:14">
      <c r="A797" s="7">
        <v>10013</v>
      </c>
      <c r="B797" s="7">
        <f t="shared" ref="B797:C797" si="1003">B709</f>
        <v>40000</v>
      </c>
      <c r="C797" s="7" t="str">
        <f t="shared" si="1003"/>
        <v>装备</v>
      </c>
      <c r="D797" s="7">
        <f t="shared" si="967"/>
        <v>50400046</v>
      </c>
      <c r="E797" s="7"/>
      <c r="F797" s="7">
        <v>1</v>
      </c>
      <c r="G797" s="8">
        <f>3*INDEX([1]equip.xml!$I:$I,MATCH(D797,[1]equip.xml!$A:$A,0))</f>
        <v>258000</v>
      </c>
      <c r="H797" s="7" t="str">
        <f t="shared" si="925"/>
        <v>10_10,50_20,80_30</v>
      </c>
      <c r="I797" s="7">
        <v>5</v>
      </c>
      <c r="J797" s="7">
        <f t="shared" si="926"/>
        <v>240</v>
      </c>
      <c r="K797" s="7" t="s">
        <v>310</v>
      </c>
      <c r="L797" s="7">
        <v>34</v>
      </c>
      <c r="M797" s="7">
        <f>IF(INDEX([1]equip.xml!$B:$B,MATCH(D797,[1]equip.xml!$A:$A,0))=0,0,N797)</f>
        <v>0</v>
      </c>
      <c r="N797" s="7">
        <f t="shared" ref="N797" si="1004">N709</f>
        <v>70</v>
      </c>
    </row>
    <row r="798" spans="1:14">
      <c r="A798" s="7">
        <v>10013</v>
      </c>
      <c r="B798" s="7">
        <f t="shared" ref="B798:C798" si="1005">B710</f>
        <v>40000</v>
      </c>
      <c r="C798" s="7" t="str">
        <f t="shared" si="1005"/>
        <v>装备</v>
      </c>
      <c r="D798" s="7">
        <f t="shared" si="967"/>
        <v>50400075</v>
      </c>
      <c r="E798" s="7"/>
      <c r="F798" s="7">
        <v>1</v>
      </c>
      <c r="G798" s="8">
        <f>3*INDEX([1]equip.xml!$I:$I,MATCH(D798,[1]equip.xml!$A:$A,0))</f>
        <v>240000</v>
      </c>
      <c r="H798" s="7" t="str">
        <f t="shared" si="925"/>
        <v>10_10,50_20,80_30</v>
      </c>
      <c r="I798" s="7">
        <v>5</v>
      </c>
      <c r="J798" s="7">
        <f t="shared" si="926"/>
        <v>240</v>
      </c>
      <c r="K798" s="7" t="s">
        <v>310</v>
      </c>
      <c r="L798" s="7">
        <v>34</v>
      </c>
      <c r="M798" s="7">
        <f>IF(INDEX([1]equip.xml!$B:$B,MATCH(D798,[1]equip.xml!$A:$A,0))=0,0,N798)</f>
        <v>70</v>
      </c>
      <c r="N798" s="7">
        <f t="shared" ref="N798" si="1006">N710</f>
        <v>70</v>
      </c>
    </row>
    <row r="799" spans="1:14">
      <c r="A799" s="7">
        <v>10013</v>
      </c>
      <c r="B799" s="7">
        <f t="shared" ref="B799:C799" si="1007">B711</f>
        <v>40000</v>
      </c>
      <c r="C799" s="7" t="str">
        <f t="shared" si="1007"/>
        <v>装备</v>
      </c>
      <c r="D799" s="7">
        <f t="shared" si="967"/>
        <v>50400076</v>
      </c>
      <c r="E799" s="7"/>
      <c r="F799" s="7">
        <v>1</v>
      </c>
      <c r="G799" s="8">
        <f>3*INDEX([1]equip.xml!$I:$I,MATCH(D799,[1]equip.xml!$A:$A,0))</f>
        <v>258000</v>
      </c>
      <c r="H799" s="7" t="str">
        <f t="shared" si="925"/>
        <v>10_10,50_20,80_30</v>
      </c>
      <c r="I799" s="7">
        <v>5</v>
      </c>
      <c r="J799" s="7">
        <f t="shared" si="926"/>
        <v>240</v>
      </c>
      <c r="K799" s="7" t="s">
        <v>310</v>
      </c>
      <c r="L799" s="7">
        <v>34</v>
      </c>
      <c r="M799" s="7">
        <f>IF(INDEX([1]equip.xml!$B:$B,MATCH(D799,[1]equip.xml!$A:$A,0))=0,0,N799)</f>
        <v>0</v>
      </c>
      <c r="N799" s="7">
        <f t="shared" ref="N799" si="1008">N711</f>
        <v>70</v>
      </c>
    </row>
    <row r="800" spans="1:14">
      <c r="A800" s="7">
        <v>10013</v>
      </c>
      <c r="B800" s="7">
        <f t="shared" ref="B800:C800" si="1009">B712</f>
        <v>40000</v>
      </c>
      <c r="C800" s="7" t="str">
        <f t="shared" si="1009"/>
        <v>装备</v>
      </c>
      <c r="D800" s="7">
        <f t="shared" si="967"/>
        <v>50450015</v>
      </c>
      <c r="E800" s="7"/>
      <c r="F800" s="7">
        <v>1</v>
      </c>
      <c r="G800" s="8">
        <f>3*INDEX([1]equip.xml!$I:$I,MATCH(D800,[1]equip.xml!$A:$A,0))</f>
        <v>270000</v>
      </c>
      <c r="H800" s="7" t="str">
        <f t="shared" si="925"/>
        <v>10_10,50_20,80_30</v>
      </c>
      <c r="I800" s="7">
        <v>5</v>
      </c>
      <c r="J800" s="7">
        <f t="shared" si="926"/>
        <v>240</v>
      </c>
      <c r="K800" s="7" t="s">
        <v>310</v>
      </c>
      <c r="L800" s="7">
        <v>34</v>
      </c>
      <c r="M800" s="7">
        <f>IF(INDEX([1]equip.xml!$B:$B,MATCH(D800,[1]equip.xml!$A:$A,0))=0,0,N800)</f>
        <v>35</v>
      </c>
      <c r="N800" s="7">
        <f t="shared" ref="N800" si="1010">N712</f>
        <v>35</v>
      </c>
    </row>
    <row r="801" spans="1:14">
      <c r="A801" s="7">
        <v>10013</v>
      </c>
      <c r="B801" s="7">
        <f t="shared" ref="B801:C801" si="1011">B713</f>
        <v>40000</v>
      </c>
      <c r="C801" s="7" t="str">
        <f t="shared" si="1011"/>
        <v>装备</v>
      </c>
      <c r="D801" s="7">
        <f t="shared" si="967"/>
        <v>50450025</v>
      </c>
      <c r="E801" s="7"/>
      <c r="F801" s="7">
        <v>1</v>
      </c>
      <c r="G801" s="8">
        <f>3*INDEX([1]equip.xml!$I:$I,MATCH(D801,[1]equip.xml!$A:$A,0))</f>
        <v>270000</v>
      </c>
      <c r="H801" s="7" t="str">
        <f t="shared" si="925"/>
        <v>10_10,50_20,80_30</v>
      </c>
      <c r="I801" s="7">
        <v>5</v>
      </c>
      <c r="J801" s="7">
        <f t="shared" si="926"/>
        <v>240</v>
      </c>
      <c r="K801" s="7" t="s">
        <v>310</v>
      </c>
      <c r="L801" s="7">
        <v>34</v>
      </c>
      <c r="M801" s="7">
        <f>IF(INDEX([1]equip.xml!$B:$B,MATCH(D801,[1]equip.xml!$A:$A,0))=0,0,N801)</f>
        <v>35</v>
      </c>
      <c r="N801" s="7">
        <f t="shared" ref="N801" si="1012">N713</f>
        <v>35</v>
      </c>
    </row>
    <row r="802" spans="1:14">
      <c r="A802" s="7">
        <v>10013</v>
      </c>
      <c r="B802" s="7">
        <f t="shared" ref="B802:C802" si="1013">B714</f>
        <v>40000</v>
      </c>
      <c r="C802" s="7" t="str">
        <f t="shared" si="1013"/>
        <v>装备</v>
      </c>
      <c r="D802" s="7">
        <f t="shared" si="967"/>
        <v>50450035</v>
      </c>
      <c r="E802" s="7"/>
      <c r="F802" s="7">
        <v>1</v>
      </c>
      <c r="G802" s="8">
        <f>3*INDEX([1]equip.xml!$I:$I,MATCH(D802,[1]equip.xml!$A:$A,0))</f>
        <v>270000</v>
      </c>
      <c r="H802" s="7" t="str">
        <f t="shared" si="925"/>
        <v>10_10,50_20,80_30</v>
      </c>
      <c r="I802" s="7">
        <v>5</v>
      </c>
      <c r="J802" s="7">
        <f t="shared" si="926"/>
        <v>240</v>
      </c>
      <c r="K802" s="7" t="s">
        <v>310</v>
      </c>
      <c r="L802" s="7">
        <v>34</v>
      </c>
      <c r="M802" s="7">
        <f>IF(INDEX([1]equip.xml!$B:$B,MATCH(D802,[1]equip.xml!$A:$A,0))=0,0,N802)</f>
        <v>35</v>
      </c>
      <c r="N802" s="7">
        <f t="shared" ref="N802" si="1014">N714</f>
        <v>35</v>
      </c>
    </row>
    <row r="803" spans="1:14">
      <c r="A803" s="7">
        <v>10013</v>
      </c>
      <c r="B803" s="7">
        <f t="shared" ref="B803:C803" si="1015">B715</f>
        <v>40000</v>
      </c>
      <c r="C803" s="7" t="str">
        <f t="shared" si="1015"/>
        <v>装备</v>
      </c>
      <c r="D803" s="7">
        <f t="shared" si="967"/>
        <v>50450085</v>
      </c>
      <c r="E803" s="7"/>
      <c r="F803" s="7">
        <v>1</v>
      </c>
      <c r="G803" s="8">
        <f>3*INDEX([1]equip.xml!$I:$I,MATCH(D803,[1]equip.xml!$A:$A,0))</f>
        <v>270000</v>
      </c>
      <c r="H803" s="7" t="str">
        <f t="shared" si="925"/>
        <v>10_10,50_20,80_30</v>
      </c>
      <c r="I803" s="7">
        <v>5</v>
      </c>
      <c r="J803" s="7">
        <f t="shared" si="926"/>
        <v>240</v>
      </c>
      <c r="K803" s="7" t="s">
        <v>310</v>
      </c>
      <c r="L803" s="7">
        <v>34</v>
      </c>
      <c r="M803" s="7">
        <f>IF(INDEX([1]equip.xml!$B:$B,MATCH(D803,[1]equip.xml!$A:$A,0))=0,0,N803)</f>
        <v>35</v>
      </c>
      <c r="N803" s="7">
        <f t="shared" ref="N803" si="1016">N715</f>
        <v>35</v>
      </c>
    </row>
    <row r="804" spans="1:14">
      <c r="A804" s="7">
        <v>10013</v>
      </c>
      <c r="B804" s="7">
        <f t="shared" ref="B804:C804" si="1017">B716</f>
        <v>40000</v>
      </c>
      <c r="C804" s="7" t="str">
        <f t="shared" si="1017"/>
        <v>装备</v>
      </c>
      <c r="D804" s="7">
        <f t="shared" si="967"/>
        <v>50450095</v>
      </c>
      <c r="E804" s="7"/>
      <c r="F804" s="7">
        <v>1</v>
      </c>
      <c r="G804" s="8">
        <f>3*INDEX([1]equip.xml!$I:$I,MATCH(D804,[1]equip.xml!$A:$A,0))</f>
        <v>270000</v>
      </c>
      <c r="H804" s="7" t="str">
        <f t="shared" si="925"/>
        <v>10_10,50_20,80_30</v>
      </c>
      <c r="I804" s="7">
        <v>5</v>
      </c>
      <c r="J804" s="7">
        <f t="shared" si="926"/>
        <v>240</v>
      </c>
      <c r="K804" s="7" t="s">
        <v>310</v>
      </c>
      <c r="L804" s="7">
        <v>34</v>
      </c>
      <c r="M804" s="7">
        <f>IF(INDEX([1]equip.xml!$B:$B,MATCH(D804,[1]equip.xml!$A:$A,0))=0,0,N804)</f>
        <v>35</v>
      </c>
      <c r="N804" s="7">
        <f t="shared" ref="N804" si="1018">N716</f>
        <v>35</v>
      </c>
    </row>
    <row r="805" spans="1:14">
      <c r="A805" s="7">
        <v>10013</v>
      </c>
      <c r="B805" s="7">
        <f t="shared" ref="B805:C805" si="1019">B717</f>
        <v>40000</v>
      </c>
      <c r="C805" s="7" t="str">
        <f t="shared" si="1019"/>
        <v>装备</v>
      </c>
      <c r="D805" s="7">
        <f t="shared" si="967"/>
        <v>50450105</v>
      </c>
      <c r="E805" s="7"/>
      <c r="F805" s="7">
        <v>1</v>
      </c>
      <c r="G805" s="8">
        <f>3*INDEX([1]equip.xml!$I:$I,MATCH(D805,[1]equip.xml!$A:$A,0))</f>
        <v>270000</v>
      </c>
      <c r="H805" s="7" t="str">
        <f t="shared" si="925"/>
        <v>10_10,50_20,80_30</v>
      </c>
      <c r="I805" s="7">
        <v>5</v>
      </c>
      <c r="J805" s="7">
        <f t="shared" si="926"/>
        <v>240</v>
      </c>
      <c r="K805" s="7" t="s">
        <v>310</v>
      </c>
      <c r="L805" s="7">
        <v>34</v>
      </c>
      <c r="M805" s="7">
        <f>IF(INDEX([1]equip.xml!$B:$B,MATCH(D805,[1]equip.xml!$A:$A,0))=0,0,N805)</f>
        <v>35</v>
      </c>
      <c r="N805" s="7">
        <f t="shared" ref="N805" si="1020">N717</f>
        <v>35</v>
      </c>
    </row>
    <row r="806" spans="1:14">
      <c r="A806" s="7">
        <v>10013</v>
      </c>
      <c r="B806" s="7">
        <f t="shared" ref="B806:C806" si="1021">B718</f>
        <v>40000</v>
      </c>
      <c r="C806" s="7" t="str">
        <f t="shared" si="1021"/>
        <v>装备</v>
      </c>
      <c r="D806" s="7">
        <f t="shared" si="967"/>
        <v>50451055</v>
      </c>
      <c r="E806" s="7"/>
      <c r="F806" s="7">
        <v>1</v>
      </c>
      <c r="G806" s="8">
        <f>3*INDEX([1]equip.xml!$I:$I,MATCH(D806,[1]equip.xml!$A:$A,0))</f>
        <v>270000</v>
      </c>
      <c r="H806" s="7" t="str">
        <f t="shared" si="925"/>
        <v>10_10,50_20,80_30</v>
      </c>
      <c r="I806" s="7">
        <v>5</v>
      </c>
      <c r="J806" s="7">
        <f t="shared" si="926"/>
        <v>240</v>
      </c>
      <c r="K806" s="7" t="s">
        <v>310</v>
      </c>
      <c r="L806" s="7">
        <v>34</v>
      </c>
      <c r="M806" s="7">
        <f>IF(INDEX([1]equip.xml!$B:$B,MATCH(D806,[1]equip.xml!$A:$A,0))=0,0,N806)</f>
        <v>35</v>
      </c>
      <c r="N806" s="7">
        <f t="shared" ref="N806" si="1022">N718</f>
        <v>35</v>
      </c>
    </row>
    <row r="807" spans="1:14">
      <c r="A807" s="7">
        <v>10013</v>
      </c>
      <c r="B807" s="7">
        <f t="shared" ref="B807:C807" si="1023">B719</f>
        <v>40000</v>
      </c>
      <c r="C807" s="7" t="str">
        <f t="shared" si="1023"/>
        <v>装备</v>
      </c>
      <c r="D807" s="7">
        <f t="shared" si="967"/>
        <v>50451056</v>
      </c>
      <c r="E807" s="7"/>
      <c r="F807" s="7">
        <v>1</v>
      </c>
      <c r="G807" s="8">
        <f>3*INDEX([1]equip.xml!$I:$I,MATCH(D807,[1]equip.xml!$A:$A,0))</f>
        <v>288000</v>
      </c>
      <c r="H807" s="7" t="str">
        <f t="shared" si="925"/>
        <v>10_10,50_20,80_30</v>
      </c>
      <c r="I807" s="7">
        <v>5</v>
      </c>
      <c r="J807" s="7">
        <f t="shared" si="926"/>
        <v>240</v>
      </c>
      <c r="K807" s="7" t="s">
        <v>310</v>
      </c>
      <c r="L807" s="7">
        <v>34</v>
      </c>
      <c r="M807" s="7">
        <f>IF(INDEX([1]equip.xml!$B:$B,MATCH(D807,[1]equip.xml!$A:$A,0))=0,0,N807)</f>
        <v>0</v>
      </c>
      <c r="N807" s="7">
        <f t="shared" ref="N807" si="1024">N719</f>
        <v>35</v>
      </c>
    </row>
    <row r="808" spans="1:14">
      <c r="A808" s="7">
        <v>10013</v>
      </c>
      <c r="B808" s="7">
        <f t="shared" ref="B808:C808" si="1025">B720</f>
        <v>40000</v>
      </c>
      <c r="C808" s="7" t="str">
        <f t="shared" si="1025"/>
        <v>装备</v>
      </c>
      <c r="D808" s="7">
        <f t="shared" si="967"/>
        <v>50451065</v>
      </c>
      <c r="E808" s="7"/>
      <c r="F808" s="7">
        <v>1</v>
      </c>
      <c r="G808" s="8">
        <f>3*INDEX([1]equip.xml!$I:$I,MATCH(D808,[1]equip.xml!$A:$A,0))</f>
        <v>270000</v>
      </c>
      <c r="H808" s="7" t="str">
        <f t="shared" si="925"/>
        <v>10_10,50_20,80_30</v>
      </c>
      <c r="I808" s="7">
        <v>5</v>
      </c>
      <c r="J808" s="7">
        <f t="shared" si="926"/>
        <v>240</v>
      </c>
      <c r="K808" s="7" t="s">
        <v>310</v>
      </c>
      <c r="L808" s="7">
        <v>34</v>
      </c>
      <c r="M808" s="7">
        <f>IF(INDEX([1]equip.xml!$B:$B,MATCH(D808,[1]equip.xml!$A:$A,0))=0,0,N808)</f>
        <v>35</v>
      </c>
      <c r="N808" s="7">
        <f t="shared" ref="N808" si="1026">N720</f>
        <v>35</v>
      </c>
    </row>
    <row r="809" spans="1:14">
      <c r="A809" s="7">
        <v>10013</v>
      </c>
      <c r="B809" s="7">
        <f t="shared" ref="B809:C809" si="1027">B721</f>
        <v>40000</v>
      </c>
      <c r="C809" s="7" t="str">
        <f t="shared" si="1027"/>
        <v>装备</v>
      </c>
      <c r="D809" s="7">
        <f t="shared" si="967"/>
        <v>50451066</v>
      </c>
      <c r="E809" s="7"/>
      <c r="F809" s="7">
        <v>1</v>
      </c>
      <c r="G809" s="8">
        <f>3*INDEX([1]equip.xml!$I:$I,MATCH(D809,[1]equip.xml!$A:$A,0))</f>
        <v>288000</v>
      </c>
      <c r="H809" s="7" t="str">
        <f t="shared" si="925"/>
        <v>10_10,50_20,80_30</v>
      </c>
      <c r="I809" s="7">
        <v>5</v>
      </c>
      <c r="J809" s="7">
        <f t="shared" si="926"/>
        <v>240</v>
      </c>
      <c r="K809" s="7" t="s">
        <v>310</v>
      </c>
      <c r="L809" s="7">
        <v>34</v>
      </c>
      <c r="M809" s="7">
        <f>IF(INDEX([1]equip.xml!$B:$B,MATCH(D809,[1]equip.xml!$A:$A,0))=0,0,N809)</f>
        <v>0</v>
      </c>
      <c r="N809" s="7">
        <f t="shared" ref="N809" si="1028">N721</f>
        <v>35</v>
      </c>
    </row>
    <row r="810" spans="1:14">
      <c r="A810" s="7">
        <v>10013</v>
      </c>
      <c r="B810" s="7">
        <f t="shared" ref="B810:C810" si="1029">B722</f>
        <v>40000</v>
      </c>
      <c r="C810" s="7" t="str">
        <f t="shared" si="1029"/>
        <v>装备</v>
      </c>
      <c r="D810" s="7">
        <f t="shared" si="967"/>
        <v>50452055</v>
      </c>
      <c r="E810" s="7"/>
      <c r="F810" s="7">
        <v>1</v>
      </c>
      <c r="G810" s="8">
        <f>3*INDEX([1]equip.xml!$I:$I,MATCH(D810,[1]equip.xml!$A:$A,0))</f>
        <v>270000</v>
      </c>
      <c r="H810" s="7" t="str">
        <f t="shared" si="925"/>
        <v>10_10,50_20,80_30</v>
      </c>
      <c r="I810" s="7">
        <v>5</v>
      </c>
      <c r="J810" s="7">
        <f t="shared" si="926"/>
        <v>240</v>
      </c>
      <c r="K810" s="7" t="s">
        <v>310</v>
      </c>
      <c r="L810" s="7">
        <v>34</v>
      </c>
      <c r="M810" s="7">
        <f>IF(INDEX([1]equip.xml!$B:$B,MATCH(D810,[1]equip.xml!$A:$A,0))=0,0,N810)</f>
        <v>35</v>
      </c>
      <c r="N810" s="7">
        <f t="shared" ref="N810" si="1030">N722</f>
        <v>35</v>
      </c>
    </row>
    <row r="811" spans="1:14">
      <c r="A811" s="7">
        <v>10013</v>
      </c>
      <c r="B811" s="7">
        <f t="shared" ref="B811:C811" si="1031">B723</f>
        <v>40000</v>
      </c>
      <c r="C811" s="7" t="str">
        <f t="shared" si="1031"/>
        <v>装备</v>
      </c>
      <c r="D811" s="7">
        <f t="shared" si="967"/>
        <v>50452056</v>
      </c>
      <c r="E811" s="7"/>
      <c r="F811" s="7">
        <v>1</v>
      </c>
      <c r="G811" s="8">
        <f>3*INDEX([1]equip.xml!$I:$I,MATCH(D811,[1]equip.xml!$A:$A,0))</f>
        <v>288000</v>
      </c>
      <c r="H811" s="7" t="str">
        <f t="shared" si="925"/>
        <v>10_10,50_20,80_30</v>
      </c>
      <c r="I811" s="7">
        <v>5</v>
      </c>
      <c r="J811" s="7">
        <f t="shared" si="926"/>
        <v>240</v>
      </c>
      <c r="K811" s="7" t="s">
        <v>310</v>
      </c>
      <c r="L811" s="7">
        <v>34</v>
      </c>
      <c r="M811" s="7">
        <f>IF(INDEX([1]equip.xml!$B:$B,MATCH(D811,[1]equip.xml!$A:$A,0))=0,0,N811)</f>
        <v>0</v>
      </c>
      <c r="N811" s="7">
        <f t="shared" ref="N811" si="1032">N723</f>
        <v>35</v>
      </c>
    </row>
    <row r="812" spans="1:14">
      <c r="A812" s="7">
        <v>10013</v>
      </c>
      <c r="B812" s="7">
        <f t="shared" ref="B812:C812" si="1033">B724</f>
        <v>40000</v>
      </c>
      <c r="C812" s="7" t="str">
        <f t="shared" si="1033"/>
        <v>装备</v>
      </c>
      <c r="D812" s="7">
        <f t="shared" si="967"/>
        <v>50452065</v>
      </c>
      <c r="E812" s="7"/>
      <c r="F812" s="7">
        <v>1</v>
      </c>
      <c r="G812" s="8">
        <f>3*INDEX([1]equip.xml!$I:$I,MATCH(D812,[1]equip.xml!$A:$A,0))</f>
        <v>270000</v>
      </c>
      <c r="H812" s="7" t="str">
        <f t="shared" si="925"/>
        <v>10_10,50_20,80_30</v>
      </c>
      <c r="I812" s="7">
        <v>5</v>
      </c>
      <c r="J812" s="7">
        <f t="shared" si="926"/>
        <v>240</v>
      </c>
      <c r="K812" s="7" t="s">
        <v>310</v>
      </c>
      <c r="L812" s="7">
        <v>34</v>
      </c>
      <c r="M812" s="7">
        <f>IF(INDEX([1]equip.xml!$B:$B,MATCH(D812,[1]equip.xml!$A:$A,0))=0,0,N812)</f>
        <v>35</v>
      </c>
      <c r="N812" s="7">
        <f t="shared" ref="N812" si="1034">N724</f>
        <v>35</v>
      </c>
    </row>
    <row r="813" spans="1:14">
      <c r="A813" s="7">
        <v>10013</v>
      </c>
      <c r="B813" s="7">
        <f t="shared" ref="B813:C813" si="1035">B725</f>
        <v>40000</v>
      </c>
      <c r="C813" s="7" t="str">
        <f t="shared" si="1035"/>
        <v>装备</v>
      </c>
      <c r="D813" s="7">
        <f t="shared" si="967"/>
        <v>50452066</v>
      </c>
      <c r="E813" s="7"/>
      <c r="F813" s="7">
        <v>1</v>
      </c>
      <c r="G813" s="8">
        <f>3*INDEX([1]equip.xml!$I:$I,MATCH(D813,[1]equip.xml!$A:$A,0))</f>
        <v>288000</v>
      </c>
      <c r="H813" s="7" t="str">
        <f t="shared" si="925"/>
        <v>10_10,50_20,80_30</v>
      </c>
      <c r="I813" s="7">
        <v>5</v>
      </c>
      <c r="J813" s="7">
        <f t="shared" si="926"/>
        <v>240</v>
      </c>
      <c r="K813" s="7" t="s">
        <v>310</v>
      </c>
      <c r="L813" s="7">
        <v>34</v>
      </c>
      <c r="M813" s="7">
        <f>IF(INDEX([1]equip.xml!$B:$B,MATCH(D813,[1]equip.xml!$A:$A,0))=0,0,N813)</f>
        <v>0</v>
      </c>
      <c r="N813" s="7">
        <f t="shared" ref="N813" si="1036">N725</f>
        <v>35</v>
      </c>
    </row>
    <row r="814" spans="1:14">
      <c r="A814" s="7">
        <v>10013</v>
      </c>
      <c r="B814" s="7">
        <f t="shared" ref="B814:C814" si="1037">B726</f>
        <v>40000</v>
      </c>
      <c r="C814" s="7" t="str">
        <f t="shared" si="1037"/>
        <v>装备</v>
      </c>
      <c r="D814" s="7">
        <f t="shared" si="967"/>
        <v>50453055</v>
      </c>
      <c r="E814" s="7"/>
      <c r="F814" s="7">
        <v>1</v>
      </c>
      <c r="G814" s="8">
        <f>3*INDEX([1]equip.xml!$I:$I,MATCH(D814,[1]equip.xml!$A:$A,0))</f>
        <v>270000</v>
      </c>
      <c r="H814" s="7" t="str">
        <f t="shared" si="925"/>
        <v>10_10,50_20,80_30</v>
      </c>
      <c r="I814" s="7">
        <v>5</v>
      </c>
      <c r="J814" s="7">
        <f t="shared" si="926"/>
        <v>240</v>
      </c>
      <c r="K814" s="7" t="s">
        <v>310</v>
      </c>
      <c r="L814" s="7">
        <v>34</v>
      </c>
      <c r="M814" s="7">
        <f>IF(INDEX([1]equip.xml!$B:$B,MATCH(D814,[1]equip.xml!$A:$A,0))=0,0,N814)</f>
        <v>35</v>
      </c>
      <c r="N814" s="7">
        <f t="shared" ref="N814" si="1038">N726</f>
        <v>35</v>
      </c>
    </row>
    <row r="815" spans="1:14">
      <c r="A815" s="7">
        <v>10013</v>
      </c>
      <c r="B815" s="7">
        <f t="shared" ref="B815:C815" si="1039">B727</f>
        <v>40000</v>
      </c>
      <c r="C815" s="7" t="str">
        <f t="shared" si="1039"/>
        <v>装备</v>
      </c>
      <c r="D815" s="7">
        <f t="shared" si="967"/>
        <v>50453056</v>
      </c>
      <c r="E815" s="7"/>
      <c r="F815" s="7">
        <v>1</v>
      </c>
      <c r="G815" s="8">
        <f>3*INDEX([1]equip.xml!$I:$I,MATCH(D815,[1]equip.xml!$A:$A,0))</f>
        <v>288000</v>
      </c>
      <c r="H815" s="7" t="str">
        <f t="shared" si="925"/>
        <v>10_10,50_20,80_30</v>
      </c>
      <c r="I815" s="7">
        <v>5</v>
      </c>
      <c r="J815" s="7">
        <f t="shared" si="926"/>
        <v>240</v>
      </c>
      <c r="K815" s="7" t="s">
        <v>310</v>
      </c>
      <c r="L815" s="7">
        <v>34</v>
      </c>
      <c r="M815" s="7">
        <f>IF(INDEX([1]equip.xml!$B:$B,MATCH(D815,[1]equip.xml!$A:$A,0))=0,0,N815)</f>
        <v>35</v>
      </c>
      <c r="N815" s="7">
        <f t="shared" ref="N815" si="1040">N727</f>
        <v>35</v>
      </c>
    </row>
    <row r="816" spans="1:14">
      <c r="A816" s="7">
        <v>10013</v>
      </c>
      <c r="B816" s="7">
        <f t="shared" ref="B816:C816" si="1041">B728</f>
        <v>40000</v>
      </c>
      <c r="C816" s="7" t="str">
        <f t="shared" si="1041"/>
        <v>装备</v>
      </c>
      <c r="D816" s="7">
        <f t="shared" si="967"/>
        <v>50453065</v>
      </c>
      <c r="E816" s="7"/>
      <c r="F816" s="7">
        <v>1</v>
      </c>
      <c r="G816" s="8">
        <f>3*INDEX([1]equip.xml!$I:$I,MATCH(D816,[1]equip.xml!$A:$A,0))</f>
        <v>270000</v>
      </c>
      <c r="H816" s="7" t="str">
        <f t="shared" si="925"/>
        <v>10_10,50_20,80_30</v>
      </c>
      <c r="I816" s="7">
        <v>5</v>
      </c>
      <c r="J816" s="7">
        <f t="shared" si="926"/>
        <v>240</v>
      </c>
      <c r="K816" s="7" t="s">
        <v>310</v>
      </c>
      <c r="L816" s="7">
        <v>34</v>
      </c>
      <c r="M816" s="7">
        <f>IF(INDEX([1]equip.xml!$B:$B,MATCH(D816,[1]equip.xml!$A:$A,0))=0,0,N816)</f>
        <v>35</v>
      </c>
      <c r="N816" s="7">
        <f t="shared" ref="N816" si="1042">N728</f>
        <v>35</v>
      </c>
    </row>
    <row r="817" spans="1:14">
      <c r="A817" s="7">
        <v>10013</v>
      </c>
      <c r="B817" s="7">
        <f t="shared" ref="B817:C817" si="1043">B729</f>
        <v>40000</v>
      </c>
      <c r="C817" s="7" t="str">
        <f t="shared" si="1043"/>
        <v>装备</v>
      </c>
      <c r="D817" s="7">
        <f t="shared" si="967"/>
        <v>50453066</v>
      </c>
      <c r="E817" s="7"/>
      <c r="F817" s="7">
        <v>1</v>
      </c>
      <c r="G817" s="8">
        <f>3*INDEX([1]equip.xml!$I:$I,MATCH(D817,[1]equip.xml!$A:$A,0))</f>
        <v>288000</v>
      </c>
      <c r="H817" s="7" t="str">
        <f t="shared" si="925"/>
        <v>10_10,50_20,80_30</v>
      </c>
      <c r="I817" s="7">
        <v>5</v>
      </c>
      <c r="J817" s="7">
        <f t="shared" si="926"/>
        <v>240</v>
      </c>
      <c r="K817" s="7" t="s">
        <v>310</v>
      </c>
      <c r="L817" s="7">
        <v>34</v>
      </c>
      <c r="M817" s="7">
        <f>IF(INDEX([1]equip.xml!$B:$B,MATCH(D817,[1]equip.xml!$A:$A,0))=0,0,N817)</f>
        <v>0</v>
      </c>
      <c r="N817" s="7">
        <f t="shared" ref="N817" si="1044">N729</f>
        <v>35</v>
      </c>
    </row>
    <row r="818" spans="1:14">
      <c r="A818" s="7">
        <v>10013</v>
      </c>
      <c r="B818" s="7">
        <f t="shared" ref="B818:C818" si="1045">B730</f>
        <v>40000</v>
      </c>
      <c r="C818" s="7" t="str">
        <f t="shared" si="1045"/>
        <v>装备</v>
      </c>
      <c r="D818" s="7">
        <f t="shared" si="967"/>
        <v>50450045</v>
      </c>
      <c r="E818" s="7"/>
      <c r="F818" s="7">
        <v>1</v>
      </c>
      <c r="G818" s="8">
        <f>3*INDEX([1]equip.xml!$I:$I,MATCH(D818,[1]equip.xml!$A:$A,0))</f>
        <v>270000</v>
      </c>
      <c r="H818" s="7" t="str">
        <f t="shared" si="925"/>
        <v>10_10,50_20,80_30</v>
      </c>
      <c r="I818" s="7">
        <v>5</v>
      </c>
      <c r="J818" s="7">
        <f t="shared" si="926"/>
        <v>240</v>
      </c>
      <c r="K818" s="7" t="s">
        <v>310</v>
      </c>
      <c r="L818" s="7">
        <v>34</v>
      </c>
      <c r="M818" s="7">
        <f>IF(INDEX([1]equip.xml!$B:$B,MATCH(D818,[1]equip.xml!$A:$A,0))=0,0,N818)</f>
        <v>35</v>
      </c>
      <c r="N818" s="7">
        <f t="shared" ref="N818" si="1046">N730</f>
        <v>35</v>
      </c>
    </row>
    <row r="819" spans="1:14">
      <c r="A819" s="7">
        <v>10013</v>
      </c>
      <c r="B819" s="7">
        <f t="shared" ref="B819:C819" si="1047">B731</f>
        <v>40000</v>
      </c>
      <c r="C819" s="7" t="str">
        <f t="shared" si="1047"/>
        <v>装备</v>
      </c>
      <c r="D819" s="7">
        <f t="shared" si="967"/>
        <v>50450046</v>
      </c>
      <c r="E819" s="7"/>
      <c r="F819" s="7">
        <v>1</v>
      </c>
      <c r="G819" s="8">
        <f>3*INDEX([1]equip.xml!$I:$I,MATCH(D819,[1]equip.xml!$A:$A,0))</f>
        <v>288000</v>
      </c>
      <c r="H819" s="7" t="str">
        <f t="shared" si="925"/>
        <v>10_10,50_20,80_30</v>
      </c>
      <c r="I819" s="7">
        <v>5</v>
      </c>
      <c r="J819" s="7">
        <f t="shared" si="926"/>
        <v>240</v>
      </c>
      <c r="K819" s="7" t="s">
        <v>310</v>
      </c>
      <c r="L819" s="7">
        <v>34</v>
      </c>
      <c r="M819" s="7">
        <f>IF(INDEX([1]equip.xml!$B:$B,MATCH(D819,[1]equip.xml!$A:$A,0))=0,0,N819)</f>
        <v>35</v>
      </c>
      <c r="N819" s="7">
        <f t="shared" ref="N819" si="1048">N731</f>
        <v>35</v>
      </c>
    </row>
    <row r="820" spans="1:14">
      <c r="A820" s="7">
        <v>10013</v>
      </c>
      <c r="B820" s="7">
        <f t="shared" ref="B820:C820" si="1049">B732</f>
        <v>40000</v>
      </c>
      <c r="C820" s="7" t="str">
        <f t="shared" si="1049"/>
        <v>装备</v>
      </c>
      <c r="D820" s="7">
        <f t="shared" si="967"/>
        <v>50450075</v>
      </c>
      <c r="E820" s="7"/>
      <c r="F820" s="7">
        <v>1</v>
      </c>
      <c r="G820" s="8">
        <f>3*INDEX([1]equip.xml!$I:$I,MATCH(D820,[1]equip.xml!$A:$A,0))</f>
        <v>270000</v>
      </c>
      <c r="H820" s="7" t="str">
        <f t="shared" si="925"/>
        <v>10_10,50_20,80_30</v>
      </c>
      <c r="I820" s="7">
        <v>5</v>
      </c>
      <c r="J820" s="7">
        <f t="shared" si="926"/>
        <v>240</v>
      </c>
      <c r="K820" s="7" t="s">
        <v>310</v>
      </c>
      <c r="L820" s="7">
        <v>34</v>
      </c>
      <c r="M820" s="7">
        <f>IF(INDEX([1]equip.xml!$B:$B,MATCH(D820,[1]equip.xml!$A:$A,0))=0,0,N820)</f>
        <v>35</v>
      </c>
      <c r="N820" s="7">
        <f t="shared" ref="N820" si="1050">N732</f>
        <v>35</v>
      </c>
    </row>
    <row r="821" spans="1:14">
      <c r="A821" s="7">
        <v>10013</v>
      </c>
      <c r="B821" s="7">
        <f t="shared" ref="B821:C821" si="1051">B733</f>
        <v>40000</v>
      </c>
      <c r="C821" s="7" t="str">
        <f t="shared" si="1051"/>
        <v>装备</v>
      </c>
      <c r="D821" s="7">
        <f t="shared" si="967"/>
        <v>50450076</v>
      </c>
      <c r="E821" s="7"/>
      <c r="F821" s="7">
        <v>1</v>
      </c>
      <c r="G821" s="8">
        <f>3*INDEX([1]equip.xml!$I:$I,MATCH(D821,[1]equip.xml!$A:$A,0))</f>
        <v>288000</v>
      </c>
      <c r="H821" s="7" t="str">
        <f t="shared" si="925"/>
        <v>10_10,50_20,80_30</v>
      </c>
      <c r="I821" s="7">
        <v>5</v>
      </c>
      <c r="J821" s="7">
        <f t="shared" si="926"/>
        <v>240</v>
      </c>
      <c r="K821" s="7" t="s">
        <v>310</v>
      </c>
      <c r="L821" s="7">
        <v>34</v>
      </c>
      <c r="M821" s="7">
        <f>IF(INDEX([1]equip.xml!$B:$B,MATCH(D821,[1]equip.xml!$A:$A,0))=0,0,N821)</f>
        <v>35</v>
      </c>
      <c r="N821" s="7">
        <f t="shared" ref="N821" si="1052">N733</f>
        <v>35</v>
      </c>
    </row>
    <row r="822" spans="1:14">
      <c r="A822" s="8">
        <v>10014</v>
      </c>
      <c r="B822" s="8">
        <f t="shared" ref="B822:C822" si="1053">B734</f>
        <v>40000</v>
      </c>
      <c r="C822" s="8" t="str">
        <f t="shared" si="1053"/>
        <v>装备</v>
      </c>
      <c r="D822" s="8">
        <v>40450010</v>
      </c>
      <c r="E822" s="8"/>
      <c r="F822" s="8">
        <v>1</v>
      </c>
      <c r="G822" s="7">
        <f>3*INDEX([1]equip.xml!$I:$I,MATCH(D822&amp;"",[1]equip.xml!$A:$A,0))</f>
        <v>135000</v>
      </c>
      <c r="H822" s="8" t="str">
        <f t="shared" si="925"/>
        <v>10_10,50_20,80_30</v>
      </c>
      <c r="I822" s="8">
        <f t="shared" si="926"/>
        <v>6</v>
      </c>
      <c r="J822" s="8">
        <f t="shared" si="926"/>
        <v>50</v>
      </c>
      <c r="K822" s="7" t="s">
        <v>311</v>
      </c>
      <c r="L822" s="8">
        <v>36</v>
      </c>
      <c r="M822" s="7">
        <f>IF(INDEX([1]equip.xml!$B:$B,MATCH(D822&amp;"",[1]equip.xml!$A:$A,0))=0,0,N822)</f>
        <v>130</v>
      </c>
      <c r="N822" s="8">
        <f t="shared" ref="N822" si="1054">N734</f>
        <v>130</v>
      </c>
    </row>
    <row r="823" spans="1:14">
      <c r="A823" s="8">
        <v>10014</v>
      </c>
      <c r="B823" s="8">
        <f t="shared" ref="B823:C823" si="1055">B735</f>
        <v>40000</v>
      </c>
      <c r="C823" s="8" t="str">
        <f t="shared" si="1055"/>
        <v>装备</v>
      </c>
      <c r="D823" s="8">
        <v>40450020</v>
      </c>
      <c r="E823" s="8"/>
      <c r="F823" s="8">
        <v>1</v>
      </c>
      <c r="G823" s="7">
        <f>3*INDEX([1]equip.xml!$I:$I,MATCH(D823&amp;"",[1]equip.xml!$A:$A,0))</f>
        <v>135000</v>
      </c>
      <c r="H823" s="8" t="str">
        <f t="shared" ref="H823:H886" si="1056">H735</f>
        <v>10_10,50_20,80_30</v>
      </c>
      <c r="I823" s="8">
        <f t="shared" ref="I823:J886" si="1057">I735</f>
        <v>6</v>
      </c>
      <c r="J823" s="8">
        <f t="shared" si="1057"/>
        <v>50</v>
      </c>
      <c r="K823" s="7" t="s">
        <v>311</v>
      </c>
      <c r="L823" s="8">
        <v>36</v>
      </c>
      <c r="M823" s="7">
        <f>IF(INDEX([1]equip.xml!$B:$B,MATCH(D823&amp;"",[1]equip.xml!$A:$A,0))=0,0,N823)</f>
        <v>130</v>
      </c>
      <c r="N823" s="8">
        <f t="shared" ref="N823" si="1058">N735</f>
        <v>130</v>
      </c>
    </row>
    <row r="824" spans="1:14">
      <c r="A824" s="8">
        <v>10014</v>
      </c>
      <c r="B824" s="8">
        <f t="shared" ref="B824:C824" si="1059">B736</f>
        <v>40000</v>
      </c>
      <c r="C824" s="8" t="str">
        <f t="shared" si="1059"/>
        <v>装备</v>
      </c>
      <c r="D824" s="8">
        <v>40450030</v>
      </c>
      <c r="E824" s="8"/>
      <c r="F824" s="8">
        <v>1</v>
      </c>
      <c r="G824" s="7">
        <f>3*INDEX([1]equip.xml!$I:$I,MATCH(D824&amp;"",[1]equip.xml!$A:$A,0))</f>
        <v>135000</v>
      </c>
      <c r="H824" s="8" t="str">
        <f t="shared" si="1056"/>
        <v>10_10,50_20,80_30</v>
      </c>
      <c r="I824" s="8">
        <f t="shared" si="1057"/>
        <v>6</v>
      </c>
      <c r="J824" s="8">
        <f t="shared" si="1057"/>
        <v>50</v>
      </c>
      <c r="K824" s="7" t="s">
        <v>311</v>
      </c>
      <c r="L824" s="8">
        <v>36</v>
      </c>
      <c r="M824" s="7">
        <f>IF(INDEX([1]equip.xml!$B:$B,MATCH(D824&amp;"",[1]equip.xml!$A:$A,0))=0,0,N824)</f>
        <v>130</v>
      </c>
      <c r="N824" s="8">
        <f t="shared" ref="N824" si="1060">N736</f>
        <v>130</v>
      </c>
    </row>
    <row r="825" spans="1:14">
      <c r="A825" s="8">
        <v>10014</v>
      </c>
      <c r="B825" s="8">
        <f t="shared" ref="B825:C825" si="1061">B737</f>
        <v>40000</v>
      </c>
      <c r="C825" s="8" t="str">
        <f t="shared" si="1061"/>
        <v>装备</v>
      </c>
      <c r="D825" s="8">
        <v>40450080</v>
      </c>
      <c r="E825" s="8"/>
      <c r="F825" s="8">
        <v>1</v>
      </c>
      <c r="G825" s="7">
        <f>3*INDEX([1]equip.xml!$I:$I,MATCH(D825&amp;"",[1]equip.xml!$A:$A,0))</f>
        <v>135000</v>
      </c>
      <c r="H825" s="8" t="str">
        <f t="shared" si="1056"/>
        <v>10_10,50_20,80_30</v>
      </c>
      <c r="I825" s="8">
        <f t="shared" si="1057"/>
        <v>6</v>
      </c>
      <c r="J825" s="8">
        <f t="shared" si="1057"/>
        <v>50</v>
      </c>
      <c r="K825" s="7" t="s">
        <v>311</v>
      </c>
      <c r="L825" s="8">
        <v>36</v>
      </c>
      <c r="M825" s="7">
        <f>IF(INDEX([1]equip.xml!$B:$B,MATCH(D825&amp;"",[1]equip.xml!$A:$A,0))=0,0,N825)</f>
        <v>130</v>
      </c>
      <c r="N825" s="8">
        <f t="shared" ref="N825" si="1062">N737</f>
        <v>130</v>
      </c>
    </row>
    <row r="826" spans="1:14">
      <c r="A826" s="8">
        <v>10014</v>
      </c>
      <c r="B826" s="8">
        <f t="shared" ref="B826:C826" si="1063">B738</f>
        <v>40000</v>
      </c>
      <c r="C826" s="8" t="str">
        <f t="shared" si="1063"/>
        <v>装备</v>
      </c>
      <c r="D826" s="8">
        <v>40450090</v>
      </c>
      <c r="E826" s="8"/>
      <c r="F826" s="8">
        <v>1</v>
      </c>
      <c r="G826" s="7">
        <f>3*INDEX([1]equip.xml!$I:$I,MATCH(D826&amp;"",[1]equip.xml!$A:$A,0))</f>
        <v>135000</v>
      </c>
      <c r="H826" s="8" t="str">
        <f t="shared" si="1056"/>
        <v>10_10,50_20,80_30</v>
      </c>
      <c r="I826" s="8">
        <f t="shared" si="1057"/>
        <v>6</v>
      </c>
      <c r="J826" s="8">
        <f t="shared" si="1057"/>
        <v>50</v>
      </c>
      <c r="K826" s="7" t="s">
        <v>311</v>
      </c>
      <c r="L826" s="8">
        <v>36</v>
      </c>
      <c r="M826" s="7">
        <f>IF(INDEX([1]equip.xml!$B:$B,MATCH(D826&amp;"",[1]equip.xml!$A:$A,0))=0,0,N826)</f>
        <v>130</v>
      </c>
      <c r="N826" s="8">
        <f t="shared" ref="N826" si="1064">N738</f>
        <v>130</v>
      </c>
    </row>
    <row r="827" spans="1:14">
      <c r="A827" s="8">
        <v>10014</v>
      </c>
      <c r="B827" s="8">
        <f t="shared" ref="B827:C827" si="1065">B739</f>
        <v>40000</v>
      </c>
      <c r="C827" s="8" t="str">
        <f t="shared" si="1065"/>
        <v>装备</v>
      </c>
      <c r="D827" s="8">
        <v>40450100</v>
      </c>
      <c r="E827" s="8"/>
      <c r="F827" s="8">
        <v>1</v>
      </c>
      <c r="G827" s="7">
        <f>3*INDEX([1]equip.xml!$I:$I,MATCH(D827&amp;"",[1]equip.xml!$A:$A,0))</f>
        <v>135000</v>
      </c>
      <c r="H827" s="8" t="str">
        <f t="shared" si="1056"/>
        <v>10_10,50_20,80_30</v>
      </c>
      <c r="I827" s="8">
        <f t="shared" si="1057"/>
        <v>6</v>
      </c>
      <c r="J827" s="8">
        <f t="shared" si="1057"/>
        <v>50</v>
      </c>
      <c r="K827" s="7" t="s">
        <v>311</v>
      </c>
      <c r="L827" s="8">
        <v>36</v>
      </c>
      <c r="M827" s="7">
        <f>IF(INDEX([1]equip.xml!$B:$B,MATCH(D827&amp;"",[1]equip.xml!$A:$A,0))=0,0,N827)</f>
        <v>130</v>
      </c>
      <c r="N827" s="8">
        <f t="shared" ref="N827" si="1066">N739</f>
        <v>130</v>
      </c>
    </row>
    <row r="828" spans="1:14">
      <c r="A828" s="8">
        <v>10014</v>
      </c>
      <c r="B828" s="8">
        <f t="shared" ref="B828:C828" si="1067">B740</f>
        <v>40000</v>
      </c>
      <c r="C828" s="8" t="str">
        <f t="shared" si="1067"/>
        <v>装备</v>
      </c>
      <c r="D828" s="8">
        <v>40451050</v>
      </c>
      <c r="E828" s="8"/>
      <c r="F828" s="8">
        <v>1</v>
      </c>
      <c r="G828" s="7">
        <f>3*INDEX([1]equip.xml!$I:$I,MATCH(D828&amp;"",[1]equip.xml!$A:$A,0))</f>
        <v>135000</v>
      </c>
      <c r="H828" s="8" t="str">
        <f t="shared" si="1056"/>
        <v>10_10,50_20,80_30</v>
      </c>
      <c r="I828" s="8">
        <f t="shared" si="1057"/>
        <v>6</v>
      </c>
      <c r="J828" s="8">
        <f t="shared" si="1057"/>
        <v>50</v>
      </c>
      <c r="K828" s="7" t="s">
        <v>311</v>
      </c>
      <c r="L828" s="8">
        <v>36</v>
      </c>
      <c r="M828" s="7">
        <f>IF(INDEX([1]equip.xml!$B:$B,MATCH(D828&amp;"",[1]equip.xml!$A:$A,0))=0,0,N828)</f>
        <v>130</v>
      </c>
      <c r="N828" s="8">
        <f t="shared" ref="N828" si="1068">N740</f>
        <v>130</v>
      </c>
    </row>
    <row r="829" spans="1:14">
      <c r="A829" s="8">
        <v>10014</v>
      </c>
      <c r="B829" s="8">
        <f t="shared" ref="B829:C829" si="1069">B741</f>
        <v>40000</v>
      </c>
      <c r="C829" s="8" t="str">
        <f t="shared" si="1069"/>
        <v>装备</v>
      </c>
      <c r="D829" s="8">
        <v>40451051</v>
      </c>
      <c r="E829" s="8"/>
      <c r="F829" s="8">
        <v>1</v>
      </c>
      <c r="G829" s="7">
        <f>3*INDEX([1]equip.xml!$I:$I,MATCH(D829&amp;"",[1]equip.xml!$A:$A,0))</f>
        <v>144000</v>
      </c>
      <c r="H829" s="8" t="str">
        <f t="shared" si="1056"/>
        <v>10_10,50_20,80_30</v>
      </c>
      <c r="I829" s="8">
        <f t="shared" si="1057"/>
        <v>6</v>
      </c>
      <c r="J829" s="8">
        <f t="shared" si="1057"/>
        <v>50</v>
      </c>
      <c r="K829" s="7" t="s">
        <v>311</v>
      </c>
      <c r="L829" s="8">
        <v>36</v>
      </c>
      <c r="M829" s="7">
        <f>IF(INDEX([1]equip.xml!$B:$B,MATCH(D829&amp;"",[1]equip.xml!$A:$A,0))=0,0,N829)</f>
        <v>0</v>
      </c>
      <c r="N829" s="8">
        <f t="shared" ref="N829" si="1070">N741</f>
        <v>130</v>
      </c>
    </row>
    <row r="830" spans="1:14">
      <c r="A830" s="8">
        <v>10014</v>
      </c>
      <c r="B830" s="8">
        <f t="shared" ref="B830:C830" si="1071">B742</f>
        <v>40000</v>
      </c>
      <c r="C830" s="8" t="str">
        <f t="shared" si="1071"/>
        <v>装备</v>
      </c>
      <c r="D830" s="8">
        <v>40451060</v>
      </c>
      <c r="E830" s="8"/>
      <c r="F830" s="8">
        <v>1</v>
      </c>
      <c r="G830" s="7">
        <f>3*INDEX([1]equip.xml!$I:$I,MATCH(D830&amp;"",[1]equip.xml!$A:$A,0))</f>
        <v>135000</v>
      </c>
      <c r="H830" s="8" t="str">
        <f t="shared" si="1056"/>
        <v>10_10,50_20,80_30</v>
      </c>
      <c r="I830" s="8">
        <f t="shared" si="1057"/>
        <v>6</v>
      </c>
      <c r="J830" s="8">
        <f t="shared" si="1057"/>
        <v>50</v>
      </c>
      <c r="K830" s="7" t="s">
        <v>311</v>
      </c>
      <c r="L830" s="8">
        <v>36</v>
      </c>
      <c r="M830" s="7">
        <f>IF(INDEX([1]equip.xml!$B:$B,MATCH(D830&amp;"",[1]equip.xml!$A:$A,0))=0,0,N830)</f>
        <v>130</v>
      </c>
      <c r="N830" s="8">
        <f t="shared" ref="N830" si="1072">N742</f>
        <v>130</v>
      </c>
    </row>
    <row r="831" spans="1:14">
      <c r="A831" s="8">
        <v>10014</v>
      </c>
      <c r="B831" s="8">
        <f t="shared" ref="B831:C831" si="1073">B743</f>
        <v>40000</v>
      </c>
      <c r="C831" s="8" t="str">
        <f t="shared" si="1073"/>
        <v>装备</v>
      </c>
      <c r="D831" s="8">
        <v>40451061</v>
      </c>
      <c r="E831" s="8"/>
      <c r="F831" s="8">
        <v>1</v>
      </c>
      <c r="G831" s="7">
        <f>3*INDEX([1]equip.xml!$I:$I,MATCH(D831&amp;"",[1]equip.xml!$A:$A,0))</f>
        <v>144000</v>
      </c>
      <c r="H831" s="8" t="str">
        <f t="shared" si="1056"/>
        <v>10_10,50_20,80_30</v>
      </c>
      <c r="I831" s="8">
        <f t="shared" si="1057"/>
        <v>6</v>
      </c>
      <c r="J831" s="8">
        <f t="shared" si="1057"/>
        <v>50</v>
      </c>
      <c r="K831" s="7" t="s">
        <v>311</v>
      </c>
      <c r="L831" s="8">
        <v>36</v>
      </c>
      <c r="M831" s="7">
        <f>IF(INDEX([1]equip.xml!$B:$B,MATCH(D831&amp;"",[1]equip.xml!$A:$A,0))=0,0,N831)</f>
        <v>0</v>
      </c>
      <c r="N831" s="8">
        <f t="shared" ref="N831" si="1074">N743</f>
        <v>130</v>
      </c>
    </row>
    <row r="832" spans="1:14">
      <c r="A832" s="8">
        <v>10014</v>
      </c>
      <c r="B832" s="8">
        <f t="shared" ref="B832:C832" si="1075">B744</f>
        <v>40000</v>
      </c>
      <c r="C832" s="8" t="str">
        <f t="shared" si="1075"/>
        <v>装备</v>
      </c>
      <c r="D832" s="8">
        <v>40452050</v>
      </c>
      <c r="E832" s="8"/>
      <c r="F832" s="8">
        <v>1</v>
      </c>
      <c r="G832" s="7">
        <f>3*INDEX([1]equip.xml!$I:$I,MATCH(D832&amp;"",[1]equip.xml!$A:$A,0))</f>
        <v>135000</v>
      </c>
      <c r="H832" s="8" t="str">
        <f t="shared" si="1056"/>
        <v>10_10,50_20,80_30</v>
      </c>
      <c r="I832" s="8">
        <f t="shared" si="1057"/>
        <v>6</v>
      </c>
      <c r="J832" s="8">
        <f t="shared" si="1057"/>
        <v>50</v>
      </c>
      <c r="K832" s="7" t="s">
        <v>311</v>
      </c>
      <c r="L832" s="8">
        <v>36</v>
      </c>
      <c r="M832" s="7">
        <f>IF(INDEX([1]equip.xml!$B:$B,MATCH(D832&amp;"",[1]equip.xml!$A:$A,0))=0,0,N832)</f>
        <v>130</v>
      </c>
      <c r="N832" s="8">
        <f t="shared" ref="N832" si="1076">N744</f>
        <v>130</v>
      </c>
    </row>
    <row r="833" spans="1:14">
      <c r="A833" s="8">
        <v>10014</v>
      </c>
      <c r="B833" s="8">
        <f t="shared" ref="B833:C833" si="1077">B745</f>
        <v>40000</v>
      </c>
      <c r="C833" s="8" t="str">
        <f t="shared" si="1077"/>
        <v>装备</v>
      </c>
      <c r="D833" s="8">
        <v>40452051</v>
      </c>
      <c r="E833" s="8"/>
      <c r="F833" s="8">
        <v>1</v>
      </c>
      <c r="G833" s="7">
        <f>3*INDEX([1]equip.xml!$I:$I,MATCH(D833&amp;"",[1]equip.xml!$A:$A,0))</f>
        <v>144000</v>
      </c>
      <c r="H833" s="8" t="str">
        <f t="shared" si="1056"/>
        <v>10_10,50_20,80_30</v>
      </c>
      <c r="I833" s="8">
        <f t="shared" si="1057"/>
        <v>6</v>
      </c>
      <c r="J833" s="8">
        <f t="shared" si="1057"/>
        <v>50</v>
      </c>
      <c r="K833" s="7" t="s">
        <v>311</v>
      </c>
      <c r="L833" s="8">
        <v>36</v>
      </c>
      <c r="M833" s="7">
        <f>IF(INDEX([1]equip.xml!$B:$B,MATCH(D833&amp;"",[1]equip.xml!$A:$A,0))=0,0,N833)</f>
        <v>0</v>
      </c>
      <c r="N833" s="8">
        <f t="shared" ref="N833" si="1078">N745</f>
        <v>130</v>
      </c>
    </row>
    <row r="834" spans="1:14">
      <c r="A834" s="8">
        <v>10014</v>
      </c>
      <c r="B834" s="8">
        <f t="shared" ref="B834:C834" si="1079">B746</f>
        <v>40000</v>
      </c>
      <c r="C834" s="8" t="str">
        <f t="shared" si="1079"/>
        <v>装备</v>
      </c>
      <c r="D834" s="8">
        <v>40452060</v>
      </c>
      <c r="E834" s="8"/>
      <c r="F834" s="8">
        <v>1</v>
      </c>
      <c r="G834" s="7">
        <f>3*INDEX([1]equip.xml!$I:$I,MATCH(D834&amp;"",[1]equip.xml!$A:$A,0))</f>
        <v>135000</v>
      </c>
      <c r="H834" s="8" t="str">
        <f t="shared" si="1056"/>
        <v>10_10,50_20,80_30</v>
      </c>
      <c r="I834" s="8">
        <f t="shared" si="1057"/>
        <v>6</v>
      </c>
      <c r="J834" s="8">
        <f t="shared" si="1057"/>
        <v>50</v>
      </c>
      <c r="K834" s="7" t="s">
        <v>311</v>
      </c>
      <c r="L834" s="8">
        <v>36</v>
      </c>
      <c r="M834" s="7">
        <f>IF(INDEX([1]equip.xml!$B:$B,MATCH(D834&amp;"",[1]equip.xml!$A:$A,0))=0,0,N834)</f>
        <v>130</v>
      </c>
      <c r="N834" s="8">
        <f t="shared" ref="N834" si="1080">N746</f>
        <v>130</v>
      </c>
    </row>
    <row r="835" spans="1:14">
      <c r="A835" s="8">
        <v>10014</v>
      </c>
      <c r="B835" s="8">
        <f t="shared" ref="B835:C835" si="1081">B747</f>
        <v>40000</v>
      </c>
      <c r="C835" s="8" t="str">
        <f t="shared" si="1081"/>
        <v>装备</v>
      </c>
      <c r="D835" s="8">
        <v>40452061</v>
      </c>
      <c r="E835" s="8"/>
      <c r="F835" s="8">
        <v>1</v>
      </c>
      <c r="G835" s="7">
        <f>3*INDEX([1]equip.xml!$I:$I,MATCH(D835&amp;"",[1]equip.xml!$A:$A,0))</f>
        <v>144000</v>
      </c>
      <c r="H835" s="8" t="str">
        <f t="shared" si="1056"/>
        <v>10_10,50_20,80_30</v>
      </c>
      <c r="I835" s="8">
        <f t="shared" si="1057"/>
        <v>6</v>
      </c>
      <c r="J835" s="8">
        <f t="shared" si="1057"/>
        <v>50</v>
      </c>
      <c r="K835" s="7" t="s">
        <v>311</v>
      </c>
      <c r="L835" s="8">
        <v>36</v>
      </c>
      <c r="M835" s="7">
        <f>IF(INDEX([1]equip.xml!$B:$B,MATCH(D835&amp;"",[1]equip.xml!$A:$A,0))=0,0,N835)</f>
        <v>0</v>
      </c>
      <c r="N835" s="8">
        <f t="shared" ref="N835" si="1082">N747</f>
        <v>130</v>
      </c>
    </row>
    <row r="836" spans="1:14">
      <c r="A836" s="8">
        <v>10014</v>
      </c>
      <c r="B836" s="8">
        <f t="shared" ref="B836:C836" si="1083">B748</f>
        <v>40000</v>
      </c>
      <c r="C836" s="8" t="str">
        <f t="shared" si="1083"/>
        <v>装备</v>
      </c>
      <c r="D836" s="8">
        <v>40453050</v>
      </c>
      <c r="E836" s="8"/>
      <c r="F836" s="8">
        <v>1</v>
      </c>
      <c r="G836" s="7">
        <f>3*INDEX([1]equip.xml!$I:$I,MATCH(D836&amp;"",[1]equip.xml!$A:$A,0))</f>
        <v>135000</v>
      </c>
      <c r="H836" s="8" t="str">
        <f t="shared" si="1056"/>
        <v>10_10,50_20,80_30</v>
      </c>
      <c r="I836" s="8">
        <f t="shared" si="1057"/>
        <v>6</v>
      </c>
      <c r="J836" s="8">
        <f t="shared" si="1057"/>
        <v>50</v>
      </c>
      <c r="K836" s="7" t="s">
        <v>311</v>
      </c>
      <c r="L836" s="8">
        <v>36</v>
      </c>
      <c r="M836" s="7">
        <f>IF(INDEX([1]equip.xml!$B:$B,MATCH(D836&amp;"",[1]equip.xml!$A:$A,0))=0,0,N836)</f>
        <v>130</v>
      </c>
      <c r="N836" s="8">
        <f t="shared" ref="N836" si="1084">N748</f>
        <v>130</v>
      </c>
    </row>
    <row r="837" spans="1:14">
      <c r="A837" s="8">
        <v>10014</v>
      </c>
      <c r="B837" s="8">
        <f t="shared" ref="B837:C837" si="1085">B749</f>
        <v>40000</v>
      </c>
      <c r="C837" s="8" t="str">
        <f t="shared" si="1085"/>
        <v>装备</v>
      </c>
      <c r="D837" s="8">
        <v>40453051</v>
      </c>
      <c r="E837" s="8"/>
      <c r="F837" s="8">
        <v>1</v>
      </c>
      <c r="G837" s="7">
        <f>3*INDEX([1]equip.xml!$I:$I,MATCH(D837&amp;"",[1]equip.xml!$A:$A,0))</f>
        <v>144000</v>
      </c>
      <c r="H837" s="8" t="str">
        <f t="shared" si="1056"/>
        <v>10_10,50_20,80_30</v>
      </c>
      <c r="I837" s="8">
        <f t="shared" si="1057"/>
        <v>6</v>
      </c>
      <c r="J837" s="8">
        <f t="shared" si="1057"/>
        <v>50</v>
      </c>
      <c r="K837" s="7" t="s">
        <v>311</v>
      </c>
      <c r="L837" s="8">
        <v>36</v>
      </c>
      <c r="M837" s="7">
        <f>IF(INDEX([1]equip.xml!$B:$B,MATCH(D837&amp;"",[1]equip.xml!$A:$A,0))=0,0,N837)</f>
        <v>130</v>
      </c>
      <c r="N837" s="8">
        <f t="shared" ref="N837" si="1086">N749</f>
        <v>130</v>
      </c>
    </row>
    <row r="838" spans="1:14">
      <c r="A838" s="8">
        <v>10014</v>
      </c>
      <c r="B838" s="8">
        <f t="shared" ref="B838:C838" si="1087">B750</f>
        <v>40000</v>
      </c>
      <c r="C838" s="8" t="str">
        <f t="shared" si="1087"/>
        <v>装备</v>
      </c>
      <c r="D838" s="8">
        <v>40453060</v>
      </c>
      <c r="E838" s="8"/>
      <c r="F838" s="8">
        <v>1</v>
      </c>
      <c r="G838" s="7">
        <f>3*INDEX([1]equip.xml!$I:$I,MATCH(D838&amp;"",[1]equip.xml!$A:$A,0))</f>
        <v>135000</v>
      </c>
      <c r="H838" s="8" t="str">
        <f t="shared" si="1056"/>
        <v>10_10,50_20,80_30</v>
      </c>
      <c r="I838" s="8">
        <f t="shared" si="1057"/>
        <v>6</v>
      </c>
      <c r="J838" s="8">
        <f t="shared" si="1057"/>
        <v>50</v>
      </c>
      <c r="K838" s="7" t="s">
        <v>311</v>
      </c>
      <c r="L838" s="8">
        <v>36</v>
      </c>
      <c r="M838" s="7">
        <f>IF(INDEX([1]equip.xml!$B:$B,MATCH(D838&amp;"",[1]equip.xml!$A:$A,0))=0,0,N838)</f>
        <v>130</v>
      </c>
      <c r="N838" s="8">
        <f t="shared" ref="N838" si="1088">N750</f>
        <v>130</v>
      </c>
    </row>
    <row r="839" spans="1:14">
      <c r="A839" s="8">
        <v>10014</v>
      </c>
      <c r="B839" s="8">
        <f t="shared" ref="B839:C839" si="1089">B751</f>
        <v>40000</v>
      </c>
      <c r="C839" s="8" t="str">
        <f t="shared" si="1089"/>
        <v>装备</v>
      </c>
      <c r="D839" s="8">
        <v>40453061</v>
      </c>
      <c r="E839" s="8"/>
      <c r="F839" s="8">
        <v>1</v>
      </c>
      <c r="G839" s="7">
        <f>3*INDEX([1]equip.xml!$I:$I,MATCH(D839&amp;"",[1]equip.xml!$A:$A,0))</f>
        <v>144000</v>
      </c>
      <c r="H839" s="8" t="str">
        <f t="shared" si="1056"/>
        <v>10_10,50_20,80_30</v>
      </c>
      <c r="I839" s="8">
        <f t="shared" si="1057"/>
        <v>6</v>
      </c>
      <c r="J839" s="8">
        <f t="shared" si="1057"/>
        <v>50</v>
      </c>
      <c r="K839" s="7" t="s">
        <v>311</v>
      </c>
      <c r="L839" s="8">
        <v>36</v>
      </c>
      <c r="M839" s="7">
        <f>IF(INDEX([1]equip.xml!$B:$B,MATCH(D839&amp;"",[1]equip.xml!$A:$A,0))=0,0,N839)</f>
        <v>0</v>
      </c>
      <c r="N839" s="8">
        <f t="shared" ref="N839" si="1090">N751</f>
        <v>130</v>
      </c>
    </row>
    <row r="840" spans="1:14">
      <c r="A840" s="8">
        <v>10014</v>
      </c>
      <c r="B840" s="8">
        <f t="shared" ref="B840:C840" si="1091">B752</f>
        <v>40000</v>
      </c>
      <c r="C840" s="8" t="str">
        <f t="shared" si="1091"/>
        <v>装备</v>
      </c>
      <c r="D840" s="8">
        <v>40450040</v>
      </c>
      <c r="E840" s="8"/>
      <c r="F840" s="8">
        <v>1</v>
      </c>
      <c r="G840" s="7">
        <f>3*INDEX([1]equip.xml!$I:$I,MATCH(D840&amp;"",[1]equip.xml!$A:$A,0))</f>
        <v>135000</v>
      </c>
      <c r="H840" s="8" t="str">
        <f t="shared" si="1056"/>
        <v>10_10,50_20,80_30</v>
      </c>
      <c r="I840" s="8">
        <f t="shared" si="1057"/>
        <v>6</v>
      </c>
      <c r="J840" s="8">
        <f t="shared" si="1057"/>
        <v>50</v>
      </c>
      <c r="K840" s="7" t="s">
        <v>311</v>
      </c>
      <c r="L840" s="8">
        <v>36</v>
      </c>
      <c r="M840" s="7">
        <f>IF(INDEX([1]equip.xml!$B:$B,MATCH(D840&amp;"",[1]equip.xml!$A:$A,0))=0,0,N840)</f>
        <v>130</v>
      </c>
      <c r="N840" s="8">
        <f t="shared" ref="N840" si="1092">N752</f>
        <v>130</v>
      </c>
    </row>
    <row r="841" spans="1:14">
      <c r="A841" s="8">
        <v>10014</v>
      </c>
      <c r="B841" s="8">
        <f t="shared" ref="B841:C841" si="1093">B753</f>
        <v>40000</v>
      </c>
      <c r="C841" s="8" t="str">
        <f t="shared" si="1093"/>
        <v>装备</v>
      </c>
      <c r="D841" s="8">
        <v>40450041</v>
      </c>
      <c r="E841" s="8"/>
      <c r="F841" s="8">
        <v>1</v>
      </c>
      <c r="G841" s="7">
        <f>3*INDEX([1]equip.xml!$I:$I,MATCH(D841&amp;"",[1]equip.xml!$A:$A,0))</f>
        <v>144000</v>
      </c>
      <c r="H841" s="8" t="str">
        <f t="shared" si="1056"/>
        <v>10_10,50_20,80_30</v>
      </c>
      <c r="I841" s="8">
        <f t="shared" si="1057"/>
        <v>6</v>
      </c>
      <c r="J841" s="8">
        <f t="shared" si="1057"/>
        <v>50</v>
      </c>
      <c r="K841" s="7" t="s">
        <v>311</v>
      </c>
      <c r="L841" s="8">
        <v>36</v>
      </c>
      <c r="M841" s="7">
        <f>IF(INDEX([1]equip.xml!$B:$B,MATCH(D841&amp;"",[1]equip.xml!$A:$A,0))=0,0,N841)</f>
        <v>130</v>
      </c>
      <c r="N841" s="8">
        <f t="shared" ref="N841" si="1094">N753</f>
        <v>130</v>
      </c>
    </row>
    <row r="842" spans="1:14">
      <c r="A842" s="8">
        <v>10014</v>
      </c>
      <c r="B842" s="8">
        <f t="shared" ref="B842:C842" si="1095">B754</f>
        <v>40000</v>
      </c>
      <c r="C842" s="8" t="str">
        <f t="shared" si="1095"/>
        <v>装备</v>
      </c>
      <c r="D842" s="8">
        <v>40450070</v>
      </c>
      <c r="E842" s="8"/>
      <c r="F842" s="8">
        <v>1</v>
      </c>
      <c r="G842" s="7">
        <f>3*INDEX([1]equip.xml!$I:$I,MATCH(D842&amp;"",[1]equip.xml!$A:$A,0))</f>
        <v>135000</v>
      </c>
      <c r="H842" s="8" t="str">
        <f t="shared" si="1056"/>
        <v>10_10,50_20,80_30</v>
      </c>
      <c r="I842" s="8">
        <f t="shared" si="1057"/>
        <v>6</v>
      </c>
      <c r="J842" s="8">
        <f t="shared" si="1057"/>
        <v>50</v>
      </c>
      <c r="K842" s="7" t="s">
        <v>311</v>
      </c>
      <c r="L842" s="8">
        <v>36</v>
      </c>
      <c r="M842" s="7">
        <f>IF(INDEX([1]equip.xml!$B:$B,MATCH(D842&amp;"",[1]equip.xml!$A:$A,0))=0,0,N842)</f>
        <v>130</v>
      </c>
      <c r="N842" s="8">
        <f t="shared" ref="N842" si="1096">N754</f>
        <v>130</v>
      </c>
    </row>
    <row r="843" spans="1:14">
      <c r="A843" s="8">
        <v>10014</v>
      </c>
      <c r="B843" s="8">
        <f t="shared" ref="B843:C843" si="1097">B755</f>
        <v>40000</v>
      </c>
      <c r="C843" s="8" t="str">
        <f t="shared" si="1097"/>
        <v>装备</v>
      </c>
      <c r="D843" s="8">
        <v>40450071</v>
      </c>
      <c r="E843" s="8"/>
      <c r="F843" s="8">
        <v>1</v>
      </c>
      <c r="G843" s="7">
        <f>3*INDEX([1]equip.xml!$I:$I,MATCH(D843&amp;"",[1]equip.xml!$A:$A,0))</f>
        <v>144000</v>
      </c>
      <c r="H843" s="8" t="str">
        <f t="shared" si="1056"/>
        <v>10_10,50_20,80_30</v>
      </c>
      <c r="I843" s="8">
        <f t="shared" si="1057"/>
        <v>6</v>
      </c>
      <c r="J843" s="8">
        <f t="shared" si="1057"/>
        <v>50</v>
      </c>
      <c r="K843" s="7" t="s">
        <v>311</v>
      </c>
      <c r="L843" s="8">
        <v>36</v>
      </c>
      <c r="M843" s="7">
        <f>IF(INDEX([1]equip.xml!$B:$B,MATCH(D843&amp;"",[1]equip.xml!$A:$A,0))=0,0,N843)</f>
        <v>130</v>
      </c>
      <c r="N843" s="8">
        <f t="shared" ref="N843" si="1098">N755</f>
        <v>130</v>
      </c>
    </row>
    <row r="844" spans="1:14">
      <c r="A844" s="8">
        <v>10014</v>
      </c>
      <c r="B844" s="8">
        <f t="shared" ref="B844:C844" si="1099">B756</f>
        <v>40000</v>
      </c>
      <c r="C844" s="8" t="str">
        <f t="shared" si="1099"/>
        <v>装备</v>
      </c>
      <c r="D844" s="8">
        <v>40500010</v>
      </c>
      <c r="E844" s="8"/>
      <c r="F844" s="8">
        <v>1</v>
      </c>
      <c r="G844" s="7">
        <f>3*INDEX([1]equip.xml!$I:$I,MATCH(D844&amp;"",[1]equip.xml!$A:$A,0))</f>
        <v>150000</v>
      </c>
      <c r="H844" s="8" t="str">
        <f t="shared" si="1056"/>
        <v>10_10,50_20,80_30</v>
      </c>
      <c r="I844" s="8">
        <f t="shared" si="1057"/>
        <v>6</v>
      </c>
      <c r="J844" s="8">
        <f t="shared" si="1057"/>
        <v>50</v>
      </c>
      <c r="K844" s="7" t="s">
        <v>311</v>
      </c>
      <c r="L844" s="8">
        <v>36</v>
      </c>
      <c r="M844" s="7">
        <f>IF(INDEX([1]equip.xml!$B:$B,MATCH(D844&amp;"",[1]equip.xml!$A:$A,0))=0,0,N844)</f>
        <v>32</v>
      </c>
      <c r="N844" s="8">
        <f>INT(N822/4)</f>
        <v>32</v>
      </c>
    </row>
    <row r="845" spans="1:14">
      <c r="A845" s="8">
        <v>10014</v>
      </c>
      <c r="B845" s="8">
        <f t="shared" ref="B845:C845" si="1100">B757</f>
        <v>40000</v>
      </c>
      <c r="C845" s="8" t="str">
        <f t="shared" si="1100"/>
        <v>装备</v>
      </c>
      <c r="D845" s="8">
        <v>40500020</v>
      </c>
      <c r="E845" s="8"/>
      <c r="F845" s="8">
        <v>1</v>
      </c>
      <c r="G845" s="7">
        <f>3*INDEX([1]equip.xml!$I:$I,MATCH(D845&amp;"",[1]equip.xml!$A:$A,0))</f>
        <v>150000</v>
      </c>
      <c r="H845" s="8" t="str">
        <f t="shared" si="1056"/>
        <v>10_10,50_20,80_30</v>
      </c>
      <c r="I845" s="8">
        <f t="shared" si="1057"/>
        <v>6</v>
      </c>
      <c r="J845" s="8">
        <f t="shared" si="1057"/>
        <v>50</v>
      </c>
      <c r="K845" s="7" t="s">
        <v>311</v>
      </c>
      <c r="L845" s="8">
        <v>36</v>
      </c>
      <c r="M845" s="7">
        <f>IF(INDEX([1]equip.xml!$B:$B,MATCH(D845&amp;"",[1]equip.xml!$A:$A,0))=0,0,N845)</f>
        <v>32</v>
      </c>
      <c r="N845" s="8">
        <f t="shared" ref="N845:N865" si="1101">INT(N823/4)</f>
        <v>32</v>
      </c>
    </row>
    <row r="846" spans="1:14">
      <c r="A846" s="8">
        <v>10014</v>
      </c>
      <c r="B846" s="8">
        <f t="shared" ref="B846:C846" si="1102">B758</f>
        <v>40000</v>
      </c>
      <c r="C846" s="8" t="str">
        <f t="shared" si="1102"/>
        <v>装备</v>
      </c>
      <c r="D846" s="8">
        <v>40500030</v>
      </c>
      <c r="E846" s="8"/>
      <c r="F846" s="8">
        <v>1</v>
      </c>
      <c r="G846" s="7">
        <f>3*INDEX([1]equip.xml!$I:$I,MATCH(D846&amp;"",[1]equip.xml!$A:$A,0))</f>
        <v>150000</v>
      </c>
      <c r="H846" s="8" t="str">
        <f t="shared" si="1056"/>
        <v>10_10,50_20,80_30</v>
      </c>
      <c r="I846" s="8">
        <f t="shared" si="1057"/>
        <v>6</v>
      </c>
      <c r="J846" s="8">
        <f t="shared" si="1057"/>
        <v>50</v>
      </c>
      <c r="K846" s="7" t="s">
        <v>311</v>
      </c>
      <c r="L846" s="8">
        <v>36</v>
      </c>
      <c r="M846" s="7">
        <f>IF(INDEX([1]equip.xml!$B:$B,MATCH(D846&amp;"",[1]equip.xml!$A:$A,0))=0,0,N846)</f>
        <v>32</v>
      </c>
      <c r="N846" s="8">
        <f t="shared" si="1101"/>
        <v>32</v>
      </c>
    </row>
    <row r="847" spans="1:14">
      <c r="A847" s="8">
        <v>10014</v>
      </c>
      <c r="B847" s="8">
        <f t="shared" ref="B847:C847" si="1103">B759</f>
        <v>40000</v>
      </c>
      <c r="C847" s="8" t="str">
        <f t="shared" si="1103"/>
        <v>装备</v>
      </c>
      <c r="D847" s="8">
        <v>40500080</v>
      </c>
      <c r="E847" s="8"/>
      <c r="F847" s="8">
        <v>1</v>
      </c>
      <c r="G847" s="7">
        <f>3*INDEX([1]equip.xml!$I:$I,MATCH(D847&amp;"",[1]equip.xml!$A:$A,0))</f>
        <v>150000</v>
      </c>
      <c r="H847" s="8" t="str">
        <f t="shared" si="1056"/>
        <v>10_10,50_20,80_30</v>
      </c>
      <c r="I847" s="8">
        <f t="shared" si="1057"/>
        <v>6</v>
      </c>
      <c r="J847" s="8">
        <f t="shared" si="1057"/>
        <v>50</v>
      </c>
      <c r="K847" s="7" t="s">
        <v>311</v>
      </c>
      <c r="L847" s="8">
        <v>36</v>
      </c>
      <c r="M847" s="7">
        <f>IF(INDEX([1]equip.xml!$B:$B,MATCH(D847&amp;"",[1]equip.xml!$A:$A,0))=0,0,N847)</f>
        <v>32</v>
      </c>
      <c r="N847" s="8">
        <f t="shared" si="1101"/>
        <v>32</v>
      </c>
    </row>
    <row r="848" spans="1:14">
      <c r="A848" s="8">
        <v>10014</v>
      </c>
      <c r="B848" s="8">
        <f t="shared" ref="B848:C848" si="1104">B760</f>
        <v>40000</v>
      </c>
      <c r="C848" s="8" t="str">
        <f t="shared" si="1104"/>
        <v>装备</v>
      </c>
      <c r="D848" s="8">
        <v>40500090</v>
      </c>
      <c r="E848" s="8"/>
      <c r="F848" s="8">
        <v>1</v>
      </c>
      <c r="G848" s="7">
        <f>3*INDEX([1]equip.xml!$I:$I,MATCH(D848&amp;"",[1]equip.xml!$A:$A,0))</f>
        <v>150000</v>
      </c>
      <c r="H848" s="8" t="str">
        <f t="shared" si="1056"/>
        <v>10_10,50_20,80_30</v>
      </c>
      <c r="I848" s="8">
        <f t="shared" si="1057"/>
        <v>6</v>
      </c>
      <c r="J848" s="8">
        <f t="shared" si="1057"/>
        <v>50</v>
      </c>
      <c r="K848" s="7" t="s">
        <v>311</v>
      </c>
      <c r="L848" s="8">
        <v>36</v>
      </c>
      <c r="M848" s="7">
        <f>IF(INDEX([1]equip.xml!$B:$B,MATCH(D848&amp;"",[1]equip.xml!$A:$A,0))=0,0,N848)</f>
        <v>32</v>
      </c>
      <c r="N848" s="8">
        <f t="shared" si="1101"/>
        <v>32</v>
      </c>
    </row>
    <row r="849" spans="1:14">
      <c r="A849" s="8">
        <v>10014</v>
      </c>
      <c r="B849" s="8">
        <f t="shared" ref="B849:C849" si="1105">B761</f>
        <v>40000</v>
      </c>
      <c r="C849" s="8" t="str">
        <f t="shared" si="1105"/>
        <v>装备</v>
      </c>
      <c r="D849" s="8">
        <v>40500100</v>
      </c>
      <c r="E849" s="8"/>
      <c r="F849" s="8">
        <v>1</v>
      </c>
      <c r="G849" s="7">
        <f>3*INDEX([1]equip.xml!$I:$I,MATCH(D849&amp;"",[1]equip.xml!$A:$A,0))</f>
        <v>150000</v>
      </c>
      <c r="H849" s="8" t="str">
        <f t="shared" si="1056"/>
        <v>10_10,50_20,80_30</v>
      </c>
      <c r="I849" s="8">
        <f t="shared" si="1057"/>
        <v>6</v>
      </c>
      <c r="J849" s="8">
        <f t="shared" si="1057"/>
        <v>50</v>
      </c>
      <c r="K849" s="7" t="s">
        <v>311</v>
      </c>
      <c r="L849" s="8">
        <v>36</v>
      </c>
      <c r="M849" s="7">
        <f>IF(INDEX([1]equip.xml!$B:$B,MATCH(D849&amp;"",[1]equip.xml!$A:$A,0))=0,0,N849)</f>
        <v>32</v>
      </c>
      <c r="N849" s="8">
        <f t="shared" si="1101"/>
        <v>32</v>
      </c>
    </row>
    <row r="850" spans="1:14">
      <c r="A850" s="8">
        <v>10014</v>
      </c>
      <c r="B850" s="8">
        <f t="shared" ref="B850:C850" si="1106">B762</f>
        <v>40000</v>
      </c>
      <c r="C850" s="8" t="str">
        <f t="shared" si="1106"/>
        <v>装备</v>
      </c>
      <c r="D850" s="8">
        <v>40501050</v>
      </c>
      <c r="E850" s="8"/>
      <c r="F850" s="8">
        <v>1</v>
      </c>
      <c r="G850" s="7">
        <f>3*INDEX([1]equip.xml!$I:$I,MATCH(D850&amp;"",[1]equip.xml!$A:$A,0))</f>
        <v>150000</v>
      </c>
      <c r="H850" s="8" t="str">
        <f t="shared" si="1056"/>
        <v>10_10,50_20,80_30</v>
      </c>
      <c r="I850" s="8">
        <f t="shared" si="1057"/>
        <v>6</v>
      </c>
      <c r="J850" s="8">
        <f t="shared" si="1057"/>
        <v>50</v>
      </c>
      <c r="K850" s="7" t="s">
        <v>311</v>
      </c>
      <c r="L850" s="8">
        <v>36</v>
      </c>
      <c r="M850" s="7">
        <f>IF(INDEX([1]equip.xml!$B:$B,MATCH(D850&amp;"",[1]equip.xml!$A:$A,0))=0,0,N850)</f>
        <v>32</v>
      </c>
      <c r="N850" s="8">
        <f t="shared" si="1101"/>
        <v>32</v>
      </c>
    </row>
    <row r="851" spans="1:14">
      <c r="A851" s="8">
        <v>10014</v>
      </c>
      <c r="B851" s="8">
        <f t="shared" ref="B851:C851" si="1107">B763</f>
        <v>40000</v>
      </c>
      <c r="C851" s="8" t="str">
        <f t="shared" si="1107"/>
        <v>装备</v>
      </c>
      <c r="D851" s="8">
        <v>40501051</v>
      </c>
      <c r="E851" s="8"/>
      <c r="F851" s="8">
        <v>1</v>
      </c>
      <c r="G851" s="7">
        <f>3*INDEX([1]equip.xml!$I:$I,MATCH(D851&amp;"",[1]equip.xml!$A:$A,0))</f>
        <v>159000</v>
      </c>
      <c r="H851" s="8" t="str">
        <f t="shared" si="1056"/>
        <v>10_10,50_20,80_30</v>
      </c>
      <c r="I851" s="8">
        <f t="shared" si="1057"/>
        <v>6</v>
      </c>
      <c r="J851" s="8">
        <f t="shared" si="1057"/>
        <v>50</v>
      </c>
      <c r="K851" s="7" t="s">
        <v>311</v>
      </c>
      <c r="L851" s="8">
        <v>36</v>
      </c>
      <c r="M851" s="7">
        <f>IF(INDEX([1]equip.xml!$B:$B,MATCH(D851&amp;"",[1]equip.xml!$A:$A,0))=0,0,N851)</f>
        <v>32</v>
      </c>
      <c r="N851" s="8">
        <f t="shared" si="1101"/>
        <v>32</v>
      </c>
    </row>
    <row r="852" spans="1:14">
      <c r="A852" s="8">
        <v>10014</v>
      </c>
      <c r="B852" s="8">
        <f t="shared" ref="B852:C852" si="1108">B764</f>
        <v>40000</v>
      </c>
      <c r="C852" s="8" t="str">
        <f t="shared" si="1108"/>
        <v>装备</v>
      </c>
      <c r="D852" s="8">
        <v>40501060</v>
      </c>
      <c r="E852" s="8"/>
      <c r="F852" s="8">
        <v>1</v>
      </c>
      <c r="G852" s="7">
        <f>3*INDEX([1]equip.xml!$I:$I,MATCH(D852&amp;"",[1]equip.xml!$A:$A,0))</f>
        <v>150000</v>
      </c>
      <c r="H852" s="8" t="str">
        <f t="shared" si="1056"/>
        <v>10_10,50_20,80_30</v>
      </c>
      <c r="I852" s="8">
        <f t="shared" si="1057"/>
        <v>6</v>
      </c>
      <c r="J852" s="8">
        <f t="shared" si="1057"/>
        <v>50</v>
      </c>
      <c r="K852" s="7" t="s">
        <v>311</v>
      </c>
      <c r="L852" s="8">
        <v>36</v>
      </c>
      <c r="M852" s="7">
        <f>IF(INDEX([1]equip.xml!$B:$B,MATCH(D852&amp;"",[1]equip.xml!$A:$A,0))=0,0,N852)</f>
        <v>32</v>
      </c>
      <c r="N852" s="8">
        <f t="shared" si="1101"/>
        <v>32</v>
      </c>
    </row>
    <row r="853" spans="1:14">
      <c r="A853" s="8">
        <v>10014</v>
      </c>
      <c r="B853" s="8">
        <f t="shared" ref="B853:C853" si="1109">B765</f>
        <v>40000</v>
      </c>
      <c r="C853" s="8" t="str">
        <f t="shared" si="1109"/>
        <v>装备</v>
      </c>
      <c r="D853" s="8">
        <v>40501061</v>
      </c>
      <c r="E853" s="8"/>
      <c r="F853" s="8">
        <v>1</v>
      </c>
      <c r="G853" s="7">
        <f>3*INDEX([1]equip.xml!$I:$I,MATCH(D853&amp;"",[1]equip.xml!$A:$A,0))</f>
        <v>159000</v>
      </c>
      <c r="H853" s="8" t="str">
        <f t="shared" si="1056"/>
        <v>10_10,50_20,80_30</v>
      </c>
      <c r="I853" s="8">
        <f t="shared" si="1057"/>
        <v>6</v>
      </c>
      <c r="J853" s="8">
        <f t="shared" si="1057"/>
        <v>50</v>
      </c>
      <c r="K853" s="7" t="s">
        <v>311</v>
      </c>
      <c r="L853" s="8">
        <v>36</v>
      </c>
      <c r="M853" s="7">
        <f>IF(INDEX([1]equip.xml!$B:$B,MATCH(D853&amp;"",[1]equip.xml!$A:$A,0))=0,0,N853)</f>
        <v>32</v>
      </c>
      <c r="N853" s="8">
        <f t="shared" si="1101"/>
        <v>32</v>
      </c>
    </row>
    <row r="854" spans="1:14">
      <c r="A854" s="8">
        <v>10014</v>
      </c>
      <c r="B854" s="8">
        <f t="shared" ref="B854:C854" si="1110">B766</f>
        <v>40000</v>
      </c>
      <c r="C854" s="8" t="str">
        <f t="shared" si="1110"/>
        <v>装备</v>
      </c>
      <c r="D854" s="8">
        <v>40502050</v>
      </c>
      <c r="E854" s="8"/>
      <c r="F854" s="8">
        <v>1</v>
      </c>
      <c r="G854" s="7">
        <f>3*INDEX([1]equip.xml!$I:$I,MATCH(D854&amp;"",[1]equip.xml!$A:$A,0))</f>
        <v>150000</v>
      </c>
      <c r="H854" s="8" t="str">
        <f t="shared" si="1056"/>
        <v>10_10,50_20,80_30</v>
      </c>
      <c r="I854" s="8">
        <f t="shared" si="1057"/>
        <v>6</v>
      </c>
      <c r="J854" s="8">
        <f t="shared" si="1057"/>
        <v>50</v>
      </c>
      <c r="K854" s="7" t="s">
        <v>311</v>
      </c>
      <c r="L854" s="8">
        <v>36</v>
      </c>
      <c r="M854" s="7">
        <f>IF(INDEX([1]equip.xml!$B:$B,MATCH(D854&amp;"",[1]equip.xml!$A:$A,0))=0,0,N854)</f>
        <v>32</v>
      </c>
      <c r="N854" s="8">
        <f t="shared" si="1101"/>
        <v>32</v>
      </c>
    </row>
    <row r="855" spans="1:14">
      <c r="A855" s="8">
        <v>10014</v>
      </c>
      <c r="B855" s="8">
        <f t="shared" ref="B855:C855" si="1111">B767</f>
        <v>40000</v>
      </c>
      <c r="C855" s="8" t="str">
        <f t="shared" si="1111"/>
        <v>装备</v>
      </c>
      <c r="D855" s="8">
        <v>40502051</v>
      </c>
      <c r="E855" s="8"/>
      <c r="F855" s="8">
        <v>1</v>
      </c>
      <c r="G855" s="7">
        <f>3*INDEX([1]equip.xml!$I:$I,MATCH(D855&amp;"",[1]equip.xml!$A:$A,0))</f>
        <v>159000</v>
      </c>
      <c r="H855" s="8" t="str">
        <f t="shared" si="1056"/>
        <v>10_10,50_20,80_30</v>
      </c>
      <c r="I855" s="8">
        <f t="shared" si="1057"/>
        <v>6</v>
      </c>
      <c r="J855" s="8">
        <f t="shared" si="1057"/>
        <v>50</v>
      </c>
      <c r="K855" s="7" t="s">
        <v>311</v>
      </c>
      <c r="L855" s="8">
        <v>36</v>
      </c>
      <c r="M855" s="7">
        <f>IF(INDEX([1]equip.xml!$B:$B,MATCH(D855&amp;"",[1]equip.xml!$A:$A,0))=0,0,N855)</f>
        <v>32</v>
      </c>
      <c r="N855" s="8">
        <f t="shared" si="1101"/>
        <v>32</v>
      </c>
    </row>
    <row r="856" spans="1:14">
      <c r="A856" s="8">
        <v>10014</v>
      </c>
      <c r="B856" s="8">
        <f t="shared" ref="B856:C856" si="1112">B768</f>
        <v>40000</v>
      </c>
      <c r="C856" s="8" t="str">
        <f t="shared" si="1112"/>
        <v>装备</v>
      </c>
      <c r="D856" s="8">
        <v>40502060</v>
      </c>
      <c r="E856" s="8"/>
      <c r="F856" s="8">
        <v>1</v>
      </c>
      <c r="G856" s="7">
        <f>3*INDEX([1]equip.xml!$I:$I,MATCH(D856&amp;"",[1]equip.xml!$A:$A,0))</f>
        <v>150000</v>
      </c>
      <c r="H856" s="8" t="str">
        <f t="shared" si="1056"/>
        <v>10_10,50_20,80_30</v>
      </c>
      <c r="I856" s="8">
        <f t="shared" si="1057"/>
        <v>6</v>
      </c>
      <c r="J856" s="8">
        <f t="shared" si="1057"/>
        <v>50</v>
      </c>
      <c r="K856" s="7" t="s">
        <v>311</v>
      </c>
      <c r="L856" s="8">
        <v>36</v>
      </c>
      <c r="M856" s="7">
        <f>IF(INDEX([1]equip.xml!$B:$B,MATCH(D856&amp;"",[1]equip.xml!$A:$A,0))=0,0,N856)</f>
        <v>32</v>
      </c>
      <c r="N856" s="8">
        <f t="shared" si="1101"/>
        <v>32</v>
      </c>
    </row>
    <row r="857" spans="1:14">
      <c r="A857" s="8">
        <v>10014</v>
      </c>
      <c r="B857" s="8">
        <f t="shared" ref="B857:C857" si="1113">B769</f>
        <v>40000</v>
      </c>
      <c r="C857" s="8" t="str">
        <f t="shared" si="1113"/>
        <v>装备</v>
      </c>
      <c r="D857" s="8">
        <v>40502061</v>
      </c>
      <c r="E857" s="8"/>
      <c r="F857" s="8">
        <v>1</v>
      </c>
      <c r="G857" s="7">
        <f>3*INDEX([1]equip.xml!$I:$I,MATCH(D857&amp;"",[1]equip.xml!$A:$A,0))</f>
        <v>159000</v>
      </c>
      <c r="H857" s="8" t="str">
        <f t="shared" si="1056"/>
        <v>10_10,50_20,80_30</v>
      </c>
      <c r="I857" s="8">
        <f t="shared" si="1057"/>
        <v>6</v>
      </c>
      <c r="J857" s="8">
        <f t="shared" si="1057"/>
        <v>50</v>
      </c>
      <c r="K857" s="7" t="s">
        <v>311</v>
      </c>
      <c r="L857" s="8">
        <v>36</v>
      </c>
      <c r="M857" s="7">
        <f>IF(INDEX([1]equip.xml!$B:$B,MATCH(D857&amp;"",[1]equip.xml!$A:$A,0))=0,0,N857)</f>
        <v>32</v>
      </c>
      <c r="N857" s="8">
        <f t="shared" si="1101"/>
        <v>32</v>
      </c>
    </row>
    <row r="858" spans="1:14">
      <c r="A858" s="8">
        <v>10014</v>
      </c>
      <c r="B858" s="8">
        <f t="shared" ref="B858:C858" si="1114">B770</f>
        <v>40000</v>
      </c>
      <c r="C858" s="8" t="str">
        <f t="shared" si="1114"/>
        <v>装备</v>
      </c>
      <c r="D858" s="8">
        <v>40503050</v>
      </c>
      <c r="E858" s="8"/>
      <c r="F858" s="8">
        <v>1</v>
      </c>
      <c r="G858" s="7">
        <f>3*INDEX([1]equip.xml!$I:$I,MATCH(D858&amp;"",[1]equip.xml!$A:$A,0))</f>
        <v>150000</v>
      </c>
      <c r="H858" s="8" t="str">
        <f t="shared" si="1056"/>
        <v>10_10,50_20,80_30</v>
      </c>
      <c r="I858" s="8">
        <f t="shared" si="1057"/>
        <v>6</v>
      </c>
      <c r="J858" s="8">
        <f t="shared" si="1057"/>
        <v>50</v>
      </c>
      <c r="K858" s="7" t="s">
        <v>311</v>
      </c>
      <c r="L858" s="8">
        <v>36</v>
      </c>
      <c r="M858" s="7">
        <f>IF(INDEX([1]equip.xml!$B:$B,MATCH(D858&amp;"",[1]equip.xml!$A:$A,0))=0,0,N858)</f>
        <v>32</v>
      </c>
      <c r="N858" s="8">
        <f t="shared" si="1101"/>
        <v>32</v>
      </c>
    </row>
    <row r="859" spans="1:14">
      <c r="A859" s="8">
        <v>10014</v>
      </c>
      <c r="B859" s="8">
        <f t="shared" ref="B859:C859" si="1115">B771</f>
        <v>40000</v>
      </c>
      <c r="C859" s="8" t="str">
        <f t="shared" si="1115"/>
        <v>装备</v>
      </c>
      <c r="D859" s="8">
        <v>40503051</v>
      </c>
      <c r="E859" s="8"/>
      <c r="F859" s="8">
        <v>1</v>
      </c>
      <c r="G859" s="7">
        <f>3*INDEX([1]equip.xml!$I:$I,MATCH(D859&amp;"",[1]equip.xml!$A:$A,0))</f>
        <v>159000</v>
      </c>
      <c r="H859" s="8" t="str">
        <f t="shared" si="1056"/>
        <v>10_10,50_20,80_30</v>
      </c>
      <c r="I859" s="8">
        <f t="shared" si="1057"/>
        <v>6</v>
      </c>
      <c r="J859" s="8">
        <f t="shared" si="1057"/>
        <v>50</v>
      </c>
      <c r="K859" s="7" t="s">
        <v>311</v>
      </c>
      <c r="L859" s="8">
        <v>36</v>
      </c>
      <c r="M859" s="7">
        <f>IF(INDEX([1]equip.xml!$B:$B,MATCH(D859&amp;"",[1]equip.xml!$A:$A,0))=0,0,N859)</f>
        <v>32</v>
      </c>
      <c r="N859" s="8">
        <f t="shared" si="1101"/>
        <v>32</v>
      </c>
    </row>
    <row r="860" spans="1:14">
      <c r="A860" s="8">
        <v>10014</v>
      </c>
      <c r="B860" s="8">
        <f t="shared" ref="B860:C860" si="1116">B772</f>
        <v>40000</v>
      </c>
      <c r="C860" s="8" t="str">
        <f t="shared" si="1116"/>
        <v>装备</v>
      </c>
      <c r="D860" s="8">
        <v>40503060</v>
      </c>
      <c r="E860" s="8"/>
      <c r="F860" s="8">
        <v>1</v>
      </c>
      <c r="G860" s="7">
        <f>3*INDEX([1]equip.xml!$I:$I,MATCH(D860&amp;"",[1]equip.xml!$A:$A,0))</f>
        <v>150000</v>
      </c>
      <c r="H860" s="8" t="str">
        <f t="shared" si="1056"/>
        <v>10_10,50_20,80_30</v>
      </c>
      <c r="I860" s="8">
        <f t="shared" si="1057"/>
        <v>6</v>
      </c>
      <c r="J860" s="8">
        <f t="shared" si="1057"/>
        <v>50</v>
      </c>
      <c r="K860" s="7" t="s">
        <v>311</v>
      </c>
      <c r="L860" s="8">
        <v>36</v>
      </c>
      <c r="M860" s="7">
        <f>IF(INDEX([1]equip.xml!$B:$B,MATCH(D860&amp;"",[1]equip.xml!$A:$A,0))=0,0,N860)</f>
        <v>32</v>
      </c>
      <c r="N860" s="8">
        <f t="shared" si="1101"/>
        <v>32</v>
      </c>
    </row>
    <row r="861" spans="1:14">
      <c r="A861" s="8">
        <v>10014</v>
      </c>
      <c r="B861" s="8">
        <f t="shared" ref="B861:C861" si="1117">B773</f>
        <v>40000</v>
      </c>
      <c r="C861" s="8" t="str">
        <f t="shared" si="1117"/>
        <v>装备</v>
      </c>
      <c r="D861" s="8">
        <v>40503061</v>
      </c>
      <c r="E861" s="8"/>
      <c r="F861" s="8">
        <v>1</v>
      </c>
      <c r="G861" s="7">
        <f>3*INDEX([1]equip.xml!$I:$I,MATCH(D861&amp;"",[1]equip.xml!$A:$A,0))</f>
        <v>159000</v>
      </c>
      <c r="H861" s="8" t="str">
        <f t="shared" si="1056"/>
        <v>10_10,50_20,80_30</v>
      </c>
      <c r="I861" s="8">
        <f t="shared" si="1057"/>
        <v>6</v>
      </c>
      <c r="J861" s="8">
        <f t="shared" si="1057"/>
        <v>50</v>
      </c>
      <c r="K861" s="7" t="s">
        <v>311</v>
      </c>
      <c r="L861" s="8">
        <v>36</v>
      </c>
      <c r="M861" s="7">
        <f>IF(INDEX([1]equip.xml!$B:$B,MATCH(D861&amp;"",[1]equip.xml!$A:$A,0))=0,0,N861)</f>
        <v>32</v>
      </c>
      <c r="N861" s="8">
        <f t="shared" si="1101"/>
        <v>32</v>
      </c>
    </row>
    <row r="862" spans="1:14">
      <c r="A862" s="8">
        <v>10014</v>
      </c>
      <c r="B862" s="8">
        <f t="shared" ref="B862:C862" si="1118">B774</f>
        <v>40000</v>
      </c>
      <c r="C862" s="8" t="str">
        <f t="shared" si="1118"/>
        <v>装备</v>
      </c>
      <c r="D862" s="8">
        <v>40500040</v>
      </c>
      <c r="E862" s="8"/>
      <c r="F862" s="8">
        <v>1</v>
      </c>
      <c r="G862" s="7">
        <f>3*INDEX([1]equip.xml!$I:$I,MATCH(D862&amp;"",[1]equip.xml!$A:$A,0))</f>
        <v>150000</v>
      </c>
      <c r="H862" s="8" t="str">
        <f t="shared" si="1056"/>
        <v>10_10,50_20,80_30</v>
      </c>
      <c r="I862" s="8">
        <f t="shared" si="1057"/>
        <v>6</v>
      </c>
      <c r="J862" s="8">
        <f t="shared" si="1057"/>
        <v>50</v>
      </c>
      <c r="K862" s="7" t="s">
        <v>311</v>
      </c>
      <c r="L862" s="8">
        <v>36</v>
      </c>
      <c r="M862" s="7">
        <f>IF(INDEX([1]equip.xml!$B:$B,MATCH(D862&amp;"",[1]equip.xml!$A:$A,0))=0,0,N862)</f>
        <v>32</v>
      </c>
      <c r="N862" s="8">
        <f t="shared" si="1101"/>
        <v>32</v>
      </c>
    </row>
    <row r="863" spans="1:14">
      <c r="A863" s="8">
        <v>10014</v>
      </c>
      <c r="B863" s="8">
        <f t="shared" ref="B863:C863" si="1119">B775</f>
        <v>40000</v>
      </c>
      <c r="C863" s="8" t="str">
        <f t="shared" si="1119"/>
        <v>装备</v>
      </c>
      <c r="D863" s="8">
        <v>40500041</v>
      </c>
      <c r="E863" s="8"/>
      <c r="F863" s="8">
        <v>1</v>
      </c>
      <c r="G863" s="7">
        <f>3*INDEX([1]equip.xml!$I:$I,MATCH(D863&amp;"",[1]equip.xml!$A:$A,0))</f>
        <v>159000</v>
      </c>
      <c r="H863" s="8" t="str">
        <f t="shared" si="1056"/>
        <v>10_10,50_20,80_30</v>
      </c>
      <c r="I863" s="8">
        <f t="shared" si="1057"/>
        <v>6</v>
      </c>
      <c r="J863" s="8">
        <f t="shared" si="1057"/>
        <v>50</v>
      </c>
      <c r="K863" s="7" t="s">
        <v>311</v>
      </c>
      <c r="L863" s="8">
        <v>36</v>
      </c>
      <c r="M863" s="7">
        <f>IF(INDEX([1]equip.xml!$B:$B,MATCH(D863&amp;"",[1]equip.xml!$A:$A,0))=0,0,N863)</f>
        <v>0</v>
      </c>
      <c r="N863" s="8">
        <f t="shared" si="1101"/>
        <v>32</v>
      </c>
    </row>
    <row r="864" spans="1:14">
      <c r="A864" s="8">
        <v>10014</v>
      </c>
      <c r="B864" s="8">
        <f t="shared" ref="B864:C864" si="1120">B776</f>
        <v>40000</v>
      </c>
      <c r="C864" s="8" t="str">
        <f t="shared" si="1120"/>
        <v>装备</v>
      </c>
      <c r="D864" s="8">
        <v>40500070</v>
      </c>
      <c r="E864" s="8"/>
      <c r="F864" s="8">
        <v>1</v>
      </c>
      <c r="G864" s="7">
        <f>3*INDEX([1]equip.xml!$I:$I,MATCH(D864&amp;"",[1]equip.xml!$A:$A,0))</f>
        <v>150000</v>
      </c>
      <c r="H864" s="8" t="str">
        <f t="shared" si="1056"/>
        <v>10_10,50_20,80_30</v>
      </c>
      <c r="I864" s="8">
        <f t="shared" si="1057"/>
        <v>6</v>
      </c>
      <c r="J864" s="8">
        <f t="shared" si="1057"/>
        <v>50</v>
      </c>
      <c r="K864" s="7" t="s">
        <v>311</v>
      </c>
      <c r="L864" s="8">
        <v>36</v>
      </c>
      <c r="M864" s="7">
        <f>IF(INDEX([1]equip.xml!$B:$B,MATCH(D864&amp;"",[1]equip.xml!$A:$A,0))=0,0,N864)</f>
        <v>32</v>
      </c>
      <c r="N864" s="8">
        <f t="shared" si="1101"/>
        <v>32</v>
      </c>
    </row>
    <row r="865" spans="1:14">
      <c r="A865" s="8">
        <v>10014</v>
      </c>
      <c r="B865" s="8">
        <f t="shared" ref="B865:C865" si="1121">B777</f>
        <v>40000</v>
      </c>
      <c r="C865" s="8" t="str">
        <f t="shared" si="1121"/>
        <v>装备</v>
      </c>
      <c r="D865" s="8">
        <v>40500071</v>
      </c>
      <c r="E865" s="8"/>
      <c r="F865" s="8">
        <v>1</v>
      </c>
      <c r="G865" s="7">
        <f>3*INDEX([1]equip.xml!$I:$I,MATCH(D865&amp;"",[1]equip.xml!$A:$A,0))</f>
        <v>159000</v>
      </c>
      <c r="H865" s="8" t="str">
        <f t="shared" si="1056"/>
        <v>10_10,50_20,80_30</v>
      </c>
      <c r="I865" s="8">
        <f t="shared" si="1057"/>
        <v>6</v>
      </c>
      <c r="J865" s="8">
        <f t="shared" si="1057"/>
        <v>50</v>
      </c>
      <c r="K865" s="7" t="s">
        <v>311</v>
      </c>
      <c r="L865" s="8">
        <v>36</v>
      </c>
      <c r="M865" s="7">
        <f>IF(INDEX([1]equip.xml!$B:$B,MATCH(D865&amp;"",[1]equip.xml!$A:$A,0))=0,0,N865)</f>
        <v>0</v>
      </c>
      <c r="N865" s="8">
        <f t="shared" si="1101"/>
        <v>32</v>
      </c>
    </row>
    <row r="866" spans="1:14">
      <c r="A866" s="8">
        <v>10014</v>
      </c>
      <c r="B866" s="8">
        <f t="shared" ref="B866:C866" si="1122">B778</f>
        <v>40000</v>
      </c>
      <c r="C866" s="8" t="str">
        <f t="shared" si="1122"/>
        <v>装备</v>
      </c>
      <c r="D866" s="7">
        <f>D822+10000005</f>
        <v>50450015</v>
      </c>
      <c r="E866" s="8"/>
      <c r="F866" s="8">
        <v>1</v>
      </c>
      <c r="G866" s="8">
        <f>3*INDEX([1]equip.xml!$I:$I,MATCH(D866,[1]equip.xml!$A:$A,0))</f>
        <v>270000</v>
      </c>
      <c r="H866" s="8" t="str">
        <f t="shared" si="1056"/>
        <v>10_10,50_20,80_30</v>
      </c>
      <c r="I866" s="8">
        <v>4</v>
      </c>
      <c r="J866" s="8">
        <f t="shared" si="1057"/>
        <v>240</v>
      </c>
      <c r="K866" s="7" t="s">
        <v>311</v>
      </c>
      <c r="L866" s="8">
        <v>36</v>
      </c>
      <c r="M866" s="7">
        <f>IF(INDEX([1]equip.xml!$B:$B,MATCH(D866,[1]equip.xml!$A:$A,0))=0,0,N866)</f>
        <v>70</v>
      </c>
      <c r="N866" s="8">
        <f t="shared" ref="N866" si="1123">N778</f>
        <v>70</v>
      </c>
    </row>
    <row r="867" spans="1:14">
      <c r="A867" s="8">
        <v>10014</v>
      </c>
      <c r="B867" s="8">
        <f t="shared" ref="B867:C867" si="1124">B779</f>
        <v>40000</v>
      </c>
      <c r="C867" s="8" t="str">
        <f t="shared" si="1124"/>
        <v>装备</v>
      </c>
      <c r="D867" s="7">
        <f t="shared" ref="D867:D909" si="1125">D823+10000005</f>
        <v>50450025</v>
      </c>
      <c r="E867" s="8"/>
      <c r="F867" s="8">
        <v>1</v>
      </c>
      <c r="G867" s="8">
        <f>3*INDEX([1]equip.xml!$I:$I,MATCH(D867,[1]equip.xml!$A:$A,0))</f>
        <v>270000</v>
      </c>
      <c r="H867" s="8" t="str">
        <f t="shared" si="1056"/>
        <v>10_10,50_20,80_30</v>
      </c>
      <c r="I867" s="8">
        <v>4</v>
      </c>
      <c r="J867" s="8">
        <f t="shared" si="1057"/>
        <v>240</v>
      </c>
      <c r="K867" s="7" t="s">
        <v>311</v>
      </c>
      <c r="L867" s="8">
        <v>36</v>
      </c>
      <c r="M867" s="7">
        <f>IF(INDEX([1]equip.xml!$B:$B,MATCH(D867,[1]equip.xml!$A:$A,0))=0,0,N867)</f>
        <v>70</v>
      </c>
      <c r="N867" s="8">
        <f t="shared" ref="N867" si="1126">N779</f>
        <v>70</v>
      </c>
    </row>
    <row r="868" spans="1:14">
      <c r="A868" s="8">
        <v>10014</v>
      </c>
      <c r="B868" s="8">
        <f t="shared" ref="B868:C868" si="1127">B780</f>
        <v>40000</v>
      </c>
      <c r="C868" s="8" t="str">
        <f t="shared" si="1127"/>
        <v>装备</v>
      </c>
      <c r="D868" s="7">
        <f t="shared" si="1125"/>
        <v>50450035</v>
      </c>
      <c r="E868" s="8"/>
      <c r="F868" s="8">
        <v>1</v>
      </c>
      <c r="G868" s="8">
        <f>3*INDEX([1]equip.xml!$I:$I,MATCH(D868,[1]equip.xml!$A:$A,0))</f>
        <v>270000</v>
      </c>
      <c r="H868" s="8" t="str">
        <f t="shared" si="1056"/>
        <v>10_10,50_20,80_30</v>
      </c>
      <c r="I868" s="8">
        <v>4</v>
      </c>
      <c r="J868" s="8">
        <f t="shared" si="1057"/>
        <v>240</v>
      </c>
      <c r="K868" s="7" t="s">
        <v>311</v>
      </c>
      <c r="L868" s="8">
        <v>36</v>
      </c>
      <c r="M868" s="7">
        <f>IF(INDEX([1]equip.xml!$B:$B,MATCH(D868,[1]equip.xml!$A:$A,0))=0,0,N868)</f>
        <v>70</v>
      </c>
      <c r="N868" s="8">
        <f t="shared" ref="N868" si="1128">N780</f>
        <v>70</v>
      </c>
    </row>
    <row r="869" spans="1:14">
      <c r="A869" s="8">
        <v>10014</v>
      </c>
      <c r="B869" s="8">
        <f t="shared" ref="B869:C869" si="1129">B781</f>
        <v>40000</v>
      </c>
      <c r="C869" s="8" t="str">
        <f t="shared" si="1129"/>
        <v>装备</v>
      </c>
      <c r="D869" s="7">
        <f t="shared" si="1125"/>
        <v>50450085</v>
      </c>
      <c r="E869" s="8"/>
      <c r="F869" s="8">
        <v>1</v>
      </c>
      <c r="G869" s="8">
        <f>3*INDEX([1]equip.xml!$I:$I,MATCH(D869,[1]equip.xml!$A:$A,0))</f>
        <v>270000</v>
      </c>
      <c r="H869" s="8" t="str">
        <f t="shared" si="1056"/>
        <v>10_10,50_20,80_30</v>
      </c>
      <c r="I869" s="8">
        <v>4</v>
      </c>
      <c r="J869" s="8">
        <f t="shared" si="1057"/>
        <v>240</v>
      </c>
      <c r="K869" s="7" t="s">
        <v>311</v>
      </c>
      <c r="L869" s="8">
        <v>36</v>
      </c>
      <c r="M869" s="7">
        <f>IF(INDEX([1]equip.xml!$B:$B,MATCH(D869,[1]equip.xml!$A:$A,0))=0,0,N869)</f>
        <v>70</v>
      </c>
      <c r="N869" s="8">
        <f t="shared" ref="N869" si="1130">N781</f>
        <v>70</v>
      </c>
    </row>
    <row r="870" spans="1:14">
      <c r="A870" s="8">
        <v>10014</v>
      </c>
      <c r="B870" s="8">
        <f t="shared" ref="B870:C870" si="1131">B782</f>
        <v>40000</v>
      </c>
      <c r="C870" s="8" t="str">
        <f t="shared" si="1131"/>
        <v>装备</v>
      </c>
      <c r="D870" s="7">
        <f t="shared" si="1125"/>
        <v>50450095</v>
      </c>
      <c r="E870" s="8"/>
      <c r="F870" s="8">
        <v>1</v>
      </c>
      <c r="G870" s="8">
        <f>3*INDEX([1]equip.xml!$I:$I,MATCH(D870,[1]equip.xml!$A:$A,0))</f>
        <v>270000</v>
      </c>
      <c r="H870" s="8" t="str">
        <f t="shared" si="1056"/>
        <v>10_10,50_20,80_30</v>
      </c>
      <c r="I870" s="8">
        <v>4</v>
      </c>
      <c r="J870" s="8">
        <f t="shared" si="1057"/>
        <v>240</v>
      </c>
      <c r="K870" s="7" t="s">
        <v>311</v>
      </c>
      <c r="L870" s="8">
        <v>36</v>
      </c>
      <c r="M870" s="7">
        <f>IF(INDEX([1]equip.xml!$B:$B,MATCH(D870,[1]equip.xml!$A:$A,0))=0,0,N870)</f>
        <v>70</v>
      </c>
      <c r="N870" s="8">
        <f t="shared" ref="N870" si="1132">N782</f>
        <v>70</v>
      </c>
    </row>
    <row r="871" spans="1:14">
      <c r="A871" s="8">
        <v>10014</v>
      </c>
      <c r="B871" s="8">
        <f t="shared" ref="B871:C871" si="1133">B783</f>
        <v>40000</v>
      </c>
      <c r="C871" s="8" t="str">
        <f t="shared" si="1133"/>
        <v>装备</v>
      </c>
      <c r="D871" s="7">
        <f t="shared" si="1125"/>
        <v>50450105</v>
      </c>
      <c r="E871" s="8"/>
      <c r="F871" s="8">
        <v>1</v>
      </c>
      <c r="G871" s="8">
        <f>3*INDEX([1]equip.xml!$I:$I,MATCH(D871,[1]equip.xml!$A:$A,0))</f>
        <v>270000</v>
      </c>
      <c r="H871" s="8" t="str">
        <f t="shared" si="1056"/>
        <v>10_10,50_20,80_30</v>
      </c>
      <c r="I871" s="8">
        <v>4</v>
      </c>
      <c r="J871" s="8">
        <f t="shared" si="1057"/>
        <v>240</v>
      </c>
      <c r="K871" s="7" t="s">
        <v>311</v>
      </c>
      <c r="L871" s="8">
        <v>36</v>
      </c>
      <c r="M871" s="7">
        <f>IF(INDEX([1]equip.xml!$B:$B,MATCH(D871,[1]equip.xml!$A:$A,0))=0,0,N871)</f>
        <v>70</v>
      </c>
      <c r="N871" s="8">
        <f t="shared" ref="N871" si="1134">N783</f>
        <v>70</v>
      </c>
    </row>
    <row r="872" spans="1:14">
      <c r="A872" s="8">
        <v>10014</v>
      </c>
      <c r="B872" s="8">
        <f t="shared" ref="B872:C872" si="1135">B784</f>
        <v>40000</v>
      </c>
      <c r="C872" s="8" t="str">
        <f t="shared" si="1135"/>
        <v>装备</v>
      </c>
      <c r="D872" s="7">
        <f t="shared" si="1125"/>
        <v>50451055</v>
      </c>
      <c r="E872" s="8"/>
      <c r="F872" s="8">
        <v>1</v>
      </c>
      <c r="G872" s="8">
        <f>3*INDEX([1]equip.xml!$I:$I,MATCH(D872,[1]equip.xml!$A:$A,0))</f>
        <v>270000</v>
      </c>
      <c r="H872" s="8" t="str">
        <f t="shared" si="1056"/>
        <v>10_10,50_20,80_30</v>
      </c>
      <c r="I872" s="8">
        <v>4</v>
      </c>
      <c r="J872" s="8">
        <f t="shared" si="1057"/>
        <v>240</v>
      </c>
      <c r="K872" s="7" t="s">
        <v>311</v>
      </c>
      <c r="L872" s="8">
        <v>36</v>
      </c>
      <c r="M872" s="7">
        <f>IF(INDEX([1]equip.xml!$B:$B,MATCH(D872,[1]equip.xml!$A:$A,0))=0,0,N872)</f>
        <v>70</v>
      </c>
      <c r="N872" s="8">
        <f t="shared" ref="N872" si="1136">N784</f>
        <v>70</v>
      </c>
    </row>
    <row r="873" spans="1:14">
      <c r="A873" s="8">
        <v>10014</v>
      </c>
      <c r="B873" s="8">
        <f t="shared" ref="B873:C873" si="1137">B785</f>
        <v>40000</v>
      </c>
      <c r="C873" s="8" t="str">
        <f t="shared" si="1137"/>
        <v>装备</v>
      </c>
      <c r="D873" s="7">
        <f t="shared" si="1125"/>
        <v>50451056</v>
      </c>
      <c r="E873" s="8"/>
      <c r="F873" s="8">
        <v>1</v>
      </c>
      <c r="G873" s="8">
        <f>3*INDEX([1]equip.xml!$I:$I,MATCH(D873,[1]equip.xml!$A:$A,0))</f>
        <v>288000</v>
      </c>
      <c r="H873" s="8" t="str">
        <f t="shared" si="1056"/>
        <v>10_10,50_20,80_30</v>
      </c>
      <c r="I873" s="8">
        <v>4</v>
      </c>
      <c r="J873" s="8">
        <f t="shared" si="1057"/>
        <v>240</v>
      </c>
      <c r="K873" s="7" t="s">
        <v>311</v>
      </c>
      <c r="L873" s="8">
        <v>36</v>
      </c>
      <c r="M873" s="7">
        <f>IF(INDEX([1]equip.xml!$B:$B,MATCH(D873,[1]equip.xml!$A:$A,0))=0,0,N873)</f>
        <v>0</v>
      </c>
      <c r="N873" s="8">
        <f t="shared" ref="N873" si="1138">N785</f>
        <v>70</v>
      </c>
    </row>
    <row r="874" spans="1:14">
      <c r="A874" s="8">
        <v>10014</v>
      </c>
      <c r="B874" s="8">
        <f t="shared" ref="B874:C874" si="1139">B786</f>
        <v>40000</v>
      </c>
      <c r="C874" s="8" t="str">
        <f t="shared" si="1139"/>
        <v>装备</v>
      </c>
      <c r="D874" s="7">
        <f t="shared" si="1125"/>
        <v>50451065</v>
      </c>
      <c r="E874" s="8"/>
      <c r="F874" s="8">
        <v>1</v>
      </c>
      <c r="G874" s="8">
        <f>3*INDEX([1]equip.xml!$I:$I,MATCH(D874,[1]equip.xml!$A:$A,0))</f>
        <v>270000</v>
      </c>
      <c r="H874" s="8" t="str">
        <f t="shared" si="1056"/>
        <v>10_10,50_20,80_30</v>
      </c>
      <c r="I874" s="8">
        <v>4</v>
      </c>
      <c r="J874" s="8">
        <f t="shared" si="1057"/>
        <v>240</v>
      </c>
      <c r="K874" s="7" t="s">
        <v>311</v>
      </c>
      <c r="L874" s="8">
        <v>36</v>
      </c>
      <c r="M874" s="7">
        <f>IF(INDEX([1]equip.xml!$B:$B,MATCH(D874,[1]equip.xml!$A:$A,0))=0,0,N874)</f>
        <v>70</v>
      </c>
      <c r="N874" s="8">
        <f t="shared" ref="N874" si="1140">N786</f>
        <v>70</v>
      </c>
    </row>
    <row r="875" spans="1:14">
      <c r="A875" s="8">
        <v>10014</v>
      </c>
      <c r="B875" s="8">
        <f t="shared" ref="B875:C875" si="1141">B787</f>
        <v>40000</v>
      </c>
      <c r="C875" s="8" t="str">
        <f t="shared" si="1141"/>
        <v>装备</v>
      </c>
      <c r="D875" s="7">
        <f t="shared" si="1125"/>
        <v>50451066</v>
      </c>
      <c r="E875" s="8"/>
      <c r="F875" s="8">
        <v>1</v>
      </c>
      <c r="G875" s="8">
        <f>3*INDEX([1]equip.xml!$I:$I,MATCH(D875,[1]equip.xml!$A:$A,0))</f>
        <v>288000</v>
      </c>
      <c r="H875" s="8" t="str">
        <f t="shared" si="1056"/>
        <v>10_10,50_20,80_30</v>
      </c>
      <c r="I875" s="8">
        <v>4</v>
      </c>
      <c r="J875" s="8">
        <f t="shared" si="1057"/>
        <v>240</v>
      </c>
      <c r="K875" s="7" t="s">
        <v>311</v>
      </c>
      <c r="L875" s="8">
        <v>36</v>
      </c>
      <c r="M875" s="7">
        <f>IF(INDEX([1]equip.xml!$B:$B,MATCH(D875,[1]equip.xml!$A:$A,0))=0,0,N875)</f>
        <v>0</v>
      </c>
      <c r="N875" s="8">
        <f t="shared" ref="N875" si="1142">N787</f>
        <v>70</v>
      </c>
    </row>
    <row r="876" spans="1:14">
      <c r="A876" s="8">
        <v>10014</v>
      </c>
      <c r="B876" s="8">
        <f t="shared" ref="B876:C876" si="1143">B788</f>
        <v>40000</v>
      </c>
      <c r="C876" s="8" t="str">
        <f t="shared" si="1143"/>
        <v>装备</v>
      </c>
      <c r="D876" s="7">
        <f t="shared" si="1125"/>
        <v>50452055</v>
      </c>
      <c r="E876" s="8"/>
      <c r="F876" s="8">
        <v>1</v>
      </c>
      <c r="G876" s="8">
        <f>3*INDEX([1]equip.xml!$I:$I,MATCH(D876,[1]equip.xml!$A:$A,0))</f>
        <v>270000</v>
      </c>
      <c r="H876" s="8" t="str">
        <f t="shared" si="1056"/>
        <v>10_10,50_20,80_30</v>
      </c>
      <c r="I876" s="8">
        <v>4</v>
      </c>
      <c r="J876" s="8">
        <f t="shared" si="1057"/>
        <v>240</v>
      </c>
      <c r="K876" s="7" t="s">
        <v>311</v>
      </c>
      <c r="L876" s="8">
        <v>36</v>
      </c>
      <c r="M876" s="7">
        <f>IF(INDEX([1]equip.xml!$B:$B,MATCH(D876,[1]equip.xml!$A:$A,0))=0,0,N876)</f>
        <v>70</v>
      </c>
      <c r="N876" s="8">
        <f t="shared" ref="N876" si="1144">N788</f>
        <v>70</v>
      </c>
    </row>
    <row r="877" spans="1:14">
      <c r="A877" s="8">
        <v>10014</v>
      </c>
      <c r="B877" s="8">
        <f t="shared" ref="B877:C877" si="1145">B789</f>
        <v>40000</v>
      </c>
      <c r="C877" s="8" t="str">
        <f t="shared" si="1145"/>
        <v>装备</v>
      </c>
      <c r="D877" s="7">
        <f t="shared" si="1125"/>
        <v>50452056</v>
      </c>
      <c r="E877" s="8"/>
      <c r="F877" s="8">
        <v>1</v>
      </c>
      <c r="G877" s="8">
        <f>3*INDEX([1]equip.xml!$I:$I,MATCH(D877,[1]equip.xml!$A:$A,0))</f>
        <v>288000</v>
      </c>
      <c r="H877" s="8" t="str">
        <f t="shared" si="1056"/>
        <v>10_10,50_20,80_30</v>
      </c>
      <c r="I877" s="8">
        <v>4</v>
      </c>
      <c r="J877" s="8">
        <f t="shared" si="1057"/>
        <v>240</v>
      </c>
      <c r="K877" s="7" t="s">
        <v>311</v>
      </c>
      <c r="L877" s="8">
        <v>36</v>
      </c>
      <c r="M877" s="7">
        <f>IF(INDEX([1]equip.xml!$B:$B,MATCH(D877,[1]equip.xml!$A:$A,0))=0,0,N877)</f>
        <v>0</v>
      </c>
      <c r="N877" s="8">
        <f t="shared" ref="N877" si="1146">N789</f>
        <v>70</v>
      </c>
    </row>
    <row r="878" spans="1:14">
      <c r="A878" s="8">
        <v>10014</v>
      </c>
      <c r="B878" s="8">
        <f t="shared" ref="B878:C878" si="1147">B790</f>
        <v>40000</v>
      </c>
      <c r="C878" s="8" t="str">
        <f t="shared" si="1147"/>
        <v>装备</v>
      </c>
      <c r="D878" s="7">
        <f t="shared" si="1125"/>
        <v>50452065</v>
      </c>
      <c r="E878" s="8"/>
      <c r="F878" s="8">
        <v>1</v>
      </c>
      <c r="G878" s="8">
        <f>3*INDEX([1]equip.xml!$I:$I,MATCH(D878,[1]equip.xml!$A:$A,0))</f>
        <v>270000</v>
      </c>
      <c r="H878" s="8" t="str">
        <f t="shared" si="1056"/>
        <v>10_10,50_20,80_30</v>
      </c>
      <c r="I878" s="8">
        <v>4</v>
      </c>
      <c r="J878" s="8">
        <f t="shared" si="1057"/>
        <v>240</v>
      </c>
      <c r="K878" s="7" t="s">
        <v>311</v>
      </c>
      <c r="L878" s="8">
        <v>36</v>
      </c>
      <c r="M878" s="7">
        <f>IF(INDEX([1]equip.xml!$B:$B,MATCH(D878,[1]equip.xml!$A:$A,0))=0,0,N878)</f>
        <v>70</v>
      </c>
      <c r="N878" s="8">
        <f t="shared" ref="N878" si="1148">N790</f>
        <v>70</v>
      </c>
    </row>
    <row r="879" spans="1:14">
      <c r="A879" s="8">
        <v>10014</v>
      </c>
      <c r="B879" s="8">
        <f t="shared" ref="B879:C879" si="1149">B791</f>
        <v>40000</v>
      </c>
      <c r="C879" s="8" t="str">
        <f t="shared" si="1149"/>
        <v>装备</v>
      </c>
      <c r="D879" s="7">
        <f t="shared" si="1125"/>
        <v>50452066</v>
      </c>
      <c r="E879" s="8"/>
      <c r="F879" s="8">
        <v>1</v>
      </c>
      <c r="G879" s="8">
        <f>3*INDEX([1]equip.xml!$I:$I,MATCH(D879,[1]equip.xml!$A:$A,0))</f>
        <v>288000</v>
      </c>
      <c r="H879" s="8" t="str">
        <f t="shared" si="1056"/>
        <v>10_10,50_20,80_30</v>
      </c>
      <c r="I879" s="8">
        <v>4</v>
      </c>
      <c r="J879" s="8">
        <f t="shared" si="1057"/>
        <v>240</v>
      </c>
      <c r="K879" s="7" t="s">
        <v>311</v>
      </c>
      <c r="L879" s="8">
        <v>36</v>
      </c>
      <c r="M879" s="7">
        <f>IF(INDEX([1]equip.xml!$B:$B,MATCH(D879,[1]equip.xml!$A:$A,0))=0,0,N879)</f>
        <v>0</v>
      </c>
      <c r="N879" s="8">
        <f t="shared" ref="N879" si="1150">N791</f>
        <v>70</v>
      </c>
    </row>
    <row r="880" spans="1:14">
      <c r="A880" s="8">
        <v>10014</v>
      </c>
      <c r="B880" s="8">
        <f t="shared" ref="B880:C880" si="1151">B792</f>
        <v>40000</v>
      </c>
      <c r="C880" s="8" t="str">
        <f t="shared" si="1151"/>
        <v>装备</v>
      </c>
      <c r="D880" s="7">
        <f t="shared" si="1125"/>
        <v>50453055</v>
      </c>
      <c r="E880" s="8"/>
      <c r="F880" s="8">
        <v>1</v>
      </c>
      <c r="G880" s="8">
        <f>3*INDEX([1]equip.xml!$I:$I,MATCH(D880,[1]equip.xml!$A:$A,0))</f>
        <v>270000</v>
      </c>
      <c r="H880" s="8" t="str">
        <f t="shared" si="1056"/>
        <v>10_10,50_20,80_30</v>
      </c>
      <c r="I880" s="8">
        <v>4</v>
      </c>
      <c r="J880" s="8">
        <f t="shared" si="1057"/>
        <v>240</v>
      </c>
      <c r="K880" s="7" t="s">
        <v>311</v>
      </c>
      <c r="L880" s="8">
        <v>36</v>
      </c>
      <c r="M880" s="7">
        <f>IF(INDEX([1]equip.xml!$B:$B,MATCH(D880,[1]equip.xml!$A:$A,0))=0,0,N880)</f>
        <v>70</v>
      </c>
      <c r="N880" s="8">
        <f t="shared" ref="N880" si="1152">N792</f>
        <v>70</v>
      </c>
    </row>
    <row r="881" spans="1:14">
      <c r="A881" s="8">
        <v>10014</v>
      </c>
      <c r="B881" s="8">
        <f t="shared" ref="B881:C881" si="1153">B793</f>
        <v>40000</v>
      </c>
      <c r="C881" s="8" t="str">
        <f t="shared" si="1153"/>
        <v>装备</v>
      </c>
      <c r="D881" s="7">
        <f t="shared" si="1125"/>
        <v>50453056</v>
      </c>
      <c r="E881" s="8"/>
      <c r="F881" s="8">
        <v>1</v>
      </c>
      <c r="G881" s="8">
        <f>3*INDEX([1]equip.xml!$I:$I,MATCH(D881,[1]equip.xml!$A:$A,0))</f>
        <v>288000</v>
      </c>
      <c r="H881" s="8" t="str">
        <f t="shared" si="1056"/>
        <v>10_10,50_20,80_30</v>
      </c>
      <c r="I881" s="8">
        <v>4</v>
      </c>
      <c r="J881" s="8">
        <f t="shared" si="1057"/>
        <v>240</v>
      </c>
      <c r="K881" s="7" t="s">
        <v>311</v>
      </c>
      <c r="L881" s="8">
        <v>36</v>
      </c>
      <c r="M881" s="7">
        <f>IF(INDEX([1]equip.xml!$B:$B,MATCH(D881,[1]equip.xml!$A:$A,0))=0,0,N881)</f>
        <v>70</v>
      </c>
      <c r="N881" s="8">
        <f t="shared" ref="N881" si="1154">N793</f>
        <v>70</v>
      </c>
    </row>
    <row r="882" spans="1:14">
      <c r="A882" s="8">
        <v>10014</v>
      </c>
      <c r="B882" s="8">
        <f t="shared" ref="B882:C882" si="1155">B794</f>
        <v>40000</v>
      </c>
      <c r="C882" s="8" t="str">
        <f t="shared" si="1155"/>
        <v>装备</v>
      </c>
      <c r="D882" s="7">
        <f t="shared" si="1125"/>
        <v>50453065</v>
      </c>
      <c r="E882" s="8"/>
      <c r="F882" s="8">
        <v>1</v>
      </c>
      <c r="G882" s="8">
        <f>3*INDEX([1]equip.xml!$I:$I,MATCH(D882,[1]equip.xml!$A:$A,0))</f>
        <v>270000</v>
      </c>
      <c r="H882" s="8" t="str">
        <f t="shared" si="1056"/>
        <v>10_10,50_20,80_30</v>
      </c>
      <c r="I882" s="8">
        <v>4</v>
      </c>
      <c r="J882" s="8">
        <f t="shared" si="1057"/>
        <v>240</v>
      </c>
      <c r="K882" s="7" t="s">
        <v>311</v>
      </c>
      <c r="L882" s="8">
        <v>36</v>
      </c>
      <c r="M882" s="7">
        <f>IF(INDEX([1]equip.xml!$B:$B,MATCH(D882,[1]equip.xml!$A:$A,0))=0,0,N882)</f>
        <v>70</v>
      </c>
      <c r="N882" s="8">
        <f t="shared" ref="N882" si="1156">N794</f>
        <v>70</v>
      </c>
    </row>
    <row r="883" spans="1:14">
      <c r="A883" s="8">
        <v>10014</v>
      </c>
      <c r="B883" s="8">
        <f t="shared" ref="B883:C883" si="1157">B795</f>
        <v>40000</v>
      </c>
      <c r="C883" s="8" t="str">
        <f t="shared" si="1157"/>
        <v>装备</v>
      </c>
      <c r="D883" s="7">
        <f t="shared" si="1125"/>
        <v>50453066</v>
      </c>
      <c r="E883" s="8"/>
      <c r="F883" s="8">
        <v>1</v>
      </c>
      <c r="G883" s="8">
        <f>3*INDEX([1]equip.xml!$I:$I,MATCH(D883,[1]equip.xml!$A:$A,0))</f>
        <v>288000</v>
      </c>
      <c r="H883" s="8" t="str">
        <f t="shared" si="1056"/>
        <v>10_10,50_20,80_30</v>
      </c>
      <c r="I883" s="8">
        <v>4</v>
      </c>
      <c r="J883" s="8">
        <f t="shared" si="1057"/>
        <v>240</v>
      </c>
      <c r="K883" s="7" t="s">
        <v>311</v>
      </c>
      <c r="L883" s="8">
        <v>36</v>
      </c>
      <c r="M883" s="7">
        <f>IF(INDEX([1]equip.xml!$B:$B,MATCH(D883,[1]equip.xml!$A:$A,0))=0,0,N883)</f>
        <v>0</v>
      </c>
      <c r="N883" s="8">
        <f t="shared" ref="N883" si="1158">N795</f>
        <v>70</v>
      </c>
    </row>
    <row r="884" spans="1:14">
      <c r="A884" s="8">
        <v>10014</v>
      </c>
      <c r="B884" s="8">
        <f t="shared" ref="B884:C884" si="1159">B796</f>
        <v>40000</v>
      </c>
      <c r="C884" s="8" t="str">
        <f t="shared" si="1159"/>
        <v>装备</v>
      </c>
      <c r="D884" s="7">
        <f t="shared" si="1125"/>
        <v>50450045</v>
      </c>
      <c r="E884" s="8"/>
      <c r="F884" s="8">
        <v>1</v>
      </c>
      <c r="G884" s="8">
        <f>3*INDEX([1]equip.xml!$I:$I,MATCH(D884,[1]equip.xml!$A:$A,0))</f>
        <v>270000</v>
      </c>
      <c r="H884" s="8" t="str">
        <f t="shared" si="1056"/>
        <v>10_10,50_20,80_30</v>
      </c>
      <c r="I884" s="8">
        <v>4</v>
      </c>
      <c r="J884" s="8">
        <f t="shared" si="1057"/>
        <v>240</v>
      </c>
      <c r="K884" s="7" t="s">
        <v>311</v>
      </c>
      <c r="L884" s="8">
        <v>36</v>
      </c>
      <c r="M884" s="7">
        <f>IF(INDEX([1]equip.xml!$B:$B,MATCH(D884,[1]equip.xml!$A:$A,0))=0,0,N884)</f>
        <v>70</v>
      </c>
      <c r="N884" s="8">
        <f t="shared" ref="N884" si="1160">N796</f>
        <v>70</v>
      </c>
    </row>
    <row r="885" spans="1:14">
      <c r="A885" s="8">
        <v>10014</v>
      </c>
      <c r="B885" s="8">
        <f t="shared" ref="B885:C885" si="1161">B797</f>
        <v>40000</v>
      </c>
      <c r="C885" s="8" t="str">
        <f t="shared" si="1161"/>
        <v>装备</v>
      </c>
      <c r="D885" s="7">
        <f t="shared" si="1125"/>
        <v>50450046</v>
      </c>
      <c r="E885" s="8"/>
      <c r="F885" s="8">
        <v>1</v>
      </c>
      <c r="G885" s="8">
        <f>3*INDEX([1]equip.xml!$I:$I,MATCH(D885,[1]equip.xml!$A:$A,0))</f>
        <v>288000</v>
      </c>
      <c r="H885" s="8" t="str">
        <f t="shared" si="1056"/>
        <v>10_10,50_20,80_30</v>
      </c>
      <c r="I885" s="8">
        <v>4</v>
      </c>
      <c r="J885" s="8">
        <f t="shared" si="1057"/>
        <v>240</v>
      </c>
      <c r="K885" s="7" t="s">
        <v>311</v>
      </c>
      <c r="L885" s="8">
        <v>36</v>
      </c>
      <c r="M885" s="7">
        <f>IF(INDEX([1]equip.xml!$B:$B,MATCH(D885,[1]equip.xml!$A:$A,0))=0,0,N885)</f>
        <v>70</v>
      </c>
      <c r="N885" s="8">
        <f t="shared" ref="N885" si="1162">N797</f>
        <v>70</v>
      </c>
    </row>
    <row r="886" spans="1:14">
      <c r="A886" s="8">
        <v>10014</v>
      </c>
      <c r="B886" s="8">
        <f t="shared" ref="B886:C886" si="1163">B798</f>
        <v>40000</v>
      </c>
      <c r="C886" s="8" t="str">
        <f t="shared" si="1163"/>
        <v>装备</v>
      </c>
      <c r="D886" s="7">
        <f t="shared" si="1125"/>
        <v>50450075</v>
      </c>
      <c r="E886" s="8"/>
      <c r="F886" s="8">
        <v>1</v>
      </c>
      <c r="G886" s="8">
        <f>3*INDEX([1]equip.xml!$I:$I,MATCH(D886,[1]equip.xml!$A:$A,0))</f>
        <v>270000</v>
      </c>
      <c r="H886" s="8" t="str">
        <f t="shared" si="1056"/>
        <v>10_10,50_20,80_30</v>
      </c>
      <c r="I886" s="8">
        <v>4</v>
      </c>
      <c r="J886" s="8">
        <f t="shared" si="1057"/>
        <v>240</v>
      </c>
      <c r="K886" s="7" t="s">
        <v>311</v>
      </c>
      <c r="L886" s="8">
        <v>36</v>
      </c>
      <c r="M886" s="7">
        <f>IF(INDEX([1]equip.xml!$B:$B,MATCH(D886,[1]equip.xml!$A:$A,0))=0,0,N886)</f>
        <v>70</v>
      </c>
      <c r="N886" s="8">
        <f t="shared" ref="N886" si="1164">N798</f>
        <v>70</v>
      </c>
    </row>
    <row r="887" spans="1:14">
      <c r="A887" s="8">
        <v>10014</v>
      </c>
      <c r="B887" s="8">
        <f t="shared" ref="B887:C887" si="1165">B799</f>
        <v>40000</v>
      </c>
      <c r="C887" s="8" t="str">
        <f t="shared" si="1165"/>
        <v>装备</v>
      </c>
      <c r="D887" s="7">
        <f t="shared" si="1125"/>
        <v>50450076</v>
      </c>
      <c r="E887" s="8"/>
      <c r="F887" s="8">
        <v>1</v>
      </c>
      <c r="G887" s="8">
        <f>3*INDEX([1]equip.xml!$I:$I,MATCH(D887,[1]equip.xml!$A:$A,0))</f>
        <v>288000</v>
      </c>
      <c r="H887" s="8" t="str">
        <f t="shared" ref="H887:H950" si="1166">H799</f>
        <v>10_10,50_20,80_30</v>
      </c>
      <c r="I887" s="8">
        <v>4</v>
      </c>
      <c r="J887" s="8">
        <f t="shared" ref="I887:J950" si="1167">J799</f>
        <v>240</v>
      </c>
      <c r="K887" s="7" t="s">
        <v>311</v>
      </c>
      <c r="L887" s="8">
        <v>36</v>
      </c>
      <c r="M887" s="7">
        <f>IF(INDEX([1]equip.xml!$B:$B,MATCH(D887,[1]equip.xml!$A:$A,0))=0,0,N887)</f>
        <v>70</v>
      </c>
      <c r="N887" s="8">
        <f t="shared" ref="N887" si="1168">N799</f>
        <v>70</v>
      </c>
    </row>
    <row r="888" spans="1:14">
      <c r="A888" s="8">
        <v>10014</v>
      </c>
      <c r="B888" s="8">
        <f t="shared" ref="B888:C888" si="1169">B800</f>
        <v>40000</v>
      </c>
      <c r="C888" s="8" t="str">
        <f t="shared" si="1169"/>
        <v>装备</v>
      </c>
      <c r="D888" s="7">
        <f t="shared" si="1125"/>
        <v>50500015</v>
      </c>
      <c r="E888" s="8"/>
      <c r="F888" s="8">
        <v>1</v>
      </c>
      <c r="G888" s="8">
        <f>3*INDEX([1]equip.xml!$I:$I,MATCH(D888,[1]equip.xml!$A:$A,0))</f>
        <v>300000</v>
      </c>
      <c r="H888" s="8" t="str">
        <f t="shared" si="1166"/>
        <v>10_10,50_20,80_30</v>
      </c>
      <c r="I888" s="8">
        <v>4</v>
      </c>
      <c r="J888" s="8">
        <f t="shared" si="1167"/>
        <v>240</v>
      </c>
      <c r="K888" s="7" t="s">
        <v>311</v>
      </c>
      <c r="L888" s="8">
        <v>36</v>
      </c>
      <c r="M888" s="7">
        <f>IF(INDEX([1]equip.xml!$B:$B,MATCH(D888,[1]equip.xml!$A:$A,0))=0,0,N888)</f>
        <v>14</v>
      </c>
      <c r="N888" s="8">
        <f>N866/5</f>
        <v>14</v>
      </c>
    </row>
    <row r="889" spans="1:14">
      <c r="A889" s="8">
        <v>10014</v>
      </c>
      <c r="B889" s="8">
        <f t="shared" ref="B889:C889" si="1170">B801</f>
        <v>40000</v>
      </c>
      <c r="C889" s="8" t="str">
        <f t="shared" si="1170"/>
        <v>装备</v>
      </c>
      <c r="D889" s="7">
        <f t="shared" si="1125"/>
        <v>50500025</v>
      </c>
      <c r="E889" s="8"/>
      <c r="F889" s="8">
        <v>1</v>
      </c>
      <c r="G889" s="8">
        <f>3*INDEX([1]equip.xml!$I:$I,MATCH(D889,[1]equip.xml!$A:$A,0))</f>
        <v>300000</v>
      </c>
      <c r="H889" s="8" t="str">
        <f t="shared" si="1166"/>
        <v>10_10,50_20,80_30</v>
      </c>
      <c r="I889" s="8">
        <v>4</v>
      </c>
      <c r="J889" s="8">
        <f t="shared" si="1167"/>
        <v>240</v>
      </c>
      <c r="K889" s="7" t="s">
        <v>311</v>
      </c>
      <c r="L889" s="8">
        <v>36</v>
      </c>
      <c r="M889" s="7">
        <f>IF(INDEX([1]equip.xml!$B:$B,MATCH(D889,[1]equip.xml!$A:$A,0))=0,0,N889)</f>
        <v>14</v>
      </c>
      <c r="N889" s="8">
        <f t="shared" ref="N889:N909" si="1171">N867/5</f>
        <v>14</v>
      </c>
    </row>
    <row r="890" spans="1:14">
      <c r="A890" s="8">
        <v>10014</v>
      </c>
      <c r="B890" s="8">
        <f t="shared" ref="B890:C890" si="1172">B802</f>
        <v>40000</v>
      </c>
      <c r="C890" s="8" t="str">
        <f t="shared" si="1172"/>
        <v>装备</v>
      </c>
      <c r="D890" s="7">
        <f t="shared" si="1125"/>
        <v>50500035</v>
      </c>
      <c r="E890" s="8"/>
      <c r="F890" s="8">
        <v>1</v>
      </c>
      <c r="G890" s="8">
        <f>3*INDEX([1]equip.xml!$I:$I,MATCH(D890,[1]equip.xml!$A:$A,0))</f>
        <v>300000</v>
      </c>
      <c r="H890" s="8" t="str">
        <f t="shared" si="1166"/>
        <v>10_10,50_20,80_30</v>
      </c>
      <c r="I890" s="8">
        <v>4</v>
      </c>
      <c r="J890" s="8">
        <f t="shared" si="1167"/>
        <v>240</v>
      </c>
      <c r="K890" s="7" t="s">
        <v>311</v>
      </c>
      <c r="L890" s="8">
        <v>36</v>
      </c>
      <c r="M890" s="7">
        <f>IF(INDEX([1]equip.xml!$B:$B,MATCH(D890,[1]equip.xml!$A:$A,0))=0,0,N890)</f>
        <v>14</v>
      </c>
      <c r="N890" s="8">
        <f t="shared" si="1171"/>
        <v>14</v>
      </c>
    </row>
    <row r="891" spans="1:14">
      <c r="A891" s="8">
        <v>10014</v>
      </c>
      <c r="B891" s="8">
        <f t="shared" ref="B891:C891" si="1173">B803</f>
        <v>40000</v>
      </c>
      <c r="C891" s="8" t="str">
        <f t="shared" si="1173"/>
        <v>装备</v>
      </c>
      <c r="D891" s="7">
        <f t="shared" si="1125"/>
        <v>50500085</v>
      </c>
      <c r="E891" s="8"/>
      <c r="F891" s="8">
        <v>1</v>
      </c>
      <c r="G891" s="8">
        <f>3*INDEX([1]equip.xml!$I:$I,MATCH(D891,[1]equip.xml!$A:$A,0))</f>
        <v>300000</v>
      </c>
      <c r="H891" s="8" t="str">
        <f t="shared" si="1166"/>
        <v>10_10,50_20,80_30</v>
      </c>
      <c r="I891" s="8">
        <v>4</v>
      </c>
      <c r="J891" s="8">
        <f t="shared" si="1167"/>
        <v>240</v>
      </c>
      <c r="K891" s="7" t="s">
        <v>311</v>
      </c>
      <c r="L891" s="8">
        <v>36</v>
      </c>
      <c r="M891" s="7">
        <f>IF(INDEX([1]equip.xml!$B:$B,MATCH(D891,[1]equip.xml!$A:$A,0))=0,0,N891)</f>
        <v>14</v>
      </c>
      <c r="N891" s="8">
        <f t="shared" si="1171"/>
        <v>14</v>
      </c>
    </row>
    <row r="892" spans="1:14">
      <c r="A892" s="8">
        <v>10014</v>
      </c>
      <c r="B892" s="8">
        <f t="shared" ref="B892:C892" si="1174">B804</f>
        <v>40000</v>
      </c>
      <c r="C892" s="8" t="str">
        <f t="shared" si="1174"/>
        <v>装备</v>
      </c>
      <c r="D892" s="7">
        <f t="shared" si="1125"/>
        <v>50500095</v>
      </c>
      <c r="E892" s="8"/>
      <c r="F892" s="8">
        <v>1</v>
      </c>
      <c r="G892" s="8">
        <f>3*INDEX([1]equip.xml!$I:$I,MATCH(D892,[1]equip.xml!$A:$A,0))</f>
        <v>300000</v>
      </c>
      <c r="H892" s="8" t="str">
        <f t="shared" si="1166"/>
        <v>10_10,50_20,80_30</v>
      </c>
      <c r="I892" s="8">
        <v>4</v>
      </c>
      <c r="J892" s="8">
        <f t="shared" si="1167"/>
        <v>240</v>
      </c>
      <c r="K892" s="7" t="s">
        <v>311</v>
      </c>
      <c r="L892" s="8">
        <v>36</v>
      </c>
      <c r="M892" s="7">
        <f>IF(INDEX([1]equip.xml!$B:$B,MATCH(D892,[1]equip.xml!$A:$A,0))=0,0,N892)</f>
        <v>14</v>
      </c>
      <c r="N892" s="8">
        <f t="shared" si="1171"/>
        <v>14</v>
      </c>
    </row>
    <row r="893" spans="1:14">
      <c r="A893" s="8">
        <v>10014</v>
      </c>
      <c r="B893" s="8">
        <f t="shared" ref="B893:C893" si="1175">B805</f>
        <v>40000</v>
      </c>
      <c r="C893" s="8" t="str">
        <f t="shared" si="1175"/>
        <v>装备</v>
      </c>
      <c r="D893" s="7">
        <f t="shared" si="1125"/>
        <v>50500105</v>
      </c>
      <c r="E893" s="8"/>
      <c r="F893" s="8">
        <v>1</v>
      </c>
      <c r="G893" s="8">
        <f>3*INDEX([1]equip.xml!$I:$I,MATCH(D893,[1]equip.xml!$A:$A,0))</f>
        <v>300000</v>
      </c>
      <c r="H893" s="8" t="str">
        <f t="shared" si="1166"/>
        <v>10_10,50_20,80_30</v>
      </c>
      <c r="I893" s="8">
        <v>4</v>
      </c>
      <c r="J893" s="8">
        <f t="shared" si="1167"/>
        <v>240</v>
      </c>
      <c r="K893" s="7" t="s">
        <v>311</v>
      </c>
      <c r="L893" s="8">
        <v>36</v>
      </c>
      <c r="M893" s="7">
        <f>IF(INDEX([1]equip.xml!$B:$B,MATCH(D893,[1]equip.xml!$A:$A,0))=0,0,N893)</f>
        <v>14</v>
      </c>
      <c r="N893" s="8">
        <f t="shared" si="1171"/>
        <v>14</v>
      </c>
    </row>
    <row r="894" spans="1:14">
      <c r="A894" s="8">
        <v>10014</v>
      </c>
      <c r="B894" s="8">
        <f t="shared" ref="B894:C894" si="1176">B806</f>
        <v>40000</v>
      </c>
      <c r="C894" s="8" t="str">
        <f t="shared" si="1176"/>
        <v>装备</v>
      </c>
      <c r="D894" s="7">
        <f t="shared" si="1125"/>
        <v>50501055</v>
      </c>
      <c r="E894" s="8"/>
      <c r="F894" s="8">
        <v>1</v>
      </c>
      <c r="G894" s="8">
        <f>3*INDEX([1]equip.xml!$I:$I,MATCH(D894,[1]equip.xml!$A:$A,0))</f>
        <v>300000</v>
      </c>
      <c r="H894" s="8" t="str">
        <f t="shared" si="1166"/>
        <v>10_10,50_20,80_30</v>
      </c>
      <c r="I894" s="8">
        <v>4</v>
      </c>
      <c r="J894" s="8">
        <f t="shared" si="1167"/>
        <v>240</v>
      </c>
      <c r="K894" s="7" t="s">
        <v>311</v>
      </c>
      <c r="L894" s="8">
        <v>36</v>
      </c>
      <c r="M894" s="7">
        <f>IF(INDEX([1]equip.xml!$B:$B,MATCH(D894,[1]equip.xml!$A:$A,0))=0,0,N894)</f>
        <v>14</v>
      </c>
      <c r="N894" s="8">
        <f t="shared" si="1171"/>
        <v>14</v>
      </c>
    </row>
    <row r="895" spans="1:14">
      <c r="A895" s="8">
        <v>10014</v>
      </c>
      <c r="B895" s="8">
        <f t="shared" ref="B895:C895" si="1177">B807</f>
        <v>40000</v>
      </c>
      <c r="C895" s="8" t="str">
        <f t="shared" si="1177"/>
        <v>装备</v>
      </c>
      <c r="D895" s="7">
        <f t="shared" si="1125"/>
        <v>50501056</v>
      </c>
      <c r="E895" s="8"/>
      <c r="F895" s="8">
        <v>1</v>
      </c>
      <c r="G895" s="8">
        <f>3*INDEX([1]equip.xml!$I:$I,MATCH(D895,[1]equip.xml!$A:$A,0))</f>
        <v>318000</v>
      </c>
      <c r="H895" s="8" t="str">
        <f t="shared" si="1166"/>
        <v>10_10,50_20,80_30</v>
      </c>
      <c r="I895" s="8">
        <v>4</v>
      </c>
      <c r="J895" s="8">
        <f t="shared" si="1167"/>
        <v>240</v>
      </c>
      <c r="K895" s="7" t="s">
        <v>311</v>
      </c>
      <c r="L895" s="8">
        <v>36</v>
      </c>
      <c r="M895" s="7">
        <f>IF(INDEX([1]equip.xml!$B:$B,MATCH(D895,[1]equip.xml!$A:$A,0))=0,0,N895)</f>
        <v>14</v>
      </c>
      <c r="N895" s="8">
        <f t="shared" si="1171"/>
        <v>14</v>
      </c>
    </row>
    <row r="896" spans="1:14">
      <c r="A896" s="8">
        <v>10014</v>
      </c>
      <c r="B896" s="8">
        <f t="shared" ref="B896:C896" si="1178">B808</f>
        <v>40000</v>
      </c>
      <c r="C896" s="8" t="str">
        <f t="shared" si="1178"/>
        <v>装备</v>
      </c>
      <c r="D896" s="7">
        <f t="shared" si="1125"/>
        <v>50501065</v>
      </c>
      <c r="E896" s="8"/>
      <c r="F896" s="8">
        <v>1</v>
      </c>
      <c r="G896" s="8">
        <f>3*INDEX([1]equip.xml!$I:$I,MATCH(D896,[1]equip.xml!$A:$A,0))</f>
        <v>300000</v>
      </c>
      <c r="H896" s="8" t="str">
        <f t="shared" si="1166"/>
        <v>10_10,50_20,80_30</v>
      </c>
      <c r="I896" s="8">
        <v>4</v>
      </c>
      <c r="J896" s="8">
        <f t="shared" si="1167"/>
        <v>240</v>
      </c>
      <c r="K896" s="7" t="s">
        <v>311</v>
      </c>
      <c r="L896" s="8">
        <v>36</v>
      </c>
      <c r="M896" s="7">
        <f>IF(INDEX([1]equip.xml!$B:$B,MATCH(D896,[1]equip.xml!$A:$A,0))=0,0,N896)</f>
        <v>14</v>
      </c>
      <c r="N896" s="8">
        <f t="shared" si="1171"/>
        <v>14</v>
      </c>
    </row>
    <row r="897" spans="1:14">
      <c r="A897" s="8">
        <v>10014</v>
      </c>
      <c r="B897" s="8">
        <f t="shared" ref="B897:C897" si="1179">B809</f>
        <v>40000</v>
      </c>
      <c r="C897" s="8" t="str">
        <f t="shared" si="1179"/>
        <v>装备</v>
      </c>
      <c r="D897" s="7">
        <f t="shared" si="1125"/>
        <v>50501066</v>
      </c>
      <c r="E897" s="8"/>
      <c r="F897" s="8">
        <v>1</v>
      </c>
      <c r="G897" s="8">
        <f>3*INDEX([1]equip.xml!$I:$I,MATCH(D897,[1]equip.xml!$A:$A,0))</f>
        <v>318000</v>
      </c>
      <c r="H897" s="8" t="str">
        <f t="shared" si="1166"/>
        <v>10_10,50_20,80_30</v>
      </c>
      <c r="I897" s="8">
        <v>4</v>
      </c>
      <c r="J897" s="8">
        <f t="shared" si="1167"/>
        <v>240</v>
      </c>
      <c r="K897" s="7" t="s">
        <v>311</v>
      </c>
      <c r="L897" s="8">
        <v>36</v>
      </c>
      <c r="M897" s="7">
        <f>IF(INDEX([1]equip.xml!$B:$B,MATCH(D897,[1]equip.xml!$A:$A,0))=0,0,N897)</f>
        <v>14</v>
      </c>
      <c r="N897" s="8">
        <f t="shared" si="1171"/>
        <v>14</v>
      </c>
    </row>
    <row r="898" spans="1:14">
      <c r="A898" s="8">
        <v>10014</v>
      </c>
      <c r="B898" s="8">
        <f t="shared" ref="B898:C898" si="1180">B810</f>
        <v>40000</v>
      </c>
      <c r="C898" s="8" t="str">
        <f t="shared" si="1180"/>
        <v>装备</v>
      </c>
      <c r="D898" s="7">
        <f t="shared" si="1125"/>
        <v>50502055</v>
      </c>
      <c r="E898" s="8"/>
      <c r="F898" s="8">
        <v>1</v>
      </c>
      <c r="G898" s="8">
        <f>3*INDEX([1]equip.xml!$I:$I,MATCH(D898,[1]equip.xml!$A:$A,0))</f>
        <v>300000</v>
      </c>
      <c r="H898" s="8" t="str">
        <f t="shared" si="1166"/>
        <v>10_10,50_20,80_30</v>
      </c>
      <c r="I898" s="8">
        <v>4</v>
      </c>
      <c r="J898" s="8">
        <f t="shared" si="1167"/>
        <v>240</v>
      </c>
      <c r="K898" s="7" t="s">
        <v>311</v>
      </c>
      <c r="L898" s="8">
        <v>36</v>
      </c>
      <c r="M898" s="7">
        <f>IF(INDEX([1]equip.xml!$B:$B,MATCH(D898,[1]equip.xml!$A:$A,0))=0,0,N898)</f>
        <v>14</v>
      </c>
      <c r="N898" s="8">
        <f t="shared" si="1171"/>
        <v>14</v>
      </c>
    </row>
    <row r="899" spans="1:14">
      <c r="A899" s="8">
        <v>10014</v>
      </c>
      <c r="B899" s="8">
        <f t="shared" ref="B899:C899" si="1181">B811</f>
        <v>40000</v>
      </c>
      <c r="C899" s="8" t="str">
        <f t="shared" si="1181"/>
        <v>装备</v>
      </c>
      <c r="D899" s="7">
        <f t="shared" si="1125"/>
        <v>50502056</v>
      </c>
      <c r="E899" s="8"/>
      <c r="F899" s="8">
        <v>1</v>
      </c>
      <c r="G899" s="8">
        <f>3*INDEX([1]equip.xml!$I:$I,MATCH(D899,[1]equip.xml!$A:$A,0))</f>
        <v>318000</v>
      </c>
      <c r="H899" s="8" t="str">
        <f t="shared" si="1166"/>
        <v>10_10,50_20,80_30</v>
      </c>
      <c r="I899" s="8">
        <v>4</v>
      </c>
      <c r="J899" s="8">
        <f t="shared" si="1167"/>
        <v>240</v>
      </c>
      <c r="K899" s="7" t="s">
        <v>311</v>
      </c>
      <c r="L899" s="8">
        <v>36</v>
      </c>
      <c r="M899" s="7">
        <f>IF(INDEX([1]equip.xml!$B:$B,MATCH(D899,[1]equip.xml!$A:$A,0))=0,0,N899)</f>
        <v>14</v>
      </c>
      <c r="N899" s="8">
        <f t="shared" si="1171"/>
        <v>14</v>
      </c>
    </row>
    <row r="900" spans="1:14">
      <c r="A900" s="8">
        <v>10014</v>
      </c>
      <c r="B900" s="8">
        <f t="shared" ref="B900:C900" si="1182">B812</f>
        <v>40000</v>
      </c>
      <c r="C900" s="8" t="str">
        <f t="shared" si="1182"/>
        <v>装备</v>
      </c>
      <c r="D900" s="7">
        <f t="shared" si="1125"/>
        <v>50502065</v>
      </c>
      <c r="E900" s="8"/>
      <c r="F900" s="8">
        <v>1</v>
      </c>
      <c r="G900" s="8">
        <f>3*INDEX([1]equip.xml!$I:$I,MATCH(D900,[1]equip.xml!$A:$A,0))</f>
        <v>300000</v>
      </c>
      <c r="H900" s="8" t="str">
        <f t="shared" si="1166"/>
        <v>10_10,50_20,80_30</v>
      </c>
      <c r="I900" s="8">
        <v>4</v>
      </c>
      <c r="J900" s="8">
        <f t="shared" si="1167"/>
        <v>240</v>
      </c>
      <c r="K900" s="7" t="s">
        <v>311</v>
      </c>
      <c r="L900" s="8">
        <v>36</v>
      </c>
      <c r="M900" s="7">
        <f>IF(INDEX([1]equip.xml!$B:$B,MATCH(D900,[1]equip.xml!$A:$A,0))=0,0,N900)</f>
        <v>14</v>
      </c>
      <c r="N900" s="8">
        <f t="shared" si="1171"/>
        <v>14</v>
      </c>
    </row>
    <row r="901" spans="1:14">
      <c r="A901" s="8">
        <v>10014</v>
      </c>
      <c r="B901" s="8">
        <f t="shared" ref="B901:C901" si="1183">B813</f>
        <v>40000</v>
      </c>
      <c r="C901" s="8" t="str">
        <f t="shared" si="1183"/>
        <v>装备</v>
      </c>
      <c r="D901" s="7">
        <f t="shared" si="1125"/>
        <v>50502066</v>
      </c>
      <c r="E901" s="8"/>
      <c r="F901" s="8">
        <v>1</v>
      </c>
      <c r="G901" s="8">
        <f>3*INDEX([1]equip.xml!$I:$I,MATCH(D901,[1]equip.xml!$A:$A,0))</f>
        <v>318000</v>
      </c>
      <c r="H901" s="8" t="str">
        <f t="shared" si="1166"/>
        <v>10_10,50_20,80_30</v>
      </c>
      <c r="I901" s="8">
        <v>4</v>
      </c>
      <c r="J901" s="8">
        <f t="shared" si="1167"/>
        <v>240</v>
      </c>
      <c r="K901" s="7" t="s">
        <v>311</v>
      </c>
      <c r="L901" s="8">
        <v>36</v>
      </c>
      <c r="M901" s="7">
        <f>IF(INDEX([1]equip.xml!$B:$B,MATCH(D901,[1]equip.xml!$A:$A,0))=0,0,N901)</f>
        <v>14</v>
      </c>
      <c r="N901" s="8">
        <f t="shared" si="1171"/>
        <v>14</v>
      </c>
    </row>
    <row r="902" spans="1:14">
      <c r="A902" s="8">
        <v>10014</v>
      </c>
      <c r="B902" s="8">
        <f t="shared" ref="B902:C902" si="1184">B814</f>
        <v>40000</v>
      </c>
      <c r="C902" s="8" t="str">
        <f t="shared" si="1184"/>
        <v>装备</v>
      </c>
      <c r="D902" s="7">
        <f t="shared" si="1125"/>
        <v>50503055</v>
      </c>
      <c r="E902" s="8"/>
      <c r="F902" s="8">
        <v>1</v>
      </c>
      <c r="G902" s="8">
        <f>3*INDEX([1]equip.xml!$I:$I,MATCH(D902,[1]equip.xml!$A:$A,0))</f>
        <v>300000</v>
      </c>
      <c r="H902" s="8" t="str">
        <f t="shared" si="1166"/>
        <v>10_10,50_20,80_30</v>
      </c>
      <c r="I902" s="8">
        <v>4</v>
      </c>
      <c r="J902" s="8">
        <f t="shared" si="1167"/>
        <v>240</v>
      </c>
      <c r="K902" s="7" t="s">
        <v>311</v>
      </c>
      <c r="L902" s="8">
        <v>36</v>
      </c>
      <c r="M902" s="7">
        <f>IF(INDEX([1]equip.xml!$B:$B,MATCH(D902,[1]equip.xml!$A:$A,0))=0,0,N902)</f>
        <v>14</v>
      </c>
      <c r="N902" s="8">
        <f t="shared" si="1171"/>
        <v>14</v>
      </c>
    </row>
    <row r="903" spans="1:14">
      <c r="A903" s="8">
        <v>10014</v>
      </c>
      <c r="B903" s="8">
        <f t="shared" ref="B903:C903" si="1185">B815</f>
        <v>40000</v>
      </c>
      <c r="C903" s="8" t="str">
        <f t="shared" si="1185"/>
        <v>装备</v>
      </c>
      <c r="D903" s="7">
        <f t="shared" si="1125"/>
        <v>50503056</v>
      </c>
      <c r="E903" s="8"/>
      <c r="F903" s="8">
        <v>1</v>
      </c>
      <c r="G903" s="8">
        <f>3*INDEX([1]equip.xml!$I:$I,MATCH(D903,[1]equip.xml!$A:$A,0))</f>
        <v>318000</v>
      </c>
      <c r="H903" s="8" t="str">
        <f t="shared" si="1166"/>
        <v>10_10,50_20,80_30</v>
      </c>
      <c r="I903" s="8">
        <v>4</v>
      </c>
      <c r="J903" s="8">
        <f t="shared" si="1167"/>
        <v>240</v>
      </c>
      <c r="K903" s="7" t="s">
        <v>311</v>
      </c>
      <c r="L903" s="8">
        <v>36</v>
      </c>
      <c r="M903" s="7">
        <f>IF(INDEX([1]equip.xml!$B:$B,MATCH(D903,[1]equip.xml!$A:$A,0))=0,0,N903)</f>
        <v>14</v>
      </c>
      <c r="N903" s="8">
        <f t="shared" si="1171"/>
        <v>14</v>
      </c>
    </row>
    <row r="904" spans="1:14">
      <c r="A904" s="8">
        <v>10014</v>
      </c>
      <c r="B904" s="8">
        <f t="shared" ref="B904:C904" si="1186">B816</f>
        <v>40000</v>
      </c>
      <c r="C904" s="8" t="str">
        <f t="shared" si="1186"/>
        <v>装备</v>
      </c>
      <c r="D904" s="7">
        <f t="shared" si="1125"/>
        <v>50503065</v>
      </c>
      <c r="E904" s="8"/>
      <c r="F904" s="8">
        <v>1</v>
      </c>
      <c r="G904" s="8">
        <f>3*INDEX([1]equip.xml!$I:$I,MATCH(D904,[1]equip.xml!$A:$A,0))</f>
        <v>300000</v>
      </c>
      <c r="H904" s="8" t="str">
        <f t="shared" si="1166"/>
        <v>10_10,50_20,80_30</v>
      </c>
      <c r="I904" s="8">
        <v>4</v>
      </c>
      <c r="J904" s="8">
        <f t="shared" si="1167"/>
        <v>240</v>
      </c>
      <c r="K904" s="7" t="s">
        <v>311</v>
      </c>
      <c r="L904" s="8">
        <v>36</v>
      </c>
      <c r="M904" s="7">
        <f>IF(INDEX([1]equip.xml!$B:$B,MATCH(D904,[1]equip.xml!$A:$A,0))=0,0,N904)</f>
        <v>14</v>
      </c>
      <c r="N904" s="8">
        <f t="shared" si="1171"/>
        <v>14</v>
      </c>
    </row>
    <row r="905" spans="1:14">
      <c r="A905" s="8">
        <v>10014</v>
      </c>
      <c r="B905" s="8">
        <f t="shared" ref="B905:C905" si="1187">B817</f>
        <v>40000</v>
      </c>
      <c r="C905" s="8" t="str">
        <f t="shared" si="1187"/>
        <v>装备</v>
      </c>
      <c r="D905" s="7">
        <f t="shared" si="1125"/>
        <v>50503066</v>
      </c>
      <c r="E905" s="8"/>
      <c r="F905" s="8">
        <v>1</v>
      </c>
      <c r="G905" s="8">
        <f>3*INDEX([1]equip.xml!$I:$I,MATCH(D905,[1]equip.xml!$A:$A,0))</f>
        <v>318000</v>
      </c>
      <c r="H905" s="8" t="str">
        <f t="shared" si="1166"/>
        <v>10_10,50_20,80_30</v>
      </c>
      <c r="I905" s="8">
        <v>4</v>
      </c>
      <c r="J905" s="8">
        <f t="shared" si="1167"/>
        <v>240</v>
      </c>
      <c r="K905" s="7" t="s">
        <v>311</v>
      </c>
      <c r="L905" s="8">
        <v>36</v>
      </c>
      <c r="M905" s="7">
        <f>IF(INDEX([1]equip.xml!$B:$B,MATCH(D905,[1]equip.xml!$A:$A,0))=0,0,N905)</f>
        <v>14</v>
      </c>
      <c r="N905" s="8">
        <f t="shared" si="1171"/>
        <v>14</v>
      </c>
    </row>
    <row r="906" spans="1:14">
      <c r="A906" s="8">
        <v>10014</v>
      </c>
      <c r="B906" s="8">
        <f t="shared" ref="B906:C906" si="1188">B818</f>
        <v>40000</v>
      </c>
      <c r="C906" s="8" t="str">
        <f t="shared" si="1188"/>
        <v>装备</v>
      </c>
      <c r="D906" s="7">
        <f t="shared" si="1125"/>
        <v>50500045</v>
      </c>
      <c r="E906" s="8"/>
      <c r="F906" s="8">
        <v>1</v>
      </c>
      <c r="G906" s="8">
        <f>3*INDEX([1]equip.xml!$I:$I,MATCH(D906,[1]equip.xml!$A:$A,0))</f>
        <v>300000</v>
      </c>
      <c r="H906" s="8" t="str">
        <f t="shared" si="1166"/>
        <v>10_10,50_20,80_30</v>
      </c>
      <c r="I906" s="8">
        <v>4</v>
      </c>
      <c r="J906" s="8">
        <f t="shared" si="1167"/>
        <v>240</v>
      </c>
      <c r="K906" s="7" t="s">
        <v>311</v>
      </c>
      <c r="L906" s="8">
        <v>36</v>
      </c>
      <c r="M906" s="7">
        <f>IF(INDEX([1]equip.xml!$B:$B,MATCH(D906,[1]equip.xml!$A:$A,0))=0,0,N906)</f>
        <v>14</v>
      </c>
      <c r="N906" s="8">
        <f t="shared" si="1171"/>
        <v>14</v>
      </c>
    </row>
    <row r="907" spans="1:14">
      <c r="A907" s="8">
        <v>10014</v>
      </c>
      <c r="B907" s="8">
        <f t="shared" ref="B907:C907" si="1189">B819</f>
        <v>40000</v>
      </c>
      <c r="C907" s="8" t="str">
        <f t="shared" si="1189"/>
        <v>装备</v>
      </c>
      <c r="D907" s="7">
        <f t="shared" si="1125"/>
        <v>50500046</v>
      </c>
      <c r="E907" s="8"/>
      <c r="F907" s="8">
        <v>1</v>
      </c>
      <c r="G907" s="8">
        <f>3*INDEX([1]equip.xml!$I:$I,MATCH(D907,[1]equip.xml!$A:$A,0))</f>
        <v>318000</v>
      </c>
      <c r="H907" s="8" t="str">
        <f t="shared" si="1166"/>
        <v>10_10,50_20,80_30</v>
      </c>
      <c r="I907" s="8">
        <v>4</v>
      </c>
      <c r="J907" s="8">
        <f t="shared" si="1167"/>
        <v>240</v>
      </c>
      <c r="K907" s="7" t="s">
        <v>311</v>
      </c>
      <c r="L907" s="8">
        <v>36</v>
      </c>
      <c r="M907" s="7">
        <f>IF(INDEX([1]equip.xml!$B:$B,MATCH(D907,[1]equip.xml!$A:$A,0))=0,0,N907)</f>
        <v>0</v>
      </c>
      <c r="N907" s="8">
        <f t="shared" si="1171"/>
        <v>14</v>
      </c>
    </row>
    <row r="908" spans="1:14">
      <c r="A908" s="8">
        <v>10014</v>
      </c>
      <c r="B908" s="8">
        <f t="shared" ref="B908:C908" si="1190">B820</f>
        <v>40000</v>
      </c>
      <c r="C908" s="8" t="str">
        <f t="shared" si="1190"/>
        <v>装备</v>
      </c>
      <c r="D908" s="7">
        <f t="shared" si="1125"/>
        <v>50500075</v>
      </c>
      <c r="E908" s="8"/>
      <c r="F908" s="8">
        <v>1</v>
      </c>
      <c r="G908" s="8">
        <f>3*INDEX([1]equip.xml!$I:$I,MATCH(D908,[1]equip.xml!$A:$A,0))</f>
        <v>300000</v>
      </c>
      <c r="H908" s="8" t="str">
        <f t="shared" si="1166"/>
        <v>10_10,50_20,80_30</v>
      </c>
      <c r="I908" s="8">
        <v>4</v>
      </c>
      <c r="J908" s="8">
        <f t="shared" si="1167"/>
        <v>240</v>
      </c>
      <c r="K908" s="7" t="s">
        <v>311</v>
      </c>
      <c r="L908" s="8">
        <v>36</v>
      </c>
      <c r="M908" s="7">
        <f>IF(INDEX([1]equip.xml!$B:$B,MATCH(D908,[1]equip.xml!$A:$A,0))=0,0,N908)</f>
        <v>14</v>
      </c>
      <c r="N908" s="8">
        <f t="shared" si="1171"/>
        <v>14</v>
      </c>
    </row>
    <row r="909" spans="1:14">
      <c r="A909" s="8">
        <v>10014</v>
      </c>
      <c r="B909" s="8">
        <f t="shared" ref="B909:C909" si="1191">B821</f>
        <v>40000</v>
      </c>
      <c r="C909" s="8" t="str">
        <f t="shared" si="1191"/>
        <v>装备</v>
      </c>
      <c r="D909" s="7">
        <f t="shared" si="1125"/>
        <v>50500076</v>
      </c>
      <c r="E909" s="8"/>
      <c r="F909" s="8">
        <v>1</v>
      </c>
      <c r="G909" s="8">
        <f>3*INDEX([1]equip.xml!$I:$I,MATCH(D909,[1]equip.xml!$A:$A,0))</f>
        <v>318000</v>
      </c>
      <c r="H909" s="8" t="str">
        <f t="shared" si="1166"/>
        <v>10_10,50_20,80_30</v>
      </c>
      <c r="I909" s="8">
        <v>4</v>
      </c>
      <c r="J909" s="8">
        <f t="shared" si="1167"/>
        <v>240</v>
      </c>
      <c r="K909" s="7" t="s">
        <v>311</v>
      </c>
      <c r="L909" s="8">
        <v>36</v>
      </c>
      <c r="M909" s="7">
        <f>IF(INDEX([1]equip.xml!$B:$B,MATCH(D909,[1]equip.xml!$A:$A,0))=0,0,N909)</f>
        <v>0</v>
      </c>
      <c r="N909" s="8">
        <f t="shared" si="1171"/>
        <v>14</v>
      </c>
    </row>
    <row r="910" spans="1:14">
      <c r="A910" s="7">
        <v>10015</v>
      </c>
      <c r="B910" s="7">
        <f t="shared" ref="B910:C910" si="1192">B822</f>
        <v>40000</v>
      </c>
      <c r="C910" s="7" t="str">
        <f t="shared" si="1192"/>
        <v>装备</v>
      </c>
      <c r="D910" s="7">
        <v>40500010</v>
      </c>
      <c r="E910" s="7"/>
      <c r="F910" s="7">
        <v>1</v>
      </c>
      <c r="G910" s="7">
        <f>3*INDEX([1]equip.xml!$I:$I,MATCH(D910&amp;"",[1]equip.xml!$A:$A,0))</f>
        <v>150000</v>
      </c>
      <c r="H910" s="7" t="str">
        <f t="shared" si="1166"/>
        <v>10_10,50_20,80_30</v>
      </c>
      <c r="I910" s="7">
        <f t="shared" si="1167"/>
        <v>6</v>
      </c>
      <c r="J910" s="7">
        <f t="shared" si="1167"/>
        <v>50</v>
      </c>
      <c r="K910" s="7" t="s">
        <v>311</v>
      </c>
      <c r="L910" s="7">
        <v>38</v>
      </c>
      <c r="M910" s="7">
        <f>IF(INDEX([1]equip.xml!$B:$B,MATCH(D910&amp;"",[1]equip.xml!$A:$A,0))=0,0,N910)</f>
        <v>130</v>
      </c>
      <c r="N910" s="7">
        <f t="shared" ref="N910" si="1193">N822</f>
        <v>130</v>
      </c>
    </row>
    <row r="911" spans="1:14">
      <c r="A911" s="7">
        <v>10015</v>
      </c>
      <c r="B911" s="7">
        <f t="shared" ref="B911:C911" si="1194">B823</f>
        <v>40000</v>
      </c>
      <c r="C911" s="7" t="str">
        <f t="shared" si="1194"/>
        <v>装备</v>
      </c>
      <c r="D911" s="7">
        <v>40500020</v>
      </c>
      <c r="E911" s="7"/>
      <c r="F911" s="7">
        <v>1</v>
      </c>
      <c r="G911" s="7">
        <f>3*INDEX([1]equip.xml!$I:$I,MATCH(D911&amp;"",[1]equip.xml!$A:$A,0))</f>
        <v>150000</v>
      </c>
      <c r="H911" s="7" t="str">
        <f t="shared" si="1166"/>
        <v>10_10,50_20,80_30</v>
      </c>
      <c r="I911" s="7">
        <f t="shared" si="1167"/>
        <v>6</v>
      </c>
      <c r="J911" s="7">
        <f t="shared" si="1167"/>
        <v>50</v>
      </c>
      <c r="K911" s="7" t="s">
        <v>311</v>
      </c>
      <c r="L911" s="7">
        <v>38</v>
      </c>
      <c r="M911" s="7">
        <f>IF(INDEX([1]equip.xml!$B:$B,MATCH(D911&amp;"",[1]equip.xml!$A:$A,0))=0,0,N911)</f>
        <v>130</v>
      </c>
      <c r="N911" s="7">
        <f t="shared" ref="N911" si="1195">N823</f>
        <v>130</v>
      </c>
    </row>
    <row r="912" spans="1:14">
      <c r="A912" s="7">
        <v>10015</v>
      </c>
      <c r="B912" s="7">
        <f t="shared" ref="B912:C912" si="1196">B824</f>
        <v>40000</v>
      </c>
      <c r="C912" s="7" t="str">
        <f t="shared" si="1196"/>
        <v>装备</v>
      </c>
      <c r="D912" s="7">
        <v>40500030</v>
      </c>
      <c r="E912" s="7"/>
      <c r="F912" s="7">
        <v>1</v>
      </c>
      <c r="G912" s="7">
        <f>3*INDEX([1]equip.xml!$I:$I,MATCH(D912&amp;"",[1]equip.xml!$A:$A,0))</f>
        <v>150000</v>
      </c>
      <c r="H912" s="7" t="str">
        <f t="shared" si="1166"/>
        <v>10_10,50_20,80_30</v>
      </c>
      <c r="I912" s="7">
        <f t="shared" si="1167"/>
        <v>6</v>
      </c>
      <c r="J912" s="7">
        <f t="shared" si="1167"/>
        <v>50</v>
      </c>
      <c r="K912" s="7" t="s">
        <v>311</v>
      </c>
      <c r="L912" s="7">
        <v>38</v>
      </c>
      <c r="M912" s="7">
        <f>IF(INDEX([1]equip.xml!$B:$B,MATCH(D912&amp;"",[1]equip.xml!$A:$A,0))=0,0,N912)</f>
        <v>130</v>
      </c>
      <c r="N912" s="7">
        <f t="shared" ref="N912" si="1197">N824</f>
        <v>130</v>
      </c>
    </row>
    <row r="913" spans="1:14">
      <c r="A913" s="7">
        <v>10015</v>
      </c>
      <c r="B913" s="7">
        <f t="shared" ref="B913:C913" si="1198">B825</f>
        <v>40000</v>
      </c>
      <c r="C913" s="7" t="str">
        <f t="shared" si="1198"/>
        <v>装备</v>
      </c>
      <c r="D913" s="7">
        <v>40500080</v>
      </c>
      <c r="E913" s="7"/>
      <c r="F913" s="7">
        <v>1</v>
      </c>
      <c r="G913" s="7">
        <f>3*INDEX([1]equip.xml!$I:$I,MATCH(D913&amp;"",[1]equip.xml!$A:$A,0))</f>
        <v>150000</v>
      </c>
      <c r="H913" s="7" t="str">
        <f t="shared" si="1166"/>
        <v>10_10,50_20,80_30</v>
      </c>
      <c r="I913" s="7">
        <f t="shared" si="1167"/>
        <v>6</v>
      </c>
      <c r="J913" s="7">
        <f t="shared" si="1167"/>
        <v>50</v>
      </c>
      <c r="K913" s="7" t="s">
        <v>311</v>
      </c>
      <c r="L913" s="7">
        <v>38</v>
      </c>
      <c r="M913" s="7">
        <f>IF(INDEX([1]equip.xml!$B:$B,MATCH(D913&amp;"",[1]equip.xml!$A:$A,0))=0,0,N913)</f>
        <v>130</v>
      </c>
      <c r="N913" s="7">
        <f t="shared" ref="N913" si="1199">N825</f>
        <v>130</v>
      </c>
    </row>
    <row r="914" spans="1:14">
      <c r="A914" s="7">
        <v>10015</v>
      </c>
      <c r="B914" s="7">
        <f t="shared" ref="B914:C914" si="1200">B826</f>
        <v>40000</v>
      </c>
      <c r="C914" s="7" t="str">
        <f t="shared" si="1200"/>
        <v>装备</v>
      </c>
      <c r="D914" s="7">
        <v>40500090</v>
      </c>
      <c r="E914" s="7"/>
      <c r="F914" s="7">
        <v>1</v>
      </c>
      <c r="G914" s="7">
        <f>3*INDEX([1]equip.xml!$I:$I,MATCH(D914&amp;"",[1]equip.xml!$A:$A,0))</f>
        <v>150000</v>
      </c>
      <c r="H914" s="7" t="str">
        <f t="shared" si="1166"/>
        <v>10_10,50_20,80_30</v>
      </c>
      <c r="I914" s="7">
        <f t="shared" si="1167"/>
        <v>6</v>
      </c>
      <c r="J914" s="7">
        <f t="shared" si="1167"/>
        <v>50</v>
      </c>
      <c r="K914" s="7" t="s">
        <v>311</v>
      </c>
      <c r="L914" s="7">
        <v>38</v>
      </c>
      <c r="M914" s="7">
        <f>IF(INDEX([1]equip.xml!$B:$B,MATCH(D914&amp;"",[1]equip.xml!$A:$A,0))=0,0,N914)</f>
        <v>130</v>
      </c>
      <c r="N914" s="7">
        <f t="shared" ref="N914" si="1201">N826</f>
        <v>130</v>
      </c>
    </row>
    <row r="915" spans="1:14">
      <c r="A915" s="7">
        <v>10015</v>
      </c>
      <c r="B915" s="7">
        <f t="shared" ref="B915:C915" si="1202">B827</f>
        <v>40000</v>
      </c>
      <c r="C915" s="7" t="str">
        <f t="shared" si="1202"/>
        <v>装备</v>
      </c>
      <c r="D915" s="7">
        <v>40500100</v>
      </c>
      <c r="E915" s="7"/>
      <c r="F915" s="7">
        <v>1</v>
      </c>
      <c r="G915" s="7">
        <f>3*INDEX([1]equip.xml!$I:$I,MATCH(D915&amp;"",[1]equip.xml!$A:$A,0))</f>
        <v>150000</v>
      </c>
      <c r="H915" s="7" t="str">
        <f t="shared" si="1166"/>
        <v>10_10,50_20,80_30</v>
      </c>
      <c r="I915" s="7">
        <f t="shared" si="1167"/>
        <v>6</v>
      </c>
      <c r="J915" s="7">
        <f t="shared" si="1167"/>
        <v>50</v>
      </c>
      <c r="K915" s="7" t="s">
        <v>311</v>
      </c>
      <c r="L915" s="7">
        <v>38</v>
      </c>
      <c r="M915" s="7">
        <f>IF(INDEX([1]equip.xml!$B:$B,MATCH(D915&amp;"",[1]equip.xml!$A:$A,0))=0,0,N915)</f>
        <v>130</v>
      </c>
      <c r="N915" s="7">
        <f t="shared" ref="N915" si="1203">N827</f>
        <v>130</v>
      </c>
    </row>
    <row r="916" spans="1:14">
      <c r="A916" s="7">
        <v>10015</v>
      </c>
      <c r="B916" s="7">
        <f t="shared" ref="B916:C916" si="1204">B828</f>
        <v>40000</v>
      </c>
      <c r="C916" s="7" t="str">
        <f t="shared" si="1204"/>
        <v>装备</v>
      </c>
      <c r="D916" s="7">
        <v>40501050</v>
      </c>
      <c r="E916" s="7"/>
      <c r="F916" s="7">
        <v>1</v>
      </c>
      <c r="G916" s="7">
        <f>3*INDEX([1]equip.xml!$I:$I,MATCH(D916&amp;"",[1]equip.xml!$A:$A,0))</f>
        <v>150000</v>
      </c>
      <c r="H916" s="7" t="str">
        <f t="shared" si="1166"/>
        <v>10_10,50_20,80_30</v>
      </c>
      <c r="I916" s="7">
        <f t="shared" si="1167"/>
        <v>6</v>
      </c>
      <c r="J916" s="7">
        <f t="shared" si="1167"/>
        <v>50</v>
      </c>
      <c r="K916" s="7" t="s">
        <v>311</v>
      </c>
      <c r="L916" s="7">
        <v>38</v>
      </c>
      <c r="M916" s="7">
        <f>IF(INDEX([1]equip.xml!$B:$B,MATCH(D916&amp;"",[1]equip.xml!$A:$A,0))=0,0,N916)</f>
        <v>130</v>
      </c>
      <c r="N916" s="7">
        <f t="shared" ref="N916" si="1205">N828</f>
        <v>130</v>
      </c>
    </row>
    <row r="917" spans="1:14">
      <c r="A917" s="7">
        <v>10015</v>
      </c>
      <c r="B917" s="7">
        <f t="shared" ref="B917:C917" si="1206">B829</f>
        <v>40000</v>
      </c>
      <c r="C917" s="7" t="str">
        <f t="shared" si="1206"/>
        <v>装备</v>
      </c>
      <c r="D917" s="7">
        <v>40501051</v>
      </c>
      <c r="E917" s="7"/>
      <c r="F917" s="7">
        <v>1</v>
      </c>
      <c r="G917" s="7">
        <f>3*INDEX([1]equip.xml!$I:$I,MATCH(D917&amp;"",[1]equip.xml!$A:$A,0))</f>
        <v>159000</v>
      </c>
      <c r="H917" s="7" t="str">
        <f t="shared" si="1166"/>
        <v>10_10,50_20,80_30</v>
      </c>
      <c r="I917" s="7">
        <f t="shared" si="1167"/>
        <v>6</v>
      </c>
      <c r="J917" s="7">
        <f t="shared" si="1167"/>
        <v>50</v>
      </c>
      <c r="K917" s="7" t="s">
        <v>311</v>
      </c>
      <c r="L917" s="7">
        <v>38</v>
      </c>
      <c r="M917" s="7">
        <f>IF(INDEX([1]equip.xml!$B:$B,MATCH(D917&amp;"",[1]equip.xml!$A:$A,0))=0,0,N917)</f>
        <v>130</v>
      </c>
      <c r="N917" s="7">
        <f t="shared" ref="N917" si="1207">N829</f>
        <v>130</v>
      </c>
    </row>
    <row r="918" spans="1:14">
      <c r="A918" s="7">
        <v>10015</v>
      </c>
      <c r="B918" s="7">
        <f t="shared" ref="B918:C918" si="1208">B830</f>
        <v>40000</v>
      </c>
      <c r="C918" s="7" t="str">
        <f t="shared" si="1208"/>
        <v>装备</v>
      </c>
      <c r="D918" s="7">
        <v>40501060</v>
      </c>
      <c r="E918" s="7"/>
      <c r="F918" s="7">
        <v>1</v>
      </c>
      <c r="G918" s="7">
        <f>3*INDEX([1]equip.xml!$I:$I,MATCH(D918&amp;"",[1]equip.xml!$A:$A,0))</f>
        <v>150000</v>
      </c>
      <c r="H918" s="7" t="str">
        <f t="shared" si="1166"/>
        <v>10_10,50_20,80_30</v>
      </c>
      <c r="I918" s="7">
        <f t="shared" si="1167"/>
        <v>6</v>
      </c>
      <c r="J918" s="7">
        <f t="shared" si="1167"/>
        <v>50</v>
      </c>
      <c r="K918" s="7" t="s">
        <v>311</v>
      </c>
      <c r="L918" s="7">
        <v>38</v>
      </c>
      <c r="M918" s="7">
        <f>IF(INDEX([1]equip.xml!$B:$B,MATCH(D918&amp;"",[1]equip.xml!$A:$A,0))=0,0,N918)</f>
        <v>130</v>
      </c>
      <c r="N918" s="7">
        <f t="shared" ref="N918" si="1209">N830</f>
        <v>130</v>
      </c>
    </row>
    <row r="919" spans="1:14">
      <c r="A919" s="7">
        <v>10015</v>
      </c>
      <c r="B919" s="7">
        <f t="shared" ref="B919:C919" si="1210">B831</f>
        <v>40000</v>
      </c>
      <c r="C919" s="7" t="str">
        <f t="shared" si="1210"/>
        <v>装备</v>
      </c>
      <c r="D919" s="7">
        <v>40501061</v>
      </c>
      <c r="E919" s="7"/>
      <c r="F919" s="7">
        <v>1</v>
      </c>
      <c r="G919" s="7">
        <f>3*INDEX([1]equip.xml!$I:$I,MATCH(D919&amp;"",[1]equip.xml!$A:$A,0))</f>
        <v>159000</v>
      </c>
      <c r="H919" s="7" t="str">
        <f t="shared" si="1166"/>
        <v>10_10,50_20,80_30</v>
      </c>
      <c r="I919" s="7">
        <f t="shared" si="1167"/>
        <v>6</v>
      </c>
      <c r="J919" s="7">
        <f t="shared" si="1167"/>
        <v>50</v>
      </c>
      <c r="K919" s="7" t="s">
        <v>311</v>
      </c>
      <c r="L919" s="7">
        <v>38</v>
      </c>
      <c r="M919" s="7">
        <f>IF(INDEX([1]equip.xml!$B:$B,MATCH(D919&amp;"",[1]equip.xml!$A:$A,0))=0,0,N919)</f>
        <v>130</v>
      </c>
      <c r="N919" s="7">
        <f t="shared" ref="N919" si="1211">N831</f>
        <v>130</v>
      </c>
    </row>
    <row r="920" spans="1:14">
      <c r="A920" s="7">
        <v>10015</v>
      </c>
      <c r="B920" s="7">
        <f t="shared" ref="B920:C920" si="1212">B832</f>
        <v>40000</v>
      </c>
      <c r="C920" s="7" t="str">
        <f t="shared" si="1212"/>
        <v>装备</v>
      </c>
      <c r="D920" s="7">
        <v>40502050</v>
      </c>
      <c r="E920" s="7"/>
      <c r="F920" s="7">
        <v>1</v>
      </c>
      <c r="G920" s="7">
        <f>3*INDEX([1]equip.xml!$I:$I,MATCH(D920&amp;"",[1]equip.xml!$A:$A,0))</f>
        <v>150000</v>
      </c>
      <c r="H920" s="7" t="str">
        <f t="shared" si="1166"/>
        <v>10_10,50_20,80_30</v>
      </c>
      <c r="I920" s="7">
        <f t="shared" si="1167"/>
        <v>6</v>
      </c>
      <c r="J920" s="7">
        <f t="shared" si="1167"/>
        <v>50</v>
      </c>
      <c r="K920" s="7" t="s">
        <v>311</v>
      </c>
      <c r="L920" s="7">
        <v>38</v>
      </c>
      <c r="M920" s="7">
        <f>IF(INDEX([1]equip.xml!$B:$B,MATCH(D920&amp;"",[1]equip.xml!$A:$A,0))=0,0,N920)</f>
        <v>130</v>
      </c>
      <c r="N920" s="7">
        <f t="shared" ref="N920" si="1213">N832</f>
        <v>130</v>
      </c>
    </row>
    <row r="921" spans="1:14">
      <c r="A921" s="7">
        <v>10015</v>
      </c>
      <c r="B921" s="7">
        <f t="shared" ref="B921:C921" si="1214">B833</f>
        <v>40000</v>
      </c>
      <c r="C921" s="7" t="str">
        <f t="shared" si="1214"/>
        <v>装备</v>
      </c>
      <c r="D921" s="7">
        <v>40502051</v>
      </c>
      <c r="E921" s="7"/>
      <c r="F921" s="7">
        <v>1</v>
      </c>
      <c r="G921" s="7">
        <f>3*INDEX([1]equip.xml!$I:$I,MATCH(D921&amp;"",[1]equip.xml!$A:$A,0))</f>
        <v>159000</v>
      </c>
      <c r="H921" s="7" t="str">
        <f t="shared" si="1166"/>
        <v>10_10,50_20,80_30</v>
      </c>
      <c r="I921" s="7">
        <f t="shared" si="1167"/>
        <v>6</v>
      </c>
      <c r="J921" s="7">
        <f t="shared" si="1167"/>
        <v>50</v>
      </c>
      <c r="K921" s="7" t="s">
        <v>311</v>
      </c>
      <c r="L921" s="7">
        <v>38</v>
      </c>
      <c r="M921" s="7">
        <f>IF(INDEX([1]equip.xml!$B:$B,MATCH(D921&amp;"",[1]equip.xml!$A:$A,0))=0,0,N921)</f>
        <v>130</v>
      </c>
      <c r="N921" s="7">
        <f t="shared" ref="N921" si="1215">N833</f>
        <v>130</v>
      </c>
    </row>
    <row r="922" spans="1:14">
      <c r="A922" s="7">
        <v>10015</v>
      </c>
      <c r="B922" s="7">
        <f t="shared" ref="B922:C922" si="1216">B834</f>
        <v>40000</v>
      </c>
      <c r="C922" s="7" t="str">
        <f t="shared" si="1216"/>
        <v>装备</v>
      </c>
      <c r="D922" s="7">
        <v>40502060</v>
      </c>
      <c r="E922" s="7"/>
      <c r="F922" s="7">
        <v>1</v>
      </c>
      <c r="G922" s="7">
        <f>3*INDEX([1]equip.xml!$I:$I,MATCH(D922&amp;"",[1]equip.xml!$A:$A,0))</f>
        <v>150000</v>
      </c>
      <c r="H922" s="7" t="str">
        <f t="shared" si="1166"/>
        <v>10_10,50_20,80_30</v>
      </c>
      <c r="I922" s="7">
        <f t="shared" si="1167"/>
        <v>6</v>
      </c>
      <c r="J922" s="7">
        <f t="shared" si="1167"/>
        <v>50</v>
      </c>
      <c r="K922" s="7" t="s">
        <v>311</v>
      </c>
      <c r="L922" s="7">
        <v>38</v>
      </c>
      <c r="M922" s="7">
        <f>IF(INDEX([1]equip.xml!$B:$B,MATCH(D922&amp;"",[1]equip.xml!$A:$A,0))=0,0,N922)</f>
        <v>130</v>
      </c>
      <c r="N922" s="7">
        <f t="shared" ref="N922" si="1217">N834</f>
        <v>130</v>
      </c>
    </row>
    <row r="923" spans="1:14">
      <c r="A923" s="7">
        <v>10015</v>
      </c>
      <c r="B923" s="7">
        <f t="shared" ref="B923:C923" si="1218">B835</f>
        <v>40000</v>
      </c>
      <c r="C923" s="7" t="str">
        <f t="shared" si="1218"/>
        <v>装备</v>
      </c>
      <c r="D923" s="7">
        <v>40502061</v>
      </c>
      <c r="E923" s="7"/>
      <c r="F923" s="7">
        <v>1</v>
      </c>
      <c r="G923" s="7">
        <f>3*INDEX([1]equip.xml!$I:$I,MATCH(D923&amp;"",[1]equip.xml!$A:$A,0))</f>
        <v>159000</v>
      </c>
      <c r="H923" s="7" t="str">
        <f t="shared" si="1166"/>
        <v>10_10,50_20,80_30</v>
      </c>
      <c r="I923" s="7">
        <f t="shared" si="1167"/>
        <v>6</v>
      </c>
      <c r="J923" s="7">
        <f t="shared" si="1167"/>
        <v>50</v>
      </c>
      <c r="K923" s="7" t="s">
        <v>311</v>
      </c>
      <c r="L923" s="7">
        <v>38</v>
      </c>
      <c r="M923" s="7">
        <f>IF(INDEX([1]equip.xml!$B:$B,MATCH(D923&amp;"",[1]equip.xml!$A:$A,0))=0,0,N923)</f>
        <v>130</v>
      </c>
      <c r="N923" s="7">
        <f t="shared" ref="N923" si="1219">N835</f>
        <v>130</v>
      </c>
    </row>
    <row r="924" spans="1:14">
      <c r="A924" s="7">
        <v>10015</v>
      </c>
      <c r="B924" s="7">
        <f t="shared" ref="B924:C924" si="1220">B836</f>
        <v>40000</v>
      </c>
      <c r="C924" s="7" t="str">
        <f t="shared" si="1220"/>
        <v>装备</v>
      </c>
      <c r="D924" s="7">
        <v>40503050</v>
      </c>
      <c r="E924" s="7"/>
      <c r="F924" s="7">
        <v>1</v>
      </c>
      <c r="G924" s="7">
        <f>3*INDEX([1]equip.xml!$I:$I,MATCH(D924&amp;"",[1]equip.xml!$A:$A,0))</f>
        <v>150000</v>
      </c>
      <c r="H924" s="7" t="str">
        <f t="shared" si="1166"/>
        <v>10_10,50_20,80_30</v>
      </c>
      <c r="I924" s="7">
        <f t="shared" si="1167"/>
        <v>6</v>
      </c>
      <c r="J924" s="7">
        <f t="shared" si="1167"/>
        <v>50</v>
      </c>
      <c r="K924" s="7" t="s">
        <v>311</v>
      </c>
      <c r="L924" s="7">
        <v>38</v>
      </c>
      <c r="M924" s="7">
        <f>IF(INDEX([1]equip.xml!$B:$B,MATCH(D924&amp;"",[1]equip.xml!$A:$A,0))=0,0,N924)</f>
        <v>130</v>
      </c>
      <c r="N924" s="7">
        <f t="shared" ref="N924" si="1221">N836</f>
        <v>130</v>
      </c>
    </row>
    <row r="925" spans="1:14">
      <c r="A925" s="7">
        <v>10015</v>
      </c>
      <c r="B925" s="7">
        <f t="shared" ref="B925:C925" si="1222">B837</f>
        <v>40000</v>
      </c>
      <c r="C925" s="7" t="str">
        <f t="shared" si="1222"/>
        <v>装备</v>
      </c>
      <c r="D925" s="7">
        <v>40503051</v>
      </c>
      <c r="E925" s="7"/>
      <c r="F925" s="7">
        <v>1</v>
      </c>
      <c r="G925" s="7">
        <f>3*INDEX([1]equip.xml!$I:$I,MATCH(D925&amp;"",[1]equip.xml!$A:$A,0))</f>
        <v>159000</v>
      </c>
      <c r="H925" s="7" t="str">
        <f t="shared" si="1166"/>
        <v>10_10,50_20,80_30</v>
      </c>
      <c r="I925" s="7">
        <f t="shared" si="1167"/>
        <v>6</v>
      </c>
      <c r="J925" s="7">
        <f t="shared" si="1167"/>
        <v>50</v>
      </c>
      <c r="K925" s="7" t="s">
        <v>311</v>
      </c>
      <c r="L925" s="7">
        <v>38</v>
      </c>
      <c r="M925" s="7">
        <f>IF(INDEX([1]equip.xml!$B:$B,MATCH(D925&amp;"",[1]equip.xml!$A:$A,0))=0,0,N925)</f>
        <v>130</v>
      </c>
      <c r="N925" s="7">
        <f t="shared" ref="N925" si="1223">N837</f>
        <v>130</v>
      </c>
    </row>
    <row r="926" spans="1:14">
      <c r="A926" s="7">
        <v>10015</v>
      </c>
      <c r="B926" s="7">
        <f t="shared" ref="B926:C926" si="1224">B838</f>
        <v>40000</v>
      </c>
      <c r="C926" s="7" t="str">
        <f t="shared" si="1224"/>
        <v>装备</v>
      </c>
      <c r="D926" s="7">
        <v>40503060</v>
      </c>
      <c r="E926" s="7"/>
      <c r="F926" s="7">
        <v>1</v>
      </c>
      <c r="G926" s="7">
        <f>3*INDEX([1]equip.xml!$I:$I,MATCH(D926&amp;"",[1]equip.xml!$A:$A,0))</f>
        <v>150000</v>
      </c>
      <c r="H926" s="7" t="str">
        <f t="shared" si="1166"/>
        <v>10_10,50_20,80_30</v>
      </c>
      <c r="I926" s="7">
        <f t="shared" si="1167"/>
        <v>6</v>
      </c>
      <c r="J926" s="7">
        <f t="shared" si="1167"/>
        <v>50</v>
      </c>
      <c r="K926" s="7" t="s">
        <v>311</v>
      </c>
      <c r="L926" s="7">
        <v>38</v>
      </c>
      <c r="M926" s="7">
        <f>IF(INDEX([1]equip.xml!$B:$B,MATCH(D926&amp;"",[1]equip.xml!$A:$A,0))=0,0,N926)</f>
        <v>130</v>
      </c>
      <c r="N926" s="7">
        <f t="shared" ref="N926" si="1225">N838</f>
        <v>130</v>
      </c>
    </row>
    <row r="927" spans="1:14">
      <c r="A927" s="7">
        <v>10015</v>
      </c>
      <c r="B927" s="7">
        <f t="shared" ref="B927:C927" si="1226">B839</f>
        <v>40000</v>
      </c>
      <c r="C927" s="7" t="str">
        <f t="shared" si="1226"/>
        <v>装备</v>
      </c>
      <c r="D927" s="7">
        <v>40503061</v>
      </c>
      <c r="E927" s="7"/>
      <c r="F927" s="7">
        <v>1</v>
      </c>
      <c r="G927" s="7">
        <f>3*INDEX([1]equip.xml!$I:$I,MATCH(D927&amp;"",[1]equip.xml!$A:$A,0))</f>
        <v>159000</v>
      </c>
      <c r="H927" s="7" t="str">
        <f t="shared" si="1166"/>
        <v>10_10,50_20,80_30</v>
      </c>
      <c r="I927" s="7">
        <f t="shared" si="1167"/>
        <v>6</v>
      </c>
      <c r="J927" s="7">
        <f t="shared" si="1167"/>
        <v>50</v>
      </c>
      <c r="K927" s="7" t="s">
        <v>311</v>
      </c>
      <c r="L927" s="7">
        <v>38</v>
      </c>
      <c r="M927" s="7">
        <f>IF(INDEX([1]equip.xml!$B:$B,MATCH(D927&amp;"",[1]equip.xml!$A:$A,0))=0,0,N927)</f>
        <v>130</v>
      </c>
      <c r="N927" s="7">
        <f t="shared" ref="N927" si="1227">N839</f>
        <v>130</v>
      </c>
    </row>
    <row r="928" spans="1:14">
      <c r="A928" s="7">
        <v>10015</v>
      </c>
      <c r="B928" s="7">
        <f t="shared" ref="B928:C928" si="1228">B840</f>
        <v>40000</v>
      </c>
      <c r="C928" s="7" t="str">
        <f t="shared" si="1228"/>
        <v>装备</v>
      </c>
      <c r="D928" s="7">
        <v>40500040</v>
      </c>
      <c r="E928" s="7"/>
      <c r="F928" s="7">
        <v>1</v>
      </c>
      <c r="G928" s="7">
        <f>3*INDEX([1]equip.xml!$I:$I,MATCH(D928&amp;"",[1]equip.xml!$A:$A,0))</f>
        <v>150000</v>
      </c>
      <c r="H928" s="7" t="str">
        <f t="shared" si="1166"/>
        <v>10_10,50_20,80_30</v>
      </c>
      <c r="I928" s="7">
        <f t="shared" si="1167"/>
        <v>6</v>
      </c>
      <c r="J928" s="7">
        <f t="shared" si="1167"/>
        <v>50</v>
      </c>
      <c r="K928" s="7" t="s">
        <v>311</v>
      </c>
      <c r="L928" s="7">
        <v>38</v>
      </c>
      <c r="M928" s="7">
        <f>IF(INDEX([1]equip.xml!$B:$B,MATCH(D928&amp;"",[1]equip.xml!$A:$A,0))=0,0,N928)</f>
        <v>130</v>
      </c>
      <c r="N928" s="7">
        <f t="shared" ref="N928" si="1229">N840</f>
        <v>130</v>
      </c>
    </row>
    <row r="929" spans="1:14">
      <c r="A929" s="7">
        <v>10015</v>
      </c>
      <c r="B929" s="7">
        <f t="shared" ref="B929:C929" si="1230">B841</f>
        <v>40000</v>
      </c>
      <c r="C929" s="7" t="str">
        <f t="shared" si="1230"/>
        <v>装备</v>
      </c>
      <c r="D929" s="7">
        <v>40500041</v>
      </c>
      <c r="E929" s="7"/>
      <c r="F929" s="7">
        <v>1</v>
      </c>
      <c r="G929" s="7">
        <f>3*INDEX([1]equip.xml!$I:$I,MATCH(D929&amp;"",[1]equip.xml!$A:$A,0))</f>
        <v>159000</v>
      </c>
      <c r="H929" s="7" t="str">
        <f t="shared" si="1166"/>
        <v>10_10,50_20,80_30</v>
      </c>
      <c r="I929" s="7">
        <f t="shared" si="1167"/>
        <v>6</v>
      </c>
      <c r="J929" s="7">
        <f t="shared" si="1167"/>
        <v>50</v>
      </c>
      <c r="K929" s="7" t="s">
        <v>311</v>
      </c>
      <c r="L929" s="7">
        <v>38</v>
      </c>
      <c r="M929" s="7">
        <f>IF(INDEX([1]equip.xml!$B:$B,MATCH(D929&amp;"",[1]equip.xml!$A:$A,0))=0,0,N929)</f>
        <v>0</v>
      </c>
      <c r="N929" s="7">
        <f t="shared" ref="N929" si="1231">N841</f>
        <v>130</v>
      </c>
    </row>
    <row r="930" spans="1:14">
      <c r="A930" s="7">
        <v>10015</v>
      </c>
      <c r="B930" s="7">
        <f t="shared" ref="B930:C930" si="1232">B842</f>
        <v>40000</v>
      </c>
      <c r="C930" s="7" t="str">
        <f t="shared" si="1232"/>
        <v>装备</v>
      </c>
      <c r="D930" s="7">
        <v>40500070</v>
      </c>
      <c r="E930" s="7"/>
      <c r="F930" s="7">
        <v>1</v>
      </c>
      <c r="G930" s="7">
        <f>3*INDEX([1]equip.xml!$I:$I,MATCH(D930&amp;"",[1]equip.xml!$A:$A,0))</f>
        <v>150000</v>
      </c>
      <c r="H930" s="7" t="str">
        <f t="shared" si="1166"/>
        <v>10_10,50_20,80_30</v>
      </c>
      <c r="I930" s="7">
        <f t="shared" si="1167"/>
        <v>6</v>
      </c>
      <c r="J930" s="7">
        <f t="shared" si="1167"/>
        <v>50</v>
      </c>
      <c r="K930" s="7" t="s">
        <v>311</v>
      </c>
      <c r="L930" s="7">
        <v>38</v>
      </c>
      <c r="M930" s="7">
        <f>IF(INDEX([1]equip.xml!$B:$B,MATCH(D930&amp;"",[1]equip.xml!$A:$A,0))=0,0,N930)</f>
        <v>130</v>
      </c>
      <c r="N930" s="7">
        <f t="shared" ref="N930" si="1233">N842</f>
        <v>130</v>
      </c>
    </row>
    <row r="931" spans="1:14">
      <c r="A931" s="7">
        <v>10015</v>
      </c>
      <c r="B931" s="7">
        <f t="shared" ref="B931:C931" si="1234">B843</f>
        <v>40000</v>
      </c>
      <c r="C931" s="7" t="str">
        <f t="shared" si="1234"/>
        <v>装备</v>
      </c>
      <c r="D931" s="7">
        <v>40500071</v>
      </c>
      <c r="E931" s="7"/>
      <c r="F931" s="7">
        <v>1</v>
      </c>
      <c r="G931" s="7">
        <f>3*INDEX([1]equip.xml!$I:$I,MATCH(D931&amp;"",[1]equip.xml!$A:$A,0))</f>
        <v>159000</v>
      </c>
      <c r="H931" s="7" t="str">
        <f t="shared" si="1166"/>
        <v>10_10,50_20,80_30</v>
      </c>
      <c r="I931" s="7">
        <f t="shared" si="1167"/>
        <v>6</v>
      </c>
      <c r="J931" s="7">
        <f t="shared" si="1167"/>
        <v>50</v>
      </c>
      <c r="K931" s="7" t="s">
        <v>311</v>
      </c>
      <c r="L931" s="7">
        <v>38</v>
      </c>
      <c r="M931" s="7">
        <f>IF(INDEX([1]equip.xml!$B:$B,MATCH(D931&amp;"",[1]equip.xml!$A:$A,0))=0,0,N931)</f>
        <v>0</v>
      </c>
      <c r="N931" s="7">
        <f t="shared" ref="N931" si="1235">N843</f>
        <v>130</v>
      </c>
    </row>
    <row r="932" spans="1:14">
      <c r="A932" s="7">
        <v>10015</v>
      </c>
      <c r="B932" s="7">
        <f t="shared" ref="B932:C932" si="1236">B844</f>
        <v>40000</v>
      </c>
      <c r="C932" s="7" t="str">
        <f t="shared" si="1236"/>
        <v>装备</v>
      </c>
      <c r="D932" s="7">
        <v>40550010</v>
      </c>
      <c r="E932" s="7"/>
      <c r="F932" s="7">
        <v>1</v>
      </c>
      <c r="G932" s="7">
        <f>3*INDEX([1]equip.xml!$I:$I,MATCH(D932&amp;"",[1]equip.xml!$A:$A,0))</f>
        <v>165000</v>
      </c>
      <c r="H932" s="7" t="str">
        <f t="shared" si="1166"/>
        <v>10_10,50_20,80_30</v>
      </c>
      <c r="I932" s="7">
        <f t="shared" si="1167"/>
        <v>6</v>
      </c>
      <c r="J932" s="7">
        <f t="shared" si="1167"/>
        <v>50</v>
      </c>
      <c r="K932" s="7" t="s">
        <v>311</v>
      </c>
      <c r="L932" s="7">
        <v>38</v>
      </c>
      <c r="M932" s="7">
        <f>IF(INDEX([1]equip.xml!$B:$B,MATCH(D932&amp;"",[1]equip.xml!$A:$A,0))=0,0,N932)</f>
        <v>32</v>
      </c>
      <c r="N932" s="7">
        <f t="shared" ref="N932" si="1237">N844</f>
        <v>32</v>
      </c>
    </row>
    <row r="933" spans="1:14">
      <c r="A933" s="7">
        <v>10015</v>
      </c>
      <c r="B933" s="7">
        <f t="shared" ref="B933:C933" si="1238">B845</f>
        <v>40000</v>
      </c>
      <c r="C933" s="7" t="str">
        <f t="shared" si="1238"/>
        <v>装备</v>
      </c>
      <c r="D933" s="7">
        <v>40550020</v>
      </c>
      <c r="E933" s="7"/>
      <c r="F933" s="7">
        <v>1</v>
      </c>
      <c r="G933" s="7">
        <f>3*INDEX([1]equip.xml!$I:$I,MATCH(D933&amp;"",[1]equip.xml!$A:$A,0))</f>
        <v>165000</v>
      </c>
      <c r="H933" s="7" t="str">
        <f t="shared" si="1166"/>
        <v>10_10,50_20,80_30</v>
      </c>
      <c r="I933" s="7">
        <f t="shared" si="1167"/>
        <v>6</v>
      </c>
      <c r="J933" s="7">
        <f t="shared" si="1167"/>
        <v>50</v>
      </c>
      <c r="K933" s="7" t="s">
        <v>311</v>
      </c>
      <c r="L933" s="7">
        <v>38</v>
      </c>
      <c r="M933" s="7">
        <f>IF(INDEX([1]equip.xml!$B:$B,MATCH(D933&amp;"",[1]equip.xml!$A:$A,0))=0,0,N933)</f>
        <v>32</v>
      </c>
      <c r="N933" s="7">
        <f t="shared" ref="N933" si="1239">N845</f>
        <v>32</v>
      </c>
    </row>
    <row r="934" spans="1:14">
      <c r="A934" s="7">
        <v>10015</v>
      </c>
      <c r="B934" s="7">
        <f t="shared" ref="B934:C934" si="1240">B846</f>
        <v>40000</v>
      </c>
      <c r="C934" s="7" t="str">
        <f t="shared" si="1240"/>
        <v>装备</v>
      </c>
      <c r="D934" s="7">
        <v>40550030</v>
      </c>
      <c r="E934" s="7"/>
      <c r="F934" s="7">
        <v>1</v>
      </c>
      <c r="G934" s="7">
        <f>3*INDEX([1]equip.xml!$I:$I,MATCH(D934&amp;"",[1]equip.xml!$A:$A,0))</f>
        <v>165000</v>
      </c>
      <c r="H934" s="7" t="str">
        <f t="shared" si="1166"/>
        <v>10_10,50_20,80_30</v>
      </c>
      <c r="I934" s="7">
        <f t="shared" si="1167"/>
        <v>6</v>
      </c>
      <c r="J934" s="7">
        <f t="shared" si="1167"/>
        <v>50</v>
      </c>
      <c r="K934" s="7" t="s">
        <v>311</v>
      </c>
      <c r="L934" s="7">
        <v>38</v>
      </c>
      <c r="M934" s="7">
        <f>IF(INDEX([1]equip.xml!$B:$B,MATCH(D934&amp;"",[1]equip.xml!$A:$A,0))=0,0,N934)</f>
        <v>32</v>
      </c>
      <c r="N934" s="7">
        <f t="shared" ref="N934" si="1241">N846</f>
        <v>32</v>
      </c>
    </row>
    <row r="935" spans="1:14">
      <c r="A935" s="7">
        <v>10015</v>
      </c>
      <c r="B935" s="7">
        <f t="shared" ref="B935:C935" si="1242">B847</f>
        <v>40000</v>
      </c>
      <c r="C935" s="7" t="str">
        <f t="shared" si="1242"/>
        <v>装备</v>
      </c>
      <c r="D935" s="7">
        <v>40550080</v>
      </c>
      <c r="E935" s="7"/>
      <c r="F935" s="7">
        <v>1</v>
      </c>
      <c r="G935" s="7">
        <f>3*INDEX([1]equip.xml!$I:$I,MATCH(D935&amp;"",[1]equip.xml!$A:$A,0))</f>
        <v>165000</v>
      </c>
      <c r="H935" s="7" t="str">
        <f t="shared" si="1166"/>
        <v>10_10,50_20,80_30</v>
      </c>
      <c r="I935" s="7">
        <f t="shared" si="1167"/>
        <v>6</v>
      </c>
      <c r="J935" s="7">
        <f t="shared" si="1167"/>
        <v>50</v>
      </c>
      <c r="K935" s="7" t="s">
        <v>311</v>
      </c>
      <c r="L935" s="7">
        <v>38</v>
      </c>
      <c r="M935" s="7">
        <f>IF(INDEX([1]equip.xml!$B:$B,MATCH(D935&amp;"",[1]equip.xml!$A:$A,0))=0,0,N935)</f>
        <v>32</v>
      </c>
      <c r="N935" s="7">
        <f t="shared" ref="N935" si="1243">N847</f>
        <v>32</v>
      </c>
    </row>
    <row r="936" spans="1:14">
      <c r="A936" s="7">
        <v>10015</v>
      </c>
      <c r="B936" s="7">
        <f t="shared" ref="B936:C936" si="1244">B848</f>
        <v>40000</v>
      </c>
      <c r="C936" s="7" t="str">
        <f t="shared" si="1244"/>
        <v>装备</v>
      </c>
      <c r="D936" s="7">
        <v>40550090</v>
      </c>
      <c r="E936" s="7"/>
      <c r="F936" s="7">
        <v>1</v>
      </c>
      <c r="G936" s="7">
        <f>3*INDEX([1]equip.xml!$I:$I,MATCH(D936&amp;"",[1]equip.xml!$A:$A,0))</f>
        <v>165000</v>
      </c>
      <c r="H936" s="7" t="str">
        <f t="shared" si="1166"/>
        <v>10_10,50_20,80_30</v>
      </c>
      <c r="I936" s="7">
        <f t="shared" si="1167"/>
        <v>6</v>
      </c>
      <c r="J936" s="7">
        <f t="shared" si="1167"/>
        <v>50</v>
      </c>
      <c r="K936" s="7" t="s">
        <v>311</v>
      </c>
      <c r="L936" s="7">
        <v>38</v>
      </c>
      <c r="M936" s="7">
        <f>IF(INDEX([1]equip.xml!$B:$B,MATCH(D936&amp;"",[1]equip.xml!$A:$A,0))=0,0,N936)</f>
        <v>0</v>
      </c>
      <c r="N936" s="7">
        <f t="shared" ref="N936" si="1245">N848</f>
        <v>32</v>
      </c>
    </row>
    <row r="937" spans="1:14">
      <c r="A937" s="7">
        <v>10015</v>
      </c>
      <c r="B937" s="7">
        <f t="shared" ref="B937:C937" si="1246">B849</f>
        <v>40000</v>
      </c>
      <c r="C937" s="7" t="str">
        <f t="shared" si="1246"/>
        <v>装备</v>
      </c>
      <c r="D937" s="7">
        <v>40550100</v>
      </c>
      <c r="E937" s="7"/>
      <c r="F937" s="7">
        <v>1</v>
      </c>
      <c r="G937" s="7">
        <f>3*INDEX([1]equip.xml!$I:$I,MATCH(D937&amp;"",[1]equip.xml!$A:$A,0))</f>
        <v>165000</v>
      </c>
      <c r="H937" s="7" t="str">
        <f t="shared" si="1166"/>
        <v>10_10,50_20,80_30</v>
      </c>
      <c r="I937" s="7">
        <f t="shared" si="1167"/>
        <v>6</v>
      </c>
      <c r="J937" s="7">
        <f t="shared" si="1167"/>
        <v>50</v>
      </c>
      <c r="K937" s="7" t="s">
        <v>311</v>
      </c>
      <c r="L937" s="7">
        <v>38</v>
      </c>
      <c r="M937" s="7">
        <f>IF(INDEX([1]equip.xml!$B:$B,MATCH(D937&amp;"",[1]equip.xml!$A:$A,0))=0,0,N937)</f>
        <v>32</v>
      </c>
      <c r="N937" s="7">
        <f t="shared" ref="N937" si="1247">N849</f>
        <v>32</v>
      </c>
    </row>
    <row r="938" spans="1:14">
      <c r="A938" s="7">
        <v>10015</v>
      </c>
      <c r="B938" s="7">
        <f t="shared" ref="B938:C938" si="1248">B850</f>
        <v>40000</v>
      </c>
      <c r="C938" s="7" t="str">
        <f t="shared" si="1248"/>
        <v>装备</v>
      </c>
      <c r="D938" s="7">
        <v>40551050</v>
      </c>
      <c r="E938" s="7"/>
      <c r="F938" s="7">
        <v>1</v>
      </c>
      <c r="G938" s="7">
        <f>3*INDEX([1]equip.xml!$I:$I,MATCH(D938&amp;"",[1]equip.xml!$A:$A,0))</f>
        <v>165000</v>
      </c>
      <c r="H938" s="7" t="str">
        <f t="shared" si="1166"/>
        <v>10_10,50_20,80_30</v>
      </c>
      <c r="I938" s="7">
        <f t="shared" si="1167"/>
        <v>6</v>
      </c>
      <c r="J938" s="7">
        <f t="shared" si="1167"/>
        <v>50</v>
      </c>
      <c r="K938" s="7" t="s">
        <v>311</v>
      </c>
      <c r="L938" s="7">
        <v>38</v>
      </c>
      <c r="M938" s="7">
        <f>IF(INDEX([1]equip.xml!$B:$B,MATCH(D938&amp;"",[1]equip.xml!$A:$A,0))=0,0,N938)</f>
        <v>32</v>
      </c>
      <c r="N938" s="7">
        <f t="shared" ref="N938" si="1249">N850</f>
        <v>32</v>
      </c>
    </row>
    <row r="939" spans="1:14">
      <c r="A939" s="7">
        <v>10015</v>
      </c>
      <c r="B939" s="7">
        <f t="shared" ref="B939:C939" si="1250">B851</f>
        <v>40000</v>
      </c>
      <c r="C939" s="7" t="str">
        <f t="shared" si="1250"/>
        <v>装备</v>
      </c>
      <c r="D939" s="7">
        <v>40551051</v>
      </c>
      <c r="E939" s="7"/>
      <c r="F939" s="7">
        <v>1</v>
      </c>
      <c r="G939" s="7">
        <f>3*INDEX([1]equip.xml!$I:$I,MATCH(D939&amp;"",[1]equip.xml!$A:$A,0))</f>
        <v>174000</v>
      </c>
      <c r="H939" s="7" t="str">
        <f t="shared" si="1166"/>
        <v>10_10,50_20,80_30</v>
      </c>
      <c r="I939" s="7">
        <f t="shared" si="1167"/>
        <v>6</v>
      </c>
      <c r="J939" s="7">
        <f t="shared" si="1167"/>
        <v>50</v>
      </c>
      <c r="K939" s="7" t="s">
        <v>311</v>
      </c>
      <c r="L939" s="7">
        <v>38</v>
      </c>
      <c r="M939" s="7">
        <f>IF(INDEX([1]equip.xml!$B:$B,MATCH(D939&amp;"",[1]equip.xml!$A:$A,0))=0,0,N939)</f>
        <v>0</v>
      </c>
      <c r="N939" s="7">
        <f t="shared" ref="N939" si="1251">N851</f>
        <v>32</v>
      </c>
    </row>
    <row r="940" spans="1:14">
      <c r="A940" s="7">
        <v>10015</v>
      </c>
      <c r="B940" s="7">
        <f t="shared" ref="B940:C940" si="1252">B852</f>
        <v>40000</v>
      </c>
      <c r="C940" s="7" t="str">
        <f t="shared" si="1252"/>
        <v>装备</v>
      </c>
      <c r="D940" s="7">
        <v>40551060</v>
      </c>
      <c r="E940" s="7"/>
      <c r="F940" s="7">
        <v>1</v>
      </c>
      <c r="G940" s="7">
        <f>3*INDEX([1]equip.xml!$I:$I,MATCH(D940&amp;"",[1]equip.xml!$A:$A,0))</f>
        <v>165000</v>
      </c>
      <c r="H940" s="7" t="str">
        <f t="shared" si="1166"/>
        <v>10_10,50_20,80_30</v>
      </c>
      <c r="I940" s="7">
        <f t="shared" si="1167"/>
        <v>6</v>
      </c>
      <c r="J940" s="7">
        <f t="shared" si="1167"/>
        <v>50</v>
      </c>
      <c r="K940" s="7" t="s">
        <v>311</v>
      </c>
      <c r="L940" s="7">
        <v>38</v>
      </c>
      <c r="M940" s="7">
        <f>IF(INDEX([1]equip.xml!$B:$B,MATCH(D940&amp;"",[1]equip.xml!$A:$A,0))=0,0,N940)</f>
        <v>32</v>
      </c>
      <c r="N940" s="7">
        <f t="shared" ref="N940" si="1253">N852</f>
        <v>32</v>
      </c>
    </row>
    <row r="941" spans="1:14">
      <c r="A941" s="7">
        <v>10015</v>
      </c>
      <c r="B941" s="7">
        <f t="shared" ref="B941:C941" si="1254">B853</f>
        <v>40000</v>
      </c>
      <c r="C941" s="7" t="str">
        <f t="shared" si="1254"/>
        <v>装备</v>
      </c>
      <c r="D941" s="7">
        <v>40551061</v>
      </c>
      <c r="E941" s="7"/>
      <c r="F941" s="7">
        <v>1</v>
      </c>
      <c r="G941" s="7">
        <f>3*INDEX([1]equip.xml!$I:$I,MATCH(D941&amp;"",[1]equip.xml!$A:$A,0))</f>
        <v>174000</v>
      </c>
      <c r="H941" s="7" t="str">
        <f t="shared" si="1166"/>
        <v>10_10,50_20,80_30</v>
      </c>
      <c r="I941" s="7">
        <f t="shared" si="1167"/>
        <v>6</v>
      </c>
      <c r="J941" s="7">
        <f t="shared" si="1167"/>
        <v>50</v>
      </c>
      <c r="K941" s="7" t="s">
        <v>311</v>
      </c>
      <c r="L941" s="7">
        <v>38</v>
      </c>
      <c r="M941" s="7">
        <f>IF(INDEX([1]equip.xml!$B:$B,MATCH(D941&amp;"",[1]equip.xml!$A:$A,0))=0,0,N941)</f>
        <v>32</v>
      </c>
      <c r="N941" s="7">
        <f t="shared" ref="N941" si="1255">N853</f>
        <v>32</v>
      </c>
    </row>
    <row r="942" spans="1:14">
      <c r="A942" s="7">
        <v>10015</v>
      </c>
      <c r="B942" s="7">
        <f t="shared" ref="B942:C942" si="1256">B854</f>
        <v>40000</v>
      </c>
      <c r="C942" s="7" t="str">
        <f t="shared" si="1256"/>
        <v>装备</v>
      </c>
      <c r="D942" s="7">
        <v>40552050</v>
      </c>
      <c r="E942" s="7"/>
      <c r="F942" s="7">
        <v>1</v>
      </c>
      <c r="G942" s="7">
        <f>3*INDEX([1]equip.xml!$I:$I,MATCH(D942&amp;"",[1]equip.xml!$A:$A,0))</f>
        <v>165000</v>
      </c>
      <c r="H942" s="7" t="str">
        <f t="shared" si="1166"/>
        <v>10_10,50_20,80_30</v>
      </c>
      <c r="I942" s="7">
        <f t="shared" si="1167"/>
        <v>6</v>
      </c>
      <c r="J942" s="7">
        <f t="shared" si="1167"/>
        <v>50</v>
      </c>
      <c r="K942" s="7" t="s">
        <v>311</v>
      </c>
      <c r="L942" s="7">
        <v>38</v>
      </c>
      <c r="M942" s="7">
        <f>IF(INDEX([1]equip.xml!$B:$B,MATCH(D942&amp;"",[1]equip.xml!$A:$A,0))=0,0,N942)</f>
        <v>32</v>
      </c>
      <c r="N942" s="7">
        <f t="shared" ref="N942" si="1257">N854</f>
        <v>32</v>
      </c>
    </row>
    <row r="943" spans="1:14">
      <c r="A943" s="7">
        <v>10015</v>
      </c>
      <c r="B943" s="7">
        <f t="shared" ref="B943:C943" si="1258">B855</f>
        <v>40000</v>
      </c>
      <c r="C943" s="7" t="str">
        <f t="shared" si="1258"/>
        <v>装备</v>
      </c>
      <c r="D943" s="7">
        <v>40552051</v>
      </c>
      <c r="E943" s="7"/>
      <c r="F943" s="7">
        <v>1</v>
      </c>
      <c r="G943" s="7">
        <f>3*INDEX([1]equip.xml!$I:$I,MATCH(D943&amp;"",[1]equip.xml!$A:$A,0))</f>
        <v>174000</v>
      </c>
      <c r="H943" s="7" t="str">
        <f t="shared" si="1166"/>
        <v>10_10,50_20,80_30</v>
      </c>
      <c r="I943" s="7">
        <f t="shared" si="1167"/>
        <v>6</v>
      </c>
      <c r="J943" s="7">
        <f t="shared" si="1167"/>
        <v>50</v>
      </c>
      <c r="K943" s="7" t="s">
        <v>311</v>
      </c>
      <c r="L943" s="7">
        <v>38</v>
      </c>
      <c r="M943" s="7">
        <f>IF(INDEX([1]equip.xml!$B:$B,MATCH(D943&amp;"",[1]equip.xml!$A:$A,0))=0,0,N943)</f>
        <v>0</v>
      </c>
      <c r="N943" s="7">
        <f t="shared" ref="N943" si="1259">N855</f>
        <v>32</v>
      </c>
    </row>
    <row r="944" spans="1:14">
      <c r="A944" s="7">
        <v>10015</v>
      </c>
      <c r="B944" s="7">
        <f t="shared" ref="B944:C944" si="1260">B856</f>
        <v>40000</v>
      </c>
      <c r="C944" s="7" t="str">
        <f t="shared" si="1260"/>
        <v>装备</v>
      </c>
      <c r="D944" s="7">
        <v>40552060</v>
      </c>
      <c r="E944" s="7"/>
      <c r="F944" s="7">
        <v>1</v>
      </c>
      <c r="G944" s="7">
        <f>3*INDEX([1]equip.xml!$I:$I,MATCH(D944&amp;"",[1]equip.xml!$A:$A,0))</f>
        <v>165000</v>
      </c>
      <c r="H944" s="7" t="str">
        <f t="shared" si="1166"/>
        <v>10_10,50_20,80_30</v>
      </c>
      <c r="I944" s="7">
        <f t="shared" si="1167"/>
        <v>6</v>
      </c>
      <c r="J944" s="7">
        <f t="shared" si="1167"/>
        <v>50</v>
      </c>
      <c r="K944" s="7" t="s">
        <v>311</v>
      </c>
      <c r="L944" s="7">
        <v>38</v>
      </c>
      <c r="M944" s="7">
        <f>IF(INDEX([1]equip.xml!$B:$B,MATCH(D944&amp;"",[1]equip.xml!$A:$A,0))=0,0,N944)</f>
        <v>32</v>
      </c>
      <c r="N944" s="7">
        <f t="shared" ref="N944" si="1261">N856</f>
        <v>32</v>
      </c>
    </row>
    <row r="945" spans="1:14">
      <c r="A945" s="7">
        <v>10015</v>
      </c>
      <c r="B945" s="7">
        <f t="shared" ref="B945:C945" si="1262">B857</f>
        <v>40000</v>
      </c>
      <c r="C945" s="7" t="str">
        <f t="shared" si="1262"/>
        <v>装备</v>
      </c>
      <c r="D945" s="7">
        <v>40552061</v>
      </c>
      <c r="E945" s="7"/>
      <c r="F945" s="7">
        <v>1</v>
      </c>
      <c r="G945" s="7">
        <f>3*INDEX([1]equip.xml!$I:$I,MATCH(D945&amp;"",[1]equip.xml!$A:$A,0))</f>
        <v>174000</v>
      </c>
      <c r="H945" s="7" t="str">
        <f t="shared" si="1166"/>
        <v>10_10,50_20,80_30</v>
      </c>
      <c r="I945" s="7">
        <f t="shared" si="1167"/>
        <v>6</v>
      </c>
      <c r="J945" s="7">
        <f t="shared" si="1167"/>
        <v>50</v>
      </c>
      <c r="K945" s="7" t="s">
        <v>311</v>
      </c>
      <c r="L945" s="7">
        <v>38</v>
      </c>
      <c r="M945" s="7">
        <f>IF(INDEX([1]equip.xml!$B:$B,MATCH(D945&amp;"",[1]equip.xml!$A:$A,0))=0,0,N945)</f>
        <v>32</v>
      </c>
      <c r="N945" s="7">
        <f t="shared" ref="N945" si="1263">N857</f>
        <v>32</v>
      </c>
    </row>
    <row r="946" spans="1:14">
      <c r="A946" s="7">
        <v>10015</v>
      </c>
      <c r="B946" s="7">
        <f t="shared" ref="B946:C946" si="1264">B858</f>
        <v>40000</v>
      </c>
      <c r="C946" s="7" t="str">
        <f t="shared" si="1264"/>
        <v>装备</v>
      </c>
      <c r="D946" s="7">
        <v>40553050</v>
      </c>
      <c r="E946" s="7"/>
      <c r="F946" s="7">
        <v>1</v>
      </c>
      <c r="G946" s="7">
        <f>3*INDEX([1]equip.xml!$I:$I,MATCH(D946&amp;"",[1]equip.xml!$A:$A,0))</f>
        <v>165000</v>
      </c>
      <c r="H946" s="7" t="str">
        <f t="shared" si="1166"/>
        <v>10_10,50_20,80_30</v>
      </c>
      <c r="I946" s="7">
        <f t="shared" si="1167"/>
        <v>6</v>
      </c>
      <c r="J946" s="7">
        <f t="shared" si="1167"/>
        <v>50</v>
      </c>
      <c r="K946" s="7" t="s">
        <v>311</v>
      </c>
      <c r="L946" s="7">
        <v>38</v>
      </c>
      <c r="M946" s="7">
        <f>IF(INDEX([1]equip.xml!$B:$B,MATCH(D946&amp;"",[1]equip.xml!$A:$A,0))=0,0,N946)</f>
        <v>32</v>
      </c>
      <c r="N946" s="7">
        <f t="shared" ref="N946" si="1265">N858</f>
        <v>32</v>
      </c>
    </row>
    <row r="947" spans="1:14">
      <c r="A947" s="7">
        <v>10015</v>
      </c>
      <c r="B947" s="7">
        <f t="shared" ref="B947:C947" si="1266">B859</f>
        <v>40000</v>
      </c>
      <c r="C947" s="7" t="str">
        <f t="shared" si="1266"/>
        <v>装备</v>
      </c>
      <c r="D947" s="7">
        <v>40553051</v>
      </c>
      <c r="E947" s="7"/>
      <c r="F947" s="7">
        <v>1</v>
      </c>
      <c r="G947" s="7">
        <f>3*INDEX([1]equip.xml!$I:$I,MATCH(D947&amp;"",[1]equip.xml!$A:$A,0))</f>
        <v>174000</v>
      </c>
      <c r="H947" s="7" t="str">
        <f t="shared" si="1166"/>
        <v>10_10,50_20,80_30</v>
      </c>
      <c r="I947" s="7">
        <f t="shared" si="1167"/>
        <v>6</v>
      </c>
      <c r="J947" s="7">
        <f t="shared" si="1167"/>
        <v>50</v>
      </c>
      <c r="K947" s="7" t="s">
        <v>311</v>
      </c>
      <c r="L947" s="7">
        <v>38</v>
      </c>
      <c r="M947" s="7">
        <f>IF(INDEX([1]equip.xml!$B:$B,MATCH(D947&amp;"",[1]equip.xml!$A:$A,0))=0,0,N947)</f>
        <v>0</v>
      </c>
      <c r="N947" s="7">
        <f t="shared" ref="N947" si="1267">N859</f>
        <v>32</v>
      </c>
    </row>
    <row r="948" spans="1:14">
      <c r="A948" s="7">
        <v>10015</v>
      </c>
      <c r="B948" s="7">
        <f t="shared" ref="B948:C948" si="1268">B860</f>
        <v>40000</v>
      </c>
      <c r="C948" s="7" t="str">
        <f t="shared" si="1268"/>
        <v>装备</v>
      </c>
      <c r="D948" s="7">
        <v>40553060</v>
      </c>
      <c r="E948" s="7"/>
      <c r="F948" s="7">
        <v>1</v>
      </c>
      <c r="G948" s="7">
        <f>3*INDEX([1]equip.xml!$I:$I,MATCH(D948&amp;"",[1]equip.xml!$A:$A,0))</f>
        <v>165000</v>
      </c>
      <c r="H948" s="7" t="str">
        <f t="shared" si="1166"/>
        <v>10_10,50_20,80_30</v>
      </c>
      <c r="I948" s="7">
        <f t="shared" si="1167"/>
        <v>6</v>
      </c>
      <c r="J948" s="7">
        <f t="shared" si="1167"/>
        <v>50</v>
      </c>
      <c r="K948" s="7" t="s">
        <v>311</v>
      </c>
      <c r="L948" s="7">
        <v>38</v>
      </c>
      <c r="M948" s="7">
        <f>IF(INDEX([1]equip.xml!$B:$B,MATCH(D948&amp;"",[1]equip.xml!$A:$A,0))=0,0,N948)</f>
        <v>32</v>
      </c>
      <c r="N948" s="7">
        <f t="shared" ref="N948" si="1269">N860</f>
        <v>32</v>
      </c>
    </row>
    <row r="949" spans="1:14">
      <c r="A949" s="7">
        <v>10015</v>
      </c>
      <c r="B949" s="7">
        <f t="shared" ref="B949:C949" si="1270">B861</f>
        <v>40000</v>
      </c>
      <c r="C949" s="7" t="str">
        <f t="shared" si="1270"/>
        <v>装备</v>
      </c>
      <c r="D949" s="7">
        <v>40553061</v>
      </c>
      <c r="E949" s="7"/>
      <c r="F949" s="7">
        <v>1</v>
      </c>
      <c r="G949" s="7">
        <f>3*INDEX([1]equip.xml!$I:$I,MATCH(D949&amp;"",[1]equip.xml!$A:$A,0))</f>
        <v>174000</v>
      </c>
      <c r="H949" s="7" t="str">
        <f t="shared" si="1166"/>
        <v>10_10,50_20,80_30</v>
      </c>
      <c r="I949" s="7">
        <f t="shared" si="1167"/>
        <v>6</v>
      </c>
      <c r="J949" s="7">
        <f t="shared" si="1167"/>
        <v>50</v>
      </c>
      <c r="K949" s="7" t="s">
        <v>311</v>
      </c>
      <c r="L949" s="7">
        <v>38</v>
      </c>
      <c r="M949" s="7">
        <f>IF(INDEX([1]equip.xml!$B:$B,MATCH(D949&amp;"",[1]equip.xml!$A:$A,0))=0,0,N949)</f>
        <v>32</v>
      </c>
      <c r="N949" s="7">
        <f t="shared" ref="N949" si="1271">N861</f>
        <v>32</v>
      </c>
    </row>
    <row r="950" spans="1:14">
      <c r="A950" s="7">
        <v>10015</v>
      </c>
      <c r="B950" s="7">
        <f t="shared" ref="B950:C950" si="1272">B862</f>
        <v>40000</v>
      </c>
      <c r="C950" s="7" t="str">
        <f t="shared" si="1272"/>
        <v>装备</v>
      </c>
      <c r="D950" s="7">
        <v>40550040</v>
      </c>
      <c r="E950" s="7"/>
      <c r="F950" s="7">
        <v>1</v>
      </c>
      <c r="G950" s="7">
        <f>3*INDEX([1]equip.xml!$I:$I,MATCH(D950&amp;"",[1]equip.xml!$A:$A,0))</f>
        <v>165000</v>
      </c>
      <c r="H950" s="7" t="str">
        <f t="shared" si="1166"/>
        <v>10_10,50_20,80_30</v>
      </c>
      <c r="I950" s="7">
        <f t="shared" si="1167"/>
        <v>6</v>
      </c>
      <c r="J950" s="7">
        <f t="shared" si="1167"/>
        <v>50</v>
      </c>
      <c r="K950" s="7" t="s">
        <v>311</v>
      </c>
      <c r="L950" s="7">
        <v>38</v>
      </c>
      <c r="M950" s="7">
        <f>IF(INDEX([1]equip.xml!$B:$B,MATCH(D950&amp;"",[1]equip.xml!$A:$A,0))=0,0,N950)</f>
        <v>32</v>
      </c>
      <c r="N950" s="7">
        <f t="shared" ref="N950" si="1273">N862</f>
        <v>32</v>
      </c>
    </row>
    <row r="951" spans="1:14">
      <c r="A951" s="7">
        <v>10015</v>
      </c>
      <c r="B951" s="7">
        <f t="shared" ref="B951:C951" si="1274">B863</f>
        <v>40000</v>
      </c>
      <c r="C951" s="7" t="str">
        <f t="shared" si="1274"/>
        <v>装备</v>
      </c>
      <c r="D951" s="7">
        <v>40550041</v>
      </c>
      <c r="E951" s="7"/>
      <c r="F951" s="7">
        <v>1</v>
      </c>
      <c r="G951" s="7">
        <f>3*INDEX([1]equip.xml!$I:$I,MATCH(D951&amp;"",[1]equip.xml!$A:$A,0))</f>
        <v>174000</v>
      </c>
      <c r="H951" s="7" t="str">
        <f t="shared" ref="H951:H1014" si="1275">H863</f>
        <v>10_10,50_20,80_30</v>
      </c>
      <c r="I951" s="7">
        <f t="shared" ref="I951:J1014" si="1276">I863</f>
        <v>6</v>
      </c>
      <c r="J951" s="7">
        <f t="shared" si="1276"/>
        <v>50</v>
      </c>
      <c r="K951" s="7" t="s">
        <v>311</v>
      </c>
      <c r="L951" s="7">
        <v>38</v>
      </c>
      <c r="M951" s="7">
        <f>IF(INDEX([1]equip.xml!$B:$B,MATCH(D951&amp;"",[1]equip.xml!$A:$A,0))=0,0,N951)</f>
        <v>0</v>
      </c>
      <c r="N951" s="7">
        <f t="shared" ref="N951" si="1277">N863</f>
        <v>32</v>
      </c>
    </row>
    <row r="952" spans="1:14">
      <c r="A952" s="7">
        <v>10015</v>
      </c>
      <c r="B952" s="7">
        <f t="shared" ref="B952:C952" si="1278">B864</f>
        <v>40000</v>
      </c>
      <c r="C952" s="7" t="str">
        <f t="shared" si="1278"/>
        <v>装备</v>
      </c>
      <c r="D952" s="7">
        <v>40550070</v>
      </c>
      <c r="E952" s="7"/>
      <c r="F952" s="7">
        <v>1</v>
      </c>
      <c r="G952" s="7">
        <f>3*INDEX([1]equip.xml!$I:$I,MATCH(D952&amp;"",[1]equip.xml!$A:$A,0))</f>
        <v>165000</v>
      </c>
      <c r="H952" s="7" t="str">
        <f t="shared" si="1275"/>
        <v>10_10,50_20,80_30</v>
      </c>
      <c r="I952" s="7">
        <f t="shared" si="1276"/>
        <v>6</v>
      </c>
      <c r="J952" s="7">
        <f t="shared" si="1276"/>
        <v>50</v>
      </c>
      <c r="K952" s="7" t="s">
        <v>311</v>
      </c>
      <c r="L952" s="7">
        <v>38</v>
      </c>
      <c r="M952" s="7">
        <f>IF(INDEX([1]equip.xml!$B:$B,MATCH(D952&amp;"",[1]equip.xml!$A:$A,0))=0,0,N952)</f>
        <v>32</v>
      </c>
      <c r="N952" s="7">
        <f t="shared" ref="N952" si="1279">N864</f>
        <v>32</v>
      </c>
    </row>
    <row r="953" spans="1:14">
      <c r="A953" s="7">
        <v>10015</v>
      </c>
      <c r="B953" s="7">
        <f t="shared" ref="B953:C953" si="1280">B865</f>
        <v>40000</v>
      </c>
      <c r="C953" s="7" t="str">
        <f t="shared" si="1280"/>
        <v>装备</v>
      </c>
      <c r="D953" s="7">
        <v>40550071</v>
      </c>
      <c r="E953" s="7"/>
      <c r="F953" s="7">
        <v>1</v>
      </c>
      <c r="G953" s="7">
        <f>3*INDEX([1]equip.xml!$I:$I,MATCH(D953&amp;"",[1]equip.xml!$A:$A,0))</f>
        <v>174000</v>
      </c>
      <c r="H953" s="7" t="str">
        <f t="shared" si="1275"/>
        <v>10_10,50_20,80_30</v>
      </c>
      <c r="I953" s="7">
        <f t="shared" si="1276"/>
        <v>6</v>
      </c>
      <c r="J953" s="7">
        <f t="shared" si="1276"/>
        <v>50</v>
      </c>
      <c r="K953" s="7" t="s">
        <v>311</v>
      </c>
      <c r="L953" s="7">
        <v>38</v>
      </c>
      <c r="M953" s="7">
        <f>IF(INDEX([1]equip.xml!$B:$B,MATCH(D953&amp;"",[1]equip.xml!$A:$A,0))=0,0,N953)</f>
        <v>0</v>
      </c>
      <c r="N953" s="7">
        <f t="shared" ref="N953" si="1281">N865</f>
        <v>32</v>
      </c>
    </row>
    <row r="954" spans="1:14">
      <c r="A954" s="7">
        <v>10015</v>
      </c>
      <c r="B954" s="7">
        <f t="shared" ref="B954:C954" si="1282">B866</f>
        <v>40000</v>
      </c>
      <c r="C954" s="7" t="str">
        <f t="shared" si="1282"/>
        <v>装备</v>
      </c>
      <c r="D954" s="7">
        <f>D910+10000005</f>
        <v>50500015</v>
      </c>
      <c r="E954" s="7"/>
      <c r="F954" s="7">
        <v>1</v>
      </c>
      <c r="G954" s="8">
        <f>3*INDEX([1]equip.xml!$I:$I,MATCH(D954,[1]equip.xml!$A:$A,0))</f>
        <v>300000</v>
      </c>
      <c r="H954" s="7" t="str">
        <f t="shared" si="1275"/>
        <v>10_10,50_20,80_30</v>
      </c>
      <c r="I954" s="7">
        <v>3</v>
      </c>
      <c r="J954" s="7">
        <f t="shared" si="1276"/>
        <v>240</v>
      </c>
      <c r="K954" s="7" t="s">
        <v>311</v>
      </c>
      <c r="L954" s="7">
        <v>38</v>
      </c>
      <c r="M954" s="7">
        <f>IF(INDEX([1]equip.xml!$B:$B,MATCH(D954,[1]equip.xml!$A:$A,0))=0,0,N954)</f>
        <v>70</v>
      </c>
      <c r="N954" s="7">
        <f t="shared" ref="N954" si="1283">N866</f>
        <v>70</v>
      </c>
    </row>
    <row r="955" spans="1:14">
      <c r="A955" s="7">
        <v>10015</v>
      </c>
      <c r="B955" s="7">
        <f t="shared" ref="B955:C955" si="1284">B867</f>
        <v>40000</v>
      </c>
      <c r="C955" s="7" t="str">
        <f t="shared" si="1284"/>
        <v>装备</v>
      </c>
      <c r="D955" s="7">
        <f t="shared" ref="D955:D997" si="1285">D911+10000005</f>
        <v>50500025</v>
      </c>
      <c r="E955" s="7"/>
      <c r="F955" s="7">
        <v>1</v>
      </c>
      <c r="G955" s="8">
        <f>3*INDEX([1]equip.xml!$I:$I,MATCH(D955,[1]equip.xml!$A:$A,0))</f>
        <v>300000</v>
      </c>
      <c r="H955" s="7" t="str">
        <f t="shared" si="1275"/>
        <v>10_10,50_20,80_30</v>
      </c>
      <c r="I955" s="7">
        <v>3</v>
      </c>
      <c r="J955" s="7">
        <f t="shared" si="1276"/>
        <v>240</v>
      </c>
      <c r="K955" s="7" t="s">
        <v>311</v>
      </c>
      <c r="L955" s="7">
        <v>38</v>
      </c>
      <c r="M955" s="7">
        <f>IF(INDEX([1]equip.xml!$B:$B,MATCH(D955,[1]equip.xml!$A:$A,0))=0,0,N955)</f>
        <v>70</v>
      </c>
      <c r="N955" s="7">
        <f t="shared" ref="N955" si="1286">N867</f>
        <v>70</v>
      </c>
    </row>
    <row r="956" spans="1:14">
      <c r="A956" s="7">
        <v>10015</v>
      </c>
      <c r="B956" s="7">
        <f t="shared" ref="B956:C956" si="1287">B868</f>
        <v>40000</v>
      </c>
      <c r="C956" s="7" t="str">
        <f t="shared" si="1287"/>
        <v>装备</v>
      </c>
      <c r="D956" s="7">
        <f t="shared" si="1285"/>
        <v>50500035</v>
      </c>
      <c r="E956" s="7"/>
      <c r="F956" s="7">
        <v>1</v>
      </c>
      <c r="G956" s="8">
        <f>3*INDEX([1]equip.xml!$I:$I,MATCH(D956,[1]equip.xml!$A:$A,0))</f>
        <v>300000</v>
      </c>
      <c r="H956" s="7" t="str">
        <f t="shared" si="1275"/>
        <v>10_10,50_20,80_30</v>
      </c>
      <c r="I956" s="7">
        <v>3</v>
      </c>
      <c r="J956" s="7">
        <f t="shared" si="1276"/>
        <v>240</v>
      </c>
      <c r="K956" s="7" t="s">
        <v>311</v>
      </c>
      <c r="L956" s="7">
        <v>38</v>
      </c>
      <c r="M956" s="7">
        <f>IF(INDEX([1]equip.xml!$B:$B,MATCH(D956,[1]equip.xml!$A:$A,0))=0,0,N956)</f>
        <v>70</v>
      </c>
      <c r="N956" s="7">
        <f t="shared" ref="N956" si="1288">N868</f>
        <v>70</v>
      </c>
    </row>
    <row r="957" spans="1:14">
      <c r="A957" s="7">
        <v>10015</v>
      </c>
      <c r="B957" s="7">
        <f t="shared" ref="B957:C957" si="1289">B869</f>
        <v>40000</v>
      </c>
      <c r="C957" s="7" t="str">
        <f t="shared" si="1289"/>
        <v>装备</v>
      </c>
      <c r="D957" s="7">
        <f t="shared" si="1285"/>
        <v>50500085</v>
      </c>
      <c r="E957" s="7"/>
      <c r="F957" s="7">
        <v>1</v>
      </c>
      <c r="G957" s="8">
        <f>3*INDEX([1]equip.xml!$I:$I,MATCH(D957,[1]equip.xml!$A:$A,0))</f>
        <v>300000</v>
      </c>
      <c r="H957" s="7" t="str">
        <f t="shared" si="1275"/>
        <v>10_10,50_20,80_30</v>
      </c>
      <c r="I957" s="7">
        <v>3</v>
      </c>
      <c r="J957" s="7">
        <f t="shared" si="1276"/>
        <v>240</v>
      </c>
      <c r="K957" s="7" t="s">
        <v>311</v>
      </c>
      <c r="L957" s="7">
        <v>38</v>
      </c>
      <c r="M957" s="7">
        <f>IF(INDEX([1]equip.xml!$B:$B,MATCH(D957,[1]equip.xml!$A:$A,0))=0,0,N957)</f>
        <v>70</v>
      </c>
      <c r="N957" s="7">
        <f t="shared" ref="N957" si="1290">N869</f>
        <v>70</v>
      </c>
    </row>
    <row r="958" spans="1:14">
      <c r="A958" s="7">
        <v>10015</v>
      </c>
      <c r="B958" s="7">
        <f t="shared" ref="B958:C958" si="1291">B870</f>
        <v>40000</v>
      </c>
      <c r="C958" s="7" t="str">
        <f t="shared" si="1291"/>
        <v>装备</v>
      </c>
      <c r="D958" s="7">
        <f t="shared" si="1285"/>
        <v>50500095</v>
      </c>
      <c r="E958" s="7"/>
      <c r="F958" s="7">
        <v>1</v>
      </c>
      <c r="G958" s="8">
        <f>3*INDEX([1]equip.xml!$I:$I,MATCH(D958,[1]equip.xml!$A:$A,0))</f>
        <v>300000</v>
      </c>
      <c r="H958" s="7" t="str">
        <f t="shared" si="1275"/>
        <v>10_10,50_20,80_30</v>
      </c>
      <c r="I958" s="7">
        <v>3</v>
      </c>
      <c r="J958" s="7">
        <f t="shared" si="1276"/>
        <v>240</v>
      </c>
      <c r="K958" s="7" t="s">
        <v>311</v>
      </c>
      <c r="L958" s="7">
        <v>38</v>
      </c>
      <c r="M958" s="7">
        <f>IF(INDEX([1]equip.xml!$B:$B,MATCH(D958,[1]equip.xml!$A:$A,0))=0,0,N958)</f>
        <v>70</v>
      </c>
      <c r="N958" s="7">
        <f t="shared" ref="N958" si="1292">N870</f>
        <v>70</v>
      </c>
    </row>
    <row r="959" spans="1:14">
      <c r="A959" s="7">
        <v>10015</v>
      </c>
      <c r="B959" s="7">
        <f t="shared" ref="B959:C959" si="1293">B871</f>
        <v>40000</v>
      </c>
      <c r="C959" s="7" t="str">
        <f t="shared" si="1293"/>
        <v>装备</v>
      </c>
      <c r="D959" s="7">
        <f t="shared" si="1285"/>
        <v>50500105</v>
      </c>
      <c r="E959" s="7"/>
      <c r="F959" s="7">
        <v>1</v>
      </c>
      <c r="G959" s="8">
        <f>3*INDEX([1]equip.xml!$I:$I,MATCH(D959,[1]equip.xml!$A:$A,0))</f>
        <v>300000</v>
      </c>
      <c r="H959" s="7" t="str">
        <f t="shared" si="1275"/>
        <v>10_10,50_20,80_30</v>
      </c>
      <c r="I959" s="7">
        <v>3</v>
      </c>
      <c r="J959" s="7">
        <f t="shared" si="1276"/>
        <v>240</v>
      </c>
      <c r="K959" s="7" t="s">
        <v>311</v>
      </c>
      <c r="L959" s="7">
        <v>38</v>
      </c>
      <c r="M959" s="7">
        <f>IF(INDEX([1]equip.xml!$B:$B,MATCH(D959,[1]equip.xml!$A:$A,0))=0,0,N959)</f>
        <v>70</v>
      </c>
      <c r="N959" s="7">
        <f t="shared" ref="N959" si="1294">N871</f>
        <v>70</v>
      </c>
    </row>
    <row r="960" spans="1:14">
      <c r="A960" s="7">
        <v>10015</v>
      </c>
      <c r="B960" s="7">
        <f t="shared" ref="B960:C960" si="1295">B872</f>
        <v>40000</v>
      </c>
      <c r="C960" s="7" t="str">
        <f t="shared" si="1295"/>
        <v>装备</v>
      </c>
      <c r="D960" s="7">
        <f t="shared" si="1285"/>
        <v>50501055</v>
      </c>
      <c r="E960" s="7"/>
      <c r="F960" s="7">
        <v>1</v>
      </c>
      <c r="G960" s="8">
        <f>3*INDEX([1]equip.xml!$I:$I,MATCH(D960,[1]equip.xml!$A:$A,0))</f>
        <v>300000</v>
      </c>
      <c r="H960" s="7" t="str">
        <f t="shared" si="1275"/>
        <v>10_10,50_20,80_30</v>
      </c>
      <c r="I960" s="7">
        <v>3</v>
      </c>
      <c r="J960" s="7">
        <f t="shared" si="1276"/>
        <v>240</v>
      </c>
      <c r="K960" s="7" t="s">
        <v>311</v>
      </c>
      <c r="L960" s="7">
        <v>38</v>
      </c>
      <c r="M960" s="7">
        <f>IF(INDEX([1]equip.xml!$B:$B,MATCH(D960,[1]equip.xml!$A:$A,0))=0,0,N960)</f>
        <v>70</v>
      </c>
      <c r="N960" s="7">
        <f t="shared" ref="N960" si="1296">N872</f>
        <v>70</v>
      </c>
    </row>
    <row r="961" spans="1:14">
      <c r="A961" s="7">
        <v>10015</v>
      </c>
      <c r="B961" s="7">
        <f t="shared" ref="B961:C961" si="1297">B873</f>
        <v>40000</v>
      </c>
      <c r="C961" s="7" t="str">
        <f t="shared" si="1297"/>
        <v>装备</v>
      </c>
      <c r="D961" s="7">
        <f t="shared" si="1285"/>
        <v>50501056</v>
      </c>
      <c r="E961" s="7"/>
      <c r="F961" s="7">
        <v>1</v>
      </c>
      <c r="G961" s="8">
        <f>3*INDEX([1]equip.xml!$I:$I,MATCH(D961,[1]equip.xml!$A:$A,0))</f>
        <v>318000</v>
      </c>
      <c r="H961" s="7" t="str">
        <f t="shared" si="1275"/>
        <v>10_10,50_20,80_30</v>
      </c>
      <c r="I961" s="7">
        <v>3</v>
      </c>
      <c r="J961" s="7">
        <f t="shared" si="1276"/>
        <v>240</v>
      </c>
      <c r="K961" s="7" t="s">
        <v>311</v>
      </c>
      <c r="L961" s="7">
        <v>38</v>
      </c>
      <c r="M961" s="7">
        <f>IF(INDEX([1]equip.xml!$B:$B,MATCH(D961,[1]equip.xml!$A:$A,0))=0,0,N961)</f>
        <v>70</v>
      </c>
      <c r="N961" s="7">
        <f t="shared" ref="N961" si="1298">N873</f>
        <v>70</v>
      </c>
    </row>
    <row r="962" spans="1:14">
      <c r="A962" s="7">
        <v>10015</v>
      </c>
      <c r="B962" s="7">
        <f t="shared" ref="B962:C962" si="1299">B874</f>
        <v>40000</v>
      </c>
      <c r="C962" s="7" t="str">
        <f t="shared" si="1299"/>
        <v>装备</v>
      </c>
      <c r="D962" s="7">
        <f t="shared" si="1285"/>
        <v>50501065</v>
      </c>
      <c r="E962" s="7"/>
      <c r="F962" s="7">
        <v>1</v>
      </c>
      <c r="G962" s="8">
        <f>3*INDEX([1]equip.xml!$I:$I,MATCH(D962,[1]equip.xml!$A:$A,0))</f>
        <v>300000</v>
      </c>
      <c r="H962" s="7" t="str">
        <f t="shared" si="1275"/>
        <v>10_10,50_20,80_30</v>
      </c>
      <c r="I962" s="7">
        <v>3</v>
      </c>
      <c r="J962" s="7">
        <f t="shared" si="1276"/>
        <v>240</v>
      </c>
      <c r="K962" s="7" t="s">
        <v>311</v>
      </c>
      <c r="L962" s="7">
        <v>38</v>
      </c>
      <c r="M962" s="7">
        <f>IF(INDEX([1]equip.xml!$B:$B,MATCH(D962,[1]equip.xml!$A:$A,0))=0,0,N962)</f>
        <v>70</v>
      </c>
      <c r="N962" s="7">
        <f t="shared" ref="N962" si="1300">N874</f>
        <v>70</v>
      </c>
    </row>
    <row r="963" spans="1:14">
      <c r="A963" s="7">
        <v>10015</v>
      </c>
      <c r="B963" s="7">
        <f t="shared" ref="B963:C963" si="1301">B875</f>
        <v>40000</v>
      </c>
      <c r="C963" s="7" t="str">
        <f t="shared" si="1301"/>
        <v>装备</v>
      </c>
      <c r="D963" s="7">
        <f t="shared" si="1285"/>
        <v>50501066</v>
      </c>
      <c r="E963" s="7"/>
      <c r="F963" s="7">
        <v>1</v>
      </c>
      <c r="G963" s="8">
        <f>3*INDEX([1]equip.xml!$I:$I,MATCH(D963,[1]equip.xml!$A:$A,0))</f>
        <v>318000</v>
      </c>
      <c r="H963" s="7" t="str">
        <f t="shared" si="1275"/>
        <v>10_10,50_20,80_30</v>
      </c>
      <c r="I963" s="7">
        <v>3</v>
      </c>
      <c r="J963" s="7">
        <f t="shared" si="1276"/>
        <v>240</v>
      </c>
      <c r="K963" s="7" t="s">
        <v>311</v>
      </c>
      <c r="L963" s="7">
        <v>38</v>
      </c>
      <c r="M963" s="7">
        <f>IF(INDEX([1]equip.xml!$B:$B,MATCH(D963,[1]equip.xml!$A:$A,0))=0,0,N963)</f>
        <v>70</v>
      </c>
      <c r="N963" s="7">
        <f t="shared" ref="N963" si="1302">N875</f>
        <v>70</v>
      </c>
    </row>
    <row r="964" spans="1:14">
      <c r="A964" s="7">
        <v>10015</v>
      </c>
      <c r="B964" s="7">
        <f t="shared" ref="B964:C964" si="1303">B876</f>
        <v>40000</v>
      </c>
      <c r="C964" s="7" t="str">
        <f t="shared" si="1303"/>
        <v>装备</v>
      </c>
      <c r="D964" s="7">
        <f t="shared" si="1285"/>
        <v>50502055</v>
      </c>
      <c r="E964" s="7"/>
      <c r="F964" s="7">
        <v>1</v>
      </c>
      <c r="G964" s="8">
        <f>3*INDEX([1]equip.xml!$I:$I,MATCH(D964,[1]equip.xml!$A:$A,0))</f>
        <v>300000</v>
      </c>
      <c r="H964" s="7" t="str">
        <f t="shared" si="1275"/>
        <v>10_10,50_20,80_30</v>
      </c>
      <c r="I964" s="7">
        <v>3</v>
      </c>
      <c r="J964" s="7">
        <f t="shared" si="1276"/>
        <v>240</v>
      </c>
      <c r="K964" s="7" t="s">
        <v>311</v>
      </c>
      <c r="L964" s="7">
        <v>38</v>
      </c>
      <c r="M964" s="7">
        <f>IF(INDEX([1]equip.xml!$B:$B,MATCH(D964,[1]equip.xml!$A:$A,0))=0,0,N964)</f>
        <v>70</v>
      </c>
      <c r="N964" s="7">
        <f t="shared" ref="N964" si="1304">N876</f>
        <v>70</v>
      </c>
    </row>
    <row r="965" spans="1:14">
      <c r="A965" s="7">
        <v>10015</v>
      </c>
      <c r="B965" s="7">
        <f t="shared" ref="B965:C965" si="1305">B877</f>
        <v>40000</v>
      </c>
      <c r="C965" s="7" t="str">
        <f t="shared" si="1305"/>
        <v>装备</v>
      </c>
      <c r="D965" s="7">
        <f t="shared" si="1285"/>
        <v>50502056</v>
      </c>
      <c r="E965" s="7"/>
      <c r="F965" s="7">
        <v>1</v>
      </c>
      <c r="G965" s="8">
        <f>3*INDEX([1]equip.xml!$I:$I,MATCH(D965,[1]equip.xml!$A:$A,0))</f>
        <v>318000</v>
      </c>
      <c r="H965" s="7" t="str">
        <f t="shared" si="1275"/>
        <v>10_10,50_20,80_30</v>
      </c>
      <c r="I965" s="7">
        <v>3</v>
      </c>
      <c r="J965" s="7">
        <f t="shared" si="1276"/>
        <v>240</v>
      </c>
      <c r="K965" s="7" t="s">
        <v>311</v>
      </c>
      <c r="L965" s="7">
        <v>38</v>
      </c>
      <c r="M965" s="7">
        <f>IF(INDEX([1]equip.xml!$B:$B,MATCH(D965,[1]equip.xml!$A:$A,0))=0,0,N965)</f>
        <v>70</v>
      </c>
      <c r="N965" s="7">
        <f t="shared" ref="N965" si="1306">N877</f>
        <v>70</v>
      </c>
    </row>
    <row r="966" spans="1:14">
      <c r="A966" s="7">
        <v>10015</v>
      </c>
      <c r="B966" s="7">
        <f t="shared" ref="B966:C966" si="1307">B878</f>
        <v>40000</v>
      </c>
      <c r="C966" s="7" t="str">
        <f t="shared" si="1307"/>
        <v>装备</v>
      </c>
      <c r="D966" s="7">
        <f t="shared" si="1285"/>
        <v>50502065</v>
      </c>
      <c r="E966" s="7"/>
      <c r="F966" s="7">
        <v>1</v>
      </c>
      <c r="G966" s="8">
        <f>3*INDEX([1]equip.xml!$I:$I,MATCH(D966,[1]equip.xml!$A:$A,0))</f>
        <v>300000</v>
      </c>
      <c r="H966" s="7" t="str">
        <f t="shared" si="1275"/>
        <v>10_10,50_20,80_30</v>
      </c>
      <c r="I966" s="7">
        <v>3</v>
      </c>
      <c r="J966" s="7">
        <f t="shared" si="1276"/>
        <v>240</v>
      </c>
      <c r="K966" s="7" t="s">
        <v>311</v>
      </c>
      <c r="L966" s="7">
        <v>38</v>
      </c>
      <c r="M966" s="7">
        <f>IF(INDEX([1]equip.xml!$B:$B,MATCH(D966,[1]equip.xml!$A:$A,0))=0,0,N966)</f>
        <v>70</v>
      </c>
      <c r="N966" s="7">
        <f t="shared" ref="N966" si="1308">N878</f>
        <v>70</v>
      </c>
    </row>
    <row r="967" spans="1:14">
      <c r="A967" s="7">
        <v>10015</v>
      </c>
      <c r="B967" s="7">
        <f t="shared" ref="B967:C967" si="1309">B879</f>
        <v>40000</v>
      </c>
      <c r="C967" s="7" t="str">
        <f t="shared" si="1309"/>
        <v>装备</v>
      </c>
      <c r="D967" s="7">
        <f t="shared" si="1285"/>
        <v>50502066</v>
      </c>
      <c r="E967" s="7"/>
      <c r="F967" s="7">
        <v>1</v>
      </c>
      <c r="G967" s="8">
        <f>3*INDEX([1]equip.xml!$I:$I,MATCH(D967,[1]equip.xml!$A:$A,0))</f>
        <v>318000</v>
      </c>
      <c r="H967" s="7" t="str">
        <f t="shared" si="1275"/>
        <v>10_10,50_20,80_30</v>
      </c>
      <c r="I967" s="7">
        <v>3</v>
      </c>
      <c r="J967" s="7">
        <f t="shared" si="1276"/>
        <v>240</v>
      </c>
      <c r="K967" s="7" t="s">
        <v>311</v>
      </c>
      <c r="L967" s="7">
        <v>38</v>
      </c>
      <c r="M967" s="7">
        <f>IF(INDEX([1]equip.xml!$B:$B,MATCH(D967,[1]equip.xml!$A:$A,0))=0,0,N967)</f>
        <v>70</v>
      </c>
      <c r="N967" s="7">
        <f t="shared" ref="N967" si="1310">N879</f>
        <v>70</v>
      </c>
    </row>
    <row r="968" spans="1:14">
      <c r="A968" s="7">
        <v>10015</v>
      </c>
      <c r="B968" s="7">
        <f t="shared" ref="B968:C968" si="1311">B880</f>
        <v>40000</v>
      </c>
      <c r="C968" s="7" t="str">
        <f t="shared" si="1311"/>
        <v>装备</v>
      </c>
      <c r="D968" s="7">
        <f t="shared" si="1285"/>
        <v>50503055</v>
      </c>
      <c r="E968" s="7"/>
      <c r="F968" s="7">
        <v>1</v>
      </c>
      <c r="G968" s="8">
        <f>3*INDEX([1]equip.xml!$I:$I,MATCH(D968,[1]equip.xml!$A:$A,0))</f>
        <v>300000</v>
      </c>
      <c r="H968" s="7" t="str">
        <f t="shared" si="1275"/>
        <v>10_10,50_20,80_30</v>
      </c>
      <c r="I968" s="7">
        <v>3</v>
      </c>
      <c r="J968" s="7">
        <f t="shared" si="1276"/>
        <v>240</v>
      </c>
      <c r="K968" s="7" t="s">
        <v>311</v>
      </c>
      <c r="L968" s="7">
        <v>38</v>
      </c>
      <c r="M968" s="7">
        <f>IF(INDEX([1]equip.xml!$B:$B,MATCH(D968,[1]equip.xml!$A:$A,0))=0,0,N968)</f>
        <v>70</v>
      </c>
      <c r="N968" s="7">
        <f t="shared" ref="N968" si="1312">N880</f>
        <v>70</v>
      </c>
    </row>
    <row r="969" spans="1:14">
      <c r="A969" s="7">
        <v>10015</v>
      </c>
      <c r="B969" s="7">
        <f t="shared" ref="B969:C969" si="1313">B881</f>
        <v>40000</v>
      </c>
      <c r="C969" s="7" t="str">
        <f t="shared" si="1313"/>
        <v>装备</v>
      </c>
      <c r="D969" s="7">
        <f t="shared" si="1285"/>
        <v>50503056</v>
      </c>
      <c r="E969" s="7"/>
      <c r="F969" s="7">
        <v>1</v>
      </c>
      <c r="G969" s="8">
        <f>3*INDEX([1]equip.xml!$I:$I,MATCH(D969,[1]equip.xml!$A:$A,0))</f>
        <v>318000</v>
      </c>
      <c r="H969" s="7" t="str">
        <f t="shared" si="1275"/>
        <v>10_10,50_20,80_30</v>
      </c>
      <c r="I969" s="7">
        <v>3</v>
      </c>
      <c r="J969" s="7">
        <f t="shared" si="1276"/>
        <v>240</v>
      </c>
      <c r="K969" s="7" t="s">
        <v>311</v>
      </c>
      <c r="L969" s="7">
        <v>38</v>
      </c>
      <c r="M969" s="7">
        <f>IF(INDEX([1]equip.xml!$B:$B,MATCH(D969,[1]equip.xml!$A:$A,0))=0,0,N969)</f>
        <v>70</v>
      </c>
      <c r="N969" s="7">
        <f t="shared" ref="N969" si="1314">N881</f>
        <v>70</v>
      </c>
    </row>
    <row r="970" spans="1:14">
      <c r="A970" s="7">
        <v>10015</v>
      </c>
      <c r="B970" s="7">
        <f t="shared" ref="B970:C970" si="1315">B882</f>
        <v>40000</v>
      </c>
      <c r="C970" s="7" t="str">
        <f t="shared" si="1315"/>
        <v>装备</v>
      </c>
      <c r="D970" s="7">
        <f t="shared" si="1285"/>
        <v>50503065</v>
      </c>
      <c r="E970" s="7"/>
      <c r="F970" s="7">
        <v>1</v>
      </c>
      <c r="G970" s="8">
        <f>3*INDEX([1]equip.xml!$I:$I,MATCH(D970,[1]equip.xml!$A:$A,0))</f>
        <v>300000</v>
      </c>
      <c r="H970" s="7" t="str">
        <f t="shared" si="1275"/>
        <v>10_10,50_20,80_30</v>
      </c>
      <c r="I970" s="7">
        <v>3</v>
      </c>
      <c r="J970" s="7">
        <f t="shared" si="1276"/>
        <v>240</v>
      </c>
      <c r="K970" s="7" t="s">
        <v>311</v>
      </c>
      <c r="L970" s="7">
        <v>38</v>
      </c>
      <c r="M970" s="7">
        <f>IF(INDEX([1]equip.xml!$B:$B,MATCH(D970,[1]equip.xml!$A:$A,0))=0,0,N970)</f>
        <v>70</v>
      </c>
      <c r="N970" s="7">
        <f t="shared" ref="N970" si="1316">N882</f>
        <v>70</v>
      </c>
    </row>
    <row r="971" spans="1:14">
      <c r="A971" s="7">
        <v>10015</v>
      </c>
      <c r="B971" s="7">
        <f t="shared" ref="B971:C971" si="1317">B883</f>
        <v>40000</v>
      </c>
      <c r="C971" s="7" t="str">
        <f t="shared" si="1317"/>
        <v>装备</v>
      </c>
      <c r="D971" s="7">
        <f t="shared" si="1285"/>
        <v>50503066</v>
      </c>
      <c r="E971" s="7"/>
      <c r="F971" s="7">
        <v>1</v>
      </c>
      <c r="G971" s="8">
        <f>3*INDEX([1]equip.xml!$I:$I,MATCH(D971,[1]equip.xml!$A:$A,0))</f>
        <v>318000</v>
      </c>
      <c r="H971" s="7" t="str">
        <f t="shared" si="1275"/>
        <v>10_10,50_20,80_30</v>
      </c>
      <c r="I971" s="7">
        <v>3</v>
      </c>
      <c r="J971" s="7">
        <f t="shared" si="1276"/>
        <v>240</v>
      </c>
      <c r="K971" s="7" t="s">
        <v>311</v>
      </c>
      <c r="L971" s="7">
        <v>38</v>
      </c>
      <c r="M971" s="7">
        <f>IF(INDEX([1]equip.xml!$B:$B,MATCH(D971,[1]equip.xml!$A:$A,0))=0,0,N971)</f>
        <v>70</v>
      </c>
      <c r="N971" s="7">
        <f t="shared" ref="N971" si="1318">N883</f>
        <v>70</v>
      </c>
    </row>
    <row r="972" spans="1:14">
      <c r="A972" s="7">
        <v>10015</v>
      </c>
      <c r="B972" s="7">
        <f t="shared" ref="B972:C972" si="1319">B884</f>
        <v>40000</v>
      </c>
      <c r="C972" s="7" t="str">
        <f t="shared" si="1319"/>
        <v>装备</v>
      </c>
      <c r="D972" s="7">
        <f t="shared" si="1285"/>
        <v>50500045</v>
      </c>
      <c r="E972" s="7"/>
      <c r="F972" s="7">
        <v>1</v>
      </c>
      <c r="G972" s="8">
        <f>3*INDEX([1]equip.xml!$I:$I,MATCH(D972,[1]equip.xml!$A:$A,0))</f>
        <v>300000</v>
      </c>
      <c r="H972" s="7" t="str">
        <f t="shared" si="1275"/>
        <v>10_10,50_20,80_30</v>
      </c>
      <c r="I972" s="7">
        <v>3</v>
      </c>
      <c r="J972" s="7">
        <f t="shared" si="1276"/>
        <v>240</v>
      </c>
      <c r="K972" s="7" t="s">
        <v>311</v>
      </c>
      <c r="L972" s="7">
        <v>38</v>
      </c>
      <c r="M972" s="7">
        <f>IF(INDEX([1]equip.xml!$B:$B,MATCH(D972,[1]equip.xml!$A:$A,0))=0,0,N972)</f>
        <v>70</v>
      </c>
      <c r="N972" s="7">
        <f t="shared" ref="N972" si="1320">N884</f>
        <v>70</v>
      </c>
    </row>
    <row r="973" spans="1:14">
      <c r="A973" s="7">
        <v>10015</v>
      </c>
      <c r="B973" s="7">
        <f t="shared" ref="B973:C973" si="1321">B885</f>
        <v>40000</v>
      </c>
      <c r="C973" s="7" t="str">
        <f t="shared" si="1321"/>
        <v>装备</v>
      </c>
      <c r="D973" s="7">
        <f t="shared" si="1285"/>
        <v>50500046</v>
      </c>
      <c r="E973" s="7"/>
      <c r="F973" s="7">
        <v>1</v>
      </c>
      <c r="G973" s="8">
        <f>3*INDEX([1]equip.xml!$I:$I,MATCH(D973,[1]equip.xml!$A:$A,0))</f>
        <v>318000</v>
      </c>
      <c r="H973" s="7" t="str">
        <f t="shared" si="1275"/>
        <v>10_10,50_20,80_30</v>
      </c>
      <c r="I973" s="7">
        <v>3</v>
      </c>
      <c r="J973" s="7">
        <f t="shared" si="1276"/>
        <v>240</v>
      </c>
      <c r="K973" s="7" t="s">
        <v>311</v>
      </c>
      <c r="L973" s="7">
        <v>38</v>
      </c>
      <c r="M973" s="7">
        <f>IF(INDEX([1]equip.xml!$B:$B,MATCH(D973,[1]equip.xml!$A:$A,0))=0,0,N973)</f>
        <v>0</v>
      </c>
      <c r="N973" s="7">
        <f t="shared" ref="N973" si="1322">N885</f>
        <v>70</v>
      </c>
    </row>
    <row r="974" spans="1:14">
      <c r="A974" s="7">
        <v>10015</v>
      </c>
      <c r="B974" s="7">
        <f t="shared" ref="B974:C974" si="1323">B886</f>
        <v>40000</v>
      </c>
      <c r="C974" s="7" t="str">
        <f t="shared" si="1323"/>
        <v>装备</v>
      </c>
      <c r="D974" s="7">
        <f t="shared" si="1285"/>
        <v>50500075</v>
      </c>
      <c r="E974" s="7"/>
      <c r="F974" s="7">
        <v>1</v>
      </c>
      <c r="G974" s="8">
        <f>3*INDEX([1]equip.xml!$I:$I,MATCH(D974,[1]equip.xml!$A:$A,0))</f>
        <v>300000</v>
      </c>
      <c r="H974" s="7" t="str">
        <f t="shared" si="1275"/>
        <v>10_10,50_20,80_30</v>
      </c>
      <c r="I974" s="7">
        <v>3</v>
      </c>
      <c r="J974" s="7">
        <f t="shared" si="1276"/>
        <v>240</v>
      </c>
      <c r="K974" s="7" t="s">
        <v>311</v>
      </c>
      <c r="L974" s="7">
        <v>38</v>
      </c>
      <c r="M974" s="7">
        <f>IF(INDEX([1]equip.xml!$B:$B,MATCH(D974,[1]equip.xml!$A:$A,0))=0,0,N974)</f>
        <v>70</v>
      </c>
      <c r="N974" s="7">
        <f t="shared" ref="N974" si="1324">N886</f>
        <v>70</v>
      </c>
    </row>
    <row r="975" spans="1:14">
      <c r="A975" s="7">
        <v>10015</v>
      </c>
      <c r="B975" s="7">
        <f t="shared" ref="B975:C975" si="1325">B887</f>
        <v>40000</v>
      </c>
      <c r="C975" s="7" t="str">
        <f t="shared" si="1325"/>
        <v>装备</v>
      </c>
      <c r="D975" s="7">
        <f t="shared" si="1285"/>
        <v>50500076</v>
      </c>
      <c r="E975" s="7"/>
      <c r="F975" s="7">
        <v>1</v>
      </c>
      <c r="G975" s="8">
        <f>3*INDEX([1]equip.xml!$I:$I,MATCH(D975,[1]equip.xml!$A:$A,0))</f>
        <v>318000</v>
      </c>
      <c r="H975" s="7" t="str">
        <f t="shared" si="1275"/>
        <v>10_10,50_20,80_30</v>
      </c>
      <c r="I975" s="7">
        <v>3</v>
      </c>
      <c r="J975" s="7">
        <f t="shared" si="1276"/>
        <v>240</v>
      </c>
      <c r="K975" s="7" t="s">
        <v>311</v>
      </c>
      <c r="L975" s="7">
        <v>38</v>
      </c>
      <c r="M975" s="7">
        <f>IF(INDEX([1]equip.xml!$B:$B,MATCH(D975,[1]equip.xml!$A:$A,0))=0,0,N975)</f>
        <v>0</v>
      </c>
      <c r="N975" s="7">
        <f t="shared" ref="N975" si="1326">N887</f>
        <v>70</v>
      </c>
    </row>
    <row r="976" spans="1:14">
      <c r="A976" s="7">
        <v>10015</v>
      </c>
      <c r="B976" s="7">
        <f t="shared" ref="B976:C976" si="1327">B888</f>
        <v>40000</v>
      </c>
      <c r="C976" s="7" t="str">
        <f t="shared" si="1327"/>
        <v>装备</v>
      </c>
      <c r="D976" s="7">
        <f t="shared" si="1285"/>
        <v>50550015</v>
      </c>
      <c r="E976" s="7"/>
      <c r="F976" s="7">
        <v>1</v>
      </c>
      <c r="G976" s="8">
        <f>3*INDEX([1]equip.xml!$I:$I,MATCH(D976,[1]equip.xml!$A:$A,0))</f>
        <v>330000</v>
      </c>
      <c r="H976" s="7" t="str">
        <f t="shared" si="1275"/>
        <v>10_10,50_20,80_30</v>
      </c>
      <c r="I976" s="7">
        <v>3</v>
      </c>
      <c r="J976" s="7">
        <f t="shared" si="1276"/>
        <v>240</v>
      </c>
      <c r="K976" s="7" t="s">
        <v>311</v>
      </c>
      <c r="L976" s="7">
        <v>38</v>
      </c>
      <c r="M976" s="7">
        <f>IF(INDEX([1]equip.xml!$B:$B,MATCH(D976,[1]equip.xml!$A:$A,0))=0,0,N976)</f>
        <v>14</v>
      </c>
      <c r="N976" s="7">
        <f t="shared" ref="N976" si="1328">N888</f>
        <v>14</v>
      </c>
    </row>
    <row r="977" spans="1:14">
      <c r="A977" s="7">
        <v>10015</v>
      </c>
      <c r="B977" s="7">
        <f t="shared" ref="B977:C977" si="1329">B889</f>
        <v>40000</v>
      </c>
      <c r="C977" s="7" t="str">
        <f t="shared" si="1329"/>
        <v>装备</v>
      </c>
      <c r="D977" s="7">
        <f t="shared" si="1285"/>
        <v>50550025</v>
      </c>
      <c r="E977" s="7"/>
      <c r="F977" s="7">
        <v>1</v>
      </c>
      <c r="G977" s="8">
        <f>3*INDEX([1]equip.xml!$I:$I,MATCH(D977,[1]equip.xml!$A:$A,0))</f>
        <v>330000</v>
      </c>
      <c r="H977" s="7" t="str">
        <f t="shared" si="1275"/>
        <v>10_10,50_20,80_30</v>
      </c>
      <c r="I977" s="7">
        <v>3</v>
      </c>
      <c r="J977" s="7">
        <f t="shared" si="1276"/>
        <v>240</v>
      </c>
      <c r="K977" s="7" t="s">
        <v>311</v>
      </c>
      <c r="L977" s="7">
        <v>38</v>
      </c>
      <c r="M977" s="7">
        <f>IF(INDEX([1]equip.xml!$B:$B,MATCH(D977,[1]equip.xml!$A:$A,0))=0,0,N977)</f>
        <v>14</v>
      </c>
      <c r="N977" s="7">
        <f t="shared" ref="N977" si="1330">N889</f>
        <v>14</v>
      </c>
    </row>
    <row r="978" spans="1:14">
      <c r="A978" s="7">
        <v>10015</v>
      </c>
      <c r="B978" s="7">
        <f t="shared" ref="B978:C978" si="1331">B890</f>
        <v>40000</v>
      </c>
      <c r="C978" s="7" t="str">
        <f t="shared" si="1331"/>
        <v>装备</v>
      </c>
      <c r="D978" s="7">
        <f t="shared" si="1285"/>
        <v>50550035</v>
      </c>
      <c r="E978" s="7"/>
      <c r="F978" s="7">
        <v>1</v>
      </c>
      <c r="G978" s="8">
        <f>3*INDEX([1]equip.xml!$I:$I,MATCH(D978,[1]equip.xml!$A:$A,0))</f>
        <v>330000</v>
      </c>
      <c r="H978" s="7" t="str">
        <f t="shared" si="1275"/>
        <v>10_10,50_20,80_30</v>
      </c>
      <c r="I978" s="7">
        <v>3</v>
      </c>
      <c r="J978" s="7">
        <f t="shared" si="1276"/>
        <v>240</v>
      </c>
      <c r="K978" s="7" t="s">
        <v>311</v>
      </c>
      <c r="L978" s="7">
        <v>38</v>
      </c>
      <c r="M978" s="7">
        <f>IF(INDEX([1]equip.xml!$B:$B,MATCH(D978,[1]equip.xml!$A:$A,0))=0,0,N978)</f>
        <v>14</v>
      </c>
      <c r="N978" s="7">
        <f t="shared" ref="N978" si="1332">N890</f>
        <v>14</v>
      </c>
    </row>
    <row r="979" spans="1:14">
      <c r="A979" s="7">
        <v>10015</v>
      </c>
      <c r="B979" s="7">
        <f t="shared" ref="B979:C979" si="1333">B891</f>
        <v>40000</v>
      </c>
      <c r="C979" s="7" t="str">
        <f t="shared" si="1333"/>
        <v>装备</v>
      </c>
      <c r="D979" s="7">
        <f t="shared" si="1285"/>
        <v>50550085</v>
      </c>
      <c r="E979" s="7"/>
      <c r="F979" s="7">
        <v>1</v>
      </c>
      <c r="G979" s="8">
        <f>3*INDEX([1]equip.xml!$I:$I,MATCH(D979,[1]equip.xml!$A:$A,0))</f>
        <v>330000</v>
      </c>
      <c r="H979" s="7" t="str">
        <f t="shared" si="1275"/>
        <v>10_10,50_20,80_30</v>
      </c>
      <c r="I979" s="7">
        <v>3</v>
      </c>
      <c r="J979" s="7">
        <f t="shared" si="1276"/>
        <v>240</v>
      </c>
      <c r="K979" s="7" t="s">
        <v>311</v>
      </c>
      <c r="L979" s="7">
        <v>38</v>
      </c>
      <c r="M979" s="7">
        <f>IF(INDEX([1]equip.xml!$B:$B,MATCH(D979,[1]equip.xml!$A:$A,0))=0,0,N979)</f>
        <v>14</v>
      </c>
      <c r="N979" s="7">
        <f t="shared" ref="N979" si="1334">N891</f>
        <v>14</v>
      </c>
    </row>
    <row r="980" spans="1:14">
      <c r="A980" s="7">
        <v>10015</v>
      </c>
      <c r="B980" s="7">
        <f t="shared" ref="B980:C980" si="1335">B892</f>
        <v>40000</v>
      </c>
      <c r="C980" s="7" t="str">
        <f t="shared" si="1335"/>
        <v>装备</v>
      </c>
      <c r="D980" s="7">
        <f t="shared" si="1285"/>
        <v>50550095</v>
      </c>
      <c r="E980" s="7"/>
      <c r="F980" s="7">
        <v>1</v>
      </c>
      <c r="G980" s="8">
        <f>3*INDEX([1]equip.xml!$I:$I,MATCH(D980,[1]equip.xml!$A:$A,0))</f>
        <v>330000</v>
      </c>
      <c r="H980" s="7" t="str">
        <f t="shared" si="1275"/>
        <v>10_10,50_20,80_30</v>
      </c>
      <c r="I980" s="7">
        <v>3</v>
      </c>
      <c r="J980" s="7">
        <f t="shared" si="1276"/>
        <v>240</v>
      </c>
      <c r="K980" s="7" t="s">
        <v>311</v>
      </c>
      <c r="L980" s="7">
        <v>38</v>
      </c>
      <c r="M980" s="7">
        <f>IF(INDEX([1]equip.xml!$B:$B,MATCH(D980,[1]equip.xml!$A:$A,0))=0,0,N980)</f>
        <v>0</v>
      </c>
      <c r="N980" s="7">
        <f t="shared" ref="N980" si="1336">N892</f>
        <v>14</v>
      </c>
    </row>
    <row r="981" spans="1:14">
      <c r="A981" s="7">
        <v>10015</v>
      </c>
      <c r="B981" s="7">
        <f t="shared" ref="B981:C981" si="1337">B893</f>
        <v>40000</v>
      </c>
      <c r="C981" s="7" t="str">
        <f t="shared" si="1337"/>
        <v>装备</v>
      </c>
      <c r="D981" s="7">
        <f t="shared" si="1285"/>
        <v>50550105</v>
      </c>
      <c r="E981" s="7"/>
      <c r="F981" s="7">
        <v>1</v>
      </c>
      <c r="G981" s="8">
        <f>3*INDEX([1]equip.xml!$I:$I,MATCH(D981,[1]equip.xml!$A:$A,0))</f>
        <v>330000</v>
      </c>
      <c r="H981" s="7" t="str">
        <f t="shared" si="1275"/>
        <v>10_10,50_20,80_30</v>
      </c>
      <c r="I981" s="7">
        <v>3</v>
      </c>
      <c r="J981" s="7">
        <f t="shared" si="1276"/>
        <v>240</v>
      </c>
      <c r="K981" s="7" t="s">
        <v>311</v>
      </c>
      <c r="L981" s="7">
        <v>38</v>
      </c>
      <c r="M981" s="7">
        <f>IF(INDEX([1]equip.xml!$B:$B,MATCH(D981,[1]equip.xml!$A:$A,0))=0,0,N981)</f>
        <v>14</v>
      </c>
      <c r="N981" s="7">
        <f t="shared" ref="N981" si="1338">N893</f>
        <v>14</v>
      </c>
    </row>
    <row r="982" spans="1:14">
      <c r="A982" s="7">
        <v>10015</v>
      </c>
      <c r="B982" s="7">
        <f t="shared" ref="B982:C982" si="1339">B894</f>
        <v>40000</v>
      </c>
      <c r="C982" s="7" t="str">
        <f t="shared" si="1339"/>
        <v>装备</v>
      </c>
      <c r="D982" s="7">
        <f t="shared" si="1285"/>
        <v>50551055</v>
      </c>
      <c r="E982" s="7"/>
      <c r="F982" s="7">
        <v>1</v>
      </c>
      <c r="G982" s="8">
        <f>3*INDEX([1]equip.xml!$I:$I,MATCH(D982,[1]equip.xml!$A:$A,0))</f>
        <v>330000</v>
      </c>
      <c r="H982" s="7" t="str">
        <f t="shared" si="1275"/>
        <v>10_10,50_20,80_30</v>
      </c>
      <c r="I982" s="7">
        <v>3</v>
      </c>
      <c r="J982" s="7">
        <f t="shared" si="1276"/>
        <v>240</v>
      </c>
      <c r="K982" s="7" t="s">
        <v>311</v>
      </c>
      <c r="L982" s="7">
        <v>38</v>
      </c>
      <c r="M982" s="7">
        <f>IF(INDEX([1]equip.xml!$B:$B,MATCH(D982,[1]equip.xml!$A:$A,0))=0,0,N982)</f>
        <v>14</v>
      </c>
      <c r="N982" s="7">
        <f t="shared" ref="N982" si="1340">N894</f>
        <v>14</v>
      </c>
    </row>
    <row r="983" spans="1:14">
      <c r="A983" s="7">
        <v>10015</v>
      </c>
      <c r="B983" s="7">
        <f t="shared" ref="B983:C983" si="1341">B895</f>
        <v>40000</v>
      </c>
      <c r="C983" s="7" t="str">
        <f t="shared" si="1341"/>
        <v>装备</v>
      </c>
      <c r="D983" s="7">
        <f t="shared" si="1285"/>
        <v>50551056</v>
      </c>
      <c r="E983" s="7"/>
      <c r="F983" s="7">
        <v>1</v>
      </c>
      <c r="G983" s="8">
        <f>3*INDEX([1]equip.xml!$I:$I,MATCH(D983,[1]equip.xml!$A:$A,0))</f>
        <v>348000</v>
      </c>
      <c r="H983" s="7" t="str">
        <f t="shared" si="1275"/>
        <v>10_10,50_20,80_30</v>
      </c>
      <c r="I983" s="7">
        <v>3</v>
      </c>
      <c r="J983" s="7">
        <f t="shared" si="1276"/>
        <v>240</v>
      </c>
      <c r="K983" s="7" t="s">
        <v>311</v>
      </c>
      <c r="L983" s="7">
        <v>38</v>
      </c>
      <c r="M983" s="7">
        <f>IF(INDEX([1]equip.xml!$B:$B,MATCH(D983,[1]equip.xml!$A:$A,0))=0,0,N983)</f>
        <v>0</v>
      </c>
      <c r="N983" s="7">
        <f t="shared" ref="N983" si="1342">N895</f>
        <v>14</v>
      </c>
    </row>
    <row r="984" spans="1:14">
      <c r="A984" s="7">
        <v>10015</v>
      </c>
      <c r="B984" s="7">
        <f t="shared" ref="B984:C984" si="1343">B896</f>
        <v>40000</v>
      </c>
      <c r="C984" s="7" t="str">
        <f t="shared" si="1343"/>
        <v>装备</v>
      </c>
      <c r="D984" s="7">
        <f t="shared" si="1285"/>
        <v>50551065</v>
      </c>
      <c r="E984" s="7"/>
      <c r="F984" s="7">
        <v>1</v>
      </c>
      <c r="G984" s="8">
        <f>3*INDEX([1]equip.xml!$I:$I,MATCH(D984,[1]equip.xml!$A:$A,0))</f>
        <v>330000</v>
      </c>
      <c r="H984" s="7" t="str">
        <f t="shared" si="1275"/>
        <v>10_10,50_20,80_30</v>
      </c>
      <c r="I984" s="7">
        <v>3</v>
      </c>
      <c r="J984" s="7">
        <f t="shared" si="1276"/>
        <v>240</v>
      </c>
      <c r="K984" s="7" t="s">
        <v>311</v>
      </c>
      <c r="L984" s="7">
        <v>38</v>
      </c>
      <c r="M984" s="7">
        <f>IF(INDEX([1]equip.xml!$B:$B,MATCH(D984,[1]equip.xml!$A:$A,0))=0,0,N984)</f>
        <v>14</v>
      </c>
      <c r="N984" s="7">
        <f t="shared" ref="N984" si="1344">N896</f>
        <v>14</v>
      </c>
    </row>
    <row r="985" spans="1:14">
      <c r="A985" s="7">
        <v>10015</v>
      </c>
      <c r="B985" s="7">
        <f t="shared" ref="B985:C985" si="1345">B897</f>
        <v>40000</v>
      </c>
      <c r="C985" s="7" t="str">
        <f t="shared" si="1345"/>
        <v>装备</v>
      </c>
      <c r="D985" s="7">
        <f t="shared" si="1285"/>
        <v>50551066</v>
      </c>
      <c r="E985" s="7"/>
      <c r="F985" s="7">
        <v>1</v>
      </c>
      <c r="G985" s="8">
        <f>3*INDEX([1]equip.xml!$I:$I,MATCH(D985,[1]equip.xml!$A:$A,0))</f>
        <v>348000</v>
      </c>
      <c r="H985" s="7" t="str">
        <f t="shared" si="1275"/>
        <v>10_10,50_20,80_30</v>
      </c>
      <c r="I985" s="7">
        <v>3</v>
      </c>
      <c r="J985" s="7">
        <f t="shared" si="1276"/>
        <v>240</v>
      </c>
      <c r="K985" s="7" t="s">
        <v>311</v>
      </c>
      <c r="L985" s="7">
        <v>38</v>
      </c>
      <c r="M985" s="7">
        <f>IF(INDEX([1]equip.xml!$B:$B,MATCH(D985,[1]equip.xml!$A:$A,0))=0,0,N985)</f>
        <v>14</v>
      </c>
      <c r="N985" s="7">
        <f t="shared" ref="N985" si="1346">N897</f>
        <v>14</v>
      </c>
    </row>
    <row r="986" spans="1:14">
      <c r="A986" s="7">
        <v>10015</v>
      </c>
      <c r="B986" s="7">
        <f t="shared" ref="B986:C986" si="1347">B898</f>
        <v>40000</v>
      </c>
      <c r="C986" s="7" t="str">
        <f t="shared" si="1347"/>
        <v>装备</v>
      </c>
      <c r="D986" s="7">
        <f t="shared" si="1285"/>
        <v>50552055</v>
      </c>
      <c r="E986" s="7"/>
      <c r="F986" s="7">
        <v>1</v>
      </c>
      <c r="G986" s="8">
        <f>3*INDEX([1]equip.xml!$I:$I,MATCH(D986,[1]equip.xml!$A:$A,0))</f>
        <v>330000</v>
      </c>
      <c r="H986" s="7" t="str">
        <f t="shared" si="1275"/>
        <v>10_10,50_20,80_30</v>
      </c>
      <c r="I986" s="7">
        <v>3</v>
      </c>
      <c r="J986" s="7">
        <f t="shared" si="1276"/>
        <v>240</v>
      </c>
      <c r="K986" s="7" t="s">
        <v>311</v>
      </c>
      <c r="L986" s="7">
        <v>38</v>
      </c>
      <c r="M986" s="7">
        <f>IF(INDEX([1]equip.xml!$B:$B,MATCH(D986,[1]equip.xml!$A:$A,0))=0,0,N986)</f>
        <v>14</v>
      </c>
      <c r="N986" s="7">
        <f t="shared" ref="N986" si="1348">N898</f>
        <v>14</v>
      </c>
    </row>
    <row r="987" spans="1:14">
      <c r="A987" s="7">
        <v>10015</v>
      </c>
      <c r="B987" s="7">
        <f t="shared" ref="B987:C987" si="1349">B899</f>
        <v>40000</v>
      </c>
      <c r="C987" s="7" t="str">
        <f t="shared" si="1349"/>
        <v>装备</v>
      </c>
      <c r="D987" s="7">
        <f t="shared" si="1285"/>
        <v>50552056</v>
      </c>
      <c r="E987" s="7"/>
      <c r="F987" s="7">
        <v>1</v>
      </c>
      <c r="G987" s="8">
        <f>3*INDEX([1]equip.xml!$I:$I,MATCH(D987,[1]equip.xml!$A:$A,0))</f>
        <v>348000</v>
      </c>
      <c r="H987" s="7" t="str">
        <f t="shared" si="1275"/>
        <v>10_10,50_20,80_30</v>
      </c>
      <c r="I987" s="7">
        <v>3</v>
      </c>
      <c r="J987" s="7">
        <f t="shared" si="1276"/>
        <v>240</v>
      </c>
      <c r="K987" s="7" t="s">
        <v>311</v>
      </c>
      <c r="L987" s="7">
        <v>38</v>
      </c>
      <c r="M987" s="7">
        <f>IF(INDEX([1]equip.xml!$B:$B,MATCH(D987,[1]equip.xml!$A:$A,0))=0,0,N987)</f>
        <v>0</v>
      </c>
      <c r="N987" s="7">
        <f t="shared" ref="N987" si="1350">N899</f>
        <v>14</v>
      </c>
    </row>
    <row r="988" spans="1:14">
      <c r="A988" s="7">
        <v>10015</v>
      </c>
      <c r="B988" s="7">
        <f t="shared" ref="B988:C988" si="1351">B900</f>
        <v>40000</v>
      </c>
      <c r="C988" s="7" t="str">
        <f t="shared" si="1351"/>
        <v>装备</v>
      </c>
      <c r="D988" s="7">
        <f t="shared" si="1285"/>
        <v>50552065</v>
      </c>
      <c r="E988" s="7"/>
      <c r="F988" s="7">
        <v>1</v>
      </c>
      <c r="G988" s="8">
        <f>3*INDEX([1]equip.xml!$I:$I,MATCH(D988,[1]equip.xml!$A:$A,0))</f>
        <v>330000</v>
      </c>
      <c r="H988" s="7" t="str">
        <f t="shared" si="1275"/>
        <v>10_10,50_20,80_30</v>
      </c>
      <c r="I988" s="7">
        <v>3</v>
      </c>
      <c r="J988" s="7">
        <f t="shared" si="1276"/>
        <v>240</v>
      </c>
      <c r="K988" s="7" t="s">
        <v>311</v>
      </c>
      <c r="L988" s="7">
        <v>38</v>
      </c>
      <c r="M988" s="7">
        <f>IF(INDEX([1]equip.xml!$B:$B,MATCH(D988,[1]equip.xml!$A:$A,0))=0,0,N988)</f>
        <v>14</v>
      </c>
      <c r="N988" s="7">
        <f t="shared" ref="N988" si="1352">N900</f>
        <v>14</v>
      </c>
    </row>
    <row r="989" spans="1:14">
      <c r="A989" s="7">
        <v>10015</v>
      </c>
      <c r="B989" s="7">
        <f t="shared" ref="B989:C989" si="1353">B901</f>
        <v>40000</v>
      </c>
      <c r="C989" s="7" t="str">
        <f t="shared" si="1353"/>
        <v>装备</v>
      </c>
      <c r="D989" s="7">
        <f t="shared" si="1285"/>
        <v>50552066</v>
      </c>
      <c r="E989" s="7"/>
      <c r="F989" s="7">
        <v>1</v>
      </c>
      <c r="G989" s="8">
        <f>3*INDEX([1]equip.xml!$I:$I,MATCH(D989,[1]equip.xml!$A:$A,0))</f>
        <v>348000</v>
      </c>
      <c r="H989" s="7" t="str">
        <f t="shared" si="1275"/>
        <v>10_10,50_20,80_30</v>
      </c>
      <c r="I989" s="7">
        <v>3</v>
      </c>
      <c r="J989" s="7">
        <f t="shared" si="1276"/>
        <v>240</v>
      </c>
      <c r="K989" s="7" t="s">
        <v>311</v>
      </c>
      <c r="L989" s="7">
        <v>38</v>
      </c>
      <c r="M989" s="7">
        <f>IF(INDEX([1]equip.xml!$B:$B,MATCH(D989,[1]equip.xml!$A:$A,0))=0,0,N989)</f>
        <v>14</v>
      </c>
      <c r="N989" s="7">
        <f t="shared" ref="N989" si="1354">N901</f>
        <v>14</v>
      </c>
    </row>
    <row r="990" spans="1:14">
      <c r="A990" s="7">
        <v>10015</v>
      </c>
      <c r="B990" s="7">
        <f t="shared" ref="B990:C990" si="1355">B902</f>
        <v>40000</v>
      </c>
      <c r="C990" s="7" t="str">
        <f t="shared" si="1355"/>
        <v>装备</v>
      </c>
      <c r="D990" s="7">
        <f t="shared" si="1285"/>
        <v>50553055</v>
      </c>
      <c r="E990" s="7"/>
      <c r="F990" s="7">
        <v>1</v>
      </c>
      <c r="G990" s="8">
        <f>3*INDEX([1]equip.xml!$I:$I,MATCH(D990,[1]equip.xml!$A:$A,0))</f>
        <v>330000</v>
      </c>
      <c r="H990" s="7" t="str">
        <f t="shared" si="1275"/>
        <v>10_10,50_20,80_30</v>
      </c>
      <c r="I990" s="7">
        <v>3</v>
      </c>
      <c r="J990" s="7">
        <f t="shared" si="1276"/>
        <v>240</v>
      </c>
      <c r="K990" s="7" t="s">
        <v>311</v>
      </c>
      <c r="L990" s="7">
        <v>38</v>
      </c>
      <c r="M990" s="7">
        <f>IF(INDEX([1]equip.xml!$B:$B,MATCH(D990,[1]equip.xml!$A:$A,0))=0,0,N990)</f>
        <v>14</v>
      </c>
      <c r="N990" s="7">
        <f t="shared" ref="N990" si="1356">N902</f>
        <v>14</v>
      </c>
    </row>
    <row r="991" spans="1:14">
      <c r="A991" s="7">
        <v>10015</v>
      </c>
      <c r="B991" s="7">
        <f t="shared" ref="B991:C991" si="1357">B903</f>
        <v>40000</v>
      </c>
      <c r="C991" s="7" t="str">
        <f t="shared" si="1357"/>
        <v>装备</v>
      </c>
      <c r="D991" s="7">
        <f t="shared" si="1285"/>
        <v>50553056</v>
      </c>
      <c r="E991" s="7"/>
      <c r="F991" s="7">
        <v>1</v>
      </c>
      <c r="G991" s="8">
        <f>3*INDEX([1]equip.xml!$I:$I,MATCH(D991,[1]equip.xml!$A:$A,0))</f>
        <v>348000</v>
      </c>
      <c r="H991" s="7" t="str">
        <f t="shared" si="1275"/>
        <v>10_10,50_20,80_30</v>
      </c>
      <c r="I991" s="7">
        <v>3</v>
      </c>
      <c r="J991" s="7">
        <f t="shared" si="1276"/>
        <v>240</v>
      </c>
      <c r="K991" s="7" t="s">
        <v>311</v>
      </c>
      <c r="L991" s="7">
        <v>38</v>
      </c>
      <c r="M991" s="7">
        <f>IF(INDEX([1]equip.xml!$B:$B,MATCH(D991,[1]equip.xml!$A:$A,0))=0,0,N991)</f>
        <v>0</v>
      </c>
      <c r="N991" s="7">
        <f t="shared" ref="N991" si="1358">N903</f>
        <v>14</v>
      </c>
    </row>
    <row r="992" spans="1:14">
      <c r="A992" s="7">
        <v>10015</v>
      </c>
      <c r="B992" s="7">
        <f t="shared" ref="B992:C992" si="1359">B904</f>
        <v>40000</v>
      </c>
      <c r="C992" s="7" t="str">
        <f t="shared" si="1359"/>
        <v>装备</v>
      </c>
      <c r="D992" s="7">
        <f t="shared" si="1285"/>
        <v>50553065</v>
      </c>
      <c r="E992" s="7"/>
      <c r="F992" s="7">
        <v>1</v>
      </c>
      <c r="G992" s="8">
        <f>3*INDEX([1]equip.xml!$I:$I,MATCH(D992,[1]equip.xml!$A:$A,0))</f>
        <v>330000</v>
      </c>
      <c r="H992" s="7" t="str">
        <f t="shared" si="1275"/>
        <v>10_10,50_20,80_30</v>
      </c>
      <c r="I992" s="7">
        <v>3</v>
      </c>
      <c r="J992" s="7">
        <f t="shared" si="1276"/>
        <v>240</v>
      </c>
      <c r="K992" s="7" t="s">
        <v>311</v>
      </c>
      <c r="L992" s="7">
        <v>38</v>
      </c>
      <c r="M992" s="7">
        <f>IF(INDEX([1]equip.xml!$B:$B,MATCH(D992,[1]equip.xml!$A:$A,0))=0,0,N992)</f>
        <v>14</v>
      </c>
      <c r="N992" s="7">
        <f t="shared" ref="N992" si="1360">N904</f>
        <v>14</v>
      </c>
    </row>
    <row r="993" spans="1:14">
      <c r="A993" s="7">
        <v>10015</v>
      </c>
      <c r="B993" s="7">
        <f t="shared" ref="B993:C993" si="1361">B905</f>
        <v>40000</v>
      </c>
      <c r="C993" s="7" t="str">
        <f t="shared" si="1361"/>
        <v>装备</v>
      </c>
      <c r="D993" s="7">
        <f t="shared" si="1285"/>
        <v>50553066</v>
      </c>
      <c r="E993" s="7"/>
      <c r="F993" s="7">
        <v>1</v>
      </c>
      <c r="G993" s="8">
        <f>3*INDEX([1]equip.xml!$I:$I,MATCH(D993,[1]equip.xml!$A:$A,0))</f>
        <v>348000</v>
      </c>
      <c r="H993" s="7" t="str">
        <f t="shared" si="1275"/>
        <v>10_10,50_20,80_30</v>
      </c>
      <c r="I993" s="7">
        <v>3</v>
      </c>
      <c r="J993" s="7">
        <f t="shared" si="1276"/>
        <v>240</v>
      </c>
      <c r="K993" s="7" t="s">
        <v>311</v>
      </c>
      <c r="L993" s="7">
        <v>38</v>
      </c>
      <c r="M993" s="7">
        <f>IF(INDEX([1]equip.xml!$B:$B,MATCH(D993,[1]equip.xml!$A:$A,0))=0,0,N993)</f>
        <v>14</v>
      </c>
      <c r="N993" s="7">
        <f t="shared" ref="N993" si="1362">N905</f>
        <v>14</v>
      </c>
    </row>
    <row r="994" spans="1:14">
      <c r="A994" s="7">
        <v>10015</v>
      </c>
      <c r="B994" s="7">
        <f t="shared" ref="B994:C994" si="1363">B906</f>
        <v>40000</v>
      </c>
      <c r="C994" s="7" t="str">
        <f t="shared" si="1363"/>
        <v>装备</v>
      </c>
      <c r="D994" s="7">
        <f t="shared" si="1285"/>
        <v>50550045</v>
      </c>
      <c r="E994" s="7"/>
      <c r="F994" s="7">
        <v>1</v>
      </c>
      <c r="G994" s="8">
        <f>3*INDEX([1]equip.xml!$I:$I,MATCH(D994,[1]equip.xml!$A:$A,0))</f>
        <v>330000</v>
      </c>
      <c r="H994" s="7" t="str">
        <f t="shared" si="1275"/>
        <v>10_10,50_20,80_30</v>
      </c>
      <c r="I994" s="7">
        <v>3</v>
      </c>
      <c r="J994" s="7">
        <f t="shared" si="1276"/>
        <v>240</v>
      </c>
      <c r="K994" s="7" t="s">
        <v>311</v>
      </c>
      <c r="L994" s="7">
        <v>38</v>
      </c>
      <c r="M994" s="7">
        <f>IF(INDEX([1]equip.xml!$B:$B,MATCH(D994,[1]equip.xml!$A:$A,0))=0,0,N994)</f>
        <v>14</v>
      </c>
      <c r="N994" s="7">
        <f t="shared" ref="N994" si="1364">N906</f>
        <v>14</v>
      </c>
    </row>
    <row r="995" spans="1:14">
      <c r="A995" s="7">
        <v>10015</v>
      </c>
      <c r="B995" s="7">
        <f t="shared" ref="B995:C995" si="1365">B907</f>
        <v>40000</v>
      </c>
      <c r="C995" s="7" t="str">
        <f t="shared" si="1365"/>
        <v>装备</v>
      </c>
      <c r="D995" s="7">
        <f t="shared" si="1285"/>
        <v>50550046</v>
      </c>
      <c r="E995" s="7"/>
      <c r="F995" s="7">
        <v>1</v>
      </c>
      <c r="G995" s="8">
        <f>3*INDEX([1]equip.xml!$I:$I,MATCH(D995,[1]equip.xml!$A:$A,0))</f>
        <v>348000</v>
      </c>
      <c r="H995" s="7" t="str">
        <f t="shared" si="1275"/>
        <v>10_10,50_20,80_30</v>
      </c>
      <c r="I995" s="7">
        <v>3</v>
      </c>
      <c r="J995" s="7">
        <f t="shared" si="1276"/>
        <v>240</v>
      </c>
      <c r="K995" s="7" t="s">
        <v>311</v>
      </c>
      <c r="L995" s="7">
        <v>38</v>
      </c>
      <c r="M995" s="7">
        <f>IF(INDEX([1]equip.xml!$B:$B,MATCH(D995,[1]equip.xml!$A:$A,0))=0,0,N995)</f>
        <v>0</v>
      </c>
      <c r="N995" s="7">
        <f t="shared" ref="N995" si="1366">N907</f>
        <v>14</v>
      </c>
    </row>
    <row r="996" spans="1:14">
      <c r="A996" s="7">
        <v>10015</v>
      </c>
      <c r="B996" s="7">
        <f t="shared" ref="B996:C996" si="1367">B908</f>
        <v>40000</v>
      </c>
      <c r="C996" s="7" t="str">
        <f t="shared" si="1367"/>
        <v>装备</v>
      </c>
      <c r="D996" s="7">
        <f t="shared" si="1285"/>
        <v>50550075</v>
      </c>
      <c r="E996" s="7"/>
      <c r="F996" s="7">
        <v>1</v>
      </c>
      <c r="G996" s="8">
        <f>3*INDEX([1]equip.xml!$I:$I,MATCH(D996,[1]equip.xml!$A:$A,0))</f>
        <v>330000</v>
      </c>
      <c r="H996" s="7" t="str">
        <f t="shared" si="1275"/>
        <v>10_10,50_20,80_30</v>
      </c>
      <c r="I996" s="7">
        <v>3</v>
      </c>
      <c r="J996" s="7">
        <f t="shared" si="1276"/>
        <v>240</v>
      </c>
      <c r="K996" s="7" t="s">
        <v>311</v>
      </c>
      <c r="L996" s="7">
        <v>38</v>
      </c>
      <c r="M996" s="7">
        <f>IF(INDEX([1]equip.xml!$B:$B,MATCH(D996,[1]equip.xml!$A:$A,0))=0,0,N996)</f>
        <v>14</v>
      </c>
      <c r="N996" s="7">
        <f t="shared" ref="N996" si="1368">N908</f>
        <v>14</v>
      </c>
    </row>
    <row r="997" spans="1:14">
      <c r="A997" s="7">
        <v>10015</v>
      </c>
      <c r="B997" s="7">
        <f t="shared" ref="B997:C997" si="1369">B909</f>
        <v>40000</v>
      </c>
      <c r="C997" s="7" t="str">
        <f t="shared" si="1369"/>
        <v>装备</v>
      </c>
      <c r="D997" s="7">
        <f t="shared" si="1285"/>
        <v>50550076</v>
      </c>
      <c r="E997" s="7"/>
      <c r="F997" s="7">
        <v>1</v>
      </c>
      <c r="G997" s="8">
        <f>3*INDEX([1]equip.xml!$I:$I,MATCH(D997,[1]equip.xml!$A:$A,0))</f>
        <v>348000</v>
      </c>
      <c r="H997" s="7" t="str">
        <f t="shared" si="1275"/>
        <v>10_10,50_20,80_30</v>
      </c>
      <c r="I997" s="7">
        <v>3</v>
      </c>
      <c r="J997" s="7">
        <f t="shared" si="1276"/>
        <v>240</v>
      </c>
      <c r="K997" s="7" t="s">
        <v>311</v>
      </c>
      <c r="L997" s="7">
        <v>38</v>
      </c>
      <c r="M997" s="7">
        <f>IF(INDEX([1]equip.xml!$B:$B,MATCH(D997,[1]equip.xml!$A:$A,0))=0,0,N997)</f>
        <v>0</v>
      </c>
      <c r="N997" s="7">
        <f t="shared" ref="N997" si="1370">N909</f>
        <v>14</v>
      </c>
    </row>
    <row r="998" spans="1:14">
      <c r="A998" s="8">
        <v>10016</v>
      </c>
      <c r="B998" s="8">
        <f t="shared" ref="B998:C998" si="1371">B910</f>
        <v>40000</v>
      </c>
      <c r="C998" s="8" t="str">
        <f t="shared" si="1371"/>
        <v>装备</v>
      </c>
      <c r="D998" s="8">
        <v>40550010</v>
      </c>
      <c r="E998" s="8"/>
      <c r="F998" s="8">
        <v>1</v>
      </c>
      <c r="G998" s="7">
        <f>3*INDEX([1]equip.xml!$I:$I,MATCH(D998&amp;"",[1]equip.xml!$A:$A,0))</f>
        <v>165000</v>
      </c>
      <c r="H998" s="8" t="str">
        <f t="shared" si="1275"/>
        <v>10_10,50_20,80_30</v>
      </c>
      <c r="I998" s="8">
        <f t="shared" si="1276"/>
        <v>6</v>
      </c>
      <c r="J998" s="8">
        <f t="shared" si="1276"/>
        <v>50</v>
      </c>
      <c r="K998" s="7" t="s">
        <v>311</v>
      </c>
      <c r="L998" s="8">
        <v>40</v>
      </c>
      <c r="M998" s="7">
        <f>IF(INDEX([1]equip.xml!$B:$B,MATCH(D998&amp;"",[1]equip.xml!$A:$A,0))=0,0,N998)</f>
        <v>130</v>
      </c>
      <c r="N998" s="8">
        <f t="shared" ref="N998" si="1372">N910</f>
        <v>130</v>
      </c>
    </row>
    <row r="999" spans="1:14">
      <c r="A999" s="8">
        <v>10016</v>
      </c>
      <c r="B999" s="8">
        <f t="shared" ref="B999:C999" si="1373">B911</f>
        <v>40000</v>
      </c>
      <c r="C999" s="8" t="str">
        <f t="shared" si="1373"/>
        <v>装备</v>
      </c>
      <c r="D999" s="8">
        <v>40550020</v>
      </c>
      <c r="E999" s="8"/>
      <c r="F999" s="8">
        <v>1</v>
      </c>
      <c r="G999" s="7">
        <f>3*INDEX([1]equip.xml!$I:$I,MATCH(D999&amp;"",[1]equip.xml!$A:$A,0))</f>
        <v>165000</v>
      </c>
      <c r="H999" s="8" t="str">
        <f t="shared" si="1275"/>
        <v>10_10,50_20,80_30</v>
      </c>
      <c r="I999" s="8">
        <f t="shared" si="1276"/>
        <v>6</v>
      </c>
      <c r="J999" s="8">
        <f t="shared" si="1276"/>
        <v>50</v>
      </c>
      <c r="K999" s="7" t="s">
        <v>311</v>
      </c>
      <c r="L999" s="8">
        <v>40</v>
      </c>
      <c r="M999" s="7">
        <f>IF(INDEX([1]equip.xml!$B:$B,MATCH(D999&amp;"",[1]equip.xml!$A:$A,0))=0,0,N999)</f>
        <v>130</v>
      </c>
      <c r="N999" s="8">
        <f t="shared" ref="N999" si="1374">N911</f>
        <v>130</v>
      </c>
    </row>
    <row r="1000" spans="1:14">
      <c r="A1000" s="8">
        <v>10016</v>
      </c>
      <c r="B1000" s="8">
        <f t="shared" ref="B1000:C1000" si="1375">B912</f>
        <v>40000</v>
      </c>
      <c r="C1000" s="8" t="str">
        <f t="shared" si="1375"/>
        <v>装备</v>
      </c>
      <c r="D1000" s="8">
        <v>40550030</v>
      </c>
      <c r="E1000" s="8"/>
      <c r="F1000" s="8">
        <v>1</v>
      </c>
      <c r="G1000" s="7">
        <f>3*INDEX([1]equip.xml!$I:$I,MATCH(D1000&amp;"",[1]equip.xml!$A:$A,0))</f>
        <v>165000</v>
      </c>
      <c r="H1000" s="8" t="str">
        <f t="shared" si="1275"/>
        <v>10_10,50_20,80_30</v>
      </c>
      <c r="I1000" s="8">
        <f t="shared" si="1276"/>
        <v>6</v>
      </c>
      <c r="J1000" s="8">
        <f t="shared" si="1276"/>
        <v>50</v>
      </c>
      <c r="K1000" s="7" t="s">
        <v>311</v>
      </c>
      <c r="L1000" s="8">
        <v>40</v>
      </c>
      <c r="M1000" s="7">
        <f>IF(INDEX([1]equip.xml!$B:$B,MATCH(D1000&amp;"",[1]equip.xml!$A:$A,0))=0,0,N1000)</f>
        <v>130</v>
      </c>
      <c r="N1000" s="8">
        <f t="shared" ref="N1000" si="1376">N912</f>
        <v>130</v>
      </c>
    </row>
    <row r="1001" spans="1:14">
      <c r="A1001" s="8">
        <v>10016</v>
      </c>
      <c r="B1001" s="8">
        <f t="shared" ref="B1001:C1001" si="1377">B913</f>
        <v>40000</v>
      </c>
      <c r="C1001" s="8" t="str">
        <f t="shared" si="1377"/>
        <v>装备</v>
      </c>
      <c r="D1001" s="8">
        <v>40550080</v>
      </c>
      <c r="E1001" s="8"/>
      <c r="F1001" s="8">
        <v>1</v>
      </c>
      <c r="G1001" s="7">
        <f>3*INDEX([1]equip.xml!$I:$I,MATCH(D1001&amp;"",[1]equip.xml!$A:$A,0))</f>
        <v>165000</v>
      </c>
      <c r="H1001" s="8" t="str">
        <f t="shared" si="1275"/>
        <v>10_10,50_20,80_30</v>
      </c>
      <c r="I1001" s="8">
        <f t="shared" si="1276"/>
        <v>6</v>
      </c>
      <c r="J1001" s="8">
        <f t="shared" si="1276"/>
        <v>50</v>
      </c>
      <c r="K1001" s="7" t="s">
        <v>311</v>
      </c>
      <c r="L1001" s="8">
        <v>40</v>
      </c>
      <c r="M1001" s="7">
        <f>IF(INDEX([1]equip.xml!$B:$B,MATCH(D1001&amp;"",[1]equip.xml!$A:$A,0))=0,0,N1001)</f>
        <v>130</v>
      </c>
      <c r="N1001" s="8">
        <f t="shared" ref="N1001" si="1378">N913</f>
        <v>130</v>
      </c>
    </row>
    <row r="1002" spans="1:14">
      <c r="A1002" s="8">
        <v>10016</v>
      </c>
      <c r="B1002" s="8">
        <f t="shared" ref="B1002:C1002" si="1379">B914</f>
        <v>40000</v>
      </c>
      <c r="C1002" s="8" t="str">
        <f t="shared" si="1379"/>
        <v>装备</v>
      </c>
      <c r="D1002" s="8">
        <v>40550090</v>
      </c>
      <c r="E1002" s="8"/>
      <c r="F1002" s="8">
        <v>1</v>
      </c>
      <c r="G1002" s="7">
        <f>3*INDEX([1]equip.xml!$I:$I,MATCH(D1002&amp;"",[1]equip.xml!$A:$A,0))</f>
        <v>165000</v>
      </c>
      <c r="H1002" s="8" t="str">
        <f t="shared" si="1275"/>
        <v>10_10,50_20,80_30</v>
      </c>
      <c r="I1002" s="8">
        <f t="shared" si="1276"/>
        <v>6</v>
      </c>
      <c r="J1002" s="8">
        <f t="shared" si="1276"/>
        <v>50</v>
      </c>
      <c r="K1002" s="7" t="s">
        <v>311</v>
      </c>
      <c r="L1002" s="8">
        <v>40</v>
      </c>
      <c r="M1002" s="7">
        <f>IF(INDEX([1]equip.xml!$B:$B,MATCH(D1002&amp;"",[1]equip.xml!$A:$A,0))=0,0,N1002)</f>
        <v>0</v>
      </c>
      <c r="N1002" s="8">
        <f t="shared" ref="N1002" si="1380">N914</f>
        <v>130</v>
      </c>
    </row>
    <row r="1003" spans="1:14">
      <c r="A1003" s="8">
        <v>10016</v>
      </c>
      <c r="B1003" s="8">
        <f t="shared" ref="B1003:C1003" si="1381">B915</f>
        <v>40000</v>
      </c>
      <c r="C1003" s="8" t="str">
        <f t="shared" si="1381"/>
        <v>装备</v>
      </c>
      <c r="D1003" s="8">
        <v>40550100</v>
      </c>
      <c r="E1003" s="8"/>
      <c r="F1003" s="8">
        <v>1</v>
      </c>
      <c r="G1003" s="7">
        <f>3*INDEX([1]equip.xml!$I:$I,MATCH(D1003&amp;"",[1]equip.xml!$A:$A,0))</f>
        <v>165000</v>
      </c>
      <c r="H1003" s="8" t="str">
        <f t="shared" si="1275"/>
        <v>10_10,50_20,80_30</v>
      </c>
      <c r="I1003" s="8">
        <f t="shared" si="1276"/>
        <v>6</v>
      </c>
      <c r="J1003" s="8">
        <f t="shared" si="1276"/>
        <v>50</v>
      </c>
      <c r="K1003" s="7" t="s">
        <v>311</v>
      </c>
      <c r="L1003" s="8">
        <v>40</v>
      </c>
      <c r="M1003" s="7">
        <f>IF(INDEX([1]equip.xml!$B:$B,MATCH(D1003&amp;"",[1]equip.xml!$A:$A,0))=0,0,N1003)</f>
        <v>130</v>
      </c>
      <c r="N1003" s="8">
        <f t="shared" ref="N1003" si="1382">N915</f>
        <v>130</v>
      </c>
    </row>
    <row r="1004" spans="1:14">
      <c r="A1004" s="8">
        <v>10016</v>
      </c>
      <c r="B1004" s="8">
        <f t="shared" ref="B1004:C1004" si="1383">B916</f>
        <v>40000</v>
      </c>
      <c r="C1004" s="8" t="str">
        <f t="shared" si="1383"/>
        <v>装备</v>
      </c>
      <c r="D1004" s="8">
        <v>40551050</v>
      </c>
      <c r="E1004" s="8"/>
      <c r="F1004" s="8">
        <v>1</v>
      </c>
      <c r="G1004" s="7">
        <f>3*INDEX([1]equip.xml!$I:$I,MATCH(D1004&amp;"",[1]equip.xml!$A:$A,0))</f>
        <v>165000</v>
      </c>
      <c r="H1004" s="8" t="str">
        <f t="shared" si="1275"/>
        <v>10_10,50_20,80_30</v>
      </c>
      <c r="I1004" s="8">
        <f t="shared" si="1276"/>
        <v>6</v>
      </c>
      <c r="J1004" s="8">
        <f t="shared" si="1276"/>
        <v>50</v>
      </c>
      <c r="K1004" s="7" t="s">
        <v>311</v>
      </c>
      <c r="L1004" s="8">
        <v>40</v>
      </c>
      <c r="M1004" s="7">
        <f>IF(INDEX([1]equip.xml!$B:$B,MATCH(D1004&amp;"",[1]equip.xml!$A:$A,0))=0,0,N1004)</f>
        <v>130</v>
      </c>
      <c r="N1004" s="8">
        <f t="shared" ref="N1004" si="1384">N916</f>
        <v>130</v>
      </c>
    </row>
    <row r="1005" spans="1:14">
      <c r="A1005" s="8">
        <v>10016</v>
      </c>
      <c r="B1005" s="8">
        <f t="shared" ref="B1005:C1005" si="1385">B917</f>
        <v>40000</v>
      </c>
      <c r="C1005" s="8" t="str">
        <f t="shared" si="1385"/>
        <v>装备</v>
      </c>
      <c r="D1005" s="8">
        <v>40551051</v>
      </c>
      <c r="E1005" s="8"/>
      <c r="F1005" s="8">
        <v>1</v>
      </c>
      <c r="G1005" s="7">
        <f>3*INDEX([1]equip.xml!$I:$I,MATCH(D1005&amp;"",[1]equip.xml!$A:$A,0))</f>
        <v>174000</v>
      </c>
      <c r="H1005" s="8" t="str">
        <f t="shared" si="1275"/>
        <v>10_10,50_20,80_30</v>
      </c>
      <c r="I1005" s="8">
        <f t="shared" si="1276"/>
        <v>6</v>
      </c>
      <c r="J1005" s="8">
        <f t="shared" si="1276"/>
        <v>50</v>
      </c>
      <c r="K1005" s="7" t="s">
        <v>311</v>
      </c>
      <c r="L1005" s="8">
        <v>40</v>
      </c>
      <c r="M1005" s="7">
        <f>IF(INDEX([1]equip.xml!$B:$B,MATCH(D1005&amp;"",[1]equip.xml!$A:$A,0))=0,0,N1005)</f>
        <v>0</v>
      </c>
      <c r="N1005" s="8">
        <f t="shared" ref="N1005" si="1386">N917</f>
        <v>130</v>
      </c>
    </row>
    <row r="1006" spans="1:14">
      <c r="A1006" s="8">
        <v>10016</v>
      </c>
      <c r="B1006" s="8">
        <f t="shared" ref="B1006:C1006" si="1387">B918</f>
        <v>40000</v>
      </c>
      <c r="C1006" s="8" t="str">
        <f t="shared" si="1387"/>
        <v>装备</v>
      </c>
      <c r="D1006" s="8">
        <v>40551060</v>
      </c>
      <c r="E1006" s="8"/>
      <c r="F1006" s="8">
        <v>1</v>
      </c>
      <c r="G1006" s="7">
        <f>3*INDEX([1]equip.xml!$I:$I,MATCH(D1006&amp;"",[1]equip.xml!$A:$A,0))</f>
        <v>165000</v>
      </c>
      <c r="H1006" s="8" t="str">
        <f t="shared" si="1275"/>
        <v>10_10,50_20,80_30</v>
      </c>
      <c r="I1006" s="8">
        <f t="shared" si="1276"/>
        <v>6</v>
      </c>
      <c r="J1006" s="8">
        <f t="shared" si="1276"/>
        <v>50</v>
      </c>
      <c r="K1006" s="7" t="s">
        <v>311</v>
      </c>
      <c r="L1006" s="8">
        <v>40</v>
      </c>
      <c r="M1006" s="7">
        <f>IF(INDEX([1]equip.xml!$B:$B,MATCH(D1006&amp;"",[1]equip.xml!$A:$A,0))=0,0,N1006)</f>
        <v>130</v>
      </c>
      <c r="N1006" s="8">
        <f t="shared" ref="N1006" si="1388">N918</f>
        <v>130</v>
      </c>
    </row>
    <row r="1007" spans="1:14">
      <c r="A1007" s="8">
        <v>10016</v>
      </c>
      <c r="B1007" s="8">
        <f t="shared" ref="B1007:C1007" si="1389">B919</f>
        <v>40000</v>
      </c>
      <c r="C1007" s="8" t="str">
        <f t="shared" si="1389"/>
        <v>装备</v>
      </c>
      <c r="D1007" s="8">
        <v>40551061</v>
      </c>
      <c r="E1007" s="8"/>
      <c r="F1007" s="8">
        <v>1</v>
      </c>
      <c r="G1007" s="7">
        <f>3*INDEX([1]equip.xml!$I:$I,MATCH(D1007&amp;"",[1]equip.xml!$A:$A,0))</f>
        <v>174000</v>
      </c>
      <c r="H1007" s="8" t="str">
        <f t="shared" si="1275"/>
        <v>10_10,50_20,80_30</v>
      </c>
      <c r="I1007" s="8">
        <f t="shared" si="1276"/>
        <v>6</v>
      </c>
      <c r="J1007" s="8">
        <f t="shared" si="1276"/>
        <v>50</v>
      </c>
      <c r="K1007" s="7" t="s">
        <v>311</v>
      </c>
      <c r="L1007" s="8">
        <v>40</v>
      </c>
      <c r="M1007" s="7">
        <f>IF(INDEX([1]equip.xml!$B:$B,MATCH(D1007&amp;"",[1]equip.xml!$A:$A,0))=0,0,N1007)</f>
        <v>130</v>
      </c>
      <c r="N1007" s="8">
        <f t="shared" ref="N1007" si="1390">N919</f>
        <v>130</v>
      </c>
    </row>
    <row r="1008" spans="1:14">
      <c r="A1008" s="8">
        <v>10016</v>
      </c>
      <c r="B1008" s="8">
        <f t="shared" ref="B1008:C1008" si="1391">B920</f>
        <v>40000</v>
      </c>
      <c r="C1008" s="8" t="str">
        <f t="shared" si="1391"/>
        <v>装备</v>
      </c>
      <c r="D1008" s="8">
        <v>40552050</v>
      </c>
      <c r="E1008" s="8"/>
      <c r="F1008" s="8">
        <v>1</v>
      </c>
      <c r="G1008" s="7">
        <f>3*INDEX([1]equip.xml!$I:$I,MATCH(D1008&amp;"",[1]equip.xml!$A:$A,0))</f>
        <v>165000</v>
      </c>
      <c r="H1008" s="8" t="str">
        <f t="shared" si="1275"/>
        <v>10_10,50_20,80_30</v>
      </c>
      <c r="I1008" s="8">
        <f t="shared" si="1276"/>
        <v>6</v>
      </c>
      <c r="J1008" s="8">
        <f t="shared" si="1276"/>
        <v>50</v>
      </c>
      <c r="K1008" s="7" t="s">
        <v>311</v>
      </c>
      <c r="L1008" s="8">
        <v>40</v>
      </c>
      <c r="M1008" s="7">
        <f>IF(INDEX([1]equip.xml!$B:$B,MATCH(D1008&amp;"",[1]equip.xml!$A:$A,0))=0,0,N1008)</f>
        <v>130</v>
      </c>
      <c r="N1008" s="8">
        <f t="shared" ref="N1008" si="1392">N920</f>
        <v>130</v>
      </c>
    </row>
    <row r="1009" spans="1:14">
      <c r="A1009" s="8">
        <v>10016</v>
      </c>
      <c r="B1009" s="8">
        <f t="shared" ref="B1009:C1009" si="1393">B921</f>
        <v>40000</v>
      </c>
      <c r="C1009" s="8" t="str">
        <f t="shared" si="1393"/>
        <v>装备</v>
      </c>
      <c r="D1009" s="8">
        <v>40552051</v>
      </c>
      <c r="E1009" s="8"/>
      <c r="F1009" s="8">
        <v>1</v>
      </c>
      <c r="G1009" s="7">
        <f>3*INDEX([1]equip.xml!$I:$I,MATCH(D1009&amp;"",[1]equip.xml!$A:$A,0))</f>
        <v>174000</v>
      </c>
      <c r="H1009" s="8" t="str">
        <f t="shared" si="1275"/>
        <v>10_10,50_20,80_30</v>
      </c>
      <c r="I1009" s="8">
        <f t="shared" si="1276"/>
        <v>6</v>
      </c>
      <c r="J1009" s="8">
        <f t="shared" si="1276"/>
        <v>50</v>
      </c>
      <c r="K1009" s="7" t="s">
        <v>311</v>
      </c>
      <c r="L1009" s="8">
        <v>40</v>
      </c>
      <c r="M1009" s="7">
        <f>IF(INDEX([1]equip.xml!$B:$B,MATCH(D1009&amp;"",[1]equip.xml!$A:$A,0))=0,0,N1009)</f>
        <v>0</v>
      </c>
      <c r="N1009" s="8">
        <f t="shared" ref="N1009" si="1394">N921</f>
        <v>130</v>
      </c>
    </row>
    <row r="1010" spans="1:14">
      <c r="A1010" s="8">
        <v>10016</v>
      </c>
      <c r="B1010" s="8">
        <f t="shared" ref="B1010:C1010" si="1395">B922</f>
        <v>40000</v>
      </c>
      <c r="C1010" s="8" t="str">
        <f t="shared" si="1395"/>
        <v>装备</v>
      </c>
      <c r="D1010" s="8">
        <v>40552060</v>
      </c>
      <c r="E1010" s="8"/>
      <c r="F1010" s="8">
        <v>1</v>
      </c>
      <c r="G1010" s="7">
        <f>3*INDEX([1]equip.xml!$I:$I,MATCH(D1010&amp;"",[1]equip.xml!$A:$A,0))</f>
        <v>165000</v>
      </c>
      <c r="H1010" s="8" t="str">
        <f t="shared" si="1275"/>
        <v>10_10,50_20,80_30</v>
      </c>
      <c r="I1010" s="8">
        <f t="shared" si="1276"/>
        <v>6</v>
      </c>
      <c r="J1010" s="8">
        <f t="shared" si="1276"/>
        <v>50</v>
      </c>
      <c r="K1010" s="7" t="s">
        <v>311</v>
      </c>
      <c r="L1010" s="8">
        <v>40</v>
      </c>
      <c r="M1010" s="7">
        <f>IF(INDEX([1]equip.xml!$B:$B,MATCH(D1010&amp;"",[1]equip.xml!$A:$A,0))=0,0,N1010)</f>
        <v>130</v>
      </c>
      <c r="N1010" s="8">
        <f t="shared" ref="N1010" si="1396">N922</f>
        <v>130</v>
      </c>
    </row>
    <row r="1011" spans="1:14">
      <c r="A1011" s="8">
        <v>10016</v>
      </c>
      <c r="B1011" s="8">
        <f t="shared" ref="B1011:C1011" si="1397">B923</f>
        <v>40000</v>
      </c>
      <c r="C1011" s="8" t="str">
        <f t="shared" si="1397"/>
        <v>装备</v>
      </c>
      <c r="D1011" s="8">
        <v>40552061</v>
      </c>
      <c r="E1011" s="8"/>
      <c r="F1011" s="8">
        <v>1</v>
      </c>
      <c r="G1011" s="7">
        <f>3*INDEX([1]equip.xml!$I:$I,MATCH(D1011&amp;"",[1]equip.xml!$A:$A,0))</f>
        <v>174000</v>
      </c>
      <c r="H1011" s="8" t="str">
        <f t="shared" si="1275"/>
        <v>10_10,50_20,80_30</v>
      </c>
      <c r="I1011" s="8">
        <f t="shared" si="1276"/>
        <v>6</v>
      </c>
      <c r="J1011" s="8">
        <f t="shared" si="1276"/>
        <v>50</v>
      </c>
      <c r="K1011" s="7" t="s">
        <v>311</v>
      </c>
      <c r="L1011" s="8">
        <v>40</v>
      </c>
      <c r="M1011" s="7">
        <f>IF(INDEX([1]equip.xml!$B:$B,MATCH(D1011&amp;"",[1]equip.xml!$A:$A,0))=0,0,N1011)</f>
        <v>130</v>
      </c>
      <c r="N1011" s="8">
        <f t="shared" ref="N1011" si="1398">N923</f>
        <v>130</v>
      </c>
    </row>
    <row r="1012" spans="1:14">
      <c r="A1012" s="8">
        <v>10016</v>
      </c>
      <c r="B1012" s="8">
        <f t="shared" ref="B1012:C1012" si="1399">B924</f>
        <v>40000</v>
      </c>
      <c r="C1012" s="8" t="str">
        <f t="shared" si="1399"/>
        <v>装备</v>
      </c>
      <c r="D1012" s="8">
        <v>40553050</v>
      </c>
      <c r="E1012" s="8"/>
      <c r="F1012" s="8">
        <v>1</v>
      </c>
      <c r="G1012" s="7">
        <f>3*INDEX([1]equip.xml!$I:$I,MATCH(D1012&amp;"",[1]equip.xml!$A:$A,0))</f>
        <v>165000</v>
      </c>
      <c r="H1012" s="8" t="str">
        <f t="shared" si="1275"/>
        <v>10_10,50_20,80_30</v>
      </c>
      <c r="I1012" s="8">
        <f t="shared" si="1276"/>
        <v>6</v>
      </c>
      <c r="J1012" s="8">
        <f t="shared" si="1276"/>
        <v>50</v>
      </c>
      <c r="K1012" s="7" t="s">
        <v>311</v>
      </c>
      <c r="L1012" s="8">
        <v>40</v>
      </c>
      <c r="M1012" s="7">
        <f>IF(INDEX([1]equip.xml!$B:$B,MATCH(D1012&amp;"",[1]equip.xml!$A:$A,0))=0,0,N1012)</f>
        <v>130</v>
      </c>
      <c r="N1012" s="8">
        <f t="shared" ref="N1012" si="1400">N924</f>
        <v>130</v>
      </c>
    </row>
    <row r="1013" spans="1:14">
      <c r="A1013" s="8">
        <v>10016</v>
      </c>
      <c r="B1013" s="8">
        <f t="shared" ref="B1013:C1013" si="1401">B925</f>
        <v>40000</v>
      </c>
      <c r="C1013" s="8" t="str">
        <f t="shared" si="1401"/>
        <v>装备</v>
      </c>
      <c r="D1013" s="8">
        <v>40553051</v>
      </c>
      <c r="E1013" s="8"/>
      <c r="F1013" s="8">
        <v>1</v>
      </c>
      <c r="G1013" s="7">
        <f>3*INDEX([1]equip.xml!$I:$I,MATCH(D1013&amp;"",[1]equip.xml!$A:$A,0))</f>
        <v>174000</v>
      </c>
      <c r="H1013" s="8" t="str">
        <f t="shared" si="1275"/>
        <v>10_10,50_20,80_30</v>
      </c>
      <c r="I1013" s="8">
        <f t="shared" si="1276"/>
        <v>6</v>
      </c>
      <c r="J1013" s="8">
        <f t="shared" si="1276"/>
        <v>50</v>
      </c>
      <c r="K1013" s="7" t="s">
        <v>311</v>
      </c>
      <c r="L1013" s="8">
        <v>40</v>
      </c>
      <c r="M1013" s="7">
        <f>IF(INDEX([1]equip.xml!$B:$B,MATCH(D1013&amp;"",[1]equip.xml!$A:$A,0))=0,0,N1013)</f>
        <v>0</v>
      </c>
      <c r="N1013" s="8">
        <f t="shared" ref="N1013" si="1402">N925</f>
        <v>130</v>
      </c>
    </row>
    <row r="1014" spans="1:14">
      <c r="A1014" s="8">
        <v>10016</v>
      </c>
      <c r="B1014" s="8">
        <f t="shared" ref="B1014:C1014" si="1403">B926</f>
        <v>40000</v>
      </c>
      <c r="C1014" s="8" t="str">
        <f t="shared" si="1403"/>
        <v>装备</v>
      </c>
      <c r="D1014" s="8">
        <v>40553060</v>
      </c>
      <c r="E1014" s="8"/>
      <c r="F1014" s="8">
        <v>1</v>
      </c>
      <c r="G1014" s="7">
        <f>3*INDEX([1]equip.xml!$I:$I,MATCH(D1014&amp;"",[1]equip.xml!$A:$A,0))</f>
        <v>165000</v>
      </c>
      <c r="H1014" s="8" t="str">
        <f t="shared" si="1275"/>
        <v>10_10,50_20,80_30</v>
      </c>
      <c r="I1014" s="8">
        <f t="shared" si="1276"/>
        <v>6</v>
      </c>
      <c r="J1014" s="8">
        <f t="shared" si="1276"/>
        <v>50</v>
      </c>
      <c r="K1014" s="7" t="s">
        <v>311</v>
      </c>
      <c r="L1014" s="8">
        <v>40</v>
      </c>
      <c r="M1014" s="7">
        <f>IF(INDEX([1]equip.xml!$B:$B,MATCH(D1014&amp;"",[1]equip.xml!$A:$A,0))=0,0,N1014)</f>
        <v>130</v>
      </c>
      <c r="N1014" s="8">
        <f t="shared" ref="N1014" si="1404">N926</f>
        <v>130</v>
      </c>
    </row>
    <row r="1015" spans="1:14">
      <c r="A1015" s="8">
        <v>10016</v>
      </c>
      <c r="B1015" s="8">
        <f t="shared" ref="B1015:C1015" si="1405">B927</f>
        <v>40000</v>
      </c>
      <c r="C1015" s="8" t="str">
        <f t="shared" si="1405"/>
        <v>装备</v>
      </c>
      <c r="D1015" s="8">
        <v>40553061</v>
      </c>
      <c r="E1015" s="8"/>
      <c r="F1015" s="8">
        <v>1</v>
      </c>
      <c r="G1015" s="7">
        <f>3*INDEX([1]equip.xml!$I:$I,MATCH(D1015&amp;"",[1]equip.xml!$A:$A,0))</f>
        <v>174000</v>
      </c>
      <c r="H1015" s="8" t="str">
        <f t="shared" ref="H1015:H1078" si="1406">H927</f>
        <v>10_10,50_20,80_30</v>
      </c>
      <c r="I1015" s="8">
        <f t="shared" ref="I1015:J1078" si="1407">I927</f>
        <v>6</v>
      </c>
      <c r="J1015" s="8">
        <f t="shared" si="1407"/>
        <v>50</v>
      </c>
      <c r="K1015" s="7" t="s">
        <v>311</v>
      </c>
      <c r="L1015" s="8">
        <v>40</v>
      </c>
      <c r="M1015" s="7">
        <f>IF(INDEX([1]equip.xml!$B:$B,MATCH(D1015&amp;"",[1]equip.xml!$A:$A,0))=0,0,N1015)</f>
        <v>130</v>
      </c>
      <c r="N1015" s="8">
        <f t="shared" ref="N1015" si="1408">N927</f>
        <v>130</v>
      </c>
    </row>
    <row r="1016" spans="1:14">
      <c r="A1016" s="8">
        <v>10016</v>
      </c>
      <c r="B1016" s="8">
        <f t="shared" ref="B1016:C1016" si="1409">B928</f>
        <v>40000</v>
      </c>
      <c r="C1016" s="8" t="str">
        <f t="shared" si="1409"/>
        <v>装备</v>
      </c>
      <c r="D1016" s="8">
        <v>40550040</v>
      </c>
      <c r="E1016" s="8"/>
      <c r="F1016" s="8">
        <v>1</v>
      </c>
      <c r="G1016" s="7">
        <f>3*INDEX([1]equip.xml!$I:$I,MATCH(D1016&amp;"",[1]equip.xml!$A:$A,0))</f>
        <v>165000</v>
      </c>
      <c r="H1016" s="8" t="str">
        <f t="shared" si="1406"/>
        <v>10_10,50_20,80_30</v>
      </c>
      <c r="I1016" s="8">
        <f t="shared" si="1407"/>
        <v>6</v>
      </c>
      <c r="J1016" s="8">
        <f t="shared" si="1407"/>
        <v>50</v>
      </c>
      <c r="K1016" s="7" t="s">
        <v>311</v>
      </c>
      <c r="L1016" s="8">
        <v>40</v>
      </c>
      <c r="M1016" s="7">
        <f>IF(INDEX([1]equip.xml!$B:$B,MATCH(D1016&amp;"",[1]equip.xml!$A:$A,0))=0,0,N1016)</f>
        <v>130</v>
      </c>
      <c r="N1016" s="8">
        <f t="shared" ref="N1016" si="1410">N928</f>
        <v>130</v>
      </c>
    </row>
    <row r="1017" spans="1:14">
      <c r="A1017" s="8">
        <v>10016</v>
      </c>
      <c r="B1017" s="8">
        <f t="shared" ref="B1017:C1017" si="1411">B929</f>
        <v>40000</v>
      </c>
      <c r="C1017" s="8" t="str">
        <f t="shared" si="1411"/>
        <v>装备</v>
      </c>
      <c r="D1017" s="8">
        <v>40550041</v>
      </c>
      <c r="E1017" s="8"/>
      <c r="F1017" s="8">
        <v>1</v>
      </c>
      <c r="G1017" s="7">
        <f>3*INDEX([1]equip.xml!$I:$I,MATCH(D1017&amp;"",[1]equip.xml!$A:$A,0))</f>
        <v>174000</v>
      </c>
      <c r="H1017" s="8" t="str">
        <f t="shared" si="1406"/>
        <v>10_10,50_20,80_30</v>
      </c>
      <c r="I1017" s="8">
        <f t="shared" si="1407"/>
        <v>6</v>
      </c>
      <c r="J1017" s="8">
        <f t="shared" si="1407"/>
        <v>50</v>
      </c>
      <c r="K1017" s="7" t="s">
        <v>311</v>
      </c>
      <c r="L1017" s="8">
        <v>40</v>
      </c>
      <c r="M1017" s="7">
        <f>IF(INDEX([1]equip.xml!$B:$B,MATCH(D1017&amp;"",[1]equip.xml!$A:$A,0))=0,0,N1017)</f>
        <v>0</v>
      </c>
      <c r="N1017" s="8">
        <f t="shared" ref="N1017" si="1412">N929</f>
        <v>130</v>
      </c>
    </row>
    <row r="1018" spans="1:14">
      <c r="A1018" s="8">
        <v>10016</v>
      </c>
      <c r="B1018" s="8">
        <f t="shared" ref="B1018:C1018" si="1413">B930</f>
        <v>40000</v>
      </c>
      <c r="C1018" s="8" t="str">
        <f t="shared" si="1413"/>
        <v>装备</v>
      </c>
      <c r="D1018" s="8">
        <v>40550070</v>
      </c>
      <c r="E1018" s="8"/>
      <c r="F1018" s="8">
        <v>1</v>
      </c>
      <c r="G1018" s="7">
        <f>3*INDEX([1]equip.xml!$I:$I,MATCH(D1018&amp;"",[1]equip.xml!$A:$A,0))</f>
        <v>165000</v>
      </c>
      <c r="H1018" s="8" t="str">
        <f t="shared" si="1406"/>
        <v>10_10,50_20,80_30</v>
      </c>
      <c r="I1018" s="8">
        <f t="shared" si="1407"/>
        <v>6</v>
      </c>
      <c r="J1018" s="8">
        <f t="shared" si="1407"/>
        <v>50</v>
      </c>
      <c r="K1018" s="7" t="s">
        <v>311</v>
      </c>
      <c r="L1018" s="8">
        <v>40</v>
      </c>
      <c r="M1018" s="7">
        <f>IF(INDEX([1]equip.xml!$B:$B,MATCH(D1018&amp;"",[1]equip.xml!$A:$A,0))=0,0,N1018)</f>
        <v>130</v>
      </c>
      <c r="N1018" s="8">
        <f t="shared" ref="N1018" si="1414">N930</f>
        <v>130</v>
      </c>
    </row>
    <row r="1019" spans="1:14">
      <c r="A1019" s="8">
        <v>10016</v>
      </c>
      <c r="B1019" s="8">
        <f t="shared" ref="B1019:C1019" si="1415">B931</f>
        <v>40000</v>
      </c>
      <c r="C1019" s="8" t="str">
        <f t="shared" si="1415"/>
        <v>装备</v>
      </c>
      <c r="D1019" s="8">
        <v>40550071</v>
      </c>
      <c r="E1019" s="8"/>
      <c r="F1019" s="8">
        <v>1</v>
      </c>
      <c r="G1019" s="7">
        <f>3*INDEX([1]equip.xml!$I:$I,MATCH(D1019&amp;"",[1]equip.xml!$A:$A,0))</f>
        <v>174000</v>
      </c>
      <c r="H1019" s="8" t="str">
        <f t="shared" si="1406"/>
        <v>10_10,50_20,80_30</v>
      </c>
      <c r="I1019" s="8">
        <f t="shared" si="1407"/>
        <v>6</v>
      </c>
      <c r="J1019" s="8">
        <f t="shared" si="1407"/>
        <v>50</v>
      </c>
      <c r="K1019" s="7" t="s">
        <v>311</v>
      </c>
      <c r="L1019" s="8">
        <v>40</v>
      </c>
      <c r="M1019" s="7">
        <f>IF(INDEX([1]equip.xml!$B:$B,MATCH(D1019&amp;"",[1]equip.xml!$A:$A,0))=0,0,N1019)</f>
        <v>0</v>
      </c>
      <c r="N1019" s="8">
        <f t="shared" ref="N1019" si="1416">N931</f>
        <v>130</v>
      </c>
    </row>
    <row r="1020" spans="1:14">
      <c r="A1020" s="8">
        <v>10016</v>
      </c>
      <c r="B1020" s="8">
        <f t="shared" ref="B1020:C1020" si="1417">B932</f>
        <v>40000</v>
      </c>
      <c r="C1020" s="8" t="str">
        <f t="shared" si="1417"/>
        <v>装备</v>
      </c>
      <c r="D1020" s="8">
        <v>40600010</v>
      </c>
      <c r="E1020" s="8"/>
      <c r="F1020" s="8">
        <v>1</v>
      </c>
      <c r="G1020" s="7">
        <f>3*INDEX([1]equip.xml!$I:$I,MATCH(D1020&amp;"",[1]equip.xml!$A:$A,0))</f>
        <v>180000</v>
      </c>
      <c r="H1020" s="8" t="str">
        <f t="shared" si="1406"/>
        <v>10_10,50_20,80_30</v>
      </c>
      <c r="I1020" s="8">
        <f t="shared" si="1407"/>
        <v>6</v>
      </c>
      <c r="J1020" s="8">
        <f t="shared" si="1407"/>
        <v>50</v>
      </c>
      <c r="K1020" s="7" t="s">
        <v>311</v>
      </c>
      <c r="L1020" s="8">
        <v>40</v>
      </c>
      <c r="M1020" s="7">
        <f>IF(INDEX([1]equip.xml!$B:$B,MATCH(D1020&amp;"",[1]equip.xml!$A:$A,0))=0,0,N1020)</f>
        <v>32</v>
      </c>
      <c r="N1020" s="8">
        <f t="shared" ref="N1020" si="1418">N932</f>
        <v>32</v>
      </c>
    </row>
    <row r="1021" spans="1:14">
      <c r="A1021" s="8">
        <v>10016</v>
      </c>
      <c r="B1021" s="8">
        <f t="shared" ref="B1021:C1021" si="1419">B933</f>
        <v>40000</v>
      </c>
      <c r="C1021" s="8" t="str">
        <f t="shared" si="1419"/>
        <v>装备</v>
      </c>
      <c r="D1021" s="8">
        <v>40600020</v>
      </c>
      <c r="E1021" s="8"/>
      <c r="F1021" s="8">
        <v>1</v>
      </c>
      <c r="G1021" s="7">
        <f>3*INDEX([1]equip.xml!$I:$I,MATCH(D1021&amp;"",[1]equip.xml!$A:$A,0))</f>
        <v>180000</v>
      </c>
      <c r="H1021" s="8" t="str">
        <f t="shared" si="1406"/>
        <v>10_10,50_20,80_30</v>
      </c>
      <c r="I1021" s="8">
        <f t="shared" si="1407"/>
        <v>6</v>
      </c>
      <c r="J1021" s="8">
        <f t="shared" si="1407"/>
        <v>50</v>
      </c>
      <c r="K1021" s="7" t="s">
        <v>311</v>
      </c>
      <c r="L1021" s="8">
        <v>40</v>
      </c>
      <c r="M1021" s="7">
        <f>IF(INDEX([1]equip.xml!$B:$B,MATCH(D1021&amp;"",[1]equip.xml!$A:$A,0))=0,0,N1021)</f>
        <v>32</v>
      </c>
      <c r="N1021" s="8">
        <f t="shared" ref="N1021" si="1420">N933</f>
        <v>32</v>
      </c>
    </row>
    <row r="1022" spans="1:14">
      <c r="A1022" s="8">
        <v>10016</v>
      </c>
      <c r="B1022" s="8">
        <f t="shared" ref="B1022:C1022" si="1421">B934</f>
        <v>40000</v>
      </c>
      <c r="C1022" s="8" t="str">
        <f t="shared" si="1421"/>
        <v>装备</v>
      </c>
      <c r="D1022" s="8">
        <v>40600030</v>
      </c>
      <c r="E1022" s="8"/>
      <c r="F1022" s="8">
        <v>1</v>
      </c>
      <c r="G1022" s="7">
        <f>3*INDEX([1]equip.xml!$I:$I,MATCH(D1022&amp;"",[1]equip.xml!$A:$A,0))</f>
        <v>180000</v>
      </c>
      <c r="H1022" s="8" t="str">
        <f t="shared" si="1406"/>
        <v>10_10,50_20,80_30</v>
      </c>
      <c r="I1022" s="8">
        <f t="shared" si="1407"/>
        <v>6</v>
      </c>
      <c r="J1022" s="8">
        <f t="shared" si="1407"/>
        <v>50</v>
      </c>
      <c r="K1022" s="7" t="s">
        <v>311</v>
      </c>
      <c r="L1022" s="8">
        <v>40</v>
      </c>
      <c r="M1022" s="7">
        <f>IF(INDEX([1]equip.xml!$B:$B,MATCH(D1022&amp;"",[1]equip.xml!$A:$A,0))=0,0,N1022)</f>
        <v>32</v>
      </c>
      <c r="N1022" s="8">
        <f t="shared" ref="N1022" si="1422">N934</f>
        <v>32</v>
      </c>
    </row>
    <row r="1023" spans="1:14">
      <c r="A1023" s="8">
        <v>10016</v>
      </c>
      <c r="B1023" s="8">
        <f t="shared" ref="B1023:C1023" si="1423">B935</f>
        <v>40000</v>
      </c>
      <c r="C1023" s="8" t="str">
        <f t="shared" si="1423"/>
        <v>装备</v>
      </c>
      <c r="D1023" s="8">
        <v>40600080</v>
      </c>
      <c r="E1023" s="8"/>
      <c r="F1023" s="8">
        <v>1</v>
      </c>
      <c r="G1023" s="7">
        <f>3*INDEX([1]equip.xml!$I:$I,MATCH(D1023&amp;"",[1]equip.xml!$A:$A,0))</f>
        <v>180000</v>
      </c>
      <c r="H1023" s="8" t="str">
        <f t="shared" si="1406"/>
        <v>10_10,50_20,80_30</v>
      </c>
      <c r="I1023" s="8">
        <f t="shared" si="1407"/>
        <v>6</v>
      </c>
      <c r="J1023" s="8">
        <f t="shared" si="1407"/>
        <v>50</v>
      </c>
      <c r="K1023" s="7" t="s">
        <v>311</v>
      </c>
      <c r="L1023" s="8">
        <v>40</v>
      </c>
      <c r="M1023" s="7">
        <f>IF(INDEX([1]equip.xml!$B:$B,MATCH(D1023&amp;"",[1]equip.xml!$A:$A,0))=0,0,N1023)</f>
        <v>32</v>
      </c>
      <c r="N1023" s="8">
        <f t="shared" ref="N1023" si="1424">N935</f>
        <v>32</v>
      </c>
    </row>
    <row r="1024" spans="1:14">
      <c r="A1024" s="8">
        <v>10016</v>
      </c>
      <c r="B1024" s="8">
        <f t="shared" ref="B1024:C1024" si="1425">B936</f>
        <v>40000</v>
      </c>
      <c r="C1024" s="8" t="str">
        <f t="shared" si="1425"/>
        <v>装备</v>
      </c>
      <c r="D1024" s="8">
        <v>40600090</v>
      </c>
      <c r="E1024" s="8"/>
      <c r="F1024" s="8">
        <v>1</v>
      </c>
      <c r="G1024" s="7">
        <f>3*INDEX([1]equip.xml!$I:$I,MATCH(D1024&amp;"",[1]equip.xml!$A:$A,0))</f>
        <v>180000</v>
      </c>
      <c r="H1024" s="8" t="str">
        <f t="shared" si="1406"/>
        <v>10_10,50_20,80_30</v>
      </c>
      <c r="I1024" s="8">
        <f t="shared" si="1407"/>
        <v>6</v>
      </c>
      <c r="J1024" s="8">
        <f t="shared" si="1407"/>
        <v>50</v>
      </c>
      <c r="K1024" s="7" t="s">
        <v>311</v>
      </c>
      <c r="L1024" s="8">
        <v>40</v>
      </c>
      <c r="M1024" s="7">
        <f>IF(INDEX([1]equip.xml!$B:$B,MATCH(D1024&amp;"",[1]equip.xml!$A:$A,0))=0,0,N1024)</f>
        <v>32</v>
      </c>
      <c r="N1024" s="8">
        <f t="shared" ref="N1024" si="1426">N936</f>
        <v>32</v>
      </c>
    </row>
    <row r="1025" spans="1:14">
      <c r="A1025" s="8">
        <v>10016</v>
      </c>
      <c r="B1025" s="8">
        <f t="shared" ref="B1025:C1025" si="1427">B937</f>
        <v>40000</v>
      </c>
      <c r="C1025" s="8" t="str">
        <f t="shared" si="1427"/>
        <v>装备</v>
      </c>
      <c r="D1025" s="8">
        <v>40600100</v>
      </c>
      <c r="E1025" s="8"/>
      <c r="F1025" s="8">
        <v>1</v>
      </c>
      <c r="G1025" s="7">
        <f>3*INDEX([1]equip.xml!$I:$I,MATCH(D1025&amp;"",[1]equip.xml!$A:$A,0))</f>
        <v>180000</v>
      </c>
      <c r="H1025" s="8" t="str">
        <f t="shared" si="1406"/>
        <v>10_10,50_20,80_30</v>
      </c>
      <c r="I1025" s="8">
        <f t="shared" si="1407"/>
        <v>6</v>
      </c>
      <c r="J1025" s="8">
        <f t="shared" si="1407"/>
        <v>50</v>
      </c>
      <c r="K1025" s="7" t="s">
        <v>311</v>
      </c>
      <c r="L1025" s="8">
        <v>40</v>
      </c>
      <c r="M1025" s="7">
        <f>IF(INDEX([1]equip.xml!$B:$B,MATCH(D1025&amp;"",[1]equip.xml!$A:$A,0))=0,0,N1025)</f>
        <v>32</v>
      </c>
      <c r="N1025" s="8">
        <f t="shared" ref="N1025" si="1428">N937</f>
        <v>32</v>
      </c>
    </row>
    <row r="1026" spans="1:14">
      <c r="A1026" s="8">
        <v>10016</v>
      </c>
      <c r="B1026" s="8">
        <f t="shared" ref="B1026:C1026" si="1429">B938</f>
        <v>40000</v>
      </c>
      <c r="C1026" s="8" t="str">
        <f t="shared" si="1429"/>
        <v>装备</v>
      </c>
      <c r="D1026" s="8">
        <v>40601050</v>
      </c>
      <c r="E1026" s="8"/>
      <c r="F1026" s="8">
        <v>1</v>
      </c>
      <c r="G1026" s="7">
        <f>3*INDEX([1]equip.xml!$I:$I,MATCH(D1026&amp;"",[1]equip.xml!$A:$A,0))</f>
        <v>180000</v>
      </c>
      <c r="H1026" s="8" t="str">
        <f t="shared" si="1406"/>
        <v>10_10,50_20,80_30</v>
      </c>
      <c r="I1026" s="8">
        <f t="shared" si="1407"/>
        <v>6</v>
      </c>
      <c r="J1026" s="8">
        <f t="shared" si="1407"/>
        <v>50</v>
      </c>
      <c r="K1026" s="7" t="s">
        <v>311</v>
      </c>
      <c r="L1026" s="8">
        <v>40</v>
      </c>
      <c r="M1026" s="7">
        <f>IF(INDEX([1]equip.xml!$B:$B,MATCH(D1026&amp;"",[1]equip.xml!$A:$A,0))=0,0,N1026)</f>
        <v>32</v>
      </c>
      <c r="N1026" s="8">
        <f t="shared" ref="N1026" si="1430">N938</f>
        <v>32</v>
      </c>
    </row>
    <row r="1027" spans="1:14">
      <c r="A1027" s="8">
        <v>10016</v>
      </c>
      <c r="B1027" s="8">
        <f t="shared" ref="B1027:C1027" si="1431">B939</f>
        <v>40000</v>
      </c>
      <c r="C1027" s="8" t="str">
        <f t="shared" si="1431"/>
        <v>装备</v>
      </c>
      <c r="D1027" s="8">
        <v>40601051</v>
      </c>
      <c r="E1027" s="8"/>
      <c r="F1027" s="8">
        <v>1</v>
      </c>
      <c r="G1027" s="7">
        <f>3*INDEX([1]equip.xml!$I:$I,MATCH(D1027&amp;"",[1]equip.xml!$A:$A,0))</f>
        <v>189000</v>
      </c>
      <c r="H1027" s="8" t="str">
        <f t="shared" si="1406"/>
        <v>10_10,50_20,80_30</v>
      </c>
      <c r="I1027" s="8">
        <f t="shared" si="1407"/>
        <v>6</v>
      </c>
      <c r="J1027" s="8">
        <f t="shared" si="1407"/>
        <v>50</v>
      </c>
      <c r="K1027" s="7" t="s">
        <v>311</v>
      </c>
      <c r="L1027" s="8">
        <v>40</v>
      </c>
      <c r="M1027" s="7">
        <f>IF(INDEX([1]equip.xml!$B:$B,MATCH(D1027&amp;"",[1]equip.xml!$A:$A,0))=0,0,N1027)</f>
        <v>32</v>
      </c>
      <c r="N1027" s="8">
        <f t="shared" ref="N1027" si="1432">N939</f>
        <v>32</v>
      </c>
    </row>
    <row r="1028" spans="1:14">
      <c r="A1028" s="8">
        <v>10016</v>
      </c>
      <c r="B1028" s="8">
        <f t="shared" ref="B1028:C1028" si="1433">B940</f>
        <v>40000</v>
      </c>
      <c r="C1028" s="8" t="str">
        <f t="shared" si="1433"/>
        <v>装备</v>
      </c>
      <c r="D1028" s="8">
        <v>40601060</v>
      </c>
      <c r="E1028" s="8"/>
      <c r="F1028" s="8">
        <v>1</v>
      </c>
      <c r="G1028" s="7">
        <f>3*INDEX([1]equip.xml!$I:$I,MATCH(D1028&amp;"",[1]equip.xml!$A:$A,0))</f>
        <v>180000</v>
      </c>
      <c r="H1028" s="8" t="str">
        <f t="shared" si="1406"/>
        <v>10_10,50_20,80_30</v>
      </c>
      <c r="I1028" s="8">
        <f t="shared" si="1407"/>
        <v>6</v>
      </c>
      <c r="J1028" s="8">
        <f t="shared" si="1407"/>
        <v>50</v>
      </c>
      <c r="K1028" s="7" t="s">
        <v>311</v>
      </c>
      <c r="L1028" s="8">
        <v>40</v>
      </c>
      <c r="M1028" s="7">
        <f>IF(INDEX([1]equip.xml!$B:$B,MATCH(D1028&amp;"",[1]equip.xml!$A:$A,0))=0,0,N1028)</f>
        <v>32</v>
      </c>
      <c r="N1028" s="8">
        <f t="shared" ref="N1028" si="1434">N940</f>
        <v>32</v>
      </c>
    </row>
    <row r="1029" spans="1:14">
      <c r="A1029" s="8">
        <v>10016</v>
      </c>
      <c r="B1029" s="8">
        <f t="shared" ref="B1029:C1029" si="1435">B941</f>
        <v>40000</v>
      </c>
      <c r="C1029" s="8" t="str">
        <f t="shared" si="1435"/>
        <v>装备</v>
      </c>
      <c r="D1029" s="8">
        <v>40601061</v>
      </c>
      <c r="E1029" s="8"/>
      <c r="F1029" s="8">
        <v>1</v>
      </c>
      <c r="G1029" s="7">
        <f>3*INDEX([1]equip.xml!$I:$I,MATCH(D1029&amp;"",[1]equip.xml!$A:$A,0))</f>
        <v>189000</v>
      </c>
      <c r="H1029" s="8" t="str">
        <f t="shared" si="1406"/>
        <v>10_10,50_20,80_30</v>
      </c>
      <c r="I1029" s="8">
        <f t="shared" si="1407"/>
        <v>6</v>
      </c>
      <c r="J1029" s="8">
        <f t="shared" si="1407"/>
        <v>50</v>
      </c>
      <c r="K1029" s="7" t="s">
        <v>311</v>
      </c>
      <c r="L1029" s="8">
        <v>40</v>
      </c>
      <c r="M1029" s="7">
        <f>IF(INDEX([1]equip.xml!$B:$B,MATCH(D1029&amp;"",[1]equip.xml!$A:$A,0))=0,0,N1029)</f>
        <v>0</v>
      </c>
      <c r="N1029" s="8">
        <f t="shared" ref="N1029" si="1436">N941</f>
        <v>32</v>
      </c>
    </row>
    <row r="1030" spans="1:14">
      <c r="A1030" s="8">
        <v>10016</v>
      </c>
      <c r="B1030" s="8">
        <f t="shared" ref="B1030:C1030" si="1437">B942</f>
        <v>40000</v>
      </c>
      <c r="C1030" s="8" t="str">
        <f t="shared" si="1437"/>
        <v>装备</v>
      </c>
      <c r="D1030" s="8">
        <v>40602050</v>
      </c>
      <c r="E1030" s="8"/>
      <c r="F1030" s="8">
        <v>1</v>
      </c>
      <c r="G1030" s="7">
        <f>3*INDEX([1]equip.xml!$I:$I,MATCH(D1030&amp;"",[1]equip.xml!$A:$A,0))</f>
        <v>180000</v>
      </c>
      <c r="H1030" s="8" t="str">
        <f t="shared" si="1406"/>
        <v>10_10,50_20,80_30</v>
      </c>
      <c r="I1030" s="8">
        <f t="shared" si="1407"/>
        <v>6</v>
      </c>
      <c r="J1030" s="8">
        <f t="shared" si="1407"/>
        <v>50</v>
      </c>
      <c r="K1030" s="7" t="s">
        <v>311</v>
      </c>
      <c r="L1030" s="8">
        <v>40</v>
      </c>
      <c r="M1030" s="7">
        <f>IF(INDEX([1]equip.xml!$B:$B,MATCH(D1030&amp;"",[1]equip.xml!$A:$A,0))=0,0,N1030)</f>
        <v>32</v>
      </c>
      <c r="N1030" s="8">
        <f t="shared" ref="N1030" si="1438">N942</f>
        <v>32</v>
      </c>
    </row>
    <row r="1031" spans="1:14">
      <c r="A1031" s="8">
        <v>10016</v>
      </c>
      <c r="B1031" s="8">
        <f t="shared" ref="B1031:C1031" si="1439">B943</f>
        <v>40000</v>
      </c>
      <c r="C1031" s="8" t="str">
        <f t="shared" si="1439"/>
        <v>装备</v>
      </c>
      <c r="D1031" s="8">
        <v>40602051</v>
      </c>
      <c r="E1031" s="8"/>
      <c r="F1031" s="8">
        <v>1</v>
      </c>
      <c r="G1031" s="7">
        <f>3*INDEX([1]equip.xml!$I:$I,MATCH(D1031&amp;"",[1]equip.xml!$A:$A,0))</f>
        <v>189000</v>
      </c>
      <c r="H1031" s="8" t="str">
        <f t="shared" si="1406"/>
        <v>10_10,50_20,80_30</v>
      </c>
      <c r="I1031" s="8">
        <f t="shared" si="1407"/>
        <v>6</v>
      </c>
      <c r="J1031" s="8">
        <f t="shared" si="1407"/>
        <v>50</v>
      </c>
      <c r="K1031" s="7" t="s">
        <v>311</v>
      </c>
      <c r="L1031" s="8">
        <v>40</v>
      </c>
      <c r="M1031" s="7">
        <f>IF(INDEX([1]equip.xml!$B:$B,MATCH(D1031&amp;"",[1]equip.xml!$A:$A,0))=0,0,N1031)</f>
        <v>0</v>
      </c>
      <c r="N1031" s="8">
        <f t="shared" ref="N1031" si="1440">N943</f>
        <v>32</v>
      </c>
    </row>
    <row r="1032" spans="1:14">
      <c r="A1032" s="8">
        <v>10016</v>
      </c>
      <c r="B1032" s="8">
        <f t="shared" ref="B1032:C1032" si="1441">B944</f>
        <v>40000</v>
      </c>
      <c r="C1032" s="8" t="str">
        <f t="shared" si="1441"/>
        <v>装备</v>
      </c>
      <c r="D1032" s="8">
        <v>40602060</v>
      </c>
      <c r="E1032" s="8"/>
      <c r="F1032" s="8">
        <v>1</v>
      </c>
      <c r="G1032" s="7">
        <f>3*INDEX([1]equip.xml!$I:$I,MATCH(D1032&amp;"",[1]equip.xml!$A:$A,0))</f>
        <v>180000</v>
      </c>
      <c r="H1032" s="8" t="str">
        <f t="shared" si="1406"/>
        <v>10_10,50_20,80_30</v>
      </c>
      <c r="I1032" s="8">
        <f t="shared" si="1407"/>
        <v>6</v>
      </c>
      <c r="J1032" s="8">
        <f t="shared" si="1407"/>
        <v>50</v>
      </c>
      <c r="K1032" s="7" t="s">
        <v>311</v>
      </c>
      <c r="L1032" s="8">
        <v>40</v>
      </c>
      <c r="M1032" s="7">
        <f>IF(INDEX([1]equip.xml!$B:$B,MATCH(D1032&amp;"",[1]equip.xml!$A:$A,0))=0,0,N1032)</f>
        <v>32</v>
      </c>
      <c r="N1032" s="8">
        <f t="shared" ref="N1032" si="1442">N944</f>
        <v>32</v>
      </c>
    </row>
    <row r="1033" spans="1:14">
      <c r="A1033" s="8">
        <v>10016</v>
      </c>
      <c r="B1033" s="8">
        <f t="shared" ref="B1033:C1033" si="1443">B945</f>
        <v>40000</v>
      </c>
      <c r="C1033" s="8" t="str">
        <f t="shared" si="1443"/>
        <v>装备</v>
      </c>
      <c r="D1033" s="8">
        <v>40602061</v>
      </c>
      <c r="E1033" s="8"/>
      <c r="F1033" s="8">
        <v>1</v>
      </c>
      <c r="G1033" s="7">
        <f>3*INDEX([1]equip.xml!$I:$I,MATCH(D1033&amp;"",[1]equip.xml!$A:$A,0))</f>
        <v>189000</v>
      </c>
      <c r="H1033" s="8" t="str">
        <f t="shared" si="1406"/>
        <v>10_10,50_20,80_30</v>
      </c>
      <c r="I1033" s="8">
        <f t="shared" si="1407"/>
        <v>6</v>
      </c>
      <c r="J1033" s="8">
        <f t="shared" si="1407"/>
        <v>50</v>
      </c>
      <c r="K1033" s="7" t="s">
        <v>311</v>
      </c>
      <c r="L1033" s="8">
        <v>40</v>
      </c>
      <c r="M1033" s="7">
        <f>IF(INDEX([1]equip.xml!$B:$B,MATCH(D1033&amp;"",[1]equip.xml!$A:$A,0))=0,0,N1033)</f>
        <v>0</v>
      </c>
      <c r="N1033" s="8">
        <f t="shared" ref="N1033" si="1444">N945</f>
        <v>32</v>
      </c>
    </row>
    <row r="1034" spans="1:14">
      <c r="A1034" s="8">
        <v>10016</v>
      </c>
      <c r="B1034" s="8">
        <f t="shared" ref="B1034:C1034" si="1445">B946</f>
        <v>40000</v>
      </c>
      <c r="C1034" s="8" t="str">
        <f t="shared" si="1445"/>
        <v>装备</v>
      </c>
      <c r="D1034" s="8">
        <v>40603050</v>
      </c>
      <c r="E1034" s="8"/>
      <c r="F1034" s="8">
        <v>1</v>
      </c>
      <c r="G1034" s="7">
        <f>3*INDEX([1]equip.xml!$I:$I,MATCH(D1034&amp;"",[1]equip.xml!$A:$A,0))</f>
        <v>180000</v>
      </c>
      <c r="H1034" s="8" t="str">
        <f t="shared" si="1406"/>
        <v>10_10,50_20,80_30</v>
      </c>
      <c r="I1034" s="8">
        <f t="shared" si="1407"/>
        <v>6</v>
      </c>
      <c r="J1034" s="8">
        <f t="shared" si="1407"/>
        <v>50</v>
      </c>
      <c r="K1034" s="7" t="s">
        <v>311</v>
      </c>
      <c r="L1034" s="8">
        <v>40</v>
      </c>
      <c r="M1034" s="7">
        <f>IF(INDEX([1]equip.xml!$B:$B,MATCH(D1034&amp;"",[1]equip.xml!$A:$A,0))=0,0,N1034)</f>
        <v>32</v>
      </c>
      <c r="N1034" s="8">
        <f t="shared" ref="N1034" si="1446">N946</f>
        <v>32</v>
      </c>
    </row>
    <row r="1035" spans="1:14">
      <c r="A1035" s="8">
        <v>10016</v>
      </c>
      <c r="B1035" s="8">
        <f t="shared" ref="B1035:C1035" si="1447">B947</f>
        <v>40000</v>
      </c>
      <c r="C1035" s="8" t="str">
        <f t="shared" si="1447"/>
        <v>装备</v>
      </c>
      <c r="D1035" s="8">
        <v>40603051</v>
      </c>
      <c r="E1035" s="8"/>
      <c r="F1035" s="8">
        <v>1</v>
      </c>
      <c r="G1035" s="7">
        <f>3*INDEX([1]equip.xml!$I:$I,MATCH(D1035&amp;"",[1]equip.xml!$A:$A,0))</f>
        <v>189000</v>
      </c>
      <c r="H1035" s="8" t="str">
        <f t="shared" si="1406"/>
        <v>10_10,50_20,80_30</v>
      </c>
      <c r="I1035" s="8">
        <f t="shared" si="1407"/>
        <v>6</v>
      </c>
      <c r="J1035" s="8">
        <f t="shared" si="1407"/>
        <v>50</v>
      </c>
      <c r="K1035" s="7" t="s">
        <v>311</v>
      </c>
      <c r="L1035" s="8">
        <v>40</v>
      </c>
      <c r="M1035" s="7">
        <f>IF(INDEX([1]equip.xml!$B:$B,MATCH(D1035&amp;"",[1]equip.xml!$A:$A,0))=0,0,N1035)</f>
        <v>0</v>
      </c>
      <c r="N1035" s="8">
        <f t="shared" ref="N1035" si="1448">N947</f>
        <v>32</v>
      </c>
    </row>
    <row r="1036" spans="1:14">
      <c r="A1036" s="8">
        <v>10016</v>
      </c>
      <c r="B1036" s="8">
        <f t="shared" ref="B1036:C1036" si="1449">B948</f>
        <v>40000</v>
      </c>
      <c r="C1036" s="8" t="str">
        <f t="shared" si="1449"/>
        <v>装备</v>
      </c>
      <c r="D1036" s="8">
        <v>40603060</v>
      </c>
      <c r="E1036" s="8"/>
      <c r="F1036" s="8">
        <v>1</v>
      </c>
      <c r="G1036" s="7">
        <f>3*INDEX([1]equip.xml!$I:$I,MATCH(D1036&amp;"",[1]equip.xml!$A:$A,0))</f>
        <v>180000</v>
      </c>
      <c r="H1036" s="8" t="str">
        <f t="shared" si="1406"/>
        <v>10_10,50_20,80_30</v>
      </c>
      <c r="I1036" s="8">
        <f t="shared" si="1407"/>
        <v>6</v>
      </c>
      <c r="J1036" s="8">
        <f t="shared" si="1407"/>
        <v>50</v>
      </c>
      <c r="K1036" s="7" t="s">
        <v>311</v>
      </c>
      <c r="L1036" s="8">
        <v>40</v>
      </c>
      <c r="M1036" s="7">
        <f>IF(INDEX([1]equip.xml!$B:$B,MATCH(D1036&amp;"",[1]equip.xml!$A:$A,0))=0,0,N1036)</f>
        <v>32</v>
      </c>
      <c r="N1036" s="8">
        <f t="shared" ref="N1036" si="1450">N948</f>
        <v>32</v>
      </c>
    </row>
    <row r="1037" spans="1:14">
      <c r="A1037" s="8">
        <v>10016</v>
      </c>
      <c r="B1037" s="8">
        <f t="shared" ref="B1037:C1037" si="1451">B949</f>
        <v>40000</v>
      </c>
      <c r="C1037" s="8" t="str">
        <f t="shared" si="1451"/>
        <v>装备</v>
      </c>
      <c r="D1037" s="8">
        <v>40603061</v>
      </c>
      <c r="E1037" s="8"/>
      <c r="F1037" s="8">
        <v>1</v>
      </c>
      <c r="G1037" s="7">
        <f>3*INDEX([1]equip.xml!$I:$I,MATCH(D1037&amp;"",[1]equip.xml!$A:$A,0))</f>
        <v>189000</v>
      </c>
      <c r="H1037" s="8" t="str">
        <f t="shared" si="1406"/>
        <v>10_10,50_20,80_30</v>
      </c>
      <c r="I1037" s="8">
        <f t="shared" si="1407"/>
        <v>6</v>
      </c>
      <c r="J1037" s="8">
        <f t="shared" si="1407"/>
        <v>50</v>
      </c>
      <c r="K1037" s="7" t="s">
        <v>311</v>
      </c>
      <c r="L1037" s="8">
        <v>40</v>
      </c>
      <c r="M1037" s="7">
        <f>IF(INDEX([1]equip.xml!$B:$B,MATCH(D1037&amp;"",[1]equip.xml!$A:$A,0))=0,0,N1037)</f>
        <v>0</v>
      </c>
      <c r="N1037" s="8">
        <f t="shared" ref="N1037" si="1452">N949</f>
        <v>32</v>
      </c>
    </row>
    <row r="1038" spans="1:14">
      <c r="A1038" s="8">
        <v>10016</v>
      </c>
      <c r="B1038" s="8">
        <f t="shared" ref="B1038:C1038" si="1453">B950</f>
        <v>40000</v>
      </c>
      <c r="C1038" s="8" t="str">
        <f t="shared" si="1453"/>
        <v>装备</v>
      </c>
      <c r="D1038" s="8">
        <v>40600040</v>
      </c>
      <c r="E1038" s="8"/>
      <c r="F1038" s="8">
        <v>1</v>
      </c>
      <c r="G1038" s="7">
        <f>3*INDEX([1]equip.xml!$I:$I,MATCH(D1038&amp;"",[1]equip.xml!$A:$A,0))</f>
        <v>180000</v>
      </c>
      <c r="H1038" s="8" t="str">
        <f t="shared" si="1406"/>
        <v>10_10,50_20,80_30</v>
      </c>
      <c r="I1038" s="8">
        <f t="shared" si="1407"/>
        <v>6</v>
      </c>
      <c r="J1038" s="8">
        <f t="shared" si="1407"/>
        <v>50</v>
      </c>
      <c r="K1038" s="7" t="s">
        <v>311</v>
      </c>
      <c r="L1038" s="8">
        <v>40</v>
      </c>
      <c r="M1038" s="7">
        <f>IF(INDEX([1]equip.xml!$B:$B,MATCH(D1038&amp;"",[1]equip.xml!$A:$A,0))=0,0,N1038)</f>
        <v>32</v>
      </c>
      <c r="N1038" s="8">
        <f t="shared" ref="N1038" si="1454">N950</f>
        <v>32</v>
      </c>
    </row>
    <row r="1039" spans="1:14">
      <c r="A1039" s="8">
        <v>10016</v>
      </c>
      <c r="B1039" s="8">
        <f t="shared" ref="B1039:C1039" si="1455">B951</f>
        <v>40000</v>
      </c>
      <c r="C1039" s="8" t="str">
        <f t="shared" si="1455"/>
        <v>装备</v>
      </c>
      <c r="D1039" s="8">
        <v>40600041</v>
      </c>
      <c r="E1039" s="8"/>
      <c r="F1039" s="8">
        <v>1</v>
      </c>
      <c r="G1039" s="7">
        <f>3*INDEX([1]equip.xml!$I:$I,MATCH(D1039&amp;"",[1]equip.xml!$A:$A,0))</f>
        <v>189000</v>
      </c>
      <c r="H1039" s="8" t="str">
        <f t="shared" si="1406"/>
        <v>10_10,50_20,80_30</v>
      </c>
      <c r="I1039" s="8">
        <f t="shared" si="1407"/>
        <v>6</v>
      </c>
      <c r="J1039" s="8">
        <f t="shared" si="1407"/>
        <v>50</v>
      </c>
      <c r="K1039" s="7" t="s">
        <v>311</v>
      </c>
      <c r="L1039" s="8">
        <v>40</v>
      </c>
      <c r="M1039" s="7">
        <f>IF(INDEX([1]equip.xml!$B:$B,MATCH(D1039&amp;"",[1]equip.xml!$A:$A,0))=0,0,N1039)</f>
        <v>0</v>
      </c>
      <c r="N1039" s="8">
        <f t="shared" ref="N1039" si="1456">N951</f>
        <v>32</v>
      </c>
    </row>
    <row r="1040" spans="1:14">
      <c r="A1040" s="8">
        <v>10016</v>
      </c>
      <c r="B1040" s="8">
        <f t="shared" ref="B1040:C1040" si="1457">B952</f>
        <v>40000</v>
      </c>
      <c r="C1040" s="8" t="str">
        <f t="shared" si="1457"/>
        <v>装备</v>
      </c>
      <c r="D1040" s="8">
        <v>40600070</v>
      </c>
      <c r="E1040" s="8"/>
      <c r="F1040" s="8">
        <v>1</v>
      </c>
      <c r="G1040" s="7">
        <f>3*INDEX([1]equip.xml!$I:$I,MATCH(D1040&amp;"",[1]equip.xml!$A:$A,0))</f>
        <v>180000</v>
      </c>
      <c r="H1040" s="8" t="str">
        <f t="shared" si="1406"/>
        <v>10_10,50_20,80_30</v>
      </c>
      <c r="I1040" s="8">
        <f t="shared" si="1407"/>
        <v>6</v>
      </c>
      <c r="J1040" s="8">
        <f t="shared" si="1407"/>
        <v>50</v>
      </c>
      <c r="K1040" s="7" t="s">
        <v>311</v>
      </c>
      <c r="L1040" s="8">
        <v>40</v>
      </c>
      <c r="M1040" s="7">
        <f>IF(INDEX([1]equip.xml!$B:$B,MATCH(D1040&amp;"",[1]equip.xml!$A:$A,0))=0,0,N1040)</f>
        <v>32</v>
      </c>
      <c r="N1040" s="8">
        <f t="shared" ref="N1040" si="1458">N952</f>
        <v>32</v>
      </c>
    </row>
    <row r="1041" spans="1:14">
      <c r="A1041" s="8">
        <v>10016</v>
      </c>
      <c r="B1041" s="8">
        <f t="shared" ref="B1041:C1041" si="1459">B953</f>
        <v>40000</v>
      </c>
      <c r="C1041" s="8" t="str">
        <f t="shared" si="1459"/>
        <v>装备</v>
      </c>
      <c r="D1041" s="8">
        <v>40600071</v>
      </c>
      <c r="E1041" s="8"/>
      <c r="F1041" s="8">
        <v>1</v>
      </c>
      <c r="G1041" s="7">
        <f>3*INDEX([1]equip.xml!$I:$I,MATCH(D1041&amp;"",[1]equip.xml!$A:$A,0))</f>
        <v>189000</v>
      </c>
      <c r="H1041" s="8" t="str">
        <f t="shared" si="1406"/>
        <v>10_10,50_20,80_30</v>
      </c>
      <c r="I1041" s="8">
        <f t="shared" si="1407"/>
        <v>6</v>
      </c>
      <c r="J1041" s="8">
        <f t="shared" si="1407"/>
        <v>50</v>
      </c>
      <c r="K1041" s="7" t="s">
        <v>311</v>
      </c>
      <c r="L1041" s="8">
        <v>40</v>
      </c>
      <c r="M1041" s="7">
        <f>IF(INDEX([1]equip.xml!$B:$B,MATCH(D1041&amp;"",[1]equip.xml!$A:$A,0))=0,0,N1041)</f>
        <v>32</v>
      </c>
      <c r="N1041" s="8">
        <f t="shared" ref="N1041" si="1460">N953</f>
        <v>32</v>
      </c>
    </row>
    <row r="1042" spans="1:14">
      <c r="A1042" s="8">
        <v>10016</v>
      </c>
      <c r="B1042" s="8">
        <f t="shared" ref="B1042:C1042" si="1461">B954</f>
        <v>40000</v>
      </c>
      <c r="C1042" s="8" t="str">
        <f t="shared" si="1461"/>
        <v>装备</v>
      </c>
      <c r="D1042" s="7">
        <f>D998+10000005</f>
        <v>50550015</v>
      </c>
      <c r="E1042" s="8"/>
      <c r="F1042" s="8">
        <v>1</v>
      </c>
      <c r="G1042" s="8">
        <f>3*INDEX([1]equip.xml!$I:$I,MATCH(D1042,[1]equip.xml!$A:$A,0))</f>
        <v>330000</v>
      </c>
      <c r="H1042" s="8" t="str">
        <f t="shared" si="1406"/>
        <v>10_10,50_20,80_30</v>
      </c>
      <c r="I1042" s="8">
        <v>2</v>
      </c>
      <c r="J1042" s="8">
        <f t="shared" si="1407"/>
        <v>240</v>
      </c>
      <c r="K1042" s="7" t="s">
        <v>311</v>
      </c>
      <c r="L1042" s="8">
        <v>40</v>
      </c>
      <c r="M1042" s="7">
        <f>IF(INDEX([1]equip.xml!$B:$B,MATCH(D1042,[1]equip.xml!$A:$A,0))=0,0,N1042)</f>
        <v>70</v>
      </c>
      <c r="N1042" s="8">
        <f t="shared" ref="N1042" si="1462">N954</f>
        <v>70</v>
      </c>
    </row>
    <row r="1043" spans="1:14">
      <c r="A1043" s="8">
        <v>10016</v>
      </c>
      <c r="B1043" s="8">
        <f t="shared" ref="B1043:C1043" si="1463">B955</f>
        <v>40000</v>
      </c>
      <c r="C1043" s="8" t="str">
        <f t="shared" si="1463"/>
        <v>装备</v>
      </c>
      <c r="D1043" s="7">
        <f t="shared" ref="D1043:D1085" si="1464">D999+10000005</f>
        <v>50550025</v>
      </c>
      <c r="E1043" s="8"/>
      <c r="F1043" s="8">
        <v>1</v>
      </c>
      <c r="G1043" s="8">
        <f>3*INDEX([1]equip.xml!$I:$I,MATCH(D1043,[1]equip.xml!$A:$A,0))</f>
        <v>330000</v>
      </c>
      <c r="H1043" s="8" t="str">
        <f t="shared" si="1406"/>
        <v>10_10,50_20,80_30</v>
      </c>
      <c r="I1043" s="8">
        <v>2</v>
      </c>
      <c r="J1043" s="8">
        <f t="shared" si="1407"/>
        <v>240</v>
      </c>
      <c r="K1043" s="7" t="s">
        <v>311</v>
      </c>
      <c r="L1043" s="8">
        <v>40</v>
      </c>
      <c r="M1043" s="7">
        <f>IF(INDEX([1]equip.xml!$B:$B,MATCH(D1043,[1]equip.xml!$A:$A,0))=0,0,N1043)</f>
        <v>70</v>
      </c>
      <c r="N1043" s="8">
        <f t="shared" ref="N1043" si="1465">N955</f>
        <v>70</v>
      </c>
    </row>
    <row r="1044" spans="1:14">
      <c r="A1044" s="8">
        <v>10016</v>
      </c>
      <c r="B1044" s="8">
        <f t="shared" ref="B1044:C1044" si="1466">B956</f>
        <v>40000</v>
      </c>
      <c r="C1044" s="8" t="str">
        <f t="shared" si="1466"/>
        <v>装备</v>
      </c>
      <c r="D1044" s="7">
        <f t="shared" si="1464"/>
        <v>50550035</v>
      </c>
      <c r="E1044" s="8"/>
      <c r="F1044" s="8">
        <v>1</v>
      </c>
      <c r="G1044" s="8">
        <f>3*INDEX([1]equip.xml!$I:$I,MATCH(D1044,[1]equip.xml!$A:$A,0))</f>
        <v>330000</v>
      </c>
      <c r="H1044" s="8" t="str">
        <f t="shared" si="1406"/>
        <v>10_10,50_20,80_30</v>
      </c>
      <c r="I1044" s="8">
        <v>2</v>
      </c>
      <c r="J1044" s="8">
        <f t="shared" si="1407"/>
        <v>240</v>
      </c>
      <c r="K1044" s="7" t="s">
        <v>311</v>
      </c>
      <c r="L1044" s="8">
        <v>40</v>
      </c>
      <c r="M1044" s="7">
        <f>IF(INDEX([1]equip.xml!$B:$B,MATCH(D1044,[1]equip.xml!$A:$A,0))=0,0,N1044)</f>
        <v>70</v>
      </c>
      <c r="N1044" s="8">
        <f t="shared" ref="N1044" si="1467">N956</f>
        <v>70</v>
      </c>
    </row>
    <row r="1045" spans="1:14">
      <c r="A1045" s="8">
        <v>10016</v>
      </c>
      <c r="B1045" s="8">
        <f t="shared" ref="B1045:C1045" si="1468">B957</f>
        <v>40000</v>
      </c>
      <c r="C1045" s="8" t="str">
        <f t="shared" si="1468"/>
        <v>装备</v>
      </c>
      <c r="D1045" s="7">
        <f t="shared" si="1464"/>
        <v>50550085</v>
      </c>
      <c r="E1045" s="8"/>
      <c r="F1045" s="8">
        <v>1</v>
      </c>
      <c r="G1045" s="8">
        <f>3*INDEX([1]equip.xml!$I:$I,MATCH(D1045,[1]equip.xml!$A:$A,0))</f>
        <v>330000</v>
      </c>
      <c r="H1045" s="8" t="str">
        <f t="shared" si="1406"/>
        <v>10_10,50_20,80_30</v>
      </c>
      <c r="I1045" s="8">
        <v>2</v>
      </c>
      <c r="J1045" s="8">
        <f t="shared" si="1407"/>
        <v>240</v>
      </c>
      <c r="K1045" s="7" t="s">
        <v>311</v>
      </c>
      <c r="L1045" s="8">
        <v>40</v>
      </c>
      <c r="M1045" s="7">
        <f>IF(INDEX([1]equip.xml!$B:$B,MATCH(D1045,[1]equip.xml!$A:$A,0))=0,0,N1045)</f>
        <v>70</v>
      </c>
      <c r="N1045" s="8">
        <f t="shared" ref="N1045" si="1469">N957</f>
        <v>70</v>
      </c>
    </row>
    <row r="1046" spans="1:14">
      <c r="A1046" s="8">
        <v>10016</v>
      </c>
      <c r="B1046" s="8">
        <f t="shared" ref="B1046:C1046" si="1470">B958</f>
        <v>40000</v>
      </c>
      <c r="C1046" s="8" t="str">
        <f t="shared" si="1470"/>
        <v>装备</v>
      </c>
      <c r="D1046" s="7">
        <f t="shared" si="1464"/>
        <v>50550095</v>
      </c>
      <c r="E1046" s="8"/>
      <c r="F1046" s="8">
        <v>1</v>
      </c>
      <c r="G1046" s="8">
        <f>3*INDEX([1]equip.xml!$I:$I,MATCH(D1046,[1]equip.xml!$A:$A,0))</f>
        <v>330000</v>
      </c>
      <c r="H1046" s="8" t="str">
        <f t="shared" si="1406"/>
        <v>10_10,50_20,80_30</v>
      </c>
      <c r="I1046" s="8">
        <v>2</v>
      </c>
      <c r="J1046" s="8">
        <f t="shared" si="1407"/>
        <v>240</v>
      </c>
      <c r="K1046" s="7" t="s">
        <v>311</v>
      </c>
      <c r="L1046" s="8">
        <v>40</v>
      </c>
      <c r="M1046" s="7">
        <f>IF(INDEX([1]equip.xml!$B:$B,MATCH(D1046,[1]equip.xml!$A:$A,0))=0,0,N1046)</f>
        <v>0</v>
      </c>
      <c r="N1046" s="8">
        <f t="shared" ref="N1046" si="1471">N958</f>
        <v>70</v>
      </c>
    </row>
    <row r="1047" spans="1:14">
      <c r="A1047" s="8">
        <v>10016</v>
      </c>
      <c r="B1047" s="8">
        <f t="shared" ref="B1047:C1047" si="1472">B959</f>
        <v>40000</v>
      </c>
      <c r="C1047" s="8" t="str">
        <f t="shared" si="1472"/>
        <v>装备</v>
      </c>
      <c r="D1047" s="7">
        <f t="shared" si="1464"/>
        <v>50550105</v>
      </c>
      <c r="E1047" s="8"/>
      <c r="F1047" s="8">
        <v>1</v>
      </c>
      <c r="G1047" s="8">
        <f>3*INDEX([1]equip.xml!$I:$I,MATCH(D1047,[1]equip.xml!$A:$A,0))</f>
        <v>330000</v>
      </c>
      <c r="H1047" s="8" t="str">
        <f t="shared" si="1406"/>
        <v>10_10,50_20,80_30</v>
      </c>
      <c r="I1047" s="8">
        <v>2</v>
      </c>
      <c r="J1047" s="8">
        <f t="shared" si="1407"/>
        <v>240</v>
      </c>
      <c r="K1047" s="7" t="s">
        <v>311</v>
      </c>
      <c r="L1047" s="8">
        <v>40</v>
      </c>
      <c r="M1047" s="7">
        <f>IF(INDEX([1]equip.xml!$B:$B,MATCH(D1047,[1]equip.xml!$A:$A,0))=0,0,N1047)</f>
        <v>70</v>
      </c>
      <c r="N1047" s="8">
        <f t="shared" ref="N1047" si="1473">N959</f>
        <v>70</v>
      </c>
    </row>
    <row r="1048" spans="1:14">
      <c r="A1048" s="8">
        <v>10016</v>
      </c>
      <c r="B1048" s="8">
        <f t="shared" ref="B1048:C1048" si="1474">B960</f>
        <v>40000</v>
      </c>
      <c r="C1048" s="8" t="str">
        <f t="shared" si="1474"/>
        <v>装备</v>
      </c>
      <c r="D1048" s="7">
        <f t="shared" si="1464"/>
        <v>50551055</v>
      </c>
      <c r="E1048" s="8"/>
      <c r="F1048" s="8">
        <v>1</v>
      </c>
      <c r="G1048" s="8">
        <f>3*INDEX([1]equip.xml!$I:$I,MATCH(D1048,[1]equip.xml!$A:$A,0))</f>
        <v>330000</v>
      </c>
      <c r="H1048" s="8" t="str">
        <f t="shared" si="1406"/>
        <v>10_10,50_20,80_30</v>
      </c>
      <c r="I1048" s="8">
        <v>2</v>
      </c>
      <c r="J1048" s="8">
        <f t="shared" si="1407"/>
        <v>240</v>
      </c>
      <c r="K1048" s="7" t="s">
        <v>311</v>
      </c>
      <c r="L1048" s="8">
        <v>40</v>
      </c>
      <c r="M1048" s="7">
        <f>IF(INDEX([1]equip.xml!$B:$B,MATCH(D1048,[1]equip.xml!$A:$A,0))=0,0,N1048)</f>
        <v>70</v>
      </c>
      <c r="N1048" s="8">
        <f t="shared" ref="N1048" si="1475">N960</f>
        <v>70</v>
      </c>
    </row>
    <row r="1049" spans="1:14">
      <c r="A1049" s="8">
        <v>10016</v>
      </c>
      <c r="B1049" s="8">
        <f t="shared" ref="B1049:C1049" si="1476">B961</f>
        <v>40000</v>
      </c>
      <c r="C1049" s="8" t="str">
        <f t="shared" si="1476"/>
        <v>装备</v>
      </c>
      <c r="D1049" s="7">
        <f t="shared" si="1464"/>
        <v>50551056</v>
      </c>
      <c r="E1049" s="8"/>
      <c r="F1049" s="8">
        <v>1</v>
      </c>
      <c r="G1049" s="8">
        <f>3*INDEX([1]equip.xml!$I:$I,MATCH(D1049,[1]equip.xml!$A:$A,0))</f>
        <v>348000</v>
      </c>
      <c r="H1049" s="8" t="str">
        <f t="shared" si="1406"/>
        <v>10_10,50_20,80_30</v>
      </c>
      <c r="I1049" s="8">
        <v>2</v>
      </c>
      <c r="J1049" s="8">
        <f t="shared" si="1407"/>
        <v>240</v>
      </c>
      <c r="K1049" s="7" t="s">
        <v>311</v>
      </c>
      <c r="L1049" s="8">
        <v>40</v>
      </c>
      <c r="M1049" s="7">
        <f>IF(INDEX([1]equip.xml!$B:$B,MATCH(D1049,[1]equip.xml!$A:$A,0))=0,0,N1049)</f>
        <v>0</v>
      </c>
      <c r="N1049" s="8">
        <f t="shared" ref="N1049" si="1477">N961</f>
        <v>70</v>
      </c>
    </row>
    <row r="1050" spans="1:14">
      <c r="A1050" s="8">
        <v>10016</v>
      </c>
      <c r="B1050" s="8">
        <f t="shared" ref="B1050:C1050" si="1478">B962</f>
        <v>40000</v>
      </c>
      <c r="C1050" s="8" t="str">
        <f t="shared" si="1478"/>
        <v>装备</v>
      </c>
      <c r="D1050" s="7">
        <f t="shared" si="1464"/>
        <v>50551065</v>
      </c>
      <c r="E1050" s="8"/>
      <c r="F1050" s="8">
        <v>1</v>
      </c>
      <c r="G1050" s="8">
        <f>3*INDEX([1]equip.xml!$I:$I,MATCH(D1050,[1]equip.xml!$A:$A,0))</f>
        <v>330000</v>
      </c>
      <c r="H1050" s="8" t="str">
        <f t="shared" si="1406"/>
        <v>10_10,50_20,80_30</v>
      </c>
      <c r="I1050" s="8">
        <v>2</v>
      </c>
      <c r="J1050" s="8">
        <f t="shared" si="1407"/>
        <v>240</v>
      </c>
      <c r="K1050" s="7" t="s">
        <v>311</v>
      </c>
      <c r="L1050" s="8">
        <v>40</v>
      </c>
      <c r="M1050" s="7">
        <f>IF(INDEX([1]equip.xml!$B:$B,MATCH(D1050,[1]equip.xml!$A:$A,0))=0,0,N1050)</f>
        <v>70</v>
      </c>
      <c r="N1050" s="8">
        <f t="shared" ref="N1050" si="1479">N962</f>
        <v>70</v>
      </c>
    </row>
    <row r="1051" spans="1:14">
      <c r="A1051" s="8">
        <v>10016</v>
      </c>
      <c r="B1051" s="8">
        <f t="shared" ref="B1051:C1051" si="1480">B963</f>
        <v>40000</v>
      </c>
      <c r="C1051" s="8" t="str">
        <f t="shared" si="1480"/>
        <v>装备</v>
      </c>
      <c r="D1051" s="7">
        <f t="shared" si="1464"/>
        <v>50551066</v>
      </c>
      <c r="E1051" s="8"/>
      <c r="F1051" s="8">
        <v>1</v>
      </c>
      <c r="G1051" s="8">
        <f>3*INDEX([1]equip.xml!$I:$I,MATCH(D1051,[1]equip.xml!$A:$A,0))</f>
        <v>348000</v>
      </c>
      <c r="H1051" s="8" t="str">
        <f t="shared" si="1406"/>
        <v>10_10,50_20,80_30</v>
      </c>
      <c r="I1051" s="8">
        <v>2</v>
      </c>
      <c r="J1051" s="8">
        <f t="shared" si="1407"/>
        <v>240</v>
      </c>
      <c r="K1051" s="7" t="s">
        <v>311</v>
      </c>
      <c r="L1051" s="8">
        <v>40</v>
      </c>
      <c r="M1051" s="7">
        <f>IF(INDEX([1]equip.xml!$B:$B,MATCH(D1051,[1]equip.xml!$A:$A,0))=0,0,N1051)</f>
        <v>70</v>
      </c>
      <c r="N1051" s="8">
        <f t="shared" ref="N1051" si="1481">N963</f>
        <v>70</v>
      </c>
    </row>
    <row r="1052" spans="1:14">
      <c r="A1052" s="8">
        <v>10016</v>
      </c>
      <c r="B1052" s="8">
        <f t="shared" ref="B1052:C1052" si="1482">B964</f>
        <v>40000</v>
      </c>
      <c r="C1052" s="8" t="str">
        <f t="shared" si="1482"/>
        <v>装备</v>
      </c>
      <c r="D1052" s="7">
        <f t="shared" si="1464"/>
        <v>50552055</v>
      </c>
      <c r="E1052" s="8"/>
      <c r="F1052" s="8">
        <v>1</v>
      </c>
      <c r="G1052" s="8">
        <f>3*INDEX([1]equip.xml!$I:$I,MATCH(D1052,[1]equip.xml!$A:$A,0))</f>
        <v>330000</v>
      </c>
      <c r="H1052" s="8" t="str">
        <f t="shared" si="1406"/>
        <v>10_10,50_20,80_30</v>
      </c>
      <c r="I1052" s="8">
        <v>2</v>
      </c>
      <c r="J1052" s="8">
        <f t="shared" si="1407"/>
        <v>240</v>
      </c>
      <c r="K1052" s="7" t="s">
        <v>311</v>
      </c>
      <c r="L1052" s="8">
        <v>40</v>
      </c>
      <c r="M1052" s="7">
        <f>IF(INDEX([1]equip.xml!$B:$B,MATCH(D1052,[1]equip.xml!$A:$A,0))=0,0,N1052)</f>
        <v>70</v>
      </c>
      <c r="N1052" s="8">
        <f t="shared" ref="N1052" si="1483">N964</f>
        <v>70</v>
      </c>
    </row>
    <row r="1053" spans="1:14">
      <c r="A1053" s="8">
        <v>10016</v>
      </c>
      <c r="B1053" s="8">
        <f t="shared" ref="B1053:C1053" si="1484">B965</f>
        <v>40000</v>
      </c>
      <c r="C1053" s="8" t="str">
        <f t="shared" si="1484"/>
        <v>装备</v>
      </c>
      <c r="D1053" s="7">
        <f t="shared" si="1464"/>
        <v>50552056</v>
      </c>
      <c r="E1053" s="8"/>
      <c r="F1053" s="8">
        <v>1</v>
      </c>
      <c r="G1053" s="8">
        <f>3*INDEX([1]equip.xml!$I:$I,MATCH(D1053,[1]equip.xml!$A:$A,0))</f>
        <v>348000</v>
      </c>
      <c r="H1053" s="8" t="str">
        <f t="shared" si="1406"/>
        <v>10_10,50_20,80_30</v>
      </c>
      <c r="I1053" s="8">
        <v>2</v>
      </c>
      <c r="J1053" s="8">
        <f t="shared" si="1407"/>
        <v>240</v>
      </c>
      <c r="K1053" s="7" t="s">
        <v>311</v>
      </c>
      <c r="L1053" s="8">
        <v>40</v>
      </c>
      <c r="M1053" s="7">
        <f>IF(INDEX([1]equip.xml!$B:$B,MATCH(D1053,[1]equip.xml!$A:$A,0))=0,0,N1053)</f>
        <v>0</v>
      </c>
      <c r="N1053" s="8">
        <f t="shared" ref="N1053" si="1485">N965</f>
        <v>70</v>
      </c>
    </row>
    <row r="1054" spans="1:14">
      <c r="A1054" s="8">
        <v>10016</v>
      </c>
      <c r="B1054" s="8">
        <f t="shared" ref="B1054:C1054" si="1486">B966</f>
        <v>40000</v>
      </c>
      <c r="C1054" s="8" t="str">
        <f t="shared" si="1486"/>
        <v>装备</v>
      </c>
      <c r="D1054" s="7">
        <f t="shared" si="1464"/>
        <v>50552065</v>
      </c>
      <c r="E1054" s="8"/>
      <c r="F1054" s="8">
        <v>1</v>
      </c>
      <c r="G1054" s="8">
        <f>3*INDEX([1]equip.xml!$I:$I,MATCH(D1054,[1]equip.xml!$A:$A,0))</f>
        <v>330000</v>
      </c>
      <c r="H1054" s="8" t="str">
        <f t="shared" si="1406"/>
        <v>10_10,50_20,80_30</v>
      </c>
      <c r="I1054" s="8">
        <v>2</v>
      </c>
      <c r="J1054" s="8">
        <f t="shared" si="1407"/>
        <v>240</v>
      </c>
      <c r="K1054" s="7" t="s">
        <v>311</v>
      </c>
      <c r="L1054" s="8">
        <v>40</v>
      </c>
      <c r="M1054" s="7">
        <f>IF(INDEX([1]equip.xml!$B:$B,MATCH(D1054,[1]equip.xml!$A:$A,0))=0,0,N1054)</f>
        <v>70</v>
      </c>
      <c r="N1054" s="8">
        <f t="shared" ref="N1054" si="1487">N966</f>
        <v>70</v>
      </c>
    </row>
    <row r="1055" spans="1:14">
      <c r="A1055" s="8">
        <v>10016</v>
      </c>
      <c r="B1055" s="8">
        <f t="shared" ref="B1055:C1055" si="1488">B967</f>
        <v>40000</v>
      </c>
      <c r="C1055" s="8" t="str">
        <f t="shared" si="1488"/>
        <v>装备</v>
      </c>
      <c r="D1055" s="7">
        <f t="shared" si="1464"/>
        <v>50552066</v>
      </c>
      <c r="E1055" s="8"/>
      <c r="F1055" s="8">
        <v>1</v>
      </c>
      <c r="G1055" s="8">
        <f>3*INDEX([1]equip.xml!$I:$I,MATCH(D1055,[1]equip.xml!$A:$A,0))</f>
        <v>348000</v>
      </c>
      <c r="H1055" s="8" t="str">
        <f t="shared" si="1406"/>
        <v>10_10,50_20,80_30</v>
      </c>
      <c r="I1055" s="8">
        <v>2</v>
      </c>
      <c r="J1055" s="8">
        <f t="shared" si="1407"/>
        <v>240</v>
      </c>
      <c r="K1055" s="7" t="s">
        <v>311</v>
      </c>
      <c r="L1055" s="8">
        <v>40</v>
      </c>
      <c r="M1055" s="7">
        <f>IF(INDEX([1]equip.xml!$B:$B,MATCH(D1055,[1]equip.xml!$A:$A,0))=0,0,N1055)</f>
        <v>70</v>
      </c>
      <c r="N1055" s="8">
        <f t="shared" ref="N1055" si="1489">N967</f>
        <v>70</v>
      </c>
    </row>
    <row r="1056" spans="1:14">
      <c r="A1056" s="8">
        <v>10016</v>
      </c>
      <c r="B1056" s="8">
        <f t="shared" ref="B1056:C1056" si="1490">B968</f>
        <v>40000</v>
      </c>
      <c r="C1056" s="8" t="str">
        <f t="shared" si="1490"/>
        <v>装备</v>
      </c>
      <c r="D1056" s="7">
        <f t="shared" si="1464"/>
        <v>50553055</v>
      </c>
      <c r="E1056" s="8"/>
      <c r="F1056" s="8">
        <v>1</v>
      </c>
      <c r="G1056" s="8">
        <f>3*INDEX([1]equip.xml!$I:$I,MATCH(D1056,[1]equip.xml!$A:$A,0))</f>
        <v>330000</v>
      </c>
      <c r="H1056" s="8" t="str">
        <f t="shared" si="1406"/>
        <v>10_10,50_20,80_30</v>
      </c>
      <c r="I1056" s="8">
        <v>2</v>
      </c>
      <c r="J1056" s="8">
        <f t="shared" si="1407"/>
        <v>240</v>
      </c>
      <c r="K1056" s="7" t="s">
        <v>311</v>
      </c>
      <c r="L1056" s="8">
        <v>40</v>
      </c>
      <c r="M1056" s="7">
        <f>IF(INDEX([1]equip.xml!$B:$B,MATCH(D1056,[1]equip.xml!$A:$A,0))=0,0,N1056)</f>
        <v>70</v>
      </c>
      <c r="N1056" s="8">
        <f t="shared" ref="N1056" si="1491">N968</f>
        <v>70</v>
      </c>
    </row>
    <row r="1057" spans="1:14">
      <c r="A1057" s="8">
        <v>10016</v>
      </c>
      <c r="B1057" s="8">
        <f t="shared" ref="B1057:C1057" si="1492">B969</f>
        <v>40000</v>
      </c>
      <c r="C1057" s="8" t="str">
        <f t="shared" si="1492"/>
        <v>装备</v>
      </c>
      <c r="D1057" s="7">
        <f t="shared" si="1464"/>
        <v>50553056</v>
      </c>
      <c r="E1057" s="8"/>
      <c r="F1057" s="8">
        <v>1</v>
      </c>
      <c r="G1057" s="8">
        <f>3*INDEX([1]equip.xml!$I:$I,MATCH(D1057,[1]equip.xml!$A:$A,0))</f>
        <v>348000</v>
      </c>
      <c r="H1057" s="8" t="str">
        <f t="shared" si="1406"/>
        <v>10_10,50_20,80_30</v>
      </c>
      <c r="I1057" s="8">
        <v>2</v>
      </c>
      <c r="J1057" s="8">
        <f t="shared" si="1407"/>
        <v>240</v>
      </c>
      <c r="K1057" s="7" t="s">
        <v>311</v>
      </c>
      <c r="L1057" s="8">
        <v>40</v>
      </c>
      <c r="M1057" s="7">
        <f>IF(INDEX([1]equip.xml!$B:$B,MATCH(D1057,[1]equip.xml!$A:$A,0))=0,0,N1057)</f>
        <v>0</v>
      </c>
      <c r="N1057" s="8">
        <f t="shared" ref="N1057" si="1493">N969</f>
        <v>70</v>
      </c>
    </row>
    <row r="1058" spans="1:14">
      <c r="A1058" s="8">
        <v>10016</v>
      </c>
      <c r="B1058" s="8">
        <f t="shared" ref="B1058:C1058" si="1494">B970</f>
        <v>40000</v>
      </c>
      <c r="C1058" s="8" t="str">
        <f t="shared" si="1494"/>
        <v>装备</v>
      </c>
      <c r="D1058" s="7">
        <f t="shared" si="1464"/>
        <v>50553065</v>
      </c>
      <c r="E1058" s="8"/>
      <c r="F1058" s="8">
        <v>1</v>
      </c>
      <c r="G1058" s="8">
        <f>3*INDEX([1]equip.xml!$I:$I,MATCH(D1058,[1]equip.xml!$A:$A,0))</f>
        <v>330000</v>
      </c>
      <c r="H1058" s="8" t="str">
        <f t="shared" si="1406"/>
        <v>10_10,50_20,80_30</v>
      </c>
      <c r="I1058" s="8">
        <v>2</v>
      </c>
      <c r="J1058" s="8">
        <f t="shared" si="1407"/>
        <v>240</v>
      </c>
      <c r="K1058" s="7" t="s">
        <v>311</v>
      </c>
      <c r="L1058" s="8">
        <v>40</v>
      </c>
      <c r="M1058" s="7">
        <f>IF(INDEX([1]equip.xml!$B:$B,MATCH(D1058,[1]equip.xml!$A:$A,0))=0,0,N1058)</f>
        <v>70</v>
      </c>
      <c r="N1058" s="8">
        <f t="shared" ref="N1058" si="1495">N970</f>
        <v>70</v>
      </c>
    </row>
    <row r="1059" spans="1:14">
      <c r="A1059" s="8">
        <v>10016</v>
      </c>
      <c r="B1059" s="8">
        <f t="shared" ref="B1059:C1059" si="1496">B971</f>
        <v>40000</v>
      </c>
      <c r="C1059" s="8" t="str">
        <f t="shared" si="1496"/>
        <v>装备</v>
      </c>
      <c r="D1059" s="7">
        <f t="shared" si="1464"/>
        <v>50553066</v>
      </c>
      <c r="E1059" s="8"/>
      <c r="F1059" s="8">
        <v>1</v>
      </c>
      <c r="G1059" s="8">
        <f>3*INDEX([1]equip.xml!$I:$I,MATCH(D1059,[1]equip.xml!$A:$A,0))</f>
        <v>348000</v>
      </c>
      <c r="H1059" s="8" t="str">
        <f t="shared" si="1406"/>
        <v>10_10,50_20,80_30</v>
      </c>
      <c r="I1059" s="8">
        <v>2</v>
      </c>
      <c r="J1059" s="8">
        <f t="shared" si="1407"/>
        <v>240</v>
      </c>
      <c r="K1059" s="7" t="s">
        <v>311</v>
      </c>
      <c r="L1059" s="8">
        <v>40</v>
      </c>
      <c r="M1059" s="7">
        <f>IF(INDEX([1]equip.xml!$B:$B,MATCH(D1059,[1]equip.xml!$A:$A,0))=0,0,N1059)</f>
        <v>70</v>
      </c>
      <c r="N1059" s="8">
        <f t="shared" ref="N1059" si="1497">N971</f>
        <v>70</v>
      </c>
    </row>
    <row r="1060" spans="1:14">
      <c r="A1060" s="8">
        <v>10016</v>
      </c>
      <c r="B1060" s="8">
        <f t="shared" ref="B1060:C1060" si="1498">B972</f>
        <v>40000</v>
      </c>
      <c r="C1060" s="8" t="str">
        <f t="shared" si="1498"/>
        <v>装备</v>
      </c>
      <c r="D1060" s="7">
        <f t="shared" si="1464"/>
        <v>50550045</v>
      </c>
      <c r="E1060" s="8"/>
      <c r="F1060" s="8">
        <v>1</v>
      </c>
      <c r="G1060" s="8">
        <f>3*INDEX([1]equip.xml!$I:$I,MATCH(D1060,[1]equip.xml!$A:$A,0))</f>
        <v>330000</v>
      </c>
      <c r="H1060" s="8" t="str">
        <f t="shared" si="1406"/>
        <v>10_10,50_20,80_30</v>
      </c>
      <c r="I1060" s="8">
        <v>2</v>
      </c>
      <c r="J1060" s="8">
        <f t="shared" si="1407"/>
        <v>240</v>
      </c>
      <c r="K1060" s="7" t="s">
        <v>311</v>
      </c>
      <c r="L1060" s="8">
        <v>40</v>
      </c>
      <c r="M1060" s="7">
        <f>IF(INDEX([1]equip.xml!$B:$B,MATCH(D1060,[1]equip.xml!$A:$A,0))=0,0,N1060)</f>
        <v>70</v>
      </c>
      <c r="N1060" s="8">
        <f t="shared" ref="N1060" si="1499">N972</f>
        <v>70</v>
      </c>
    </row>
    <row r="1061" spans="1:14">
      <c r="A1061" s="8">
        <v>10016</v>
      </c>
      <c r="B1061" s="8">
        <f t="shared" ref="B1061:C1061" si="1500">B973</f>
        <v>40000</v>
      </c>
      <c r="C1061" s="8" t="str">
        <f t="shared" si="1500"/>
        <v>装备</v>
      </c>
      <c r="D1061" s="7">
        <f t="shared" si="1464"/>
        <v>50550046</v>
      </c>
      <c r="E1061" s="8"/>
      <c r="F1061" s="8">
        <v>1</v>
      </c>
      <c r="G1061" s="8">
        <f>3*INDEX([1]equip.xml!$I:$I,MATCH(D1061,[1]equip.xml!$A:$A,0))</f>
        <v>348000</v>
      </c>
      <c r="H1061" s="8" t="str">
        <f t="shared" si="1406"/>
        <v>10_10,50_20,80_30</v>
      </c>
      <c r="I1061" s="8">
        <v>2</v>
      </c>
      <c r="J1061" s="8">
        <f t="shared" si="1407"/>
        <v>240</v>
      </c>
      <c r="K1061" s="7" t="s">
        <v>311</v>
      </c>
      <c r="L1061" s="8">
        <v>40</v>
      </c>
      <c r="M1061" s="7">
        <f>IF(INDEX([1]equip.xml!$B:$B,MATCH(D1061,[1]equip.xml!$A:$A,0))=0,0,N1061)</f>
        <v>0</v>
      </c>
      <c r="N1061" s="8">
        <f t="shared" ref="N1061" si="1501">N973</f>
        <v>70</v>
      </c>
    </row>
    <row r="1062" spans="1:14">
      <c r="A1062" s="8">
        <v>10016</v>
      </c>
      <c r="B1062" s="8">
        <f t="shared" ref="B1062:C1062" si="1502">B974</f>
        <v>40000</v>
      </c>
      <c r="C1062" s="8" t="str">
        <f t="shared" si="1502"/>
        <v>装备</v>
      </c>
      <c r="D1062" s="7">
        <f t="shared" si="1464"/>
        <v>50550075</v>
      </c>
      <c r="E1062" s="8"/>
      <c r="F1062" s="8">
        <v>1</v>
      </c>
      <c r="G1062" s="8">
        <f>3*INDEX([1]equip.xml!$I:$I,MATCH(D1062,[1]equip.xml!$A:$A,0))</f>
        <v>330000</v>
      </c>
      <c r="H1062" s="8" t="str">
        <f t="shared" si="1406"/>
        <v>10_10,50_20,80_30</v>
      </c>
      <c r="I1062" s="8">
        <v>2</v>
      </c>
      <c r="J1062" s="8">
        <f t="shared" si="1407"/>
        <v>240</v>
      </c>
      <c r="K1062" s="7" t="s">
        <v>311</v>
      </c>
      <c r="L1062" s="8">
        <v>40</v>
      </c>
      <c r="M1062" s="7">
        <f>IF(INDEX([1]equip.xml!$B:$B,MATCH(D1062,[1]equip.xml!$A:$A,0))=0,0,N1062)</f>
        <v>70</v>
      </c>
      <c r="N1062" s="8">
        <f t="shared" ref="N1062" si="1503">N974</f>
        <v>70</v>
      </c>
    </row>
    <row r="1063" spans="1:14">
      <c r="A1063" s="8">
        <v>10016</v>
      </c>
      <c r="B1063" s="8">
        <f t="shared" ref="B1063:C1063" si="1504">B975</f>
        <v>40000</v>
      </c>
      <c r="C1063" s="8" t="str">
        <f t="shared" si="1504"/>
        <v>装备</v>
      </c>
      <c r="D1063" s="7">
        <f t="shared" si="1464"/>
        <v>50550076</v>
      </c>
      <c r="E1063" s="8"/>
      <c r="F1063" s="8">
        <v>1</v>
      </c>
      <c r="G1063" s="8">
        <f>3*INDEX([1]equip.xml!$I:$I,MATCH(D1063,[1]equip.xml!$A:$A,0))</f>
        <v>348000</v>
      </c>
      <c r="H1063" s="8" t="str">
        <f t="shared" si="1406"/>
        <v>10_10,50_20,80_30</v>
      </c>
      <c r="I1063" s="8">
        <v>2</v>
      </c>
      <c r="J1063" s="8">
        <f t="shared" si="1407"/>
        <v>240</v>
      </c>
      <c r="K1063" s="7" t="s">
        <v>311</v>
      </c>
      <c r="L1063" s="8">
        <v>40</v>
      </c>
      <c r="M1063" s="7">
        <f>IF(INDEX([1]equip.xml!$B:$B,MATCH(D1063,[1]equip.xml!$A:$A,0))=0,0,N1063)</f>
        <v>0</v>
      </c>
      <c r="N1063" s="8">
        <f t="shared" ref="N1063" si="1505">N975</f>
        <v>70</v>
      </c>
    </row>
    <row r="1064" spans="1:14">
      <c r="A1064" s="8">
        <v>10016</v>
      </c>
      <c r="B1064" s="8">
        <f t="shared" ref="B1064:C1064" si="1506">B976</f>
        <v>40000</v>
      </c>
      <c r="C1064" s="8" t="str">
        <f t="shared" si="1506"/>
        <v>装备</v>
      </c>
      <c r="D1064" s="7">
        <f t="shared" si="1464"/>
        <v>50600015</v>
      </c>
      <c r="E1064" s="8"/>
      <c r="F1064" s="8">
        <v>1</v>
      </c>
      <c r="G1064" s="8">
        <f>3*INDEX([1]equip.xml!$I:$I,MATCH(D1064,[1]equip.xml!$A:$A,0))</f>
        <v>360000</v>
      </c>
      <c r="H1064" s="8" t="str">
        <f t="shared" si="1406"/>
        <v>10_10,50_20,80_30</v>
      </c>
      <c r="I1064" s="8">
        <v>2</v>
      </c>
      <c r="J1064" s="8">
        <f t="shared" si="1407"/>
        <v>240</v>
      </c>
      <c r="K1064" s="7" t="s">
        <v>311</v>
      </c>
      <c r="L1064" s="8">
        <v>40</v>
      </c>
      <c r="M1064" s="7">
        <f>IF(INDEX([1]equip.xml!$B:$B,MATCH(D1064,[1]equip.xml!$A:$A,0))=0,0,N1064)</f>
        <v>14</v>
      </c>
      <c r="N1064" s="8">
        <f t="shared" ref="N1064" si="1507">N976</f>
        <v>14</v>
      </c>
    </row>
    <row r="1065" spans="1:14">
      <c r="A1065" s="8">
        <v>10016</v>
      </c>
      <c r="B1065" s="8">
        <f t="shared" ref="B1065:C1065" si="1508">B977</f>
        <v>40000</v>
      </c>
      <c r="C1065" s="8" t="str">
        <f t="shared" si="1508"/>
        <v>装备</v>
      </c>
      <c r="D1065" s="7">
        <f t="shared" si="1464"/>
        <v>50600025</v>
      </c>
      <c r="E1065" s="8"/>
      <c r="F1065" s="8">
        <v>1</v>
      </c>
      <c r="G1065" s="8">
        <f>3*INDEX([1]equip.xml!$I:$I,MATCH(D1065,[1]equip.xml!$A:$A,0))</f>
        <v>360000</v>
      </c>
      <c r="H1065" s="8" t="str">
        <f t="shared" si="1406"/>
        <v>10_10,50_20,80_30</v>
      </c>
      <c r="I1065" s="8">
        <v>2</v>
      </c>
      <c r="J1065" s="8">
        <f t="shared" si="1407"/>
        <v>240</v>
      </c>
      <c r="K1065" s="7" t="s">
        <v>311</v>
      </c>
      <c r="L1065" s="8">
        <v>40</v>
      </c>
      <c r="M1065" s="7">
        <f>IF(INDEX([1]equip.xml!$B:$B,MATCH(D1065,[1]equip.xml!$A:$A,0))=0,0,N1065)</f>
        <v>14</v>
      </c>
      <c r="N1065" s="8">
        <f t="shared" ref="N1065" si="1509">N977</f>
        <v>14</v>
      </c>
    </row>
    <row r="1066" spans="1:14">
      <c r="A1066" s="8">
        <v>10016</v>
      </c>
      <c r="B1066" s="8">
        <f t="shared" ref="B1066:C1066" si="1510">B978</f>
        <v>40000</v>
      </c>
      <c r="C1066" s="8" t="str">
        <f t="shared" si="1510"/>
        <v>装备</v>
      </c>
      <c r="D1066" s="7">
        <f t="shared" si="1464"/>
        <v>50600035</v>
      </c>
      <c r="E1066" s="8"/>
      <c r="F1066" s="8">
        <v>1</v>
      </c>
      <c r="G1066" s="8">
        <f>3*INDEX([1]equip.xml!$I:$I,MATCH(D1066,[1]equip.xml!$A:$A,0))</f>
        <v>360000</v>
      </c>
      <c r="H1066" s="8" t="str">
        <f t="shared" si="1406"/>
        <v>10_10,50_20,80_30</v>
      </c>
      <c r="I1066" s="8">
        <v>2</v>
      </c>
      <c r="J1066" s="8">
        <f t="shared" si="1407"/>
        <v>240</v>
      </c>
      <c r="K1066" s="7" t="s">
        <v>311</v>
      </c>
      <c r="L1066" s="8">
        <v>40</v>
      </c>
      <c r="M1066" s="7">
        <f>IF(INDEX([1]equip.xml!$B:$B,MATCH(D1066,[1]equip.xml!$A:$A,0))=0,0,N1066)</f>
        <v>14</v>
      </c>
      <c r="N1066" s="8">
        <f t="shared" ref="N1066" si="1511">N978</f>
        <v>14</v>
      </c>
    </row>
    <row r="1067" spans="1:14">
      <c r="A1067" s="8">
        <v>10016</v>
      </c>
      <c r="B1067" s="8">
        <f t="shared" ref="B1067:C1067" si="1512">B979</f>
        <v>40000</v>
      </c>
      <c r="C1067" s="8" t="str">
        <f t="shared" si="1512"/>
        <v>装备</v>
      </c>
      <c r="D1067" s="7">
        <f t="shared" si="1464"/>
        <v>50600085</v>
      </c>
      <c r="E1067" s="8"/>
      <c r="F1067" s="8">
        <v>1</v>
      </c>
      <c r="G1067" s="8">
        <f>3*INDEX([1]equip.xml!$I:$I,MATCH(D1067,[1]equip.xml!$A:$A,0))</f>
        <v>360000</v>
      </c>
      <c r="H1067" s="8" t="str">
        <f t="shared" si="1406"/>
        <v>10_10,50_20,80_30</v>
      </c>
      <c r="I1067" s="8">
        <v>2</v>
      </c>
      <c r="J1067" s="8">
        <f t="shared" si="1407"/>
        <v>240</v>
      </c>
      <c r="K1067" s="7" t="s">
        <v>311</v>
      </c>
      <c r="L1067" s="8">
        <v>40</v>
      </c>
      <c r="M1067" s="7">
        <f>IF(INDEX([1]equip.xml!$B:$B,MATCH(D1067,[1]equip.xml!$A:$A,0))=0,0,N1067)</f>
        <v>14</v>
      </c>
      <c r="N1067" s="8">
        <f t="shared" ref="N1067" si="1513">N979</f>
        <v>14</v>
      </c>
    </row>
    <row r="1068" spans="1:14">
      <c r="A1068" s="8">
        <v>10016</v>
      </c>
      <c r="B1068" s="8">
        <f t="shared" ref="B1068:C1068" si="1514">B980</f>
        <v>40000</v>
      </c>
      <c r="C1068" s="8" t="str">
        <f t="shared" si="1514"/>
        <v>装备</v>
      </c>
      <c r="D1068" s="7">
        <f t="shared" si="1464"/>
        <v>50600095</v>
      </c>
      <c r="E1068" s="8"/>
      <c r="F1068" s="8">
        <v>1</v>
      </c>
      <c r="G1068" s="8">
        <f>3*INDEX([1]equip.xml!$I:$I,MATCH(D1068,[1]equip.xml!$A:$A,0))</f>
        <v>360000</v>
      </c>
      <c r="H1068" s="8" t="str">
        <f t="shared" si="1406"/>
        <v>10_10,50_20,80_30</v>
      </c>
      <c r="I1068" s="8">
        <v>2</v>
      </c>
      <c r="J1068" s="8">
        <f t="shared" si="1407"/>
        <v>240</v>
      </c>
      <c r="K1068" s="7" t="s">
        <v>311</v>
      </c>
      <c r="L1068" s="8">
        <v>40</v>
      </c>
      <c r="M1068" s="7">
        <f>IF(INDEX([1]equip.xml!$B:$B,MATCH(D1068,[1]equip.xml!$A:$A,0))=0,0,N1068)</f>
        <v>14</v>
      </c>
      <c r="N1068" s="8">
        <f t="shared" ref="N1068" si="1515">N980</f>
        <v>14</v>
      </c>
    </row>
    <row r="1069" spans="1:14">
      <c r="A1069" s="8">
        <v>10016</v>
      </c>
      <c r="B1069" s="8">
        <f t="shared" ref="B1069:C1069" si="1516">B981</f>
        <v>40000</v>
      </c>
      <c r="C1069" s="8" t="str">
        <f t="shared" si="1516"/>
        <v>装备</v>
      </c>
      <c r="D1069" s="7">
        <f t="shared" si="1464"/>
        <v>50600105</v>
      </c>
      <c r="E1069" s="8"/>
      <c r="F1069" s="8">
        <v>1</v>
      </c>
      <c r="G1069" s="8">
        <f>3*INDEX([1]equip.xml!$I:$I,MATCH(D1069,[1]equip.xml!$A:$A,0))</f>
        <v>360000</v>
      </c>
      <c r="H1069" s="8" t="str">
        <f t="shared" si="1406"/>
        <v>10_10,50_20,80_30</v>
      </c>
      <c r="I1069" s="8">
        <v>2</v>
      </c>
      <c r="J1069" s="8">
        <f t="shared" si="1407"/>
        <v>240</v>
      </c>
      <c r="K1069" s="7" t="s">
        <v>311</v>
      </c>
      <c r="L1069" s="8">
        <v>40</v>
      </c>
      <c r="M1069" s="7">
        <f>IF(INDEX([1]equip.xml!$B:$B,MATCH(D1069,[1]equip.xml!$A:$A,0))=0,0,N1069)</f>
        <v>14</v>
      </c>
      <c r="N1069" s="8">
        <f t="shared" ref="N1069" si="1517">N981</f>
        <v>14</v>
      </c>
    </row>
    <row r="1070" spans="1:14">
      <c r="A1070" s="8">
        <v>10016</v>
      </c>
      <c r="B1070" s="8">
        <f t="shared" ref="B1070:C1070" si="1518">B982</f>
        <v>40000</v>
      </c>
      <c r="C1070" s="8" t="str">
        <f t="shared" si="1518"/>
        <v>装备</v>
      </c>
      <c r="D1070" s="7">
        <f t="shared" si="1464"/>
        <v>50601055</v>
      </c>
      <c r="E1070" s="8"/>
      <c r="F1070" s="8">
        <v>1</v>
      </c>
      <c r="G1070" s="8">
        <f>3*INDEX([1]equip.xml!$I:$I,MATCH(D1070,[1]equip.xml!$A:$A,0))</f>
        <v>360000</v>
      </c>
      <c r="H1070" s="8" t="str">
        <f t="shared" si="1406"/>
        <v>10_10,50_20,80_30</v>
      </c>
      <c r="I1070" s="8">
        <v>2</v>
      </c>
      <c r="J1070" s="8">
        <f t="shared" si="1407"/>
        <v>240</v>
      </c>
      <c r="K1070" s="7" t="s">
        <v>311</v>
      </c>
      <c r="L1070" s="8">
        <v>40</v>
      </c>
      <c r="M1070" s="7">
        <f>IF(INDEX([1]equip.xml!$B:$B,MATCH(D1070,[1]equip.xml!$A:$A,0))=0,0,N1070)</f>
        <v>14</v>
      </c>
      <c r="N1070" s="8">
        <f t="shared" ref="N1070" si="1519">N982</f>
        <v>14</v>
      </c>
    </row>
    <row r="1071" spans="1:14">
      <c r="A1071" s="8">
        <v>10016</v>
      </c>
      <c r="B1071" s="8">
        <f t="shared" ref="B1071:C1071" si="1520">B983</f>
        <v>40000</v>
      </c>
      <c r="C1071" s="8" t="str">
        <f t="shared" si="1520"/>
        <v>装备</v>
      </c>
      <c r="D1071" s="7">
        <f t="shared" si="1464"/>
        <v>50601056</v>
      </c>
      <c r="E1071" s="8"/>
      <c r="F1071" s="8">
        <v>1</v>
      </c>
      <c r="G1071" s="8">
        <f>3*INDEX([1]equip.xml!$I:$I,MATCH(D1071,[1]equip.xml!$A:$A,0))</f>
        <v>378000</v>
      </c>
      <c r="H1071" s="8" t="str">
        <f t="shared" si="1406"/>
        <v>10_10,50_20,80_30</v>
      </c>
      <c r="I1071" s="8">
        <v>2</v>
      </c>
      <c r="J1071" s="8">
        <f t="shared" si="1407"/>
        <v>240</v>
      </c>
      <c r="K1071" s="7" t="s">
        <v>311</v>
      </c>
      <c r="L1071" s="8">
        <v>40</v>
      </c>
      <c r="M1071" s="7">
        <f>IF(INDEX([1]equip.xml!$B:$B,MATCH(D1071,[1]equip.xml!$A:$A,0))=0,0,N1071)</f>
        <v>14</v>
      </c>
      <c r="N1071" s="8">
        <f t="shared" ref="N1071" si="1521">N983</f>
        <v>14</v>
      </c>
    </row>
    <row r="1072" spans="1:14">
      <c r="A1072" s="8">
        <v>10016</v>
      </c>
      <c r="B1072" s="8">
        <f t="shared" ref="B1072:C1072" si="1522">B984</f>
        <v>40000</v>
      </c>
      <c r="C1072" s="8" t="str">
        <f t="shared" si="1522"/>
        <v>装备</v>
      </c>
      <c r="D1072" s="7">
        <f t="shared" si="1464"/>
        <v>50601065</v>
      </c>
      <c r="E1072" s="8"/>
      <c r="F1072" s="8">
        <v>1</v>
      </c>
      <c r="G1072" s="8">
        <f>3*INDEX([1]equip.xml!$I:$I,MATCH(D1072,[1]equip.xml!$A:$A,0))</f>
        <v>360000</v>
      </c>
      <c r="H1072" s="8" t="str">
        <f t="shared" si="1406"/>
        <v>10_10,50_20,80_30</v>
      </c>
      <c r="I1072" s="8">
        <v>2</v>
      </c>
      <c r="J1072" s="8">
        <f t="shared" si="1407"/>
        <v>240</v>
      </c>
      <c r="K1072" s="7" t="s">
        <v>311</v>
      </c>
      <c r="L1072" s="8">
        <v>40</v>
      </c>
      <c r="M1072" s="7">
        <f>IF(INDEX([1]equip.xml!$B:$B,MATCH(D1072,[1]equip.xml!$A:$A,0))=0,0,N1072)</f>
        <v>14</v>
      </c>
      <c r="N1072" s="8">
        <f t="shared" ref="N1072" si="1523">N984</f>
        <v>14</v>
      </c>
    </row>
    <row r="1073" spans="1:14">
      <c r="A1073" s="8">
        <v>10016</v>
      </c>
      <c r="B1073" s="8">
        <f t="shared" ref="B1073:C1073" si="1524">B985</f>
        <v>40000</v>
      </c>
      <c r="C1073" s="8" t="str">
        <f t="shared" si="1524"/>
        <v>装备</v>
      </c>
      <c r="D1073" s="7">
        <f t="shared" si="1464"/>
        <v>50601066</v>
      </c>
      <c r="E1073" s="8"/>
      <c r="F1073" s="8">
        <v>1</v>
      </c>
      <c r="G1073" s="8">
        <f>3*INDEX([1]equip.xml!$I:$I,MATCH(D1073,[1]equip.xml!$A:$A,0))</f>
        <v>378000</v>
      </c>
      <c r="H1073" s="8" t="str">
        <f t="shared" si="1406"/>
        <v>10_10,50_20,80_30</v>
      </c>
      <c r="I1073" s="8">
        <v>2</v>
      </c>
      <c r="J1073" s="8">
        <f t="shared" si="1407"/>
        <v>240</v>
      </c>
      <c r="K1073" s="7" t="s">
        <v>311</v>
      </c>
      <c r="L1073" s="8">
        <v>40</v>
      </c>
      <c r="M1073" s="7">
        <f>IF(INDEX([1]equip.xml!$B:$B,MATCH(D1073,[1]equip.xml!$A:$A,0))=0,0,N1073)</f>
        <v>0</v>
      </c>
      <c r="N1073" s="8">
        <f t="shared" ref="N1073" si="1525">N985</f>
        <v>14</v>
      </c>
    </row>
    <row r="1074" spans="1:14">
      <c r="A1074" s="8">
        <v>10016</v>
      </c>
      <c r="B1074" s="8">
        <f t="shared" ref="B1074:C1074" si="1526">B986</f>
        <v>40000</v>
      </c>
      <c r="C1074" s="8" t="str">
        <f t="shared" si="1526"/>
        <v>装备</v>
      </c>
      <c r="D1074" s="7">
        <f t="shared" si="1464"/>
        <v>50602055</v>
      </c>
      <c r="E1074" s="8"/>
      <c r="F1074" s="8">
        <v>1</v>
      </c>
      <c r="G1074" s="8">
        <f>3*INDEX([1]equip.xml!$I:$I,MATCH(D1074,[1]equip.xml!$A:$A,0))</f>
        <v>360000</v>
      </c>
      <c r="H1074" s="8" t="str">
        <f t="shared" si="1406"/>
        <v>10_10,50_20,80_30</v>
      </c>
      <c r="I1074" s="8">
        <v>2</v>
      </c>
      <c r="J1074" s="8">
        <f t="shared" si="1407"/>
        <v>240</v>
      </c>
      <c r="K1074" s="7" t="s">
        <v>311</v>
      </c>
      <c r="L1074" s="8">
        <v>40</v>
      </c>
      <c r="M1074" s="7">
        <f>IF(INDEX([1]equip.xml!$B:$B,MATCH(D1074,[1]equip.xml!$A:$A,0))=0,0,N1074)</f>
        <v>14</v>
      </c>
      <c r="N1074" s="8">
        <f t="shared" ref="N1074" si="1527">N986</f>
        <v>14</v>
      </c>
    </row>
    <row r="1075" spans="1:14">
      <c r="A1075" s="8">
        <v>10016</v>
      </c>
      <c r="B1075" s="8">
        <f t="shared" ref="B1075:C1075" si="1528">B987</f>
        <v>40000</v>
      </c>
      <c r="C1075" s="8" t="str">
        <f t="shared" si="1528"/>
        <v>装备</v>
      </c>
      <c r="D1075" s="7">
        <f t="shared" si="1464"/>
        <v>50602056</v>
      </c>
      <c r="E1075" s="8"/>
      <c r="F1075" s="8">
        <v>1</v>
      </c>
      <c r="G1075" s="8">
        <f>3*INDEX([1]equip.xml!$I:$I,MATCH(D1075,[1]equip.xml!$A:$A,0))</f>
        <v>378000</v>
      </c>
      <c r="H1075" s="8" t="str">
        <f t="shared" si="1406"/>
        <v>10_10,50_20,80_30</v>
      </c>
      <c r="I1075" s="8">
        <v>2</v>
      </c>
      <c r="J1075" s="8">
        <f t="shared" si="1407"/>
        <v>240</v>
      </c>
      <c r="K1075" s="7" t="s">
        <v>311</v>
      </c>
      <c r="L1075" s="8">
        <v>40</v>
      </c>
      <c r="M1075" s="7">
        <f>IF(INDEX([1]equip.xml!$B:$B,MATCH(D1075,[1]equip.xml!$A:$A,0))=0,0,N1075)</f>
        <v>0</v>
      </c>
      <c r="N1075" s="8">
        <f t="shared" ref="N1075" si="1529">N987</f>
        <v>14</v>
      </c>
    </row>
    <row r="1076" spans="1:14">
      <c r="A1076" s="8">
        <v>10016</v>
      </c>
      <c r="B1076" s="8">
        <f t="shared" ref="B1076:C1076" si="1530">B988</f>
        <v>40000</v>
      </c>
      <c r="C1076" s="8" t="str">
        <f t="shared" si="1530"/>
        <v>装备</v>
      </c>
      <c r="D1076" s="7">
        <f t="shared" si="1464"/>
        <v>50602065</v>
      </c>
      <c r="E1076" s="8"/>
      <c r="F1076" s="8">
        <v>1</v>
      </c>
      <c r="G1076" s="8">
        <f>3*INDEX([1]equip.xml!$I:$I,MATCH(D1076,[1]equip.xml!$A:$A,0))</f>
        <v>360000</v>
      </c>
      <c r="H1076" s="8" t="str">
        <f t="shared" si="1406"/>
        <v>10_10,50_20,80_30</v>
      </c>
      <c r="I1076" s="8">
        <v>2</v>
      </c>
      <c r="J1076" s="8">
        <f t="shared" si="1407"/>
        <v>240</v>
      </c>
      <c r="K1076" s="7" t="s">
        <v>311</v>
      </c>
      <c r="L1076" s="8">
        <v>40</v>
      </c>
      <c r="M1076" s="7">
        <f>IF(INDEX([1]equip.xml!$B:$B,MATCH(D1076,[1]equip.xml!$A:$A,0))=0,0,N1076)</f>
        <v>14</v>
      </c>
      <c r="N1076" s="8">
        <f t="shared" ref="N1076" si="1531">N988</f>
        <v>14</v>
      </c>
    </row>
    <row r="1077" spans="1:14">
      <c r="A1077" s="8">
        <v>10016</v>
      </c>
      <c r="B1077" s="8">
        <f t="shared" ref="B1077:C1077" si="1532">B989</f>
        <v>40000</v>
      </c>
      <c r="C1077" s="8" t="str">
        <f t="shared" si="1532"/>
        <v>装备</v>
      </c>
      <c r="D1077" s="7">
        <f t="shared" si="1464"/>
        <v>50602066</v>
      </c>
      <c r="E1077" s="8"/>
      <c r="F1077" s="8">
        <v>1</v>
      </c>
      <c r="G1077" s="8">
        <f>3*INDEX([1]equip.xml!$I:$I,MATCH(D1077,[1]equip.xml!$A:$A,0))</f>
        <v>378000</v>
      </c>
      <c r="H1077" s="8" t="str">
        <f t="shared" si="1406"/>
        <v>10_10,50_20,80_30</v>
      </c>
      <c r="I1077" s="8">
        <v>2</v>
      </c>
      <c r="J1077" s="8">
        <f t="shared" si="1407"/>
        <v>240</v>
      </c>
      <c r="K1077" s="7" t="s">
        <v>311</v>
      </c>
      <c r="L1077" s="8">
        <v>40</v>
      </c>
      <c r="M1077" s="7">
        <f>IF(INDEX([1]equip.xml!$B:$B,MATCH(D1077,[1]equip.xml!$A:$A,0))=0,0,N1077)</f>
        <v>0</v>
      </c>
      <c r="N1077" s="8">
        <f t="shared" ref="N1077" si="1533">N989</f>
        <v>14</v>
      </c>
    </row>
    <row r="1078" spans="1:14">
      <c r="A1078" s="8">
        <v>10016</v>
      </c>
      <c r="B1078" s="8">
        <f t="shared" ref="B1078:C1078" si="1534">B990</f>
        <v>40000</v>
      </c>
      <c r="C1078" s="8" t="str">
        <f t="shared" si="1534"/>
        <v>装备</v>
      </c>
      <c r="D1078" s="7">
        <f t="shared" si="1464"/>
        <v>50603055</v>
      </c>
      <c r="E1078" s="8"/>
      <c r="F1078" s="8">
        <v>1</v>
      </c>
      <c r="G1078" s="8">
        <f>3*INDEX([1]equip.xml!$I:$I,MATCH(D1078,[1]equip.xml!$A:$A,0))</f>
        <v>360000</v>
      </c>
      <c r="H1078" s="8" t="str">
        <f t="shared" si="1406"/>
        <v>10_10,50_20,80_30</v>
      </c>
      <c r="I1078" s="8">
        <v>2</v>
      </c>
      <c r="J1078" s="8">
        <f t="shared" si="1407"/>
        <v>240</v>
      </c>
      <c r="K1078" s="7" t="s">
        <v>311</v>
      </c>
      <c r="L1078" s="8">
        <v>40</v>
      </c>
      <c r="M1078" s="7">
        <f>IF(INDEX([1]equip.xml!$B:$B,MATCH(D1078,[1]equip.xml!$A:$A,0))=0,0,N1078)</f>
        <v>14</v>
      </c>
      <c r="N1078" s="8">
        <f t="shared" ref="N1078" si="1535">N990</f>
        <v>14</v>
      </c>
    </row>
    <row r="1079" spans="1:14">
      <c r="A1079" s="8">
        <v>10016</v>
      </c>
      <c r="B1079" s="8">
        <f t="shared" ref="B1079:C1079" si="1536">B991</f>
        <v>40000</v>
      </c>
      <c r="C1079" s="8" t="str">
        <f t="shared" si="1536"/>
        <v>装备</v>
      </c>
      <c r="D1079" s="7">
        <f t="shared" si="1464"/>
        <v>50603056</v>
      </c>
      <c r="E1079" s="8"/>
      <c r="F1079" s="8">
        <v>1</v>
      </c>
      <c r="G1079" s="8">
        <f>3*INDEX([1]equip.xml!$I:$I,MATCH(D1079,[1]equip.xml!$A:$A,0))</f>
        <v>378000</v>
      </c>
      <c r="H1079" s="8" t="str">
        <f t="shared" ref="H1079:H1142" si="1537">H991</f>
        <v>10_10,50_20,80_30</v>
      </c>
      <c r="I1079" s="8">
        <v>2</v>
      </c>
      <c r="J1079" s="8">
        <f t="shared" ref="I1079:J1142" si="1538">J991</f>
        <v>240</v>
      </c>
      <c r="K1079" s="7" t="s">
        <v>311</v>
      </c>
      <c r="L1079" s="8">
        <v>40</v>
      </c>
      <c r="M1079" s="7">
        <f>IF(INDEX([1]equip.xml!$B:$B,MATCH(D1079,[1]equip.xml!$A:$A,0))=0,0,N1079)</f>
        <v>0</v>
      </c>
      <c r="N1079" s="8">
        <f t="shared" ref="N1079" si="1539">N991</f>
        <v>14</v>
      </c>
    </row>
    <row r="1080" spans="1:14">
      <c r="A1080" s="8">
        <v>10016</v>
      </c>
      <c r="B1080" s="8">
        <f t="shared" ref="B1080:C1080" si="1540">B992</f>
        <v>40000</v>
      </c>
      <c r="C1080" s="8" t="str">
        <f t="shared" si="1540"/>
        <v>装备</v>
      </c>
      <c r="D1080" s="7">
        <f t="shared" si="1464"/>
        <v>50603065</v>
      </c>
      <c r="E1080" s="8"/>
      <c r="F1080" s="8">
        <v>1</v>
      </c>
      <c r="G1080" s="8">
        <f>3*INDEX([1]equip.xml!$I:$I,MATCH(D1080,[1]equip.xml!$A:$A,0))</f>
        <v>360000</v>
      </c>
      <c r="H1080" s="8" t="str">
        <f t="shared" si="1537"/>
        <v>10_10,50_20,80_30</v>
      </c>
      <c r="I1080" s="8">
        <v>2</v>
      </c>
      <c r="J1080" s="8">
        <f t="shared" si="1538"/>
        <v>240</v>
      </c>
      <c r="K1080" s="7" t="s">
        <v>311</v>
      </c>
      <c r="L1080" s="8">
        <v>40</v>
      </c>
      <c r="M1080" s="7">
        <f>IF(INDEX([1]equip.xml!$B:$B,MATCH(D1080,[1]equip.xml!$A:$A,0))=0,0,N1080)</f>
        <v>14</v>
      </c>
      <c r="N1080" s="8">
        <f t="shared" ref="N1080" si="1541">N992</f>
        <v>14</v>
      </c>
    </row>
    <row r="1081" spans="1:14">
      <c r="A1081" s="8">
        <v>10016</v>
      </c>
      <c r="B1081" s="8">
        <f t="shared" ref="B1081:C1081" si="1542">B993</f>
        <v>40000</v>
      </c>
      <c r="C1081" s="8" t="str">
        <f t="shared" si="1542"/>
        <v>装备</v>
      </c>
      <c r="D1081" s="7">
        <f t="shared" si="1464"/>
        <v>50603066</v>
      </c>
      <c r="E1081" s="8"/>
      <c r="F1081" s="8">
        <v>1</v>
      </c>
      <c r="G1081" s="8">
        <f>3*INDEX([1]equip.xml!$I:$I,MATCH(D1081,[1]equip.xml!$A:$A,0))</f>
        <v>378000</v>
      </c>
      <c r="H1081" s="8" t="str">
        <f t="shared" si="1537"/>
        <v>10_10,50_20,80_30</v>
      </c>
      <c r="I1081" s="8">
        <v>2</v>
      </c>
      <c r="J1081" s="8">
        <f t="shared" si="1538"/>
        <v>240</v>
      </c>
      <c r="K1081" s="7" t="s">
        <v>311</v>
      </c>
      <c r="L1081" s="8">
        <v>40</v>
      </c>
      <c r="M1081" s="7">
        <f>IF(INDEX([1]equip.xml!$B:$B,MATCH(D1081,[1]equip.xml!$A:$A,0))=0,0,N1081)</f>
        <v>0</v>
      </c>
      <c r="N1081" s="8">
        <f t="shared" ref="N1081" si="1543">N993</f>
        <v>14</v>
      </c>
    </row>
    <row r="1082" spans="1:14">
      <c r="A1082" s="8">
        <v>10016</v>
      </c>
      <c r="B1082" s="8">
        <f t="shared" ref="B1082:C1082" si="1544">B994</f>
        <v>40000</v>
      </c>
      <c r="C1082" s="8" t="str">
        <f t="shared" si="1544"/>
        <v>装备</v>
      </c>
      <c r="D1082" s="7">
        <f t="shared" si="1464"/>
        <v>50600045</v>
      </c>
      <c r="E1082" s="8"/>
      <c r="F1082" s="8">
        <v>1</v>
      </c>
      <c r="G1082" s="8">
        <f>3*INDEX([1]equip.xml!$I:$I,MATCH(D1082,[1]equip.xml!$A:$A,0))</f>
        <v>360000</v>
      </c>
      <c r="H1082" s="8" t="str">
        <f t="shared" si="1537"/>
        <v>10_10,50_20,80_30</v>
      </c>
      <c r="I1082" s="8">
        <v>2</v>
      </c>
      <c r="J1082" s="8">
        <f t="shared" si="1538"/>
        <v>240</v>
      </c>
      <c r="K1082" s="7" t="s">
        <v>311</v>
      </c>
      <c r="L1082" s="8">
        <v>40</v>
      </c>
      <c r="M1082" s="7">
        <f>IF(INDEX([1]equip.xml!$B:$B,MATCH(D1082,[1]equip.xml!$A:$A,0))=0,0,N1082)</f>
        <v>14</v>
      </c>
      <c r="N1082" s="8">
        <f t="shared" ref="N1082" si="1545">N994</f>
        <v>14</v>
      </c>
    </row>
    <row r="1083" spans="1:14">
      <c r="A1083" s="8">
        <v>10016</v>
      </c>
      <c r="B1083" s="8">
        <f t="shared" ref="B1083:C1083" si="1546">B995</f>
        <v>40000</v>
      </c>
      <c r="C1083" s="8" t="str">
        <f t="shared" si="1546"/>
        <v>装备</v>
      </c>
      <c r="D1083" s="7">
        <f t="shared" si="1464"/>
        <v>50600046</v>
      </c>
      <c r="E1083" s="8"/>
      <c r="F1083" s="8">
        <v>1</v>
      </c>
      <c r="G1083" s="8">
        <f>3*INDEX([1]equip.xml!$I:$I,MATCH(D1083,[1]equip.xml!$A:$A,0))</f>
        <v>378000</v>
      </c>
      <c r="H1083" s="8" t="str">
        <f t="shared" si="1537"/>
        <v>10_10,50_20,80_30</v>
      </c>
      <c r="I1083" s="8">
        <v>2</v>
      </c>
      <c r="J1083" s="8">
        <f t="shared" si="1538"/>
        <v>240</v>
      </c>
      <c r="K1083" s="7" t="s">
        <v>311</v>
      </c>
      <c r="L1083" s="8">
        <v>40</v>
      </c>
      <c r="M1083" s="7">
        <f>IF(INDEX([1]equip.xml!$B:$B,MATCH(D1083,[1]equip.xml!$A:$A,0))=0,0,N1083)</f>
        <v>0</v>
      </c>
      <c r="N1083" s="8">
        <f t="shared" ref="N1083" si="1547">N995</f>
        <v>14</v>
      </c>
    </row>
    <row r="1084" spans="1:14">
      <c r="A1084" s="8">
        <v>10016</v>
      </c>
      <c r="B1084" s="8">
        <f t="shared" ref="B1084:C1084" si="1548">B996</f>
        <v>40000</v>
      </c>
      <c r="C1084" s="8" t="str">
        <f t="shared" si="1548"/>
        <v>装备</v>
      </c>
      <c r="D1084" s="7">
        <f t="shared" si="1464"/>
        <v>50600075</v>
      </c>
      <c r="E1084" s="8"/>
      <c r="F1084" s="8">
        <v>1</v>
      </c>
      <c r="G1084" s="8">
        <f>3*INDEX([1]equip.xml!$I:$I,MATCH(D1084,[1]equip.xml!$A:$A,0))</f>
        <v>360000</v>
      </c>
      <c r="H1084" s="8" t="str">
        <f t="shared" si="1537"/>
        <v>10_10,50_20,80_30</v>
      </c>
      <c r="I1084" s="8">
        <v>2</v>
      </c>
      <c r="J1084" s="8">
        <f t="shared" si="1538"/>
        <v>240</v>
      </c>
      <c r="K1084" s="7" t="s">
        <v>311</v>
      </c>
      <c r="L1084" s="8">
        <v>40</v>
      </c>
      <c r="M1084" s="7">
        <f>IF(INDEX([1]equip.xml!$B:$B,MATCH(D1084,[1]equip.xml!$A:$A,0))=0,0,N1084)</f>
        <v>14</v>
      </c>
      <c r="N1084" s="8">
        <f t="shared" ref="N1084" si="1549">N996</f>
        <v>14</v>
      </c>
    </row>
    <row r="1085" spans="1:14">
      <c r="A1085" s="8">
        <v>10016</v>
      </c>
      <c r="B1085" s="8">
        <f t="shared" ref="B1085:C1085" si="1550">B997</f>
        <v>40000</v>
      </c>
      <c r="C1085" s="8" t="str">
        <f t="shared" si="1550"/>
        <v>装备</v>
      </c>
      <c r="D1085" s="7">
        <f t="shared" si="1464"/>
        <v>50600076</v>
      </c>
      <c r="E1085" s="8"/>
      <c r="F1085" s="8">
        <v>1</v>
      </c>
      <c r="G1085" s="8">
        <f>3*INDEX([1]equip.xml!$I:$I,MATCH(D1085,[1]equip.xml!$A:$A,0))</f>
        <v>378000</v>
      </c>
      <c r="H1085" s="8" t="str">
        <f t="shared" si="1537"/>
        <v>10_10,50_20,80_30</v>
      </c>
      <c r="I1085" s="8">
        <v>2</v>
      </c>
      <c r="J1085" s="8">
        <f t="shared" si="1538"/>
        <v>240</v>
      </c>
      <c r="K1085" s="7" t="s">
        <v>311</v>
      </c>
      <c r="L1085" s="8">
        <v>40</v>
      </c>
      <c r="M1085" s="7">
        <f>IF(INDEX([1]equip.xml!$B:$B,MATCH(D1085,[1]equip.xml!$A:$A,0))=0,0,N1085)</f>
        <v>14</v>
      </c>
      <c r="N1085" s="8">
        <f t="shared" ref="N1085" si="1551">N997</f>
        <v>14</v>
      </c>
    </row>
    <row r="1086" spans="1:14">
      <c r="A1086" s="7">
        <v>10017</v>
      </c>
      <c r="B1086" s="7">
        <f t="shared" ref="B1086:C1086" si="1552">B998</f>
        <v>40000</v>
      </c>
      <c r="C1086" s="7" t="str">
        <f t="shared" si="1552"/>
        <v>装备</v>
      </c>
      <c r="D1086" s="7">
        <v>40600010</v>
      </c>
      <c r="E1086" s="7"/>
      <c r="F1086" s="7">
        <v>1</v>
      </c>
      <c r="G1086" s="7">
        <f>3*INDEX([1]equip.xml!$I:$I,MATCH(D1086&amp;"",[1]equip.xml!$A:$A,0))</f>
        <v>180000</v>
      </c>
      <c r="H1086" s="7" t="str">
        <f t="shared" si="1537"/>
        <v>10_10,50_20,80_30</v>
      </c>
      <c r="I1086" s="7">
        <f t="shared" si="1538"/>
        <v>6</v>
      </c>
      <c r="J1086" s="7">
        <f t="shared" si="1538"/>
        <v>50</v>
      </c>
      <c r="K1086" s="7" t="s">
        <v>313</v>
      </c>
      <c r="L1086" s="7">
        <v>42</v>
      </c>
      <c r="M1086" s="7">
        <f>IF(INDEX([1]equip.xml!$B:$B,MATCH(D1086&amp;"",[1]equip.xml!$A:$A,0))=0,0,N1086)</f>
        <v>130</v>
      </c>
      <c r="N1086" s="7">
        <f t="shared" ref="N1086" si="1553">N998</f>
        <v>130</v>
      </c>
    </row>
    <row r="1087" spans="1:14">
      <c r="A1087" s="7">
        <v>10017</v>
      </c>
      <c r="B1087" s="7">
        <f t="shared" ref="B1087:C1087" si="1554">B999</f>
        <v>40000</v>
      </c>
      <c r="C1087" s="7" t="str">
        <f t="shared" si="1554"/>
        <v>装备</v>
      </c>
      <c r="D1087" s="7">
        <v>40600020</v>
      </c>
      <c r="E1087" s="7"/>
      <c r="F1087" s="7">
        <v>1</v>
      </c>
      <c r="G1087" s="7">
        <f>3*INDEX([1]equip.xml!$I:$I,MATCH(D1087&amp;"",[1]equip.xml!$A:$A,0))</f>
        <v>180000</v>
      </c>
      <c r="H1087" s="7" t="str">
        <f t="shared" si="1537"/>
        <v>10_10,50_20,80_30</v>
      </c>
      <c r="I1087" s="7">
        <f t="shared" si="1538"/>
        <v>6</v>
      </c>
      <c r="J1087" s="7">
        <f t="shared" si="1538"/>
        <v>50</v>
      </c>
      <c r="K1087" s="7" t="s">
        <v>313</v>
      </c>
      <c r="L1087" s="7">
        <v>42</v>
      </c>
      <c r="M1087" s="7">
        <f>IF(INDEX([1]equip.xml!$B:$B,MATCH(D1087&amp;"",[1]equip.xml!$A:$A,0))=0,0,N1087)</f>
        <v>130</v>
      </c>
      <c r="N1087" s="7">
        <f t="shared" ref="N1087" si="1555">N999</f>
        <v>130</v>
      </c>
    </row>
    <row r="1088" spans="1:14">
      <c r="A1088" s="7">
        <v>10017</v>
      </c>
      <c r="B1088" s="7">
        <f t="shared" ref="B1088:C1088" si="1556">B1000</f>
        <v>40000</v>
      </c>
      <c r="C1088" s="7" t="str">
        <f t="shared" si="1556"/>
        <v>装备</v>
      </c>
      <c r="D1088" s="7">
        <v>40600030</v>
      </c>
      <c r="E1088" s="7"/>
      <c r="F1088" s="7">
        <v>1</v>
      </c>
      <c r="G1088" s="7">
        <f>3*INDEX([1]equip.xml!$I:$I,MATCH(D1088&amp;"",[1]equip.xml!$A:$A,0))</f>
        <v>180000</v>
      </c>
      <c r="H1088" s="7" t="str">
        <f t="shared" si="1537"/>
        <v>10_10,50_20,80_30</v>
      </c>
      <c r="I1088" s="7">
        <f t="shared" si="1538"/>
        <v>6</v>
      </c>
      <c r="J1088" s="7">
        <f t="shared" si="1538"/>
        <v>50</v>
      </c>
      <c r="K1088" s="7" t="s">
        <v>312</v>
      </c>
      <c r="L1088" s="7">
        <v>42</v>
      </c>
      <c r="M1088" s="7">
        <f>IF(INDEX([1]equip.xml!$B:$B,MATCH(D1088&amp;"",[1]equip.xml!$A:$A,0))=0,0,N1088)</f>
        <v>130</v>
      </c>
      <c r="N1088" s="7">
        <f t="shared" ref="N1088" si="1557">N1000</f>
        <v>130</v>
      </c>
    </row>
    <row r="1089" spans="1:14">
      <c r="A1089" s="7">
        <v>10017</v>
      </c>
      <c r="B1089" s="7">
        <f t="shared" ref="B1089:C1089" si="1558">B1001</f>
        <v>40000</v>
      </c>
      <c r="C1089" s="7" t="str">
        <f t="shared" si="1558"/>
        <v>装备</v>
      </c>
      <c r="D1089" s="7">
        <v>40600080</v>
      </c>
      <c r="E1089" s="7"/>
      <c r="F1089" s="7">
        <v>1</v>
      </c>
      <c r="G1089" s="7">
        <f>3*INDEX([1]equip.xml!$I:$I,MATCH(D1089&amp;"",[1]equip.xml!$A:$A,0))</f>
        <v>180000</v>
      </c>
      <c r="H1089" s="7" t="str">
        <f t="shared" si="1537"/>
        <v>10_10,50_20,80_30</v>
      </c>
      <c r="I1089" s="7">
        <f t="shared" si="1538"/>
        <v>6</v>
      </c>
      <c r="J1089" s="7">
        <f t="shared" si="1538"/>
        <v>50</v>
      </c>
      <c r="K1089" s="7" t="s">
        <v>312</v>
      </c>
      <c r="L1089" s="7">
        <v>42</v>
      </c>
      <c r="M1089" s="7">
        <f>IF(INDEX([1]equip.xml!$B:$B,MATCH(D1089&amp;"",[1]equip.xml!$A:$A,0))=0,0,N1089)</f>
        <v>130</v>
      </c>
      <c r="N1089" s="7">
        <f t="shared" ref="N1089" si="1559">N1001</f>
        <v>130</v>
      </c>
    </row>
    <row r="1090" spans="1:14">
      <c r="A1090" s="7">
        <v>10017</v>
      </c>
      <c r="B1090" s="7">
        <f t="shared" ref="B1090:C1090" si="1560">B1002</f>
        <v>40000</v>
      </c>
      <c r="C1090" s="7" t="str">
        <f t="shared" si="1560"/>
        <v>装备</v>
      </c>
      <c r="D1090" s="7">
        <v>40600090</v>
      </c>
      <c r="E1090" s="7"/>
      <c r="F1090" s="7">
        <v>1</v>
      </c>
      <c r="G1090" s="7">
        <f>3*INDEX([1]equip.xml!$I:$I,MATCH(D1090&amp;"",[1]equip.xml!$A:$A,0))</f>
        <v>180000</v>
      </c>
      <c r="H1090" s="7" t="str">
        <f t="shared" si="1537"/>
        <v>10_10,50_20,80_30</v>
      </c>
      <c r="I1090" s="7">
        <f t="shared" si="1538"/>
        <v>6</v>
      </c>
      <c r="J1090" s="7">
        <f t="shared" si="1538"/>
        <v>50</v>
      </c>
      <c r="K1090" s="7" t="s">
        <v>312</v>
      </c>
      <c r="L1090" s="7">
        <v>42</v>
      </c>
      <c r="M1090" s="7">
        <f>IF(INDEX([1]equip.xml!$B:$B,MATCH(D1090&amp;"",[1]equip.xml!$A:$A,0))=0,0,N1090)</f>
        <v>130</v>
      </c>
      <c r="N1090" s="7">
        <f t="shared" ref="N1090" si="1561">N1002</f>
        <v>130</v>
      </c>
    </row>
    <row r="1091" spans="1:14">
      <c r="A1091" s="7">
        <v>10017</v>
      </c>
      <c r="B1091" s="7">
        <f t="shared" ref="B1091:C1091" si="1562">B1003</f>
        <v>40000</v>
      </c>
      <c r="C1091" s="7" t="str">
        <f t="shared" si="1562"/>
        <v>装备</v>
      </c>
      <c r="D1091" s="7">
        <v>40600100</v>
      </c>
      <c r="E1091" s="7"/>
      <c r="F1091" s="7">
        <v>1</v>
      </c>
      <c r="G1091" s="7">
        <f>3*INDEX([1]equip.xml!$I:$I,MATCH(D1091&amp;"",[1]equip.xml!$A:$A,0))</f>
        <v>180000</v>
      </c>
      <c r="H1091" s="7" t="str">
        <f t="shared" si="1537"/>
        <v>10_10,50_20,80_30</v>
      </c>
      <c r="I1091" s="7">
        <f t="shared" si="1538"/>
        <v>6</v>
      </c>
      <c r="J1091" s="7">
        <f t="shared" si="1538"/>
        <v>50</v>
      </c>
      <c r="K1091" s="7" t="s">
        <v>312</v>
      </c>
      <c r="L1091" s="7">
        <v>42</v>
      </c>
      <c r="M1091" s="7">
        <f>IF(INDEX([1]equip.xml!$B:$B,MATCH(D1091&amp;"",[1]equip.xml!$A:$A,0))=0,0,N1091)</f>
        <v>130</v>
      </c>
      <c r="N1091" s="7">
        <f t="shared" ref="N1091" si="1563">N1003</f>
        <v>130</v>
      </c>
    </row>
    <row r="1092" spans="1:14">
      <c r="A1092" s="7">
        <v>10017</v>
      </c>
      <c r="B1092" s="7">
        <f t="shared" ref="B1092:C1092" si="1564">B1004</f>
        <v>40000</v>
      </c>
      <c r="C1092" s="7" t="str">
        <f t="shared" si="1564"/>
        <v>装备</v>
      </c>
      <c r="D1092" s="7">
        <v>40601050</v>
      </c>
      <c r="E1092" s="7"/>
      <c r="F1092" s="7">
        <v>1</v>
      </c>
      <c r="G1092" s="7">
        <f>3*INDEX([1]equip.xml!$I:$I,MATCH(D1092&amp;"",[1]equip.xml!$A:$A,0))</f>
        <v>180000</v>
      </c>
      <c r="H1092" s="7" t="str">
        <f t="shared" si="1537"/>
        <v>10_10,50_20,80_30</v>
      </c>
      <c r="I1092" s="7">
        <f t="shared" si="1538"/>
        <v>6</v>
      </c>
      <c r="J1092" s="7">
        <f t="shared" si="1538"/>
        <v>50</v>
      </c>
      <c r="K1092" s="7" t="s">
        <v>312</v>
      </c>
      <c r="L1092" s="7">
        <v>42</v>
      </c>
      <c r="M1092" s="7">
        <f>IF(INDEX([1]equip.xml!$B:$B,MATCH(D1092&amp;"",[1]equip.xml!$A:$A,0))=0,0,N1092)</f>
        <v>130</v>
      </c>
      <c r="N1092" s="7">
        <f t="shared" ref="N1092" si="1565">N1004</f>
        <v>130</v>
      </c>
    </row>
    <row r="1093" spans="1:14">
      <c r="A1093" s="7">
        <v>10017</v>
      </c>
      <c r="B1093" s="7">
        <f t="shared" ref="B1093:C1093" si="1566">B1005</f>
        <v>40000</v>
      </c>
      <c r="C1093" s="7" t="str">
        <f t="shared" si="1566"/>
        <v>装备</v>
      </c>
      <c r="D1093" s="7">
        <v>40601051</v>
      </c>
      <c r="E1093" s="7"/>
      <c r="F1093" s="7">
        <v>1</v>
      </c>
      <c r="G1093" s="7">
        <f>3*INDEX([1]equip.xml!$I:$I,MATCH(D1093&amp;"",[1]equip.xml!$A:$A,0))</f>
        <v>189000</v>
      </c>
      <c r="H1093" s="7" t="str">
        <f t="shared" si="1537"/>
        <v>10_10,50_20,80_30</v>
      </c>
      <c r="I1093" s="7">
        <f t="shared" si="1538"/>
        <v>6</v>
      </c>
      <c r="J1093" s="7">
        <f t="shared" si="1538"/>
        <v>50</v>
      </c>
      <c r="K1093" s="7" t="s">
        <v>312</v>
      </c>
      <c r="L1093" s="7">
        <v>42</v>
      </c>
      <c r="M1093" s="7">
        <f>IF(INDEX([1]equip.xml!$B:$B,MATCH(D1093&amp;"",[1]equip.xml!$A:$A,0))=0,0,N1093)</f>
        <v>130</v>
      </c>
      <c r="N1093" s="7">
        <f t="shared" ref="N1093" si="1567">N1005</f>
        <v>130</v>
      </c>
    </row>
    <row r="1094" spans="1:14">
      <c r="A1094" s="7">
        <v>10017</v>
      </c>
      <c r="B1094" s="7">
        <f t="shared" ref="B1094:C1094" si="1568">B1006</f>
        <v>40000</v>
      </c>
      <c r="C1094" s="7" t="str">
        <f t="shared" si="1568"/>
        <v>装备</v>
      </c>
      <c r="D1094" s="7">
        <v>40601060</v>
      </c>
      <c r="E1094" s="7"/>
      <c r="F1094" s="7">
        <v>1</v>
      </c>
      <c r="G1094" s="7">
        <f>3*INDEX([1]equip.xml!$I:$I,MATCH(D1094&amp;"",[1]equip.xml!$A:$A,0))</f>
        <v>180000</v>
      </c>
      <c r="H1094" s="7" t="str">
        <f t="shared" si="1537"/>
        <v>10_10,50_20,80_30</v>
      </c>
      <c r="I1094" s="7">
        <f t="shared" si="1538"/>
        <v>6</v>
      </c>
      <c r="J1094" s="7">
        <f t="shared" si="1538"/>
        <v>50</v>
      </c>
      <c r="K1094" s="7" t="s">
        <v>312</v>
      </c>
      <c r="L1094" s="7">
        <v>42</v>
      </c>
      <c r="M1094" s="7">
        <f>IF(INDEX([1]equip.xml!$B:$B,MATCH(D1094&amp;"",[1]equip.xml!$A:$A,0))=0,0,N1094)</f>
        <v>130</v>
      </c>
      <c r="N1094" s="7">
        <f t="shared" ref="N1094" si="1569">N1006</f>
        <v>130</v>
      </c>
    </row>
    <row r="1095" spans="1:14">
      <c r="A1095" s="7">
        <v>10017</v>
      </c>
      <c r="B1095" s="7">
        <f t="shared" ref="B1095:C1095" si="1570">B1007</f>
        <v>40000</v>
      </c>
      <c r="C1095" s="7" t="str">
        <f t="shared" si="1570"/>
        <v>装备</v>
      </c>
      <c r="D1095" s="7">
        <v>40601061</v>
      </c>
      <c r="E1095" s="7"/>
      <c r="F1095" s="7">
        <v>1</v>
      </c>
      <c r="G1095" s="7">
        <f>3*INDEX([1]equip.xml!$I:$I,MATCH(D1095&amp;"",[1]equip.xml!$A:$A,0))</f>
        <v>189000</v>
      </c>
      <c r="H1095" s="7" t="str">
        <f t="shared" si="1537"/>
        <v>10_10,50_20,80_30</v>
      </c>
      <c r="I1095" s="7">
        <f t="shared" si="1538"/>
        <v>6</v>
      </c>
      <c r="J1095" s="7">
        <f t="shared" si="1538"/>
        <v>50</v>
      </c>
      <c r="K1095" s="7" t="s">
        <v>312</v>
      </c>
      <c r="L1095" s="7">
        <v>42</v>
      </c>
      <c r="M1095" s="7">
        <f>IF(INDEX([1]equip.xml!$B:$B,MATCH(D1095&amp;"",[1]equip.xml!$A:$A,0))=0,0,N1095)</f>
        <v>0</v>
      </c>
      <c r="N1095" s="7">
        <f t="shared" ref="N1095" si="1571">N1007</f>
        <v>130</v>
      </c>
    </row>
    <row r="1096" spans="1:14">
      <c r="A1096" s="7">
        <v>10017</v>
      </c>
      <c r="B1096" s="7">
        <f t="shared" ref="B1096:C1096" si="1572">B1008</f>
        <v>40000</v>
      </c>
      <c r="C1096" s="7" t="str">
        <f t="shared" si="1572"/>
        <v>装备</v>
      </c>
      <c r="D1096" s="7">
        <v>40602050</v>
      </c>
      <c r="E1096" s="7"/>
      <c r="F1096" s="7">
        <v>1</v>
      </c>
      <c r="G1096" s="7">
        <f>3*INDEX([1]equip.xml!$I:$I,MATCH(D1096&amp;"",[1]equip.xml!$A:$A,0))</f>
        <v>180000</v>
      </c>
      <c r="H1096" s="7" t="str">
        <f t="shared" si="1537"/>
        <v>10_10,50_20,80_30</v>
      </c>
      <c r="I1096" s="7">
        <f t="shared" si="1538"/>
        <v>6</v>
      </c>
      <c r="J1096" s="7">
        <f t="shared" si="1538"/>
        <v>50</v>
      </c>
      <c r="K1096" s="7" t="s">
        <v>312</v>
      </c>
      <c r="L1096" s="7">
        <v>42</v>
      </c>
      <c r="M1096" s="7">
        <f>IF(INDEX([1]equip.xml!$B:$B,MATCH(D1096&amp;"",[1]equip.xml!$A:$A,0))=0,0,N1096)</f>
        <v>130</v>
      </c>
      <c r="N1096" s="7">
        <f t="shared" ref="N1096" si="1573">N1008</f>
        <v>130</v>
      </c>
    </row>
    <row r="1097" spans="1:14">
      <c r="A1097" s="7">
        <v>10017</v>
      </c>
      <c r="B1097" s="7">
        <f t="shared" ref="B1097:C1097" si="1574">B1009</f>
        <v>40000</v>
      </c>
      <c r="C1097" s="7" t="str">
        <f t="shared" si="1574"/>
        <v>装备</v>
      </c>
      <c r="D1097" s="7">
        <v>40602051</v>
      </c>
      <c r="E1097" s="7"/>
      <c r="F1097" s="7">
        <v>1</v>
      </c>
      <c r="G1097" s="7">
        <f>3*INDEX([1]equip.xml!$I:$I,MATCH(D1097&amp;"",[1]equip.xml!$A:$A,0))</f>
        <v>189000</v>
      </c>
      <c r="H1097" s="7" t="str">
        <f t="shared" si="1537"/>
        <v>10_10,50_20,80_30</v>
      </c>
      <c r="I1097" s="7">
        <f t="shared" si="1538"/>
        <v>6</v>
      </c>
      <c r="J1097" s="7">
        <f t="shared" si="1538"/>
        <v>50</v>
      </c>
      <c r="K1097" s="7" t="s">
        <v>312</v>
      </c>
      <c r="L1097" s="7">
        <v>42</v>
      </c>
      <c r="M1097" s="7">
        <f>IF(INDEX([1]equip.xml!$B:$B,MATCH(D1097&amp;"",[1]equip.xml!$A:$A,0))=0,0,N1097)</f>
        <v>0</v>
      </c>
      <c r="N1097" s="7">
        <f t="shared" ref="N1097" si="1575">N1009</f>
        <v>130</v>
      </c>
    </row>
    <row r="1098" spans="1:14">
      <c r="A1098" s="7">
        <v>10017</v>
      </c>
      <c r="B1098" s="7">
        <f t="shared" ref="B1098:C1098" si="1576">B1010</f>
        <v>40000</v>
      </c>
      <c r="C1098" s="7" t="str">
        <f t="shared" si="1576"/>
        <v>装备</v>
      </c>
      <c r="D1098" s="7">
        <v>40602060</v>
      </c>
      <c r="E1098" s="7"/>
      <c r="F1098" s="7">
        <v>1</v>
      </c>
      <c r="G1098" s="7">
        <f>3*INDEX([1]equip.xml!$I:$I,MATCH(D1098&amp;"",[1]equip.xml!$A:$A,0))</f>
        <v>180000</v>
      </c>
      <c r="H1098" s="7" t="str">
        <f t="shared" si="1537"/>
        <v>10_10,50_20,80_30</v>
      </c>
      <c r="I1098" s="7">
        <f t="shared" si="1538"/>
        <v>6</v>
      </c>
      <c r="J1098" s="7">
        <f t="shared" si="1538"/>
        <v>50</v>
      </c>
      <c r="K1098" s="7" t="s">
        <v>312</v>
      </c>
      <c r="L1098" s="7">
        <v>42</v>
      </c>
      <c r="M1098" s="7">
        <f>IF(INDEX([1]equip.xml!$B:$B,MATCH(D1098&amp;"",[1]equip.xml!$A:$A,0))=0,0,N1098)</f>
        <v>130</v>
      </c>
      <c r="N1098" s="7">
        <f t="shared" ref="N1098" si="1577">N1010</f>
        <v>130</v>
      </c>
    </row>
    <row r="1099" spans="1:14">
      <c r="A1099" s="7">
        <v>10017</v>
      </c>
      <c r="B1099" s="7">
        <f t="shared" ref="B1099:C1099" si="1578">B1011</f>
        <v>40000</v>
      </c>
      <c r="C1099" s="7" t="str">
        <f t="shared" si="1578"/>
        <v>装备</v>
      </c>
      <c r="D1099" s="7">
        <v>40602061</v>
      </c>
      <c r="E1099" s="7"/>
      <c r="F1099" s="7">
        <v>1</v>
      </c>
      <c r="G1099" s="7">
        <f>3*INDEX([1]equip.xml!$I:$I,MATCH(D1099&amp;"",[1]equip.xml!$A:$A,0))</f>
        <v>189000</v>
      </c>
      <c r="H1099" s="7" t="str">
        <f t="shared" si="1537"/>
        <v>10_10,50_20,80_30</v>
      </c>
      <c r="I1099" s="7">
        <f t="shared" si="1538"/>
        <v>6</v>
      </c>
      <c r="J1099" s="7">
        <f t="shared" si="1538"/>
        <v>50</v>
      </c>
      <c r="K1099" s="7" t="s">
        <v>312</v>
      </c>
      <c r="L1099" s="7">
        <v>42</v>
      </c>
      <c r="M1099" s="7">
        <f>IF(INDEX([1]equip.xml!$B:$B,MATCH(D1099&amp;"",[1]equip.xml!$A:$A,0))=0,0,N1099)</f>
        <v>0</v>
      </c>
      <c r="N1099" s="7">
        <f t="shared" ref="N1099" si="1579">N1011</f>
        <v>130</v>
      </c>
    </row>
    <row r="1100" spans="1:14">
      <c r="A1100" s="7">
        <v>10017</v>
      </c>
      <c r="B1100" s="7">
        <f t="shared" ref="B1100:C1100" si="1580">B1012</f>
        <v>40000</v>
      </c>
      <c r="C1100" s="7" t="str">
        <f t="shared" si="1580"/>
        <v>装备</v>
      </c>
      <c r="D1100" s="7">
        <v>40603050</v>
      </c>
      <c r="E1100" s="7"/>
      <c r="F1100" s="7">
        <v>1</v>
      </c>
      <c r="G1100" s="7">
        <f>3*INDEX([1]equip.xml!$I:$I,MATCH(D1100&amp;"",[1]equip.xml!$A:$A,0))</f>
        <v>180000</v>
      </c>
      <c r="H1100" s="7" t="str">
        <f t="shared" si="1537"/>
        <v>10_10,50_20,80_30</v>
      </c>
      <c r="I1100" s="7">
        <f t="shared" si="1538"/>
        <v>6</v>
      </c>
      <c r="J1100" s="7">
        <f t="shared" si="1538"/>
        <v>50</v>
      </c>
      <c r="K1100" s="7" t="s">
        <v>312</v>
      </c>
      <c r="L1100" s="7">
        <v>42</v>
      </c>
      <c r="M1100" s="7">
        <f>IF(INDEX([1]equip.xml!$B:$B,MATCH(D1100&amp;"",[1]equip.xml!$A:$A,0))=0,0,N1100)</f>
        <v>130</v>
      </c>
      <c r="N1100" s="7">
        <f t="shared" ref="N1100" si="1581">N1012</f>
        <v>130</v>
      </c>
    </row>
    <row r="1101" spans="1:14">
      <c r="A1101" s="7">
        <v>10017</v>
      </c>
      <c r="B1101" s="7">
        <f t="shared" ref="B1101:C1101" si="1582">B1013</f>
        <v>40000</v>
      </c>
      <c r="C1101" s="7" t="str">
        <f t="shared" si="1582"/>
        <v>装备</v>
      </c>
      <c r="D1101" s="7">
        <v>40603051</v>
      </c>
      <c r="E1101" s="7"/>
      <c r="F1101" s="7">
        <v>1</v>
      </c>
      <c r="G1101" s="7">
        <f>3*INDEX([1]equip.xml!$I:$I,MATCH(D1101&amp;"",[1]equip.xml!$A:$A,0))</f>
        <v>189000</v>
      </c>
      <c r="H1101" s="7" t="str">
        <f t="shared" si="1537"/>
        <v>10_10,50_20,80_30</v>
      </c>
      <c r="I1101" s="7">
        <f t="shared" si="1538"/>
        <v>6</v>
      </c>
      <c r="J1101" s="7">
        <f t="shared" si="1538"/>
        <v>50</v>
      </c>
      <c r="K1101" s="7" t="s">
        <v>312</v>
      </c>
      <c r="L1101" s="7">
        <v>42</v>
      </c>
      <c r="M1101" s="7">
        <f>IF(INDEX([1]equip.xml!$B:$B,MATCH(D1101&amp;"",[1]equip.xml!$A:$A,0))=0,0,N1101)</f>
        <v>0</v>
      </c>
      <c r="N1101" s="7">
        <f t="shared" ref="N1101" si="1583">N1013</f>
        <v>130</v>
      </c>
    </row>
    <row r="1102" spans="1:14">
      <c r="A1102" s="7">
        <v>10017</v>
      </c>
      <c r="B1102" s="7">
        <f t="shared" ref="B1102:C1102" si="1584">B1014</f>
        <v>40000</v>
      </c>
      <c r="C1102" s="7" t="str">
        <f t="shared" si="1584"/>
        <v>装备</v>
      </c>
      <c r="D1102" s="7">
        <v>40603060</v>
      </c>
      <c r="E1102" s="7"/>
      <c r="F1102" s="7">
        <v>1</v>
      </c>
      <c r="G1102" s="7">
        <f>3*INDEX([1]equip.xml!$I:$I,MATCH(D1102&amp;"",[1]equip.xml!$A:$A,0))</f>
        <v>180000</v>
      </c>
      <c r="H1102" s="7" t="str">
        <f t="shared" si="1537"/>
        <v>10_10,50_20,80_30</v>
      </c>
      <c r="I1102" s="7">
        <f t="shared" si="1538"/>
        <v>6</v>
      </c>
      <c r="J1102" s="7">
        <f t="shared" si="1538"/>
        <v>50</v>
      </c>
      <c r="K1102" s="7" t="s">
        <v>312</v>
      </c>
      <c r="L1102" s="7">
        <v>42</v>
      </c>
      <c r="M1102" s="7">
        <f>IF(INDEX([1]equip.xml!$B:$B,MATCH(D1102&amp;"",[1]equip.xml!$A:$A,0))=0,0,N1102)</f>
        <v>130</v>
      </c>
      <c r="N1102" s="7">
        <f t="shared" ref="N1102" si="1585">N1014</f>
        <v>130</v>
      </c>
    </row>
    <row r="1103" spans="1:14">
      <c r="A1103" s="7">
        <v>10017</v>
      </c>
      <c r="B1103" s="7">
        <f t="shared" ref="B1103:C1103" si="1586">B1015</f>
        <v>40000</v>
      </c>
      <c r="C1103" s="7" t="str">
        <f t="shared" si="1586"/>
        <v>装备</v>
      </c>
      <c r="D1103" s="7">
        <v>40603061</v>
      </c>
      <c r="E1103" s="7"/>
      <c r="F1103" s="7">
        <v>1</v>
      </c>
      <c r="G1103" s="7">
        <f>3*INDEX([1]equip.xml!$I:$I,MATCH(D1103&amp;"",[1]equip.xml!$A:$A,0))</f>
        <v>189000</v>
      </c>
      <c r="H1103" s="7" t="str">
        <f t="shared" si="1537"/>
        <v>10_10,50_20,80_30</v>
      </c>
      <c r="I1103" s="7">
        <f t="shared" si="1538"/>
        <v>6</v>
      </c>
      <c r="J1103" s="7">
        <f t="shared" si="1538"/>
        <v>50</v>
      </c>
      <c r="K1103" s="7" t="s">
        <v>312</v>
      </c>
      <c r="L1103" s="7">
        <v>42</v>
      </c>
      <c r="M1103" s="7">
        <f>IF(INDEX([1]equip.xml!$B:$B,MATCH(D1103&amp;"",[1]equip.xml!$A:$A,0))=0,0,N1103)</f>
        <v>0</v>
      </c>
      <c r="N1103" s="7">
        <f t="shared" ref="N1103" si="1587">N1015</f>
        <v>130</v>
      </c>
    </row>
    <row r="1104" spans="1:14">
      <c r="A1104" s="7">
        <v>10017</v>
      </c>
      <c r="B1104" s="7">
        <f t="shared" ref="B1104:C1104" si="1588">B1016</f>
        <v>40000</v>
      </c>
      <c r="C1104" s="7" t="str">
        <f t="shared" si="1588"/>
        <v>装备</v>
      </c>
      <c r="D1104" s="7">
        <v>40600040</v>
      </c>
      <c r="E1104" s="7"/>
      <c r="F1104" s="7">
        <v>1</v>
      </c>
      <c r="G1104" s="7">
        <f>3*INDEX([1]equip.xml!$I:$I,MATCH(D1104&amp;"",[1]equip.xml!$A:$A,0))</f>
        <v>180000</v>
      </c>
      <c r="H1104" s="7" t="str">
        <f t="shared" si="1537"/>
        <v>10_10,50_20,80_30</v>
      </c>
      <c r="I1104" s="7">
        <f t="shared" si="1538"/>
        <v>6</v>
      </c>
      <c r="J1104" s="7">
        <f t="shared" si="1538"/>
        <v>50</v>
      </c>
      <c r="K1104" s="7" t="s">
        <v>312</v>
      </c>
      <c r="L1104" s="7">
        <v>42</v>
      </c>
      <c r="M1104" s="7">
        <f>IF(INDEX([1]equip.xml!$B:$B,MATCH(D1104&amp;"",[1]equip.xml!$A:$A,0))=0,0,N1104)</f>
        <v>130</v>
      </c>
      <c r="N1104" s="7">
        <f t="shared" ref="N1104" si="1589">N1016</f>
        <v>130</v>
      </c>
    </row>
    <row r="1105" spans="1:14">
      <c r="A1105" s="7">
        <v>10017</v>
      </c>
      <c r="B1105" s="7">
        <f t="shared" ref="B1105:C1105" si="1590">B1017</f>
        <v>40000</v>
      </c>
      <c r="C1105" s="7" t="str">
        <f t="shared" si="1590"/>
        <v>装备</v>
      </c>
      <c r="D1105" s="7">
        <v>40600041</v>
      </c>
      <c r="E1105" s="7"/>
      <c r="F1105" s="7">
        <v>1</v>
      </c>
      <c r="G1105" s="7">
        <f>3*INDEX([1]equip.xml!$I:$I,MATCH(D1105&amp;"",[1]equip.xml!$A:$A,0))</f>
        <v>189000</v>
      </c>
      <c r="H1105" s="7" t="str">
        <f t="shared" si="1537"/>
        <v>10_10,50_20,80_30</v>
      </c>
      <c r="I1105" s="7">
        <f t="shared" si="1538"/>
        <v>6</v>
      </c>
      <c r="J1105" s="7">
        <f t="shared" si="1538"/>
        <v>50</v>
      </c>
      <c r="K1105" s="7" t="s">
        <v>312</v>
      </c>
      <c r="L1105" s="7">
        <v>42</v>
      </c>
      <c r="M1105" s="7">
        <f>IF(INDEX([1]equip.xml!$B:$B,MATCH(D1105&amp;"",[1]equip.xml!$A:$A,0))=0,0,N1105)</f>
        <v>0</v>
      </c>
      <c r="N1105" s="7">
        <f t="shared" ref="N1105" si="1591">N1017</f>
        <v>130</v>
      </c>
    </row>
    <row r="1106" spans="1:14">
      <c r="A1106" s="7">
        <v>10017</v>
      </c>
      <c r="B1106" s="7">
        <f t="shared" ref="B1106:C1106" si="1592">B1018</f>
        <v>40000</v>
      </c>
      <c r="C1106" s="7" t="str">
        <f t="shared" si="1592"/>
        <v>装备</v>
      </c>
      <c r="D1106" s="7">
        <v>40600070</v>
      </c>
      <c r="E1106" s="7"/>
      <c r="F1106" s="7">
        <v>1</v>
      </c>
      <c r="G1106" s="7">
        <f>3*INDEX([1]equip.xml!$I:$I,MATCH(D1106&amp;"",[1]equip.xml!$A:$A,0))</f>
        <v>180000</v>
      </c>
      <c r="H1106" s="7" t="str">
        <f t="shared" si="1537"/>
        <v>10_10,50_20,80_30</v>
      </c>
      <c r="I1106" s="7">
        <f t="shared" si="1538"/>
        <v>6</v>
      </c>
      <c r="J1106" s="7">
        <f t="shared" si="1538"/>
        <v>50</v>
      </c>
      <c r="K1106" s="7" t="s">
        <v>312</v>
      </c>
      <c r="L1106" s="7">
        <v>42</v>
      </c>
      <c r="M1106" s="7">
        <f>IF(INDEX([1]equip.xml!$B:$B,MATCH(D1106&amp;"",[1]equip.xml!$A:$A,0))=0,0,N1106)</f>
        <v>130</v>
      </c>
      <c r="N1106" s="7">
        <f t="shared" ref="N1106" si="1593">N1018</f>
        <v>130</v>
      </c>
    </row>
    <row r="1107" spans="1:14">
      <c r="A1107" s="7">
        <v>10017</v>
      </c>
      <c r="B1107" s="7">
        <f t="shared" ref="B1107:C1107" si="1594">B1019</f>
        <v>40000</v>
      </c>
      <c r="C1107" s="7" t="str">
        <f t="shared" si="1594"/>
        <v>装备</v>
      </c>
      <c r="D1107" s="7">
        <v>40600071</v>
      </c>
      <c r="E1107" s="7"/>
      <c r="F1107" s="7">
        <v>1</v>
      </c>
      <c r="G1107" s="7">
        <f>3*INDEX([1]equip.xml!$I:$I,MATCH(D1107&amp;"",[1]equip.xml!$A:$A,0))</f>
        <v>189000</v>
      </c>
      <c r="H1107" s="7" t="str">
        <f t="shared" si="1537"/>
        <v>10_10,50_20,80_30</v>
      </c>
      <c r="I1107" s="7">
        <f t="shared" si="1538"/>
        <v>6</v>
      </c>
      <c r="J1107" s="7">
        <f t="shared" si="1538"/>
        <v>50</v>
      </c>
      <c r="K1107" s="7" t="s">
        <v>312</v>
      </c>
      <c r="L1107" s="7">
        <v>42</v>
      </c>
      <c r="M1107" s="7">
        <f>IF(INDEX([1]equip.xml!$B:$B,MATCH(D1107&amp;"",[1]equip.xml!$A:$A,0))=0,0,N1107)</f>
        <v>130</v>
      </c>
      <c r="N1107" s="7">
        <f t="shared" ref="N1107" si="1595">N1019</f>
        <v>130</v>
      </c>
    </row>
    <row r="1108" spans="1:14">
      <c r="A1108" s="7">
        <v>10017</v>
      </c>
      <c r="B1108" s="7">
        <f t="shared" ref="B1108:C1108" si="1596">B1020</f>
        <v>40000</v>
      </c>
      <c r="C1108" s="7" t="str">
        <f t="shared" si="1596"/>
        <v>装备</v>
      </c>
      <c r="D1108" s="7">
        <v>40650010</v>
      </c>
      <c r="E1108" s="7"/>
      <c r="F1108" s="7">
        <v>1</v>
      </c>
      <c r="G1108" s="7">
        <f>3*INDEX([1]equip.xml!$I:$I,MATCH(D1108&amp;"",[1]equip.xml!$A:$A,0))</f>
        <v>195000</v>
      </c>
      <c r="H1108" s="7" t="str">
        <f t="shared" si="1537"/>
        <v>10_10,50_20,80_30</v>
      </c>
      <c r="I1108" s="7">
        <f t="shared" si="1538"/>
        <v>6</v>
      </c>
      <c r="J1108" s="7">
        <f t="shared" si="1538"/>
        <v>50</v>
      </c>
      <c r="K1108" s="7" t="s">
        <v>312</v>
      </c>
      <c r="L1108" s="7">
        <v>42</v>
      </c>
      <c r="M1108" s="7">
        <f>IF(INDEX([1]equip.xml!$B:$B,MATCH(D1108&amp;"",[1]equip.xml!$A:$A,0))=0,0,N1108)</f>
        <v>32</v>
      </c>
      <c r="N1108" s="7">
        <f t="shared" ref="N1108" si="1597">N1020</f>
        <v>32</v>
      </c>
    </row>
    <row r="1109" spans="1:14">
      <c r="A1109" s="7">
        <v>10017</v>
      </c>
      <c r="B1109" s="7">
        <f t="shared" ref="B1109:C1109" si="1598">B1021</f>
        <v>40000</v>
      </c>
      <c r="C1109" s="7" t="str">
        <f t="shared" si="1598"/>
        <v>装备</v>
      </c>
      <c r="D1109" s="7">
        <v>40650020</v>
      </c>
      <c r="E1109" s="7"/>
      <c r="F1109" s="7">
        <v>1</v>
      </c>
      <c r="G1109" s="7">
        <f>3*INDEX([1]equip.xml!$I:$I,MATCH(D1109&amp;"",[1]equip.xml!$A:$A,0))</f>
        <v>195000</v>
      </c>
      <c r="H1109" s="7" t="str">
        <f t="shared" si="1537"/>
        <v>10_10,50_20,80_30</v>
      </c>
      <c r="I1109" s="7">
        <f t="shared" si="1538"/>
        <v>6</v>
      </c>
      <c r="J1109" s="7">
        <f t="shared" si="1538"/>
        <v>50</v>
      </c>
      <c r="K1109" s="7" t="s">
        <v>312</v>
      </c>
      <c r="L1109" s="7">
        <v>42</v>
      </c>
      <c r="M1109" s="7">
        <f>IF(INDEX([1]equip.xml!$B:$B,MATCH(D1109&amp;"",[1]equip.xml!$A:$A,0))=0,0,N1109)</f>
        <v>32</v>
      </c>
      <c r="N1109" s="7">
        <f t="shared" ref="N1109" si="1599">N1021</f>
        <v>32</v>
      </c>
    </row>
    <row r="1110" spans="1:14">
      <c r="A1110" s="7">
        <v>10017</v>
      </c>
      <c r="B1110" s="7">
        <f t="shared" ref="B1110:C1110" si="1600">B1022</f>
        <v>40000</v>
      </c>
      <c r="C1110" s="7" t="str">
        <f t="shared" si="1600"/>
        <v>装备</v>
      </c>
      <c r="D1110" s="7">
        <v>40650030</v>
      </c>
      <c r="E1110" s="7"/>
      <c r="F1110" s="7">
        <v>1</v>
      </c>
      <c r="G1110" s="7">
        <f>3*INDEX([1]equip.xml!$I:$I,MATCH(D1110&amp;"",[1]equip.xml!$A:$A,0))</f>
        <v>195000</v>
      </c>
      <c r="H1110" s="7" t="str">
        <f t="shared" si="1537"/>
        <v>10_10,50_20,80_30</v>
      </c>
      <c r="I1110" s="7">
        <f t="shared" si="1538"/>
        <v>6</v>
      </c>
      <c r="J1110" s="7">
        <f t="shared" si="1538"/>
        <v>50</v>
      </c>
      <c r="K1110" s="7" t="s">
        <v>312</v>
      </c>
      <c r="L1110" s="7">
        <v>42</v>
      </c>
      <c r="M1110" s="7">
        <f>IF(INDEX([1]equip.xml!$B:$B,MATCH(D1110&amp;"",[1]equip.xml!$A:$A,0))=0,0,N1110)</f>
        <v>32</v>
      </c>
      <c r="N1110" s="7">
        <f t="shared" ref="N1110" si="1601">N1022</f>
        <v>32</v>
      </c>
    </row>
    <row r="1111" spans="1:14">
      <c r="A1111" s="7">
        <v>10017</v>
      </c>
      <c r="B1111" s="7">
        <f t="shared" ref="B1111:C1111" si="1602">B1023</f>
        <v>40000</v>
      </c>
      <c r="C1111" s="7" t="str">
        <f t="shared" si="1602"/>
        <v>装备</v>
      </c>
      <c r="D1111" s="7">
        <v>40650080</v>
      </c>
      <c r="E1111" s="7"/>
      <c r="F1111" s="7">
        <v>1</v>
      </c>
      <c r="G1111" s="7">
        <f>3*INDEX([1]equip.xml!$I:$I,MATCH(D1111&amp;"",[1]equip.xml!$A:$A,0))</f>
        <v>195000</v>
      </c>
      <c r="H1111" s="7" t="str">
        <f t="shared" si="1537"/>
        <v>10_10,50_20,80_30</v>
      </c>
      <c r="I1111" s="7">
        <f t="shared" si="1538"/>
        <v>6</v>
      </c>
      <c r="J1111" s="7">
        <f t="shared" si="1538"/>
        <v>50</v>
      </c>
      <c r="K1111" s="7" t="s">
        <v>312</v>
      </c>
      <c r="L1111" s="7">
        <v>42</v>
      </c>
      <c r="M1111" s="7">
        <f>IF(INDEX([1]equip.xml!$B:$B,MATCH(D1111&amp;"",[1]equip.xml!$A:$A,0))=0,0,N1111)</f>
        <v>32</v>
      </c>
      <c r="N1111" s="7">
        <f t="shared" ref="N1111" si="1603">N1023</f>
        <v>32</v>
      </c>
    </row>
    <row r="1112" spans="1:14">
      <c r="A1112" s="7">
        <v>10017</v>
      </c>
      <c r="B1112" s="7">
        <f t="shared" ref="B1112:C1112" si="1604">B1024</f>
        <v>40000</v>
      </c>
      <c r="C1112" s="7" t="str">
        <f t="shared" si="1604"/>
        <v>装备</v>
      </c>
      <c r="D1112" s="7">
        <v>40650090</v>
      </c>
      <c r="E1112" s="7"/>
      <c r="F1112" s="7">
        <v>1</v>
      </c>
      <c r="G1112" s="7">
        <f>3*INDEX([1]equip.xml!$I:$I,MATCH(D1112&amp;"",[1]equip.xml!$A:$A,0))</f>
        <v>195000</v>
      </c>
      <c r="H1112" s="7" t="str">
        <f t="shared" si="1537"/>
        <v>10_10,50_20,80_30</v>
      </c>
      <c r="I1112" s="7">
        <f t="shared" si="1538"/>
        <v>6</v>
      </c>
      <c r="J1112" s="7">
        <f t="shared" si="1538"/>
        <v>50</v>
      </c>
      <c r="K1112" s="7" t="s">
        <v>312</v>
      </c>
      <c r="L1112" s="7">
        <v>42</v>
      </c>
      <c r="M1112" s="7">
        <f>IF(INDEX([1]equip.xml!$B:$B,MATCH(D1112&amp;"",[1]equip.xml!$A:$A,0))=0,0,N1112)</f>
        <v>32</v>
      </c>
      <c r="N1112" s="7">
        <f t="shared" ref="N1112" si="1605">N1024</f>
        <v>32</v>
      </c>
    </row>
    <row r="1113" spans="1:14">
      <c r="A1113" s="7">
        <v>10017</v>
      </c>
      <c r="B1113" s="7">
        <f t="shared" ref="B1113:C1113" si="1606">B1025</f>
        <v>40000</v>
      </c>
      <c r="C1113" s="7" t="str">
        <f t="shared" si="1606"/>
        <v>装备</v>
      </c>
      <c r="D1113" s="7">
        <v>40650100</v>
      </c>
      <c r="E1113" s="7"/>
      <c r="F1113" s="7">
        <v>1</v>
      </c>
      <c r="G1113" s="7">
        <f>3*INDEX([1]equip.xml!$I:$I,MATCH(D1113&amp;"",[1]equip.xml!$A:$A,0))</f>
        <v>195000</v>
      </c>
      <c r="H1113" s="7" t="str">
        <f t="shared" si="1537"/>
        <v>10_10,50_20,80_30</v>
      </c>
      <c r="I1113" s="7">
        <f t="shared" si="1538"/>
        <v>6</v>
      </c>
      <c r="J1113" s="7">
        <f t="shared" si="1538"/>
        <v>50</v>
      </c>
      <c r="K1113" s="7" t="s">
        <v>312</v>
      </c>
      <c r="L1113" s="7">
        <v>42</v>
      </c>
      <c r="M1113" s="7">
        <f>IF(INDEX([1]equip.xml!$B:$B,MATCH(D1113&amp;"",[1]equip.xml!$A:$A,0))=0,0,N1113)</f>
        <v>32</v>
      </c>
      <c r="N1113" s="7">
        <f t="shared" ref="N1113" si="1607">N1025</f>
        <v>32</v>
      </c>
    </row>
    <row r="1114" spans="1:14">
      <c r="A1114" s="7">
        <v>10017</v>
      </c>
      <c r="B1114" s="7">
        <f t="shared" ref="B1114:C1114" si="1608">B1026</f>
        <v>40000</v>
      </c>
      <c r="C1114" s="7" t="str">
        <f t="shared" si="1608"/>
        <v>装备</v>
      </c>
      <c r="D1114" s="7">
        <v>40651050</v>
      </c>
      <c r="E1114" s="7"/>
      <c r="F1114" s="7">
        <v>1</v>
      </c>
      <c r="G1114" s="7">
        <f>3*INDEX([1]equip.xml!$I:$I,MATCH(D1114&amp;"",[1]equip.xml!$A:$A,0))</f>
        <v>195000</v>
      </c>
      <c r="H1114" s="7" t="str">
        <f t="shared" si="1537"/>
        <v>10_10,50_20,80_30</v>
      </c>
      <c r="I1114" s="7">
        <f t="shared" si="1538"/>
        <v>6</v>
      </c>
      <c r="J1114" s="7">
        <f t="shared" si="1538"/>
        <v>50</v>
      </c>
      <c r="K1114" s="7" t="s">
        <v>312</v>
      </c>
      <c r="L1114" s="7">
        <v>42</v>
      </c>
      <c r="M1114" s="7">
        <f>IF(INDEX([1]equip.xml!$B:$B,MATCH(D1114&amp;"",[1]equip.xml!$A:$A,0))=0,0,N1114)</f>
        <v>32</v>
      </c>
      <c r="N1114" s="7">
        <f t="shared" ref="N1114" si="1609">N1026</f>
        <v>32</v>
      </c>
    </row>
    <row r="1115" spans="1:14">
      <c r="A1115" s="7">
        <v>10017</v>
      </c>
      <c r="B1115" s="7">
        <f t="shared" ref="B1115:C1115" si="1610">B1027</f>
        <v>40000</v>
      </c>
      <c r="C1115" s="7" t="str">
        <f t="shared" si="1610"/>
        <v>装备</v>
      </c>
      <c r="D1115" s="7">
        <v>40651051</v>
      </c>
      <c r="E1115" s="7"/>
      <c r="F1115" s="7">
        <v>1</v>
      </c>
      <c r="G1115" s="7">
        <f>3*INDEX([1]equip.xml!$I:$I,MATCH(D1115&amp;"",[1]equip.xml!$A:$A,0))</f>
        <v>204000</v>
      </c>
      <c r="H1115" s="7" t="str">
        <f t="shared" si="1537"/>
        <v>10_10,50_20,80_30</v>
      </c>
      <c r="I1115" s="7">
        <f t="shared" si="1538"/>
        <v>6</v>
      </c>
      <c r="J1115" s="7">
        <f t="shared" si="1538"/>
        <v>50</v>
      </c>
      <c r="K1115" s="7" t="s">
        <v>312</v>
      </c>
      <c r="L1115" s="7">
        <v>42</v>
      </c>
      <c r="M1115" s="7">
        <f>IF(INDEX([1]equip.xml!$B:$B,MATCH(D1115&amp;"",[1]equip.xml!$A:$A,0))=0,0,N1115)</f>
        <v>0</v>
      </c>
      <c r="N1115" s="7">
        <f t="shared" ref="N1115" si="1611">N1027</f>
        <v>32</v>
      </c>
    </row>
    <row r="1116" spans="1:14">
      <c r="A1116" s="7">
        <v>10017</v>
      </c>
      <c r="B1116" s="7">
        <f t="shared" ref="B1116:C1116" si="1612">B1028</f>
        <v>40000</v>
      </c>
      <c r="C1116" s="7" t="str">
        <f t="shared" si="1612"/>
        <v>装备</v>
      </c>
      <c r="D1116" s="7">
        <v>40651060</v>
      </c>
      <c r="E1116" s="7"/>
      <c r="F1116" s="7">
        <v>1</v>
      </c>
      <c r="G1116" s="7">
        <f>3*INDEX([1]equip.xml!$I:$I,MATCH(D1116&amp;"",[1]equip.xml!$A:$A,0))</f>
        <v>195000</v>
      </c>
      <c r="H1116" s="7" t="str">
        <f t="shared" si="1537"/>
        <v>10_10,50_20,80_30</v>
      </c>
      <c r="I1116" s="7">
        <f t="shared" si="1538"/>
        <v>6</v>
      </c>
      <c r="J1116" s="7">
        <f t="shared" si="1538"/>
        <v>50</v>
      </c>
      <c r="K1116" s="7" t="s">
        <v>312</v>
      </c>
      <c r="L1116" s="7">
        <v>42</v>
      </c>
      <c r="M1116" s="7">
        <f>IF(INDEX([1]equip.xml!$B:$B,MATCH(D1116&amp;"",[1]equip.xml!$A:$A,0))=0,0,N1116)</f>
        <v>32</v>
      </c>
      <c r="N1116" s="7">
        <f t="shared" ref="N1116" si="1613">N1028</f>
        <v>32</v>
      </c>
    </row>
    <row r="1117" spans="1:14">
      <c r="A1117" s="7">
        <v>10017</v>
      </c>
      <c r="B1117" s="7">
        <f t="shared" ref="B1117:C1117" si="1614">B1029</f>
        <v>40000</v>
      </c>
      <c r="C1117" s="7" t="str">
        <f t="shared" si="1614"/>
        <v>装备</v>
      </c>
      <c r="D1117" s="7">
        <v>40651061</v>
      </c>
      <c r="E1117" s="7"/>
      <c r="F1117" s="7">
        <v>1</v>
      </c>
      <c r="G1117" s="7">
        <f>3*INDEX([1]equip.xml!$I:$I,MATCH(D1117&amp;"",[1]equip.xml!$A:$A,0))</f>
        <v>204000</v>
      </c>
      <c r="H1117" s="7" t="str">
        <f t="shared" si="1537"/>
        <v>10_10,50_20,80_30</v>
      </c>
      <c r="I1117" s="7">
        <f t="shared" si="1538"/>
        <v>6</v>
      </c>
      <c r="J1117" s="7">
        <f t="shared" si="1538"/>
        <v>50</v>
      </c>
      <c r="K1117" s="7" t="s">
        <v>312</v>
      </c>
      <c r="L1117" s="7">
        <v>42</v>
      </c>
      <c r="M1117" s="7">
        <f>IF(INDEX([1]equip.xml!$B:$B,MATCH(D1117&amp;"",[1]equip.xml!$A:$A,0))=0,0,N1117)</f>
        <v>0</v>
      </c>
      <c r="N1117" s="7">
        <f t="shared" ref="N1117" si="1615">N1029</f>
        <v>32</v>
      </c>
    </row>
    <row r="1118" spans="1:14">
      <c r="A1118" s="7">
        <v>10017</v>
      </c>
      <c r="B1118" s="7">
        <f t="shared" ref="B1118:C1118" si="1616">B1030</f>
        <v>40000</v>
      </c>
      <c r="C1118" s="7" t="str">
        <f t="shared" si="1616"/>
        <v>装备</v>
      </c>
      <c r="D1118" s="7">
        <v>40652050</v>
      </c>
      <c r="E1118" s="7"/>
      <c r="F1118" s="7">
        <v>1</v>
      </c>
      <c r="G1118" s="7">
        <f>3*INDEX([1]equip.xml!$I:$I,MATCH(D1118&amp;"",[1]equip.xml!$A:$A,0))</f>
        <v>195000</v>
      </c>
      <c r="H1118" s="7" t="str">
        <f t="shared" si="1537"/>
        <v>10_10,50_20,80_30</v>
      </c>
      <c r="I1118" s="7">
        <f t="shared" si="1538"/>
        <v>6</v>
      </c>
      <c r="J1118" s="7">
        <f t="shared" si="1538"/>
        <v>50</v>
      </c>
      <c r="K1118" s="7" t="s">
        <v>312</v>
      </c>
      <c r="L1118" s="7">
        <v>42</v>
      </c>
      <c r="M1118" s="7">
        <f>IF(INDEX([1]equip.xml!$B:$B,MATCH(D1118&amp;"",[1]equip.xml!$A:$A,0))=0,0,N1118)</f>
        <v>32</v>
      </c>
      <c r="N1118" s="7">
        <f t="shared" ref="N1118" si="1617">N1030</f>
        <v>32</v>
      </c>
    </row>
    <row r="1119" spans="1:14">
      <c r="A1119" s="7">
        <v>10017</v>
      </c>
      <c r="B1119" s="7">
        <f t="shared" ref="B1119:C1119" si="1618">B1031</f>
        <v>40000</v>
      </c>
      <c r="C1119" s="7" t="str">
        <f t="shared" si="1618"/>
        <v>装备</v>
      </c>
      <c r="D1119" s="7">
        <v>40652051</v>
      </c>
      <c r="E1119" s="7"/>
      <c r="F1119" s="7">
        <v>1</v>
      </c>
      <c r="G1119" s="7">
        <f>3*INDEX([1]equip.xml!$I:$I,MATCH(D1119&amp;"",[1]equip.xml!$A:$A,0))</f>
        <v>204000</v>
      </c>
      <c r="H1119" s="7" t="str">
        <f t="shared" si="1537"/>
        <v>10_10,50_20,80_30</v>
      </c>
      <c r="I1119" s="7">
        <f t="shared" si="1538"/>
        <v>6</v>
      </c>
      <c r="J1119" s="7">
        <f t="shared" si="1538"/>
        <v>50</v>
      </c>
      <c r="K1119" s="7" t="s">
        <v>312</v>
      </c>
      <c r="L1119" s="7">
        <v>42</v>
      </c>
      <c r="M1119" s="7">
        <f>IF(INDEX([1]equip.xml!$B:$B,MATCH(D1119&amp;"",[1]equip.xml!$A:$A,0))=0,0,N1119)</f>
        <v>0</v>
      </c>
      <c r="N1119" s="7">
        <f t="shared" ref="N1119" si="1619">N1031</f>
        <v>32</v>
      </c>
    </row>
    <row r="1120" spans="1:14">
      <c r="A1120" s="7">
        <v>10017</v>
      </c>
      <c r="B1120" s="7">
        <f t="shared" ref="B1120:C1120" si="1620">B1032</f>
        <v>40000</v>
      </c>
      <c r="C1120" s="7" t="str">
        <f t="shared" si="1620"/>
        <v>装备</v>
      </c>
      <c r="D1120" s="7">
        <v>40652060</v>
      </c>
      <c r="E1120" s="7"/>
      <c r="F1120" s="7">
        <v>1</v>
      </c>
      <c r="G1120" s="7">
        <f>3*INDEX([1]equip.xml!$I:$I,MATCH(D1120&amp;"",[1]equip.xml!$A:$A,0))</f>
        <v>195000</v>
      </c>
      <c r="H1120" s="7" t="str">
        <f t="shared" si="1537"/>
        <v>10_10,50_20,80_30</v>
      </c>
      <c r="I1120" s="7">
        <f t="shared" si="1538"/>
        <v>6</v>
      </c>
      <c r="J1120" s="7">
        <f t="shared" si="1538"/>
        <v>50</v>
      </c>
      <c r="K1120" s="7" t="s">
        <v>312</v>
      </c>
      <c r="L1120" s="7">
        <v>42</v>
      </c>
      <c r="M1120" s="7">
        <f>IF(INDEX([1]equip.xml!$B:$B,MATCH(D1120&amp;"",[1]equip.xml!$A:$A,0))=0,0,N1120)</f>
        <v>32</v>
      </c>
      <c r="N1120" s="7">
        <f t="shared" ref="N1120" si="1621">N1032</f>
        <v>32</v>
      </c>
    </row>
    <row r="1121" spans="1:14">
      <c r="A1121" s="7">
        <v>10017</v>
      </c>
      <c r="B1121" s="7">
        <f t="shared" ref="B1121:C1121" si="1622">B1033</f>
        <v>40000</v>
      </c>
      <c r="C1121" s="7" t="str">
        <f t="shared" si="1622"/>
        <v>装备</v>
      </c>
      <c r="D1121" s="7">
        <v>40652061</v>
      </c>
      <c r="E1121" s="7"/>
      <c r="F1121" s="7">
        <v>1</v>
      </c>
      <c r="G1121" s="7">
        <f>3*INDEX([1]equip.xml!$I:$I,MATCH(D1121&amp;"",[1]equip.xml!$A:$A,0))</f>
        <v>204000</v>
      </c>
      <c r="H1121" s="7" t="str">
        <f t="shared" si="1537"/>
        <v>10_10,50_20,80_30</v>
      </c>
      <c r="I1121" s="7">
        <f t="shared" si="1538"/>
        <v>6</v>
      </c>
      <c r="J1121" s="7">
        <f t="shared" si="1538"/>
        <v>50</v>
      </c>
      <c r="K1121" s="7" t="s">
        <v>312</v>
      </c>
      <c r="L1121" s="7">
        <v>42</v>
      </c>
      <c r="M1121" s="7">
        <f>IF(INDEX([1]equip.xml!$B:$B,MATCH(D1121&amp;"",[1]equip.xml!$A:$A,0))=0,0,N1121)</f>
        <v>0</v>
      </c>
      <c r="N1121" s="7">
        <f t="shared" ref="N1121" si="1623">N1033</f>
        <v>32</v>
      </c>
    </row>
    <row r="1122" spans="1:14">
      <c r="A1122" s="7">
        <v>10017</v>
      </c>
      <c r="B1122" s="7">
        <f t="shared" ref="B1122:C1122" si="1624">B1034</f>
        <v>40000</v>
      </c>
      <c r="C1122" s="7" t="str">
        <f t="shared" si="1624"/>
        <v>装备</v>
      </c>
      <c r="D1122" s="7">
        <v>40653050</v>
      </c>
      <c r="E1122" s="7"/>
      <c r="F1122" s="7">
        <v>1</v>
      </c>
      <c r="G1122" s="7">
        <f>3*INDEX([1]equip.xml!$I:$I,MATCH(D1122&amp;"",[1]equip.xml!$A:$A,0))</f>
        <v>195000</v>
      </c>
      <c r="H1122" s="7" t="str">
        <f t="shared" si="1537"/>
        <v>10_10,50_20,80_30</v>
      </c>
      <c r="I1122" s="7">
        <f t="shared" si="1538"/>
        <v>6</v>
      </c>
      <c r="J1122" s="7">
        <f t="shared" si="1538"/>
        <v>50</v>
      </c>
      <c r="K1122" s="7" t="s">
        <v>312</v>
      </c>
      <c r="L1122" s="7">
        <v>42</v>
      </c>
      <c r="M1122" s="7">
        <f>IF(INDEX([1]equip.xml!$B:$B,MATCH(D1122&amp;"",[1]equip.xml!$A:$A,0))=0,0,N1122)</f>
        <v>32</v>
      </c>
      <c r="N1122" s="7">
        <f t="shared" ref="N1122" si="1625">N1034</f>
        <v>32</v>
      </c>
    </row>
    <row r="1123" spans="1:14">
      <c r="A1123" s="7">
        <v>10017</v>
      </c>
      <c r="B1123" s="7">
        <f t="shared" ref="B1123:C1123" si="1626">B1035</f>
        <v>40000</v>
      </c>
      <c r="C1123" s="7" t="str">
        <f t="shared" si="1626"/>
        <v>装备</v>
      </c>
      <c r="D1123" s="7">
        <v>40653051</v>
      </c>
      <c r="E1123" s="7"/>
      <c r="F1123" s="7">
        <v>1</v>
      </c>
      <c r="G1123" s="7">
        <f>3*INDEX([1]equip.xml!$I:$I,MATCH(D1123&amp;"",[1]equip.xml!$A:$A,0))</f>
        <v>204000</v>
      </c>
      <c r="H1123" s="7" t="str">
        <f t="shared" si="1537"/>
        <v>10_10,50_20,80_30</v>
      </c>
      <c r="I1123" s="7">
        <f t="shared" si="1538"/>
        <v>6</v>
      </c>
      <c r="J1123" s="7">
        <f t="shared" si="1538"/>
        <v>50</v>
      </c>
      <c r="K1123" s="7" t="s">
        <v>312</v>
      </c>
      <c r="L1123" s="7">
        <v>42</v>
      </c>
      <c r="M1123" s="7">
        <f>IF(INDEX([1]equip.xml!$B:$B,MATCH(D1123&amp;"",[1]equip.xml!$A:$A,0))=0,0,N1123)</f>
        <v>0</v>
      </c>
      <c r="N1123" s="7">
        <f t="shared" ref="N1123" si="1627">N1035</f>
        <v>32</v>
      </c>
    </row>
    <row r="1124" spans="1:14">
      <c r="A1124" s="7">
        <v>10017</v>
      </c>
      <c r="B1124" s="7">
        <f t="shared" ref="B1124:C1124" si="1628">B1036</f>
        <v>40000</v>
      </c>
      <c r="C1124" s="7" t="str">
        <f t="shared" si="1628"/>
        <v>装备</v>
      </c>
      <c r="D1124" s="7">
        <v>40653060</v>
      </c>
      <c r="E1124" s="7"/>
      <c r="F1124" s="7">
        <v>1</v>
      </c>
      <c r="G1124" s="7">
        <f>3*INDEX([1]equip.xml!$I:$I,MATCH(D1124&amp;"",[1]equip.xml!$A:$A,0))</f>
        <v>195000</v>
      </c>
      <c r="H1124" s="7" t="str">
        <f t="shared" si="1537"/>
        <v>10_10,50_20,80_30</v>
      </c>
      <c r="I1124" s="7">
        <f t="shared" si="1538"/>
        <v>6</v>
      </c>
      <c r="J1124" s="7">
        <f t="shared" si="1538"/>
        <v>50</v>
      </c>
      <c r="K1124" s="7" t="s">
        <v>312</v>
      </c>
      <c r="L1124" s="7">
        <v>42</v>
      </c>
      <c r="M1124" s="7">
        <f>IF(INDEX([1]equip.xml!$B:$B,MATCH(D1124&amp;"",[1]equip.xml!$A:$A,0))=0,0,N1124)</f>
        <v>32</v>
      </c>
      <c r="N1124" s="7">
        <f t="shared" ref="N1124" si="1629">N1036</f>
        <v>32</v>
      </c>
    </row>
    <row r="1125" spans="1:14">
      <c r="A1125" s="7">
        <v>10017</v>
      </c>
      <c r="B1125" s="7">
        <f t="shared" ref="B1125:C1125" si="1630">B1037</f>
        <v>40000</v>
      </c>
      <c r="C1125" s="7" t="str">
        <f t="shared" si="1630"/>
        <v>装备</v>
      </c>
      <c r="D1125" s="7">
        <v>40653061</v>
      </c>
      <c r="E1125" s="7"/>
      <c r="F1125" s="7">
        <v>1</v>
      </c>
      <c r="G1125" s="7">
        <f>3*INDEX([1]equip.xml!$I:$I,MATCH(D1125&amp;"",[1]equip.xml!$A:$A,0))</f>
        <v>204000</v>
      </c>
      <c r="H1125" s="7" t="str">
        <f t="shared" si="1537"/>
        <v>10_10,50_20,80_30</v>
      </c>
      <c r="I1125" s="7">
        <f t="shared" si="1538"/>
        <v>6</v>
      </c>
      <c r="J1125" s="7">
        <f t="shared" si="1538"/>
        <v>50</v>
      </c>
      <c r="K1125" s="7" t="s">
        <v>312</v>
      </c>
      <c r="L1125" s="7">
        <v>42</v>
      </c>
      <c r="M1125" s="7">
        <f>IF(INDEX([1]equip.xml!$B:$B,MATCH(D1125&amp;"",[1]equip.xml!$A:$A,0))=0,0,N1125)</f>
        <v>0</v>
      </c>
      <c r="N1125" s="7">
        <f t="shared" ref="N1125" si="1631">N1037</f>
        <v>32</v>
      </c>
    </row>
    <row r="1126" spans="1:14">
      <c r="A1126" s="7">
        <v>10017</v>
      </c>
      <c r="B1126" s="7">
        <f t="shared" ref="B1126:C1126" si="1632">B1038</f>
        <v>40000</v>
      </c>
      <c r="C1126" s="7" t="str">
        <f t="shared" si="1632"/>
        <v>装备</v>
      </c>
      <c r="D1126" s="7">
        <v>40650040</v>
      </c>
      <c r="E1126" s="7"/>
      <c r="F1126" s="7">
        <v>1</v>
      </c>
      <c r="G1126" s="7">
        <f>3*INDEX([1]equip.xml!$I:$I,MATCH(D1126&amp;"",[1]equip.xml!$A:$A,0))</f>
        <v>195000</v>
      </c>
      <c r="H1126" s="7" t="str">
        <f t="shared" si="1537"/>
        <v>10_10,50_20,80_30</v>
      </c>
      <c r="I1126" s="7">
        <f t="shared" si="1538"/>
        <v>6</v>
      </c>
      <c r="J1126" s="7">
        <f t="shared" si="1538"/>
        <v>50</v>
      </c>
      <c r="K1126" s="7" t="s">
        <v>312</v>
      </c>
      <c r="L1126" s="7">
        <v>42</v>
      </c>
      <c r="M1126" s="7">
        <f>IF(INDEX([1]equip.xml!$B:$B,MATCH(D1126&amp;"",[1]equip.xml!$A:$A,0))=0,0,N1126)</f>
        <v>32</v>
      </c>
      <c r="N1126" s="7">
        <f t="shared" ref="N1126" si="1633">N1038</f>
        <v>32</v>
      </c>
    </row>
    <row r="1127" spans="1:14">
      <c r="A1127" s="7">
        <v>10017</v>
      </c>
      <c r="B1127" s="7">
        <f t="shared" ref="B1127:C1127" si="1634">B1039</f>
        <v>40000</v>
      </c>
      <c r="C1127" s="7" t="str">
        <f t="shared" si="1634"/>
        <v>装备</v>
      </c>
      <c r="D1127" s="7">
        <v>40650041</v>
      </c>
      <c r="E1127" s="7"/>
      <c r="F1127" s="7">
        <v>1</v>
      </c>
      <c r="G1127" s="7">
        <f>3*INDEX([1]equip.xml!$I:$I,MATCH(D1127&amp;"",[1]equip.xml!$A:$A,0))</f>
        <v>204000</v>
      </c>
      <c r="H1127" s="7" t="str">
        <f t="shared" si="1537"/>
        <v>10_10,50_20,80_30</v>
      </c>
      <c r="I1127" s="7">
        <f t="shared" si="1538"/>
        <v>6</v>
      </c>
      <c r="J1127" s="7">
        <f t="shared" si="1538"/>
        <v>50</v>
      </c>
      <c r="K1127" s="7" t="s">
        <v>312</v>
      </c>
      <c r="L1127" s="7">
        <v>42</v>
      </c>
      <c r="M1127" s="7">
        <f>IF(INDEX([1]equip.xml!$B:$B,MATCH(D1127&amp;"",[1]equip.xml!$A:$A,0))=0,0,N1127)</f>
        <v>0</v>
      </c>
      <c r="N1127" s="7">
        <f t="shared" ref="N1127" si="1635">N1039</f>
        <v>32</v>
      </c>
    </row>
    <row r="1128" spans="1:14">
      <c r="A1128" s="7">
        <v>10017</v>
      </c>
      <c r="B1128" s="7">
        <f t="shared" ref="B1128:C1128" si="1636">B1040</f>
        <v>40000</v>
      </c>
      <c r="C1128" s="7" t="str">
        <f t="shared" si="1636"/>
        <v>装备</v>
      </c>
      <c r="D1128" s="7">
        <v>40650070</v>
      </c>
      <c r="E1128" s="7"/>
      <c r="F1128" s="7">
        <v>1</v>
      </c>
      <c r="G1128" s="7">
        <f>3*INDEX([1]equip.xml!$I:$I,MATCH(D1128&amp;"",[1]equip.xml!$A:$A,0))</f>
        <v>195000</v>
      </c>
      <c r="H1128" s="7" t="str">
        <f t="shared" si="1537"/>
        <v>10_10,50_20,80_30</v>
      </c>
      <c r="I1128" s="7">
        <f t="shared" si="1538"/>
        <v>6</v>
      </c>
      <c r="J1128" s="7">
        <f t="shared" si="1538"/>
        <v>50</v>
      </c>
      <c r="K1128" s="7" t="s">
        <v>312</v>
      </c>
      <c r="L1128" s="7">
        <v>42</v>
      </c>
      <c r="M1128" s="7">
        <f>IF(INDEX([1]equip.xml!$B:$B,MATCH(D1128&amp;"",[1]equip.xml!$A:$A,0))=0,0,N1128)</f>
        <v>32</v>
      </c>
      <c r="N1128" s="7">
        <f t="shared" ref="N1128" si="1637">N1040</f>
        <v>32</v>
      </c>
    </row>
    <row r="1129" spans="1:14">
      <c r="A1129" s="7">
        <v>10017</v>
      </c>
      <c r="B1129" s="7">
        <f t="shared" ref="B1129:C1129" si="1638">B1041</f>
        <v>40000</v>
      </c>
      <c r="C1129" s="7" t="str">
        <f t="shared" si="1638"/>
        <v>装备</v>
      </c>
      <c r="D1129" s="7">
        <v>40650071</v>
      </c>
      <c r="E1129" s="7"/>
      <c r="F1129" s="7">
        <v>1</v>
      </c>
      <c r="G1129" s="7">
        <f>3*INDEX([1]equip.xml!$I:$I,MATCH(D1129&amp;"",[1]equip.xml!$A:$A,0))</f>
        <v>204000</v>
      </c>
      <c r="H1129" s="7" t="str">
        <f t="shared" si="1537"/>
        <v>10_10,50_20,80_30</v>
      </c>
      <c r="I1129" s="7">
        <f t="shared" si="1538"/>
        <v>6</v>
      </c>
      <c r="J1129" s="7">
        <f t="shared" si="1538"/>
        <v>50</v>
      </c>
      <c r="K1129" s="7" t="s">
        <v>312</v>
      </c>
      <c r="L1129" s="7">
        <v>42</v>
      </c>
      <c r="M1129" s="7">
        <f>IF(INDEX([1]equip.xml!$B:$B,MATCH(D1129&amp;"",[1]equip.xml!$A:$A,0))=0,0,N1129)</f>
        <v>0</v>
      </c>
      <c r="N1129" s="7">
        <f t="shared" ref="N1129" si="1639">N1041</f>
        <v>32</v>
      </c>
    </row>
    <row r="1130" spans="1:14">
      <c r="A1130" s="7">
        <v>10017</v>
      </c>
      <c r="B1130" s="7">
        <f t="shared" ref="B1130:C1130" si="1640">B1042</f>
        <v>40000</v>
      </c>
      <c r="C1130" s="7" t="str">
        <f t="shared" si="1640"/>
        <v>装备</v>
      </c>
      <c r="D1130" s="7">
        <f>D1086+10000005</f>
        <v>50600015</v>
      </c>
      <c r="E1130" s="7"/>
      <c r="F1130" s="7">
        <v>1</v>
      </c>
      <c r="G1130" s="8">
        <f>3*INDEX([1]equip.xml!$I:$I,MATCH(D1130,[1]equip.xml!$A:$A,0))</f>
        <v>360000</v>
      </c>
      <c r="H1130" s="7" t="str">
        <f t="shared" si="1537"/>
        <v>10_10,50_20,80_30</v>
      </c>
      <c r="I1130" s="7">
        <v>1</v>
      </c>
      <c r="J1130" s="7">
        <f t="shared" si="1538"/>
        <v>240</v>
      </c>
      <c r="K1130" s="7" t="s">
        <v>312</v>
      </c>
      <c r="L1130" s="7">
        <v>42</v>
      </c>
      <c r="M1130" s="7">
        <f>IF(INDEX([1]equip.xml!$B:$B,MATCH(D1130,[1]equip.xml!$A:$A,0))=0,0,N1130)</f>
        <v>70</v>
      </c>
      <c r="N1130" s="7">
        <f t="shared" ref="N1130" si="1641">N1042</f>
        <v>70</v>
      </c>
    </row>
    <row r="1131" spans="1:14">
      <c r="A1131" s="7">
        <v>10017</v>
      </c>
      <c r="B1131" s="7">
        <f t="shared" ref="B1131:C1131" si="1642">B1043</f>
        <v>40000</v>
      </c>
      <c r="C1131" s="7" t="str">
        <f t="shared" si="1642"/>
        <v>装备</v>
      </c>
      <c r="D1131" s="7">
        <f t="shared" ref="D1131:D1173" si="1643">D1087+10000005</f>
        <v>50600025</v>
      </c>
      <c r="E1131" s="7"/>
      <c r="F1131" s="7">
        <v>1</v>
      </c>
      <c r="G1131" s="8">
        <f>3*INDEX([1]equip.xml!$I:$I,MATCH(D1131,[1]equip.xml!$A:$A,0))</f>
        <v>360000</v>
      </c>
      <c r="H1131" s="7" t="str">
        <f t="shared" si="1537"/>
        <v>10_10,50_20,80_30</v>
      </c>
      <c r="I1131" s="7">
        <v>1</v>
      </c>
      <c r="J1131" s="7">
        <f t="shared" si="1538"/>
        <v>240</v>
      </c>
      <c r="K1131" s="7" t="s">
        <v>312</v>
      </c>
      <c r="L1131" s="7">
        <v>42</v>
      </c>
      <c r="M1131" s="7">
        <f>IF(INDEX([1]equip.xml!$B:$B,MATCH(D1131,[1]equip.xml!$A:$A,0))=0,0,N1131)</f>
        <v>70</v>
      </c>
      <c r="N1131" s="7">
        <f t="shared" ref="N1131" si="1644">N1043</f>
        <v>70</v>
      </c>
    </row>
    <row r="1132" spans="1:14">
      <c r="A1132" s="7">
        <v>10017</v>
      </c>
      <c r="B1132" s="7">
        <f t="shared" ref="B1132:C1132" si="1645">B1044</f>
        <v>40000</v>
      </c>
      <c r="C1132" s="7" t="str">
        <f t="shared" si="1645"/>
        <v>装备</v>
      </c>
      <c r="D1132" s="7">
        <f t="shared" si="1643"/>
        <v>50600035</v>
      </c>
      <c r="E1132" s="7"/>
      <c r="F1132" s="7">
        <v>1</v>
      </c>
      <c r="G1132" s="8">
        <f>3*INDEX([1]equip.xml!$I:$I,MATCH(D1132,[1]equip.xml!$A:$A,0))</f>
        <v>360000</v>
      </c>
      <c r="H1132" s="7" t="str">
        <f t="shared" si="1537"/>
        <v>10_10,50_20,80_30</v>
      </c>
      <c r="I1132" s="7">
        <v>1</v>
      </c>
      <c r="J1132" s="7">
        <f t="shared" si="1538"/>
        <v>240</v>
      </c>
      <c r="K1132" s="7" t="s">
        <v>312</v>
      </c>
      <c r="L1132" s="7">
        <v>42</v>
      </c>
      <c r="M1132" s="7">
        <f>IF(INDEX([1]equip.xml!$B:$B,MATCH(D1132,[1]equip.xml!$A:$A,0))=0,0,N1132)</f>
        <v>70</v>
      </c>
      <c r="N1132" s="7">
        <f t="shared" ref="N1132" si="1646">N1044</f>
        <v>70</v>
      </c>
    </row>
    <row r="1133" spans="1:14">
      <c r="A1133" s="7">
        <v>10017</v>
      </c>
      <c r="B1133" s="7">
        <f t="shared" ref="B1133:C1133" si="1647">B1045</f>
        <v>40000</v>
      </c>
      <c r="C1133" s="7" t="str">
        <f t="shared" si="1647"/>
        <v>装备</v>
      </c>
      <c r="D1133" s="7">
        <f t="shared" si="1643"/>
        <v>50600085</v>
      </c>
      <c r="E1133" s="7"/>
      <c r="F1133" s="7">
        <v>1</v>
      </c>
      <c r="G1133" s="8">
        <f>3*INDEX([1]equip.xml!$I:$I,MATCH(D1133,[1]equip.xml!$A:$A,0))</f>
        <v>360000</v>
      </c>
      <c r="H1133" s="7" t="str">
        <f t="shared" si="1537"/>
        <v>10_10,50_20,80_30</v>
      </c>
      <c r="I1133" s="7">
        <v>1</v>
      </c>
      <c r="J1133" s="7">
        <f t="shared" si="1538"/>
        <v>240</v>
      </c>
      <c r="K1133" s="7" t="s">
        <v>312</v>
      </c>
      <c r="L1133" s="7">
        <v>42</v>
      </c>
      <c r="M1133" s="7">
        <f>IF(INDEX([1]equip.xml!$B:$B,MATCH(D1133,[1]equip.xml!$A:$A,0))=0,0,N1133)</f>
        <v>70</v>
      </c>
      <c r="N1133" s="7">
        <f t="shared" ref="N1133" si="1648">N1045</f>
        <v>70</v>
      </c>
    </row>
    <row r="1134" spans="1:14">
      <c r="A1134" s="7">
        <v>10017</v>
      </c>
      <c r="B1134" s="7">
        <f t="shared" ref="B1134:C1134" si="1649">B1046</f>
        <v>40000</v>
      </c>
      <c r="C1134" s="7" t="str">
        <f t="shared" si="1649"/>
        <v>装备</v>
      </c>
      <c r="D1134" s="7">
        <f t="shared" si="1643"/>
        <v>50600095</v>
      </c>
      <c r="E1134" s="7"/>
      <c r="F1134" s="7">
        <v>1</v>
      </c>
      <c r="G1134" s="8">
        <f>3*INDEX([1]equip.xml!$I:$I,MATCH(D1134,[1]equip.xml!$A:$A,0))</f>
        <v>360000</v>
      </c>
      <c r="H1134" s="7" t="str">
        <f t="shared" si="1537"/>
        <v>10_10,50_20,80_30</v>
      </c>
      <c r="I1134" s="7">
        <v>1</v>
      </c>
      <c r="J1134" s="7">
        <f t="shared" si="1538"/>
        <v>240</v>
      </c>
      <c r="K1134" s="7" t="s">
        <v>312</v>
      </c>
      <c r="L1134" s="7">
        <v>42</v>
      </c>
      <c r="M1134" s="7">
        <f>IF(INDEX([1]equip.xml!$B:$B,MATCH(D1134,[1]equip.xml!$A:$A,0))=0,0,N1134)</f>
        <v>70</v>
      </c>
      <c r="N1134" s="7">
        <f t="shared" ref="N1134" si="1650">N1046</f>
        <v>70</v>
      </c>
    </row>
    <row r="1135" spans="1:14">
      <c r="A1135" s="7">
        <v>10017</v>
      </c>
      <c r="B1135" s="7">
        <f t="shared" ref="B1135:C1135" si="1651">B1047</f>
        <v>40000</v>
      </c>
      <c r="C1135" s="7" t="str">
        <f t="shared" si="1651"/>
        <v>装备</v>
      </c>
      <c r="D1135" s="7">
        <f t="shared" si="1643"/>
        <v>50600105</v>
      </c>
      <c r="E1135" s="7"/>
      <c r="F1135" s="7">
        <v>1</v>
      </c>
      <c r="G1135" s="8">
        <f>3*INDEX([1]equip.xml!$I:$I,MATCH(D1135,[1]equip.xml!$A:$A,0))</f>
        <v>360000</v>
      </c>
      <c r="H1135" s="7" t="str">
        <f t="shared" si="1537"/>
        <v>10_10,50_20,80_30</v>
      </c>
      <c r="I1135" s="7">
        <v>1</v>
      </c>
      <c r="J1135" s="7">
        <f t="shared" si="1538"/>
        <v>240</v>
      </c>
      <c r="K1135" s="7" t="s">
        <v>312</v>
      </c>
      <c r="L1135" s="7">
        <v>42</v>
      </c>
      <c r="M1135" s="7">
        <f>IF(INDEX([1]equip.xml!$B:$B,MATCH(D1135,[1]equip.xml!$A:$A,0))=0,0,N1135)</f>
        <v>70</v>
      </c>
      <c r="N1135" s="7">
        <f t="shared" ref="N1135" si="1652">N1047</f>
        <v>70</v>
      </c>
    </row>
    <row r="1136" spans="1:14">
      <c r="A1136" s="7">
        <v>10017</v>
      </c>
      <c r="B1136" s="7">
        <f t="shared" ref="B1136:C1136" si="1653">B1048</f>
        <v>40000</v>
      </c>
      <c r="C1136" s="7" t="str">
        <f t="shared" si="1653"/>
        <v>装备</v>
      </c>
      <c r="D1136" s="7">
        <f t="shared" si="1643"/>
        <v>50601055</v>
      </c>
      <c r="E1136" s="7"/>
      <c r="F1136" s="7">
        <v>1</v>
      </c>
      <c r="G1136" s="8">
        <f>3*INDEX([1]equip.xml!$I:$I,MATCH(D1136,[1]equip.xml!$A:$A,0))</f>
        <v>360000</v>
      </c>
      <c r="H1136" s="7" t="str">
        <f t="shared" si="1537"/>
        <v>10_10,50_20,80_30</v>
      </c>
      <c r="I1136" s="7">
        <v>1</v>
      </c>
      <c r="J1136" s="7">
        <f t="shared" si="1538"/>
        <v>240</v>
      </c>
      <c r="K1136" s="7" t="s">
        <v>312</v>
      </c>
      <c r="L1136" s="7">
        <v>42</v>
      </c>
      <c r="M1136" s="7">
        <f>IF(INDEX([1]equip.xml!$B:$B,MATCH(D1136,[1]equip.xml!$A:$A,0))=0,0,N1136)</f>
        <v>70</v>
      </c>
      <c r="N1136" s="7">
        <f t="shared" ref="N1136" si="1654">N1048</f>
        <v>70</v>
      </c>
    </row>
    <row r="1137" spans="1:14">
      <c r="A1137" s="7">
        <v>10017</v>
      </c>
      <c r="B1137" s="7">
        <f t="shared" ref="B1137:C1137" si="1655">B1049</f>
        <v>40000</v>
      </c>
      <c r="C1137" s="7" t="str">
        <f t="shared" si="1655"/>
        <v>装备</v>
      </c>
      <c r="D1137" s="7">
        <f t="shared" si="1643"/>
        <v>50601056</v>
      </c>
      <c r="E1137" s="7"/>
      <c r="F1137" s="7">
        <v>1</v>
      </c>
      <c r="G1137" s="8">
        <f>3*INDEX([1]equip.xml!$I:$I,MATCH(D1137,[1]equip.xml!$A:$A,0))</f>
        <v>378000</v>
      </c>
      <c r="H1137" s="7" t="str">
        <f t="shared" si="1537"/>
        <v>10_10,50_20,80_30</v>
      </c>
      <c r="I1137" s="7">
        <v>1</v>
      </c>
      <c r="J1137" s="7">
        <f t="shared" si="1538"/>
        <v>240</v>
      </c>
      <c r="K1137" s="7" t="s">
        <v>312</v>
      </c>
      <c r="L1137" s="7">
        <v>42</v>
      </c>
      <c r="M1137" s="7">
        <f>IF(INDEX([1]equip.xml!$B:$B,MATCH(D1137,[1]equip.xml!$A:$A,0))=0,0,N1137)</f>
        <v>70</v>
      </c>
      <c r="N1137" s="7">
        <f t="shared" ref="N1137" si="1656">N1049</f>
        <v>70</v>
      </c>
    </row>
    <row r="1138" spans="1:14">
      <c r="A1138" s="7">
        <v>10017</v>
      </c>
      <c r="B1138" s="7">
        <f t="shared" ref="B1138:C1138" si="1657">B1050</f>
        <v>40000</v>
      </c>
      <c r="C1138" s="7" t="str">
        <f t="shared" si="1657"/>
        <v>装备</v>
      </c>
      <c r="D1138" s="7">
        <f t="shared" si="1643"/>
        <v>50601065</v>
      </c>
      <c r="E1138" s="7"/>
      <c r="F1138" s="7">
        <v>1</v>
      </c>
      <c r="G1138" s="8">
        <f>3*INDEX([1]equip.xml!$I:$I,MATCH(D1138,[1]equip.xml!$A:$A,0))</f>
        <v>360000</v>
      </c>
      <c r="H1138" s="7" t="str">
        <f t="shared" si="1537"/>
        <v>10_10,50_20,80_30</v>
      </c>
      <c r="I1138" s="7">
        <v>1</v>
      </c>
      <c r="J1138" s="7">
        <f t="shared" si="1538"/>
        <v>240</v>
      </c>
      <c r="K1138" s="7" t="s">
        <v>312</v>
      </c>
      <c r="L1138" s="7">
        <v>42</v>
      </c>
      <c r="M1138" s="7">
        <f>IF(INDEX([1]equip.xml!$B:$B,MATCH(D1138,[1]equip.xml!$A:$A,0))=0,0,N1138)</f>
        <v>70</v>
      </c>
      <c r="N1138" s="7">
        <f t="shared" ref="N1138" si="1658">N1050</f>
        <v>70</v>
      </c>
    </row>
    <row r="1139" spans="1:14">
      <c r="A1139" s="7">
        <v>10017</v>
      </c>
      <c r="B1139" s="7">
        <f t="shared" ref="B1139:C1139" si="1659">B1051</f>
        <v>40000</v>
      </c>
      <c r="C1139" s="7" t="str">
        <f t="shared" si="1659"/>
        <v>装备</v>
      </c>
      <c r="D1139" s="7">
        <f t="shared" si="1643"/>
        <v>50601066</v>
      </c>
      <c r="E1139" s="7"/>
      <c r="F1139" s="7">
        <v>1</v>
      </c>
      <c r="G1139" s="8">
        <f>3*INDEX([1]equip.xml!$I:$I,MATCH(D1139,[1]equip.xml!$A:$A,0))</f>
        <v>378000</v>
      </c>
      <c r="H1139" s="7" t="str">
        <f t="shared" si="1537"/>
        <v>10_10,50_20,80_30</v>
      </c>
      <c r="I1139" s="7">
        <v>1</v>
      </c>
      <c r="J1139" s="7">
        <f t="shared" si="1538"/>
        <v>240</v>
      </c>
      <c r="K1139" s="7" t="s">
        <v>312</v>
      </c>
      <c r="L1139" s="7">
        <v>42</v>
      </c>
      <c r="M1139" s="7">
        <f>IF(INDEX([1]equip.xml!$B:$B,MATCH(D1139,[1]equip.xml!$A:$A,0))=0,0,N1139)</f>
        <v>0</v>
      </c>
      <c r="N1139" s="7">
        <f t="shared" ref="N1139" si="1660">N1051</f>
        <v>70</v>
      </c>
    </row>
    <row r="1140" spans="1:14">
      <c r="A1140" s="7">
        <v>10017</v>
      </c>
      <c r="B1140" s="7">
        <f t="shared" ref="B1140:C1140" si="1661">B1052</f>
        <v>40000</v>
      </c>
      <c r="C1140" s="7" t="str">
        <f t="shared" si="1661"/>
        <v>装备</v>
      </c>
      <c r="D1140" s="7">
        <f t="shared" si="1643"/>
        <v>50602055</v>
      </c>
      <c r="E1140" s="7"/>
      <c r="F1140" s="7">
        <v>1</v>
      </c>
      <c r="G1140" s="8">
        <f>3*INDEX([1]equip.xml!$I:$I,MATCH(D1140,[1]equip.xml!$A:$A,0))</f>
        <v>360000</v>
      </c>
      <c r="H1140" s="7" t="str">
        <f t="shared" si="1537"/>
        <v>10_10,50_20,80_30</v>
      </c>
      <c r="I1140" s="7">
        <v>1</v>
      </c>
      <c r="J1140" s="7">
        <f t="shared" si="1538"/>
        <v>240</v>
      </c>
      <c r="K1140" s="7" t="s">
        <v>312</v>
      </c>
      <c r="L1140" s="7">
        <v>42</v>
      </c>
      <c r="M1140" s="7">
        <f>IF(INDEX([1]equip.xml!$B:$B,MATCH(D1140,[1]equip.xml!$A:$A,0))=0,0,N1140)</f>
        <v>70</v>
      </c>
      <c r="N1140" s="7">
        <f t="shared" ref="N1140" si="1662">N1052</f>
        <v>70</v>
      </c>
    </row>
    <row r="1141" spans="1:14">
      <c r="A1141" s="7">
        <v>10017</v>
      </c>
      <c r="B1141" s="7">
        <f t="shared" ref="B1141:C1141" si="1663">B1053</f>
        <v>40000</v>
      </c>
      <c r="C1141" s="7" t="str">
        <f t="shared" si="1663"/>
        <v>装备</v>
      </c>
      <c r="D1141" s="7">
        <f t="shared" si="1643"/>
        <v>50602056</v>
      </c>
      <c r="E1141" s="7"/>
      <c r="F1141" s="7">
        <v>1</v>
      </c>
      <c r="G1141" s="8">
        <f>3*INDEX([1]equip.xml!$I:$I,MATCH(D1141,[1]equip.xml!$A:$A,0))</f>
        <v>378000</v>
      </c>
      <c r="H1141" s="7" t="str">
        <f t="shared" si="1537"/>
        <v>10_10,50_20,80_30</v>
      </c>
      <c r="I1141" s="7">
        <v>1</v>
      </c>
      <c r="J1141" s="7">
        <f t="shared" si="1538"/>
        <v>240</v>
      </c>
      <c r="K1141" s="7" t="s">
        <v>312</v>
      </c>
      <c r="L1141" s="7">
        <v>42</v>
      </c>
      <c r="M1141" s="7">
        <f>IF(INDEX([1]equip.xml!$B:$B,MATCH(D1141,[1]equip.xml!$A:$A,0))=0,0,N1141)</f>
        <v>0</v>
      </c>
      <c r="N1141" s="7">
        <f t="shared" ref="N1141" si="1664">N1053</f>
        <v>70</v>
      </c>
    </row>
    <row r="1142" spans="1:14">
      <c r="A1142" s="7">
        <v>10017</v>
      </c>
      <c r="B1142" s="7">
        <f t="shared" ref="B1142:C1142" si="1665">B1054</f>
        <v>40000</v>
      </c>
      <c r="C1142" s="7" t="str">
        <f t="shared" si="1665"/>
        <v>装备</v>
      </c>
      <c r="D1142" s="7">
        <f t="shared" si="1643"/>
        <v>50602065</v>
      </c>
      <c r="E1142" s="7"/>
      <c r="F1142" s="7">
        <v>1</v>
      </c>
      <c r="G1142" s="8">
        <f>3*INDEX([1]equip.xml!$I:$I,MATCH(D1142,[1]equip.xml!$A:$A,0))</f>
        <v>360000</v>
      </c>
      <c r="H1142" s="7" t="str">
        <f t="shared" si="1537"/>
        <v>10_10,50_20,80_30</v>
      </c>
      <c r="I1142" s="7">
        <v>1</v>
      </c>
      <c r="J1142" s="7">
        <f t="shared" si="1538"/>
        <v>240</v>
      </c>
      <c r="K1142" s="7" t="s">
        <v>312</v>
      </c>
      <c r="L1142" s="7">
        <v>42</v>
      </c>
      <c r="M1142" s="7">
        <f>IF(INDEX([1]equip.xml!$B:$B,MATCH(D1142,[1]equip.xml!$A:$A,0))=0,0,N1142)</f>
        <v>70</v>
      </c>
      <c r="N1142" s="7">
        <f t="shared" ref="N1142" si="1666">N1054</f>
        <v>70</v>
      </c>
    </row>
    <row r="1143" spans="1:14">
      <c r="A1143" s="7">
        <v>10017</v>
      </c>
      <c r="B1143" s="7">
        <f t="shared" ref="B1143:C1143" si="1667">B1055</f>
        <v>40000</v>
      </c>
      <c r="C1143" s="7" t="str">
        <f t="shared" si="1667"/>
        <v>装备</v>
      </c>
      <c r="D1143" s="7">
        <f t="shared" si="1643"/>
        <v>50602066</v>
      </c>
      <c r="E1143" s="7"/>
      <c r="F1143" s="7">
        <v>1</v>
      </c>
      <c r="G1143" s="8">
        <f>3*INDEX([1]equip.xml!$I:$I,MATCH(D1143,[1]equip.xml!$A:$A,0))</f>
        <v>378000</v>
      </c>
      <c r="H1143" s="7" t="str">
        <f t="shared" ref="H1143:H1206" si="1668">H1055</f>
        <v>10_10,50_20,80_30</v>
      </c>
      <c r="I1143" s="7">
        <v>1</v>
      </c>
      <c r="J1143" s="7">
        <f t="shared" ref="I1143:J1206" si="1669">J1055</f>
        <v>240</v>
      </c>
      <c r="K1143" s="7" t="s">
        <v>312</v>
      </c>
      <c r="L1143" s="7">
        <v>42</v>
      </c>
      <c r="M1143" s="7">
        <f>IF(INDEX([1]equip.xml!$B:$B,MATCH(D1143,[1]equip.xml!$A:$A,0))=0,0,N1143)</f>
        <v>0</v>
      </c>
      <c r="N1143" s="7">
        <f t="shared" ref="N1143" si="1670">N1055</f>
        <v>70</v>
      </c>
    </row>
    <row r="1144" spans="1:14">
      <c r="A1144" s="7">
        <v>10017</v>
      </c>
      <c r="B1144" s="7">
        <f t="shared" ref="B1144:C1144" si="1671">B1056</f>
        <v>40000</v>
      </c>
      <c r="C1144" s="7" t="str">
        <f t="shared" si="1671"/>
        <v>装备</v>
      </c>
      <c r="D1144" s="7">
        <f t="shared" si="1643"/>
        <v>50603055</v>
      </c>
      <c r="E1144" s="7"/>
      <c r="F1144" s="7">
        <v>1</v>
      </c>
      <c r="G1144" s="8">
        <f>3*INDEX([1]equip.xml!$I:$I,MATCH(D1144,[1]equip.xml!$A:$A,0))</f>
        <v>360000</v>
      </c>
      <c r="H1144" s="7" t="str">
        <f t="shared" si="1668"/>
        <v>10_10,50_20,80_30</v>
      </c>
      <c r="I1144" s="7">
        <v>1</v>
      </c>
      <c r="J1144" s="7">
        <f t="shared" si="1669"/>
        <v>240</v>
      </c>
      <c r="K1144" s="7" t="s">
        <v>312</v>
      </c>
      <c r="L1144" s="7">
        <v>42</v>
      </c>
      <c r="M1144" s="7">
        <f>IF(INDEX([1]equip.xml!$B:$B,MATCH(D1144,[1]equip.xml!$A:$A,0))=0,0,N1144)</f>
        <v>70</v>
      </c>
      <c r="N1144" s="7">
        <f t="shared" ref="N1144" si="1672">N1056</f>
        <v>70</v>
      </c>
    </row>
    <row r="1145" spans="1:14">
      <c r="A1145" s="7">
        <v>10017</v>
      </c>
      <c r="B1145" s="7">
        <f t="shared" ref="B1145:C1145" si="1673">B1057</f>
        <v>40000</v>
      </c>
      <c r="C1145" s="7" t="str">
        <f t="shared" si="1673"/>
        <v>装备</v>
      </c>
      <c r="D1145" s="7">
        <f t="shared" si="1643"/>
        <v>50603056</v>
      </c>
      <c r="E1145" s="7"/>
      <c r="F1145" s="7">
        <v>1</v>
      </c>
      <c r="G1145" s="8">
        <f>3*INDEX([1]equip.xml!$I:$I,MATCH(D1145,[1]equip.xml!$A:$A,0))</f>
        <v>378000</v>
      </c>
      <c r="H1145" s="7" t="str">
        <f t="shared" si="1668"/>
        <v>10_10,50_20,80_30</v>
      </c>
      <c r="I1145" s="7">
        <v>1</v>
      </c>
      <c r="J1145" s="7">
        <f t="shared" si="1669"/>
        <v>240</v>
      </c>
      <c r="K1145" s="7" t="s">
        <v>312</v>
      </c>
      <c r="L1145" s="7">
        <v>42</v>
      </c>
      <c r="M1145" s="7">
        <f>IF(INDEX([1]equip.xml!$B:$B,MATCH(D1145,[1]equip.xml!$A:$A,0))=0,0,N1145)</f>
        <v>0</v>
      </c>
      <c r="N1145" s="7">
        <f t="shared" ref="N1145" si="1674">N1057</f>
        <v>70</v>
      </c>
    </row>
    <row r="1146" spans="1:14">
      <c r="A1146" s="7">
        <v>10017</v>
      </c>
      <c r="B1146" s="7">
        <f t="shared" ref="B1146:C1146" si="1675">B1058</f>
        <v>40000</v>
      </c>
      <c r="C1146" s="7" t="str">
        <f t="shared" si="1675"/>
        <v>装备</v>
      </c>
      <c r="D1146" s="7">
        <f t="shared" si="1643"/>
        <v>50603065</v>
      </c>
      <c r="E1146" s="7"/>
      <c r="F1146" s="7">
        <v>1</v>
      </c>
      <c r="G1146" s="8">
        <f>3*INDEX([1]equip.xml!$I:$I,MATCH(D1146,[1]equip.xml!$A:$A,0))</f>
        <v>360000</v>
      </c>
      <c r="H1146" s="7" t="str">
        <f t="shared" si="1668"/>
        <v>10_10,50_20,80_30</v>
      </c>
      <c r="I1146" s="7">
        <v>1</v>
      </c>
      <c r="J1146" s="7">
        <f t="shared" si="1669"/>
        <v>240</v>
      </c>
      <c r="K1146" s="7" t="s">
        <v>312</v>
      </c>
      <c r="L1146" s="7">
        <v>42</v>
      </c>
      <c r="M1146" s="7">
        <f>IF(INDEX([1]equip.xml!$B:$B,MATCH(D1146,[1]equip.xml!$A:$A,0))=0,0,N1146)</f>
        <v>70</v>
      </c>
      <c r="N1146" s="7">
        <f t="shared" ref="N1146" si="1676">N1058</f>
        <v>70</v>
      </c>
    </row>
    <row r="1147" spans="1:14">
      <c r="A1147" s="7">
        <v>10017</v>
      </c>
      <c r="B1147" s="7">
        <f t="shared" ref="B1147:C1147" si="1677">B1059</f>
        <v>40000</v>
      </c>
      <c r="C1147" s="7" t="str">
        <f t="shared" si="1677"/>
        <v>装备</v>
      </c>
      <c r="D1147" s="7">
        <f t="shared" si="1643"/>
        <v>50603066</v>
      </c>
      <c r="E1147" s="7"/>
      <c r="F1147" s="7">
        <v>1</v>
      </c>
      <c r="G1147" s="8">
        <f>3*INDEX([1]equip.xml!$I:$I,MATCH(D1147,[1]equip.xml!$A:$A,0))</f>
        <v>378000</v>
      </c>
      <c r="H1147" s="7" t="str">
        <f t="shared" si="1668"/>
        <v>10_10,50_20,80_30</v>
      </c>
      <c r="I1147" s="7">
        <v>1</v>
      </c>
      <c r="J1147" s="7">
        <f t="shared" si="1669"/>
        <v>240</v>
      </c>
      <c r="K1147" s="7" t="s">
        <v>312</v>
      </c>
      <c r="L1147" s="7">
        <v>42</v>
      </c>
      <c r="M1147" s="7">
        <f>IF(INDEX([1]equip.xml!$B:$B,MATCH(D1147,[1]equip.xml!$A:$A,0))=0,0,N1147)</f>
        <v>0</v>
      </c>
      <c r="N1147" s="7">
        <f t="shared" ref="N1147" si="1678">N1059</f>
        <v>70</v>
      </c>
    </row>
    <row r="1148" spans="1:14">
      <c r="A1148" s="7">
        <v>10017</v>
      </c>
      <c r="B1148" s="7">
        <f t="shared" ref="B1148:C1148" si="1679">B1060</f>
        <v>40000</v>
      </c>
      <c r="C1148" s="7" t="str">
        <f t="shared" si="1679"/>
        <v>装备</v>
      </c>
      <c r="D1148" s="7">
        <f t="shared" si="1643"/>
        <v>50600045</v>
      </c>
      <c r="E1148" s="7"/>
      <c r="F1148" s="7">
        <v>1</v>
      </c>
      <c r="G1148" s="8">
        <f>3*INDEX([1]equip.xml!$I:$I,MATCH(D1148,[1]equip.xml!$A:$A,0))</f>
        <v>360000</v>
      </c>
      <c r="H1148" s="7" t="str">
        <f t="shared" si="1668"/>
        <v>10_10,50_20,80_30</v>
      </c>
      <c r="I1148" s="7">
        <v>1</v>
      </c>
      <c r="J1148" s="7">
        <f t="shared" si="1669"/>
        <v>240</v>
      </c>
      <c r="K1148" s="7" t="s">
        <v>312</v>
      </c>
      <c r="L1148" s="7">
        <v>42</v>
      </c>
      <c r="M1148" s="7">
        <f>IF(INDEX([1]equip.xml!$B:$B,MATCH(D1148,[1]equip.xml!$A:$A,0))=0,0,N1148)</f>
        <v>70</v>
      </c>
      <c r="N1148" s="7">
        <f t="shared" ref="N1148" si="1680">N1060</f>
        <v>70</v>
      </c>
    </row>
    <row r="1149" spans="1:14">
      <c r="A1149" s="7">
        <v>10017</v>
      </c>
      <c r="B1149" s="7">
        <f t="shared" ref="B1149:C1149" si="1681">B1061</f>
        <v>40000</v>
      </c>
      <c r="C1149" s="7" t="str">
        <f t="shared" si="1681"/>
        <v>装备</v>
      </c>
      <c r="D1149" s="7">
        <f t="shared" si="1643"/>
        <v>50600046</v>
      </c>
      <c r="E1149" s="7"/>
      <c r="F1149" s="7">
        <v>1</v>
      </c>
      <c r="G1149" s="8">
        <f>3*INDEX([1]equip.xml!$I:$I,MATCH(D1149,[1]equip.xml!$A:$A,0))</f>
        <v>378000</v>
      </c>
      <c r="H1149" s="7" t="str">
        <f t="shared" si="1668"/>
        <v>10_10,50_20,80_30</v>
      </c>
      <c r="I1149" s="7">
        <v>1</v>
      </c>
      <c r="J1149" s="7">
        <f t="shared" si="1669"/>
        <v>240</v>
      </c>
      <c r="K1149" s="7" t="s">
        <v>312</v>
      </c>
      <c r="L1149" s="7">
        <v>42</v>
      </c>
      <c r="M1149" s="7">
        <f>IF(INDEX([1]equip.xml!$B:$B,MATCH(D1149,[1]equip.xml!$A:$A,0))=0,0,N1149)</f>
        <v>0</v>
      </c>
      <c r="N1149" s="7">
        <f t="shared" ref="N1149" si="1682">N1061</f>
        <v>70</v>
      </c>
    </row>
    <row r="1150" spans="1:14">
      <c r="A1150" s="7">
        <v>10017</v>
      </c>
      <c r="B1150" s="7">
        <f t="shared" ref="B1150:C1150" si="1683">B1062</f>
        <v>40000</v>
      </c>
      <c r="C1150" s="7" t="str">
        <f t="shared" si="1683"/>
        <v>装备</v>
      </c>
      <c r="D1150" s="7">
        <f t="shared" si="1643"/>
        <v>50600075</v>
      </c>
      <c r="E1150" s="7"/>
      <c r="F1150" s="7">
        <v>1</v>
      </c>
      <c r="G1150" s="8">
        <f>3*INDEX([1]equip.xml!$I:$I,MATCH(D1150,[1]equip.xml!$A:$A,0))</f>
        <v>360000</v>
      </c>
      <c r="H1150" s="7" t="str">
        <f t="shared" si="1668"/>
        <v>10_10,50_20,80_30</v>
      </c>
      <c r="I1150" s="7">
        <v>1</v>
      </c>
      <c r="J1150" s="7">
        <f t="shared" si="1669"/>
        <v>240</v>
      </c>
      <c r="K1150" s="7" t="s">
        <v>312</v>
      </c>
      <c r="L1150" s="7">
        <v>42</v>
      </c>
      <c r="M1150" s="7">
        <f>IF(INDEX([1]equip.xml!$B:$B,MATCH(D1150,[1]equip.xml!$A:$A,0))=0,0,N1150)</f>
        <v>70</v>
      </c>
      <c r="N1150" s="7">
        <f t="shared" ref="N1150" si="1684">N1062</f>
        <v>70</v>
      </c>
    </row>
    <row r="1151" spans="1:14">
      <c r="A1151" s="7">
        <v>10017</v>
      </c>
      <c r="B1151" s="7">
        <f t="shared" ref="B1151:C1151" si="1685">B1063</f>
        <v>40000</v>
      </c>
      <c r="C1151" s="7" t="str">
        <f t="shared" si="1685"/>
        <v>装备</v>
      </c>
      <c r="D1151" s="7">
        <f t="shared" si="1643"/>
        <v>50600076</v>
      </c>
      <c r="E1151" s="7"/>
      <c r="F1151" s="7">
        <v>1</v>
      </c>
      <c r="G1151" s="8">
        <f>3*INDEX([1]equip.xml!$I:$I,MATCH(D1151,[1]equip.xml!$A:$A,0))</f>
        <v>378000</v>
      </c>
      <c r="H1151" s="7" t="str">
        <f t="shared" si="1668"/>
        <v>10_10,50_20,80_30</v>
      </c>
      <c r="I1151" s="7">
        <v>1</v>
      </c>
      <c r="J1151" s="7">
        <f t="shared" si="1669"/>
        <v>240</v>
      </c>
      <c r="K1151" s="7" t="s">
        <v>312</v>
      </c>
      <c r="L1151" s="7">
        <v>42</v>
      </c>
      <c r="M1151" s="7">
        <f>IF(INDEX([1]equip.xml!$B:$B,MATCH(D1151,[1]equip.xml!$A:$A,0))=0,0,N1151)</f>
        <v>70</v>
      </c>
      <c r="N1151" s="7">
        <f t="shared" ref="N1151" si="1686">N1063</f>
        <v>70</v>
      </c>
    </row>
    <row r="1152" spans="1:14">
      <c r="A1152" s="7">
        <v>10017</v>
      </c>
      <c r="B1152" s="7">
        <f t="shared" ref="B1152:C1152" si="1687">B1064</f>
        <v>40000</v>
      </c>
      <c r="C1152" s="7" t="str">
        <f t="shared" si="1687"/>
        <v>装备</v>
      </c>
      <c r="D1152" s="7">
        <f t="shared" si="1643"/>
        <v>50650015</v>
      </c>
      <c r="E1152" s="7"/>
      <c r="F1152" s="7">
        <v>1</v>
      </c>
      <c r="G1152" s="8">
        <f>3*INDEX([1]equip.xml!$I:$I,MATCH(D1152,[1]equip.xml!$A:$A,0))</f>
        <v>390000</v>
      </c>
      <c r="H1152" s="7" t="str">
        <f t="shared" si="1668"/>
        <v>10_10,50_20,80_30</v>
      </c>
      <c r="I1152" s="7">
        <v>1</v>
      </c>
      <c r="J1152" s="7">
        <f t="shared" si="1669"/>
        <v>240</v>
      </c>
      <c r="K1152" s="7" t="s">
        <v>312</v>
      </c>
      <c r="L1152" s="7">
        <v>42</v>
      </c>
      <c r="M1152" s="7">
        <f>IF(INDEX([1]equip.xml!$B:$B,MATCH(D1152,[1]equip.xml!$A:$A,0))=0,0,N1152)</f>
        <v>14</v>
      </c>
      <c r="N1152" s="7">
        <f t="shared" ref="N1152" si="1688">N1064</f>
        <v>14</v>
      </c>
    </row>
    <row r="1153" spans="1:14">
      <c r="A1153" s="7">
        <v>10017</v>
      </c>
      <c r="B1153" s="7">
        <f t="shared" ref="B1153:C1153" si="1689">B1065</f>
        <v>40000</v>
      </c>
      <c r="C1153" s="7" t="str">
        <f t="shared" si="1689"/>
        <v>装备</v>
      </c>
      <c r="D1153" s="7">
        <f t="shared" si="1643"/>
        <v>50650025</v>
      </c>
      <c r="E1153" s="7"/>
      <c r="F1153" s="7">
        <v>1</v>
      </c>
      <c r="G1153" s="8">
        <f>3*INDEX([1]equip.xml!$I:$I,MATCH(D1153,[1]equip.xml!$A:$A,0))</f>
        <v>390000</v>
      </c>
      <c r="H1153" s="7" t="str">
        <f t="shared" si="1668"/>
        <v>10_10,50_20,80_30</v>
      </c>
      <c r="I1153" s="7">
        <v>1</v>
      </c>
      <c r="J1153" s="7">
        <f t="shared" si="1669"/>
        <v>240</v>
      </c>
      <c r="K1153" s="7" t="s">
        <v>312</v>
      </c>
      <c r="L1153" s="7">
        <v>42</v>
      </c>
      <c r="M1153" s="7">
        <f>IF(INDEX([1]equip.xml!$B:$B,MATCH(D1153,[1]equip.xml!$A:$A,0))=0,0,N1153)</f>
        <v>14</v>
      </c>
      <c r="N1153" s="7">
        <f t="shared" ref="N1153" si="1690">N1065</f>
        <v>14</v>
      </c>
    </row>
    <row r="1154" spans="1:14">
      <c r="A1154" s="7">
        <v>10017</v>
      </c>
      <c r="B1154" s="7">
        <f t="shared" ref="B1154:C1154" si="1691">B1066</f>
        <v>40000</v>
      </c>
      <c r="C1154" s="7" t="str">
        <f t="shared" si="1691"/>
        <v>装备</v>
      </c>
      <c r="D1154" s="7">
        <f t="shared" si="1643"/>
        <v>50650035</v>
      </c>
      <c r="E1154" s="7"/>
      <c r="F1154" s="7">
        <v>1</v>
      </c>
      <c r="G1154" s="8">
        <f>3*INDEX([1]equip.xml!$I:$I,MATCH(D1154,[1]equip.xml!$A:$A,0))</f>
        <v>390000</v>
      </c>
      <c r="H1154" s="7" t="str">
        <f t="shared" si="1668"/>
        <v>10_10,50_20,80_30</v>
      </c>
      <c r="I1154" s="7">
        <v>1</v>
      </c>
      <c r="J1154" s="7">
        <f t="shared" si="1669"/>
        <v>240</v>
      </c>
      <c r="K1154" s="7" t="s">
        <v>312</v>
      </c>
      <c r="L1154" s="7">
        <v>42</v>
      </c>
      <c r="M1154" s="7">
        <f>IF(INDEX([1]equip.xml!$B:$B,MATCH(D1154,[1]equip.xml!$A:$A,0))=0,0,N1154)</f>
        <v>14</v>
      </c>
      <c r="N1154" s="7">
        <f t="shared" ref="N1154" si="1692">N1066</f>
        <v>14</v>
      </c>
    </row>
    <row r="1155" spans="1:14">
      <c r="A1155" s="7">
        <v>10017</v>
      </c>
      <c r="B1155" s="7">
        <f t="shared" ref="B1155:C1155" si="1693">B1067</f>
        <v>40000</v>
      </c>
      <c r="C1155" s="7" t="str">
        <f t="shared" si="1693"/>
        <v>装备</v>
      </c>
      <c r="D1155" s="7">
        <f t="shared" si="1643"/>
        <v>50650085</v>
      </c>
      <c r="E1155" s="7"/>
      <c r="F1155" s="7">
        <v>1</v>
      </c>
      <c r="G1155" s="8">
        <f>3*INDEX([1]equip.xml!$I:$I,MATCH(D1155,[1]equip.xml!$A:$A,0))</f>
        <v>390000</v>
      </c>
      <c r="H1155" s="7" t="str">
        <f t="shared" si="1668"/>
        <v>10_10,50_20,80_30</v>
      </c>
      <c r="I1155" s="7">
        <v>1</v>
      </c>
      <c r="J1155" s="7">
        <f t="shared" si="1669"/>
        <v>240</v>
      </c>
      <c r="K1155" s="7" t="s">
        <v>312</v>
      </c>
      <c r="L1155" s="7">
        <v>42</v>
      </c>
      <c r="M1155" s="7">
        <f>IF(INDEX([1]equip.xml!$B:$B,MATCH(D1155,[1]equip.xml!$A:$A,0))=0,0,N1155)</f>
        <v>14</v>
      </c>
      <c r="N1155" s="7">
        <f t="shared" ref="N1155" si="1694">N1067</f>
        <v>14</v>
      </c>
    </row>
    <row r="1156" spans="1:14">
      <c r="A1156" s="7">
        <v>10017</v>
      </c>
      <c r="B1156" s="7">
        <f t="shared" ref="B1156:C1156" si="1695">B1068</f>
        <v>40000</v>
      </c>
      <c r="C1156" s="7" t="str">
        <f t="shared" si="1695"/>
        <v>装备</v>
      </c>
      <c r="D1156" s="7">
        <f t="shared" si="1643"/>
        <v>50650095</v>
      </c>
      <c r="E1156" s="7"/>
      <c r="F1156" s="7">
        <v>1</v>
      </c>
      <c r="G1156" s="8">
        <f>3*INDEX([1]equip.xml!$I:$I,MATCH(D1156,[1]equip.xml!$A:$A,0))</f>
        <v>390000</v>
      </c>
      <c r="H1156" s="7" t="str">
        <f t="shared" si="1668"/>
        <v>10_10,50_20,80_30</v>
      </c>
      <c r="I1156" s="7">
        <v>1</v>
      </c>
      <c r="J1156" s="7">
        <f t="shared" si="1669"/>
        <v>240</v>
      </c>
      <c r="K1156" s="7" t="s">
        <v>312</v>
      </c>
      <c r="L1156" s="7">
        <v>42</v>
      </c>
      <c r="M1156" s="7">
        <f>IF(INDEX([1]equip.xml!$B:$B,MATCH(D1156,[1]equip.xml!$A:$A,0))=0,0,N1156)</f>
        <v>14</v>
      </c>
      <c r="N1156" s="7">
        <f t="shared" ref="N1156" si="1696">N1068</f>
        <v>14</v>
      </c>
    </row>
    <row r="1157" spans="1:14">
      <c r="A1157" s="7">
        <v>10017</v>
      </c>
      <c r="B1157" s="7">
        <f t="shared" ref="B1157:C1157" si="1697">B1069</f>
        <v>40000</v>
      </c>
      <c r="C1157" s="7" t="str">
        <f t="shared" si="1697"/>
        <v>装备</v>
      </c>
      <c r="D1157" s="7">
        <f t="shared" si="1643"/>
        <v>50650105</v>
      </c>
      <c r="E1157" s="7"/>
      <c r="F1157" s="7">
        <v>1</v>
      </c>
      <c r="G1157" s="8">
        <f>3*INDEX([1]equip.xml!$I:$I,MATCH(D1157,[1]equip.xml!$A:$A,0))</f>
        <v>390000</v>
      </c>
      <c r="H1157" s="7" t="str">
        <f t="shared" si="1668"/>
        <v>10_10,50_20,80_30</v>
      </c>
      <c r="I1157" s="7">
        <v>1</v>
      </c>
      <c r="J1157" s="7">
        <f t="shared" si="1669"/>
        <v>240</v>
      </c>
      <c r="K1157" s="7" t="s">
        <v>312</v>
      </c>
      <c r="L1157" s="7">
        <v>42</v>
      </c>
      <c r="M1157" s="7">
        <f>IF(INDEX([1]equip.xml!$B:$B,MATCH(D1157,[1]equip.xml!$A:$A,0))=0,0,N1157)</f>
        <v>14</v>
      </c>
      <c r="N1157" s="7">
        <f t="shared" ref="N1157" si="1698">N1069</f>
        <v>14</v>
      </c>
    </row>
    <row r="1158" spans="1:14">
      <c r="A1158" s="7">
        <v>10017</v>
      </c>
      <c r="B1158" s="7">
        <f t="shared" ref="B1158:C1158" si="1699">B1070</f>
        <v>40000</v>
      </c>
      <c r="C1158" s="7" t="str">
        <f t="shared" si="1699"/>
        <v>装备</v>
      </c>
      <c r="D1158" s="7">
        <f t="shared" si="1643"/>
        <v>50651055</v>
      </c>
      <c r="E1158" s="7"/>
      <c r="F1158" s="7">
        <v>1</v>
      </c>
      <c r="G1158" s="8">
        <f>3*INDEX([1]equip.xml!$I:$I,MATCH(D1158,[1]equip.xml!$A:$A,0))</f>
        <v>390000</v>
      </c>
      <c r="H1158" s="7" t="str">
        <f t="shared" si="1668"/>
        <v>10_10,50_20,80_30</v>
      </c>
      <c r="I1158" s="7">
        <v>1</v>
      </c>
      <c r="J1158" s="7">
        <f t="shared" si="1669"/>
        <v>240</v>
      </c>
      <c r="K1158" s="7" t="s">
        <v>312</v>
      </c>
      <c r="L1158" s="7">
        <v>42</v>
      </c>
      <c r="M1158" s="7">
        <f>IF(INDEX([1]equip.xml!$B:$B,MATCH(D1158,[1]equip.xml!$A:$A,0))=0,0,N1158)</f>
        <v>14</v>
      </c>
      <c r="N1158" s="7">
        <f t="shared" ref="N1158" si="1700">N1070</f>
        <v>14</v>
      </c>
    </row>
    <row r="1159" spans="1:14">
      <c r="A1159" s="7">
        <v>10017</v>
      </c>
      <c r="B1159" s="7">
        <f t="shared" ref="B1159:C1159" si="1701">B1071</f>
        <v>40000</v>
      </c>
      <c r="C1159" s="7" t="str">
        <f t="shared" si="1701"/>
        <v>装备</v>
      </c>
      <c r="D1159" s="7">
        <f t="shared" si="1643"/>
        <v>50651056</v>
      </c>
      <c r="E1159" s="7"/>
      <c r="F1159" s="7">
        <v>1</v>
      </c>
      <c r="G1159" s="8">
        <f>3*INDEX([1]equip.xml!$I:$I,MATCH(D1159,[1]equip.xml!$A:$A,0))</f>
        <v>408000</v>
      </c>
      <c r="H1159" s="7" t="str">
        <f t="shared" si="1668"/>
        <v>10_10,50_20,80_30</v>
      </c>
      <c r="I1159" s="7">
        <v>1</v>
      </c>
      <c r="J1159" s="7">
        <f t="shared" si="1669"/>
        <v>240</v>
      </c>
      <c r="K1159" s="7" t="s">
        <v>312</v>
      </c>
      <c r="L1159" s="7">
        <v>42</v>
      </c>
      <c r="M1159" s="7">
        <f>IF(INDEX([1]equip.xml!$B:$B,MATCH(D1159,[1]equip.xml!$A:$A,0))=0,0,N1159)</f>
        <v>0</v>
      </c>
      <c r="N1159" s="7">
        <f t="shared" ref="N1159" si="1702">N1071</f>
        <v>14</v>
      </c>
    </row>
    <row r="1160" spans="1:14">
      <c r="A1160" s="7">
        <v>10017</v>
      </c>
      <c r="B1160" s="7">
        <f t="shared" ref="B1160:C1160" si="1703">B1072</f>
        <v>40000</v>
      </c>
      <c r="C1160" s="7" t="str">
        <f t="shared" si="1703"/>
        <v>装备</v>
      </c>
      <c r="D1160" s="7">
        <f t="shared" si="1643"/>
        <v>50651065</v>
      </c>
      <c r="E1160" s="7"/>
      <c r="F1160" s="7">
        <v>1</v>
      </c>
      <c r="G1160" s="8">
        <f>3*INDEX([1]equip.xml!$I:$I,MATCH(D1160,[1]equip.xml!$A:$A,0))</f>
        <v>390000</v>
      </c>
      <c r="H1160" s="7" t="str">
        <f t="shared" si="1668"/>
        <v>10_10,50_20,80_30</v>
      </c>
      <c r="I1160" s="7">
        <v>1</v>
      </c>
      <c r="J1160" s="7">
        <f t="shared" si="1669"/>
        <v>240</v>
      </c>
      <c r="K1160" s="7" t="s">
        <v>312</v>
      </c>
      <c r="L1160" s="7">
        <v>42</v>
      </c>
      <c r="M1160" s="7">
        <f>IF(INDEX([1]equip.xml!$B:$B,MATCH(D1160,[1]equip.xml!$A:$A,0))=0,0,N1160)</f>
        <v>14</v>
      </c>
      <c r="N1160" s="7">
        <f t="shared" ref="N1160" si="1704">N1072</f>
        <v>14</v>
      </c>
    </row>
    <row r="1161" spans="1:14">
      <c r="A1161" s="7">
        <v>10017</v>
      </c>
      <c r="B1161" s="7">
        <f t="shared" ref="B1161:C1161" si="1705">B1073</f>
        <v>40000</v>
      </c>
      <c r="C1161" s="7" t="str">
        <f t="shared" si="1705"/>
        <v>装备</v>
      </c>
      <c r="D1161" s="7">
        <f t="shared" si="1643"/>
        <v>50651066</v>
      </c>
      <c r="E1161" s="7"/>
      <c r="F1161" s="7">
        <v>1</v>
      </c>
      <c r="G1161" s="8">
        <f>3*INDEX([1]equip.xml!$I:$I,MATCH(D1161,[1]equip.xml!$A:$A,0))</f>
        <v>408000</v>
      </c>
      <c r="H1161" s="7" t="str">
        <f t="shared" si="1668"/>
        <v>10_10,50_20,80_30</v>
      </c>
      <c r="I1161" s="7">
        <v>1</v>
      </c>
      <c r="J1161" s="7">
        <f t="shared" si="1669"/>
        <v>240</v>
      </c>
      <c r="K1161" s="7" t="s">
        <v>312</v>
      </c>
      <c r="L1161" s="7">
        <v>42</v>
      </c>
      <c r="M1161" s="7">
        <f>IF(INDEX([1]equip.xml!$B:$B,MATCH(D1161,[1]equip.xml!$A:$A,0))=0,0,N1161)</f>
        <v>0</v>
      </c>
      <c r="N1161" s="7">
        <f t="shared" ref="N1161" si="1706">N1073</f>
        <v>14</v>
      </c>
    </row>
    <row r="1162" spans="1:14">
      <c r="A1162" s="7">
        <v>10017</v>
      </c>
      <c r="B1162" s="7">
        <f t="shared" ref="B1162:C1162" si="1707">B1074</f>
        <v>40000</v>
      </c>
      <c r="C1162" s="7" t="str">
        <f t="shared" si="1707"/>
        <v>装备</v>
      </c>
      <c r="D1162" s="7">
        <f t="shared" si="1643"/>
        <v>50652055</v>
      </c>
      <c r="E1162" s="7"/>
      <c r="F1162" s="7">
        <v>1</v>
      </c>
      <c r="G1162" s="8">
        <f>3*INDEX([1]equip.xml!$I:$I,MATCH(D1162,[1]equip.xml!$A:$A,0))</f>
        <v>390000</v>
      </c>
      <c r="H1162" s="7" t="str">
        <f t="shared" si="1668"/>
        <v>10_10,50_20,80_30</v>
      </c>
      <c r="I1162" s="7">
        <v>1</v>
      </c>
      <c r="J1162" s="7">
        <f t="shared" si="1669"/>
        <v>240</v>
      </c>
      <c r="K1162" s="7" t="s">
        <v>312</v>
      </c>
      <c r="L1162" s="7">
        <v>42</v>
      </c>
      <c r="M1162" s="7">
        <f>IF(INDEX([1]equip.xml!$B:$B,MATCH(D1162,[1]equip.xml!$A:$A,0))=0,0,N1162)</f>
        <v>14</v>
      </c>
      <c r="N1162" s="7">
        <f t="shared" ref="N1162" si="1708">N1074</f>
        <v>14</v>
      </c>
    </row>
    <row r="1163" spans="1:14">
      <c r="A1163" s="7">
        <v>10017</v>
      </c>
      <c r="B1163" s="7">
        <f t="shared" ref="B1163:C1163" si="1709">B1075</f>
        <v>40000</v>
      </c>
      <c r="C1163" s="7" t="str">
        <f t="shared" si="1709"/>
        <v>装备</v>
      </c>
      <c r="D1163" s="7">
        <f t="shared" si="1643"/>
        <v>50652056</v>
      </c>
      <c r="E1163" s="7"/>
      <c r="F1163" s="7">
        <v>1</v>
      </c>
      <c r="G1163" s="8">
        <f>3*INDEX([1]equip.xml!$I:$I,MATCH(D1163,[1]equip.xml!$A:$A,0))</f>
        <v>408000</v>
      </c>
      <c r="H1163" s="7" t="str">
        <f t="shared" si="1668"/>
        <v>10_10,50_20,80_30</v>
      </c>
      <c r="I1163" s="7">
        <v>1</v>
      </c>
      <c r="J1163" s="7">
        <f t="shared" si="1669"/>
        <v>240</v>
      </c>
      <c r="K1163" s="7" t="s">
        <v>312</v>
      </c>
      <c r="L1163" s="7">
        <v>42</v>
      </c>
      <c r="M1163" s="7">
        <f>IF(INDEX([1]equip.xml!$B:$B,MATCH(D1163,[1]equip.xml!$A:$A,0))=0,0,N1163)</f>
        <v>0</v>
      </c>
      <c r="N1163" s="7">
        <f t="shared" ref="N1163" si="1710">N1075</f>
        <v>14</v>
      </c>
    </row>
    <row r="1164" spans="1:14">
      <c r="A1164" s="7">
        <v>10017</v>
      </c>
      <c r="B1164" s="7">
        <f t="shared" ref="B1164:C1164" si="1711">B1076</f>
        <v>40000</v>
      </c>
      <c r="C1164" s="7" t="str">
        <f t="shared" si="1711"/>
        <v>装备</v>
      </c>
      <c r="D1164" s="7">
        <f t="shared" si="1643"/>
        <v>50652065</v>
      </c>
      <c r="E1164" s="7"/>
      <c r="F1164" s="7">
        <v>1</v>
      </c>
      <c r="G1164" s="8">
        <f>3*INDEX([1]equip.xml!$I:$I,MATCH(D1164,[1]equip.xml!$A:$A,0))</f>
        <v>390000</v>
      </c>
      <c r="H1164" s="7" t="str">
        <f t="shared" si="1668"/>
        <v>10_10,50_20,80_30</v>
      </c>
      <c r="I1164" s="7">
        <v>1</v>
      </c>
      <c r="J1164" s="7">
        <f t="shared" si="1669"/>
        <v>240</v>
      </c>
      <c r="K1164" s="7" t="s">
        <v>312</v>
      </c>
      <c r="L1164" s="7">
        <v>42</v>
      </c>
      <c r="M1164" s="7">
        <f>IF(INDEX([1]equip.xml!$B:$B,MATCH(D1164,[1]equip.xml!$A:$A,0))=0,0,N1164)</f>
        <v>14</v>
      </c>
      <c r="N1164" s="7">
        <f t="shared" ref="N1164" si="1712">N1076</f>
        <v>14</v>
      </c>
    </row>
    <row r="1165" spans="1:14">
      <c r="A1165" s="7">
        <v>10017</v>
      </c>
      <c r="B1165" s="7">
        <f t="shared" ref="B1165:C1165" si="1713">B1077</f>
        <v>40000</v>
      </c>
      <c r="C1165" s="7" t="str">
        <f t="shared" si="1713"/>
        <v>装备</v>
      </c>
      <c r="D1165" s="7">
        <f t="shared" si="1643"/>
        <v>50652066</v>
      </c>
      <c r="E1165" s="7"/>
      <c r="F1165" s="7">
        <v>1</v>
      </c>
      <c r="G1165" s="8">
        <f>3*INDEX([1]equip.xml!$I:$I,MATCH(D1165,[1]equip.xml!$A:$A,0))</f>
        <v>408000</v>
      </c>
      <c r="H1165" s="7" t="str">
        <f t="shared" si="1668"/>
        <v>10_10,50_20,80_30</v>
      </c>
      <c r="I1165" s="7">
        <v>1</v>
      </c>
      <c r="J1165" s="7">
        <f t="shared" si="1669"/>
        <v>240</v>
      </c>
      <c r="K1165" s="7" t="s">
        <v>312</v>
      </c>
      <c r="L1165" s="7">
        <v>42</v>
      </c>
      <c r="M1165" s="7">
        <f>IF(INDEX([1]equip.xml!$B:$B,MATCH(D1165,[1]equip.xml!$A:$A,0))=0,0,N1165)</f>
        <v>0</v>
      </c>
      <c r="N1165" s="7">
        <f t="shared" ref="N1165" si="1714">N1077</f>
        <v>14</v>
      </c>
    </row>
    <row r="1166" spans="1:14">
      <c r="A1166" s="7">
        <v>10017</v>
      </c>
      <c r="B1166" s="7">
        <f t="shared" ref="B1166:C1166" si="1715">B1078</f>
        <v>40000</v>
      </c>
      <c r="C1166" s="7" t="str">
        <f t="shared" si="1715"/>
        <v>装备</v>
      </c>
      <c r="D1166" s="7">
        <f t="shared" si="1643"/>
        <v>50653055</v>
      </c>
      <c r="E1166" s="7"/>
      <c r="F1166" s="7">
        <v>1</v>
      </c>
      <c r="G1166" s="8">
        <f>3*INDEX([1]equip.xml!$I:$I,MATCH(D1166,[1]equip.xml!$A:$A,0))</f>
        <v>390000</v>
      </c>
      <c r="H1166" s="7" t="str">
        <f t="shared" si="1668"/>
        <v>10_10,50_20,80_30</v>
      </c>
      <c r="I1166" s="7">
        <v>1</v>
      </c>
      <c r="J1166" s="7">
        <f t="shared" si="1669"/>
        <v>240</v>
      </c>
      <c r="K1166" s="7" t="s">
        <v>312</v>
      </c>
      <c r="L1166" s="7">
        <v>42</v>
      </c>
      <c r="M1166" s="7">
        <f>IF(INDEX([1]equip.xml!$B:$B,MATCH(D1166,[1]equip.xml!$A:$A,0))=0,0,N1166)</f>
        <v>14</v>
      </c>
      <c r="N1166" s="7">
        <f t="shared" ref="N1166" si="1716">N1078</f>
        <v>14</v>
      </c>
    </row>
    <row r="1167" spans="1:14">
      <c r="A1167" s="7">
        <v>10017</v>
      </c>
      <c r="B1167" s="7">
        <f t="shared" ref="B1167:C1167" si="1717">B1079</f>
        <v>40000</v>
      </c>
      <c r="C1167" s="7" t="str">
        <f t="shared" si="1717"/>
        <v>装备</v>
      </c>
      <c r="D1167" s="7">
        <f t="shared" si="1643"/>
        <v>50653056</v>
      </c>
      <c r="E1167" s="7"/>
      <c r="F1167" s="7">
        <v>1</v>
      </c>
      <c r="G1167" s="8">
        <f>3*INDEX([1]equip.xml!$I:$I,MATCH(D1167,[1]equip.xml!$A:$A,0))</f>
        <v>408000</v>
      </c>
      <c r="H1167" s="7" t="str">
        <f t="shared" si="1668"/>
        <v>10_10,50_20,80_30</v>
      </c>
      <c r="I1167" s="7">
        <v>1</v>
      </c>
      <c r="J1167" s="7">
        <f t="shared" si="1669"/>
        <v>240</v>
      </c>
      <c r="K1167" s="7" t="s">
        <v>312</v>
      </c>
      <c r="L1167" s="7">
        <v>42</v>
      </c>
      <c r="M1167" s="7">
        <f>IF(INDEX([1]equip.xml!$B:$B,MATCH(D1167,[1]equip.xml!$A:$A,0))=0,0,N1167)</f>
        <v>0</v>
      </c>
      <c r="N1167" s="7">
        <f t="shared" ref="N1167" si="1718">N1079</f>
        <v>14</v>
      </c>
    </row>
    <row r="1168" spans="1:14">
      <c r="A1168" s="7">
        <v>10017</v>
      </c>
      <c r="B1168" s="7">
        <f t="shared" ref="B1168:C1168" si="1719">B1080</f>
        <v>40000</v>
      </c>
      <c r="C1168" s="7" t="str">
        <f t="shared" si="1719"/>
        <v>装备</v>
      </c>
      <c r="D1168" s="7">
        <f t="shared" si="1643"/>
        <v>50653065</v>
      </c>
      <c r="E1168" s="7"/>
      <c r="F1168" s="7">
        <v>1</v>
      </c>
      <c r="G1168" s="8">
        <f>3*INDEX([1]equip.xml!$I:$I,MATCH(D1168,[1]equip.xml!$A:$A,0))</f>
        <v>390000</v>
      </c>
      <c r="H1168" s="7" t="str">
        <f t="shared" si="1668"/>
        <v>10_10,50_20,80_30</v>
      </c>
      <c r="I1168" s="7">
        <v>1</v>
      </c>
      <c r="J1168" s="7">
        <f t="shared" si="1669"/>
        <v>240</v>
      </c>
      <c r="K1168" s="7" t="s">
        <v>312</v>
      </c>
      <c r="L1168" s="7">
        <v>42</v>
      </c>
      <c r="M1168" s="7">
        <f>IF(INDEX([1]equip.xml!$B:$B,MATCH(D1168,[1]equip.xml!$A:$A,0))=0,0,N1168)</f>
        <v>14</v>
      </c>
      <c r="N1168" s="7">
        <f t="shared" ref="N1168" si="1720">N1080</f>
        <v>14</v>
      </c>
    </row>
    <row r="1169" spans="1:14">
      <c r="A1169" s="7">
        <v>10017</v>
      </c>
      <c r="B1169" s="7">
        <f t="shared" ref="B1169:C1169" si="1721">B1081</f>
        <v>40000</v>
      </c>
      <c r="C1169" s="7" t="str">
        <f t="shared" si="1721"/>
        <v>装备</v>
      </c>
      <c r="D1169" s="7">
        <f t="shared" si="1643"/>
        <v>50653066</v>
      </c>
      <c r="E1169" s="7"/>
      <c r="F1169" s="7">
        <v>1</v>
      </c>
      <c r="G1169" s="8">
        <f>3*INDEX([1]equip.xml!$I:$I,MATCH(D1169,[1]equip.xml!$A:$A,0))</f>
        <v>408000</v>
      </c>
      <c r="H1169" s="7" t="str">
        <f t="shared" si="1668"/>
        <v>10_10,50_20,80_30</v>
      </c>
      <c r="I1169" s="7">
        <v>1</v>
      </c>
      <c r="J1169" s="7">
        <f t="shared" si="1669"/>
        <v>240</v>
      </c>
      <c r="K1169" s="7" t="s">
        <v>312</v>
      </c>
      <c r="L1169" s="7">
        <v>42</v>
      </c>
      <c r="M1169" s="7">
        <f>IF(INDEX([1]equip.xml!$B:$B,MATCH(D1169,[1]equip.xml!$A:$A,0))=0,0,N1169)</f>
        <v>0</v>
      </c>
      <c r="N1169" s="7">
        <f t="shared" ref="N1169" si="1722">N1081</f>
        <v>14</v>
      </c>
    </row>
    <row r="1170" spans="1:14">
      <c r="A1170" s="7">
        <v>10017</v>
      </c>
      <c r="B1170" s="7">
        <f t="shared" ref="B1170:C1170" si="1723">B1082</f>
        <v>40000</v>
      </c>
      <c r="C1170" s="7" t="str">
        <f t="shared" si="1723"/>
        <v>装备</v>
      </c>
      <c r="D1170" s="7">
        <f t="shared" si="1643"/>
        <v>50650045</v>
      </c>
      <c r="E1170" s="7"/>
      <c r="F1170" s="7">
        <v>1</v>
      </c>
      <c r="G1170" s="8">
        <f>3*INDEX([1]equip.xml!$I:$I,MATCH(D1170,[1]equip.xml!$A:$A,0))</f>
        <v>390000</v>
      </c>
      <c r="H1170" s="7" t="str">
        <f t="shared" si="1668"/>
        <v>10_10,50_20,80_30</v>
      </c>
      <c r="I1170" s="7">
        <v>1</v>
      </c>
      <c r="J1170" s="7">
        <f t="shared" si="1669"/>
        <v>240</v>
      </c>
      <c r="K1170" s="7" t="s">
        <v>312</v>
      </c>
      <c r="L1170" s="7">
        <v>42</v>
      </c>
      <c r="M1170" s="7">
        <f>IF(INDEX([1]equip.xml!$B:$B,MATCH(D1170,[1]equip.xml!$A:$A,0))=0,0,N1170)</f>
        <v>14</v>
      </c>
      <c r="N1170" s="7">
        <f t="shared" ref="N1170" si="1724">N1082</f>
        <v>14</v>
      </c>
    </row>
    <row r="1171" spans="1:14">
      <c r="A1171" s="7">
        <v>10017</v>
      </c>
      <c r="B1171" s="7">
        <f t="shared" ref="B1171:C1171" si="1725">B1083</f>
        <v>40000</v>
      </c>
      <c r="C1171" s="7" t="str">
        <f t="shared" si="1725"/>
        <v>装备</v>
      </c>
      <c r="D1171" s="7">
        <f t="shared" si="1643"/>
        <v>50650046</v>
      </c>
      <c r="E1171" s="7"/>
      <c r="F1171" s="7">
        <v>1</v>
      </c>
      <c r="G1171" s="8">
        <f>3*INDEX([1]equip.xml!$I:$I,MATCH(D1171,[1]equip.xml!$A:$A,0))</f>
        <v>408000</v>
      </c>
      <c r="H1171" s="7" t="str">
        <f t="shared" si="1668"/>
        <v>10_10,50_20,80_30</v>
      </c>
      <c r="I1171" s="7">
        <v>1</v>
      </c>
      <c r="J1171" s="7">
        <f t="shared" si="1669"/>
        <v>240</v>
      </c>
      <c r="K1171" s="7" t="s">
        <v>312</v>
      </c>
      <c r="L1171" s="7">
        <v>42</v>
      </c>
      <c r="M1171" s="7">
        <f>IF(INDEX([1]equip.xml!$B:$B,MATCH(D1171,[1]equip.xml!$A:$A,0))=0,0,N1171)</f>
        <v>0</v>
      </c>
      <c r="N1171" s="7">
        <f t="shared" ref="N1171" si="1726">N1083</f>
        <v>14</v>
      </c>
    </row>
    <row r="1172" spans="1:14">
      <c r="A1172" s="7">
        <v>10017</v>
      </c>
      <c r="B1172" s="7">
        <f t="shared" ref="B1172:C1172" si="1727">B1084</f>
        <v>40000</v>
      </c>
      <c r="C1172" s="7" t="str">
        <f t="shared" si="1727"/>
        <v>装备</v>
      </c>
      <c r="D1172" s="7">
        <f t="shared" si="1643"/>
        <v>50650075</v>
      </c>
      <c r="E1172" s="7"/>
      <c r="F1172" s="7">
        <v>1</v>
      </c>
      <c r="G1172" s="8">
        <f>3*INDEX([1]equip.xml!$I:$I,MATCH(D1172,[1]equip.xml!$A:$A,0))</f>
        <v>390000</v>
      </c>
      <c r="H1172" s="7" t="str">
        <f t="shared" si="1668"/>
        <v>10_10,50_20,80_30</v>
      </c>
      <c r="I1172" s="7">
        <v>1</v>
      </c>
      <c r="J1172" s="7">
        <f t="shared" si="1669"/>
        <v>240</v>
      </c>
      <c r="K1172" s="7" t="s">
        <v>312</v>
      </c>
      <c r="L1172" s="7">
        <v>42</v>
      </c>
      <c r="M1172" s="7">
        <f>IF(INDEX([1]equip.xml!$B:$B,MATCH(D1172,[1]equip.xml!$A:$A,0))=0,0,N1172)</f>
        <v>14</v>
      </c>
      <c r="N1172" s="7">
        <f t="shared" ref="N1172" si="1728">N1084</f>
        <v>14</v>
      </c>
    </row>
    <row r="1173" spans="1:14">
      <c r="A1173" s="7">
        <v>10017</v>
      </c>
      <c r="B1173" s="7">
        <f t="shared" ref="B1173:C1173" si="1729">B1085</f>
        <v>40000</v>
      </c>
      <c r="C1173" s="7" t="str">
        <f t="shared" si="1729"/>
        <v>装备</v>
      </c>
      <c r="D1173" s="7">
        <f t="shared" si="1643"/>
        <v>50650076</v>
      </c>
      <c r="E1173" s="7"/>
      <c r="F1173" s="7">
        <v>1</v>
      </c>
      <c r="G1173" s="8">
        <f>3*INDEX([1]equip.xml!$I:$I,MATCH(D1173,[1]equip.xml!$A:$A,0))</f>
        <v>408000</v>
      </c>
      <c r="H1173" s="7" t="str">
        <f t="shared" si="1668"/>
        <v>10_10,50_20,80_30</v>
      </c>
      <c r="I1173" s="7">
        <v>1</v>
      </c>
      <c r="J1173" s="7">
        <f t="shared" si="1669"/>
        <v>240</v>
      </c>
      <c r="K1173" s="7" t="s">
        <v>312</v>
      </c>
      <c r="L1173" s="7">
        <v>42</v>
      </c>
      <c r="M1173" s="7">
        <f>IF(INDEX([1]equip.xml!$B:$B,MATCH(D1173,[1]equip.xml!$A:$A,0))=0,0,N1173)</f>
        <v>0</v>
      </c>
      <c r="N1173" s="7">
        <f t="shared" ref="N1173" si="1730">N1085</f>
        <v>14</v>
      </c>
    </row>
    <row r="1174" spans="1:14">
      <c r="A1174" s="8">
        <v>10018</v>
      </c>
      <c r="B1174" s="8">
        <f t="shared" ref="B1174:C1174" si="1731">B1086</f>
        <v>40000</v>
      </c>
      <c r="C1174" s="8" t="str">
        <f t="shared" si="1731"/>
        <v>装备</v>
      </c>
      <c r="D1174" s="8">
        <v>40650010</v>
      </c>
      <c r="E1174" s="8"/>
      <c r="F1174" s="8">
        <v>1</v>
      </c>
      <c r="G1174" s="7">
        <f>3*INDEX([1]equip.xml!$I:$I,MATCH(D1174&amp;"",[1]equip.xml!$A:$A,0))</f>
        <v>195000</v>
      </c>
      <c r="H1174" s="8" t="str">
        <f t="shared" si="1668"/>
        <v>10_10,50_20,80_30</v>
      </c>
      <c r="I1174" s="8">
        <f t="shared" si="1669"/>
        <v>6</v>
      </c>
      <c r="J1174" s="8">
        <f t="shared" si="1669"/>
        <v>50</v>
      </c>
      <c r="K1174" s="7" t="s">
        <v>312</v>
      </c>
      <c r="L1174" s="8">
        <v>44</v>
      </c>
      <c r="M1174" s="7">
        <f>IF(INDEX([1]equip.xml!$B:$B,MATCH(D1174&amp;"",[1]equip.xml!$A:$A,0))=0,0,N1174)</f>
        <v>130</v>
      </c>
      <c r="N1174" s="8">
        <v>130</v>
      </c>
    </row>
    <row r="1175" spans="1:14">
      <c r="A1175" s="8">
        <v>10018</v>
      </c>
      <c r="B1175" s="8">
        <f t="shared" ref="B1175:C1175" si="1732">B1087</f>
        <v>40000</v>
      </c>
      <c r="C1175" s="8" t="str">
        <f t="shared" si="1732"/>
        <v>装备</v>
      </c>
      <c r="D1175" s="8">
        <v>40650020</v>
      </c>
      <c r="E1175" s="8"/>
      <c r="F1175" s="8">
        <v>1</v>
      </c>
      <c r="G1175" s="7">
        <f>3*INDEX([1]equip.xml!$I:$I,MATCH(D1175&amp;"",[1]equip.xml!$A:$A,0))</f>
        <v>195000</v>
      </c>
      <c r="H1175" s="8" t="str">
        <f t="shared" si="1668"/>
        <v>10_10,50_20,80_30</v>
      </c>
      <c r="I1175" s="8">
        <f t="shared" si="1669"/>
        <v>6</v>
      </c>
      <c r="J1175" s="8">
        <f t="shared" si="1669"/>
        <v>50</v>
      </c>
      <c r="K1175" s="7" t="s">
        <v>312</v>
      </c>
      <c r="L1175" s="8">
        <v>44</v>
      </c>
      <c r="M1175" s="7">
        <f>IF(INDEX([1]equip.xml!$B:$B,MATCH(D1175&amp;"",[1]equip.xml!$A:$A,0))=0,0,N1175)</f>
        <v>130</v>
      </c>
      <c r="N1175" s="8">
        <v>130</v>
      </c>
    </row>
    <row r="1176" spans="1:14">
      <c r="A1176" s="8">
        <v>10018</v>
      </c>
      <c r="B1176" s="8">
        <f t="shared" ref="B1176:C1176" si="1733">B1088</f>
        <v>40000</v>
      </c>
      <c r="C1176" s="8" t="str">
        <f t="shared" si="1733"/>
        <v>装备</v>
      </c>
      <c r="D1176" s="8">
        <v>40650030</v>
      </c>
      <c r="E1176" s="8"/>
      <c r="F1176" s="8">
        <v>1</v>
      </c>
      <c r="G1176" s="7">
        <f>3*INDEX([1]equip.xml!$I:$I,MATCH(D1176&amp;"",[1]equip.xml!$A:$A,0))</f>
        <v>195000</v>
      </c>
      <c r="H1176" s="8" t="str">
        <f t="shared" si="1668"/>
        <v>10_10,50_20,80_30</v>
      </c>
      <c r="I1176" s="8">
        <f t="shared" si="1669"/>
        <v>6</v>
      </c>
      <c r="J1176" s="8">
        <f t="shared" si="1669"/>
        <v>50</v>
      </c>
      <c r="K1176" s="7" t="s">
        <v>312</v>
      </c>
      <c r="L1176" s="8">
        <v>44</v>
      </c>
      <c r="M1176" s="7">
        <f>IF(INDEX([1]equip.xml!$B:$B,MATCH(D1176&amp;"",[1]equip.xml!$A:$A,0))=0,0,N1176)</f>
        <v>130</v>
      </c>
      <c r="N1176" s="8">
        <v>130</v>
      </c>
    </row>
    <row r="1177" spans="1:14">
      <c r="A1177" s="8">
        <v>10018</v>
      </c>
      <c r="B1177" s="8">
        <f t="shared" ref="B1177:C1177" si="1734">B1089</f>
        <v>40000</v>
      </c>
      <c r="C1177" s="8" t="str">
        <f t="shared" si="1734"/>
        <v>装备</v>
      </c>
      <c r="D1177" s="8">
        <v>40650080</v>
      </c>
      <c r="E1177" s="8"/>
      <c r="F1177" s="8">
        <v>1</v>
      </c>
      <c r="G1177" s="7">
        <f>3*INDEX([1]equip.xml!$I:$I,MATCH(D1177&amp;"",[1]equip.xml!$A:$A,0))</f>
        <v>195000</v>
      </c>
      <c r="H1177" s="8" t="str">
        <f t="shared" si="1668"/>
        <v>10_10,50_20,80_30</v>
      </c>
      <c r="I1177" s="8">
        <f t="shared" si="1669"/>
        <v>6</v>
      </c>
      <c r="J1177" s="8">
        <f t="shared" si="1669"/>
        <v>50</v>
      </c>
      <c r="K1177" s="7" t="s">
        <v>312</v>
      </c>
      <c r="L1177" s="8">
        <v>44</v>
      </c>
      <c r="M1177" s="7">
        <f>IF(INDEX([1]equip.xml!$B:$B,MATCH(D1177&amp;"",[1]equip.xml!$A:$A,0))=0,0,N1177)</f>
        <v>130</v>
      </c>
      <c r="N1177" s="8">
        <v>130</v>
      </c>
    </row>
    <row r="1178" spans="1:14">
      <c r="A1178" s="8">
        <v>10018</v>
      </c>
      <c r="B1178" s="8">
        <f t="shared" ref="B1178:C1178" si="1735">B1090</f>
        <v>40000</v>
      </c>
      <c r="C1178" s="8" t="str">
        <f t="shared" si="1735"/>
        <v>装备</v>
      </c>
      <c r="D1178" s="8">
        <v>40650090</v>
      </c>
      <c r="E1178" s="8"/>
      <c r="F1178" s="8">
        <v>1</v>
      </c>
      <c r="G1178" s="7">
        <f>3*INDEX([1]equip.xml!$I:$I,MATCH(D1178&amp;"",[1]equip.xml!$A:$A,0))</f>
        <v>195000</v>
      </c>
      <c r="H1178" s="8" t="str">
        <f t="shared" si="1668"/>
        <v>10_10,50_20,80_30</v>
      </c>
      <c r="I1178" s="8">
        <f t="shared" si="1669"/>
        <v>6</v>
      </c>
      <c r="J1178" s="8">
        <f t="shared" si="1669"/>
        <v>50</v>
      </c>
      <c r="K1178" s="7" t="s">
        <v>312</v>
      </c>
      <c r="L1178" s="8">
        <v>44</v>
      </c>
      <c r="M1178" s="7">
        <f>IF(INDEX([1]equip.xml!$B:$B,MATCH(D1178&amp;"",[1]equip.xml!$A:$A,0))=0,0,N1178)</f>
        <v>130</v>
      </c>
      <c r="N1178" s="8">
        <v>130</v>
      </c>
    </row>
    <row r="1179" spans="1:14">
      <c r="A1179" s="8">
        <v>10018</v>
      </c>
      <c r="B1179" s="8">
        <f t="shared" ref="B1179:C1179" si="1736">B1091</f>
        <v>40000</v>
      </c>
      <c r="C1179" s="8" t="str">
        <f t="shared" si="1736"/>
        <v>装备</v>
      </c>
      <c r="D1179" s="8">
        <v>40650100</v>
      </c>
      <c r="E1179" s="8"/>
      <c r="F1179" s="8">
        <v>1</v>
      </c>
      <c r="G1179" s="7">
        <f>3*INDEX([1]equip.xml!$I:$I,MATCH(D1179&amp;"",[1]equip.xml!$A:$A,0))</f>
        <v>195000</v>
      </c>
      <c r="H1179" s="8" t="str">
        <f t="shared" si="1668"/>
        <v>10_10,50_20,80_30</v>
      </c>
      <c r="I1179" s="8">
        <f t="shared" si="1669"/>
        <v>6</v>
      </c>
      <c r="J1179" s="8">
        <f t="shared" si="1669"/>
        <v>50</v>
      </c>
      <c r="K1179" s="7" t="s">
        <v>312</v>
      </c>
      <c r="L1179" s="8">
        <v>44</v>
      </c>
      <c r="M1179" s="7">
        <f>IF(INDEX([1]equip.xml!$B:$B,MATCH(D1179&amp;"",[1]equip.xml!$A:$A,0))=0,0,N1179)</f>
        <v>130</v>
      </c>
      <c r="N1179" s="8">
        <v>130</v>
      </c>
    </row>
    <row r="1180" spans="1:14">
      <c r="A1180" s="8">
        <v>10018</v>
      </c>
      <c r="B1180" s="8">
        <f t="shared" ref="B1180:C1180" si="1737">B1092</f>
        <v>40000</v>
      </c>
      <c r="C1180" s="8" t="str">
        <f t="shared" si="1737"/>
        <v>装备</v>
      </c>
      <c r="D1180" s="8">
        <v>40651050</v>
      </c>
      <c r="E1180" s="8"/>
      <c r="F1180" s="8">
        <v>1</v>
      </c>
      <c r="G1180" s="7">
        <f>3*INDEX([1]equip.xml!$I:$I,MATCH(D1180&amp;"",[1]equip.xml!$A:$A,0))</f>
        <v>195000</v>
      </c>
      <c r="H1180" s="8" t="str">
        <f t="shared" si="1668"/>
        <v>10_10,50_20,80_30</v>
      </c>
      <c r="I1180" s="8">
        <f t="shared" si="1669"/>
        <v>6</v>
      </c>
      <c r="J1180" s="8">
        <f t="shared" si="1669"/>
        <v>50</v>
      </c>
      <c r="K1180" s="7" t="s">
        <v>312</v>
      </c>
      <c r="L1180" s="8">
        <v>44</v>
      </c>
      <c r="M1180" s="7">
        <f>IF(INDEX([1]equip.xml!$B:$B,MATCH(D1180&amp;"",[1]equip.xml!$A:$A,0))=0,0,N1180)</f>
        <v>130</v>
      </c>
      <c r="N1180" s="8">
        <v>130</v>
      </c>
    </row>
    <row r="1181" spans="1:14">
      <c r="A1181" s="8">
        <v>10018</v>
      </c>
      <c r="B1181" s="8">
        <f t="shared" ref="B1181:C1181" si="1738">B1093</f>
        <v>40000</v>
      </c>
      <c r="C1181" s="8" t="str">
        <f t="shared" si="1738"/>
        <v>装备</v>
      </c>
      <c r="D1181" s="8">
        <v>40651051</v>
      </c>
      <c r="E1181" s="8"/>
      <c r="F1181" s="8">
        <v>1</v>
      </c>
      <c r="G1181" s="7">
        <f>3*INDEX([1]equip.xml!$I:$I,MATCH(D1181&amp;"",[1]equip.xml!$A:$A,0))</f>
        <v>204000</v>
      </c>
      <c r="H1181" s="8" t="str">
        <f t="shared" si="1668"/>
        <v>10_10,50_20,80_30</v>
      </c>
      <c r="I1181" s="8">
        <f t="shared" si="1669"/>
        <v>6</v>
      </c>
      <c r="J1181" s="8">
        <f t="shared" si="1669"/>
        <v>50</v>
      </c>
      <c r="K1181" s="7" t="s">
        <v>312</v>
      </c>
      <c r="L1181" s="8">
        <v>44</v>
      </c>
      <c r="M1181" s="7">
        <f>IF(INDEX([1]equip.xml!$B:$B,MATCH(D1181&amp;"",[1]equip.xml!$A:$A,0))=0,0,N1181)</f>
        <v>0</v>
      </c>
      <c r="N1181" s="8">
        <v>130</v>
      </c>
    </row>
    <row r="1182" spans="1:14">
      <c r="A1182" s="8">
        <v>10018</v>
      </c>
      <c r="B1182" s="8">
        <f t="shared" ref="B1182:C1182" si="1739">B1094</f>
        <v>40000</v>
      </c>
      <c r="C1182" s="8" t="str">
        <f t="shared" si="1739"/>
        <v>装备</v>
      </c>
      <c r="D1182" s="8">
        <v>40651060</v>
      </c>
      <c r="E1182" s="8"/>
      <c r="F1182" s="8">
        <v>1</v>
      </c>
      <c r="G1182" s="7">
        <f>3*INDEX([1]equip.xml!$I:$I,MATCH(D1182&amp;"",[1]equip.xml!$A:$A,0))</f>
        <v>195000</v>
      </c>
      <c r="H1182" s="8" t="str">
        <f t="shared" si="1668"/>
        <v>10_10,50_20,80_30</v>
      </c>
      <c r="I1182" s="8">
        <f t="shared" si="1669"/>
        <v>6</v>
      </c>
      <c r="J1182" s="8">
        <f t="shared" si="1669"/>
        <v>50</v>
      </c>
      <c r="K1182" s="7" t="s">
        <v>312</v>
      </c>
      <c r="L1182" s="8">
        <v>44</v>
      </c>
      <c r="M1182" s="7">
        <f>IF(INDEX([1]equip.xml!$B:$B,MATCH(D1182&amp;"",[1]equip.xml!$A:$A,0))=0,0,N1182)</f>
        <v>130</v>
      </c>
      <c r="N1182" s="8">
        <v>130</v>
      </c>
    </row>
    <row r="1183" spans="1:14">
      <c r="A1183" s="8">
        <v>10018</v>
      </c>
      <c r="B1183" s="8">
        <f t="shared" ref="B1183:C1183" si="1740">B1095</f>
        <v>40000</v>
      </c>
      <c r="C1183" s="8" t="str">
        <f t="shared" si="1740"/>
        <v>装备</v>
      </c>
      <c r="D1183" s="8">
        <v>40651061</v>
      </c>
      <c r="E1183" s="8"/>
      <c r="F1183" s="8">
        <v>1</v>
      </c>
      <c r="G1183" s="7">
        <f>3*INDEX([1]equip.xml!$I:$I,MATCH(D1183&amp;"",[1]equip.xml!$A:$A,0))</f>
        <v>204000</v>
      </c>
      <c r="H1183" s="8" t="str">
        <f t="shared" si="1668"/>
        <v>10_10,50_20,80_30</v>
      </c>
      <c r="I1183" s="8">
        <f t="shared" si="1669"/>
        <v>6</v>
      </c>
      <c r="J1183" s="8">
        <f t="shared" si="1669"/>
        <v>50</v>
      </c>
      <c r="K1183" s="7" t="s">
        <v>312</v>
      </c>
      <c r="L1183" s="8">
        <v>44</v>
      </c>
      <c r="M1183" s="7">
        <f>IF(INDEX([1]equip.xml!$B:$B,MATCH(D1183&amp;"",[1]equip.xml!$A:$A,0))=0,0,N1183)</f>
        <v>0</v>
      </c>
      <c r="N1183" s="8">
        <v>130</v>
      </c>
    </row>
    <row r="1184" spans="1:14">
      <c r="A1184" s="8">
        <v>10018</v>
      </c>
      <c r="B1184" s="8">
        <f t="shared" ref="B1184:C1184" si="1741">B1096</f>
        <v>40000</v>
      </c>
      <c r="C1184" s="8" t="str">
        <f t="shared" si="1741"/>
        <v>装备</v>
      </c>
      <c r="D1184" s="8">
        <v>40652050</v>
      </c>
      <c r="E1184" s="8"/>
      <c r="F1184" s="8">
        <v>1</v>
      </c>
      <c r="G1184" s="7">
        <f>3*INDEX([1]equip.xml!$I:$I,MATCH(D1184&amp;"",[1]equip.xml!$A:$A,0))</f>
        <v>195000</v>
      </c>
      <c r="H1184" s="8" t="str">
        <f t="shared" si="1668"/>
        <v>10_10,50_20,80_30</v>
      </c>
      <c r="I1184" s="8">
        <f t="shared" si="1669"/>
        <v>6</v>
      </c>
      <c r="J1184" s="8">
        <f t="shared" si="1669"/>
        <v>50</v>
      </c>
      <c r="K1184" s="7" t="s">
        <v>312</v>
      </c>
      <c r="L1184" s="8">
        <v>44</v>
      </c>
      <c r="M1184" s="7">
        <f>IF(INDEX([1]equip.xml!$B:$B,MATCH(D1184&amp;"",[1]equip.xml!$A:$A,0))=0,0,N1184)</f>
        <v>130</v>
      </c>
      <c r="N1184" s="8">
        <v>130</v>
      </c>
    </row>
    <row r="1185" spans="1:14">
      <c r="A1185" s="8">
        <v>10018</v>
      </c>
      <c r="B1185" s="8">
        <f t="shared" ref="B1185:C1185" si="1742">B1097</f>
        <v>40000</v>
      </c>
      <c r="C1185" s="8" t="str">
        <f t="shared" si="1742"/>
        <v>装备</v>
      </c>
      <c r="D1185" s="8">
        <v>40652051</v>
      </c>
      <c r="E1185" s="8"/>
      <c r="F1185" s="8">
        <v>1</v>
      </c>
      <c r="G1185" s="7">
        <f>3*INDEX([1]equip.xml!$I:$I,MATCH(D1185&amp;"",[1]equip.xml!$A:$A,0))</f>
        <v>204000</v>
      </c>
      <c r="H1185" s="8" t="str">
        <f t="shared" si="1668"/>
        <v>10_10,50_20,80_30</v>
      </c>
      <c r="I1185" s="8">
        <f t="shared" si="1669"/>
        <v>6</v>
      </c>
      <c r="J1185" s="8">
        <f t="shared" si="1669"/>
        <v>50</v>
      </c>
      <c r="K1185" s="7" t="s">
        <v>312</v>
      </c>
      <c r="L1185" s="8">
        <v>44</v>
      </c>
      <c r="M1185" s="7">
        <f>IF(INDEX([1]equip.xml!$B:$B,MATCH(D1185&amp;"",[1]equip.xml!$A:$A,0))=0,0,N1185)</f>
        <v>0</v>
      </c>
      <c r="N1185" s="8">
        <v>130</v>
      </c>
    </row>
    <row r="1186" spans="1:14">
      <c r="A1186" s="8">
        <v>10018</v>
      </c>
      <c r="B1186" s="8">
        <f t="shared" ref="B1186:C1186" si="1743">B1098</f>
        <v>40000</v>
      </c>
      <c r="C1186" s="8" t="str">
        <f t="shared" si="1743"/>
        <v>装备</v>
      </c>
      <c r="D1186" s="8">
        <v>40652060</v>
      </c>
      <c r="E1186" s="8"/>
      <c r="F1186" s="8">
        <v>1</v>
      </c>
      <c r="G1186" s="7">
        <f>3*INDEX([1]equip.xml!$I:$I,MATCH(D1186&amp;"",[1]equip.xml!$A:$A,0))</f>
        <v>195000</v>
      </c>
      <c r="H1186" s="8" t="str">
        <f t="shared" si="1668"/>
        <v>10_10,50_20,80_30</v>
      </c>
      <c r="I1186" s="8">
        <f t="shared" si="1669"/>
        <v>6</v>
      </c>
      <c r="J1186" s="8">
        <f t="shared" si="1669"/>
        <v>50</v>
      </c>
      <c r="K1186" s="7" t="s">
        <v>312</v>
      </c>
      <c r="L1186" s="8">
        <v>44</v>
      </c>
      <c r="M1186" s="7">
        <f>IF(INDEX([1]equip.xml!$B:$B,MATCH(D1186&amp;"",[1]equip.xml!$A:$A,0))=0,0,N1186)</f>
        <v>130</v>
      </c>
      <c r="N1186" s="8">
        <v>130</v>
      </c>
    </row>
    <row r="1187" spans="1:14">
      <c r="A1187" s="8">
        <v>10018</v>
      </c>
      <c r="B1187" s="8">
        <f t="shared" ref="B1187:C1187" si="1744">B1099</f>
        <v>40000</v>
      </c>
      <c r="C1187" s="8" t="str">
        <f t="shared" si="1744"/>
        <v>装备</v>
      </c>
      <c r="D1187" s="8">
        <v>40652061</v>
      </c>
      <c r="E1187" s="8"/>
      <c r="F1187" s="8">
        <v>1</v>
      </c>
      <c r="G1187" s="7">
        <f>3*INDEX([1]equip.xml!$I:$I,MATCH(D1187&amp;"",[1]equip.xml!$A:$A,0))</f>
        <v>204000</v>
      </c>
      <c r="H1187" s="8" t="str">
        <f t="shared" si="1668"/>
        <v>10_10,50_20,80_30</v>
      </c>
      <c r="I1187" s="8">
        <f t="shared" si="1669"/>
        <v>6</v>
      </c>
      <c r="J1187" s="8">
        <f t="shared" si="1669"/>
        <v>50</v>
      </c>
      <c r="K1187" s="7" t="s">
        <v>312</v>
      </c>
      <c r="L1187" s="8">
        <v>44</v>
      </c>
      <c r="M1187" s="7">
        <f>IF(INDEX([1]equip.xml!$B:$B,MATCH(D1187&amp;"",[1]equip.xml!$A:$A,0))=0,0,N1187)</f>
        <v>0</v>
      </c>
      <c r="N1187" s="8">
        <v>130</v>
      </c>
    </row>
    <row r="1188" spans="1:14">
      <c r="A1188" s="8">
        <v>10018</v>
      </c>
      <c r="B1188" s="8">
        <f t="shared" ref="B1188:C1188" si="1745">B1100</f>
        <v>40000</v>
      </c>
      <c r="C1188" s="8" t="str">
        <f t="shared" si="1745"/>
        <v>装备</v>
      </c>
      <c r="D1188" s="8">
        <v>40653050</v>
      </c>
      <c r="E1188" s="8"/>
      <c r="F1188" s="8">
        <v>1</v>
      </c>
      <c r="G1188" s="7">
        <f>3*INDEX([1]equip.xml!$I:$I,MATCH(D1188&amp;"",[1]equip.xml!$A:$A,0))</f>
        <v>195000</v>
      </c>
      <c r="H1188" s="8" t="str">
        <f t="shared" si="1668"/>
        <v>10_10,50_20,80_30</v>
      </c>
      <c r="I1188" s="8">
        <f t="shared" si="1669"/>
        <v>6</v>
      </c>
      <c r="J1188" s="8">
        <f t="shared" si="1669"/>
        <v>50</v>
      </c>
      <c r="K1188" s="7" t="s">
        <v>312</v>
      </c>
      <c r="L1188" s="8">
        <v>44</v>
      </c>
      <c r="M1188" s="7">
        <f>IF(INDEX([1]equip.xml!$B:$B,MATCH(D1188&amp;"",[1]equip.xml!$A:$A,0))=0,0,N1188)</f>
        <v>130</v>
      </c>
      <c r="N1188" s="8">
        <v>130</v>
      </c>
    </row>
    <row r="1189" spans="1:14">
      <c r="A1189" s="8">
        <v>10018</v>
      </c>
      <c r="B1189" s="8">
        <f t="shared" ref="B1189:C1189" si="1746">B1101</f>
        <v>40000</v>
      </c>
      <c r="C1189" s="8" t="str">
        <f t="shared" si="1746"/>
        <v>装备</v>
      </c>
      <c r="D1189" s="8">
        <v>40653051</v>
      </c>
      <c r="E1189" s="8"/>
      <c r="F1189" s="8">
        <v>1</v>
      </c>
      <c r="G1189" s="7">
        <f>3*INDEX([1]equip.xml!$I:$I,MATCH(D1189&amp;"",[1]equip.xml!$A:$A,0))</f>
        <v>204000</v>
      </c>
      <c r="H1189" s="8" t="str">
        <f t="shared" si="1668"/>
        <v>10_10,50_20,80_30</v>
      </c>
      <c r="I1189" s="8">
        <f t="shared" si="1669"/>
        <v>6</v>
      </c>
      <c r="J1189" s="8">
        <f t="shared" si="1669"/>
        <v>50</v>
      </c>
      <c r="K1189" s="7" t="s">
        <v>312</v>
      </c>
      <c r="L1189" s="8">
        <v>44</v>
      </c>
      <c r="M1189" s="7">
        <f>IF(INDEX([1]equip.xml!$B:$B,MATCH(D1189&amp;"",[1]equip.xml!$A:$A,0))=0,0,N1189)</f>
        <v>0</v>
      </c>
      <c r="N1189" s="8">
        <v>130</v>
      </c>
    </row>
    <row r="1190" spans="1:14">
      <c r="A1190" s="8">
        <v>10018</v>
      </c>
      <c r="B1190" s="8">
        <f t="shared" ref="B1190:C1190" si="1747">B1102</f>
        <v>40000</v>
      </c>
      <c r="C1190" s="8" t="str">
        <f t="shared" si="1747"/>
        <v>装备</v>
      </c>
      <c r="D1190" s="8">
        <v>40653060</v>
      </c>
      <c r="E1190" s="8"/>
      <c r="F1190" s="8">
        <v>1</v>
      </c>
      <c r="G1190" s="7">
        <f>3*INDEX([1]equip.xml!$I:$I,MATCH(D1190&amp;"",[1]equip.xml!$A:$A,0))</f>
        <v>195000</v>
      </c>
      <c r="H1190" s="8" t="str">
        <f t="shared" si="1668"/>
        <v>10_10,50_20,80_30</v>
      </c>
      <c r="I1190" s="8">
        <f t="shared" si="1669"/>
        <v>6</v>
      </c>
      <c r="J1190" s="8">
        <f t="shared" si="1669"/>
        <v>50</v>
      </c>
      <c r="K1190" s="7" t="s">
        <v>312</v>
      </c>
      <c r="L1190" s="8">
        <v>44</v>
      </c>
      <c r="M1190" s="7">
        <f>IF(INDEX([1]equip.xml!$B:$B,MATCH(D1190&amp;"",[1]equip.xml!$A:$A,0))=0,0,N1190)</f>
        <v>130</v>
      </c>
      <c r="N1190" s="8">
        <v>130</v>
      </c>
    </row>
    <row r="1191" spans="1:14">
      <c r="A1191" s="8">
        <v>10018</v>
      </c>
      <c r="B1191" s="8">
        <f t="shared" ref="B1191:C1191" si="1748">B1103</f>
        <v>40000</v>
      </c>
      <c r="C1191" s="8" t="str">
        <f t="shared" si="1748"/>
        <v>装备</v>
      </c>
      <c r="D1191" s="8">
        <v>40653061</v>
      </c>
      <c r="E1191" s="8"/>
      <c r="F1191" s="8">
        <v>1</v>
      </c>
      <c r="G1191" s="7">
        <f>3*INDEX([1]equip.xml!$I:$I,MATCH(D1191&amp;"",[1]equip.xml!$A:$A,0))</f>
        <v>204000</v>
      </c>
      <c r="H1191" s="8" t="str">
        <f t="shared" si="1668"/>
        <v>10_10,50_20,80_30</v>
      </c>
      <c r="I1191" s="8">
        <f t="shared" si="1669"/>
        <v>6</v>
      </c>
      <c r="J1191" s="8">
        <f t="shared" si="1669"/>
        <v>50</v>
      </c>
      <c r="K1191" s="7" t="s">
        <v>312</v>
      </c>
      <c r="L1191" s="8">
        <v>44</v>
      </c>
      <c r="M1191" s="7">
        <f>IF(INDEX([1]equip.xml!$B:$B,MATCH(D1191&amp;"",[1]equip.xml!$A:$A,0))=0,0,N1191)</f>
        <v>0</v>
      </c>
      <c r="N1191" s="8">
        <v>130</v>
      </c>
    </row>
    <row r="1192" spans="1:14">
      <c r="A1192" s="8">
        <v>10018</v>
      </c>
      <c r="B1192" s="8">
        <f t="shared" ref="B1192:C1192" si="1749">B1104</f>
        <v>40000</v>
      </c>
      <c r="C1192" s="8" t="str">
        <f t="shared" si="1749"/>
        <v>装备</v>
      </c>
      <c r="D1192" s="8">
        <v>40650040</v>
      </c>
      <c r="E1192" s="8"/>
      <c r="F1192" s="8">
        <v>1</v>
      </c>
      <c r="G1192" s="7">
        <f>3*INDEX([1]equip.xml!$I:$I,MATCH(D1192&amp;"",[1]equip.xml!$A:$A,0))</f>
        <v>195000</v>
      </c>
      <c r="H1192" s="8" t="str">
        <f t="shared" si="1668"/>
        <v>10_10,50_20,80_30</v>
      </c>
      <c r="I1192" s="8">
        <f t="shared" si="1669"/>
        <v>6</v>
      </c>
      <c r="J1192" s="8">
        <f t="shared" si="1669"/>
        <v>50</v>
      </c>
      <c r="K1192" s="7" t="s">
        <v>312</v>
      </c>
      <c r="L1192" s="8">
        <v>44</v>
      </c>
      <c r="M1192" s="7">
        <f>IF(INDEX([1]equip.xml!$B:$B,MATCH(D1192&amp;"",[1]equip.xml!$A:$A,0))=0,0,N1192)</f>
        <v>130</v>
      </c>
      <c r="N1192" s="8">
        <v>130</v>
      </c>
    </row>
    <row r="1193" spans="1:14">
      <c r="A1193" s="8">
        <v>10018</v>
      </c>
      <c r="B1193" s="8">
        <f t="shared" ref="B1193:C1193" si="1750">B1105</f>
        <v>40000</v>
      </c>
      <c r="C1193" s="8" t="str">
        <f t="shared" si="1750"/>
        <v>装备</v>
      </c>
      <c r="D1193" s="8">
        <v>40650041</v>
      </c>
      <c r="E1193" s="8"/>
      <c r="F1193" s="8">
        <v>1</v>
      </c>
      <c r="G1193" s="7">
        <f>3*INDEX([1]equip.xml!$I:$I,MATCH(D1193&amp;"",[1]equip.xml!$A:$A,0))</f>
        <v>204000</v>
      </c>
      <c r="H1193" s="8" t="str">
        <f t="shared" si="1668"/>
        <v>10_10,50_20,80_30</v>
      </c>
      <c r="I1193" s="8">
        <f t="shared" si="1669"/>
        <v>6</v>
      </c>
      <c r="J1193" s="8">
        <f t="shared" si="1669"/>
        <v>50</v>
      </c>
      <c r="K1193" s="7" t="s">
        <v>312</v>
      </c>
      <c r="L1193" s="8">
        <v>44</v>
      </c>
      <c r="M1193" s="7">
        <f>IF(INDEX([1]equip.xml!$B:$B,MATCH(D1193&amp;"",[1]equip.xml!$A:$A,0))=0,0,N1193)</f>
        <v>0</v>
      </c>
      <c r="N1193" s="8">
        <v>130</v>
      </c>
    </row>
    <row r="1194" spans="1:14">
      <c r="A1194" s="8">
        <v>10018</v>
      </c>
      <c r="B1194" s="8">
        <f t="shared" ref="B1194:C1194" si="1751">B1106</f>
        <v>40000</v>
      </c>
      <c r="C1194" s="8" t="str">
        <f t="shared" si="1751"/>
        <v>装备</v>
      </c>
      <c r="D1194" s="8">
        <v>40650070</v>
      </c>
      <c r="E1194" s="8"/>
      <c r="F1194" s="8">
        <v>1</v>
      </c>
      <c r="G1194" s="7">
        <f>3*INDEX([1]equip.xml!$I:$I,MATCH(D1194&amp;"",[1]equip.xml!$A:$A,0))</f>
        <v>195000</v>
      </c>
      <c r="H1194" s="8" t="str">
        <f t="shared" si="1668"/>
        <v>10_10,50_20,80_30</v>
      </c>
      <c r="I1194" s="8">
        <f t="shared" si="1669"/>
        <v>6</v>
      </c>
      <c r="J1194" s="8">
        <f t="shared" si="1669"/>
        <v>50</v>
      </c>
      <c r="K1194" s="7" t="s">
        <v>312</v>
      </c>
      <c r="L1194" s="8">
        <v>44</v>
      </c>
      <c r="M1194" s="7">
        <f>IF(INDEX([1]equip.xml!$B:$B,MATCH(D1194&amp;"",[1]equip.xml!$A:$A,0))=0,0,N1194)</f>
        <v>130</v>
      </c>
      <c r="N1194" s="8">
        <v>130</v>
      </c>
    </row>
    <row r="1195" spans="1:14">
      <c r="A1195" s="8">
        <v>10018</v>
      </c>
      <c r="B1195" s="8">
        <f t="shared" ref="B1195:C1195" si="1752">B1107</f>
        <v>40000</v>
      </c>
      <c r="C1195" s="8" t="str">
        <f t="shared" si="1752"/>
        <v>装备</v>
      </c>
      <c r="D1195" s="8">
        <v>40650071</v>
      </c>
      <c r="E1195" s="8"/>
      <c r="F1195" s="8">
        <v>1</v>
      </c>
      <c r="G1195" s="7">
        <f>3*INDEX([1]equip.xml!$I:$I,MATCH(D1195&amp;"",[1]equip.xml!$A:$A,0))</f>
        <v>204000</v>
      </c>
      <c r="H1195" s="8" t="str">
        <f t="shared" si="1668"/>
        <v>10_10,50_20,80_30</v>
      </c>
      <c r="I1195" s="8">
        <f t="shared" si="1669"/>
        <v>6</v>
      </c>
      <c r="J1195" s="8">
        <f t="shared" si="1669"/>
        <v>50</v>
      </c>
      <c r="K1195" s="7" t="s">
        <v>312</v>
      </c>
      <c r="L1195" s="8">
        <v>44</v>
      </c>
      <c r="M1195" s="7">
        <f>IF(INDEX([1]equip.xml!$B:$B,MATCH(D1195&amp;"",[1]equip.xml!$A:$A,0))=0,0,N1195)</f>
        <v>0</v>
      </c>
      <c r="N1195" s="8">
        <v>130</v>
      </c>
    </row>
    <row r="1196" spans="1:14">
      <c r="A1196" s="8">
        <v>10018</v>
      </c>
      <c r="B1196" s="8">
        <f t="shared" ref="B1196:C1196" si="1753">B1108</f>
        <v>40000</v>
      </c>
      <c r="C1196" s="8" t="str">
        <f t="shared" si="1753"/>
        <v>装备</v>
      </c>
      <c r="D1196" s="8">
        <v>40700010</v>
      </c>
      <c r="E1196" s="8"/>
      <c r="F1196" s="8">
        <v>1</v>
      </c>
      <c r="G1196" s="7">
        <f>3*INDEX([1]equip.xml!$I:$I,MATCH(D1196&amp;"",[1]equip.xml!$A:$A,0))</f>
        <v>210000</v>
      </c>
      <c r="H1196" s="8" t="str">
        <f t="shared" si="1668"/>
        <v>10_10,50_20,80_30</v>
      </c>
      <c r="I1196" s="8">
        <f t="shared" si="1669"/>
        <v>6</v>
      </c>
      <c r="J1196" s="8">
        <f t="shared" si="1669"/>
        <v>50</v>
      </c>
      <c r="K1196" s="7" t="s">
        <v>312</v>
      </c>
      <c r="L1196" s="8">
        <v>44</v>
      </c>
      <c r="M1196" s="7">
        <f>IF(INDEX([1]equip.xml!$B:$B,MATCH(D1196&amp;"",[1]equip.xml!$A:$A,0))=0,0,N1196)</f>
        <v>32</v>
      </c>
      <c r="N1196" s="8">
        <v>32</v>
      </c>
    </row>
    <row r="1197" spans="1:14">
      <c r="A1197" s="8">
        <v>10018</v>
      </c>
      <c r="B1197" s="8">
        <f t="shared" ref="B1197:C1197" si="1754">B1109</f>
        <v>40000</v>
      </c>
      <c r="C1197" s="8" t="str">
        <f t="shared" si="1754"/>
        <v>装备</v>
      </c>
      <c r="D1197" s="8">
        <v>40700020</v>
      </c>
      <c r="E1197" s="8"/>
      <c r="F1197" s="8">
        <v>1</v>
      </c>
      <c r="G1197" s="7">
        <f>3*INDEX([1]equip.xml!$I:$I,MATCH(D1197&amp;"",[1]equip.xml!$A:$A,0))</f>
        <v>210000</v>
      </c>
      <c r="H1197" s="8" t="str">
        <f t="shared" si="1668"/>
        <v>10_10,50_20,80_30</v>
      </c>
      <c r="I1197" s="8">
        <f t="shared" si="1669"/>
        <v>6</v>
      </c>
      <c r="J1197" s="8">
        <f t="shared" si="1669"/>
        <v>50</v>
      </c>
      <c r="K1197" s="7" t="s">
        <v>312</v>
      </c>
      <c r="L1197" s="8">
        <v>44</v>
      </c>
      <c r="M1197" s="7">
        <f>IF(INDEX([1]equip.xml!$B:$B,MATCH(D1197&amp;"",[1]equip.xml!$A:$A,0))=0,0,N1197)</f>
        <v>32</v>
      </c>
      <c r="N1197" s="8">
        <v>32</v>
      </c>
    </row>
    <row r="1198" spans="1:14">
      <c r="A1198" s="8">
        <v>10018</v>
      </c>
      <c r="B1198" s="8">
        <f t="shared" ref="B1198:C1198" si="1755">B1110</f>
        <v>40000</v>
      </c>
      <c r="C1198" s="8" t="str">
        <f t="shared" si="1755"/>
        <v>装备</v>
      </c>
      <c r="D1198" s="8">
        <v>40700030</v>
      </c>
      <c r="E1198" s="8"/>
      <c r="F1198" s="8">
        <v>1</v>
      </c>
      <c r="G1198" s="7">
        <f>3*INDEX([1]equip.xml!$I:$I,MATCH(D1198&amp;"",[1]equip.xml!$A:$A,0))</f>
        <v>210000</v>
      </c>
      <c r="H1198" s="8" t="str">
        <f t="shared" si="1668"/>
        <v>10_10,50_20,80_30</v>
      </c>
      <c r="I1198" s="8">
        <f t="shared" si="1669"/>
        <v>6</v>
      </c>
      <c r="J1198" s="8">
        <f t="shared" si="1669"/>
        <v>50</v>
      </c>
      <c r="K1198" s="7" t="s">
        <v>312</v>
      </c>
      <c r="L1198" s="8">
        <v>44</v>
      </c>
      <c r="M1198" s="7">
        <f>IF(INDEX([1]equip.xml!$B:$B,MATCH(D1198&amp;"",[1]equip.xml!$A:$A,0))=0,0,N1198)</f>
        <v>32</v>
      </c>
      <c r="N1198" s="8">
        <v>32</v>
      </c>
    </row>
    <row r="1199" spans="1:14">
      <c r="A1199" s="8">
        <v>10018</v>
      </c>
      <c r="B1199" s="8">
        <f t="shared" ref="B1199:C1199" si="1756">B1111</f>
        <v>40000</v>
      </c>
      <c r="C1199" s="8" t="str">
        <f t="shared" si="1756"/>
        <v>装备</v>
      </c>
      <c r="D1199" s="8">
        <v>40700080</v>
      </c>
      <c r="E1199" s="8"/>
      <c r="F1199" s="8">
        <v>1</v>
      </c>
      <c r="G1199" s="7">
        <f>3*INDEX([1]equip.xml!$I:$I,MATCH(D1199&amp;"",[1]equip.xml!$A:$A,0))</f>
        <v>210000</v>
      </c>
      <c r="H1199" s="8" t="str">
        <f t="shared" si="1668"/>
        <v>10_10,50_20,80_30</v>
      </c>
      <c r="I1199" s="8">
        <f t="shared" si="1669"/>
        <v>6</v>
      </c>
      <c r="J1199" s="8">
        <f t="shared" si="1669"/>
        <v>50</v>
      </c>
      <c r="K1199" s="7" t="s">
        <v>312</v>
      </c>
      <c r="L1199" s="8">
        <v>44</v>
      </c>
      <c r="M1199" s="7">
        <f>IF(INDEX([1]equip.xml!$B:$B,MATCH(D1199&amp;"",[1]equip.xml!$A:$A,0))=0,0,N1199)</f>
        <v>32</v>
      </c>
      <c r="N1199" s="8">
        <v>32</v>
      </c>
    </row>
    <row r="1200" spans="1:14">
      <c r="A1200" s="8">
        <v>10018</v>
      </c>
      <c r="B1200" s="8">
        <f t="shared" ref="B1200:C1200" si="1757">B1112</f>
        <v>40000</v>
      </c>
      <c r="C1200" s="8" t="str">
        <f t="shared" si="1757"/>
        <v>装备</v>
      </c>
      <c r="D1200" s="8">
        <v>40700090</v>
      </c>
      <c r="E1200" s="8"/>
      <c r="F1200" s="8">
        <v>1</v>
      </c>
      <c r="G1200" s="7">
        <f>3*INDEX([1]equip.xml!$I:$I,MATCH(D1200&amp;"",[1]equip.xml!$A:$A,0))</f>
        <v>210000</v>
      </c>
      <c r="H1200" s="8" t="str">
        <f t="shared" si="1668"/>
        <v>10_10,50_20,80_30</v>
      </c>
      <c r="I1200" s="8">
        <f t="shared" si="1669"/>
        <v>6</v>
      </c>
      <c r="J1200" s="8">
        <f t="shared" si="1669"/>
        <v>50</v>
      </c>
      <c r="K1200" s="7" t="s">
        <v>312</v>
      </c>
      <c r="L1200" s="8">
        <v>44</v>
      </c>
      <c r="M1200" s="7">
        <f>IF(INDEX([1]equip.xml!$B:$B,MATCH(D1200&amp;"",[1]equip.xml!$A:$A,0))=0,0,N1200)</f>
        <v>32</v>
      </c>
      <c r="N1200" s="8">
        <v>32</v>
      </c>
    </row>
    <row r="1201" spans="1:14">
      <c r="A1201" s="8">
        <v>10018</v>
      </c>
      <c r="B1201" s="8">
        <f t="shared" ref="B1201:C1201" si="1758">B1113</f>
        <v>40000</v>
      </c>
      <c r="C1201" s="8" t="str">
        <f t="shared" si="1758"/>
        <v>装备</v>
      </c>
      <c r="D1201" s="8">
        <v>40700100</v>
      </c>
      <c r="E1201" s="8"/>
      <c r="F1201" s="8">
        <v>1</v>
      </c>
      <c r="G1201" s="7">
        <f>3*INDEX([1]equip.xml!$I:$I,MATCH(D1201&amp;"",[1]equip.xml!$A:$A,0))</f>
        <v>210000</v>
      </c>
      <c r="H1201" s="8" t="str">
        <f t="shared" si="1668"/>
        <v>10_10,50_20,80_30</v>
      </c>
      <c r="I1201" s="8">
        <f t="shared" si="1669"/>
        <v>6</v>
      </c>
      <c r="J1201" s="8">
        <f t="shared" si="1669"/>
        <v>50</v>
      </c>
      <c r="K1201" s="7" t="s">
        <v>312</v>
      </c>
      <c r="L1201" s="8">
        <v>44</v>
      </c>
      <c r="M1201" s="7">
        <f>IF(INDEX([1]equip.xml!$B:$B,MATCH(D1201&amp;"",[1]equip.xml!$A:$A,0))=0,0,N1201)</f>
        <v>32</v>
      </c>
      <c r="N1201" s="8">
        <v>32</v>
      </c>
    </row>
    <row r="1202" spans="1:14">
      <c r="A1202" s="8">
        <v>10018</v>
      </c>
      <c r="B1202" s="8">
        <f t="shared" ref="B1202:C1202" si="1759">B1114</f>
        <v>40000</v>
      </c>
      <c r="C1202" s="8" t="str">
        <f t="shared" si="1759"/>
        <v>装备</v>
      </c>
      <c r="D1202" s="8">
        <v>40701050</v>
      </c>
      <c r="E1202" s="8"/>
      <c r="F1202" s="8">
        <v>1</v>
      </c>
      <c r="G1202" s="7">
        <f>3*INDEX([1]equip.xml!$I:$I,MATCH(D1202&amp;"",[1]equip.xml!$A:$A,0))</f>
        <v>210000</v>
      </c>
      <c r="H1202" s="8" t="str">
        <f t="shared" si="1668"/>
        <v>10_10,50_20,80_30</v>
      </c>
      <c r="I1202" s="8">
        <f t="shared" si="1669"/>
        <v>6</v>
      </c>
      <c r="J1202" s="8">
        <f t="shared" si="1669"/>
        <v>50</v>
      </c>
      <c r="K1202" s="7" t="s">
        <v>312</v>
      </c>
      <c r="L1202" s="8">
        <v>44</v>
      </c>
      <c r="M1202" s="7">
        <f>IF(INDEX([1]equip.xml!$B:$B,MATCH(D1202&amp;"",[1]equip.xml!$A:$A,0))=0,0,N1202)</f>
        <v>32</v>
      </c>
      <c r="N1202" s="8">
        <v>32</v>
      </c>
    </row>
    <row r="1203" spans="1:14">
      <c r="A1203" s="8">
        <v>10018</v>
      </c>
      <c r="B1203" s="8">
        <f t="shared" ref="B1203:C1203" si="1760">B1115</f>
        <v>40000</v>
      </c>
      <c r="C1203" s="8" t="str">
        <f t="shared" si="1760"/>
        <v>装备</v>
      </c>
      <c r="D1203" s="8">
        <v>40701051</v>
      </c>
      <c r="E1203" s="8"/>
      <c r="F1203" s="8">
        <v>1</v>
      </c>
      <c r="G1203" s="7">
        <f>3*INDEX([1]equip.xml!$I:$I,MATCH(D1203&amp;"",[1]equip.xml!$A:$A,0))</f>
        <v>219000</v>
      </c>
      <c r="H1203" s="8" t="str">
        <f t="shared" si="1668"/>
        <v>10_10,50_20,80_30</v>
      </c>
      <c r="I1203" s="8">
        <f t="shared" si="1669"/>
        <v>6</v>
      </c>
      <c r="J1203" s="8">
        <f t="shared" si="1669"/>
        <v>50</v>
      </c>
      <c r="K1203" s="7" t="s">
        <v>312</v>
      </c>
      <c r="L1203" s="8">
        <v>44</v>
      </c>
      <c r="M1203" s="7">
        <f>IF(INDEX([1]equip.xml!$B:$B,MATCH(D1203&amp;"",[1]equip.xml!$A:$A,0))=0,0,N1203)</f>
        <v>0</v>
      </c>
      <c r="N1203" s="8">
        <v>32</v>
      </c>
    </row>
    <row r="1204" spans="1:14">
      <c r="A1204" s="8">
        <v>10018</v>
      </c>
      <c r="B1204" s="8">
        <f t="shared" ref="B1204:C1204" si="1761">B1116</f>
        <v>40000</v>
      </c>
      <c r="C1204" s="8" t="str">
        <f t="shared" si="1761"/>
        <v>装备</v>
      </c>
      <c r="D1204" s="8">
        <v>40701060</v>
      </c>
      <c r="E1204" s="8"/>
      <c r="F1204" s="8">
        <v>1</v>
      </c>
      <c r="G1204" s="7">
        <f>3*INDEX([1]equip.xml!$I:$I,MATCH(D1204&amp;"",[1]equip.xml!$A:$A,0))</f>
        <v>210000</v>
      </c>
      <c r="H1204" s="8" t="str">
        <f t="shared" si="1668"/>
        <v>10_10,50_20,80_30</v>
      </c>
      <c r="I1204" s="8">
        <f t="shared" si="1669"/>
        <v>6</v>
      </c>
      <c r="J1204" s="8">
        <f t="shared" si="1669"/>
        <v>50</v>
      </c>
      <c r="K1204" s="7" t="s">
        <v>312</v>
      </c>
      <c r="L1204" s="8">
        <v>44</v>
      </c>
      <c r="M1204" s="7">
        <f>IF(INDEX([1]equip.xml!$B:$B,MATCH(D1204&amp;"",[1]equip.xml!$A:$A,0))=0,0,N1204)</f>
        <v>32</v>
      </c>
      <c r="N1204" s="8">
        <v>32</v>
      </c>
    </row>
    <row r="1205" spans="1:14">
      <c r="A1205" s="8">
        <v>10018</v>
      </c>
      <c r="B1205" s="8">
        <f t="shared" ref="B1205:C1205" si="1762">B1117</f>
        <v>40000</v>
      </c>
      <c r="C1205" s="8" t="str">
        <f t="shared" si="1762"/>
        <v>装备</v>
      </c>
      <c r="D1205" s="8">
        <v>40701061</v>
      </c>
      <c r="E1205" s="8"/>
      <c r="F1205" s="8">
        <v>1</v>
      </c>
      <c r="G1205" s="7">
        <f>3*INDEX([1]equip.xml!$I:$I,MATCH(D1205&amp;"",[1]equip.xml!$A:$A,0))</f>
        <v>219000</v>
      </c>
      <c r="H1205" s="8" t="str">
        <f t="shared" si="1668"/>
        <v>10_10,50_20,80_30</v>
      </c>
      <c r="I1205" s="8">
        <f t="shared" si="1669"/>
        <v>6</v>
      </c>
      <c r="J1205" s="8">
        <f t="shared" si="1669"/>
        <v>50</v>
      </c>
      <c r="K1205" s="7" t="s">
        <v>312</v>
      </c>
      <c r="L1205" s="8">
        <v>44</v>
      </c>
      <c r="M1205" s="7">
        <f>IF(INDEX([1]equip.xml!$B:$B,MATCH(D1205&amp;"",[1]equip.xml!$A:$A,0))=0,0,N1205)</f>
        <v>0</v>
      </c>
      <c r="N1205" s="8">
        <v>32</v>
      </c>
    </row>
    <row r="1206" spans="1:14">
      <c r="A1206" s="8">
        <v>10018</v>
      </c>
      <c r="B1206" s="8">
        <f t="shared" ref="B1206:C1206" si="1763">B1118</f>
        <v>40000</v>
      </c>
      <c r="C1206" s="8" t="str">
        <f t="shared" si="1763"/>
        <v>装备</v>
      </c>
      <c r="D1206" s="8">
        <v>40702050</v>
      </c>
      <c r="E1206" s="8"/>
      <c r="F1206" s="8">
        <v>1</v>
      </c>
      <c r="G1206" s="7">
        <f>3*INDEX([1]equip.xml!$I:$I,MATCH(D1206&amp;"",[1]equip.xml!$A:$A,0))</f>
        <v>210000</v>
      </c>
      <c r="H1206" s="8" t="str">
        <f t="shared" si="1668"/>
        <v>10_10,50_20,80_30</v>
      </c>
      <c r="I1206" s="8">
        <f t="shared" si="1669"/>
        <v>6</v>
      </c>
      <c r="J1206" s="8">
        <f t="shared" si="1669"/>
        <v>50</v>
      </c>
      <c r="K1206" s="7" t="s">
        <v>312</v>
      </c>
      <c r="L1206" s="8">
        <v>44</v>
      </c>
      <c r="M1206" s="7">
        <f>IF(INDEX([1]equip.xml!$B:$B,MATCH(D1206&amp;"",[1]equip.xml!$A:$A,0))=0,0,N1206)</f>
        <v>32</v>
      </c>
      <c r="N1206" s="8">
        <v>32</v>
      </c>
    </row>
    <row r="1207" spans="1:14">
      <c r="A1207" s="8">
        <v>10018</v>
      </c>
      <c r="B1207" s="8">
        <f t="shared" ref="B1207:C1207" si="1764">B1119</f>
        <v>40000</v>
      </c>
      <c r="C1207" s="8" t="str">
        <f t="shared" si="1764"/>
        <v>装备</v>
      </c>
      <c r="D1207" s="8">
        <v>40702051</v>
      </c>
      <c r="E1207" s="8"/>
      <c r="F1207" s="8">
        <v>1</v>
      </c>
      <c r="G1207" s="7">
        <f>3*INDEX([1]equip.xml!$I:$I,MATCH(D1207&amp;"",[1]equip.xml!$A:$A,0))</f>
        <v>219000</v>
      </c>
      <c r="H1207" s="8" t="str">
        <f t="shared" ref="H1207:J1262" si="1765">H1119</f>
        <v>10_10,50_20,80_30</v>
      </c>
      <c r="I1207" s="8">
        <f t="shared" ref="I1207:J1261" si="1766">I1119</f>
        <v>6</v>
      </c>
      <c r="J1207" s="8">
        <f t="shared" si="1766"/>
        <v>50</v>
      </c>
      <c r="K1207" s="7" t="s">
        <v>312</v>
      </c>
      <c r="L1207" s="8">
        <v>44</v>
      </c>
      <c r="M1207" s="7">
        <f>IF(INDEX([1]equip.xml!$B:$B,MATCH(D1207&amp;"",[1]equip.xml!$A:$A,0))=0,0,N1207)</f>
        <v>0</v>
      </c>
      <c r="N1207" s="8">
        <v>32</v>
      </c>
    </row>
    <row r="1208" spans="1:14">
      <c r="A1208" s="8">
        <v>10018</v>
      </c>
      <c r="B1208" s="8">
        <f t="shared" ref="B1208:C1208" si="1767">B1120</f>
        <v>40000</v>
      </c>
      <c r="C1208" s="8" t="str">
        <f t="shared" si="1767"/>
        <v>装备</v>
      </c>
      <c r="D1208" s="8">
        <v>40702060</v>
      </c>
      <c r="E1208" s="8"/>
      <c r="F1208" s="8">
        <v>1</v>
      </c>
      <c r="G1208" s="7">
        <f>3*INDEX([1]equip.xml!$I:$I,MATCH(D1208&amp;"",[1]equip.xml!$A:$A,0))</f>
        <v>210000</v>
      </c>
      <c r="H1208" s="8" t="str">
        <f t="shared" si="1765"/>
        <v>10_10,50_20,80_30</v>
      </c>
      <c r="I1208" s="8">
        <f t="shared" si="1766"/>
        <v>6</v>
      </c>
      <c r="J1208" s="8">
        <f t="shared" si="1766"/>
        <v>50</v>
      </c>
      <c r="K1208" s="7" t="s">
        <v>312</v>
      </c>
      <c r="L1208" s="8">
        <v>44</v>
      </c>
      <c r="M1208" s="7">
        <f>IF(INDEX([1]equip.xml!$B:$B,MATCH(D1208&amp;"",[1]equip.xml!$A:$A,0))=0,0,N1208)</f>
        <v>32</v>
      </c>
      <c r="N1208" s="8">
        <v>32</v>
      </c>
    </row>
    <row r="1209" spans="1:14">
      <c r="A1209" s="8">
        <v>10018</v>
      </c>
      <c r="B1209" s="8">
        <f t="shared" ref="B1209:C1209" si="1768">B1121</f>
        <v>40000</v>
      </c>
      <c r="C1209" s="8" t="str">
        <f t="shared" si="1768"/>
        <v>装备</v>
      </c>
      <c r="D1209" s="8">
        <v>40702061</v>
      </c>
      <c r="E1209" s="8"/>
      <c r="F1209" s="8">
        <v>1</v>
      </c>
      <c r="G1209" s="7">
        <f>3*INDEX([1]equip.xml!$I:$I,MATCH(D1209&amp;"",[1]equip.xml!$A:$A,0))</f>
        <v>219000</v>
      </c>
      <c r="H1209" s="8" t="str">
        <f t="shared" si="1765"/>
        <v>10_10,50_20,80_30</v>
      </c>
      <c r="I1209" s="8">
        <f t="shared" si="1766"/>
        <v>6</v>
      </c>
      <c r="J1209" s="8">
        <f t="shared" si="1766"/>
        <v>50</v>
      </c>
      <c r="K1209" s="7" t="s">
        <v>312</v>
      </c>
      <c r="L1209" s="8">
        <v>44</v>
      </c>
      <c r="M1209" s="7">
        <f>IF(INDEX([1]equip.xml!$B:$B,MATCH(D1209&amp;"",[1]equip.xml!$A:$A,0))=0,0,N1209)</f>
        <v>0</v>
      </c>
      <c r="N1209" s="8">
        <v>32</v>
      </c>
    </row>
    <row r="1210" spans="1:14">
      <c r="A1210" s="8">
        <v>10018</v>
      </c>
      <c r="B1210" s="8">
        <f t="shared" ref="B1210:C1210" si="1769">B1122</f>
        <v>40000</v>
      </c>
      <c r="C1210" s="8" t="str">
        <f t="shared" si="1769"/>
        <v>装备</v>
      </c>
      <c r="D1210" s="8">
        <v>40703050</v>
      </c>
      <c r="E1210" s="8"/>
      <c r="F1210" s="8">
        <v>1</v>
      </c>
      <c r="G1210" s="7">
        <f>3*INDEX([1]equip.xml!$I:$I,MATCH(D1210&amp;"",[1]equip.xml!$A:$A,0))</f>
        <v>210000</v>
      </c>
      <c r="H1210" s="8" t="str">
        <f t="shared" si="1765"/>
        <v>10_10,50_20,80_30</v>
      </c>
      <c r="I1210" s="8">
        <f t="shared" si="1766"/>
        <v>6</v>
      </c>
      <c r="J1210" s="8">
        <f t="shared" si="1766"/>
        <v>50</v>
      </c>
      <c r="K1210" s="7" t="s">
        <v>312</v>
      </c>
      <c r="L1210" s="8">
        <v>44</v>
      </c>
      <c r="M1210" s="7">
        <f>IF(INDEX([1]equip.xml!$B:$B,MATCH(D1210&amp;"",[1]equip.xml!$A:$A,0))=0,0,N1210)</f>
        <v>32</v>
      </c>
      <c r="N1210" s="8">
        <v>32</v>
      </c>
    </row>
    <row r="1211" spans="1:14">
      <c r="A1211" s="8">
        <v>10018</v>
      </c>
      <c r="B1211" s="8">
        <f t="shared" ref="B1211:C1211" si="1770">B1123</f>
        <v>40000</v>
      </c>
      <c r="C1211" s="8" t="str">
        <f t="shared" si="1770"/>
        <v>装备</v>
      </c>
      <c r="D1211" s="8">
        <v>40703051</v>
      </c>
      <c r="E1211" s="8"/>
      <c r="F1211" s="8">
        <v>1</v>
      </c>
      <c r="G1211" s="7">
        <f>3*INDEX([1]equip.xml!$I:$I,MATCH(D1211&amp;"",[1]equip.xml!$A:$A,0))</f>
        <v>219000</v>
      </c>
      <c r="H1211" s="8" t="str">
        <f t="shared" si="1765"/>
        <v>10_10,50_20,80_30</v>
      </c>
      <c r="I1211" s="8">
        <f t="shared" si="1766"/>
        <v>6</v>
      </c>
      <c r="J1211" s="8">
        <f t="shared" si="1766"/>
        <v>50</v>
      </c>
      <c r="K1211" s="7" t="s">
        <v>312</v>
      </c>
      <c r="L1211" s="8">
        <v>44</v>
      </c>
      <c r="M1211" s="7">
        <f>IF(INDEX([1]equip.xml!$B:$B,MATCH(D1211&amp;"",[1]equip.xml!$A:$A,0))=0,0,N1211)</f>
        <v>0</v>
      </c>
      <c r="N1211" s="8">
        <v>32</v>
      </c>
    </row>
    <row r="1212" spans="1:14">
      <c r="A1212" s="8">
        <v>10018</v>
      </c>
      <c r="B1212" s="8">
        <f t="shared" ref="B1212:C1212" si="1771">B1124</f>
        <v>40000</v>
      </c>
      <c r="C1212" s="8" t="str">
        <f t="shared" si="1771"/>
        <v>装备</v>
      </c>
      <c r="D1212" s="8">
        <v>40703060</v>
      </c>
      <c r="E1212" s="8"/>
      <c r="F1212" s="8">
        <v>1</v>
      </c>
      <c r="G1212" s="7">
        <f>3*INDEX([1]equip.xml!$I:$I,MATCH(D1212&amp;"",[1]equip.xml!$A:$A,0))</f>
        <v>210000</v>
      </c>
      <c r="H1212" s="8" t="str">
        <f t="shared" si="1765"/>
        <v>10_10,50_20,80_30</v>
      </c>
      <c r="I1212" s="8">
        <f t="shared" si="1766"/>
        <v>6</v>
      </c>
      <c r="J1212" s="8">
        <f t="shared" si="1766"/>
        <v>50</v>
      </c>
      <c r="K1212" s="7" t="s">
        <v>312</v>
      </c>
      <c r="L1212" s="8">
        <v>44</v>
      </c>
      <c r="M1212" s="7">
        <f>IF(INDEX([1]equip.xml!$B:$B,MATCH(D1212&amp;"",[1]equip.xml!$A:$A,0))=0,0,N1212)</f>
        <v>32</v>
      </c>
      <c r="N1212" s="8">
        <v>32</v>
      </c>
    </row>
    <row r="1213" spans="1:14">
      <c r="A1213" s="8">
        <v>10018</v>
      </c>
      <c r="B1213" s="8">
        <f t="shared" ref="B1213:C1213" si="1772">B1125</f>
        <v>40000</v>
      </c>
      <c r="C1213" s="8" t="str">
        <f t="shared" si="1772"/>
        <v>装备</v>
      </c>
      <c r="D1213" s="8">
        <v>40703061</v>
      </c>
      <c r="E1213" s="8"/>
      <c r="F1213" s="8">
        <v>1</v>
      </c>
      <c r="G1213" s="7">
        <f>3*INDEX([1]equip.xml!$I:$I,MATCH(D1213&amp;"",[1]equip.xml!$A:$A,0))</f>
        <v>219000</v>
      </c>
      <c r="H1213" s="8" t="str">
        <f t="shared" si="1765"/>
        <v>10_10,50_20,80_30</v>
      </c>
      <c r="I1213" s="8">
        <f t="shared" si="1766"/>
        <v>6</v>
      </c>
      <c r="J1213" s="8">
        <f t="shared" si="1766"/>
        <v>50</v>
      </c>
      <c r="K1213" s="7" t="s">
        <v>312</v>
      </c>
      <c r="L1213" s="8">
        <v>44</v>
      </c>
      <c r="M1213" s="7">
        <f>IF(INDEX([1]equip.xml!$B:$B,MATCH(D1213&amp;"",[1]equip.xml!$A:$A,0))=0,0,N1213)</f>
        <v>0</v>
      </c>
      <c r="N1213" s="8">
        <v>32</v>
      </c>
    </row>
    <row r="1214" spans="1:14">
      <c r="A1214" s="8">
        <v>10018</v>
      </c>
      <c r="B1214" s="8">
        <f t="shared" ref="B1214:C1214" si="1773">B1126</f>
        <v>40000</v>
      </c>
      <c r="C1214" s="8" t="str">
        <f t="shared" si="1773"/>
        <v>装备</v>
      </c>
      <c r="D1214" s="8">
        <v>40700040</v>
      </c>
      <c r="E1214" s="8"/>
      <c r="F1214" s="8">
        <v>1</v>
      </c>
      <c r="G1214" s="7">
        <f>3*INDEX([1]equip.xml!$I:$I,MATCH(D1214&amp;"",[1]equip.xml!$A:$A,0))</f>
        <v>210000</v>
      </c>
      <c r="H1214" s="8" t="str">
        <f t="shared" si="1765"/>
        <v>10_10,50_20,80_30</v>
      </c>
      <c r="I1214" s="8">
        <f t="shared" si="1766"/>
        <v>6</v>
      </c>
      <c r="J1214" s="8">
        <f t="shared" si="1766"/>
        <v>50</v>
      </c>
      <c r="K1214" s="7" t="s">
        <v>312</v>
      </c>
      <c r="L1214" s="8">
        <v>44</v>
      </c>
      <c r="M1214" s="7">
        <f>IF(INDEX([1]equip.xml!$B:$B,MATCH(D1214&amp;"",[1]equip.xml!$A:$A,0))=0,0,N1214)</f>
        <v>32</v>
      </c>
      <c r="N1214" s="8">
        <v>32</v>
      </c>
    </row>
    <row r="1215" spans="1:14">
      <c r="A1215" s="8">
        <v>10018</v>
      </c>
      <c r="B1215" s="8">
        <f t="shared" ref="B1215:C1215" si="1774">B1127</f>
        <v>40000</v>
      </c>
      <c r="C1215" s="8" t="str">
        <f t="shared" si="1774"/>
        <v>装备</v>
      </c>
      <c r="D1215" s="8">
        <v>40700041</v>
      </c>
      <c r="E1215" s="8"/>
      <c r="F1215" s="8">
        <v>1</v>
      </c>
      <c r="G1215" s="7">
        <f>3*INDEX([1]equip.xml!$I:$I,MATCH(D1215&amp;"",[1]equip.xml!$A:$A,0))</f>
        <v>219000</v>
      </c>
      <c r="H1215" s="8" t="str">
        <f t="shared" si="1765"/>
        <v>10_10,50_20,80_30</v>
      </c>
      <c r="I1215" s="8">
        <f t="shared" si="1766"/>
        <v>6</v>
      </c>
      <c r="J1215" s="8">
        <f t="shared" si="1766"/>
        <v>50</v>
      </c>
      <c r="K1215" s="7" t="s">
        <v>312</v>
      </c>
      <c r="L1215" s="8">
        <v>44</v>
      </c>
      <c r="M1215" s="7">
        <f>IF(INDEX([1]equip.xml!$B:$B,MATCH(D1215&amp;"",[1]equip.xml!$A:$A,0))=0,0,N1215)</f>
        <v>0</v>
      </c>
      <c r="N1215" s="8">
        <v>32</v>
      </c>
    </row>
    <row r="1216" spans="1:14">
      <c r="A1216" s="8">
        <v>10018</v>
      </c>
      <c r="B1216" s="8">
        <f t="shared" ref="B1216:C1216" si="1775">B1128</f>
        <v>40000</v>
      </c>
      <c r="C1216" s="8" t="str">
        <f t="shared" si="1775"/>
        <v>装备</v>
      </c>
      <c r="D1216" s="8">
        <v>40700070</v>
      </c>
      <c r="E1216" s="8"/>
      <c r="F1216" s="8">
        <v>1</v>
      </c>
      <c r="G1216" s="7">
        <f>3*INDEX([1]equip.xml!$I:$I,MATCH(D1216&amp;"",[1]equip.xml!$A:$A,0))</f>
        <v>210000</v>
      </c>
      <c r="H1216" s="8" t="str">
        <f t="shared" si="1765"/>
        <v>10_10,50_20,80_30</v>
      </c>
      <c r="I1216" s="8">
        <f t="shared" si="1766"/>
        <v>6</v>
      </c>
      <c r="J1216" s="8">
        <f t="shared" si="1766"/>
        <v>50</v>
      </c>
      <c r="K1216" s="7" t="s">
        <v>312</v>
      </c>
      <c r="L1216" s="8">
        <v>44</v>
      </c>
      <c r="M1216" s="7">
        <f>IF(INDEX([1]equip.xml!$B:$B,MATCH(D1216&amp;"",[1]equip.xml!$A:$A,0))=0,0,N1216)</f>
        <v>32</v>
      </c>
      <c r="N1216" s="8">
        <v>32</v>
      </c>
    </row>
    <row r="1217" spans="1:14">
      <c r="A1217" s="8">
        <v>10018</v>
      </c>
      <c r="B1217" s="8">
        <f t="shared" ref="B1217:C1217" si="1776">B1129</f>
        <v>40000</v>
      </c>
      <c r="C1217" s="8" t="str">
        <f t="shared" si="1776"/>
        <v>装备</v>
      </c>
      <c r="D1217" s="8">
        <v>40700071</v>
      </c>
      <c r="E1217" s="8"/>
      <c r="F1217" s="8">
        <v>1</v>
      </c>
      <c r="G1217" s="7">
        <f>3*INDEX([1]equip.xml!$I:$I,MATCH(D1217&amp;"",[1]equip.xml!$A:$A,0))</f>
        <v>219000</v>
      </c>
      <c r="H1217" s="8" t="str">
        <f t="shared" si="1765"/>
        <v>10_10,50_20,80_30</v>
      </c>
      <c r="I1217" s="8">
        <f t="shared" si="1766"/>
        <v>6</v>
      </c>
      <c r="J1217" s="8">
        <f t="shared" si="1766"/>
        <v>50</v>
      </c>
      <c r="K1217" s="7" t="s">
        <v>312</v>
      </c>
      <c r="L1217" s="8">
        <v>44</v>
      </c>
      <c r="M1217" s="7">
        <f>IF(INDEX([1]equip.xml!$B:$B,MATCH(D1217&amp;"",[1]equip.xml!$A:$A,0))=0,0,N1217)</f>
        <v>0</v>
      </c>
      <c r="N1217" s="8">
        <v>32</v>
      </c>
    </row>
    <row r="1218" spans="1:14">
      <c r="A1218" s="8">
        <v>10018</v>
      </c>
      <c r="B1218" s="8">
        <f t="shared" ref="B1218:C1218" si="1777">B1130</f>
        <v>40000</v>
      </c>
      <c r="C1218" s="8" t="str">
        <f t="shared" si="1777"/>
        <v>装备</v>
      </c>
      <c r="D1218" s="7">
        <f>D1174+10000005</f>
        <v>50650015</v>
      </c>
      <c r="E1218" s="8"/>
      <c r="F1218" s="8">
        <v>1</v>
      </c>
      <c r="G1218" s="8">
        <f>3*INDEX([1]equip.xml!$I:$I,MATCH(D1218,[1]equip.xml!$A:$A,0))</f>
        <v>390000</v>
      </c>
      <c r="H1218" s="8" t="str">
        <f t="shared" si="1765"/>
        <v>10_10,50_20,80_30</v>
      </c>
      <c r="I1218" s="8">
        <v>1</v>
      </c>
      <c r="J1218" s="8">
        <f t="shared" si="1766"/>
        <v>240</v>
      </c>
      <c r="K1218" s="7" t="s">
        <v>312</v>
      </c>
      <c r="L1218" s="8">
        <v>44</v>
      </c>
      <c r="M1218" s="7">
        <f>IF(INDEX([1]equip.xml!$B:$B,MATCH(D1218,[1]equip.xml!$A:$A,0))=0,0,N1218)</f>
        <v>70</v>
      </c>
      <c r="N1218" s="8">
        <v>70</v>
      </c>
    </row>
    <row r="1219" spans="1:14">
      <c r="A1219" s="8">
        <v>10018</v>
      </c>
      <c r="B1219" s="8">
        <f t="shared" ref="B1219:C1219" si="1778">B1131</f>
        <v>40000</v>
      </c>
      <c r="C1219" s="8" t="str">
        <f t="shared" si="1778"/>
        <v>装备</v>
      </c>
      <c r="D1219" s="7">
        <f t="shared" ref="D1219:D1261" si="1779">D1175+10000005</f>
        <v>50650025</v>
      </c>
      <c r="E1219" s="8"/>
      <c r="F1219" s="8">
        <v>1</v>
      </c>
      <c r="G1219" s="8">
        <f>3*INDEX([1]equip.xml!$I:$I,MATCH(D1219,[1]equip.xml!$A:$A,0))</f>
        <v>390000</v>
      </c>
      <c r="H1219" s="8" t="str">
        <f t="shared" si="1765"/>
        <v>10_10,50_20,80_30</v>
      </c>
      <c r="I1219" s="8">
        <v>1</v>
      </c>
      <c r="J1219" s="8">
        <f t="shared" si="1766"/>
        <v>240</v>
      </c>
      <c r="K1219" s="7" t="s">
        <v>312</v>
      </c>
      <c r="L1219" s="8">
        <v>44</v>
      </c>
      <c r="M1219" s="7">
        <f>IF(INDEX([1]equip.xml!$B:$B,MATCH(D1219,[1]equip.xml!$A:$A,0))=0,0,N1219)</f>
        <v>70</v>
      </c>
      <c r="N1219" s="8">
        <v>70</v>
      </c>
    </row>
    <row r="1220" spans="1:14">
      <c r="A1220" s="8">
        <v>10018</v>
      </c>
      <c r="B1220" s="8">
        <f t="shared" ref="B1220:C1220" si="1780">B1132</f>
        <v>40000</v>
      </c>
      <c r="C1220" s="8" t="str">
        <f t="shared" si="1780"/>
        <v>装备</v>
      </c>
      <c r="D1220" s="7">
        <f t="shared" si="1779"/>
        <v>50650035</v>
      </c>
      <c r="E1220" s="8"/>
      <c r="F1220" s="8">
        <v>1</v>
      </c>
      <c r="G1220" s="8">
        <f>3*INDEX([1]equip.xml!$I:$I,MATCH(D1220,[1]equip.xml!$A:$A,0))</f>
        <v>390000</v>
      </c>
      <c r="H1220" s="8" t="str">
        <f t="shared" si="1765"/>
        <v>10_10,50_20,80_30</v>
      </c>
      <c r="I1220" s="8">
        <v>1</v>
      </c>
      <c r="J1220" s="8">
        <f t="shared" si="1766"/>
        <v>240</v>
      </c>
      <c r="K1220" s="7" t="s">
        <v>312</v>
      </c>
      <c r="L1220" s="8">
        <v>44</v>
      </c>
      <c r="M1220" s="7">
        <f>IF(INDEX([1]equip.xml!$B:$B,MATCH(D1220,[1]equip.xml!$A:$A,0))=0,0,N1220)</f>
        <v>70</v>
      </c>
      <c r="N1220" s="8">
        <v>70</v>
      </c>
    </row>
    <row r="1221" spans="1:14">
      <c r="A1221" s="8">
        <v>10018</v>
      </c>
      <c r="B1221" s="8">
        <f t="shared" ref="B1221:C1221" si="1781">B1133</f>
        <v>40000</v>
      </c>
      <c r="C1221" s="8" t="str">
        <f t="shared" si="1781"/>
        <v>装备</v>
      </c>
      <c r="D1221" s="7">
        <f t="shared" si="1779"/>
        <v>50650085</v>
      </c>
      <c r="E1221" s="8"/>
      <c r="F1221" s="8">
        <v>1</v>
      </c>
      <c r="G1221" s="8">
        <f>3*INDEX([1]equip.xml!$I:$I,MATCH(D1221,[1]equip.xml!$A:$A,0))</f>
        <v>390000</v>
      </c>
      <c r="H1221" s="8" t="str">
        <f t="shared" si="1765"/>
        <v>10_10,50_20,80_30</v>
      </c>
      <c r="I1221" s="8">
        <v>1</v>
      </c>
      <c r="J1221" s="8">
        <f t="shared" si="1766"/>
        <v>240</v>
      </c>
      <c r="K1221" s="7" t="s">
        <v>312</v>
      </c>
      <c r="L1221" s="8">
        <v>44</v>
      </c>
      <c r="M1221" s="7">
        <f>IF(INDEX([1]equip.xml!$B:$B,MATCH(D1221,[1]equip.xml!$A:$A,0))=0,0,N1221)</f>
        <v>70</v>
      </c>
      <c r="N1221" s="8">
        <v>70</v>
      </c>
    </row>
    <row r="1222" spans="1:14">
      <c r="A1222" s="8">
        <v>10018</v>
      </c>
      <c r="B1222" s="8">
        <f t="shared" ref="B1222:C1222" si="1782">B1134</f>
        <v>40000</v>
      </c>
      <c r="C1222" s="8" t="str">
        <f t="shared" si="1782"/>
        <v>装备</v>
      </c>
      <c r="D1222" s="7">
        <f t="shared" si="1779"/>
        <v>50650095</v>
      </c>
      <c r="E1222" s="8"/>
      <c r="F1222" s="8">
        <v>1</v>
      </c>
      <c r="G1222" s="8">
        <f>3*INDEX([1]equip.xml!$I:$I,MATCH(D1222,[1]equip.xml!$A:$A,0))</f>
        <v>390000</v>
      </c>
      <c r="H1222" s="8" t="str">
        <f t="shared" si="1765"/>
        <v>10_10,50_20,80_30</v>
      </c>
      <c r="I1222" s="8">
        <v>1</v>
      </c>
      <c r="J1222" s="8">
        <f t="shared" si="1766"/>
        <v>240</v>
      </c>
      <c r="K1222" s="7" t="s">
        <v>312</v>
      </c>
      <c r="L1222" s="8">
        <v>44</v>
      </c>
      <c r="M1222" s="7">
        <f>IF(INDEX([1]equip.xml!$B:$B,MATCH(D1222,[1]equip.xml!$A:$A,0))=0,0,N1222)</f>
        <v>70</v>
      </c>
      <c r="N1222" s="8">
        <v>70</v>
      </c>
    </row>
    <row r="1223" spans="1:14">
      <c r="A1223" s="8">
        <v>10018</v>
      </c>
      <c r="B1223" s="8">
        <f t="shared" ref="B1223:C1223" si="1783">B1135</f>
        <v>40000</v>
      </c>
      <c r="C1223" s="8" t="str">
        <f t="shared" si="1783"/>
        <v>装备</v>
      </c>
      <c r="D1223" s="7">
        <f t="shared" si="1779"/>
        <v>50650105</v>
      </c>
      <c r="E1223" s="8"/>
      <c r="F1223" s="8">
        <v>1</v>
      </c>
      <c r="G1223" s="8">
        <f>3*INDEX([1]equip.xml!$I:$I,MATCH(D1223,[1]equip.xml!$A:$A,0))</f>
        <v>390000</v>
      </c>
      <c r="H1223" s="8" t="str">
        <f t="shared" si="1765"/>
        <v>10_10,50_20,80_30</v>
      </c>
      <c r="I1223" s="8">
        <v>1</v>
      </c>
      <c r="J1223" s="8">
        <f t="shared" si="1766"/>
        <v>240</v>
      </c>
      <c r="K1223" s="7" t="s">
        <v>312</v>
      </c>
      <c r="L1223" s="8">
        <v>44</v>
      </c>
      <c r="M1223" s="7">
        <f>IF(INDEX([1]equip.xml!$B:$B,MATCH(D1223,[1]equip.xml!$A:$A,0))=0,0,N1223)</f>
        <v>70</v>
      </c>
      <c r="N1223" s="8">
        <v>70</v>
      </c>
    </row>
    <row r="1224" spans="1:14">
      <c r="A1224" s="8">
        <v>10018</v>
      </c>
      <c r="B1224" s="8">
        <f t="shared" ref="B1224:C1224" si="1784">B1136</f>
        <v>40000</v>
      </c>
      <c r="C1224" s="8" t="str">
        <f t="shared" si="1784"/>
        <v>装备</v>
      </c>
      <c r="D1224" s="7">
        <f t="shared" si="1779"/>
        <v>50651055</v>
      </c>
      <c r="E1224" s="8"/>
      <c r="F1224" s="8">
        <v>1</v>
      </c>
      <c r="G1224" s="8">
        <f>3*INDEX([1]equip.xml!$I:$I,MATCH(D1224,[1]equip.xml!$A:$A,0))</f>
        <v>390000</v>
      </c>
      <c r="H1224" s="8" t="str">
        <f t="shared" si="1765"/>
        <v>10_10,50_20,80_30</v>
      </c>
      <c r="I1224" s="8">
        <v>1</v>
      </c>
      <c r="J1224" s="8">
        <f t="shared" si="1766"/>
        <v>240</v>
      </c>
      <c r="K1224" s="7" t="s">
        <v>312</v>
      </c>
      <c r="L1224" s="8">
        <v>44</v>
      </c>
      <c r="M1224" s="7">
        <f>IF(INDEX([1]equip.xml!$B:$B,MATCH(D1224,[1]equip.xml!$A:$A,0))=0,0,N1224)</f>
        <v>70</v>
      </c>
      <c r="N1224" s="8">
        <v>70</v>
      </c>
    </row>
    <row r="1225" spans="1:14">
      <c r="A1225" s="8">
        <v>10018</v>
      </c>
      <c r="B1225" s="8">
        <f t="shared" ref="B1225:C1225" si="1785">B1137</f>
        <v>40000</v>
      </c>
      <c r="C1225" s="8" t="str">
        <f t="shared" si="1785"/>
        <v>装备</v>
      </c>
      <c r="D1225" s="7">
        <f t="shared" si="1779"/>
        <v>50651056</v>
      </c>
      <c r="E1225" s="8"/>
      <c r="F1225" s="8">
        <v>1</v>
      </c>
      <c r="G1225" s="8">
        <f>3*INDEX([1]equip.xml!$I:$I,MATCH(D1225,[1]equip.xml!$A:$A,0))</f>
        <v>408000</v>
      </c>
      <c r="H1225" s="8" t="str">
        <f t="shared" si="1765"/>
        <v>10_10,50_20,80_30</v>
      </c>
      <c r="I1225" s="8">
        <v>1</v>
      </c>
      <c r="J1225" s="8">
        <f t="shared" si="1766"/>
        <v>240</v>
      </c>
      <c r="K1225" s="7" t="s">
        <v>312</v>
      </c>
      <c r="L1225" s="8">
        <v>44</v>
      </c>
      <c r="M1225" s="7">
        <f>IF(INDEX([1]equip.xml!$B:$B,MATCH(D1225,[1]equip.xml!$A:$A,0))=0,0,N1225)</f>
        <v>0</v>
      </c>
      <c r="N1225" s="8">
        <v>70</v>
      </c>
    </row>
    <row r="1226" spans="1:14">
      <c r="A1226" s="8">
        <v>10018</v>
      </c>
      <c r="B1226" s="8">
        <f t="shared" ref="B1226:C1226" si="1786">B1138</f>
        <v>40000</v>
      </c>
      <c r="C1226" s="8" t="str">
        <f t="shared" si="1786"/>
        <v>装备</v>
      </c>
      <c r="D1226" s="7">
        <f t="shared" si="1779"/>
        <v>50651065</v>
      </c>
      <c r="E1226" s="8"/>
      <c r="F1226" s="8">
        <v>1</v>
      </c>
      <c r="G1226" s="8">
        <f>3*INDEX([1]equip.xml!$I:$I,MATCH(D1226,[1]equip.xml!$A:$A,0))</f>
        <v>390000</v>
      </c>
      <c r="H1226" s="8" t="str">
        <f t="shared" si="1765"/>
        <v>10_10,50_20,80_30</v>
      </c>
      <c r="I1226" s="8">
        <v>1</v>
      </c>
      <c r="J1226" s="8">
        <f t="shared" si="1766"/>
        <v>240</v>
      </c>
      <c r="K1226" s="7" t="s">
        <v>312</v>
      </c>
      <c r="L1226" s="8">
        <v>44</v>
      </c>
      <c r="M1226" s="7">
        <f>IF(INDEX([1]equip.xml!$B:$B,MATCH(D1226,[1]equip.xml!$A:$A,0))=0,0,N1226)</f>
        <v>70</v>
      </c>
      <c r="N1226" s="8">
        <v>70</v>
      </c>
    </row>
    <row r="1227" spans="1:14">
      <c r="A1227" s="8">
        <v>10018</v>
      </c>
      <c r="B1227" s="8">
        <f t="shared" ref="B1227:C1227" si="1787">B1139</f>
        <v>40000</v>
      </c>
      <c r="C1227" s="8" t="str">
        <f t="shared" si="1787"/>
        <v>装备</v>
      </c>
      <c r="D1227" s="7">
        <f t="shared" si="1779"/>
        <v>50651066</v>
      </c>
      <c r="E1227" s="8"/>
      <c r="F1227" s="8">
        <v>1</v>
      </c>
      <c r="G1227" s="8">
        <f>3*INDEX([1]equip.xml!$I:$I,MATCH(D1227,[1]equip.xml!$A:$A,0))</f>
        <v>408000</v>
      </c>
      <c r="H1227" s="8" t="str">
        <f t="shared" si="1765"/>
        <v>10_10,50_20,80_30</v>
      </c>
      <c r="I1227" s="8">
        <v>1</v>
      </c>
      <c r="J1227" s="8">
        <f t="shared" si="1766"/>
        <v>240</v>
      </c>
      <c r="K1227" s="7" t="s">
        <v>312</v>
      </c>
      <c r="L1227" s="8">
        <v>44</v>
      </c>
      <c r="M1227" s="7">
        <f>IF(INDEX([1]equip.xml!$B:$B,MATCH(D1227,[1]equip.xml!$A:$A,0))=0,0,N1227)</f>
        <v>0</v>
      </c>
      <c r="N1227" s="8">
        <v>70</v>
      </c>
    </row>
    <row r="1228" spans="1:14">
      <c r="A1228" s="8">
        <v>10018</v>
      </c>
      <c r="B1228" s="8">
        <f t="shared" ref="B1228:C1228" si="1788">B1140</f>
        <v>40000</v>
      </c>
      <c r="C1228" s="8" t="str">
        <f t="shared" si="1788"/>
        <v>装备</v>
      </c>
      <c r="D1228" s="7">
        <f t="shared" si="1779"/>
        <v>50652055</v>
      </c>
      <c r="E1228" s="8"/>
      <c r="F1228" s="8">
        <v>1</v>
      </c>
      <c r="G1228" s="8">
        <f>3*INDEX([1]equip.xml!$I:$I,MATCH(D1228,[1]equip.xml!$A:$A,0))</f>
        <v>390000</v>
      </c>
      <c r="H1228" s="8" t="str">
        <f t="shared" si="1765"/>
        <v>10_10,50_20,80_30</v>
      </c>
      <c r="I1228" s="8">
        <v>1</v>
      </c>
      <c r="J1228" s="8">
        <f t="shared" si="1766"/>
        <v>240</v>
      </c>
      <c r="K1228" s="7" t="s">
        <v>312</v>
      </c>
      <c r="L1228" s="8">
        <v>44</v>
      </c>
      <c r="M1228" s="7">
        <f>IF(INDEX([1]equip.xml!$B:$B,MATCH(D1228,[1]equip.xml!$A:$A,0))=0,0,N1228)</f>
        <v>70</v>
      </c>
      <c r="N1228" s="8">
        <v>70</v>
      </c>
    </row>
    <row r="1229" spans="1:14">
      <c r="A1229" s="8">
        <v>10018</v>
      </c>
      <c r="B1229" s="8">
        <f t="shared" ref="B1229:C1229" si="1789">B1141</f>
        <v>40000</v>
      </c>
      <c r="C1229" s="8" t="str">
        <f t="shared" si="1789"/>
        <v>装备</v>
      </c>
      <c r="D1229" s="7">
        <f t="shared" si="1779"/>
        <v>50652056</v>
      </c>
      <c r="E1229" s="8"/>
      <c r="F1229" s="8">
        <v>1</v>
      </c>
      <c r="G1229" s="8">
        <f>3*INDEX([1]equip.xml!$I:$I,MATCH(D1229,[1]equip.xml!$A:$A,0))</f>
        <v>408000</v>
      </c>
      <c r="H1229" s="8" t="str">
        <f t="shared" si="1765"/>
        <v>10_10,50_20,80_30</v>
      </c>
      <c r="I1229" s="8">
        <v>1</v>
      </c>
      <c r="J1229" s="8">
        <f t="shared" si="1766"/>
        <v>240</v>
      </c>
      <c r="K1229" s="7" t="s">
        <v>312</v>
      </c>
      <c r="L1229" s="8">
        <v>44</v>
      </c>
      <c r="M1229" s="7">
        <f>IF(INDEX([1]equip.xml!$B:$B,MATCH(D1229,[1]equip.xml!$A:$A,0))=0,0,N1229)</f>
        <v>0</v>
      </c>
      <c r="N1229" s="8">
        <v>70</v>
      </c>
    </row>
    <row r="1230" spans="1:14">
      <c r="A1230" s="8">
        <v>10018</v>
      </c>
      <c r="B1230" s="8">
        <f t="shared" ref="B1230:C1230" si="1790">B1142</f>
        <v>40000</v>
      </c>
      <c r="C1230" s="8" t="str">
        <f t="shared" si="1790"/>
        <v>装备</v>
      </c>
      <c r="D1230" s="7">
        <f t="shared" si="1779"/>
        <v>50652065</v>
      </c>
      <c r="E1230" s="8"/>
      <c r="F1230" s="8">
        <v>1</v>
      </c>
      <c r="G1230" s="8">
        <f>3*INDEX([1]equip.xml!$I:$I,MATCH(D1230,[1]equip.xml!$A:$A,0))</f>
        <v>390000</v>
      </c>
      <c r="H1230" s="8" t="str">
        <f t="shared" si="1765"/>
        <v>10_10,50_20,80_30</v>
      </c>
      <c r="I1230" s="8">
        <v>1</v>
      </c>
      <c r="J1230" s="8">
        <f t="shared" si="1766"/>
        <v>240</v>
      </c>
      <c r="K1230" s="7" t="s">
        <v>312</v>
      </c>
      <c r="L1230" s="8">
        <v>44</v>
      </c>
      <c r="M1230" s="7">
        <f>IF(INDEX([1]equip.xml!$B:$B,MATCH(D1230,[1]equip.xml!$A:$A,0))=0,0,N1230)</f>
        <v>70</v>
      </c>
      <c r="N1230" s="8">
        <v>70</v>
      </c>
    </row>
    <row r="1231" spans="1:14">
      <c r="A1231" s="8">
        <v>10018</v>
      </c>
      <c r="B1231" s="8">
        <f t="shared" ref="B1231:C1231" si="1791">B1143</f>
        <v>40000</v>
      </c>
      <c r="C1231" s="8" t="str">
        <f t="shared" si="1791"/>
        <v>装备</v>
      </c>
      <c r="D1231" s="7">
        <f t="shared" si="1779"/>
        <v>50652066</v>
      </c>
      <c r="E1231" s="8"/>
      <c r="F1231" s="8">
        <v>1</v>
      </c>
      <c r="G1231" s="8">
        <f>3*INDEX([1]equip.xml!$I:$I,MATCH(D1231,[1]equip.xml!$A:$A,0))</f>
        <v>408000</v>
      </c>
      <c r="H1231" s="8" t="str">
        <f t="shared" si="1765"/>
        <v>10_10,50_20,80_30</v>
      </c>
      <c r="I1231" s="8">
        <v>1</v>
      </c>
      <c r="J1231" s="8">
        <f t="shared" si="1766"/>
        <v>240</v>
      </c>
      <c r="K1231" s="7" t="s">
        <v>312</v>
      </c>
      <c r="L1231" s="8">
        <v>44</v>
      </c>
      <c r="M1231" s="7">
        <f>IF(INDEX([1]equip.xml!$B:$B,MATCH(D1231,[1]equip.xml!$A:$A,0))=0,0,N1231)</f>
        <v>0</v>
      </c>
      <c r="N1231" s="8">
        <v>70</v>
      </c>
    </row>
    <row r="1232" spans="1:14">
      <c r="A1232" s="8">
        <v>10018</v>
      </c>
      <c r="B1232" s="8">
        <f t="shared" ref="B1232:C1232" si="1792">B1144</f>
        <v>40000</v>
      </c>
      <c r="C1232" s="8" t="str">
        <f t="shared" si="1792"/>
        <v>装备</v>
      </c>
      <c r="D1232" s="7">
        <f t="shared" si="1779"/>
        <v>50653055</v>
      </c>
      <c r="E1232" s="8"/>
      <c r="F1232" s="8">
        <v>1</v>
      </c>
      <c r="G1232" s="8">
        <f>3*INDEX([1]equip.xml!$I:$I,MATCH(D1232,[1]equip.xml!$A:$A,0))</f>
        <v>390000</v>
      </c>
      <c r="H1232" s="8" t="str">
        <f t="shared" si="1765"/>
        <v>10_10,50_20,80_30</v>
      </c>
      <c r="I1232" s="8">
        <v>1</v>
      </c>
      <c r="J1232" s="8">
        <f t="shared" si="1766"/>
        <v>240</v>
      </c>
      <c r="K1232" s="7" t="s">
        <v>312</v>
      </c>
      <c r="L1232" s="8">
        <v>44</v>
      </c>
      <c r="M1232" s="7">
        <f>IF(INDEX([1]equip.xml!$B:$B,MATCH(D1232,[1]equip.xml!$A:$A,0))=0,0,N1232)</f>
        <v>70</v>
      </c>
      <c r="N1232" s="8">
        <v>70</v>
      </c>
    </row>
    <row r="1233" spans="1:14">
      <c r="A1233" s="8">
        <v>10018</v>
      </c>
      <c r="B1233" s="8">
        <f t="shared" ref="B1233:C1233" si="1793">B1145</f>
        <v>40000</v>
      </c>
      <c r="C1233" s="8" t="str">
        <f t="shared" si="1793"/>
        <v>装备</v>
      </c>
      <c r="D1233" s="7">
        <f t="shared" si="1779"/>
        <v>50653056</v>
      </c>
      <c r="E1233" s="8"/>
      <c r="F1233" s="8">
        <v>1</v>
      </c>
      <c r="G1233" s="8">
        <f>3*INDEX([1]equip.xml!$I:$I,MATCH(D1233,[1]equip.xml!$A:$A,0))</f>
        <v>408000</v>
      </c>
      <c r="H1233" s="8" t="str">
        <f t="shared" si="1765"/>
        <v>10_10,50_20,80_30</v>
      </c>
      <c r="I1233" s="8">
        <v>1</v>
      </c>
      <c r="J1233" s="8">
        <f t="shared" si="1766"/>
        <v>240</v>
      </c>
      <c r="K1233" s="7" t="s">
        <v>312</v>
      </c>
      <c r="L1233" s="8">
        <v>44</v>
      </c>
      <c r="M1233" s="7">
        <f>IF(INDEX([1]equip.xml!$B:$B,MATCH(D1233,[1]equip.xml!$A:$A,0))=0,0,N1233)</f>
        <v>0</v>
      </c>
      <c r="N1233" s="8">
        <v>70</v>
      </c>
    </row>
    <row r="1234" spans="1:14">
      <c r="A1234" s="8">
        <v>10018</v>
      </c>
      <c r="B1234" s="8">
        <f t="shared" ref="B1234:C1234" si="1794">B1146</f>
        <v>40000</v>
      </c>
      <c r="C1234" s="8" t="str">
        <f t="shared" si="1794"/>
        <v>装备</v>
      </c>
      <c r="D1234" s="7">
        <f t="shared" si="1779"/>
        <v>50653065</v>
      </c>
      <c r="E1234" s="8"/>
      <c r="F1234" s="8">
        <v>1</v>
      </c>
      <c r="G1234" s="8">
        <f>3*INDEX([1]equip.xml!$I:$I,MATCH(D1234,[1]equip.xml!$A:$A,0))</f>
        <v>390000</v>
      </c>
      <c r="H1234" s="8" t="str">
        <f t="shared" si="1765"/>
        <v>10_10,50_20,80_30</v>
      </c>
      <c r="I1234" s="8">
        <v>1</v>
      </c>
      <c r="J1234" s="8">
        <f t="shared" si="1766"/>
        <v>240</v>
      </c>
      <c r="K1234" s="7" t="s">
        <v>312</v>
      </c>
      <c r="L1234" s="8">
        <v>44</v>
      </c>
      <c r="M1234" s="7">
        <f>IF(INDEX([1]equip.xml!$B:$B,MATCH(D1234,[1]equip.xml!$A:$A,0))=0,0,N1234)</f>
        <v>70</v>
      </c>
      <c r="N1234" s="8">
        <v>70</v>
      </c>
    </row>
    <row r="1235" spans="1:14">
      <c r="A1235" s="8">
        <v>10018</v>
      </c>
      <c r="B1235" s="8">
        <f t="shared" ref="B1235:C1235" si="1795">B1147</f>
        <v>40000</v>
      </c>
      <c r="C1235" s="8" t="str">
        <f t="shared" si="1795"/>
        <v>装备</v>
      </c>
      <c r="D1235" s="7">
        <f t="shared" si="1779"/>
        <v>50653066</v>
      </c>
      <c r="E1235" s="8"/>
      <c r="F1235" s="8">
        <v>1</v>
      </c>
      <c r="G1235" s="8">
        <f>3*INDEX([1]equip.xml!$I:$I,MATCH(D1235,[1]equip.xml!$A:$A,0))</f>
        <v>408000</v>
      </c>
      <c r="H1235" s="8" t="str">
        <f t="shared" si="1765"/>
        <v>10_10,50_20,80_30</v>
      </c>
      <c r="I1235" s="8">
        <v>1</v>
      </c>
      <c r="J1235" s="8">
        <f t="shared" si="1766"/>
        <v>240</v>
      </c>
      <c r="K1235" s="7" t="s">
        <v>312</v>
      </c>
      <c r="L1235" s="8">
        <v>44</v>
      </c>
      <c r="M1235" s="7">
        <f>IF(INDEX([1]equip.xml!$B:$B,MATCH(D1235,[1]equip.xml!$A:$A,0))=0,0,N1235)</f>
        <v>0</v>
      </c>
      <c r="N1235" s="8">
        <v>70</v>
      </c>
    </row>
    <row r="1236" spans="1:14">
      <c r="A1236" s="8">
        <v>10018</v>
      </c>
      <c r="B1236" s="8">
        <f t="shared" ref="B1236:C1236" si="1796">B1148</f>
        <v>40000</v>
      </c>
      <c r="C1236" s="8" t="str">
        <f t="shared" si="1796"/>
        <v>装备</v>
      </c>
      <c r="D1236" s="7">
        <f t="shared" si="1779"/>
        <v>50650045</v>
      </c>
      <c r="E1236" s="8"/>
      <c r="F1236" s="8">
        <v>1</v>
      </c>
      <c r="G1236" s="8">
        <f>3*INDEX([1]equip.xml!$I:$I,MATCH(D1236,[1]equip.xml!$A:$A,0))</f>
        <v>390000</v>
      </c>
      <c r="H1236" s="8" t="str">
        <f t="shared" si="1765"/>
        <v>10_10,50_20,80_30</v>
      </c>
      <c r="I1236" s="8">
        <v>1</v>
      </c>
      <c r="J1236" s="8">
        <f t="shared" si="1766"/>
        <v>240</v>
      </c>
      <c r="K1236" s="7" t="s">
        <v>312</v>
      </c>
      <c r="L1236" s="8">
        <v>44</v>
      </c>
      <c r="M1236" s="7">
        <f>IF(INDEX([1]equip.xml!$B:$B,MATCH(D1236,[1]equip.xml!$A:$A,0))=0,0,N1236)</f>
        <v>70</v>
      </c>
      <c r="N1236" s="8">
        <v>70</v>
      </c>
    </row>
    <row r="1237" spans="1:14">
      <c r="A1237" s="8">
        <v>10018</v>
      </c>
      <c r="B1237" s="8">
        <f t="shared" ref="B1237:C1237" si="1797">B1149</f>
        <v>40000</v>
      </c>
      <c r="C1237" s="8" t="str">
        <f t="shared" si="1797"/>
        <v>装备</v>
      </c>
      <c r="D1237" s="7">
        <f t="shared" si="1779"/>
        <v>50650046</v>
      </c>
      <c r="E1237" s="8"/>
      <c r="F1237" s="8">
        <v>1</v>
      </c>
      <c r="G1237" s="8">
        <f>3*INDEX([1]equip.xml!$I:$I,MATCH(D1237,[1]equip.xml!$A:$A,0))</f>
        <v>408000</v>
      </c>
      <c r="H1237" s="8" t="str">
        <f t="shared" si="1765"/>
        <v>10_10,50_20,80_30</v>
      </c>
      <c r="I1237" s="8">
        <v>1</v>
      </c>
      <c r="J1237" s="8">
        <f t="shared" si="1766"/>
        <v>240</v>
      </c>
      <c r="K1237" s="7" t="s">
        <v>312</v>
      </c>
      <c r="L1237" s="8">
        <v>44</v>
      </c>
      <c r="M1237" s="7">
        <f>IF(INDEX([1]equip.xml!$B:$B,MATCH(D1237,[1]equip.xml!$A:$A,0))=0,0,N1237)</f>
        <v>0</v>
      </c>
      <c r="N1237" s="8">
        <v>70</v>
      </c>
    </row>
    <row r="1238" spans="1:14">
      <c r="A1238" s="8">
        <v>10018</v>
      </c>
      <c r="B1238" s="8">
        <f t="shared" ref="B1238:C1238" si="1798">B1150</f>
        <v>40000</v>
      </c>
      <c r="C1238" s="8" t="str">
        <f t="shared" si="1798"/>
        <v>装备</v>
      </c>
      <c r="D1238" s="7">
        <f t="shared" si="1779"/>
        <v>50650075</v>
      </c>
      <c r="E1238" s="8"/>
      <c r="F1238" s="8">
        <v>1</v>
      </c>
      <c r="G1238" s="8">
        <f>3*INDEX([1]equip.xml!$I:$I,MATCH(D1238,[1]equip.xml!$A:$A,0))</f>
        <v>390000</v>
      </c>
      <c r="H1238" s="8" t="str">
        <f t="shared" si="1765"/>
        <v>10_10,50_20,80_30</v>
      </c>
      <c r="I1238" s="8">
        <v>1</v>
      </c>
      <c r="J1238" s="8">
        <f t="shared" si="1766"/>
        <v>240</v>
      </c>
      <c r="K1238" s="7" t="s">
        <v>312</v>
      </c>
      <c r="L1238" s="8">
        <v>44</v>
      </c>
      <c r="M1238" s="7">
        <f>IF(INDEX([1]equip.xml!$B:$B,MATCH(D1238,[1]equip.xml!$A:$A,0))=0,0,N1238)</f>
        <v>70</v>
      </c>
      <c r="N1238" s="8">
        <v>70</v>
      </c>
    </row>
    <row r="1239" spans="1:14">
      <c r="A1239" s="8">
        <v>10018</v>
      </c>
      <c r="B1239" s="8">
        <f t="shared" ref="B1239:C1239" si="1799">B1151</f>
        <v>40000</v>
      </c>
      <c r="C1239" s="8" t="str">
        <f t="shared" si="1799"/>
        <v>装备</v>
      </c>
      <c r="D1239" s="7">
        <f t="shared" si="1779"/>
        <v>50650076</v>
      </c>
      <c r="E1239" s="8"/>
      <c r="F1239" s="8">
        <v>1</v>
      </c>
      <c r="G1239" s="8">
        <f>3*INDEX([1]equip.xml!$I:$I,MATCH(D1239,[1]equip.xml!$A:$A,0))</f>
        <v>408000</v>
      </c>
      <c r="H1239" s="8" t="str">
        <f t="shared" si="1765"/>
        <v>10_10,50_20,80_30</v>
      </c>
      <c r="I1239" s="8">
        <v>1</v>
      </c>
      <c r="J1239" s="8">
        <f t="shared" si="1766"/>
        <v>240</v>
      </c>
      <c r="K1239" s="7" t="s">
        <v>312</v>
      </c>
      <c r="L1239" s="8">
        <v>44</v>
      </c>
      <c r="M1239" s="7">
        <f>IF(INDEX([1]equip.xml!$B:$B,MATCH(D1239,[1]equip.xml!$A:$A,0))=0,0,N1239)</f>
        <v>0</v>
      </c>
      <c r="N1239" s="8">
        <v>70</v>
      </c>
    </row>
    <row r="1240" spans="1:14">
      <c r="A1240" s="8">
        <v>10018</v>
      </c>
      <c r="B1240" s="8">
        <f t="shared" ref="B1240:C1240" si="1800">B1152</f>
        <v>40000</v>
      </c>
      <c r="C1240" s="8" t="str">
        <f t="shared" si="1800"/>
        <v>装备</v>
      </c>
      <c r="D1240" s="7">
        <f t="shared" si="1779"/>
        <v>50700015</v>
      </c>
      <c r="E1240" s="8"/>
      <c r="F1240" s="8">
        <v>1</v>
      </c>
      <c r="G1240" s="8">
        <f>3*INDEX([1]equip.xml!$I:$I,MATCH(D1240,[1]equip.xml!$A:$A,0))</f>
        <v>420000</v>
      </c>
      <c r="H1240" s="8" t="str">
        <f t="shared" si="1765"/>
        <v>10_10,50_20,80_30</v>
      </c>
      <c r="I1240" s="8">
        <v>1</v>
      </c>
      <c r="J1240" s="8">
        <f t="shared" si="1766"/>
        <v>240</v>
      </c>
      <c r="K1240" s="7" t="s">
        <v>312</v>
      </c>
      <c r="L1240" s="8">
        <v>44</v>
      </c>
      <c r="M1240" s="7">
        <f>IF(INDEX([1]equip.xml!$B:$B,MATCH(D1240,[1]equip.xml!$A:$A,0))=0,0,N1240)</f>
        <v>14</v>
      </c>
      <c r="N1240" s="8">
        <v>14</v>
      </c>
    </row>
    <row r="1241" spans="1:14">
      <c r="A1241" s="8">
        <v>10018</v>
      </c>
      <c r="B1241" s="8">
        <f t="shared" ref="B1241:C1241" si="1801">B1153</f>
        <v>40000</v>
      </c>
      <c r="C1241" s="8" t="str">
        <f t="shared" si="1801"/>
        <v>装备</v>
      </c>
      <c r="D1241" s="7">
        <f t="shared" si="1779"/>
        <v>50700025</v>
      </c>
      <c r="E1241" s="8"/>
      <c r="F1241" s="8">
        <v>1</v>
      </c>
      <c r="G1241" s="8">
        <f>3*INDEX([1]equip.xml!$I:$I,MATCH(D1241,[1]equip.xml!$A:$A,0))</f>
        <v>420000</v>
      </c>
      <c r="H1241" s="8" t="str">
        <f t="shared" si="1765"/>
        <v>10_10,50_20,80_30</v>
      </c>
      <c r="I1241" s="8">
        <v>1</v>
      </c>
      <c r="J1241" s="8">
        <f t="shared" si="1766"/>
        <v>240</v>
      </c>
      <c r="K1241" s="7" t="s">
        <v>312</v>
      </c>
      <c r="L1241" s="8">
        <v>44</v>
      </c>
      <c r="M1241" s="7">
        <f>IF(INDEX([1]equip.xml!$B:$B,MATCH(D1241,[1]equip.xml!$A:$A,0))=0,0,N1241)</f>
        <v>14</v>
      </c>
      <c r="N1241" s="8">
        <v>14</v>
      </c>
    </row>
    <row r="1242" spans="1:14">
      <c r="A1242" s="8">
        <v>10018</v>
      </c>
      <c r="B1242" s="8">
        <f t="shared" ref="B1242:C1242" si="1802">B1154</f>
        <v>40000</v>
      </c>
      <c r="C1242" s="8" t="str">
        <f t="shared" si="1802"/>
        <v>装备</v>
      </c>
      <c r="D1242" s="7">
        <f t="shared" si="1779"/>
        <v>50700035</v>
      </c>
      <c r="E1242" s="8"/>
      <c r="F1242" s="8">
        <v>1</v>
      </c>
      <c r="G1242" s="8">
        <f>3*INDEX([1]equip.xml!$I:$I,MATCH(D1242,[1]equip.xml!$A:$A,0))</f>
        <v>420000</v>
      </c>
      <c r="H1242" s="8" t="str">
        <f t="shared" si="1765"/>
        <v>10_10,50_20,80_30</v>
      </c>
      <c r="I1242" s="8">
        <v>1</v>
      </c>
      <c r="J1242" s="8">
        <f t="shared" si="1766"/>
        <v>240</v>
      </c>
      <c r="K1242" s="7" t="s">
        <v>312</v>
      </c>
      <c r="L1242" s="8">
        <v>44</v>
      </c>
      <c r="M1242" s="7">
        <f>IF(INDEX([1]equip.xml!$B:$B,MATCH(D1242,[1]equip.xml!$A:$A,0))=0,0,N1242)</f>
        <v>14</v>
      </c>
      <c r="N1242" s="8">
        <v>14</v>
      </c>
    </row>
    <row r="1243" spans="1:14">
      <c r="A1243" s="8">
        <v>10018</v>
      </c>
      <c r="B1243" s="8">
        <f t="shared" ref="B1243:C1243" si="1803">B1155</f>
        <v>40000</v>
      </c>
      <c r="C1243" s="8" t="str">
        <f t="shared" si="1803"/>
        <v>装备</v>
      </c>
      <c r="D1243" s="7">
        <f t="shared" si="1779"/>
        <v>50700085</v>
      </c>
      <c r="E1243" s="8"/>
      <c r="F1243" s="8">
        <v>1</v>
      </c>
      <c r="G1243" s="8">
        <f>3*INDEX([1]equip.xml!$I:$I,MATCH(D1243,[1]equip.xml!$A:$A,0))</f>
        <v>420000</v>
      </c>
      <c r="H1243" s="8" t="str">
        <f t="shared" si="1765"/>
        <v>10_10,50_20,80_30</v>
      </c>
      <c r="I1243" s="8">
        <v>1</v>
      </c>
      <c r="J1243" s="8">
        <f t="shared" si="1766"/>
        <v>240</v>
      </c>
      <c r="K1243" s="7" t="s">
        <v>312</v>
      </c>
      <c r="L1243" s="8">
        <v>44</v>
      </c>
      <c r="M1243" s="7">
        <f>IF(INDEX([1]equip.xml!$B:$B,MATCH(D1243,[1]equip.xml!$A:$A,0))=0,0,N1243)</f>
        <v>14</v>
      </c>
      <c r="N1243" s="8">
        <v>14</v>
      </c>
    </row>
    <row r="1244" spans="1:14">
      <c r="A1244" s="8">
        <v>10018</v>
      </c>
      <c r="B1244" s="8">
        <f t="shared" ref="B1244:C1244" si="1804">B1156</f>
        <v>40000</v>
      </c>
      <c r="C1244" s="8" t="str">
        <f t="shared" si="1804"/>
        <v>装备</v>
      </c>
      <c r="D1244" s="7">
        <f t="shared" si="1779"/>
        <v>50700095</v>
      </c>
      <c r="E1244" s="8"/>
      <c r="F1244" s="8">
        <v>1</v>
      </c>
      <c r="G1244" s="8">
        <f>3*INDEX([1]equip.xml!$I:$I,MATCH(D1244,[1]equip.xml!$A:$A,0))</f>
        <v>420000</v>
      </c>
      <c r="H1244" s="8" t="str">
        <f t="shared" si="1765"/>
        <v>10_10,50_20,80_30</v>
      </c>
      <c r="I1244" s="8">
        <v>1</v>
      </c>
      <c r="J1244" s="8">
        <f t="shared" si="1766"/>
        <v>240</v>
      </c>
      <c r="K1244" s="7" t="s">
        <v>312</v>
      </c>
      <c r="L1244" s="8">
        <v>44</v>
      </c>
      <c r="M1244" s="7">
        <f>IF(INDEX([1]equip.xml!$B:$B,MATCH(D1244,[1]equip.xml!$A:$A,0))=0,0,N1244)</f>
        <v>14</v>
      </c>
      <c r="N1244" s="8">
        <v>14</v>
      </c>
    </row>
    <row r="1245" spans="1:14">
      <c r="A1245" s="8">
        <v>10018</v>
      </c>
      <c r="B1245" s="8">
        <f t="shared" ref="B1245:C1245" si="1805">B1157</f>
        <v>40000</v>
      </c>
      <c r="C1245" s="8" t="str">
        <f t="shared" si="1805"/>
        <v>装备</v>
      </c>
      <c r="D1245" s="7">
        <f t="shared" si="1779"/>
        <v>50700105</v>
      </c>
      <c r="E1245" s="8"/>
      <c r="F1245" s="8">
        <v>1</v>
      </c>
      <c r="G1245" s="8">
        <f>3*INDEX([1]equip.xml!$I:$I,MATCH(D1245,[1]equip.xml!$A:$A,0))</f>
        <v>420000</v>
      </c>
      <c r="H1245" s="8" t="str">
        <f t="shared" si="1765"/>
        <v>10_10,50_20,80_30</v>
      </c>
      <c r="I1245" s="8">
        <v>1</v>
      </c>
      <c r="J1245" s="8">
        <f t="shared" si="1766"/>
        <v>240</v>
      </c>
      <c r="K1245" s="7" t="s">
        <v>312</v>
      </c>
      <c r="L1245" s="8">
        <v>44</v>
      </c>
      <c r="M1245" s="7">
        <f>IF(INDEX([1]equip.xml!$B:$B,MATCH(D1245,[1]equip.xml!$A:$A,0))=0,0,N1245)</f>
        <v>14</v>
      </c>
      <c r="N1245" s="8">
        <v>14</v>
      </c>
    </row>
    <row r="1246" spans="1:14">
      <c r="A1246" s="8">
        <v>10018</v>
      </c>
      <c r="B1246" s="8">
        <f t="shared" ref="B1246:C1246" si="1806">B1158</f>
        <v>40000</v>
      </c>
      <c r="C1246" s="8" t="str">
        <f t="shared" si="1806"/>
        <v>装备</v>
      </c>
      <c r="D1246" s="7">
        <f t="shared" si="1779"/>
        <v>50701055</v>
      </c>
      <c r="E1246" s="8"/>
      <c r="F1246" s="8">
        <v>1</v>
      </c>
      <c r="G1246" s="8">
        <f>3*INDEX([1]equip.xml!$I:$I,MATCH(D1246,[1]equip.xml!$A:$A,0))</f>
        <v>420000</v>
      </c>
      <c r="H1246" s="8" t="str">
        <f t="shared" si="1765"/>
        <v>10_10,50_20,80_30</v>
      </c>
      <c r="I1246" s="8">
        <v>1</v>
      </c>
      <c r="J1246" s="8">
        <f t="shared" si="1766"/>
        <v>240</v>
      </c>
      <c r="K1246" s="7" t="s">
        <v>312</v>
      </c>
      <c r="L1246" s="8">
        <v>44</v>
      </c>
      <c r="M1246" s="7">
        <f>IF(INDEX([1]equip.xml!$B:$B,MATCH(D1246,[1]equip.xml!$A:$A,0))=0,0,N1246)</f>
        <v>14</v>
      </c>
      <c r="N1246" s="8">
        <v>14</v>
      </c>
    </row>
    <row r="1247" spans="1:14">
      <c r="A1247" s="8">
        <v>10018</v>
      </c>
      <c r="B1247" s="8">
        <f t="shared" ref="B1247:C1247" si="1807">B1159</f>
        <v>40000</v>
      </c>
      <c r="C1247" s="8" t="str">
        <f t="shared" si="1807"/>
        <v>装备</v>
      </c>
      <c r="D1247" s="7">
        <f t="shared" si="1779"/>
        <v>50701056</v>
      </c>
      <c r="E1247" s="8"/>
      <c r="F1247" s="8">
        <v>1</v>
      </c>
      <c r="G1247" s="8">
        <f>3*INDEX([1]equip.xml!$I:$I,MATCH(D1247,[1]equip.xml!$A:$A,0))</f>
        <v>438000</v>
      </c>
      <c r="H1247" s="8" t="str">
        <f t="shared" si="1765"/>
        <v>10_10,50_20,80_30</v>
      </c>
      <c r="I1247" s="8">
        <v>1</v>
      </c>
      <c r="J1247" s="8">
        <f t="shared" si="1766"/>
        <v>240</v>
      </c>
      <c r="K1247" s="7" t="s">
        <v>312</v>
      </c>
      <c r="L1247" s="8">
        <v>44</v>
      </c>
      <c r="M1247" s="7">
        <f>IF(INDEX([1]equip.xml!$B:$B,MATCH(D1247,[1]equip.xml!$A:$A,0))=0,0,N1247)</f>
        <v>0</v>
      </c>
      <c r="N1247" s="8">
        <v>14</v>
      </c>
    </row>
    <row r="1248" spans="1:14">
      <c r="A1248" s="8">
        <v>10018</v>
      </c>
      <c r="B1248" s="8">
        <f t="shared" ref="B1248:C1248" si="1808">B1160</f>
        <v>40000</v>
      </c>
      <c r="C1248" s="8" t="str">
        <f t="shared" si="1808"/>
        <v>装备</v>
      </c>
      <c r="D1248" s="7">
        <f t="shared" si="1779"/>
        <v>50701065</v>
      </c>
      <c r="E1248" s="8"/>
      <c r="F1248" s="8">
        <v>1</v>
      </c>
      <c r="G1248" s="8">
        <f>3*INDEX([1]equip.xml!$I:$I,MATCH(D1248,[1]equip.xml!$A:$A,0))</f>
        <v>420000</v>
      </c>
      <c r="H1248" s="8" t="str">
        <f t="shared" si="1765"/>
        <v>10_10,50_20,80_30</v>
      </c>
      <c r="I1248" s="8">
        <v>1</v>
      </c>
      <c r="J1248" s="8">
        <f t="shared" si="1766"/>
        <v>240</v>
      </c>
      <c r="K1248" s="7" t="s">
        <v>312</v>
      </c>
      <c r="L1248" s="8">
        <v>44</v>
      </c>
      <c r="M1248" s="7">
        <f>IF(INDEX([1]equip.xml!$B:$B,MATCH(D1248,[1]equip.xml!$A:$A,0))=0,0,N1248)</f>
        <v>14</v>
      </c>
      <c r="N1248" s="8">
        <v>14</v>
      </c>
    </row>
    <row r="1249" spans="1:14">
      <c r="A1249" s="8">
        <v>10018</v>
      </c>
      <c r="B1249" s="8">
        <f t="shared" ref="B1249:C1249" si="1809">B1161</f>
        <v>40000</v>
      </c>
      <c r="C1249" s="8" t="str">
        <f t="shared" si="1809"/>
        <v>装备</v>
      </c>
      <c r="D1249" s="7">
        <f t="shared" si="1779"/>
        <v>50701066</v>
      </c>
      <c r="E1249" s="8"/>
      <c r="F1249" s="8">
        <v>1</v>
      </c>
      <c r="G1249" s="8">
        <f>3*INDEX([1]equip.xml!$I:$I,MATCH(D1249,[1]equip.xml!$A:$A,0))</f>
        <v>438000</v>
      </c>
      <c r="H1249" s="8" t="str">
        <f t="shared" si="1765"/>
        <v>10_10,50_20,80_30</v>
      </c>
      <c r="I1249" s="8">
        <v>1</v>
      </c>
      <c r="J1249" s="8">
        <f t="shared" si="1766"/>
        <v>240</v>
      </c>
      <c r="K1249" s="7" t="s">
        <v>312</v>
      </c>
      <c r="L1249" s="8">
        <v>44</v>
      </c>
      <c r="M1249" s="7">
        <f>IF(INDEX([1]equip.xml!$B:$B,MATCH(D1249,[1]equip.xml!$A:$A,0))=0,0,N1249)</f>
        <v>0</v>
      </c>
      <c r="N1249" s="8">
        <v>14</v>
      </c>
    </row>
    <row r="1250" spans="1:14">
      <c r="A1250" s="8">
        <v>10018</v>
      </c>
      <c r="B1250" s="8">
        <f t="shared" ref="B1250:C1250" si="1810">B1162</f>
        <v>40000</v>
      </c>
      <c r="C1250" s="8" t="str">
        <f t="shared" si="1810"/>
        <v>装备</v>
      </c>
      <c r="D1250" s="7">
        <f t="shared" si="1779"/>
        <v>50702055</v>
      </c>
      <c r="E1250" s="8"/>
      <c r="F1250" s="8">
        <v>1</v>
      </c>
      <c r="G1250" s="8">
        <f>3*INDEX([1]equip.xml!$I:$I,MATCH(D1250,[1]equip.xml!$A:$A,0))</f>
        <v>420000</v>
      </c>
      <c r="H1250" s="8" t="str">
        <f t="shared" si="1765"/>
        <v>10_10,50_20,80_30</v>
      </c>
      <c r="I1250" s="8">
        <v>1</v>
      </c>
      <c r="J1250" s="8">
        <f t="shared" si="1766"/>
        <v>240</v>
      </c>
      <c r="K1250" s="7" t="s">
        <v>312</v>
      </c>
      <c r="L1250" s="8">
        <v>44</v>
      </c>
      <c r="M1250" s="7">
        <f>IF(INDEX([1]equip.xml!$B:$B,MATCH(D1250,[1]equip.xml!$A:$A,0))=0,0,N1250)</f>
        <v>14</v>
      </c>
      <c r="N1250" s="8">
        <v>14</v>
      </c>
    </row>
    <row r="1251" spans="1:14">
      <c r="A1251" s="8">
        <v>10018</v>
      </c>
      <c r="B1251" s="8">
        <f t="shared" ref="B1251:C1251" si="1811">B1163</f>
        <v>40000</v>
      </c>
      <c r="C1251" s="8" t="str">
        <f t="shared" si="1811"/>
        <v>装备</v>
      </c>
      <c r="D1251" s="7">
        <f t="shared" si="1779"/>
        <v>50702056</v>
      </c>
      <c r="E1251" s="8"/>
      <c r="F1251" s="8">
        <v>1</v>
      </c>
      <c r="G1251" s="8">
        <f>3*INDEX([1]equip.xml!$I:$I,MATCH(D1251,[1]equip.xml!$A:$A,0))</f>
        <v>438000</v>
      </c>
      <c r="H1251" s="8" t="str">
        <f t="shared" si="1765"/>
        <v>10_10,50_20,80_30</v>
      </c>
      <c r="I1251" s="8">
        <v>1</v>
      </c>
      <c r="J1251" s="8">
        <f t="shared" si="1766"/>
        <v>240</v>
      </c>
      <c r="K1251" s="7" t="s">
        <v>312</v>
      </c>
      <c r="L1251" s="8">
        <v>44</v>
      </c>
      <c r="M1251" s="7">
        <f>IF(INDEX([1]equip.xml!$B:$B,MATCH(D1251,[1]equip.xml!$A:$A,0))=0,0,N1251)</f>
        <v>0</v>
      </c>
      <c r="N1251" s="8">
        <v>14</v>
      </c>
    </row>
    <row r="1252" spans="1:14">
      <c r="A1252" s="8">
        <v>10018</v>
      </c>
      <c r="B1252" s="8">
        <f t="shared" ref="B1252:C1252" si="1812">B1164</f>
        <v>40000</v>
      </c>
      <c r="C1252" s="8" t="str">
        <f t="shared" si="1812"/>
        <v>装备</v>
      </c>
      <c r="D1252" s="7">
        <f t="shared" si="1779"/>
        <v>50702065</v>
      </c>
      <c r="E1252" s="8"/>
      <c r="F1252" s="8">
        <v>1</v>
      </c>
      <c r="G1252" s="8">
        <f>3*INDEX([1]equip.xml!$I:$I,MATCH(D1252,[1]equip.xml!$A:$A,0))</f>
        <v>420000</v>
      </c>
      <c r="H1252" s="8" t="str">
        <f t="shared" si="1765"/>
        <v>10_10,50_20,80_30</v>
      </c>
      <c r="I1252" s="8">
        <v>1</v>
      </c>
      <c r="J1252" s="8">
        <f t="shared" si="1766"/>
        <v>240</v>
      </c>
      <c r="K1252" s="7" t="s">
        <v>312</v>
      </c>
      <c r="L1252" s="8">
        <v>44</v>
      </c>
      <c r="M1252" s="7">
        <f>IF(INDEX([1]equip.xml!$B:$B,MATCH(D1252,[1]equip.xml!$A:$A,0))=0,0,N1252)</f>
        <v>14</v>
      </c>
      <c r="N1252" s="8">
        <v>14</v>
      </c>
    </row>
    <row r="1253" spans="1:14">
      <c r="A1253" s="8">
        <v>10018</v>
      </c>
      <c r="B1253" s="8">
        <f t="shared" ref="B1253:C1253" si="1813">B1165</f>
        <v>40000</v>
      </c>
      <c r="C1253" s="8" t="str">
        <f t="shared" si="1813"/>
        <v>装备</v>
      </c>
      <c r="D1253" s="7">
        <f t="shared" si="1779"/>
        <v>50702066</v>
      </c>
      <c r="E1253" s="8"/>
      <c r="F1253" s="8">
        <v>1</v>
      </c>
      <c r="G1253" s="8">
        <f>3*INDEX([1]equip.xml!$I:$I,MATCH(D1253,[1]equip.xml!$A:$A,0))</f>
        <v>438000</v>
      </c>
      <c r="H1253" s="8" t="str">
        <f t="shared" si="1765"/>
        <v>10_10,50_20,80_30</v>
      </c>
      <c r="I1253" s="8">
        <v>1</v>
      </c>
      <c r="J1253" s="8">
        <f t="shared" si="1766"/>
        <v>240</v>
      </c>
      <c r="K1253" s="7" t="s">
        <v>312</v>
      </c>
      <c r="L1253" s="8">
        <v>44</v>
      </c>
      <c r="M1253" s="7">
        <f>IF(INDEX([1]equip.xml!$B:$B,MATCH(D1253,[1]equip.xml!$A:$A,0))=0,0,N1253)</f>
        <v>0</v>
      </c>
      <c r="N1253" s="8">
        <v>14</v>
      </c>
    </row>
    <row r="1254" spans="1:14">
      <c r="A1254" s="8">
        <v>10018</v>
      </c>
      <c r="B1254" s="8">
        <f t="shared" ref="B1254:C1254" si="1814">B1166</f>
        <v>40000</v>
      </c>
      <c r="C1254" s="8" t="str">
        <f t="shared" si="1814"/>
        <v>装备</v>
      </c>
      <c r="D1254" s="7">
        <f t="shared" si="1779"/>
        <v>50703055</v>
      </c>
      <c r="E1254" s="8"/>
      <c r="F1254" s="8">
        <v>1</v>
      </c>
      <c r="G1254" s="8">
        <f>3*INDEX([1]equip.xml!$I:$I,MATCH(D1254,[1]equip.xml!$A:$A,0))</f>
        <v>420000</v>
      </c>
      <c r="H1254" s="8" t="str">
        <f t="shared" si="1765"/>
        <v>10_10,50_20,80_30</v>
      </c>
      <c r="I1254" s="8">
        <v>1</v>
      </c>
      <c r="J1254" s="8">
        <f t="shared" si="1766"/>
        <v>240</v>
      </c>
      <c r="K1254" s="7" t="s">
        <v>312</v>
      </c>
      <c r="L1254" s="8">
        <v>44</v>
      </c>
      <c r="M1254" s="7">
        <f>IF(INDEX([1]equip.xml!$B:$B,MATCH(D1254,[1]equip.xml!$A:$A,0))=0,0,N1254)</f>
        <v>14</v>
      </c>
      <c r="N1254" s="8">
        <v>14</v>
      </c>
    </row>
    <row r="1255" spans="1:14">
      <c r="A1255" s="8">
        <v>10018</v>
      </c>
      <c r="B1255" s="8">
        <f t="shared" ref="B1255:C1255" si="1815">B1167</f>
        <v>40000</v>
      </c>
      <c r="C1255" s="8" t="str">
        <f t="shared" si="1815"/>
        <v>装备</v>
      </c>
      <c r="D1255" s="7">
        <f t="shared" si="1779"/>
        <v>50703056</v>
      </c>
      <c r="E1255" s="8"/>
      <c r="F1255" s="8">
        <v>1</v>
      </c>
      <c r="G1255" s="8">
        <f>3*INDEX([1]equip.xml!$I:$I,MATCH(D1255,[1]equip.xml!$A:$A,0))</f>
        <v>438000</v>
      </c>
      <c r="H1255" s="8" t="str">
        <f t="shared" si="1765"/>
        <v>10_10,50_20,80_30</v>
      </c>
      <c r="I1255" s="8">
        <v>1</v>
      </c>
      <c r="J1255" s="8">
        <f t="shared" si="1766"/>
        <v>240</v>
      </c>
      <c r="K1255" s="7" t="s">
        <v>312</v>
      </c>
      <c r="L1255" s="8">
        <v>44</v>
      </c>
      <c r="M1255" s="7">
        <f>IF(INDEX([1]equip.xml!$B:$B,MATCH(D1255,[1]equip.xml!$A:$A,0))=0,0,N1255)</f>
        <v>0</v>
      </c>
      <c r="N1255" s="8">
        <v>14</v>
      </c>
    </row>
    <row r="1256" spans="1:14">
      <c r="A1256" s="8">
        <v>10018</v>
      </c>
      <c r="B1256" s="8">
        <f t="shared" ref="B1256:C1256" si="1816">B1168</f>
        <v>40000</v>
      </c>
      <c r="C1256" s="8" t="str">
        <f t="shared" si="1816"/>
        <v>装备</v>
      </c>
      <c r="D1256" s="7">
        <f>D1212+10000005</f>
        <v>50703065</v>
      </c>
      <c r="E1256" s="8"/>
      <c r="F1256" s="8">
        <v>1</v>
      </c>
      <c r="G1256" s="8">
        <f>3*INDEX([1]equip.xml!$I:$I,MATCH(D1256,[1]equip.xml!$A:$A,0))</f>
        <v>420000</v>
      </c>
      <c r="H1256" s="8" t="str">
        <f t="shared" si="1765"/>
        <v>10_10,50_20,80_30</v>
      </c>
      <c r="I1256" s="8">
        <v>1</v>
      </c>
      <c r="J1256" s="8">
        <f t="shared" si="1766"/>
        <v>240</v>
      </c>
      <c r="K1256" s="7" t="s">
        <v>312</v>
      </c>
      <c r="L1256" s="8">
        <v>44</v>
      </c>
      <c r="M1256" s="7">
        <f>IF(INDEX([1]equip.xml!$B:$B,MATCH(D1256,[1]equip.xml!$A:$A,0))=0,0,N1256)</f>
        <v>14</v>
      </c>
      <c r="N1256" s="8">
        <v>14</v>
      </c>
    </row>
    <row r="1257" spans="1:14">
      <c r="A1257" s="8">
        <v>10018</v>
      </c>
      <c r="B1257" s="8">
        <f t="shared" ref="B1257:C1257" si="1817">B1169</f>
        <v>40000</v>
      </c>
      <c r="C1257" s="8" t="str">
        <f t="shared" si="1817"/>
        <v>装备</v>
      </c>
      <c r="D1257" s="7">
        <f t="shared" si="1779"/>
        <v>50703066</v>
      </c>
      <c r="E1257" s="8"/>
      <c r="F1257" s="8">
        <v>1</v>
      </c>
      <c r="G1257" s="8">
        <f>3*INDEX([1]equip.xml!$I:$I,MATCH(D1257,[1]equip.xml!$A:$A,0))</f>
        <v>438000</v>
      </c>
      <c r="H1257" s="8" t="str">
        <f t="shared" si="1765"/>
        <v>10_10,50_20,80_30</v>
      </c>
      <c r="I1257" s="8">
        <v>1</v>
      </c>
      <c r="J1257" s="8">
        <f t="shared" si="1766"/>
        <v>240</v>
      </c>
      <c r="K1257" s="7" t="s">
        <v>312</v>
      </c>
      <c r="L1257" s="8">
        <v>44</v>
      </c>
      <c r="M1257" s="7">
        <f>IF(INDEX([1]equip.xml!$B:$B,MATCH(D1257,[1]equip.xml!$A:$A,0))=0,0,N1257)</f>
        <v>0</v>
      </c>
      <c r="N1257" s="8">
        <v>14</v>
      </c>
    </row>
    <row r="1258" spans="1:14">
      <c r="A1258" s="8">
        <v>10018</v>
      </c>
      <c r="B1258" s="8">
        <f t="shared" ref="B1258:C1258" si="1818">B1170</f>
        <v>40000</v>
      </c>
      <c r="C1258" s="8" t="str">
        <f t="shared" si="1818"/>
        <v>装备</v>
      </c>
      <c r="D1258" s="7">
        <f t="shared" si="1779"/>
        <v>50700045</v>
      </c>
      <c r="E1258" s="8"/>
      <c r="F1258" s="8">
        <v>1</v>
      </c>
      <c r="G1258" s="8">
        <f>3*INDEX([1]equip.xml!$I:$I,MATCH(D1258,[1]equip.xml!$A:$A,0))</f>
        <v>420000</v>
      </c>
      <c r="H1258" s="8" t="str">
        <f t="shared" si="1765"/>
        <v>10_10,50_20,80_30</v>
      </c>
      <c r="I1258" s="8">
        <v>1</v>
      </c>
      <c r="J1258" s="8">
        <f t="shared" si="1766"/>
        <v>240</v>
      </c>
      <c r="K1258" s="7" t="s">
        <v>312</v>
      </c>
      <c r="L1258" s="8">
        <v>44</v>
      </c>
      <c r="M1258" s="7">
        <f>IF(INDEX([1]equip.xml!$B:$B,MATCH(D1258,[1]equip.xml!$A:$A,0))=0,0,N1258)</f>
        <v>14</v>
      </c>
      <c r="N1258" s="8">
        <v>14</v>
      </c>
    </row>
    <row r="1259" spans="1:14">
      <c r="A1259" s="8">
        <v>10018</v>
      </c>
      <c r="B1259" s="8">
        <f t="shared" ref="B1259:C1259" si="1819">B1171</f>
        <v>40000</v>
      </c>
      <c r="C1259" s="8" t="str">
        <f t="shared" si="1819"/>
        <v>装备</v>
      </c>
      <c r="D1259" s="7">
        <f t="shared" si="1779"/>
        <v>50700046</v>
      </c>
      <c r="E1259" s="8"/>
      <c r="F1259" s="8">
        <v>1</v>
      </c>
      <c r="G1259" s="8">
        <f>3*INDEX([1]equip.xml!$I:$I,MATCH(D1259,[1]equip.xml!$A:$A,0))</f>
        <v>438000</v>
      </c>
      <c r="H1259" s="8" t="str">
        <f t="shared" si="1765"/>
        <v>10_10,50_20,80_30</v>
      </c>
      <c r="I1259" s="8">
        <v>1</v>
      </c>
      <c r="J1259" s="8">
        <f t="shared" si="1766"/>
        <v>240</v>
      </c>
      <c r="K1259" s="7" t="s">
        <v>312</v>
      </c>
      <c r="L1259" s="8">
        <v>44</v>
      </c>
      <c r="M1259" s="7">
        <f>IF(INDEX([1]equip.xml!$B:$B,MATCH(D1259,[1]equip.xml!$A:$A,0))=0,0,N1259)</f>
        <v>0</v>
      </c>
      <c r="N1259" s="8">
        <v>14</v>
      </c>
    </row>
    <row r="1260" spans="1:14">
      <c r="A1260" s="8">
        <v>10018</v>
      </c>
      <c r="B1260" s="8">
        <f t="shared" ref="B1260:C1260" si="1820">B1172</f>
        <v>40000</v>
      </c>
      <c r="C1260" s="8" t="str">
        <f t="shared" si="1820"/>
        <v>装备</v>
      </c>
      <c r="D1260" s="7">
        <f t="shared" si="1779"/>
        <v>50700075</v>
      </c>
      <c r="E1260" s="8"/>
      <c r="F1260" s="8">
        <v>1</v>
      </c>
      <c r="G1260" s="8">
        <f>3*INDEX([1]equip.xml!$I:$I,MATCH(D1260,[1]equip.xml!$A:$A,0))</f>
        <v>420000</v>
      </c>
      <c r="H1260" s="8" t="str">
        <f t="shared" si="1765"/>
        <v>10_10,50_20,80_30</v>
      </c>
      <c r="I1260" s="8">
        <v>1</v>
      </c>
      <c r="J1260" s="8">
        <f t="shared" si="1766"/>
        <v>240</v>
      </c>
      <c r="K1260" s="7" t="s">
        <v>312</v>
      </c>
      <c r="L1260" s="8">
        <v>44</v>
      </c>
      <c r="M1260" s="7">
        <f>IF(INDEX([1]equip.xml!$B:$B,MATCH(D1260,[1]equip.xml!$A:$A,0))=0,0,N1260)</f>
        <v>14</v>
      </c>
      <c r="N1260" s="8">
        <v>14</v>
      </c>
    </row>
    <row r="1261" spans="1:14">
      <c r="A1261" s="8">
        <v>10018</v>
      </c>
      <c r="B1261" s="8">
        <f t="shared" ref="B1261:C1261" si="1821">B1173</f>
        <v>40000</v>
      </c>
      <c r="C1261" s="8" t="str">
        <f t="shared" si="1821"/>
        <v>装备</v>
      </c>
      <c r="D1261" s="7">
        <f t="shared" si="1779"/>
        <v>50700076</v>
      </c>
      <c r="E1261" s="8"/>
      <c r="F1261" s="8">
        <v>1</v>
      </c>
      <c r="G1261" s="8">
        <f>3*INDEX([1]equip.xml!$I:$I,MATCH(D1261,[1]equip.xml!$A:$A,0))</f>
        <v>438000</v>
      </c>
      <c r="H1261" s="8" t="str">
        <f t="shared" si="1765"/>
        <v>10_10,50_20,80_30</v>
      </c>
      <c r="I1261" s="8">
        <v>1</v>
      </c>
      <c r="J1261" s="8">
        <f t="shared" si="1766"/>
        <v>240</v>
      </c>
      <c r="K1261" s="7" t="s">
        <v>312</v>
      </c>
      <c r="L1261" s="8">
        <v>44</v>
      </c>
      <c r="M1261" s="7">
        <f>IF(INDEX([1]equip.xml!$B:$B,MATCH(D1261,[1]equip.xml!$A:$A,0))=0,0,N1261)</f>
        <v>0</v>
      </c>
      <c r="N1261" s="8">
        <v>14</v>
      </c>
    </row>
    <row r="1262" spans="1:14">
      <c r="A1262" s="8">
        <f>A1174+1</f>
        <v>10019</v>
      </c>
      <c r="B1262" s="8">
        <f t="shared" ref="B1262:C1262" si="1822">B1174</f>
        <v>40000</v>
      </c>
      <c r="C1262" s="8" t="str">
        <f t="shared" si="1822"/>
        <v>装备</v>
      </c>
      <c r="D1262" s="8">
        <v>40700010</v>
      </c>
      <c r="E1262" s="8"/>
      <c r="F1262" s="8">
        <v>1</v>
      </c>
      <c r="G1262" s="7">
        <f>3*INDEX([1]equip.xml!$I:$I,MATCH(D1262&amp;"",[1]equip.xml!$A:$A,0))</f>
        <v>210000</v>
      </c>
      <c r="H1262" s="8" t="str">
        <f t="shared" si="1765"/>
        <v>10_10,50_20,80_30</v>
      </c>
      <c r="I1262" s="8">
        <f t="shared" si="1765"/>
        <v>6</v>
      </c>
      <c r="J1262" s="8">
        <f t="shared" si="1765"/>
        <v>50</v>
      </c>
      <c r="K1262" s="7" t="s">
        <v>312</v>
      </c>
      <c r="L1262" s="8">
        <v>44</v>
      </c>
      <c r="M1262" s="7">
        <f>IF(INDEX([1]equip.xml!$B:$B,MATCH(D1262&amp;"",[1]equip.xml!$A:$A,0))=0,0,N1262)</f>
        <v>130</v>
      </c>
      <c r="N1262" s="8">
        <v>130</v>
      </c>
    </row>
    <row r="1263" spans="1:14">
      <c r="A1263" s="8">
        <f t="shared" ref="A1263:A1326" si="1823">A1175+1</f>
        <v>10019</v>
      </c>
      <c r="B1263" s="8">
        <f t="shared" ref="B1263:C1263" si="1824">B1175</f>
        <v>40000</v>
      </c>
      <c r="C1263" s="8" t="str">
        <f t="shared" si="1824"/>
        <v>装备</v>
      </c>
      <c r="D1263" s="8">
        <v>40700020</v>
      </c>
      <c r="E1263" s="8"/>
      <c r="F1263" s="8">
        <v>1</v>
      </c>
      <c r="G1263" s="7">
        <f>3*INDEX([1]equip.xml!$I:$I,MATCH(D1263&amp;"",[1]equip.xml!$A:$A,0))</f>
        <v>210000</v>
      </c>
      <c r="H1263" s="8" t="str">
        <f t="shared" ref="H1263:J1263" si="1825">H1175</f>
        <v>10_10,50_20,80_30</v>
      </c>
      <c r="I1263" s="8">
        <f t="shared" si="1825"/>
        <v>6</v>
      </c>
      <c r="J1263" s="8">
        <f t="shared" si="1825"/>
        <v>50</v>
      </c>
      <c r="K1263" s="7" t="s">
        <v>312</v>
      </c>
      <c r="L1263" s="8">
        <v>44</v>
      </c>
      <c r="M1263" s="7">
        <f>IF(INDEX([1]equip.xml!$B:$B,MATCH(D1263&amp;"",[1]equip.xml!$A:$A,0))=0,0,N1263)</f>
        <v>130</v>
      </c>
      <c r="N1263" s="8">
        <v>130</v>
      </c>
    </row>
    <row r="1264" spans="1:14">
      <c r="A1264" s="8">
        <f t="shared" si="1823"/>
        <v>10019</v>
      </c>
      <c r="B1264" s="8">
        <f t="shared" ref="B1264:C1264" si="1826">B1176</f>
        <v>40000</v>
      </c>
      <c r="C1264" s="8" t="str">
        <f t="shared" si="1826"/>
        <v>装备</v>
      </c>
      <c r="D1264" s="8">
        <v>40700030</v>
      </c>
      <c r="E1264" s="8"/>
      <c r="F1264" s="8">
        <v>1</v>
      </c>
      <c r="G1264" s="7">
        <f>3*INDEX([1]equip.xml!$I:$I,MATCH(D1264&amp;"",[1]equip.xml!$A:$A,0))</f>
        <v>210000</v>
      </c>
      <c r="H1264" s="8" t="str">
        <f t="shared" ref="H1264:J1264" si="1827">H1176</f>
        <v>10_10,50_20,80_30</v>
      </c>
      <c r="I1264" s="8">
        <f t="shared" si="1827"/>
        <v>6</v>
      </c>
      <c r="J1264" s="8">
        <f t="shared" si="1827"/>
        <v>50</v>
      </c>
      <c r="K1264" s="7" t="s">
        <v>312</v>
      </c>
      <c r="L1264" s="8">
        <v>44</v>
      </c>
      <c r="M1264" s="7">
        <f>IF(INDEX([1]equip.xml!$B:$B,MATCH(D1264&amp;"",[1]equip.xml!$A:$A,0))=0,0,N1264)</f>
        <v>130</v>
      </c>
      <c r="N1264" s="8">
        <v>130</v>
      </c>
    </row>
    <row r="1265" spans="1:14">
      <c r="A1265" s="8">
        <f t="shared" si="1823"/>
        <v>10019</v>
      </c>
      <c r="B1265" s="8">
        <f t="shared" ref="B1265:C1265" si="1828">B1177</f>
        <v>40000</v>
      </c>
      <c r="C1265" s="8" t="str">
        <f t="shared" si="1828"/>
        <v>装备</v>
      </c>
      <c r="D1265" s="8">
        <v>40700080</v>
      </c>
      <c r="E1265" s="8"/>
      <c r="F1265" s="8">
        <v>1</v>
      </c>
      <c r="G1265" s="7">
        <f>3*INDEX([1]equip.xml!$I:$I,MATCH(D1265&amp;"",[1]equip.xml!$A:$A,0))</f>
        <v>210000</v>
      </c>
      <c r="H1265" s="8" t="str">
        <f t="shared" ref="H1265:J1265" si="1829">H1177</f>
        <v>10_10,50_20,80_30</v>
      </c>
      <c r="I1265" s="8">
        <f t="shared" si="1829"/>
        <v>6</v>
      </c>
      <c r="J1265" s="8">
        <f t="shared" si="1829"/>
        <v>50</v>
      </c>
      <c r="K1265" s="7" t="s">
        <v>312</v>
      </c>
      <c r="L1265" s="8">
        <v>44</v>
      </c>
      <c r="M1265" s="7">
        <f>IF(INDEX([1]equip.xml!$B:$B,MATCH(D1265&amp;"",[1]equip.xml!$A:$A,0))=0,0,N1265)</f>
        <v>130</v>
      </c>
      <c r="N1265" s="8">
        <v>130</v>
      </c>
    </row>
    <row r="1266" spans="1:14">
      <c r="A1266" s="8">
        <f t="shared" si="1823"/>
        <v>10019</v>
      </c>
      <c r="B1266" s="8">
        <f t="shared" ref="B1266:C1266" si="1830">B1178</f>
        <v>40000</v>
      </c>
      <c r="C1266" s="8" t="str">
        <f t="shared" si="1830"/>
        <v>装备</v>
      </c>
      <c r="D1266" s="8">
        <v>40700090</v>
      </c>
      <c r="E1266" s="8"/>
      <c r="F1266" s="8">
        <v>1</v>
      </c>
      <c r="G1266" s="7">
        <f>3*INDEX([1]equip.xml!$I:$I,MATCH(D1266&amp;"",[1]equip.xml!$A:$A,0))</f>
        <v>210000</v>
      </c>
      <c r="H1266" s="8" t="str">
        <f t="shared" ref="H1266:J1266" si="1831">H1178</f>
        <v>10_10,50_20,80_30</v>
      </c>
      <c r="I1266" s="8">
        <f t="shared" si="1831"/>
        <v>6</v>
      </c>
      <c r="J1266" s="8">
        <f t="shared" si="1831"/>
        <v>50</v>
      </c>
      <c r="K1266" s="7" t="s">
        <v>312</v>
      </c>
      <c r="L1266" s="8">
        <v>44</v>
      </c>
      <c r="M1266" s="7">
        <f>IF(INDEX([1]equip.xml!$B:$B,MATCH(D1266&amp;"",[1]equip.xml!$A:$A,0))=0,0,N1266)</f>
        <v>130</v>
      </c>
      <c r="N1266" s="8">
        <v>130</v>
      </c>
    </row>
    <row r="1267" spans="1:14">
      <c r="A1267" s="8">
        <f t="shared" si="1823"/>
        <v>10019</v>
      </c>
      <c r="B1267" s="8">
        <f t="shared" ref="B1267:C1267" si="1832">B1179</f>
        <v>40000</v>
      </c>
      <c r="C1267" s="8" t="str">
        <f t="shared" si="1832"/>
        <v>装备</v>
      </c>
      <c r="D1267" s="8">
        <v>40700100</v>
      </c>
      <c r="E1267" s="8"/>
      <c r="F1267" s="8">
        <v>1</v>
      </c>
      <c r="G1267" s="7">
        <f>3*INDEX([1]equip.xml!$I:$I,MATCH(D1267&amp;"",[1]equip.xml!$A:$A,0))</f>
        <v>210000</v>
      </c>
      <c r="H1267" s="8" t="str">
        <f t="shared" ref="H1267:J1267" si="1833">H1179</f>
        <v>10_10,50_20,80_30</v>
      </c>
      <c r="I1267" s="8">
        <f t="shared" si="1833"/>
        <v>6</v>
      </c>
      <c r="J1267" s="8">
        <f t="shared" si="1833"/>
        <v>50</v>
      </c>
      <c r="K1267" s="7" t="s">
        <v>312</v>
      </c>
      <c r="L1267" s="8">
        <v>44</v>
      </c>
      <c r="M1267" s="7">
        <f>IF(INDEX([1]equip.xml!$B:$B,MATCH(D1267&amp;"",[1]equip.xml!$A:$A,0))=0,0,N1267)</f>
        <v>130</v>
      </c>
      <c r="N1267" s="8">
        <v>130</v>
      </c>
    </row>
    <row r="1268" spans="1:14">
      <c r="A1268" s="8">
        <f t="shared" si="1823"/>
        <v>10019</v>
      </c>
      <c r="B1268" s="8">
        <f t="shared" ref="B1268:C1268" si="1834">B1180</f>
        <v>40000</v>
      </c>
      <c r="C1268" s="8" t="str">
        <f t="shared" si="1834"/>
        <v>装备</v>
      </c>
      <c r="D1268" s="8">
        <v>40701050</v>
      </c>
      <c r="E1268" s="8"/>
      <c r="F1268" s="8">
        <v>1</v>
      </c>
      <c r="G1268" s="7">
        <f>3*INDEX([1]equip.xml!$I:$I,MATCH(D1268&amp;"",[1]equip.xml!$A:$A,0))</f>
        <v>210000</v>
      </c>
      <c r="H1268" s="8" t="str">
        <f t="shared" ref="H1268:J1268" si="1835">H1180</f>
        <v>10_10,50_20,80_30</v>
      </c>
      <c r="I1268" s="8">
        <f t="shared" si="1835"/>
        <v>6</v>
      </c>
      <c r="J1268" s="8">
        <f t="shared" si="1835"/>
        <v>50</v>
      </c>
      <c r="K1268" s="7" t="s">
        <v>312</v>
      </c>
      <c r="L1268" s="8">
        <v>44</v>
      </c>
      <c r="M1268" s="7">
        <f>IF(INDEX([1]equip.xml!$B:$B,MATCH(D1268&amp;"",[1]equip.xml!$A:$A,0))=0,0,N1268)</f>
        <v>130</v>
      </c>
      <c r="N1268" s="8">
        <v>130</v>
      </c>
    </row>
    <row r="1269" spans="1:14">
      <c r="A1269" s="8">
        <f t="shared" si="1823"/>
        <v>10019</v>
      </c>
      <c r="B1269" s="8">
        <f t="shared" ref="B1269:C1269" si="1836">B1181</f>
        <v>40000</v>
      </c>
      <c r="C1269" s="8" t="str">
        <f t="shared" si="1836"/>
        <v>装备</v>
      </c>
      <c r="D1269" s="8">
        <v>40701051</v>
      </c>
      <c r="E1269" s="8"/>
      <c r="F1269" s="8">
        <v>1</v>
      </c>
      <c r="G1269" s="7">
        <f>3*INDEX([1]equip.xml!$I:$I,MATCH(D1269&amp;"",[1]equip.xml!$A:$A,0))</f>
        <v>219000</v>
      </c>
      <c r="H1269" s="8" t="str">
        <f t="shared" ref="H1269:J1269" si="1837">H1181</f>
        <v>10_10,50_20,80_30</v>
      </c>
      <c r="I1269" s="8">
        <f t="shared" si="1837"/>
        <v>6</v>
      </c>
      <c r="J1269" s="8">
        <f t="shared" si="1837"/>
        <v>50</v>
      </c>
      <c r="K1269" s="7" t="s">
        <v>312</v>
      </c>
      <c r="L1269" s="8">
        <v>44</v>
      </c>
      <c r="M1269" s="7">
        <f>IF(INDEX([1]equip.xml!$B:$B,MATCH(D1269&amp;"",[1]equip.xml!$A:$A,0))=0,0,N1269)</f>
        <v>0</v>
      </c>
      <c r="N1269" s="8">
        <v>130</v>
      </c>
    </row>
    <row r="1270" spans="1:14">
      <c r="A1270" s="8">
        <f t="shared" si="1823"/>
        <v>10019</v>
      </c>
      <c r="B1270" s="8">
        <f t="shared" ref="B1270:C1270" si="1838">B1182</f>
        <v>40000</v>
      </c>
      <c r="C1270" s="8" t="str">
        <f t="shared" si="1838"/>
        <v>装备</v>
      </c>
      <c r="D1270" s="8">
        <v>40701060</v>
      </c>
      <c r="E1270" s="8"/>
      <c r="F1270" s="8">
        <v>1</v>
      </c>
      <c r="G1270" s="7">
        <f>3*INDEX([1]equip.xml!$I:$I,MATCH(D1270&amp;"",[1]equip.xml!$A:$A,0))</f>
        <v>210000</v>
      </c>
      <c r="H1270" s="8" t="str">
        <f t="shared" ref="H1270:J1270" si="1839">H1182</f>
        <v>10_10,50_20,80_30</v>
      </c>
      <c r="I1270" s="8">
        <f t="shared" si="1839"/>
        <v>6</v>
      </c>
      <c r="J1270" s="8">
        <f t="shared" si="1839"/>
        <v>50</v>
      </c>
      <c r="K1270" s="7" t="s">
        <v>312</v>
      </c>
      <c r="L1270" s="8">
        <v>44</v>
      </c>
      <c r="M1270" s="7">
        <f>IF(INDEX([1]equip.xml!$B:$B,MATCH(D1270&amp;"",[1]equip.xml!$A:$A,0))=0,0,N1270)</f>
        <v>130</v>
      </c>
      <c r="N1270" s="8">
        <v>130</v>
      </c>
    </row>
    <row r="1271" spans="1:14">
      <c r="A1271" s="8">
        <f t="shared" si="1823"/>
        <v>10019</v>
      </c>
      <c r="B1271" s="8">
        <f t="shared" ref="B1271:C1271" si="1840">B1183</f>
        <v>40000</v>
      </c>
      <c r="C1271" s="8" t="str">
        <f t="shared" si="1840"/>
        <v>装备</v>
      </c>
      <c r="D1271" s="8">
        <v>40701061</v>
      </c>
      <c r="E1271" s="8"/>
      <c r="F1271" s="8">
        <v>1</v>
      </c>
      <c r="G1271" s="7">
        <f>3*INDEX([1]equip.xml!$I:$I,MATCH(D1271&amp;"",[1]equip.xml!$A:$A,0))</f>
        <v>219000</v>
      </c>
      <c r="H1271" s="8" t="str">
        <f t="shared" ref="H1271:J1271" si="1841">H1183</f>
        <v>10_10,50_20,80_30</v>
      </c>
      <c r="I1271" s="8">
        <f t="shared" si="1841"/>
        <v>6</v>
      </c>
      <c r="J1271" s="8">
        <f t="shared" si="1841"/>
        <v>50</v>
      </c>
      <c r="K1271" s="7" t="s">
        <v>312</v>
      </c>
      <c r="L1271" s="8">
        <v>44</v>
      </c>
      <c r="M1271" s="7">
        <f>IF(INDEX([1]equip.xml!$B:$B,MATCH(D1271&amp;"",[1]equip.xml!$A:$A,0))=0,0,N1271)</f>
        <v>0</v>
      </c>
      <c r="N1271" s="8">
        <v>130</v>
      </c>
    </row>
    <row r="1272" spans="1:14">
      <c r="A1272" s="8">
        <f t="shared" si="1823"/>
        <v>10019</v>
      </c>
      <c r="B1272" s="8">
        <f t="shared" ref="B1272:C1272" si="1842">B1184</f>
        <v>40000</v>
      </c>
      <c r="C1272" s="8" t="str">
        <f t="shared" si="1842"/>
        <v>装备</v>
      </c>
      <c r="D1272" s="8">
        <v>40702050</v>
      </c>
      <c r="E1272" s="8"/>
      <c r="F1272" s="8">
        <v>1</v>
      </c>
      <c r="G1272" s="7">
        <f>3*INDEX([1]equip.xml!$I:$I,MATCH(D1272&amp;"",[1]equip.xml!$A:$A,0))</f>
        <v>210000</v>
      </c>
      <c r="H1272" s="8" t="str">
        <f t="shared" ref="H1272:J1272" si="1843">H1184</f>
        <v>10_10,50_20,80_30</v>
      </c>
      <c r="I1272" s="8">
        <f t="shared" si="1843"/>
        <v>6</v>
      </c>
      <c r="J1272" s="8">
        <f t="shared" si="1843"/>
        <v>50</v>
      </c>
      <c r="K1272" s="7" t="s">
        <v>312</v>
      </c>
      <c r="L1272" s="8">
        <v>44</v>
      </c>
      <c r="M1272" s="7">
        <f>IF(INDEX([1]equip.xml!$B:$B,MATCH(D1272&amp;"",[1]equip.xml!$A:$A,0))=0,0,N1272)</f>
        <v>130</v>
      </c>
      <c r="N1272" s="8">
        <v>130</v>
      </c>
    </row>
    <row r="1273" spans="1:14">
      <c r="A1273" s="8">
        <f t="shared" si="1823"/>
        <v>10019</v>
      </c>
      <c r="B1273" s="8">
        <f t="shared" ref="B1273:C1273" si="1844">B1185</f>
        <v>40000</v>
      </c>
      <c r="C1273" s="8" t="str">
        <f t="shared" si="1844"/>
        <v>装备</v>
      </c>
      <c r="D1273" s="8">
        <v>40702051</v>
      </c>
      <c r="E1273" s="8"/>
      <c r="F1273" s="8">
        <v>1</v>
      </c>
      <c r="G1273" s="7">
        <f>3*INDEX([1]equip.xml!$I:$I,MATCH(D1273&amp;"",[1]equip.xml!$A:$A,0))</f>
        <v>219000</v>
      </c>
      <c r="H1273" s="8" t="str">
        <f t="shared" ref="H1273:J1273" si="1845">H1185</f>
        <v>10_10,50_20,80_30</v>
      </c>
      <c r="I1273" s="8">
        <f t="shared" si="1845"/>
        <v>6</v>
      </c>
      <c r="J1273" s="8">
        <f t="shared" si="1845"/>
        <v>50</v>
      </c>
      <c r="K1273" s="7" t="s">
        <v>312</v>
      </c>
      <c r="L1273" s="8">
        <v>44</v>
      </c>
      <c r="M1273" s="7">
        <f>IF(INDEX([1]equip.xml!$B:$B,MATCH(D1273&amp;"",[1]equip.xml!$A:$A,0))=0,0,N1273)</f>
        <v>0</v>
      </c>
      <c r="N1273" s="8">
        <v>130</v>
      </c>
    </row>
    <row r="1274" spans="1:14">
      <c r="A1274" s="8">
        <f t="shared" si="1823"/>
        <v>10019</v>
      </c>
      <c r="B1274" s="8">
        <f t="shared" ref="B1274:C1274" si="1846">B1186</f>
        <v>40000</v>
      </c>
      <c r="C1274" s="8" t="str">
        <f t="shared" si="1846"/>
        <v>装备</v>
      </c>
      <c r="D1274" s="8">
        <v>40702060</v>
      </c>
      <c r="E1274" s="8"/>
      <c r="F1274" s="8">
        <v>1</v>
      </c>
      <c r="G1274" s="7">
        <f>3*INDEX([1]equip.xml!$I:$I,MATCH(D1274&amp;"",[1]equip.xml!$A:$A,0))</f>
        <v>210000</v>
      </c>
      <c r="H1274" s="8" t="str">
        <f t="shared" ref="H1274:J1274" si="1847">H1186</f>
        <v>10_10,50_20,80_30</v>
      </c>
      <c r="I1274" s="8">
        <f t="shared" si="1847"/>
        <v>6</v>
      </c>
      <c r="J1274" s="8">
        <f t="shared" si="1847"/>
        <v>50</v>
      </c>
      <c r="K1274" s="7" t="s">
        <v>312</v>
      </c>
      <c r="L1274" s="8">
        <v>44</v>
      </c>
      <c r="M1274" s="7">
        <f>IF(INDEX([1]equip.xml!$B:$B,MATCH(D1274&amp;"",[1]equip.xml!$A:$A,0))=0,0,N1274)</f>
        <v>130</v>
      </c>
      <c r="N1274" s="8">
        <v>130</v>
      </c>
    </row>
    <row r="1275" spans="1:14">
      <c r="A1275" s="8">
        <f t="shared" si="1823"/>
        <v>10019</v>
      </c>
      <c r="B1275" s="8">
        <f t="shared" ref="B1275:C1275" si="1848">B1187</f>
        <v>40000</v>
      </c>
      <c r="C1275" s="8" t="str">
        <f t="shared" si="1848"/>
        <v>装备</v>
      </c>
      <c r="D1275" s="8">
        <v>40702061</v>
      </c>
      <c r="E1275" s="8"/>
      <c r="F1275" s="8">
        <v>1</v>
      </c>
      <c r="G1275" s="7">
        <f>3*INDEX([1]equip.xml!$I:$I,MATCH(D1275&amp;"",[1]equip.xml!$A:$A,0))</f>
        <v>219000</v>
      </c>
      <c r="H1275" s="8" t="str">
        <f t="shared" ref="H1275:J1275" si="1849">H1187</f>
        <v>10_10,50_20,80_30</v>
      </c>
      <c r="I1275" s="8">
        <f t="shared" si="1849"/>
        <v>6</v>
      </c>
      <c r="J1275" s="8">
        <f t="shared" si="1849"/>
        <v>50</v>
      </c>
      <c r="K1275" s="7" t="s">
        <v>312</v>
      </c>
      <c r="L1275" s="8">
        <v>44</v>
      </c>
      <c r="M1275" s="7">
        <f>IF(INDEX([1]equip.xml!$B:$B,MATCH(D1275&amp;"",[1]equip.xml!$A:$A,0))=0,0,N1275)</f>
        <v>0</v>
      </c>
      <c r="N1275" s="8">
        <v>130</v>
      </c>
    </row>
    <row r="1276" spans="1:14">
      <c r="A1276" s="8">
        <f t="shared" si="1823"/>
        <v>10019</v>
      </c>
      <c r="B1276" s="8">
        <f t="shared" ref="B1276:C1276" si="1850">B1188</f>
        <v>40000</v>
      </c>
      <c r="C1276" s="8" t="str">
        <f t="shared" si="1850"/>
        <v>装备</v>
      </c>
      <c r="D1276" s="8">
        <v>40703050</v>
      </c>
      <c r="E1276" s="8"/>
      <c r="F1276" s="8">
        <v>1</v>
      </c>
      <c r="G1276" s="7">
        <f>3*INDEX([1]equip.xml!$I:$I,MATCH(D1276&amp;"",[1]equip.xml!$A:$A,0))</f>
        <v>210000</v>
      </c>
      <c r="H1276" s="8" t="str">
        <f t="shared" ref="H1276:J1276" si="1851">H1188</f>
        <v>10_10,50_20,80_30</v>
      </c>
      <c r="I1276" s="8">
        <f t="shared" si="1851"/>
        <v>6</v>
      </c>
      <c r="J1276" s="8">
        <f t="shared" si="1851"/>
        <v>50</v>
      </c>
      <c r="K1276" s="7" t="s">
        <v>312</v>
      </c>
      <c r="L1276" s="8">
        <v>44</v>
      </c>
      <c r="M1276" s="7">
        <f>IF(INDEX([1]equip.xml!$B:$B,MATCH(D1276&amp;"",[1]equip.xml!$A:$A,0))=0,0,N1276)</f>
        <v>130</v>
      </c>
      <c r="N1276" s="8">
        <v>130</v>
      </c>
    </row>
    <row r="1277" spans="1:14">
      <c r="A1277" s="8">
        <f t="shared" si="1823"/>
        <v>10019</v>
      </c>
      <c r="B1277" s="8">
        <f t="shared" ref="B1277:C1277" si="1852">B1189</f>
        <v>40000</v>
      </c>
      <c r="C1277" s="8" t="str">
        <f t="shared" si="1852"/>
        <v>装备</v>
      </c>
      <c r="D1277" s="8">
        <v>40703051</v>
      </c>
      <c r="E1277" s="8"/>
      <c r="F1277" s="8">
        <v>1</v>
      </c>
      <c r="G1277" s="7">
        <f>3*INDEX([1]equip.xml!$I:$I,MATCH(D1277&amp;"",[1]equip.xml!$A:$A,0))</f>
        <v>219000</v>
      </c>
      <c r="H1277" s="8" t="str">
        <f t="shared" ref="H1277:J1277" si="1853">H1189</f>
        <v>10_10,50_20,80_30</v>
      </c>
      <c r="I1277" s="8">
        <f t="shared" si="1853"/>
        <v>6</v>
      </c>
      <c r="J1277" s="8">
        <f t="shared" si="1853"/>
        <v>50</v>
      </c>
      <c r="K1277" s="7" t="s">
        <v>312</v>
      </c>
      <c r="L1277" s="8">
        <v>44</v>
      </c>
      <c r="M1277" s="7">
        <f>IF(INDEX([1]equip.xml!$B:$B,MATCH(D1277&amp;"",[1]equip.xml!$A:$A,0))=0,0,N1277)</f>
        <v>0</v>
      </c>
      <c r="N1277" s="8">
        <v>130</v>
      </c>
    </row>
    <row r="1278" spans="1:14">
      <c r="A1278" s="8">
        <f t="shared" si="1823"/>
        <v>10019</v>
      </c>
      <c r="B1278" s="8">
        <f t="shared" ref="B1278:C1278" si="1854">B1190</f>
        <v>40000</v>
      </c>
      <c r="C1278" s="8" t="str">
        <f t="shared" si="1854"/>
        <v>装备</v>
      </c>
      <c r="D1278" s="8">
        <v>40703060</v>
      </c>
      <c r="E1278" s="8"/>
      <c r="F1278" s="8">
        <v>1</v>
      </c>
      <c r="G1278" s="7">
        <f>3*INDEX([1]equip.xml!$I:$I,MATCH(D1278&amp;"",[1]equip.xml!$A:$A,0))</f>
        <v>210000</v>
      </c>
      <c r="H1278" s="8" t="str">
        <f t="shared" ref="H1278:J1278" si="1855">H1190</f>
        <v>10_10,50_20,80_30</v>
      </c>
      <c r="I1278" s="8">
        <f t="shared" si="1855"/>
        <v>6</v>
      </c>
      <c r="J1278" s="8">
        <f t="shared" si="1855"/>
        <v>50</v>
      </c>
      <c r="K1278" s="7" t="s">
        <v>312</v>
      </c>
      <c r="L1278" s="8">
        <v>44</v>
      </c>
      <c r="M1278" s="7">
        <f>IF(INDEX([1]equip.xml!$B:$B,MATCH(D1278&amp;"",[1]equip.xml!$A:$A,0))=0,0,N1278)</f>
        <v>130</v>
      </c>
      <c r="N1278" s="8">
        <v>130</v>
      </c>
    </row>
    <row r="1279" spans="1:14">
      <c r="A1279" s="8">
        <f t="shared" si="1823"/>
        <v>10019</v>
      </c>
      <c r="B1279" s="8">
        <f t="shared" ref="B1279:C1279" si="1856">B1191</f>
        <v>40000</v>
      </c>
      <c r="C1279" s="8" t="str">
        <f t="shared" si="1856"/>
        <v>装备</v>
      </c>
      <c r="D1279" s="8">
        <v>40703061</v>
      </c>
      <c r="E1279" s="8"/>
      <c r="F1279" s="8">
        <v>1</v>
      </c>
      <c r="G1279" s="7">
        <f>3*INDEX([1]equip.xml!$I:$I,MATCH(D1279&amp;"",[1]equip.xml!$A:$A,0))</f>
        <v>219000</v>
      </c>
      <c r="H1279" s="8" t="str">
        <f t="shared" ref="H1279:J1279" si="1857">H1191</f>
        <v>10_10,50_20,80_30</v>
      </c>
      <c r="I1279" s="8">
        <f t="shared" si="1857"/>
        <v>6</v>
      </c>
      <c r="J1279" s="8">
        <f t="shared" si="1857"/>
        <v>50</v>
      </c>
      <c r="K1279" s="7" t="s">
        <v>312</v>
      </c>
      <c r="L1279" s="8">
        <v>44</v>
      </c>
      <c r="M1279" s="7">
        <f>IF(INDEX([1]equip.xml!$B:$B,MATCH(D1279&amp;"",[1]equip.xml!$A:$A,0))=0,0,N1279)</f>
        <v>0</v>
      </c>
      <c r="N1279" s="8">
        <v>130</v>
      </c>
    </row>
    <row r="1280" spans="1:14">
      <c r="A1280" s="8">
        <f t="shared" si="1823"/>
        <v>10019</v>
      </c>
      <c r="B1280" s="8">
        <f t="shared" ref="B1280:C1280" si="1858">B1192</f>
        <v>40000</v>
      </c>
      <c r="C1280" s="8" t="str">
        <f t="shared" si="1858"/>
        <v>装备</v>
      </c>
      <c r="D1280" s="8">
        <v>40700040</v>
      </c>
      <c r="E1280" s="8"/>
      <c r="F1280" s="8">
        <v>1</v>
      </c>
      <c r="G1280" s="7">
        <f>3*INDEX([1]equip.xml!$I:$I,MATCH(D1280&amp;"",[1]equip.xml!$A:$A,0))</f>
        <v>210000</v>
      </c>
      <c r="H1280" s="8" t="str">
        <f t="shared" ref="H1280:J1280" si="1859">H1192</f>
        <v>10_10,50_20,80_30</v>
      </c>
      <c r="I1280" s="8">
        <f t="shared" si="1859"/>
        <v>6</v>
      </c>
      <c r="J1280" s="8">
        <f t="shared" si="1859"/>
        <v>50</v>
      </c>
      <c r="K1280" s="7" t="s">
        <v>312</v>
      </c>
      <c r="L1280" s="8">
        <v>44</v>
      </c>
      <c r="M1280" s="7">
        <f>IF(INDEX([1]equip.xml!$B:$B,MATCH(D1280&amp;"",[1]equip.xml!$A:$A,0))=0,0,N1280)</f>
        <v>130</v>
      </c>
      <c r="N1280" s="8">
        <v>130</v>
      </c>
    </row>
    <row r="1281" spans="1:14">
      <c r="A1281" s="8">
        <f t="shared" si="1823"/>
        <v>10019</v>
      </c>
      <c r="B1281" s="8">
        <f t="shared" ref="B1281:C1281" si="1860">B1193</f>
        <v>40000</v>
      </c>
      <c r="C1281" s="8" t="str">
        <f t="shared" si="1860"/>
        <v>装备</v>
      </c>
      <c r="D1281" s="8">
        <v>40700041</v>
      </c>
      <c r="E1281" s="8"/>
      <c r="F1281" s="8">
        <v>1</v>
      </c>
      <c r="G1281" s="7">
        <f>3*INDEX([1]equip.xml!$I:$I,MATCH(D1281&amp;"",[1]equip.xml!$A:$A,0))</f>
        <v>219000</v>
      </c>
      <c r="H1281" s="8" t="str">
        <f t="shared" ref="H1281:J1281" si="1861">H1193</f>
        <v>10_10,50_20,80_30</v>
      </c>
      <c r="I1281" s="8">
        <f t="shared" si="1861"/>
        <v>6</v>
      </c>
      <c r="J1281" s="8">
        <f t="shared" si="1861"/>
        <v>50</v>
      </c>
      <c r="K1281" s="7" t="s">
        <v>312</v>
      </c>
      <c r="L1281" s="8">
        <v>44</v>
      </c>
      <c r="M1281" s="7">
        <f>IF(INDEX([1]equip.xml!$B:$B,MATCH(D1281&amp;"",[1]equip.xml!$A:$A,0))=0,0,N1281)</f>
        <v>0</v>
      </c>
      <c r="N1281" s="8">
        <v>130</v>
      </c>
    </row>
    <row r="1282" spans="1:14">
      <c r="A1282" s="8">
        <f t="shared" si="1823"/>
        <v>10019</v>
      </c>
      <c r="B1282" s="8">
        <f t="shared" ref="B1282:C1282" si="1862">B1194</f>
        <v>40000</v>
      </c>
      <c r="C1282" s="8" t="str">
        <f t="shared" si="1862"/>
        <v>装备</v>
      </c>
      <c r="D1282" s="8">
        <v>40700070</v>
      </c>
      <c r="E1282" s="8"/>
      <c r="F1282" s="8">
        <v>1</v>
      </c>
      <c r="G1282" s="7">
        <f>3*INDEX([1]equip.xml!$I:$I,MATCH(D1282&amp;"",[1]equip.xml!$A:$A,0))</f>
        <v>210000</v>
      </c>
      <c r="H1282" s="8" t="str">
        <f t="shared" ref="H1282:J1282" si="1863">H1194</f>
        <v>10_10,50_20,80_30</v>
      </c>
      <c r="I1282" s="8">
        <f t="shared" si="1863"/>
        <v>6</v>
      </c>
      <c r="J1282" s="8">
        <f t="shared" si="1863"/>
        <v>50</v>
      </c>
      <c r="K1282" s="7" t="s">
        <v>312</v>
      </c>
      <c r="L1282" s="8">
        <v>44</v>
      </c>
      <c r="M1282" s="7">
        <f>IF(INDEX([1]equip.xml!$B:$B,MATCH(D1282&amp;"",[1]equip.xml!$A:$A,0))=0,0,N1282)</f>
        <v>130</v>
      </c>
      <c r="N1282" s="8">
        <v>130</v>
      </c>
    </row>
    <row r="1283" spans="1:14">
      <c r="A1283" s="8">
        <f t="shared" si="1823"/>
        <v>10019</v>
      </c>
      <c r="B1283" s="8">
        <f t="shared" ref="B1283:C1283" si="1864">B1195</f>
        <v>40000</v>
      </c>
      <c r="C1283" s="8" t="str">
        <f t="shared" si="1864"/>
        <v>装备</v>
      </c>
      <c r="D1283" s="8">
        <v>40700071</v>
      </c>
      <c r="E1283" s="8"/>
      <c r="F1283" s="8">
        <v>1</v>
      </c>
      <c r="G1283" s="7">
        <f>3*INDEX([1]equip.xml!$I:$I,MATCH(D1283&amp;"",[1]equip.xml!$A:$A,0))</f>
        <v>219000</v>
      </c>
      <c r="H1283" s="8" t="str">
        <f t="shared" ref="H1283:J1283" si="1865">H1195</f>
        <v>10_10,50_20,80_30</v>
      </c>
      <c r="I1283" s="8">
        <f t="shared" si="1865"/>
        <v>6</v>
      </c>
      <c r="J1283" s="8">
        <f t="shared" si="1865"/>
        <v>50</v>
      </c>
      <c r="K1283" s="7" t="s">
        <v>312</v>
      </c>
      <c r="L1283" s="8">
        <v>44</v>
      </c>
      <c r="M1283" s="7">
        <f>IF(INDEX([1]equip.xml!$B:$B,MATCH(D1283&amp;"",[1]equip.xml!$A:$A,0))=0,0,N1283)</f>
        <v>0</v>
      </c>
      <c r="N1283" s="8">
        <v>130</v>
      </c>
    </row>
    <row r="1284" spans="1:14">
      <c r="A1284" s="8">
        <f t="shared" si="1823"/>
        <v>10019</v>
      </c>
      <c r="B1284" s="8">
        <f t="shared" ref="B1284:C1284" si="1866">B1196</f>
        <v>40000</v>
      </c>
      <c r="C1284" s="8" t="str">
        <f t="shared" si="1866"/>
        <v>装备</v>
      </c>
      <c r="D1284" s="8">
        <f>D1262+50000</f>
        <v>40750010</v>
      </c>
      <c r="E1284" s="8"/>
      <c r="F1284" s="8">
        <v>1</v>
      </c>
      <c r="G1284" s="7">
        <f>3*INDEX([1]equip.xml!$I:$I,MATCH(D1284,[1]equip.xml!$A:$A,0))</f>
        <v>228000</v>
      </c>
      <c r="H1284" s="8" t="str">
        <f t="shared" ref="H1284:J1284" si="1867">H1196</f>
        <v>10_10,50_20,80_30</v>
      </c>
      <c r="I1284" s="8">
        <f t="shared" si="1867"/>
        <v>6</v>
      </c>
      <c r="J1284" s="8">
        <f t="shared" si="1867"/>
        <v>50</v>
      </c>
      <c r="K1284" s="7" t="s">
        <v>312</v>
      </c>
      <c r="L1284" s="8">
        <v>44</v>
      </c>
      <c r="M1284" s="7">
        <f>IF(INDEX([1]equip.xml!$B:$B,MATCH(D1284,[1]equip.xml!$A:$A,0))=0,0,N1284)</f>
        <v>32</v>
      </c>
      <c r="N1284" s="8">
        <v>32</v>
      </c>
    </row>
    <row r="1285" spans="1:14">
      <c r="A1285" s="8">
        <f t="shared" si="1823"/>
        <v>10019</v>
      </c>
      <c r="B1285" s="8">
        <f t="shared" ref="B1285:C1285" si="1868">B1197</f>
        <v>40000</v>
      </c>
      <c r="C1285" s="8" t="str">
        <f t="shared" si="1868"/>
        <v>装备</v>
      </c>
      <c r="D1285" s="8">
        <f t="shared" ref="D1285:D1305" si="1869">D1263+50000</f>
        <v>40750020</v>
      </c>
      <c r="E1285" s="8"/>
      <c r="F1285" s="8">
        <v>1</v>
      </c>
      <c r="G1285" s="7">
        <f>3*INDEX([1]equip.xml!$I:$I,MATCH(D1285,[1]equip.xml!$A:$A,0))</f>
        <v>228000</v>
      </c>
      <c r="H1285" s="8" t="str">
        <f t="shared" ref="H1285:J1285" si="1870">H1197</f>
        <v>10_10,50_20,80_30</v>
      </c>
      <c r="I1285" s="8">
        <f t="shared" si="1870"/>
        <v>6</v>
      </c>
      <c r="J1285" s="8">
        <f t="shared" si="1870"/>
        <v>50</v>
      </c>
      <c r="K1285" s="7" t="s">
        <v>312</v>
      </c>
      <c r="L1285" s="8">
        <v>44</v>
      </c>
      <c r="M1285" s="7">
        <f>IF(INDEX([1]equip.xml!$B:$B,MATCH(D1285,[1]equip.xml!$A:$A,0))=0,0,N1285)</f>
        <v>32</v>
      </c>
      <c r="N1285" s="8">
        <v>32</v>
      </c>
    </row>
    <row r="1286" spans="1:14">
      <c r="A1286" s="8">
        <f t="shared" si="1823"/>
        <v>10019</v>
      </c>
      <c r="B1286" s="8">
        <f t="shared" ref="B1286:C1286" si="1871">B1198</f>
        <v>40000</v>
      </c>
      <c r="C1286" s="8" t="str">
        <f t="shared" si="1871"/>
        <v>装备</v>
      </c>
      <c r="D1286" s="8">
        <f t="shared" si="1869"/>
        <v>40750030</v>
      </c>
      <c r="E1286" s="8"/>
      <c r="F1286" s="8">
        <v>1</v>
      </c>
      <c r="G1286" s="7">
        <f>3*INDEX([1]equip.xml!$I:$I,MATCH(D1286,[1]equip.xml!$A:$A,0))</f>
        <v>228000</v>
      </c>
      <c r="H1286" s="8" t="str">
        <f t="shared" ref="H1286:J1286" si="1872">H1198</f>
        <v>10_10,50_20,80_30</v>
      </c>
      <c r="I1286" s="8">
        <f t="shared" si="1872"/>
        <v>6</v>
      </c>
      <c r="J1286" s="8">
        <f t="shared" si="1872"/>
        <v>50</v>
      </c>
      <c r="K1286" s="7" t="s">
        <v>312</v>
      </c>
      <c r="L1286" s="8">
        <v>44</v>
      </c>
      <c r="M1286" s="7">
        <f>IF(INDEX([1]equip.xml!$B:$B,MATCH(D1286,[1]equip.xml!$A:$A,0))=0,0,N1286)</f>
        <v>32</v>
      </c>
      <c r="N1286" s="8">
        <v>32</v>
      </c>
    </row>
    <row r="1287" spans="1:14">
      <c r="A1287" s="8">
        <f t="shared" si="1823"/>
        <v>10019</v>
      </c>
      <c r="B1287" s="8">
        <f t="shared" ref="B1287:C1287" si="1873">B1199</f>
        <v>40000</v>
      </c>
      <c r="C1287" s="8" t="str">
        <f t="shared" si="1873"/>
        <v>装备</v>
      </c>
      <c r="D1287" s="8">
        <f t="shared" si="1869"/>
        <v>40750080</v>
      </c>
      <c r="E1287" s="8"/>
      <c r="F1287" s="8">
        <v>1</v>
      </c>
      <c r="G1287" s="7">
        <f>3*INDEX([1]equip.xml!$I:$I,MATCH(D1287,[1]equip.xml!$A:$A,0))</f>
        <v>228000</v>
      </c>
      <c r="H1287" s="8" t="str">
        <f t="shared" ref="H1287:J1287" si="1874">H1199</f>
        <v>10_10,50_20,80_30</v>
      </c>
      <c r="I1287" s="8">
        <f t="shared" si="1874"/>
        <v>6</v>
      </c>
      <c r="J1287" s="8">
        <f t="shared" si="1874"/>
        <v>50</v>
      </c>
      <c r="K1287" s="7" t="s">
        <v>312</v>
      </c>
      <c r="L1287" s="8">
        <v>44</v>
      </c>
      <c r="M1287" s="7">
        <f>IF(INDEX([1]equip.xml!$B:$B,MATCH(D1287,[1]equip.xml!$A:$A,0))=0,0,N1287)</f>
        <v>32</v>
      </c>
      <c r="N1287" s="8">
        <v>32</v>
      </c>
    </row>
    <row r="1288" spans="1:14">
      <c r="A1288" s="8">
        <f t="shared" si="1823"/>
        <v>10019</v>
      </c>
      <c r="B1288" s="8">
        <f t="shared" ref="B1288:C1288" si="1875">B1200</f>
        <v>40000</v>
      </c>
      <c r="C1288" s="8" t="str">
        <f t="shared" si="1875"/>
        <v>装备</v>
      </c>
      <c r="D1288" s="8">
        <f t="shared" si="1869"/>
        <v>40750090</v>
      </c>
      <c r="E1288" s="8"/>
      <c r="F1288" s="8">
        <v>1</v>
      </c>
      <c r="G1288" s="7">
        <f>3*INDEX([1]equip.xml!$I:$I,MATCH(D1288,[1]equip.xml!$A:$A,0))</f>
        <v>228000</v>
      </c>
      <c r="H1288" s="8" t="str">
        <f t="shared" ref="H1288:J1288" si="1876">H1200</f>
        <v>10_10,50_20,80_30</v>
      </c>
      <c r="I1288" s="8">
        <f t="shared" si="1876"/>
        <v>6</v>
      </c>
      <c r="J1288" s="8">
        <f t="shared" si="1876"/>
        <v>50</v>
      </c>
      <c r="K1288" s="7" t="s">
        <v>312</v>
      </c>
      <c r="L1288" s="8">
        <v>44</v>
      </c>
      <c r="M1288" s="7">
        <f>IF(INDEX([1]equip.xml!$B:$B,MATCH(D1288,[1]equip.xml!$A:$A,0))=0,0,N1288)</f>
        <v>32</v>
      </c>
      <c r="N1288" s="8">
        <v>32</v>
      </c>
    </row>
    <row r="1289" spans="1:14">
      <c r="A1289" s="8">
        <f t="shared" si="1823"/>
        <v>10019</v>
      </c>
      <c r="B1289" s="8">
        <f t="shared" ref="B1289:C1289" si="1877">B1201</f>
        <v>40000</v>
      </c>
      <c r="C1289" s="8" t="str">
        <f t="shared" si="1877"/>
        <v>装备</v>
      </c>
      <c r="D1289" s="8">
        <f t="shared" si="1869"/>
        <v>40750100</v>
      </c>
      <c r="E1289" s="8"/>
      <c r="F1289" s="8">
        <v>1</v>
      </c>
      <c r="G1289" s="7">
        <f>3*INDEX([1]equip.xml!$I:$I,MATCH(D1289,[1]equip.xml!$A:$A,0))</f>
        <v>228000</v>
      </c>
      <c r="H1289" s="8" t="str">
        <f t="shared" ref="H1289:J1289" si="1878">H1201</f>
        <v>10_10,50_20,80_30</v>
      </c>
      <c r="I1289" s="8">
        <f t="shared" si="1878"/>
        <v>6</v>
      </c>
      <c r="J1289" s="8">
        <f t="shared" si="1878"/>
        <v>50</v>
      </c>
      <c r="K1289" s="7" t="s">
        <v>312</v>
      </c>
      <c r="L1289" s="8">
        <v>44</v>
      </c>
      <c r="M1289" s="7">
        <f>IF(INDEX([1]equip.xml!$B:$B,MATCH(D1289,[1]equip.xml!$A:$A,0))=0,0,N1289)</f>
        <v>32</v>
      </c>
      <c r="N1289" s="8">
        <v>32</v>
      </c>
    </row>
    <row r="1290" spans="1:14">
      <c r="A1290" s="8">
        <f t="shared" si="1823"/>
        <v>10019</v>
      </c>
      <c r="B1290" s="8">
        <f t="shared" ref="B1290:C1290" si="1879">B1202</f>
        <v>40000</v>
      </c>
      <c r="C1290" s="8" t="str">
        <f t="shared" si="1879"/>
        <v>装备</v>
      </c>
      <c r="D1290" s="8">
        <f t="shared" si="1869"/>
        <v>40751050</v>
      </c>
      <c r="E1290" s="8"/>
      <c r="F1290" s="8">
        <v>1</v>
      </c>
      <c r="G1290" s="7">
        <f>3*INDEX([1]equip.xml!$I:$I,MATCH(D1290,[1]equip.xml!$A:$A,0))</f>
        <v>228000</v>
      </c>
      <c r="H1290" s="8" t="str">
        <f t="shared" ref="H1290:J1290" si="1880">H1202</f>
        <v>10_10,50_20,80_30</v>
      </c>
      <c r="I1290" s="8">
        <f t="shared" si="1880"/>
        <v>6</v>
      </c>
      <c r="J1290" s="8">
        <f t="shared" si="1880"/>
        <v>50</v>
      </c>
      <c r="K1290" s="7" t="s">
        <v>312</v>
      </c>
      <c r="L1290" s="8">
        <v>44</v>
      </c>
      <c r="M1290" s="7">
        <f>IF(INDEX([1]equip.xml!$B:$B,MATCH(D1290,[1]equip.xml!$A:$A,0))=0,0,N1290)</f>
        <v>32</v>
      </c>
      <c r="N1290" s="8">
        <v>32</v>
      </c>
    </row>
    <row r="1291" spans="1:14">
      <c r="A1291" s="8">
        <f t="shared" si="1823"/>
        <v>10019</v>
      </c>
      <c r="B1291" s="8">
        <f t="shared" ref="B1291:C1291" si="1881">B1203</f>
        <v>40000</v>
      </c>
      <c r="C1291" s="8" t="str">
        <f t="shared" si="1881"/>
        <v>装备</v>
      </c>
      <c r="D1291" s="8">
        <f t="shared" si="1869"/>
        <v>40751051</v>
      </c>
      <c r="E1291" s="8"/>
      <c r="F1291" s="8">
        <v>1</v>
      </c>
      <c r="G1291" s="7">
        <f>3*INDEX([1]equip.xml!$I:$I,MATCH(D1291,[1]equip.xml!$A:$A,0))</f>
        <v>237000</v>
      </c>
      <c r="H1291" s="8" t="str">
        <f t="shared" ref="H1291:J1291" si="1882">H1203</f>
        <v>10_10,50_20,80_30</v>
      </c>
      <c r="I1291" s="8">
        <f t="shared" si="1882"/>
        <v>6</v>
      </c>
      <c r="J1291" s="8">
        <f t="shared" si="1882"/>
        <v>50</v>
      </c>
      <c r="K1291" s="7" t="s">
        <v>312</v>
      </c>
      <c r="L1291" s="8">
        <v>44</v>
      </c>
      <c r="M1291" s="7">
        <f>IF(INDEX([1]equip.xml!$B:$B,MATCH(D1291,[1]equip.xml!$A:$A,0))=0,0,N1291)</f>
        <v>32</v>
      </c>
      <c r="N1291" s="8">
        <v>32</v>
      </c>
    </row>
    <row r="1292" spans="1:14">
      <c r="A1292" s="8">
        <f t="shared" si="1823"/>
        <v>10019</v>
      </c>
      <c r="B1292" s="8">
        <f t="shared" ref="B1292:C1292" si="1883">B1204</f>
        <v>40000</v>
      </c>
      <c r="C1292" s="8" t="str">
        <f t="shared" si="1883"/>
        <v>装备</v>
      </c>
      <c r="D1292" s="8">
        <f t="shared" si="1869"/>
        <v>40751060</v>
      </c>
      <c r="E1292" s="8"/>
      <c r="F1292" s="8">
        <v>1</v>
      </c>
      <c r="G1292" s="7">
        <f>3*INDEX([1]equip.xml!$I:$I,MATCH(D1292,[1]equip.xml!$A:$A,0))</f>
        <v>228000</v>
      </c>
      <c r="H1292" s="8" t="str">
        <f t="shared" ref="H1292:J1292" si="1884">H1204</f>
        <v>10_10,50_20,80_30</v>
      </c>
      <c r="I1292" s="8">
        <f t="shared" si="1884"/>
        <v>6</v>
      </c>
      <c r="J1292" s="8">
        <f t="shared" si="1884"/>
        <v>50</v>
      </c>
      <c r="K1292" s="7" t="s">
        <v>312</v>
      </c>
      <c r="L1292" s="8">
        <v>44</v>
      </c>
      <c r="M1292" s="7">
        <f>IF(INDEX([1]equip.xml!$B:$B,MATCH(D1292,[1]equip.xml!$A:$A,0))=0,0,N1292)</f>
        <v>32</v>
      </c>
      <c r="N1292" s="8">
        <v>32</v>
      </c>
    </row>
    <row r="1293" spans="1:14">
      <c r="A1293" s="8">
        <f t="shared" si="1823"/>
        <v>10019</v>
      </c>
      <c r="B1293" s="8">
        <f t="shared" ref="B1293:C1293" si="1885">B1205</f>
        <v>40000</v>
      </c>
      <c r="C1293" s="8" t="str">
        <f t="shared" si="1885"/>
        <v>装备</v>
      </c>
      <c r="D1293" s="8">
        <f t="shared" si="1869"/>
        <v>40751061</v>
      </c>
      <c r="E1293" s="8"/>
      <c r="F1293" s="8">
        <v>1</v>
      </c>
      <c r="G1293" s="7">
        <f>3*INDEX([1]equip.xml!$I:$I,MATCH(D1293,[1]equip.xml!$A:$A,0))</f>
        <v>237000</v>
      </c>
      <c r="H1293" s="8" t="str">
        <f t="shared" ref="H1293:J1293" si="1886">H1205</f>
        <v>10_10,50_20,80_30</v>
      </c>
      <c r="I1293" s="8">
        <f t="shared" si="1886"/>
        <v>6</v>
      </c>
      <c r="J1293" s="8">
        <f t="shared" si="1886"/>
        <v>50</v>
      </c>
      <c r="K1293" s="7" t="s">
        <v>312</v>
      </c>
      <c r="L1293" s="8">
        <v>44</v>
      </c>
      <c r="M1293" s="7">
        <f>IF(INDEX([1]equip.xml!$B:$B,MATCH(D1293,[1]equip.xml!$A:$A,0))=0,0,N1293)</f>
        <v>32</v>
      </c>
      <c r="N1293" s="8">
        <v>32</v>
      </c>
    </row>
    <row r="1294" spans="1:14">
      <c r="A1294" s="8">
        <f t="shared" si="1823"/>
        <v>10019</v>
      </c>
      <c r="B1294" s="8">
        <f t="shared" ref="B1294:C1294" si="1887">B1206</f>
        <v>40000</v>
      </c>
      <c r="C1294" s="8" t="str">
        <f t="shared" si="1887"/>
        <v>装备</v>
      </c>
      <c r="D1294" s="8">
        <f t="shared" si="1869"/>
        <v>40752050</v>
      </c>
      <c r="E1294" s="8"/>
      <c r="F1294" s="8">
        <v>1</v>
      </c>
      <c r="G1294" s="7">
        <f>3*INDEX([1]equip.xml!$I:$I,MATCH(D1294,[1]equip.xml!$A:$A,0))</f>
        <v>228000</v>
      </c>
      <c r="H1294" s="8" t="str">
        <f t="shared" ref="H1294:J1294" si="1888">H1206</f>
        <v>10_10,50_20,80_30</v>
      </c>
      <c r="I1294" s="8">
        <f t="shared" si="1888"/>
        <v>6</v>
      </c>
      <c r="J1294" s="8">
        <f t="shared" si="1888"/>
        <v>50</v>
      </c>
      <c r="K1294" s="7" t="s">
        <v>312</v>
      </c>
      <c r="L1294" s="8">
        <v>44</v>
      </c>
      <c r="M1294" s="7">
        <f>IF(INDEX([1]equip.xml!$B:$B,MATCH(D1294,[1]equip.xml!$A:$A,0))=0,0,N1294)</f>
        <v>32</v>
      </c>
      <c r="N1294" s="8">
        <v>32</v>
      </c>
    </row>
    <row r="1295" spans="1:14">
      <c r="A1295" s="8">
        <f t="shared" si="1823"/>
        <v>10019</v>
      </c>
      <c r="B1295" s="8">
        <f t="shared" ref="B1295:C1295" si="1889">B1207</f>
        <v>40000</v>
      </c>
      <c r="C1295" s="8" t="str">
        <f t="shared" si="1889"/>
        <v>装备</v>
      </c>
      <c r="D1295" s="8">
        <f t="shared" si="1869"/>
        <v>40752051</v>
      </c>
      <c r="E1295" s="8"/>
      <c r="F1295" s="8">
        <v>1</v>
      </c>
      <c r="G1295" s="7">
        <f>3*INDEX([1]equip.xml!$I:$I,MATCH(D1295,[1]equip.xml!$A:$A,0))</f>
        <v>237000</v>
      </c>
      <c r="H1295" s="8" t="str">
        <f t="shared" ref="H1295:J1295" si="1890">H1207</f>
        <v>10_10,50_20,80_30</v>
      </c>
      <c r="I1295" s="8">
        <f t="shared" si="1890"/>
        <v>6</v>
      </c>
      <c r="J1295" s="8">
        <f t="shared" si="1890"/>
        <v>50</v>
      </c>
      <c r="K1295" s="7" t="s">
        <v>312</v>
      </c>
      <c r="L1295" s="8">
        <v>44</v>
      </c>
      <c r="M1295" s="7">
        <f>IF(INDEX([1]equip.xml!$B:$B,MATCH(D1295,[1]equip.xml!$A:$A,0))=0,0,N1295)</f>
        <v>32</v>
      </c>
      <c r="N1295" s="8">
        <v>32</v>
      </c>
    </row>
    <row r="1296" spans="1:14">
      <c r="A1296" s="8">
        <f t="shared" si="1823"/>
        <v>10019</v>
      </c>
      <c r="B1296" s="8">
        <f t="shared" ref="B1296:C1296" si="1891">B1208</f>
        <v>40000</v>
      </c>
      <c r="C1296" s="8" t="str">
        <f t="shared" si="1891"/>
        <v>装备</v>
      </c>
      <c r="D1296" s="8">
        <f t="shared" si="1869"/>
        <v>40752060</v>
      </c>
      <c r="E1296" s="8"/>
      <c r="F1296" s="8">
        <v>1</v>
      </c>
      <c r="G1296" s="7">
        <f>3*INDEX([1]equip.xml!$I:$I,MATCH(D1296,[1]equip.xml!$A:$A,0))</f>
        <v>228000</v>
      </c>
      <c r="H1296" s="8" t="str">
        <f t="shared" ref="H1296:J1296" si="1892">H1208</f>
        <v>10_10,50_20,80_30</v>
      </c>
      <c r="I1296" s="8">
        <f t="shared" si="1892"/>
        <v>6</v>
      </c>
      <c r="J1296" s="8">
        <f t="shared" si="1892"/>
        <v>50</v>
      </c>
      <c r="K1296" s="7" t="s">
        <v>312</v>
      </c>
      <c r="L1296" s="8">
        <v>44</v>
      </c>
      <c r="M1296" s="7">
        <f>IF(INDEX([1]equip.xml!$B:$B,MATCH(D1296,[1]equip.xml!$A:$A,0))=0,0,N1296)</f>
        <v>32</v>
      </c>
      <c r="N1296" s="8">
        <v>32</v>
      </c>
    </row>
    <row r="1297" spans="1:14">
      <c r="A1297" s="8">
        <f t="shared" si="1823"/>
        <v>10019</v>
      </c>
      <c r="B1297" s="8">
        <f t="shared" ref="B1297:C1297" si="1893">B1209</f>
        <v>40000</v>
      </c>
      <c r="C1297" s="8" t="str">
        <f t="shared" si="1893"/>
        <v>装备</v>
      </c>
      <c r="D1297" s="8">
        <f t="shared" si="1869"/>
        <v>40752061</v>
      </c>
      <c r="E1297" s="8"/>
      <c r="F1297" s="8">
        <v>1</v>
      </c>
      <c r="G1297" s="7">
        <f>3*INDEX([1]equip.xml!$I:$I,MATCH(D1297,[1]equip.xml!$A:$A,0))</f>
        <v>237000</v>
      </c>
      <c r="H1297" s="8" t="str">
        <f t="shared" ref="H1297:J1297" si="1894">H1209</f>
        <v>10_10,50_20,80_30</v>
      </c>
      <c r="I1297" s="8">
        <f t="shared" si="1894"/>
        <v>6</v>
      </c>
      <c r="J1297" s="8">
        <f t="shared" si="1894"/>
        <v>50</v>
      </c>
      <c r="K1297" s="7" t="s">
        <v>312</v>
      </c>
      <c r="L1297" s="8">
        <v>44</v>
      </c>
      <c r="M1297" s="7">
        <f>IF(INDEX([1]equip.xml!$B:$B,MATCH(D1297,[1]equip.xml!$A:$A,0))=0,0,N1297)</f>
        <v>32</v>
      </c>
      <c r="N1297" s="8">
        <v>32</v>
      </c>
    </row>
    <row r="1298" spans="1:14">
      <c r="A1298" s="8">
        <f t="shared" si="1823"/>
        <v>10019</v>
      </c>
      <c r="B1298" s="8">
        <f t="shared" ref="B1298:C1298" si="1895">B1210</f>
        <v>40000</v>
      </c>
      <c r="C1298" s="8" t="str">
        <f t="shared" si="1895"/>
        <v>装备</v>
      </c>
      <c r="D1298" s="8">
        <f t="shared" si="1869"/>
        <v>40753050</v>
      </c>
      <c r="E1298" s="8"/>
      <c r="F1298" s="8">
        <v>1</v>
      </c>
      <c r="G1298" s="7">
        <f>3*INDEX([1]equip.xml!$I:$I,MATCH(D1298,[1]equip.xml!$A:$A,0))</f>
        <v>228000</v>
      </c>
      <c r="H1298" s="8" t="str">
        <f t="shared" ref="H1298:J1298" si="1896">H1210</f>
        <v>10_10,50_20,80_30</v>
      </c>
      <c r="I1298" s="8">
        <f t="shared" si="1896"/>
        <v>6</v>
      </c>
      <c r="J1298" s="8">
        <f t="shared" si="1896"/>
        <v>50</v>
      </c>
      <c r="K1298" s="7" t="s">
        <v>312</v>
      </c>
      <c r="L1298" s="8">
        <v>44</v>
      </c>
      <c r="M1298" s="7">
        <f>IF(INDEX([1]equip.xml!$B:$B,MATCH(D1298,[1]equip.xml!$A:$A,0))=0,0,N1298)</f>
        <v>32</v>
      </c>
      <c r="N1298" s="8">
        <v>32</v>
      </c>
    </row>
    <row r="1299" spans="1:14">
      <c r="A1299" s="8">
        <f t="shared" si="1823"/>
        <v>10019</v>
      </c>
      <c r="B1299" s="8">
        <f t="shared" ref="B1299:C1299" si="1897">B1211</f>
        <v>40000</v>
      </c>
      <c r="C1299" s="8" t="str">
        <f t="shared" si="1897"/>
        <v>装备</v>
      </c>
      <c r="D1299" s="8">
        <f>D1277+50000</f>
        <v>40753051</v>
      </c>
      <c r="E1299" s="8"/>
      <c r="F1299" s="8">
        <v>1</v>
      </c>
      <c r="G1299" s="7">
        <f>3*INDEX([1]equip.xml!$I:$I,MATCH(D1299,[1]equip.xml!$A:$A,0))</f>
        <v>237000</v>
      </c>
      <c r="H1299" s="8" t="str">
        <f t="shared" ref="H1299:J1299" si="1898">H1211</f>
        <v>10_10,50_20,80_30</v>
      </c>
      <c r="I1299" s="8">
        <f t="shared" si="1898"/>
        <v>6</v>
      </c>
      <c r="J1299" s="8">
        <f t="shared" si="1898"/>
        <v>50</v>
      </c>
      <c r="K1299" s="7" t="s">
        <v>312</v>
      </c>
      <c r="L1299" s="8">
        <v>44</v>
      </c>
      <c r="M1299" s="7">
        <f>IF(INDEX([1]equip.xml!$B:$B,MATCH(D1299,[1]equip.xml!$A:$A,0))=0,0,N1299)</f>
        <v>32</v>
      </c>
      <c r="N1299" s="8">
        <v>32</v>
      </c>
    </row>
    <row r="1300" spans="1:14">
      <c r="A1300" s="8">
        <f t="shared" si="1823"/>
        <v>10019</v>
      </c>
      <c r="B1300" s="8">
        <f t="shared" ref="B1300:C1300" si="1899">B1212</f>
        <v>40000</v>
      </c>
      <c r="C1300" s="8" t="str">
        <f t="shared" si="1899"/>
        <v>装备</v>
      </c>
      <c r="D1300" s="8">
        <f t="shared" si="1869"/>
        <v>40753060</v>
      </c>
      <c r="E1300" s="8"/>
      <c r="F1300" s="8">
        <v>1</v>
      </c>
      <c r="G1300" s="7">
        <f>3*INDEX([1]equip.xml!$I:$I,MATCH(D1300,[1]equip.xml!$A:$A,0))</f>
        <v>228000</v>
      </c>
      <c r="H1300" s="8" t="str">
        <f t="shared" ref="H1300:J1300" si="1900">H1212</f>
        <v>10_10,50_20,80_30</v>
      </c>
      <c r="I1300" s="8">
        <f t="shared" si="1900"/>
        <v>6</v>
      </c>
      <c r="J1300" s="8">
        <f t="shared" si="1900"/>
        <v>50</v>
      </c>
      <c r="K1300" s="7" t="s">
        <v>312</v>
      </c>
      <c r="L1300" s="8">
        <v>44</v>
      </c>
      <c r="M1300" s="7">
        <f>IF(INDEX([1]equip.xml!$B:$B,MATCH(D1300,[1]equip.xml!$A:$A,0))=0,0,N1300)</f>
        <v>32</v>
      </c>
      <c r="N1300" s="8">
        <v>32</v>
      </c>
    </row>
    <row r="1301" spans="1:14">
      <c r="A1301" s="8">
        <f t="shared" si="1823"/>
        <v>10019</v>
      </c>
      <c r="B1301" s="8">
        <f t="shared" ref="B1301:C1301" si="1901">B1213</f>
        <v>40000</v>
      </c>
      <c r="C1301" s="8" t="str">
        <f t="shared" si="1901"/>
        <v>装备</v>
      </c>
      <c r="D1301" s="8">
        <f t="shared" si="1869"/>
        <v>40753061</v>
      </c>
      <c r="E1301" s="8"/>
      <c r="F1301" s="8">
        <v>1</v>
      </c>
      <c r="G1301" s="7">
        <f>3*INDEX([1]equip.xml!$I:$I,MATCH(D1301,[1]equip.xml!$A:$A,0))</f>
        <v>237000</v>
      </c>
      <c r="H1301" s="8" t="str">
        <f t="shared" ref="H1301:J1301" si="1902">H1213</f>
        <v>10_10,50_20,80_30</v>
      </c>
      <c r="I1301" s="8">
        <f t="shared" si="1902"/>
        <v>6</v>
      </c>
      <c r="J1301" s="8">
        <f t="shared" si="1902"/>
        <v>50</v>
      </c>
      <c r="K1301" s="7" t="s">
        <v>312</v>
      </c>
      <c r="L1301" s="8">
        <v>44</v>
      </c>
      <c r="M1301" s="7">
        <f>IF(INDEX([1]equip.xml!$B:$B,MATCH(D1301,[1]equip.xml!$A:$A,0))=0,0,N1301)</f>
        <v>32</v>
      </c>
      <c r="N1301" s="8">
        <v>32</v>
      </c>
    </row>
    <row r="1302" spans="1:14">
      <c r="A1302" s="8">
        <f t="shared" si="1823"/>
        <v>10019</v>
      </c>
      <c r="B1302" s="8">
        <f t="shared" ref="B1302:C1302" si="1903">B1214</f>
        <v>40000</v>
      </c>
      <c r="C1302" s="8" t="str">
        <f t="shared" si="1903"/>
        <v>装备</v>
      </c>
      <c r="D1302" s="8">
        <f t="shared" si="1869"/>
        <v>40750040</v>
      </c>
      <c r="E1302" s="8"/>
      <c r="F1302" s="8">
        <v>1</v>
      </c>
      <c r="G1302" s="7">
        <f>3*INDEX([1]equip.xml!$I:$I,MATCH(D1302,[1]equip.xml!$A:$A,0))</f>
        <v>228000</v>
      </c>
      <c r="H1302" s="8" t="str">
        <f t="shared" ref="H1302:J1302" si="1904">H1214</f>
        <v>10_10,50_20,80_30</v>
      </c>
      <c r="I1302" s="8">
        <f t="shared" si="1904"/>
        <v>6</v>
      </c>
      <c r="J1302" s="8">
        <f t="shared" si="1904"/>
        <v>50</v>
      </c>
      <c r="K1302" s="7" t="s">
        <v>312</v>
      </c>
      <c r="L1302" s="8">
        <v>44</v>
      </c>
      <c r="M1302" s="7">
        <f>IF(INDEX([1]equip.xml!$B:$B,MATCH(D1302,[1]equip.xml!$A:$A,0))=0,0,N1302)</f>
        <v>32</v>
      </c>
      <c r="N1302" s="8">
        <v>32</v>
      </c>
    </row>
    <row r="1303" spans="1:14">
      <c r="A1303" s="8">
        <f t="shared" si="1823"/>
        <v>10019</v>
      </c>
      <c r="B1303" s="8">
        <f t="shared" ref="B1303:C1303" si="1905">B1215</f>
        <v>40000</v>
      </c>
      <c r="C1303" s="8" t="str">
        <f t="shared" si="1905"/>
        <v>装备</v>
      </c>
      <c r="D1303" s="8">
        <f>D1281+50000</f>
        <v>40750041</v>
      </c>
      <c r="E1303" s="8"/>
      <c r="F1303" s="8">
        <v>1</v>
      </c>
      <c r="G1303" s="7">
        <f>3*INDEX([1]equip.xml!$I:$I,MATCH(D1303,[1]equip.xml!$A:$A,0))</f>
        <v>237000</v>
      </c>
      <c r="H1303" s="8" t="str">
        <f t="shared" ref="H1303:J1303" si="1906">H1215</f>
        <v>10_10,50_20,80_30</v>
      </c>
      <c r="I1303" s="8">
        <f t="shared" si="1906"/>
        <v>6</v>
      </c>
      <c r="J1303" s="8">
        <f t="shared" si="1906"/>
        <v>50</v>
      </c>
      <c r="K1303" s="7" t="s">
        <v>312</v>
      </c>
      <c r="L1303" s="8">
        <v>44</v>
      </c>
      <c r="M1303" s="7">
        <f>IF(INDEX([1]equip.xml!$B:$B,MATCH(D1303,[1]equip.xml!$A:$A,0))=0,0,N1303)</f>
        <v>32</v>
      </c>
      <c r="N1303" s="8">
        <v>32</v>
      </c>
    </row>
    <row r="1304" spans="1:14">
      <c r="A1304" s="8">
        <f t="shared" si="1823"/>
        <v>10019</v>
      </c>
      <c r="B1304" s="8">
        <f t="shared" ref="B1304:C1304" si="1907">B1216</f>
        <v>40000</v>
      </c>
      <c r="C1304" s="8" t="str">
        <f t="shared" si="1907"/>
        <v>装备</v>
      </c>
      <c r="D1304" s="8">
        <f t="shared" si="1869"/>
        <v>40750070</v>
      </c>
      <c r="E1304" s="8"/>
      <c r="F1304" s="8">
        <v>1</v>
      </c>
      <c r="G1304" s="7">
        <f>3*INDEX([1]equip.xml!$I:$I,MATCH(D1304,[1]equip.xml!$A:$A,0))</f>
        <v>228000</v>
      </c>
      <c r="H1304" s="8" t="str">
        <f t="shared" ref="H1304:J1304" si="1908">H1216</f>
        <v>10_10,50_20,80_30</v>
      </c>
      <c r="I1304" s="8">
        <f t="shared" si="1908"/>
        <v>6</v>
      </c>
      <c r="J1304" s="8">
        <f t="shared" si="1908"/>
        <v>50</v>
      </c>
      <c r="K1304" s="7" t="s">
        <v>312</v>
      </c>
      <c r="L1304" s="8">
        <v>44</v>
      </c>
      <c r="M1304" s="7">
        <f>IF(INDEX([1]equip.xml!$B:$B,MATCH(D1304,[1]equip.xml!$A:$A,0))=0,0,N1304)</f>
        <v>32</v>
      </c>
      <c r="N1304" s="8">
        <v>32</v>
      </c>
    </row>
    <row r="1305" spans="1:14">
      <c r="A1305" s="8">
        <f t="shared" si="1823"/>
        <v>10019</v>
      </c>
      <c r="B1305" s="8">
        <f t="shared" ref="B1305:C1305" si="1909">B1217</f>
        <v>40000</v>
      </c>
      <c r="C1305" s="8" t="str">
        <f t="shared" si="1909"/>
        <v>装备</v>
      </c>
      <c r="D1305" s="8">
        <f t="shared" si="1869"/>
        <v>40750071</v>
      </c>
      <c r="E1305" s="8"/>
      <c r="F1305" s="8">
        <v>1</v>
      </c>
      <c r="G1305" s="7">
        <f>3*INDEX([1]equip.xml!$I:$I,MATCH(D1305,[1]equip.xml!$A:$A,0))</f>
        <v>237000</v>
      </c>
      <c r="H1305" s="8" t="str">
        <f t="shared" ref="H1305:J1305" si="1910">H1217</f>
        <v>10_10,50_20,80_30</v>
      </c>
      <c r="I1305" s="8">
        <f t="shared" si="1910"/>
        <v>6</v>
      </c>
      <c r="J1305" s="8">
        <f t="shared" si="1910"/>
        <v>50</v>
      </c>
      <c r="K1305" s="7" t="s">
        <v>312</v>
      </c>
      <c r="L1305" s="8">
        <v>44</v>
      </c>
      <c r="M1305" s="7">
        <f>IF(INDEX([1]equip.xml!$B:$B,MATCH(D1305,[1]equip.xml!$A:$A,0))=0,0,N1305)</f>
        <v>32</v>
      </c>
      <c r="N1305" s="8">
        <v>32</v>
      </c>
    </row>
    <row r="1306" spans="1:14">
      <c r="A1306" s="8">
        <f t="shared" si="1823"/>
        <v>10019</v>
      </c>
      <c r="B1306" s="8">
        <f t="shared" ref="B1306:C1306" si="1911">B1218</f>
        <v>40000</v>
      </c>
      <c r="C1306" s="8" t="str">
        <f t="shared" si="1911"/>
        <v>装备</v>
      </c>
      <c r="D1306" s="7">
        <f>D1262+10000005</f>
        <v>50700015</v>
      </c>
      <c r="E1306" s="8"/>
      <c r="F1306" s="8">
        <v>1</v>
      </c>
      <c r="G1306" s="8">
        <f>3*INDEX([1]equip.xml!$I:$I,MATCH(D1306,[1]equip.xml!$A:$A,0))</f>
        <v>420000</v>
      </c>
      <c r="H1306" s="8" t="str">
        <f t="shared" ref="H1306:J1306" si="1912">H1218</f>
        <v>10_10,50_20,80_30</v>
      </c>
      <c r="I1306" s="8">
        <f t="shared" si="1912"/>
        <v>1</v>
      </c>
      <c r="J1306" s="8">
        <f t="shared" si="1912"/>
        <v>240</v>
      </c>
      <c r="K1306" s="7" t="s">
        <v>312</v>
      </c>
      <c r="L1306" s="8">
        <v>44</v>
      </c>
      <c r="M1306" s="7">
        <f>IF(INDEX([1]equip.xml!$B:$B,MATCH(D1306,[1]equip.xml!$A:$A,0))=0,0,N1306)</f>
        <v>70</v>
      </c>
      <c r="N1306" s="8">
        <v>70</v>
      </c>
    </row>
    <row r="1307" spans="1:14">
      <c r="A1307" s="8">
        <f t="shared" si="1823"/>
        <v>10019</v>
      </c>
      <c r="B1307" s="8">
        <f t="shared" ref="B1307:C1307" si="1913">B1219</f>
        <v>40000</v>
      </c>
      <c r="C1307" s="8" t="str">
        <f t="shared" si="1913"/>
        <v>装备</v>
      </c>
      <c r="D1307" s="7">
        <f t="shared" ref="D1307:D1349" si="1914">D1263+10000005</f>
        <v>50700025</v>
      </c>
      <c r="E1307" s="8"/>
      <c r="F1307" s="8">
        <v>1</v>
      </c>
      <c r="G1307" s="8">
        <f>3*INDEX([1]equip.xml!$I:$I,MATCH(D1307,[1]equip.xml!$A:$A,0))</f>
        <v>420000</v>
      </c>
      <c r="H1307" s="8" t="str">
        <f t="shared" ref="H1307:J1307" si="1915">H1219</f>
        <v>10_10,50_20,80_30</v>
      </c>
      <c r="I1307" s="8">
        <f t="shared" si="1915"/>
        <v>1</v>
      </c>
      <c r="J1307" s="8">
        <f t="shared" si="1915"/>
        <v>240</v>
      </c>
      <c r="K1307" s="7" t="s">
        <v>312</v>
      </c>
      <c r="L1307" s="8">
        <v>44</v>
      </c>
      <c r="M1307" s="7">
        <f>IF(INDEX([1]equip.xml!$B:$B,MATCH(D1307,[1]equip.xml!$A:$A,0))=0,0,N1307)</f>
        <v>70</v>
      </c>
      <c r="N1307" s="8">
        <v>70</v>
      </c>
    </row>
    <row r="1308" spans="1:14">
      <c r="A1308" s="8">
        <f t="shared" si="1823"/>
        <v>10019</v>
      </c>
      <c r="B1308" s="8">
        <f t="shared" ref="B1308:C1308" si="1916">B1220</f>
        <v>40000</v>
      </c>
      <c r="C1308" s="8" t="str">
        <f t="shared" si="1916"/>
        <v>装备</v>
      </c>
      <c r="D1308" s="7">
        <f t="shared" si="1914"/>
        <v>50700035</v>
      </c>
      <c r="E1308" s="8"/>
      <c r="F1308" s="8">
        <v>1</v>
      </c>
      <c r="G1308" s="8">
        <f>3*INDEX([1]equip.xml!$I:$I,MATCH(D1308,[1]equip.xml!$A:$A,0))</f>
        <v>420000</v>
      </c>
      <c r="H1308" s="8" t="str">
        <f t="shared" ref="H1308:J1308" si="1917">H1220</f>
        <v>10_10,50_20,80_30</v>
      </c>
      <c r="I1308" s="8">
        <f t="shared" si="1917"/>
        <v>1</v>
      </c>
      <c r="J1308" s="8">
        <f t="shared" si="1917"/>
        <v>240</v>
      </c>
      <c r="K1308" s="7" t="s">
        <v>312</v>
      </c>
      <c r="L1308" s="8">
        <v>44</v>
      </c>
      <c r="M1308" s="7">
        <f>IF(INDEX([1]equip.xml!$B:$B,MATCH(D1308,[1]equip.xml!$A:$A,0))=0,0,N1308)</f>
        <v>70</v>
      </c>
      <c r="N1308" s="8">
        <v>70</v>
      </c>
    </row>
    <row r="1309" spans="1:14">
      <c r="A1309" s="8">
        <f t="shared" si="1823"/>
        <v>10019</v>
      </c>
      <c r="B1309" s="8">
        <f t="shared" ref="B1309:C1309" si="1918">B1221</f>
        <v>40000</v>
      </c>
      <c r="C1309" s="8" t="str">
        <f t="shared" si="1918"/>
        <v>装备</v>
      </c>
      <c r="D1309" s="7">
        <f t="shared" si="1914"/>
        <v>50700085</v>
      </c>
      <c r="E1309" s="8"/>
      <c r="F1309" s="8">
        <v>1</v>
      </c>
      <c r="G1309" s="8">
        <f>3*INDEX([1]equip.xml!$I:$I,MATCH(D1309,[1]equip.xml!$A:$A,0))</f>
        <v>420000</v>
      </c>
      <c r="H1309" s="8" t="str">
        <f t="shared" ref="H1309:J1309" si="1919">H1221</f>
        <v>10_10,50_20,80_30</v>
      </c>
      <c r="I1309" s="8">
        <f t="shared" si="1919"/>
        <v>1</v>
      </c>
      <c r="J1309" s="8">
        <f t="shared" si="1919"/>
        <v>240</v>
      </c>
      <c r="K1309" s="7" t="s">
        <v>312</v>
      </c>
      <c r="L1309" s="8">
        <v>44</v>
      </c>
      <c r="M1309" s="7">
        <f>IF(INDEX([1]equip.xml!$B:$B,MATCH(D1309,[1]equip.xml!$A:$A,0))=0,0,N1309)</f>
        <v>70</v>
      </c>
      <c r="N1309" s="8">
        <v>70</v>
      </c>
    </row>
    <row r="1310" spans="1:14">
      <c r="A1310" s="8">
        <f t="shared" si="1823"/>
        <v>10019</v>
      </c>
      <c r="B1310" s="8">
        <f t="shared" ref="B1310:C1310" si="1920">B1222</f>
        <v>40000</v>
      </c>
      <c r="C1310" s="8" t="str">
        <f t="shared" si="1920"/>
        <v>装备</v>
      </c>
      <c r="D1310" s="7">
        <f t="shared" si="1914"/>
        <v>50700095</v>
      </c>
      <c r="E1310" s="8"/>
      <c r="F1310" s="8">
        <v>1</v>
      </c>
      <c r="G1310" s="8">
        <f>3*INDEX([1]equip.xml!$I:$I,MATCH(D1310,[1]equip.xml!$A:$A,0))</f>
        <v>420000</v>
      </c>
      <c r="H1310" s="8" t="str">
        <f t="shared" ref="H1310:J1310" si="1921">H1222</f>
        <v>10_10,50_20,80_30</v>
      </c>
      <c r="I1310" s="8">
        <f t="shared" si="1921"/>
        <v>1</v>
      </c>
      <c r="J1310" s="8">
        <f t="shared" si="1921"/>
        <v>240</v>
      </c>
      <c r="K1310" s="7" t="s">
        <v>312</v>
      </c>
      <c r="L1310" s="8">
        <v>44</v>
      </c>
      <c r="M1310" s="7">
        <f>IF(INDEX([1]equip.xml!$B:$B,MATCH(D1310,[1]equip.xml!$A:$A,0))=0,0,N1310)</f>
        <v>70</v>
      </c>
      <c r="N1310" s="8">
        <v>70</v>
      </c>
    </row>
    <row r="1311" spans="1:14">
      <c r="A1311" s="8">
        <f t="shared" si="1823"/>
        <v>10019</v>
      </c>
      <c r="B1311" s="8">
        <f t="shared" ref="B1311:C1311" si="1922">B1223</f>
        <v>40000</v>
      </c>
      <c r="C1311" s="8" t="str">
        <f t="shared" si="1922"/>
        <v>装备</v>
      </c>
      <c r="D1311" s="7">
        <f t="shared" si="1914"/>
        <v>50700105</v>
      </c>
      <c r="E1311" s="8"/>
      <c r="F1311" s="8">
        <v>1</v>
      </c>
      <c r="G1311" s="8">
        <f>3*INDEX([1]equip.xml!$I:$I,MATCH(D1311,[1]equip.xml!$A:$A,0))</f>
        <v>420000</v>
      </c>
      <c r="H1311" s="8" t="str">
        <f t="shared" ref="H1311:J1311" si="1923">H1223</f>
        <v>10_10,50_20,80_30</v>
      </c>
      <c r="I1311" s="8">
        <f t="shared" si="1923"/>
        <v>1</v>
      </c>
      <c r="J1311" s="8">
        <f t="shared" si="1923"/>
        <v>240</v>
      </c>
      <c r="K1311" s="7" t="s">
        <v>312</v>
      </c>
      <c r="L1311" s="8">
        <v>44</v>
      </c>
      <c r="M1311" s="7">
        <f>IF(INDEX([1]equip.xml!$B:$B,MATCH(D1311,[1]equip.xml!$A:$A,0))=0,0,N1311)</f>
        <v>70</v>
      </c>
      <c r="N1311" s="8">
        <v>70</v>
      </c>
    </row>
    <row r="1312" spans="1:14">
      <c r="A1312" s="8">
        <f t="shared" si="1823"/>
        <v>10019</v>
      </c>
      <c r="B1312" s="8">
        <f t="shared" ref="B1312:C1312" si="1924">B1224</f>
        <v>40000</v>
      </c>
      <c r="C1312" s="8" t="str">
        <f t="shared" si="1924"/>
        <v>装备</v>
      </c>
      <c r="D1312" s="7">
        <f t="shared" si="1914"/>
        <v>50701055</v>
      </c>
      <c r="E1312" s="8"/>
      <c r="F1312" s="8">
        <v>1</v>
      </c>
      <c r="G1312" s="8">
        <f>3*INDEX([1]equip.xml!$I:$I,MATCH(D1312,[1]equip.xml!$A:$A,0))</f>
        <v>420000</v>
      </c>
      <c r="H1312" s="8" t="str">
        <f t="shared" ref="H1312:J1312" si="1925">H1224</f>
        <v>10_10,50_20,80_30</v>
      </c>
      <c r="I1312" s="8">
        <f t="shared" si="1925"/>
        <v>1</v>
      </c>
      <c r="J1312" s="8">
        <f t="shared" si="1925"/>
        <v>240</v>
      </c>
      <c r="K1312" s="7" t="s">
        <v>312</v>
      </c>
      <c r="L1312" s="8">
        <v>44</v>
      </c>
      <c r="M1312" s="7">
        <f>IF(INDEX([1]equip.xml!$B:$B,MATCH(D1312,[1]equip.xml!$A:$A,0))=0,0,N1312)</f>
        <v>70</v>
      </c>
      <c r="N1312" s="8">
        <v>70</v>
      </c>
    </row>
    <row r="1313" spans="1:14">
      <c r="A1313" s="8">
        <f t="shared" si="1823"/>
        <v>10019</v>
      </c>
      <c r="B1313" s="8">
        <f t="shared" ref="B1313:C1313" si="1926">B1225</f>
        <v>40000</v>
      </c>
      <c r="C1313" s="8" t="str">
        <f t="shared" si="1926"/>
        <v>装备</v>
      </c>
      <c r="D1313" s="7">
        <f t="shared" si="1914"/>
        <v>50701056</v>
      </c>
      <c r="E1313" s="8"/>
      <c r="F1313" s="8">
        <v>1</v>
      </c>
      <c r="G1313" s="8">
        <f>3*INDEX([1]equip.xml!$I:$I,MATCH(D1313,[1]equip.xml!$A:$A,0))</f>
        <v>438000</v>
      </c>
      <c r="H1313" s="8" t="str">
        <f t="shared" ref="H1313:J1313" si="1927">H1225</f>
        <v>10_10,50_20,80_30</v>
      </c>
      <c r="I1313" s="8">
        <f t="shared" si="1927"/>
        <v>1</v>
      </c>
      <c r="J1313" s="8">
        <f t="shared" si="1927"/>
        <v>240</v>
      </c>
      <c r="K1313" s="7" t="s">
        <v>312</v>
      </c>
      <c r="L1313" s="8">
        <v>44</v>
      </c>
      <c r="M1313" s="7">
        <f>IF(INDEX([1]equip.xml!$B:$B,MATCH(D1313,[1]equip.xml!$A:$A,0))=0,0,N1313)</f>
        <v>0</v>
      </c>
      <c r="N1313" s="8">
        <v>70</v>
      </c>
    </row>
    <row r="1314" spans="1:14">
      <c r="A1314" s="8">
        <f t="shared" si="1823"/>
        <v>10019</v>
      </c>
      <c r="B1314" s="8">
        <f t="shared" ref="B1314:C1314" si="1928">B1226</f>
        <v>40000</v>
      </c>
      <c r="C1314" s="8" t="str">
        <f t="shared" si="1928"/>
        <v>装备</v>
      </c>
      <c r="D1314" s="7">
        <f t="shared" si="1914"/>
        <v>50701065</v>
      </c>
      <c r="E1314" s="8"/>
      <c r="F1314" s="8">
        <v>1</v>
      </c>
      <c r="G1314" s="8">
        <f>3*INDEX([1]equip.xml!$I:$I,MATCH(D1314,[1]equip.xml!$A:$A,0))</f>
        <v>420000</v>
      </c>
      <c r="H1314" s="8" t="str">
        <f t="shared" ref="H1314:J1314" si="1929">H1226</f>
        <v>10_10,50_20,80_30</v>
      </c>
      <c r="I1314" s="8">
        <f t="shared" si="1929"/>
        <v>1</v>
      </c>
      <c r="J1314" s="8">
        <f t="shared" si="1929"/>
        <v>240</v>
      </c>
      <c r="K1314" s="7" t="s">
        <v>312</v>
      </c>
      <c r="L1314" s="8">
        <v>44</v>
      </c>
      <c r="M1314" s="7">
        <f>IF(INDEX([1]equip.xml!$B:$B,MATCH(D1314,[1]equip.xml!$A:$A,0))=0,0,N1314)</f>
        <v>70</v>
      </c>
      <c r="N1314" s="8">
        <v>70</v>
      </c>
    </row>
    <row r="1315" spans="1:14">
      <c r="A1315" s="8">
        <f t="shared" si="1823"/>
        <v>10019</v>
      </c>
      <c r="B1315" s="8">
        <f t="shared" ref="B1315:C1315" si="1930">B1227</f>
        <v>40000</v>
      </c>
      <c r="C1315" s="8" t="str">
        <f t="shared" si="1930"/>
        <v>装备</v>
      </c>
      <c r="D1315" s="7">
        <f t="shared" si="1914"/>
        <v>50701066</v>
      </c>
      <c r="E1315" s="8"/>
      <c r="F1315" s="8">
        <v>1</v>
      </c>
      <c r="G1315" s="8">
        <f>3*INDEX([1]equip.xml!$I:$I,MATCH(D1315,[1]equip.xml!$A:$A,0))</f>
        <v>438000</v>
      </c>
      <c r="H1315" s="8" t="str">
        <f t="shared" ref="H1315:J1315" si="1931">H1227</f>
        <v>10_10,50_20,80_30</v>
      </c>
      <c r="I1315" s="8">
        <f t="shared" si="1931"/>
        <v>1</v>
      </c>
      <c r="J1315" s="8">
        <f t="shared" si="1931"/>
        <v>240</v>
      </c>
      <c r="K1315" s="7" t="s">
        <v>312</v>
      </c>
      <c r="L1315" s="8">
        <v>44</v>
      </c>
      <c r="M1315" s="7">
        <f>IF(INDEX([1]equip.xml!$B:$B,MATCH(D1315,[1]equip.xml!$A:$A,0))=0,0,N1315)</f>
        <v>0</v>
      </c>
      <c r="N1315" s="8">
        <v>70</v>
      </c>
    </row>
    <row r="1316" spans="1:14">
      <c r="A1316" s="8">
        <f t="shared" si="1823"/>
        <v>10019</v>
      </c>
      <c r="B1316" s="8">
        <f t="shared" ref="B1316:C1316" si="1932">B1228</f>
        <v>40000</v>
      </c>
      <c r="C1316" s="8" t="str">
        <f t="shared" si="1932"/>
        <v>装备</v>
      </c>
      <c r="D1316" s="7">
        <f t="shared" si="1914"/>
        <v>50702055</v>
      </c>
      <c r="E1316" s="8"/>
      <c r="F1316" s="8">
        <v>1</v>
      </c>
      <c r="G1316" s="8">
        <f>3*INDEX([1]equip.xml!$I:$I,MATCH(D1316,[1]equip.xml!$A:$A,0))</f>
        <v>420000</v>
      </c>
      <c r="H1316" s="8" t="str">
        <f t="shared" ref="H1316:J1316" si="1933">H1228</f>
        <v>10_10,50_20,80_30</v>
      </c>
      <c r="I1316" s="8">
        <f t="shared" si="1933"/>
        <v>1</v>
      </c>
      <c r="J1316" s="8">
        <f t="shared" si="1933"/>
        <v>240</v>
      </c>
      <c r="K1316" s="7" t="s">
        <v>312</v>
      </c>
      <c r="L1316" s="8">
        <v>44</v>
      </c>
      <c r="M1316" s="7">
        <f>IF(INDEX([1]equip.xml!$B:$B,MATCH(D1316,[1]equip.xml!$A:$A,0))=0,0,N1316)</f>
        <v>70</v>
      </c>
      <c r="N1316" s="8">
        <v>70</v>
      </c>
    </row>
    <row r="1317" spans="1:14">
      <c r="A1317" s="8">
        <f t="shared" si="1823"/>
        <v>10019</v>
      </c>
      <c r="B1317" s="8">
        <f t="shared" ref="B1317:C1317" si="1934">B1229</f>
        <v>40000</v>
      </c>
      <c r="C1317" s="8" t="str">
        <f t="shared" si="1934"/>
        <v>装备</v>
      </c>
      <c r="D1317" s="7">
        <f t="shared" si="1914"/>
        <v>50702056</v>
      </c>
      <c r="E1317" s="8"/>
      <c r="F1317" s="8">
        <v>1</v>
      </c>
      <c r="G1317" s="8">
        <f>3*INDEX([1]equip.xml!$I:$I,MATCH(D1317,[1]equip.xml!$A:$A,0))</f>
        <v>438000</v>
      </c>
      <c r="H1317" s="8" t="str">
        <f t="shared" ref="H1317:J1317" si="1935">H1229</f>
        <v>10_10,50_20,80_30</v>
      </c>
      <c r="I1317" s="8">
        <f t="shared" si="1935"/>
        <v>1</v>
      </c>
      <c r="J1317" s="8">
        <f t="shared" si="1935"/>
        <v>240</v>
      </c>
      <c r="K1317" s="7" t="s">
        <v>312</v>
      </c>
      <c r="L1317" s="8">
        <v>44</v>
      </c>
      <c r="M1317" s="7">
        <f>IF(INDEX([1]equip.xml!$B:$B,MATCH(D1317,[1]equip.xml!$A:$A,0))=0,0,N1317)</f>
        <v>0</v>
      </c>
      <c r="N1317" s="8">
        <v>70</v>
      </c>
    </row>
    <row r="1318" spans="1:14">
      <c r="A1318" s="8">
        <f t="shared" si="1823"/>
        <v>10019</v>
      </c>
      <c r="B1318" s="8">
        <f t="shared" ref="B1318:C1318" si="1936">B1230</f>
        <v>40000</v>
      </c>
      <c r="C1318" s="8" t="str">
        <f t="shared" si="1936"/>
        <v>装备</v>
      </c>
      <c r="D1318" s="7">
        <f t="shared" si="1914"/>
        <v>50702065</v>
      </c>
      <c r="E1318" s="8"/>
      <c r="F1318" s="8">
        <v>1</v>
      </c>
      <c r="G1318" s="8">
        <f>3*INDEX([1]equip.xml!$I:$I,MATCH(D1318,[1]equip.xml!$A:$A,0))</f>
        <v>420000</v>
      </c>
      <c r="H1318" s="8" t="str">
        <f t="shared" ref="H1318:J1318" si="1937">H1230</f>
        <v>10_10,50_20,80_30</v>
      </c>
      <c r="I1318" s="8">
        <f t="shared" si="1937"/>
        <v>1</v>
      </c>
      <c r="J1318" s="8">
        <f t="shared" si="1937"/>
        <v>240</v>
      </c>
      <c r="K1318" s="7" t="s">
        <v>312</v>
      </c>
      <c r="L1318" s="8">
        <v>44</v>
      </c>
      <c r="M1318" s="7">
        <f>IF(INDEX([1]equip.xml!$B:$B,MATCH(D1318,[1]equip.xml!$A:$A,0))=0,0,N1318)</f>
        <v>70</v>
      </c>
      <c r="N1318" s="8">
        <v>70</v>
      </c>
    </row>
    <row r="1319" spans="1:14">
      <c r="A1319" s="8">
        <f t="shared" si="1823"/>
        <v>10019</v>
      </c>
      <c r="B1319" s="8">
        <f t="shared" ref="B1319:C1319" si="1938">B1231</f>
        <v>40000</v>
      </c>
      <c r="C1319" s="8" t="str">
        <f t="shared" si="1938"/>
        <v>装备</v>
      </c>
      <c r="D1319" s="7">
        <f t="shared" si="1914"/>
        <v>50702066</v>
      </c>
      <c r="E1319" s="8"/>
      <c r="F1319" s="8">
        <v>1</v>
      </c>
      <c r="G1319" s="8">
        <f>3*INDEX([1]equip.xml!$I:$I,MATCH(D1319,[1]equip.xml!$A:$A,0))</f>
        <v>438000</v>
      </c>
      <c r="H1319" s="8" t="str">
        <f t="shared" ref="H1319:J1319" si="1939">H1231</f>
        <v>10_10,50_20,80_30</v>
      </c>
      <c r="I1319" s="8">
        <f t="shared" si="1939"/>
        <v>1</v>
      </c>
      <c r="J1319" s="8">
        <f t="shared" si="1939"/>
        <v>240</v>
      </c>
      <c r="K1319" s="7" t="s">
        <v>312</v>
      </c>
      <c r="L1319" s="8">
        <v>44</v>
      </c>
      <c r="M1319" s="7">
        <f>IF(INDEX([1]equip.xml!$B:$B,MATCH(D1319,[1]equip.xml!$A:$A,0))=0,0,N1319)</f>
        <v>0</v>
      </c>
      <c r="N1319" s="8">
        <v>70</v>
      </c>
    </row>
    <row r="1320" spans="1:14">
      <c r="A1320" s="8">
        <f t="shared" si="1823"/>
        <v>10019</v>
      </c>
      <c r="B1320" s="8">
        <f t="shared" ref="B1320:C1320" si="1940">B1232</f>
        <v>40000</v>
      </c>
      <c r="C1320" s="8" t="str">
        <f t="shared" si="1940"/>
        <v>装备</v>
      </c>
      <c r="D1320" s="7">
        <f t="shared" si="1914"/>
        <v>50703055</v>
      </c>
      <c r="E1320" s="8"/>
      <c r="F1320" s="8">
        <v>1</v>
      </c>
      <c r="G1320" s="8">
        <f>3*INDEX([1]equip.xml!$I:$I,MATCH(D1320,[1]equip.xml!$A:$A,0))</f>
        <v>420000</v>
      </c>
      <c r="H1320" s="8" t="str">
        <f t="shared" ref="H1320:J1320" si="1941">H1232</f>
        <v>10_10,50_20,80_30</v>
      </c>
      <c r="I1320" s="8">
        <f t="shared" si="1941"/>
        <v>1</v>
      </c>
      <c r="J1320" s="8">
        <f t="shared" si="1941"/>
        <v>240</v>
      </c>
      <c r="K1320" s="7" t="s">
        <v>312</v>
      </c>
      <c r="L1320" s="8">
        <v>44</v>
      </c>
      <c r="M1320" s="7">
        <f>IF(INDEX([1]equip.xml!$B:$B,MATCH(D1320,[1]equip.xml!$A:$A,0))=0,0,N1320)</f>
        <v>70</v>
      </c>
      <c r="N1320" s="8">
        <v>70</v>
      </c>
    </row>
    <row r="1321" spans="1:14">
      <c r="A1321" s="8">
        <f t="shared" si="1823"/>
        <v>10019</v>
      </c>
      <c r="B1321" s="8">
        <f t="shared" ref="B1321:C1321" si="1942">B1233</f>
        <v>40000</v>
      </c>
      <c r="C1321" s="8" t="str">
        <f t="shared" si="1942"/>
        <v>装备</v>
      </c>
      <c r="D1321" s="7">
        <f t="shared" si="1914"/>
        <v>50703056</v>
      </c>
      <c r="E1321" s="8"/>
      <c r="F1321" s="8">
        <v>1</v>
      </c>
      <c r="G1321" s="8">
        <f>3*INDEX([1]equip.xml!$I:$I,MATCH(D1321,[1]equip.xml!$A:$A,0))</f>
        <v>438000</v>
      </c>
      <c r="H1321" s="8" t="str">
        <f t="shared" ref="H1321:J1321" si="1943">H1233</f>
        <v>10_10,50_20,80_30</v>
      </c>
      <c r="I1321" s="8">
        <f t="shared" si="1943"/>
        <v>1</v>
      </c>
      <c r="J1321" s="8">
        <f t="shared" si="1943"/>
        <v>240</v>
      </c>
      <c r="K1321" s="7" t="s">
        <v>312</v>
      </c>
      <c r="L1321" s="8">
        <v>44</v>
      </c>
      <c r="M1321" s="7">
        <f>IF(INDEX([1]equip.xml!$B:$B,MATCH(D1321,[1]equip.xml!$A:$A,0))=0,0,N1321)</f>
        <v>0</v>
      </c>
      <c r="N1321" s="8">
        <v>70</v>
      </c>
    </row>
    <row r="1322" spans="1:14">
      <c r="A1322" s="8">
        <f t="shared" si="1823"/>
        <v>10019</v>
      </c>
      <c r="B1322" s="8">
        <f t="shared" ref="B1322:C1322" si="1944">B1234</f>
        <v>40000</v>
      </c>
      <c r="C1322" s="8" t="str">
        <f t="shared" si="1944"/>
        <v>装备</v>
      </c>
      <c r="D1322" s="7">
        <f t="shared" si="1914"/>
        <v>50703065</v>
      </c>
      <c r="E1322" s="8"/>
      <c r="F1322" s="8">
        <v>1</v>
      </c>
      <c r="G1322" s="8">
        <f>3*INDEX([1]equip.xml!$I:$I,MATCH(D1322,[1]equip.xml!$A:$A,0))</f>
        <v>420000</v>
      </c>
      <c r="H1322" s="8" t="str">
        <f t="shared" ref="H1322:J1322" si="1945">H1234</f>
        <v>10_10,50_20,80_30</v>
      </c>
      <c r="I1322" s="8">
        <f t="shared" si="1945"/>
        <v>1</v>
      </c>
      <c r="J1322" s="8">
        <f t="shared" si="1945"/>
        <v>240</v>
      </c>
      <c r="K1322" s="7" t="s">
        <v>312</v>
      </c>
      <c r="L1322" s="8">
        <v>44</v>
      </c>
      <c r="M1322" s="7">
        <f>IF(INDEX([1]equip.xml!$B:$B,MATCH(D1322,[1]equip.xml!$A:$A,0))=0,0,N1322)</f>
        <v>70</v>
      </c>
      <c r="N1322" s="8">
        <v>70</v>
      </c>
    </row>
    <row r="1323" spans="1:14">
      <c r="A1323" s="8">
        <f t="shared" si="1823"/>
        <v>10019</v>
      </c>
      <c r="B1323" s="8">
        <f t="shared" ref="B1323:C1323" si="1946">B1235</f>
        <v>40000</v>
      </c>
      <c r="C1323" s="8" t="str">
        <f t="shared" si="1946"/>
        <v>装备</v>
      </c>
      <c r="D1323" s="7">
        <f t="shared" si="1914"/>
        <v>50703066</v>
      </c>
      <c r="E1323" s="8"/>
      <c r="F1323" s="8">
        <v>1</v>
      </c>
      <c r="G1323" s="8">
        <f>3*INDEX([1]equip.xml!$I:$I,MATCH(D1323,[1]equip.xml!$A:$A,0))</f>
        <v>438000</v>
      </c>
      <c r="H1323" s="8" t="str">
        <f t="shared" ref="H1323:J1323" si="1947">H1235</f>
        <v>10_10,50_20,80_30</v>
      </c>
      <c r="I1323" s="8">
        <f t="shared" si="1947"/>
        <v>1</v>
      </c>
      <c r="J1323" s="8">
        <f t="shared" si="1947"/>
        <v>240</v>
      </c>
      <c r="K1323" s="7" t="s">
        <v>312</v>
      </c>
      <c r="L1323" s="8">
        <v>44</v>
      </c>
      <c r="M1323" s="7">
        <f>IF(INDEX([1]equip.xml!$B:$B,MATCH(D1323,[1]equip.xml!$A:$A,0))=0,0,N1323)</f>
        <v>0</v>
      </c>
      <c r="N1323" s="8">
        <v>70</v>
      </c>
    </row>
    <row r="1324" spans="1:14">
      <c r="A1324" s="8">
        <f t="shared" si="1823"/>
        <v>10019</v>
      </c>
      <c r="B1324" s="8">
        <f t="shared" ref="B1324:C1324" si="1948">B1236</f>
        <v>40000</v>
      </c>
      <c r="C1324" s="8" t="str">
        <f t="shared" si="1948"/>
        <v>装备</v>
      </c>
      <c r="D1324" s="7">
        <f t="shared" si="1914"/>
        <v>50700045</v>
      </c>
      <c r="E1324" s="8"/>
      <c r="F1324" s="8">
        <v>1</v>
      </c>
      <c r="G1324" s="8">
        <f>3*INDEX([1]equip.xml!$I:$I,MATCH(D1324,[1]equip.xml!$A:$A,0))</f>
        <v>420000</v>
      </c>
      <c r="H1324" s="8" t="str">
        <f t="shared" ref="H1324:J1324" si="1949">H1236</f>
        <v>10_10,50_20,80_30</v>
      </c>
      <c r="I1324" s="8">
        <f t="shared" si="1949"/>
        <v>1</v>
      </c>
      <c r="J1324" s="8">
        <f t="shared" si="1949"/>
        <v>240</v>
      </c>
      <c r="K1324" s="7" t="s">
        <v>312</v>
      </c>
      <c r="L1324" s="8">
        <v>44</v>
      </c>
      <c r="M1324" s="7">
        <f>IF(INDEX([1]equip.xml!$B:$B,MATCH(D1324,[1]equip.xml!$A:$A,0))=0,0,N1324)</f>
        <v>70</v>
      </c>
      <c r="N1324" s="8">
        <v>70</v>
      </c>
    </row>
    <row r="1325" spans="1:14">
      <c r="A1325" s="8">
        <f t="shared" si="1823"/>
        <v>10019</v>
      </c>
      <c r="B1325" s="8">
        <f t="shared" ref="B1325:C1325" si="1950">B1237</f>
        <v>40000</v>
      </c>
      <c r="C1325" s="8" t="str">
        <f t="shared" si="1950"/>
        <v>装备</v>
      </c>
      <c r="D1325" s="7">
        <f t="shared" si="1914"/>
        <v>50700046</v>
      </c>
      <c r="E1325" s="8"/>
      <c r="F1325" s="8">
        <v>1</v>
      </c>
      <c r="G1325" s="8">
        <f>3*INDEX([1]equip.xml!$I:$I,MATCH(D1325,[1]equip.xml!$A:$A,0))</f>
        <v>438000</v>
      </c>
      <c r="H1325" s="8" t="str">
        <f t="shared" ref="H1325:J1325" si="1951">H1237</f>
        <v>10_10,50_20,80_30</v>
      </c>
      <c r="I1325" s="8">
        <f t="shared" si="1951"/>
        <v>1</v>
      </c>
      <c r="J1325" s="8">
        <f t="shared" si="1951"/>
        <v>240</v>
      </c>
      <c r="K1325" s="7" t="s">
        <v>312</v>
      </c>
      <c r="L1325" s="8">
        <v>44</v>
      </c>
      <c r="M1325" s="7">
        <f>IF(INDEX([1]equip.xml!$B:$B,MATCH(D1325,[1]equip.xml!$A:$A,0))=0,0,N1325)</f>
        <v>0</v>
      </c>
      <c r="N1325" s="8">
        <v>70</v>
      </c>
    </row>
    <row r="1326" spans="1:14">
      <c r="A1326" s="8">
        <f t="shared" si="1823"/>
        <v>10019</v>
      </c>
      <c r="B1326" s="8">
        <f t="shared" ref="B1326:C1326" si="1952">B1238</f>
        <v>40000</v>
      </c>
      <c r="C1326" s="8" t="str">
        <f t="shared" si="1952"/>
        <v>装备</v>
      </c>
      <c r="D1326" s="7">
        <f t="shared" si="1914"/>
        <v>50700075</v>
      </c>
      <c r="E1326" s="8"/>
      <c r="F1326" s="8">
        <v>1</v>
      </c>
      <c r="G1326" s="8">
        <f>3*INDEX([1]equip.xml!$I:$I,MATCH(D1326,[1]equip.xml!$A:$A,0))</f>
        <v>420000</v>
      </c>
      <c r="H1326" s="8" t="str">
        <f t="shared" ref="H1326:J1326" si="1953">H1238</f>
        <v>10_10,50_20,80_30</v>
      </c>
      <c r="I1326" s="8">
        <f t="shared" si="1953"/>
        <v>1</v>
      </c>
      <c r="J1326" s="8">
        <f t="shared" si="1953"/>
        <v>240</v>
      </c>
      <c r="K1326" s="7" t="s">
        <v>312</v>
      </c>
      <c r="L1326" s="8">
        <v>44</v>
      </c>
      <c r="M1326" s="7">
        <f>IF(INDEX([1]equip.xml!$B:$B,MATCH(D1326,[1]equip.xml!$A:$A,0))=0,0,N1326)</f>
        <v>70</v>
      </c>
      <c r="N1326" s="8">
        <v>70</v>
      </c>
    </row>
    <row r="1327" spans="1:14">
      <c r="A1327" s="8">
        <f t="shared" ref="A1327:A1390" si="1954">A1239+1</f>
        <v>10019</v>
      </c>
      <c r="B1327" s="8">
        <f t="shared" ref="B1327:C1327" si="1955">B1239</f>
        <v>40000</v>
      </c>
      <c r="C1327" s="8" t="str">
        <f t="shared" si="1955"/>
        <v>装备</v>
      </c>
      <c r="D1327" s="7">
        <f t="shared" si="1914"/>
        <v>50700076</v>
      </c>
      <c r="E1327" s="8"/>
      <c r="F1327" s="8">
        <v>1</v>
      </c>
      <c r="G1327" s="8">
        <f>3*INDEX([1]equip.xml!$I:$I,MATCH(D1327,[1]equip.xml!$A:$A,0))</f>
        <v>438000</v>
      </c>
      <c r="H1327" s="8" t="str">
        <f t="shared" ref="H1327:J1327" si="1956">H1239</f>
        <v>10_10,50_20,80_30</v>
      </c>
      <c r="I1327" s="8">
        <f t="shared" si="1956"/>
        <v>1</v>
      </c>
      <c r="J1327" s="8">
        <f t="shared" si="1956"/>
        <v>240</v>
      </c>
      <c r="K1327" s="7" t="s">
        <v>312</v>
      </c>
      <c r="L1327" s="8">
        <v>44</v>
      </c>
      <c r="M1327" s="7">
        <f>IF(INDEX([1]equip.xml!$B:$B,MATCH(D1327,[1]equip.xml!$A:$A,0))=0,0,N1327)</f>
        <v>0</v>
      </c>
      <c r="N1327" s="8">
        <v>70</v>
      </c>
    </row>
    <row r="1328" spans="1:14">
      <c r="A1328" s="8">
        <f t="shared" si="1954"/>
        <v>10019</v>
      </c>
      <c r="B1328" s="8">
        <f t="shared" ref="B1328:C1328" si="1957">B1240</f>
        <v>40000</v>
      </c>
      <c r="C1328" s="8" t="str">
        <f t="shared" si="1957"/>
        <v>装备</v>
      </c>
      <c r="D1328" s="7">
        <f t="shared" si="1914"/>
        <v>50750015</v>
      </c>
      <c r="E1328" s="8"/>
      <c r="F1328" s="8">
        <v>1</v>
      </c>
      <c r="G1328" s="8">
        <f>3*INDEX([1]equip.xml!$I:$I,MATCH(D1328,[1]equip.xml!$A:$A,0))</f>
        <v>456000</v>
      </c>
      <c r="H1328" s="8" t="str">
        <f t="shared" ref="H1328:J1328" si="1958">H1240</f>
        <v>10_10,50_20,80_30</v>
      </c>
      <c r="I1328" s="8">
        <f t="shared" si="1958"/>
        <v>1</v>
      </c>
      <c r="J1328" s="8">
        <f t="shared" si="1958"/>
        <v>240</v>
      </c>
      <c r="K1328" s="7" t="s">
        <v>312</v>
      </c>
      <c r="L1328" s="8">
        <v>44</v>
      </c>
      <c r="M1328" s="7">
        <f>IF(INDEX([1]equip.xml!$B:$B,MATCH(D1328,[1]equip.xml!$A:$A,0))=0,0,N1328)</f>
        <v>14</v>
      </c>
      <c r="N1328" s="8">
        <v>14</v>
      </c>
    </row>
    <row r="1329" spans="1:14">
      <c r="A1329" s="8">
        <f t="shared" si="1954"/>
        <v>10019</v>
      </c>
      <c r="B1329" s="8">
        <f t="shared" ref="B1329:C1329" si="1959">B1241</f>
        <v>40000</v>
      </c>
      <c r="C1329" s="8" t="str">
        <f t="shared" si="1959"/>
        <v>装备</v>
      </c>
      <c r="D1329" s="7">
        <f t="shared" si="1914"/>
        <v>50750025</v>
      </c>
      <c r="E1329" s="8"/>
      <c r="F1329" s="8">
        <v>1</v>
      </c>
      <c r="G1329" s="8">
        <f>3*INDEX([1]equip.xml!$I:$I,MATCH(D1329,[1]equip.xml!$A:$A,0))</f>
        <v>456000</v>
      </c>
      <c r="H1329" s="8" t="str">
        <f t="shared" ref="H1329:J1329" si="1960">H1241</f>
        <v>10_10,50_20,80_30</v>
      </c>
      <c r="I1329" s="8">
        <f t="shared" si="1960"/>
        <v>1</v>
      </c>
      <c r="J1329" s="8">
        <f t="shared" si="1960"/>
        <v>240</v>
      </c>
      <c r="K1329" s="7" t="s">
        <v>312</v>
      </c>
      <c r="L1329" s="8">
        <v>44</v>
      </c>
      <c r="M1329" s="7">
        <f>IF(INDEX([1]equip.xml!$B:$B,MATCH(D1329,[1]equip.xml!$A:$A,0))=0,0,N1329)</f>
        <v>14</v>
      </c>
      <c r="N1329" s="8">
        <v>14</v>
      </c>
    </row>
    <row r="1330" spans="1:14">
      <c r="A1330" s="8">
        <f t="shared" si="1954"/>
        <v>10019</v>
      </c>
      <c r="B1330" s="8">
        <f t="shared" ref="B1330:C1330" si="1961">B1242</f>
        <v>40000</v>
      </c>
      <c r="C1330" s="8" t="str">
        <f t="shared" si="1961"/>
        <v>装备</v>
      </c>
      <c r="D1330" s="7">
        <f t="shared" si="1914"/>
        <v>50750035</v>
      </c>
      <c r="E1330" s="8"/>
      <c r="F1330" s="8">
        <v>1</v>
      </c>
      <c r="G1330" s="8">
        <f>3*INDEX([1]equip.xml!$I:$I,MATCH(D1330,[1]equip.xml!$A:$A,0))</f>
        <v>456000</v>
      </c>
      <c r="H1330" s="8" t="str">
        <f t="shared" ref="H1330:J1330" si="1962">H1242</f>
        <v>10_10,50_20,80_30</v>
      </c>
      <c r="I1330" s="8">
        <f t="shared" si="1962"/>
        <v>1</v>
      </c>
      <c r="J1330" s="8">
        <f t="shared" si="1962"/>
        <v>240</v>
      </c>
      <c r="K1330" s="7" t="s">
        <v>312</v>
      </c>
      <c r="L1330" s="8">
        <v>44</v>
      </c>
      <c r="M1330" s="7">
        <f>IF(INDEX([1]equip.xml!$B:$B,MATCH(D1330,[1]equip.xml!$A:$A,0))=0,0,N1330)</f>
        <v>14</v>
      </c>
      <c r="N1330" s="8">
        <v>14</v>
      </c>
    </row>
    <row r="1331" spans="1:14">
      <c r="A1331" s="8">
        <f t="shared" si="1954"/>
        <v>10019</v>
      </c>
      <c r="B1331" s="8">
        <f t="shared" ref="B1331:C1331" si="1963">B1243</f>
        <v>40000</v>
      </c>
      <c r="C1331" s="8" t="str">
        <f t="shared" si="1963"/>
        <v>装备</v>
      </c>
      <c r="D1331" s="7">
        <f t="shared" si="1914"/>
        <v>50750085</v>
      </c>
      <c r="E1331" s="8"/>
      <c r="F1331" s="8">
        <v>1</v>
      </c>
      <c r="G1331" s="8">
        <f>3*INDEX([1]equip.xml!$I:$I,MATCH(D1331,[1]equip.xml!$A:$A,0))</f>
        <v>456000</v>
      </c>
      <c r="H1331" s="8" t="str">
        <f t="shared" ref="H1331:J1331" si="1964">H1243</f>
        <v>10_10,50_20,80_30</v>
      </c>
      <c r="I1331" s="8">
        <f t="shared" si="1964"/>
        <v>1</v>
      </c>
      <c r="J1331" s="8">
        <f t="shared" si="1964"/>
        <v>240</v>
      </c>
      <c r="K1331" s="7" t="s">
        <v>312</v>
      </c>
      <c r="L1331" s="8">
        <v>44</v>
      </c>
      <c r="M1331" s="7">
        <f>IF(INDEX([1]equip.xml!$B:$B,MATCH(D1331,[1]equip.xml!$A:$A,0))=0,0,N1331)</f>
        <v>14</v>
      </c>
      <c r="N1331" s="8">
        <v>14</v>
      </c>
    </row>
    <row r="1332" spans="1:14">
      <c r="A1332" s="8">
        <f t="shared" si="1954"/>
        <v>10019</v>
      </c>
      <c r="B1332" s="8">
        <f t="shared" ref="B1332:C1332" si="1965">B1244</f>
        <v>40000</v>
      </c>
      <c r="C1332" s="8" t="str">
        <f t="shared" si="1965"/>
        <v>装备</v>
      </c>
      <c r="D1332" s="7">
        <f t="shared" si="1914"/>
        <v>50750095</v>
      </c>
      <c r="E1332" s="8"/>
      <c r="F1332" s="8">
        <v>1</v>
      </c>
      <c r="G1332" s="8">
        <f>3*INDEX([1]equip.xml!$I:$I,MATCH(D1332,[1]equip.xml!$A:$A,0))</f>
        <v>456000</v>
      </c>
      <c r="H1332" s="8" t="str">
        <f t="shared" ref="H1332:J1332" si="1966">H1244</f>
        <v>10_10,50_20,80_30</v>
      </c>
      <c r="I1332" s="8">
        <f t="shared" si="1966"/>
        <v>1</v>
      </c>
      <c r="J1332" s="8">
        <f t="shared" si="1966"/>
        <v>240</v>
      </c>
      <c r="K1332" s="7" t="s">
        <v>312</v>
      </c>
      <c r="L1332" s="8">
        <v>44</v>
      </c>
      <c r="M1332" s="7">
        <f>IF(INDEX([1]equip.xml!$B:$B,MATCH(D1332,[1]equip.xml!$A:$A,0))=0,0,N1332)</f>
        <v>14</v>
      </c>
      <c r="N1332" s="8">
        <v>14</v>
      </c>
    </row>
    <row r="1333" spans="1:14">
      <c r="A1333" s="8">
        <f t="shared" si="1954"/>
        <v>10019</v>
      </c>
      <c r="B1333" s="8">
        <f t="shared" ref="B1333:C1333" si="1967">B1245</f>
        <v>40000</v>
      </c>
      <c r="C1333" s="8" t="str">
        <f t="shared" si="1967"/>
        <v>装备</v>
      </c>
      <c r="D1333" s="7">
        <f t="shared" si="1914"/>
        <v>50750105</v>
      </c>
      <c r="E1333" s="8"/>
      <c r="F1333" s="8">
        <v>1</v>
      </c>
      <c r="G1333" s="8">
        <f>3*INDEX([1]equip.xml!$I:$I,MATCH(D1333,[1]equip.xml!$A:$A,0))</f>
        <v>456000</v>
      </c>
      <c r="H1333" s="8" t="str">
        <f t="shared" ref="H1333:J1333" si="1968">H1245</f>
        <v>10_10,50_20,80_30</v>
      </c>
      <c r="I1333" s="8">
        <f t="shared" si="1968"/>
        <v>1</v>
      </c>
      <c r="J1333" s="8">
        <f t="shared" si="1968"/>
        <v>240</v>
      </c>
      <c r="K1333" s="7" t="s">
        <v>312</v>
      </c>
      <c r="L1333" s="8">
        <v>44</v>
      </c>
      <c r="M1333" s="7">
        <f>IF(INDEX([1]equip.xml!$B:$B,MATCH(D1333,[1]equip.xml!$A:$A,0))=0,0,N1333)</f>
        <v>14</v>
      </c>
      <c r="N1333" s="8">
        <v>14</v>
      </c>
    </row>
    <row r="1334" spans="1:14">
      <c r="A1334" s="8">
        <f t="shared" si="1954"/>
        <v>10019</v>
      </c>
      <c r="B1334" s="8">
        <f t="shared" ref="B1334:C1334" si="1969">B1246</f>
        <v>40000</v>
      </c>
      <c r="C1334" s="8" t="str">
        <f t="shared" si="1969"/>
        <v>装备</v>
      </c>
      <c r="D1334" s="7">
        <f t="shared" si="1914"/>
        <v>50751055</v>
      </c>
      <c r="E1334" s="8"/>
      <c r="F1334" s="8">
        <v>1</v>
      </c>
      <c r="G1334" s="8">
        <f>3*INDEX([1]equip.xml!$I:$I,MATCH(D1334,[1]equip.xml!$A:$A,0))</f>
        <v>456000</v>
      </c>
      <c r="H1334" s="8" t="str">
        <f t="shared" ref="H1334:J1334" si="1970">H1246</f>
        <v>10_10,50_20,80_30</v>
      </c>
      <c r="I1334" s="8">
        <f t="shared" si="1970"/>
        <v>1</v>
      </c>
      <c r="J1334" s="8">
        <f t="shared" si="1970"/>
        <v>240</v>
      </c>
      <c r="K1334" s="7" t="s">
        <v>312</v>
      </c>
      <c r="L1334" s="8">
        <v>44</v>
      </c>
      <c r="M1334" s="7">
        <f>IF(INDEX([1]equip.xml!$B:$B,MATCH(D1334,[1]equip.xml!$A:$A,0))=0,0,N1334)</f>
        <v>14</v>
      </c>
      <c r="N1334" s="8">
        <v>14</v>
      </c>
    </row>
    <row r="1335" spans="1:14">
      <c r="A1335" s="8">
        <f t="shared" si="1954"/>
        <v>10019</v>
      </c>
      <c r="B1335" s="8">
        <f t="shared" ref="B1335:C1335" si="1971">B1247</f>
        <v>40000</v>
      </c>
      <c r="C1335" s="8" t="str">
        <f t="shared" si="1971"/>
        <v>装备</v>
      </c>
      <c r="D1335" s="7">
        <f t="shared" si="1914"/>
        <v>50751056</v>
      </c>
      <c r="E1335" s="8"/>
      <c r="F1335" s="8">
        <v>1</v>
      </c>
      <c r="G1335" s="8">
        <f>3*INDEX([1]equip.xml!$I:$I,MATCH(D1335,[1]equip.xml!$A:$A,0))</f>
        <v>474000</v>
      </c>
      <c r="H1335" s="8" t="str">
        <f t="shared" ref="H1335:J1335" si="1972">H1247</f>
        <v>10_10,50_20,80_30</v>
      </c>
      <c r="I1335" s="8">
        <f t="shared" si="1972"/>
        <v>1</v>
      </c>
      <c r="J1335" s="8">
        <f t="shared" si="1972"/>
        <v>240</v>
      </c>
      <c r="K1335" s="7" t="s">
        <v>312</v>
      </c>
      <c r="L1335" s="8">
        <v>44</v>
      </c>
      <c r="M1335" s="7">
        <f>IF(INDEX([1]equip.xml!$B:$B,MATCH(D1335,[1]equip.xml!$A:$A,0))=0,0,N1335)</f>
        <v>14</v>
      </c>
      <c r="N1335" s="8">
        <v>14</v>
      </c>
    </row>
    <row r="1336" spans="1:14">
      <c r="A1336" s="8">
        <f t="shared" si="1954"/>
        <v>10019</v>
      </c>
      <c r="B1336" s="8">
        <f t="shared" ref="B1336:C1336" si="1973">B1248</f>
        <v>40000</v>
      </c>
      <c r="C1336" s="8" t="str">
        <f t="shared" si="1973"/>
        <v>装备</v>
      </c>
      <c r="D1336" s="7">
        <f t="shared" si="1914"/>
        <v>50751065</v>
      </c>
      <c r="E1336" s="8"/>
      <c r="F1336" s="8">
        <v>1</v>
      </c>
      <c r="G1336" s="8">
        <f>3*INDEX([1]equip.xml!$I:$I,MATCH(D1336,[1]equip.xml!$A:$A,0))</f>
        <v>456000</v>
      </c>
      <c r="H1336" s="8" t="str">
        <f t="shared" ref="H1336:J1336" si="1974">H1248</f>
        <v>10_10,50_20,80_30</v>
      </c>
      <c r="I1336" s="8">
        <f t="shared" si="1974"/>
        <v>1</v>
      </c>
      <c r="J1336" s="8">
        <f t="shared" si="1974"/>
        <v>240</v>
      </c>
      <c r="K1336" s="7" t="s">
        <v>312</v>
      </c>
      <c r="L1336" s="8">
        <v>44</v>
      </c>
      <c r="M1336" s="7">
        <f>IF(INDEX([1]equip.xml!$B:$B,MATCH(D1336,[1]equip.xml!$A:$A,0))=0,0,N1336)</f>
        <v>14</v>
      </c>
      <c r="N1336" s="8">
        <v>14</v>
      </c>
    </row>
    <row r="1337" spans="1:14">
      <c r="A1337" s="8">
        <f t="shared" si="1954"/>
        <v>10019</v>
      </c>
      <c r="B1337" s="8">
        <f t="shared" ref="B1337:C1337" si="1975">B1249</f>
        <v>40000</v>
      </c>
      <c r="C1337" s="8" t="str">
        <f t="shared" si="1975"/>
        <v>装备</v>
      </c>
      <c r="D1337" s="7">
        <f t="shared" si="1914"/>
        <v>50751066</v>
      </c>
      <c r="E1337" s="8"/>
      <c r="F1337" s="8">
        <v>1</v>
      </c>
      <c r="G1337" s="8">
        <f>3*INDEX([1]equip.xml!$I:$I,MATCH(D1337,[1]equip.xml!$A:$A,0))</f>
        <v>474000</v>
      </c>
      <c r="H1337" s="8" t="str">
        <f t="shared" ref="H1337:J1337" si="1976">H1249</f>
        <v>10_10,50_20,80_30</v>
      </c>
      <c r="I1337" s="8">
        <f t="shared" si="1976"/>
        <v>1</v>
      </c>
      <c r="J1337" s="8">
        <f t="shared" si="1976"/>
        <v>240</v>
      </c>
      <c r="K1337" s="7" t="s">
        <v>312</v>
      </c>
      <c r="L1337" s="8">
        <v>44</v>
      </c>
      <c r="M1337" s="7">
        <f>IF(INDEX([1]equip.xml!$B:$B,MATCH(D1337,[1]equip.xml!$A:$A,0))=0,0,N1337)</f>
        <v>14</v>
      </c>
      <c r="N1337" s="8">
        <v>14</v>
      </c>
    </row>
    <row r="1338" spans="1:14">
      <c r="A1338" s="8">
        <f t="shared" si="1954"/>
        <v>10019</v>
      </c>
      <c r="B1338" s="8">
        <f t="shared" ref="B1338:C1338" si="1977">B1250</f>
        <v>40000</v>
      </c>
      <c r="C1338" s="8" t="str">
        <f t="shared" si="1977"/>
        <v>装备</v>
      </c>
      <c r="D1338" s="7">
        <f t="shared" si="1914"/>
        <v>50752055</v>
      </c>
      <c r="E1338" s="8"/>
      <c r="F1338" s="8">
        <v>1</v>
      </c>
      <c r="G1338" s="8">
        <f>3*INDEX([1]equip.xml!$I:$I,MATCH(D1338,[1]equip.xml!$A:$A,0))</f>
        <v>456000</v>
      </c>
      <c r="H1338" s="8" t="str">
        <f t="shared" ref="H1338:J1338" si="1978">H1250</f>
        <v>10_10,50_20,80_30</v>
      </c>
      <c r="I1338" s="8">
        <f t="shared" si="1978"/>
        <v>1</v>
      </c>
      <c r="J1338" s="8">
        <f t="shared" si="1978"/>
        <v>240</v>
      </c>
      <c r="K1338" s="7" t="s">
        <v>312</v>
      </c>
      <c r="L1338" s="8">
        <v>44</v>
      </c>
      <c r="M1338" s="7">
        <f>IF(INDEX([1]equip.xml!$B:$B,MATCH(D1338,[1]equip.xml!$A:$A,0))=0,0,N1338)</f>
        <v>14</v>
      </c>
      <c r="N1338" s="8">
        <v>14</v>
      </c>
    </row>
    <row r="1339" spans="1:14">
      <c r="A1339" s="8">
        <f t="shared" si="1954"/>
        <v>10019</v>
      </c>
      <c r="B1339" s="8">
        <f t="shared" ref="B1339:C1339" si="1979">B1251</f>
        <v>40000</v>
      </c>
      <c r="C1339" s="8" t="str">
        <f t="shared" si="1979"/>
        <v>装备</v>
      </c>
      <c r="D1339" s="7">
        <f t="shared" si="1914"/>
        <v>50752056</v>
      </c>
      <c r="E1339" s="8"/>
      <c r="F1339" s="8">
        <v>1</v>
      </c>
      <c r="G1339" s="8">
        <f>3*INDEX([1]equip.xml!$I:$I,MATCH(D1339,[1]equip.xml!$A:$A,0))</f>
        <v>474000</v>
      </c>
      <c r="H1339" s="8" t="str">
        <f t="shared" ref="H1339:J1339" si="1980">H1251</f>
        <v>10_10,50_20,80_30</v>
      </c>
      <c r="I1339" s="8">
        <f t="shared" si="1980"/>
        <v>1</v>
      </c>
      <c r="J1339" s="8">
        <f t="shared" si="1980"/>
        <v>240</v>
      </c>
      <c r="K1339" s="7" t="s">
        <v>312</v>
      </c>
      <c r="L1339" s="8">
        <v>44</v>
      </c>
      <c r="M1339" s="7">
        <f>IF(INDEX([1]equip.xml!$B:$B,MATCH(D1339,[1]equip.xml!$A:$A,0))=0,0,N1339)</f>
        <v>14</v>
      </c>
      <c r="N1339" s="8">
        <v>14</v>
      </c>
    </row>
    <row r="1340" spans="1:14">
      <c r="A1340" s="8">
        <f t="shared" si="1954"/>
        <v>10019</v>
      </c>
      <c r="B1340" s="8">
        <f t="shared" ref="B1340:C1340" si="1981">B1252</f>
        <v>40000</v>
      </c>
      <c r="C1340" s="8" t="str">
        <f t="shared" si="1981"/>
        <v>装备</v>
      </c>
      <c r="D1340" s="7">
        <f t="shared" si="1914"/>
        <v>50752065</v>
      </c>
      <c r="E1340" s="8"/>
      <c r="F1340" s="8">
        <v>1</v>
      </c>
      <c r="G1340" s="8">
        <f>3*INDEX([1]equip.xml!$I:$I,MATCH(D1340,[1]equip.xml!$A:$A,0))</f>
        <v>456000</v>
      </c>
      <c r="H1340" s="8" t="str">
        <f t="shared" ref="H1340:J1340" si="1982">H1252</f>
        <v>10_10,50_20,80_30</v>
      </c>
      <c r="I1340" s="8">
        <f t="shared" si="1982"/>
        <v>1</v>
      </c>
      <c r="J1340" s="8">
        <f t="shared" si="1982"/>
        <v>240</v>
      </c>
      <c r="K1340" s="7" t="s">
        <v>312</v>
      </c>
      <c r="L1340" s="8">
        <v>44</v>
      </c>
      <c r="M1340" s="7">
        <f>IF(INDEX([1]equip.xml!$B:$B,MATCH(D1340,[1]equip.xml!$A:$A,0))=0,0,N1340)</f>
        <v>14</v>
      </c>
      <c r="N1340" s="8">
        <v>14</v>
      </c>
    </row>
    <row r="1341" spans="1:14">
      <c r="A1341" s="8">
        <f t="shared" si="1954"/>
        <v>10019</v>
      </c>
      <c r="B1341" s="8">
        <f t="shared" ref="B1341:C1341" si="1983">B1253</f>
        <v>40000</v>
      </c>
      <c r="C1341" s="8" t="str">
        <f t="shared" si="1983"/>
        <v>装备</v>
      </c>
      <c r="D1341" s="7">
        <f t="shared" si="1914"/>
        <v>50752066</v>
      </c>
      <c r="E1341" s="8"/>
      <c r="F1341" s="8">
        <v>1</v>
      </c>
      <c r="G1341" s="8">
        <f>3*INDEX([1]equip.xml!$I:$I,MATCH(D1341,[1]equip.xml!$A:$A,0))</f>
        <v>474000</v>
      </c>
      <c r="H1341" s="8" t="str">
        <f t="shared" ref="H1341:J1341" si="1984">H1253</f>
        <v>10_10,50_20,80_30</v>
      </c>
      <c r="I1341" s="8">
        <f t="shared" si="1984"/>
        <v>1</v>
      </c>
      <c r="J1341" s="8">
        <f t="shared" si="1984"/>
        <v>240</v>
      </c>
      <c r="K1341" s="7" t="s">
        <v>312</v>
      </c>
      <c r="L1341" s="8">
        <v>44</v>
      </c>
      <c r="M1341" s="7">
        <f>IF(INDEX([1]equip.xml!$B:$B,MATCH(D1341,[1]equip.xml!$A:$A,0))=0,0,N1341)</f>
        <v>14</v>
      </c>
      <c r="N1341" s="8">
        <v>14</v>
      </c>
    </row>
    <row r="1342" spans="1:14">
      <c r="A1342" s="8">
        <f t="shared" si="1954"/>
        <v>10019</v>
      </c>
      <c r="B1342" s="8">
        <f t="shared" ref="B1342:C1342" si="1985">B1254</f>
        <v>40000</v>
      </c>
      <c r="C1342" s="8" t="str">
        <f t="shared" si="1985"/>
        <v>装备</v>
      </c>
      <c r="D1342" s="7">
        <f t="shared" si="1914"/>
        <v>50753055</v>
      </c>
      <c r="E1342" s="8"/>
      <c r="F1342" s="8">
        <v>1</v>
      </c>
      <c r="G1342" s="8">
        <f>3*INDEX([1]equip.xml!$I:$I,MATCH(D1342,[1]equip.xml!$A:$A,0))</f>
        <v>456000</v>
      </c>
      <c r="H1342" s="8" t="str">
        <f t="shared" ref="H1342:J1342" si="1986">H1254</f>
        <v>10_10,50_20,80_30</v>
      </c>
      <c r="I1342" s="8">
        <f t="shared" si="1986"/>
        <v>1</v>
      </c>
      <c r="J1342" s="8">
        <f t="shared" si="1986"/>
        <v>240</v>
      </c>
      <c r="K1342" s="7" t="s">
        <v>312</v>
      </c>
      <c r="L1342" s="8">
        <v>44</v>
      </c>
      <c r="M1342" s="7">
        <f>IF(INDEX([1]equip.xml!$B:$B,MATCH(D1342,[1]equip.xml!$A:$A,0))=0,0,N1342)</f>
        <v>14</v>
      </c>
      <c r="N1342" s="8">
        <v>14</v>
      </c>
    </row>
    <row r="1343" spans="1:14">
      <c r="A1343" s="8">
        <f t="shared" si="1954"/>
        <v>10019</v>
      </c>
      <c r="B1343" s="8">
        <f t="shared" ref="B1343:C1343" si="1987">B1255</f>
        <v>40000</v>
      </c>
      <c r="C1343" s="8" t="str">
        <f t="shared" si="1987"/>
        <v>装备</v>
      </c>
      <c r="D1343" s="7">
        <f t="shared" si="1914"/>
        <v>50753056</v>
      </c>
      <c r="E1343" s="8"/>
      <c r="F1343" s="8">
        <v>1</v>
      </c>
      <c r="G1343" s="8">
        <f>3*INDEX([1]equip.xml!$I:$I,MATCH(D1343,[1]equip.xml!$A:$A,0))</f>
        <v>474000</v>
      </c>
      <c r="H1343" s="8" t="str">
        <f t="shared" ref="H1343:J1343" si="1988">H1255</f>
        <v>10_10,50_20,80_30</v>
      </c>
      <c r="I1343" s="8">
        <f t="shared" si="1988"/>
        <v>1</v>
      </c>
      <c r="J1343" s="8">
        <f t="shared" si="1988"/>
        <v>240</v>
      </c>
      <c r="K1343" s="7" t="s">
        <v>312</v>
      </c>
      <c r="L1343" s="8">
        <v>44</v>
      </c>
      <c r="M1343" s="7">
        <f>IF(INDEX([1]equip.xml!$B:$B,MATCH(D1343,[1]equip.xml!$A:$A,0))=0,0,N1343)</f>
        <v>14</v>
      </c>
      <c r="N1343" s="8">
        <v>14</v>
      </c>
    </row>
    <row r="1344" spans="1:14">
      <c r="A1344" s="8">
        <f t="shared" si="1954"/>
        <v>10019</v>
      </c>
      <c r="B1344" s="8">
        <f t="shared" ref="B1344:C1344" si="1989">B1256</f>
        <v>40000</v>
      </c>
      <c r="C1344" s="8" t="str">
        <f t="shared" si="1989"/>
        <v>装备</v>
      </c>
      <c r="D1344" s="7">
        <f t="shared" si="1914"/>
        <v>50753065</v>
      </c>
      <c r="E1344" s="8"/>
      <c r="F1344" s="8">
        <v>1</v>
      </c>
      <c r="G1344" s="8">
        <f>3*INDEX([1]equip.xml!$I:$I,MATCH(D1344,[1]equip.xml!$A:$A,0))</f>
        <v>456000</v>
      </c>
      <c r="H1344" s="8" t="str">
        <f t="shared" ref="H1344:J1344" si="1990">H1256</f>
        <v>10_10,50_20,80_30</v>
      </c>
      <c r="I1344" s="8">
        <f t="shared" si="1990"/>
        <v>1</v>
      </c>
      <c r="J1344" s="8">
        <f t="shared" si="1990"/>
        <v>240</v>
      </c>
      <c r="K1344" s="7" t="s">
        <v>312</v>
      </c>
      <c r="L1344" s="8">
        <v>44</v>
      </c>
      <c r="M1344" s="7">
        <f>IF(INDEX([1]equip.xml!$B:$B,MATCH(D1344,[1]equip.xml!$A:$A,0))=0,0,N1344)</f>
        <v>14</v>
      </c>
      <c r="N1344" s="8">
        <v>14</v>
      </c>
    </row>
    <row r="1345" spans="1:14">
      <c r="A1345" s="8">
        <f t="shared" si="1954"/>
        <v>10019</v>
      </c>
      <c r="B1345" s="8">
        <f t="shared" ref="B1345:C1345" si="1991">B1257</f>
        <v>40000</v>
      </c>
      <c r="C1345" s="8" t="str">
        <f t="shared" si="1991"/>
        <v>装备</v>
      </c>
      <c r="D1345" s="7">
        <f t="shared" si="1914"/>
        <v>50753066</v>
      </c>
      <c r="E1345" s="8"/>
      <c r="F1345" s="8">
        <v>1</v>
      </c>
      <c r="G1345" s="8">
        <f>3*INDEX([1]equip.xml!$I:$I,MATCH(D1345,[1]equip.xml!$A:$A,0))</f>
        <v>474000</v>
      </c>
      <c r="H1345" s="8" t="str">
        <f t="shared" ref="H1345:J1345" si="1992">H1257</f>
        <v>10_10,50_20,80_30</v>
      </c>
      <c r="I1345" s="8">
        <f t="shared" si="1992"/>
        <v>1</v>
      </c>
      <c r="J1345" s="8">
        <f t="shared" si="1992"/>
        <v>240</v>
      </c>
      <c r="K1345" s="7" t="s">
        <v>312</v>
      </c>
      <c r="L1345" s="8">
        <v>44</v>
      </c>
      <c r="M1345" s="7">
        <f>IF(INDEX([1]equip.xml!$B:$B,MATCH(D1345,[1]equip.xml!$A:$A,0))=0,0,N1345)</f>
        <v>14</v>
      </c>
      <c r="N1345" s="8">
        <v>14</v>
      </c>
    </row>
    <row r="1346" spans="1:14">
      <c r="A1346" s="8">
        <f t="shared" si="1954"/>
        <v>10019</v>
      </c>
      <c r="B1346" s="8">
        <f t="shared" ref="B1346:C1346" si="1993">B1258</f>
        <v>40000</v>
      </c>
      <c r="C1346" s="8" t="str">
        <f t="shared" si="1993"/>
        <v>装备</v>
      </c>
      <c r="D1346" s="7">
        <f t="shared" si="1914"/>
        <v>50750045</v>
      </c>
      <c r="E1346" s="8"/>
      <c r="F1346" s="8">
        <v>1</v>
      </c>
      <c r="G1346" s="8">
        <f>3*INDEX([1]equip.xml!$I:$I,MATCH(D1346,[1]equip.xml!$A:$A,0))</f>
        <v>456000</v>
      </c>
      <c r="H1346" s="8" t="str">
        <f t="shared" ref="H1346:J1346" si="1994">H1258</f>
        <v>10_10,50_20,80_30</v>
      </c>
      <c r="I1346" s="8">
        <f t="shared" si="1994"/>
        <v>1</v>
      </c>
      <c r="J1346" s="8">
        <f t="shared" si="1994"/>
        <v>240</v>
      </c>
      <c r="K1346" s="7" t="s">
        <v>312</v>
      </c>
      <c r="L1346" s="8">
        <v>44</v>
      </c>
      <c r="M1346" s="7">
        <f>IF(INDEX([1]equip.xml!$B:$B,MATCH(D1346,[1]equip.xml!$A:$A,0))=0,0,N1346)</f>
        <v>14</v>
      </c>
      <c r="N1346" s="8">
        <v>14</v>
      </c>
    </row>
    <row r="1347" spans="1:14">
      <c r="A1347" s="8">
        <f t="shared" si="1954"/>
        <v>10019</v>
      </c>
      <c r="B1347" s="8">
        <f t="shared" ref="B1347:C1347" si="1995">B1259</f>
        <v>40000</v>
      </c>
      <c r="C1347" s="8" t="str">
        <f t="shared" si="1995"/>
        <v>装备</v>
      </c>
      <c r="D1347" s="7">
        <f t="shared" si="1914"/>
        <v>50750046</v>
      </c>
      <c r="E1347" s="8"/>
      <c r="F1347" s="8">
        <v>1</v>
      </c>
      <c r="G1347" s="8">
        <f>3*INDEX([1]equip.xml!$I:$I,MATCH(D1347,[1]equip.xml!$A:$A,0))</f>
        <v>474000</v>
      </c>
      <c r="H1347" s="8" t="str">
        <f t="shared" ref="H1347:J1347" si="1996">H1259</f>
        <v>10_10,50_20,80_30</v>
      </c>
      <c r="I1347" s="8">
        <f t="shared" si="1996"/>
        <v>1</v>
      </c>
      <c r="J1347" s="8">
        <f t="shared" si="1996"/>
        <v>240</v>
      </c>
      <c r="K1347" s="7" t="s">
        <v>312</v>
      </c>
      <c r="L1347" s="8">
        <v>44</v>
      </c>
      <c r="M1347" s="7">
        <f>IF(INDEX([1]equip.xml!$B:$B,MATCH(D1347,[1]equip.xml!$A:$A,0))=0,0,N1347)</f>
        <v>14</v>
      </c>
      <c r="N1347" s="8">
        <v>14</v>
      </c>
    </row>
    <row r="1348" spans="1:14">
      <c r="A1348" s="8">
        <f t="shared" si="1954"/>
        <v>10019</v>
      </c>
      <c r="B1348" s="8">
        <f t="shared" ref="B1348:C1348" si="1997">B1260</f>
        <v>40000</v>
      </c>
      <c r="C1348" s="8" t="str">
        <f t="shared" si="1997"/>
        <v>装备</v>
      </c>
      <c r="D1348" s="7">
        <f t="shared" si="1914"/>
        <v>50750075</v>
      </c>
      <c r="E1348" s="8"/>
      <c r="F1348" s="8">
        <v>1</v>
      </c>
      <c r="G1348" s="8">
        <f>3*INDEX([1]equip.xml!$I:$I,MATCH(D1348,[1]equip.xml!$A:$A,0))</f>
        <v>456000</v>
      </c>
      <c r="H1348" s="8" t="str">
        <f t="shared" ref="H1348:J1348" si="1998">H1260</f>
        <v>10_10,50_20,80_30</v>
      </c>
      <c r="I1348" s="8">
        <f t="shared" si="1998"/>
        <v>1</v>
      </c>
      <c r="J1348" s="8">
        <f t="shared" si="1998"/>
        <v>240</v>
      </c>
      <c r="K1348" s="7" t="s">
        <v>312</v>
      </c>
      <c r="L1348" s="8">
        <v>44</v>
      </c>
      <c r="M1348" s="7">
        <f>IF(INDEX([1]equip.xml!$B:$B,MATCH(D1348,[1]equip.xml!$A:$A,0))=0,0,N1348)</f>
        <v>14</v>
      </c>
      <c r="N1348" s="8">
        <v>14</v>
      </c>
    </row>
    <row r="1349" spans="1:14">
      <c r="A1349" s="8">
        <f t="shared" si="1954"/>
        <v>10019</v>
      </c>
      <c r="B1349" s="8">
        <f t="shared" ref="B1349:C1349" si="1999">B1261</f>
        <v>40000</v>
      </c>
      <c r="C1349" s="8" t="str">
        <f t="shared" si="1999"/>
        <v>装备</v>
      </c>
      <c r="D1349" s="7">
        <f t="shared" si="1914"/>
        <v>50750076</v>
      </c>
      <c r="E1349" s="8"/>
      <c r="F1349" s="8">
        <v>1</v>
      </c>
      <c r="G1349" s="8">
        <f>3*INDEX([1]equip.xml!$I:$I,MATCH(D1349,[1]equip.xml!$A:$A,0))</f>
        <v>474000</v>
      </c>
      <c r="H1349" s="8" t="str">
        <f t="shared" ref="H1349:J1349" si="2000">H1261</f>
        <v>10_10,50_20,80_30</v>
      </c>
      <c r="I1349" s="8">
        <f t="shared" si="2000"/>
        <v>1</v>
      </c>
      <c r="J1349" s="8">
        <f t="shared" si="2000"/>
        <v>240</v>
      </c>
      <c r="K1349" s="7" t="s">
        <v>312</v>
      </c>
      <c r="L1349" s="8">
        <v>44</v>
      </c>
      <c r="M1349" s="7">
        <f>IF(INDEX([1]equip.xml!$B:$B,MATCH(D1349,[1]equip.xml!$A:$A,0))=0,0,N1349)</f>
        <v>14</v>
      </c>
      <c r="N1349" s="8">
        <v>14</v>
      </c>
    </row>
    <row r="1350" spans="1:14">
      <c r="A1350" s="8">
        <f t="shared" si="1954"/>
        <v>10020</v>
      </c>
      <c r="B1350" s="8">
        <f t="shared" ref="B1350:C1350" si="2001">B1262</f>
        <v>40000</v>
      </c>
      <c r="C1350" s="8" t="str">
        <f t="shared" si="2001"/>
        <v>装备</v>
      </c>
      <c r="D1350" s="8">
        <f>D1262+50000</f>
        <v>40750010</v>
      </c>
      <c r="E1350" s="8"/>
      <c r="F1350" s="8">
        <v>1</v>
      </c>
      <c r="G1350" s="7">
        <f>3*INDEX([1]equip.xml!$I:$I,MATCH(D1350,[1]equip.xml!$A:$A,0))</f>
        <v>228000</v>
      </c>
      <c r="H1350" s="8" t="str">
        <f t="shared" ref="H1350:J1350" si="2002">H1262</f>
        <v>10_10,50_20,80_30</v>
      </c>
      <c r="I1350" s="8">
        <f t="shared" si="2002"/>
        <v>6</v>
      </c>
      <c r="J1350" s="8">
        <f t="shared" si="2002"/>
        <v>50</v>
      </c>
      <c r="K1350" s="7" t="s">
        <v>312</v>
      </c>
      <c r="L1350" s="8">
        <v>48</v>
      </c>
      <c r="M1350" s="7">
        <f>IF(INDEX([1]equip.xml!$B:$B,MATCH(D1350,[1]equip.xml!$A:$A,0))=0,0,N1350)</f>
        <v>130</v>
      </c>
      <c r="N1350" s="8">
        <v>130</v>
      </c>
    </row>
    <row r="1351" spans="1:14">
      <c r="A1351" s="8">
        <f t="shared" si="1954"/>
        <v>10020</v>
      </c>
      <c r="B1351" s="8">
        <f t="shared" ref="B1351:C1351" si="2003">B1263</f>
        <v>40000</v>
      </c>
      <c r="C1351" s="8" t="str">
        <f t="shared" si="2003"/>
        <v>装备</v>
      </c>
      <c r="D1351" s="8">
        <f t="shared" ref="D1351:D1414" si="2004">D1263+50000</f>
        <v>40750020</v>
      </c>
      <c r="E1351" s="8"/>
      <c r="F1351" s="8">
        <v>1</v>
      </c>
      <c r="G1351" s="7">
        <f>3*INDEX([1]equip.xml!$I:$I,MATCH(D1351,[1]equip.xml!$A:$A,0))</f>
        <v>228000</v>
      </c>
      <c r="H1351" s="8" t="str">
        <f t="shared" ref="H1351:J1351" si="2005">H1263</f>
        <v>10_10,50_20,80_30</v>
      </c>
      <c r="I1351" s="8">
        <f t="shared" si="2005"/>
        <v>6</v>
      </c>
      <c r="J1351" s="8">
        <f t="shared" si="2005"/>
        <v>50</v>
      </c>
      <c r="K1351" s="7" t="s">
        <v>312</v>
      </c>
      <c r="L1351" s="8">
        <v>48</v>
      </c>
      <c r="M1351" s="7">
        <f>IF(INDEX([1]equip.xml!$B:$B,MATCH(D1351,[1]equip.xml!$A:$A,0))=0,0,N1351)</f>
        <v>130</v>
      </c>
      <c r="N1351" s="8">
        <v>130</v>
      </c>
    </row>
    <row r="1352" spans="1:14">
      <c r="A1352" s="8">
        <f t="shared" si="1954"/>
        <v>10020</v>
      </c>
      <c r="B1352" s="8">
        <f t="shared" ref="B1352:C1352" si="2006">B1264</f>
        <v>40000</v>
      </c>
      <c r="C1352" s="8" t="str">
        <f t="shared" si="2006"/>
        <v>装备</v>
      </c>
      <c r="D1352" s="8">
        <f t="shared" si="2004"/>
        <v>40750030</v>
      </c>
      <c r="E1352" s="8"/>
      <c r="F1352" s="8">
        <v>1</v>
      </c>
      <c r="G1352" s="7">
        <f>3*INDEX([1]equip.xml!$I:$I,MATCH(D1352,[1]equip.xml!$A:$A,0))</f>
        <v>228000</v>
      </c>
      <c r="H1352" s="8" t="str">
        <f t="shared" ref="H1352:J1352" si="2007">H1264</f>
        <v>10_10,50_20,80_30</v>
      </c>
      <c r="I1352" s="8">
        <f t="shared" si="2007"/>
        <v>6</v>
      </c>
      <c r="J1352" s="8">
        <f t="shared" si="2007"/>
        <v>50</v>
      </c>
      <c r="K1352" s="7" t="s">
        <v>312</v>
      </c>
      <c r="L1352" s="8">
        <v>48</v>
      </c>
      <c r="M1352" s="7">
        <f>IF(INDEX([1]equip.xml!$B:$B,MATCH(D1352,[1]equip.xml!$A:$A,0))=0,0,N1352)</f>
        <v>130</v>
      </c>
      <c r="N1352" s="8">
        <v>130</v>
      </c>
    </row>
    <row r="1353" spans="1:14">
      <c r="A1353" s="8">
        <f t="shared" si="1954"/>
        <v>10020</v>
      </c>
      <c r="B1353" s="8">
        <f t="shared" ref="B1353:C1353" si="2008">B1265</f>
        <v>40000</v>
      </c>
      <c r="C1353" s="8" t="str">
        <f t="shared" si="2008"/>
        <v>装备</v>
      </c>
      <c r="D1353" s="8">
        <f t="shared" si="2004"/>
        <v>40750080</v>
      </c>
      <c r="E1353" s="8"/>
      <c r="F1353" s="8">
        <v>1</v>
      </c>
      <c r="G1353" s="7">
        <f>3*INDEX([1]equip.xml!$I:$I,MATCH(D1353,[1]equip.xml!$A:$A,0))</f>
        <v>228000</v>
      </c>
      <c r="H1353" s="8" t="str">
        <f t="shared" ref="H1353:J1353" si="2009">H1265</f>
        <v>10_10,50_20,80_30</v>
      </c>
      <c r="I1353" s="8">
        <f t="shared" si="2009"/>
        <v>6</v>
      </c>
      <c r="J1353" s="8">
        <f t="shared" si="2009"/>
        <v>50</v>
      </c>
      <c r="K1353" s="7" t="s">
        <v>312</v>
      </c>
      <c r="L1353" s="8">
        <v>48</v>
      </c>
      <c r="M1353" s="7">
        <f>IF(INDEX([1]equip.xml!$B:$B,MATCH(D1353,[1]equip.xml!$A:$A,0))=0,0,N1353)</f>
        <v>130</v>
      </c>
      <c r="N1353" s="8">
        <v>130</v>
      </c>
    </row>
    <row r="1354" spans="1:14">
      <c r="A1354" s="8">
        <f t="shared" si="1954"/>
        <v>10020</v>
      </c>
      <c r="B1354" s="8">
        <f t="shared" ref="B1354:C1354" si="2010">B1266</f>
        <v>40000</v>
      </c>
      <c r="C1354" s="8" t="str">
        <f t="shared" si="2010"/>
        <v>装备</v>
      </c>
      <c r="D1354" s="8">
        <f t="shared" si="2004"/>
        <v>40750090</v>
      </c>
      <c r="E1354" s="8"/>
      <c r="F1354" s="8">
        <v>1</v>
      </c>
      <c r="G1354" s="7">
        <f>3*INDEX([1]equip.xml!$I:$I,MATCH(D1354,[1]equip.xml!$A:$A,0))</f>
        <v>228000</v>
      </c>
      <c r="H1354" s="8" t="str">
        <f t="shared" ref="H1354:J1354" si="2011">H1266</f>
        <v>10_10,50_20,80_30</v>
      </c>
      <c r="I1354" s="8">
        <f t="shared" si="2011"/>
        <v>6</v>
      </c>
      <c r="J1354" s="8">
        <f t="shared" si="2011"/>
        <v>50</v>
      </c>
      <c r="K1354" s="7" t="s">
        <v>312</v>
      </c>
      <c r="L1354" s="8">
        <v>48</v>
      </c>
      <c r="M1354" s="7">
        <f>IF(INDEX([1]equip.xml!$B:$B,MATCH(D1354,[1]equip.xml!$A:$A,0))=0,0,N1354)</f>
        <v>130</v>
      </c>
      <c r="N1354" s="8">
        <v>130</v>
      </c>
    </row>
    <row r="1355" spans="1:14">
      <c r="A1355" s="8">
        <f t="shared" si="1954"/>
        <v>10020</v>
      </c>
      <c r="B1355" s="8">
        <f t="shared" ref="B1355:C1355" si="2012">B1267</f>
        <v>40000</v>
      </c>
      <c r="C1355" s="8" t="str">
        <f t="shared" si="2012"/>
        <v>装备</v>
      </c>
      <c r="D1355" s="8">
        <f t="shared" si="2004"/>
        <v>40750100</v>
      </c>
      <c r="E1355" s="8"/>
      <c r="F1355" s="8">
        <v>1</v>
      </c>
      <c r="G1355" s="7">
        <f>3*INDEX([1]equip.xml!$I:$I,MATCH(D1355,[1]equip.xml!$A:$A,0))</f>
        <v>228000</v>
      </c>
      <c r="H1355" s="8" t="str">
        <f t="shared" ref="H1355:J1355" si="2013">H1267</f>
        <v>10_10,50_20,80_30</v>
      </c>
      <c r="I1355" s="8">
        <f t="shared" si="2013"/>
        <v>6</v>
      </c>
      <c r="J1355" s="8">
        <f t="shared" si="2013"/>
        <v>50</v>
      </c>
      <c r="K1355" s="7" t="s">
        <v>312</v>
      </c>
      <c r="L1355" s="8">
        <v>48</v>
      </c>
      <c r="M1355" s="7">
        <f>IF(INDEX([1]equip.xml!$B:$B,MATCH(D1355,[1]equip.xml!$A:$A,0))=0,0,N1355)</f>
        <v>130</v>
      </c>
      <c r="N1355" s="8">
        <v>130</v>
      </c>
    </row>
    <row r="1356" spans="1:14">
      <c r="A1356" s="8">
        <f t="shared" si="1954"/>
        <v>10020</v>
      </c>
      <c r="B1356" s="8">
        <f t="shared" ref="B1356:C1356" si="2014">B1268</f>
        <v>40000</v>
      </c>
      <c r="C1356" s="8" t="str">
        <f t="shared" si="2014"/>
        <v>装备</v>
      </c>
      <c r="D1356" s="8">
        <f t="shared" si="2004"/>
        <v>40751050</v>
      </c>
      <c r="E1356" s="8"/>
      <c r="F1356" s="8">
        <v>1</v>
      </c>
      <c r="G1356" s="7">
        <f>3*INDEX([1]equip.xml!$I:$I,MATCH(D1356,[1]equip.xml!$A:$A,0))</f>
        <v>228000</v>
      </c>
      <c r="H1356" s="8" t="str">
        <f t="shared" ref="H1356:J1356" si="2015">H1268</f>
        <v>10_10,50_20,80_30</v>
      </c>
      <c r="I1356" s="8">
        <f t="shared" si="2015"/>
        <v>6</v>
      </c>
      <c r="J1356" s="8">
        <f t="shared" si="2015"/>
        <v>50</v>
      </c>
      <c r="K1356" s="7" t="s">
        <v>312</v>
      </c>
      <c r="L1356" s="8">
        <v>48</v>
      </c>
      <c r="M1356" s="7">
        <f>IF(INDEX([1]equip.xml!$B:$B,MATCH(D1356,[1]equip.xml!$A:$A,0))=0,0,N1356)</f>
        <v>130</v>
      </c>
      <c r="N1356" s="8">
        <v>130</v>
      </c>
    </row>
    <row r="1357" spans="1:14">
      <c r="A1357" s="8">
        <f t="shared" si="1954"/>
        <v>10020</v>
      </c>
      <c r="B1357" s="8">
        <f t="shared" ref="B1357:C1357" si="2016">B1269</f>
        <v>40000</v>
      </c>
      <c r="C1357" s="8" t="str">
        <f t="shared" si="2016"/>
        <v>装备</v>
      </c>
      <c r="D1357" s="8">
        <f t="shared" si="2004"/>
        <v>40751051</v>
      </c>
      <c r="E1357" s="8"/>
      <c r="F1357" s="8">
        <v>1</v>
      </c>
      <c r="G1357" s="7">
        <f>3*INDEX([1]equip.xml!$I:$I,MATCH(D1357,[1]equip.xml!$A:$A,0))</f>
        <v>237000</v>
      </c>
      <c r="H1357" s="8" t="str">
        <f t="shared" ref="H1357:J1357" si="2017">H1269</f>
        <v>10_10,50_20,80_30</v>
      </c>
      <c r="I1357" s="8">
        <f t="shared" si="2017"/>
        <v>6</v>
      </c>
      <c r="J1357" s="8">
        <f t="shared" si="2017"/>
        <v>50</v>
      </c>
      <c r="K1357" s="7" t="s">
        <v>312</v>
      </c>
      <c r="L1357" s="8">
        <v>48</v>
      </c>
      <c r="M1357" s="7">
        <f>IF(INDEX([1]equip.xml!$B:$B,MATCH(D1357,[1]equip.xml!$A:$A,0))=0,0,N1357)</f>
        <v>130</v>
      </c>
      <c r="N1357" s="8">
        <v>130</v>
      </c>
    </row>
    <row r="1358" spans="1:14">
      <c r="A1358" s="8">
        <f t="shared" si="1954"/>
        <v>10020</v>
      </c>
      <c r="B1358" s="8">
        <f t="shared" ref="B1358:C1358" si="2018">B1270</f>
        <v>40000</v>
      </c>
      <c r="C1358" s="8" t="str">
        <f t="shared" si="2018"/>
        <v>装备</v>
      </c>
      <c r="D1358" s="8">
        <f t="shared" si="2004"/>
        <v>40751060</v>
      </c>
      <c r="E1358" s="8"/>
      <c r="F1358" s="8">
        <v>1</v>
      </c>
      <c r="G1358" s="7">
        <f>3*INDEX([1]equip.xml!$I:$I,MATCH(D1358,[1]equip.xml!$A:$A,0))</f>
        <v>228000</v>
      </c>
      <c r="H1358" s="8" t="str">
        <f t="shared" ref="H1358:J1358" si="2019">H1270</f>
        <v>10_10,50_20,80_30</v>
      </c>
      <c r="I1358" s="8">
        <f t="shared" si="2019"/>
        <v>6</v>
      </c>
      <c r="J1358" s="8">
        <f t="shared" si="2019"/>
        <v>50</v>
      </c>
      <c r="K1358" s="7" t="s">
        <v>312</v>
      </c>
      <c r="L1358" s="8">
        <v>48</v>
      </c>
      <c r="M1358" s="7">
        <f>IF(INDEX([1]equip.xml!$B:$B,MATCH(D1358,[1]equip.xml!$A:$A,0))=0,0,N1358)</f>
        <v>130</v>
      </c>
      <c r="N1358" s="8">
        <v>130</v>
      </c>
    </row>
    <row r="1359" spans="1:14">
      <c r="A1359" s="8">
        <f t="shared" si="1954"/>
        <v>10020</v>
      </c>
      <c r="B1359" s="8">
        <f t="shared" ref="B1359:C1359" si="2020">B1271</f>
        <v>40000</v>
      </c>
      <c r="C1359" s="8" t="str">
        <f t="shared" si="2020"/>
        <v>装备</v>
      </c>
      <c r="D1359" s="8">
        <f t="shared" si="2004"/>
        <v>40751061</v>
      </c>
      <c r="E1359" s="8"/>
      <c r="F1359" s="8">
        <v>1</v>
      </c>
      <c r="G1359" s="7">
        <f>3*INDEX([1]equip.xml!$I:$I,MATCH(D1359,[1]equip.xml!$A:$A,0))</f>
        <v>237000</v>
      </c>
      <c r="H1359" s="8" t="str">
        <f t="shared" ref="H1359:J1359" si="2021">H1271</f>
        <v>10_10,50_20,80_30</v>
      </c>
      <c r="I1359" s="8">
        <f t="shared" si="2021"/>
        <v>6</v>
      </c>
      <c r="J1359" s="8">
        <f t="shared" si="2021"/>
        <v>50</v>
      </c>
      <c r="K1359" s="7" t="s">
        <v>312</v>
      </c>
      <c r="L1359" s="8">
        <v>48</v>
      </c>
      <c r="M1359" s="7">
        <f>IF(INDEX([1]equip.xml!$B:$B,MATCH(D1359,[1]equip.xml!$A:$A,0))=0,0,N1359)</f>
        <v>130</v>
      </c>
      <c r="N1359" s="8">
        <v>130</v>
      </c>
    </row>
    <row r="1360" spans="1:14">
      <c r="A1360" s="8">
        <f t="shared" si="1954"/>
        <v>10020</v>
      </c>
      <c r="B1360" s="8">
        <f t="shared" ref="B1360:C1360" si="2022">B1272</f>
        <v>40000</v>
      </c>
      <c r="C1360" s="8" t="str">
        <f t="shared" si="2022"/>
        <v>装备</v>
      </c>
      <c r="D1360" s="8">
        <f t="shared" si="2004"/>
        <v>40752050</v>
      </c>
      <c r="E1360" s="8"/>
      <c r="F1360" s="8">
        <v>1</v>
      </c>
      <c r="G1360" s="7">
        <f>3*INDEX([1]equip.xml!$I:$I,MATCH(D1360,[1]equip.xml!$A:$A,0))</f>
        <v>228000</v>
      </c>
      <c r="H1360" s="8" t="str">
        <f t="shared" ref="H1360:J1360" si="2023">H1272</f>
        <v>10_10,50_20,80_30</v>
      </c>
      <c r="I1360" s="8">
        <f t="shared" si="2023"/>
        <v>6</v>
      </c>
      <c r="J1360" s="8">
        <f t="shared" si="2023"/>
        <v>50</v>
      </c>
      <c r="K1360" s="7" t="s">
        <v>312</v>
      </c>
      <c r="L1360" s="8">
        <v>48</v>
      </c>
      <c r="M1360" s="7">
        <f>IF(INDEX([1]equip.xml!$B:$B,MATCH(D1360,[1]equip.xml!$A:$A,0))=0,0,N1360)</f>
        <v>130</v>
      </c>
      <c r="N1360" s="8">
        <v>130</v>
      </c>
    </row>
    <row r="1361" spans="1:14">
      <c r="A1361" s="8">
        <f t="shared" si="1954"/>
        <v>10020</v>
      </c>
      <c r="B1361" s="8">
        <f t="shared" ref="B1361:C1361" si="2024">B1273</f>
        <v>40000</v>
      </c>
      <c r="C1361" s="8" t="str">
        <f t="shared" si="2024"/>
        <v>装备</v>
      </c>
      <c r="D1361" s="8">
        <f t="shared" si="2004"/>
        <v>40752051</v>
      </c>
      <c r="E1361" s="8"/>
      <c r="F1361" s="8">
        <v>1</v>
      </c>
      <c r="G1361" s="7">
        <f>3*INDEX([1]equip.xml!$I:$I,MATCH(D1361,[1]equip.xml!$A:$A,0))</f>
        <v>237000</v>
      </c>
      <c r="H1361" s="8" t="str">
        <f t="shared" ref="H1361:J1361" si="2025">H1273</f>
        <v>10_10,50_20,80_30</v>
      </c>
      <c r="I1361" s="8">
        <f t="shared" si="2025"/>
        <v>6</v>
      </c>
      <c r="J1361" s="8">
        <f t="shared" si="2025"/>
        <v>50</v>
      </c>
      <c r="K1361" s="7" t="s">
        <v>312</v>
      </c>
      <c r="L1361" s="8">
        <v>48</v>
      </c>
      <c r="M1361" s="7">
        <f>IF(INDEX([1]equip.xml!$B:$B,MATCH(D1361,[1]equip.xml!$A:$A,0))=0,0,N1361)</f>
        <v>130</v>
      </c>
      <c r="N1361" s="8">
        <v>130</v>
      </c>
    </row>
    <row r="1362" spans="1:14">
      <c r="A1362" s="8">
        <f t="shared" si="1954"/>
        <v>10020</v>
      </c>
      <c r="B1362" s="8">
        <f t="shared" ref="B1362:C1362" si="2026">B1274</f>
        <v>40000</v>
      </c>
      <c r="C1362" s="8" t="str">
        <f t="shared" si="2026"/>
        <v>装备</v>
      </c>
      <c r="D1362" s="8">
        <f t="shared" si="2004"/>
        <v>40752060</v>
      </c>
      <c r="E1362" s="8"/>
      <c r="F1362" s="8">
        <v>1</v>
      </c>
      <c r="G1362" s="7">
        <f>3*INDEX([1]equip.xml!$I:$I,MATCH(D1362,[1]equip.xml!$A:$A,0))</f>
        <v>228000</v>
      </c>
      <c r="H1362" s="8" t="str">
        <f t="shared" ref="H1362:J1362" si="2027">H1274</f>
        <v>10_10,50_20,80_30</v>
      </c>
      <c r="I1362" s="8">
        <f t="shared" si="2027"/>
        <v>6</v>
      </c>
      <c r="J1362" s="8">
        <f t="shared" si="2027"/>
        <v>50</v>
      </c>
      <c r="K1362" s="7" t="s">
        <v>312</v>
      </c>
      <c r="L1362" s="8">
        <v>48</v>
      </c>
      <c r="M1362" s="7">
        <f>IF(INDEX([1]equip.xml!$B:$B,MATCH(D1362,[1]equip.xml!$A:$A,0))=0,0,N1362)</f>
        <v>130</v>
      </c>
      <c r="N1362" s="8">
        <v>130</v>
      </c>
    </row>
    <row r="1363" spans="1:14">
      <c r="A1363" s="8">
        <f t="shared" si="1954"/>
        <v>10020</v>
      </c>
      <c r="B1363" s="8">
        <f t="shared" ref="B1363:C1363" si="2028">B1275</f>
        <v>40000</v>
      </c>
      <c r="C1363" s="8" t="str">
        <f t="shared" si="2028"/>
        <v>装备</v>
      </c>
      <c r="D1363" s="8">
        <f t="shared" si="2004"/>
        <v>40752061</v>
      </c>
      <c r="E1363" s="8"/>
      <c r="F1363" s="8">
        <v>1</v>
      </c>
      <c r="G1363" s="7">
        <f>3*INDEX([1]equip.xml!$I:$I,MATCH(D1363,[1]equip.xml!$A:$A,0))</f>
        <v>237000</v>
      </c>
      <c r="H1363" s="8" t="str">
        <f t="shared" ref="H1363:J1363" si="2029">H1275</f>
        <v>10_10,50_20,80_30</v>
      </c>
      <c r="I1363" s="8">
        <f t="shared" si="2029"/>
        <v>6</v>
      </c>
      <c r="J1363" s="8">
        <f t="shared" si="2029"/>
        <v>50</v>
      </c>
      <c r="K1363" s="7" t="s">
        <v>312</v>
      </c>
      <c r="L1363" s="8">
        <v>48</v>
      </c>
      <c r="M1363" s="7">
        <f>IF(INDEX([1]equip.xml!$B:$B,MATCH(D1363,[1]equip.xml!$A:$A,0))=0,0,N1363)</f>
        <v>130</v>
      </c>
      <c r="N1363" s="8">
        <v>130</v>
      </c>
    </row>
    <row r="1364" spans="1:14">
      <c r="A1364" s="8">
        <f t="shared" si="1954"/>
        <v>10020</v>
      </c>
      <c r="B1364" s="8">
        <f t="shared" ref="B1364:C1364" si="2030">B1276</f>
        <v>40000</v>
      </c>
      <c r="C1364" s="8" t="str">
        <f t="shared" si="2030"/>
        <v>装备</v>
      </c>
      <c r="D1364" s="8">
        <f t="shared" si="2004"/>
        <v>40753050</v>
      </c>
      <c r="E1364" s="8"/>
      <c r="F1364" s="8">
        <v>1</v>
      </c>
      <c r="G1364" s="7">
        <f>3*INDEX([1]equip.xml!$I:$I,MATCH(D1364,[1]equip.xml!$A:$A,0))</f>
        <v>228000</v>
      </c>
      <c r="H1364" s="8" t="str">
        <f t="shared" ref="H1364:J1364" si="2031">H1276</f>
        <v>10_10,50_20,80_30</v>
      </c>
      <c r="I1364" s="8">
        <f t="shared" si="2031"/>
        <v>6</v>
      </c>
      <c r="J1364" s="8">
        <f t="shared" si="2031"/>
        <v>50</v>
      </c>
      <c r="K1364" s="7" t="s">
        <v>312</v>
      </c>
      <c r="L1364" s="8">
        <v>48</v>
      </c>
      <c r="M1364" s="7">
        <f>IF(INDEX([1]equip.xml!$B:$B,MATCH(D1364,[1]equip.xml!$A:$A,0))=0,0,N1364)</f>
        <v>130</v>
      </c>
      <c r="N1364" s="8">
        <v>130</v>
      </c>
    </row>
    <row r="1365" spans="1:14">
      <c r="A1365" s="8">
        <f t="shared" si="1954"/>
        <v>10020</v>
      </c>
      <c r="B1365" s="8">
        <f t="shared" ref="B1365:C1365" si="2032">B1277</f>
        <v>40000</v>
      </c>
      <c r="C1365" s="8" t="str">
        <f t="shared" si="2032"/>
        <v>装备</v>
      </c>
      <c r="D1365" s="8">
        <f t="shared" si="2004"/>
        <v>40753051</v>
      </c>
      <c r="E1365" s="8"/>
      <c r="F1365" s="8">
        <v>1</v>
      </c>
      <c r="G1365" s="7">
        <f>3*INDEX([1]equip.xml!$I:$I,MATCH(D1365,[1]equip.xml!$A:$A,0))</f>
        <v>237000</v>
      </c>
      <c r="H1365" s="8" t="str">
        <f t="shared" ref="H1365:J1365" si="2033">H1277</f>
        <v>10_10,50_20,80_30</v>
      </c>
      <c r="I1365" s="8">
        <f t="shared" si="2033"/>
        <v>6</v>
      </c>
      <c r="J1365" s="8">
        <f t="shared" si="2033"/>
        <v>50</v>
      </c>
      <c r="K1365" s="7" t="s">
        <v>312</v>
      </c>
      <c r="L1365" s="8">
        <v>48</v>
      </c>
      <c r="M1365" s="7">
        <f>IF(INDEX([1]equip.xml!$B:$B,MATCH(D1365,[1]equip.xml!$A:$A,0))=0,0,N1365)</f>
        <v>130</v>
      </c>
      <c r="N1365" s="8">
        <v>130</v>
      </c>
    </row>
    <row r="1366" spans="1:14">
      <c r="A1366" s="8">
        <f t="shared" si="1954"/>
        <v>10020</v>
      </c>
      <c r="B1366" s="8">
        <f t="shared" ref="B1366:C1366" si="2034">B1278</f>
        <v>40000</v>
      </c>
      <c r="C1366" s="8" t="str">
        <f t="shared" si="2034"/>
        <v>装备</v>
      </c>
      <c r="D1366" s="8">
        <f t="shared" si="2004"/>
        <v>40753060</v>
      </c>
      <c r="E1366" s="8"/>
      <c r="F1366" s="8">
        <v>1</v>
      </c>
      <c r="G1366" s="7">
        <f>3*INDEX([1]equip.xml!$I:$I,MATCH(D1366,[1]equip.xml!$A:$A,0))</f>
        <v>228000</v>
      </c>
      <c r="H1366" s="8" t="str">
        <f t="shared" ref="H1366:J1366" si="2035">H1278</f>
        <v>10_10,50_20,80_30</v>
      </c>
      <c r="I1366" s="8">
        <f t="shared" si="2035"/>
        <v>6</v>
      </c>
      <c r="J1366" s="8">
        <f t="shared" si="2035"/>
        <v>50</v>
      </c>
      <c r="K1366" s="7" t="s">
        <v>312</v>
      </c>
      <c r="L1366" s="8">
        <v>48</v>
      </c>
      <c r="M1366" s="7">
        <f>IF(INDEX([1]equip.xml!$B:$B,MATCH(D1366,[1]equip.xml!$A:$A,0))=0,0,N1366)</f>
        <v>130</v>
      </c>
      <c r="N1366" s="8">
        <v>130</v>
      </c>
    </row>
    <row r="1367" spans="1:14">
      <c r="A1367" s="8">
        <f t="shared" si="1954"/>
        <v>10020</v>
      </c>
      <c r="B1367" s="8">
        <f t="shared" ref="B1367:C1367" si="2036">B1279</f>
        <v>40000</v>
      </c>
      <c r="C1367" s="8" t="str">
        <f t="shared" si="2036"/>
        <v>装备</v>
      </c>
      <c r="D1367" s="8">
        <f t="shared" si="2004"/>
        <v>40753061</v>
      </c>
      <c r="E1367" s="8"/>
      <c r="F1367" s="8">
        <v>1</v>
      </c>
      <c r="G1367" s="7">
        <f>3*INDEX([1]equip.xml!$I:$I,MATCH(D1367,[1]equip.xml!$A:$A,0))</f>
        <v>237000</v>
      </c>
      <c r="H1367" s="8" t="str">
        <f t="shared" ref="H1367:J1367" si="2037">H1279</f>
        <v>10_10,50_20,80_30</v>
      </c>
      <c r="I1367" s="8">
        <f t="shared" si="2037"/>
        <v>6</v>
      </c>
      <c r="J1367" s="8">
        <f t="shared" si="2037"/>
        <v>50</v>
      </c>
      <c r="K1367" s="7" t="s">
        <v>312</v>
      </c>
      <c r="L1367" s="8">
        <v>48</v>
      </c>
      <c r="M1367" s="7">
        <f>IF(INDEX([1]equip.xml!$B:$B,MATCH(D1367,[1]equip.xml!$A:$A,0))=0,0,N1367)</f>
        <v>130</v>
      </c>
      <c r="N1367" s="8">
        <v>130</v>
      </c>
    </row>
    <row r="1368" spans="1:14">
      <c r="A1368" s="8">
        <f t="shared" si="1954"/>
        <v>10020</v>
      </c>
      <c r="B1368" s="8">
        <f t="shared" ref="B1368:C1368" si="2038">B1280</f>
        <v>40000</v>
      </c>
      <c r="C1368" s="8" t="str">
        <f t="shared" si="2038"/>
        <v>装备</v>
      </c>
      <c r="D1368" s="8">
        <f t="shared" si="2004"/>
        <v>40750040</v>
      </c>
      <c r="E1368" s="8"/>
      <c r="F1368" s="8">
        <v>1</v>
      </c>
      <c r="G1368" s="7">
        <f>3*INDEX([1]equip.xml!$I:$I,MATCH(D1368,[1]equip.xml!$A:$A,0))</f>
        <v>228000</v>
      </c>
      <c r="H1368" s="8" t="str">
        <f t="shared" ref="H1368:J1368" si="2039">H1280</f>
        <v>10_10,50_20,80_30</v>
      </c>
      <c r="I1368" s="8">
        <f t="shared" si="2039"/>
        <v>6</v>
      </c>
      <c r="J1368" s="8">
        <f t="shared" si="2039"/>
        <v>50</v>
      </c>
      <c r="K1368" s="7" t="s">
        <v>312</v>
      </c>
      <c r="L1368" s="8">
        <v>48</v>
      </c>
      <c r="M1368" s="7">
        <f>IF(INDEX([1]equip.xml!$B:$B,MATCH(D1368,[1]equip.xml!$A:$A,0))=0,0,N1368)</f>
        <v>130</v>
      </c>
      <c r="N1368" s="8">
        <v>130</v>
      </c>
    </row>
    <row r="1369" spans="1:14">
      <c r="A1369" s="8">
        <f t="shared" si="1954"/>
        <v>10020</v>
      </c>
      <c r="B1369" s="8">
        <f t="shared" ref="B1369:C1369" si="2040">B1281</f>
        <v>40000</v>
      </c>
      <c r="C1369" s="8" t="str">
        <f t="shared" si="2040"/>
        <v>装备</v>
      </c>
      <c r="D1369" s="8">
        <f t="shared" si="2004"/>
        <v>40750041</v>
      </c>
      <c r="E1369" s="8"/>
      <c r="F1369" s="8">
        <v>1</v>
      </c>
      <c r="G1369" s="7">
        <f>3*INDEX([1]equip.xml!$I:$I,MATCH(D1369,[1]equip.xml!$A:$A,0))</f>
        <v>237000</v>
      </c>
      <c r="H1369" s="8" t="str">
        <f t="shared" ref="H1369:J1369" si="2041">H1281</f>
        <v>10_10,50_20,80_30</v>
      </c>
      <c r="I1369" s="8">
        <f t="shared" si="2041"/>
        <v>6</v>
      </c>
      <c r="J1369" s="8">
        <f t="shared" si="2041"/>
        <v>50</v>
      </c>
      <c r="K1369" s="7" t="s">
        <v>312</v>
      </c>
      <c r="L1369" s="8">
        <v>48</v>
      </c>
      <c r="M1369" s="7">
        <f>IF(INDEX([1]equip.xml!$B:$B,MATCH(D1369,[1]equip.xml!$A:$A,0))=0,0,N1369)</f>
        <v>130</v>
      </c>
      <c r="N1369" s="8">
        <v>130</v>
      </c>
    </row>
    <row r="1370" spans="1:14">
      <c r="A1370" s="8">
        <f t="shared" si="1954"/>
        <v>10020</v>
      </c>
      <c r="B1370" s="8">
        <f t="shared" ref="B1370:C1370" si="2042">B1282</f>
        <v>40000</v>
      </c>
      <c r="C1370" s="8" t="str">
        <f t="shared" si="2042"/>
        <v>装备</v>
      </c>
      <c r="D1370" s="8">
        <f t="shared" si="2004"/>
        <v>40750070</v>
      </c>
      <c r="E1370" s="8"/>
      <c r="F1370" s="8">
        <v>1</v>
      </c>
      <c r="G1370" s="7">
        <f>3*INDEX([1]equip.xml!$I:$I,MATCH(D1370,[1]equip.xml!$A:$A,0))</f>
        <v>228000</v>
      </c>
      <c r="H1370" s="8" t="str">
        <f t="shared" ref="H1370:J1370" si="2043">H1282</f>
        <v>10_10,50_20,80_30</v>
      </c>
      <c r="I1370" s="8">
        <f t="shared" si="2043"/>
        <v>6</v>
      </c>
      <c r="J1370" s="8">
        <f t="shared" si="2043"/>
        <v>50</v>
      </c>
      <c r="K1370" s="7" t="s">
        <v>312</v>
      </c>
      <c r="L1370" s="8">
        <v>48</v>
      </c>
      <c r="M1370" s="7">
        <f>IF(INDEX([1]equip.xml!$B:$B,MATCH(D1370,[1]equip.xml!$A:$A,0))=0,0,N1370)</f>
        <v>130</v>
      </c>
      <c r="N1370" s="8">
        <v>130</v>
      </c>
    </row>
    <row r="1371" spans="1:14">
      <c r="A1371" s="8">
        <f t="shared" si="1954"/>
        <v>10020</v>
      </c>
      <c r="B1371" s="8">
        <f t="shared" ref="B1371:C1371" si="2044">B1283</f>
        <v>40000</v>
      </c>
      <c r="C1371" s="8" t="str">
        <f t="shared" si="2044"/>
        <v>装备</v>
      </c>
      <c r="D1371" s="8">
        <f t="shared" si="2004"/>
        <v>40750071</v>
      </c>
      <c r="E1371" s="8"/>
      <c r="F1371" s="8">
        <v>1</v>
      </c>
      <c r="G1371" s="7">
        <f>3*INDEX([1]equip.xml!$I:$I,MATCH(D1371,[1]equip.xml!$A:$A,0))</f>
        <v>237000</v>
      </c>
      <c r="H1371" s="8" t="str">
        <f t="shared" ref="H1371:J1371" si="2045">H1283</f>
        <v>10_10,50_20,80_30</v>
      </c>
      <c r="I1371" s="8">
        <f t="shared" si="2045"/>
        <v>6</v>
      </c>
      <c r="J1371" s="8">
        <f t="shared" si="2045"/>
        <v>50</v>
      </c>
      <c r="K1371" s="7" t="s">
        <v>312</v>
      </c>
      <c r="L1371" s="8">
        <v>48</v>
      </c>
      <c r="M1371" s="7">
        <f>IF(INDEX([1]equip.xml!$B:$B,MATCH(D1371,[1]equip.xml!$A:$A,0))=0,0,N1371)</f>
        <v>130</v>
      </c>
      <c r="N1371" s="8">
        <v>130</v>
      </c>
    </row>
    <row r="1372" spans="1:14">
      <c r="A1372" s="8">
        <f t="shared" si="1954"/>
        <v>10020</v>
      </c>
      <c r="B1372" s="8">
        <f t="shared" ref="B1372:C1372" si="2046">B1284</f>
        <v>40000</v>
      </c>
      <c r="C1372" s="8" t="str">
        <f t="shared" si="2046"/>
        <v>装备</v>
      </c>
      <c r="D1372" s="8">
        <f t="shared" si="2004"/>
        <v>40800010</v>
      </c>
      <c r="E1372" s="8"/>
      <c r="F1372" s="8">
        <v>1</v>
      </c>
      <c r="G1372" s="7">
        <f>3*INDEX([1]equip.xml!$I:$I,MATCH(D1372,[1]equip.xml!$A:$A,0))</f>
        <v>246000</v>
      </c>
      <c r="H1372" s="8" t="str">
        <f t="shared" ref="H1372:J1372" si="2047">H1284</f>
        <v>10_10,50_20,80_30</v>
      </c>
      <c r="I1372" s="8">
        <f t="shared" si="2047"/>
        <v>6</v>
      </c>
      <c r="J1372" s="8">
        <f t="shared" si="2047"/>
        <v>50</v>
      </c>
      <c r="K1372" s="7" t="s">
        <v>312</v>
      </c>
      <c r="L1372" s="8">
        <v>48</v>
      </c>
      <c r="M1372" s="7">
        <f>IF(INDEX([1]equip.xml!$B:$B,MATCH(D1372,[1]equip.xml!$A:$A,0))=0,0,N1372)</f>
        <v>16</v>
      </c>
      <c r="N1372" s="8">
        <v>16</v>
      </c>
    </row>
    <row r="1373" spans="1:14">
      <c r="A1373" s="8">
        <f t="shared" si="1954"/>
        <v>10020</v>
      </c>
      <c r="B1373" s="8">
        <f t="shared" ref="B1373:C1373" si="2048">B1285</f>
        <v>40000</v>
      </c>
      <c r="C1373" s="8" t="str">
        <f t="shared" si="2048"/>
        <v>装备</v>
      </c>
      <c r="D1373" s="8">
        <f t="shared" si="2004"/>
        <v>40800020</v>
      </c>
      <c r="E1373" s="8"/>
      <c r="F1373" s="8">
        <v>1</v>
      </c>
      <c r="G1373" s="7">
        <f>3*INDEX([1]equip.xml!$I:$I,MATCH(D1373,[1]equip.xml!$A:$A,0))</f>
        <v>246000</v>
      </c>
      <c r="H1373" s="8" t="str">
        <f t="shared" ref="H1373:J1373" si="2049">H1285</f>
        <v>10_10,50_20,80_30</v>
      </c>
      <c r="I1373" s="8">
        <f t="shared" si="2049"/>
        <v>6</v>
      </c>
      <c r="J1373" s="8">
        <f t="shared" si="2049"/>
        <v>50</v>
      </c>
      <c r="K1373" s="7" t="s">
        <v>312</v>
      </c>
      <c r="L1373" s="8">
        <v>48</v>
      </c>
      <c r="M1373" s="7">
        <f>IF(INDEX([1]equip.xml!$B:$B,MATCH(D1373,[1]equip.xml!$A:$A,0))=0,0,N1373)</f>
        <v>16</v>
      </c>
      <c r="N1373" s="8">
        <v>16</v>
      </c>
    </row>
    <row r="1374" spans="1:14">
      <c r="A1374" s="8">
        <f t="shared" si="1954"/>
        <v>10020</v>
      </c>
      <c r="B1374" s="8">
        <f t="shared" ref="B1374:C1374" si="2050">B1286</f>
        <v>40000</v>
      </c>
      <c r="C1374" s="8" t="str">
        <f t="shared" si="2050"/>
        <v>装备</v>
      </c>
      <c r="D1374" s="8">
        <f t="shared" si="2004"/>
        <v>40800030</v>
      </c>
      <c r="E1374" s="8"/>
      <c r="F1374" s="8">
        <v>1</v>
      </c>
      <c r="G1374" s="7">
        <f>3*INDEX([1]equip.xml!$I:$I,MATCH(D1374,[1]equip.xml!$A:$A,0))</f>
        <v>246000</v>
      </c>
      <c r="H1374" s="8" t="str">
        <f t="shared" ref="H1374:J1374" si="2051">H1286</f>
        <v>10_10,50_20,80_30</v>
      </c>
      <c r="I1374" s="8">
        <f t="shared" si="2051"/>
        <v>6</v>
      </c>
      <c r="J1374" s="8">
        <f t="shared" si="2051"/>
        <v>50</v>
      </c>
      <c r="K1374" s="7" t="s">
        <v>312</v>
      </c>
      <c r="L1374" s="8">
        <v>48</v>
      </c>
      <c r="M1374" s="7">
        <f>IF(INDEX([1]equip.xml!$B:$B,MATCH(D1374,[1]equip.xml!$A:$A,0))=0,0,N1374)</f>
        <v>16</v>
      </c>
      <c r="N1374" s="8">
        <v>16</v>
      </c>
    </row>
    <row r="1375" spans="1:14">
      <c r="A1375" s="8">
        <f t="shared" si="1954"/>
        <v>10020</v>
      </c>
      <c r="B1375" s="8">
        <f t="shared" ref="B1375:C1375" si="2052">B1287</f>
        <v>40000</v>
      </c>
      <c r="C1375" s="8" t="str">
        <f t="shared" si="2052"/>
        <v>装备</v>
      </c>
      <c r="D1375" s="8">
        <f t="shared" si="2004"/>
        <v>40800080</v>
      </c>
      <c r="E1375" s="8"/>
      <c r="F1375" s="8">
        <v>1</v>
      </c>
      <c r="G1375" s="7">
        <f>3*INDEX([1]equip.xml!$I:$I,MATCH(D1375,[1]equip.xml!$A:$A,0))</f>
        <v>246000</v>
      </c>
      <c r="H1375" s="8" t="str">
        <f t="shared" ref="H1375:J1375" si="2053">H1287</f>
        <v>10_10,50_20,80_30</v>
      </c>
      <c r="I1375" s="8">
        <f t="shared" si="2053"/>
        <v>6</v>
      </c>
      <c r="J1375" s="8">
        <f t="shared" si="2053"/>
        <v>50</v>
      </c>
      <c r="K1375" s="7" t="s">
        <v>312</v>
      </c>
      <c r="L1375" s="8">
        <v>48</v>
      </c>
      <c r="M1375" s="7">
        <f>IF(INDEX([1]equip.xml!$B:$B,MATCH(D1375,[1]equip.xml!$A:$A,0))=0,0,N1375)</f>
        <v>16</v>
      </c>
      <c r="N1375" s="8">
        <v>16</v>
      </c>
    </row>
    <row r="1376" spans="1:14">
      <c r="A1376" s="8">
        <f t="shared" si="1954"/>
        <v>10020</v>
      </c>
      <c r="B1376" s="8">
        <f t="shared" ref="B1376:C1376" si="2054">B1288</f>
        <v>40000</v>
      </c>
      <c r="C1376" s="8" t="str">
        <f t="shared" si="2054"/>
        <v>装备</v>
      </c>
      <c r="D1376" s="8">
        <f t="shared" si="2004"/>
        <v>40800090</v>
      </c>
      <c r="E1376" s="8"/>
      <c r="F1376" s="8">
        <v>1</v>
      </c>
      <c r="G1376" s="7">
        <f>3*INDEX([1]equip.xml!$I:$I,MATCH(D1376,[1]equip.xml!$A:$A,0))</f>
        <v>246000</v>
      </c>
      <c r="H1376" s="8" t="str">
        <f t="shared" ref="H1376:J1376" si="2055">H1288</f>
        <v>10_10,50_20,80_30</v>
      </c>
      <c r="I1376" s="8">
        <f t="shared" si="2055"/>
        <v>6</v>
      </c>
      <c r="J1376" s="8">
        <f t="shared" si="2055"/>
        <v>50</v>
      </c>
      <c r="K1376" s="7" t="s">
        <v>312</v>
      </c>
      <c r="L1376" s="8">
        <v>48</v>
      </c>
      <c r="M1376" s="7">
        <f>IF(INDEX([1]equip.xml!$B:$B,MATCH(D1376,[1]equip.xml!$A:$A,0))=0,0,N1376)</f>
        <v>16</v>
      </c>
      <c r="N1376" s="8">
        <v>16</v>
      </c>
    </row>
    <row r="1377" spans="1:14">
      <c r="A1377" s="8">
        <f t="shared" si="1954"/>
        <v>10020</v>
      </c>
      <c r="B1377" s="8">
        <f t="shared" ref="B1377:C1377" si="2056">B1289</f>
        <v>40000</v>
      </c>
      <c r="C1377" s="8" t="str">
        <f t="shared" si="2056"/>
        <v>装备</v>
      </c>
      <c r="D1377" s="8">
        <f t="shared" si="2004"/>
        <v>40800100</v>
      </c>
      <c r="E1377" s="8"/>
      <c r="F1377" s="8">
        <v>1</v>
      </c>
      <c r="G1377" s="7">
        <f>3*INDEX([1]equip.xml!$I:$I,MATCH(D1377,[1]equip.xml!$A:$A,0))</f>
        <v>246000</v>
      </c>
      <c r="H1377" s="8" t="str">
        <f t="shared" ref="H1377:J1377" si="2057">H1289</f>
        <v>10_10,50_20,80_30</v>
      </c>
      <c r="I1377" s="8">
        <f t="shared" si="2057"/>
        <v>6</v>
      </c>
      <c r="J1377" s="8">
        <f t="shared" si="2057"/>
        <v>50</v>
      </c>
      <c r="K1377" s="7" t="s">
        <v>312</v>
      </c>
      <c r="L1377" s="8">
        <v>48</v>
      </c>
      <c r="M1377" s="7">
        <f>IF(INDEX([1]equip.xml!$B:$B,MATCH(D1377,[1]equip.xml!$A:$A,0))=0,0,N1377)</f>
        <v>16</v>
      </c>
      <c r="N1377" s="8">
        <v>16</v>
      </c>
    </row>
    <row r="1378" spans="1:14">
      <c r="A1378" s="8">
        <f t="shared" si="1954"/>
        <v>10020</v>
      </c>
      <c r="B1378" s="8">
        <f t="shared" ref="B1378:C1378" si="2058">B1290</f>
        <v>40000</v>
      </c>
      <c r="C1378" s="8" t="str">
        <f t="shared" si="2058"/>
        <v>装备</v>
      </c>
      <c r="D1378" s="8">
        <f t="shared" si="2004"/>
        <v>40801050</v>
      </c>
      <c r="E1378" s="8"/>
      <c r="F1378" s="8">
        <v>1</v>
      </c>
      <c r="G1378" s="7">
        <f>3*INDEX([1]equip.xml!$I:$I,MATCH(D1378,[1]equip.xml!$A:$A,0))</f>
        <v>246000</v>
      </c>
      <c r="H1378" s="8" t="str">
        <f t="shared" ref="H1378:J1378" si="2059">H1290</f>
        <v>10_10,50_20,80_30</v>
      </c>
      <c r="I1378" s="8">
        <f t="shared" si="2059"/>
        <v>6</v>
      </c>
      <c r="J1378" s="8">
        <f t="shared" si="2059"/>
        <v>50</v>
      </c>
      <c r="K1378" s="7" t="s">
        <v>312</v>
      </c>
      <c r="L1378" s="8">
        <v>48</v>
      </c>
      <c r="M1378" s="7">
        <f>IF(INDEX([1]equip.xml!$B:$B,MATCH(D1378,[1]equip.xml!$A:$A,0))=0,0,N1378)</f>
        <v>16</v>
      </c>
      <c r="N1378" s="8">
        <v>16</v>
      </c>
    </row>
    <row r="1379" spans="1:14">
      <c r="A1379" s="8">
        <f t="shared" si="1954"/>
        <v>10020</v>
      </c>
      <c r="B1379" s="8">
        <f t="shared" ref="B1379:C1379" si="2060">B1291</f>
        <v>40000</v>
      </c>
      <c r="C1379" s="8" t="str">
        <f t="shared" si="2060"/>
        <v>装备</v>
      </c>
      <c r="D1379" s="8">
        <f t="shared" si="2004"/>
        <v>40801051</v>
      </c>
      <c r="E1379" s="8"/>
      <c r="F1379" s="8">
        <v>1</v>
      </c>
      <c r="G1379" s="7">
        <f>3*INDEX([1]equip.xml!$I:$I,MATCH(D1379,[1]equip.xml!$A:$A,0))</f>
        <v>255000</v>
      </c>
      <c r="H1379" s="8" t="str">
        <f t="shared" ref="H1379:J1379" si="2061">H1291</f>
        <v>10_10,50_20,80_30</v>
      </c>
      <c r="I1379" s="8">
        <f t="shared" si="2061"/>
        <v>6</v>
      </c>
      <c r="J1379" s="8">
        <f t="shared" si="2061"/>
        <v>50</v>
      </c>
      <c r="K1379" s="7" t="s">
        <v>312</v>
      </c>
      <c r="L1379" s="8">
        <v>48</v>
      </c>
      <c r="M1379" s="7">
        <f>IF(INDEX([1]equip.xml!$B:$B,MATCH(D1379,[1]equip.xml!$A:$A,0))=0,0,N1379)</f>
        <v>16</v>
      </c>
      <c r="N1379" s="8">
        <v>16</v>
      </c>
    </row>
    <row r="1380" spans="1:14">
      <c r="A1380" s="8">
        <f t="shared" si="1954"/>
        <v>10020</v>
      </c>
      <c r="B1380" s="8">
        <f t="shared" ref="B1380:C1380" si="2062">B1292</f>
        <v>40000</v>
      </c>
      <c r="C1380" s="8" t="str">
        <f t="shared" si="2062"/>
        <v>装备</v>
      </c>
      <c r="D1380" s="8">
        <f t="shared" si="2004"/>
        <v>40801060</v>
      </c>
      <c r="E1380" s="8"/>
      <c r="F1380" s="8">
        <v>1</v>
      </c>
      <c r="G1380" s="7">
        <f>3*INDEX([1]equip.xml!$I:$I,MATCH(D1380,[1]equip.xml!$A:$A,0))</f>
        <v>246000</v>
      </c>
      <c r="H1380" s="8" t="str">
        <f t="shared" ref="H1380:J1380" si="2063">H1292</f>
        <v>10_10,50_20,80_30</v>
      </c>
      <c r="I1380" s="8">
        <f t="shared" si="2063"/>
        <v>6</v>
      </c>
      <c r="J1380" s="8">
        <f t="shared" si="2063"/>
        <v>50</v>
      </c>
      <c r="K1380" s="7" t="s">
        <v>312</v>
      </c>
      <c r="L1380" s="8">
        <v>48</v>
      </c>
      <c r="M1380" s="7">
        <f>IF(INDEX([1]equip.xml!$B:$B,MATCH(D1380,[1]equip.xml!$A:$A,0))=0,0,N1380)</f>
        <v>16</v>
      </c>
      <c r="N1380" s="8">
        <v>16</v>
      </c>
    </row>
    <row r="1381" spans="1:14">
      <c r="A1381" s="8">
        <f t="shared" si="1954"/>
        <v>10020</v>
      </c>
      <c r="B1381" s="8">
        <f t="shared" ref="B1381:C1381" si="2064">B1293</f>
        <v>40000</v>
      </c>
      <c r="C1381" s="8" t="str">
        <f t="shared" si="2064"/>
        <v>装备</v>
      </c>
      <c r="D1381" s="8">
        <f t="shared" si="2004"/>
        <v>40801061</v>
      </c>
      <c r="E1381" s="8"/>
      <c r="F1381" s="8">
        <v>1</v>
      </c>
      <c r="G1381" s="7">
        <f>3*INDEX([1]equip.xml!$I:$I,MATCH(D1381,[1]equip.xml!$A:$A,0))</f>
        <v>255000</v>
      </c>
      <c r="H1381" s="8" t="str">
        <f t="shared" ref="H1381:J1381" si="2065">H1293</f>
        <v>10_10,50_20,80_30</v>
      </c>
      <c r="I1381" s="8">
        <f t="shared" si="2065"/>
        <v>6</v>
      </c>
      <c r="J1381" s="8">
        <f t="shared" si="2065"/>
        <v>50</v>
      </c>
      <c r="K1381" s="7" t="s">
        <v>312</v>
      </c>
      <c r="L1381" s="8">
        <v>48</v>
      </c>
      <c r="M1381" s="7">
        <f>IF(INDEX([1]equip.xml!$B:$B,MATCH(D1381,[1]equip.xml!$A:$A,0))=0,0,N1381)</f>
        <v>16</v>
      </c>
      <c r="N1381" s="8">
        <v>16</v>
      </c>
    </row>
    <row r="1382" spans="1:14">
      <c r="A1382" s="8">
        <f t="shared" si="1954"/>
        <v>10020</v>
      </c>
      <c r="B1382" s="8">
        <f t="shared" ref="B1382:C1382" si="2066">B1294</f>
        <v>40000</v>
      </c>
      <c r="C1382" s="8" t="str">
        <f t="shared" si="2066"/>
        <v>装备</v>
      </c>
      <c r="D1382" s="8">
        <f t="shared" si="2004"/>
        <v>40802050</v>
      </c>
      <c r="E1382" s="8"/>
      <c r="F1382" s="8">
        <v>1</v>
      </c>
      <c r="G1382" s="7">
        <f>3*INDEX([1]equip.xml!$I:$I,MATCH(D1382,[1]equip.xml!$A:$A,0))</f>
        <v>246000</v>
      </c>
      <c r="H1382" s="8" t="str">
        <f t="shared" ref="H1382:J1382" si="2067">H1294</f>
        <v>10_10,50_20,80_30</v>
      </c>
      <c r="I1382" s="8">
        <f t="shared" si="2067"/>
        <v>6</v>
      </c>
      <c r="J1382" s="8">
        <f t="shared" si="2067"/>
        <v>50</v>
      </c>
      <c r="K1382" s="7" t="s">
        <v>312</v>
      </c>
      <c r="L1382" s="8">
        <v>48</v>
      </c>
      <c r="M1382" s="7">
        <f>IF(INDEX([1]equip.xml!$B:$B,MATCH(D1382,[1]equip.xml!$A:$A,0))=0,0,N1382)</f>
        <v>16</v>
      </c>
      <c r="N1382" s="8">
        <v>16</v>
      </c>
    </row>
    <row r="1383" spans="1:14">
      <c r="A1383" s="8">
        <f t="shared" si="1954"/>
        <v>10020</v>
      </c>
      <c r="B1383" s="8">
        <f t="shared" ref="B1383:C1383" si="2068">B1295</f>
        <v>40000</v>
      </c>
      <c r="C1383" s="8" t="str">
        <f t="shared" si="2068"/>
        <v>装备</v>
      </c>
      <c r="D1383" s="8">
        <f t="shared" si="2004"/>
        <v>40802051</v>
      </c>
      <c r="E1383" s="8"/>
      <c r="F1383" s="8">
        <v>1</v>
      </c>
      <c r="G1383" s="7">
        <f>3*INDEX([1]equip.xml!$I:$I,MATCH(D1383,[1]equip.xml!$A:$A,0))</f>
        <v>255000</v>
      </c>
      <c r="H1383" s="8" t="str">
        <f t="shared" ref="H1383:J1383" si="2069">H1295</f>
        <v>10_10,50_20,80_30</v>
      </c>
      <c r="I1383" s="8">
        <f t="shared" si="2069"/>
        <v>6</v>
      </c>
      <c r="J1383" s="8">
        <f t="shared" si="2069"/>
        <v>50</v>
      </c>
      <c r="K1383" s="7" t="s">
        <v>312</v>
      </c>
      <c r="L1383" s="8">
        <v>48</v>
      </c>
      <c r="M1383" s="7">
        <f>IF(INDEX([1]equip.xml!$B:$B,MATCH(D1383,[1]equip.xml!$A:$A,0))=0,0,N1383)</f>
        <v>16</v>
      </c>
      <c r="N1383" s="8">
        <v>16</v>
      </c>
    </row>
    <row r="1384" spans="1:14">
      <c r="A1384" s="8">
        <f t="shared" si="1954"/>
        <v>10020</v>
      </c>
      <c r="B1384" s="8">
        <f t="shared" ref="B1384:C1384" si="2070">B1296</f>
        <v>40000</v>
      </c>
      <c r="C1384" s="8" t="str">
        <f t="shared" si="2070"/>
        <v>装备</v>
      </c>
      <c r="D1384" s="8">
        <f t="shared" si="2004"/>
        <v>40802060</v>
      </c>
      <c r="E1384" s="8"/>
      <c r="F1384" s="8">
        <v>1</v>
      </c>
      <c r="G1384" s="7">
        <f>3*INDEX([1]equip.xml!$I:$I,MATCH(D1384,[1]equip.xml!$A:$A,0))</f>
        <v>246000</v>
      </c>
      <c r="H1384" s="8" t="str">
        <f t="shared" ref="H1384:J1384" si="2071">H1296</f>
        <v>10_10,50_20,80_30</v>
      </c>
      <c r="I1384" s="8">
        <f t="shared" si="2071"/>
        <v>6</v>
      </c>
      <c r="J1384" s="8">
        <f t="shared" si="2071"/>
        <v>50</v>
      </c>
      <c r="K1384" s="7" t="s">
        <v>312</v>
      </c>
      <c r="L1384" s="8">
        <v>48</v>
      </c>
      <c r="M1384" s="7">
        <f>IF(INDEX([1]equip.xml!$B:$B,MATCH(D1384,[1]equip.xml!$A:$A,0))=0,0,N1384)</f>
        <v>16</v>
      </c>
      <c r="N1384" s="8">
        <v>16</v>
      </c>
    </row>
    <row r="1385" spans="1:14">
      <c r="A1385" s="8">
        <f t="shared" si="1954"/>
        <v>10020</v>
      </c>
      <c r="B1385" s="8">
        <f t="shared" ref="B1385:C1385" si="2072">B1297</f>
        <v>40000</v>
      </c>
      <c r="C1385" s="8" t="str">
        <f t="shared" si="2072"/>
        <v>装备</v>
      </c>
      <c r="D1385" s="8">
        <f t="shared" si="2004"/>
        <v>40802061</v>
      </c>
      <c r="E1385" s="8"/>
      <c r="F1385" s="8">
        <v>1</v>
      </c>
      <c r="G1385" s="7">
        <f>3*INDEX([1]equip.xml!$I:$I,MATCH(D1385,[1]equip.xml!$A:$A,0))</f>
        <v>255000</v>
      </c>
      <c r="H1385" s="8" t="str">
        <f t="shared" ref="H1385:J1385" si="2073">H1297</f>
        <v>10_10,50_20,80_30</v>
      </c>
      <c r="I1385" s="8">
        <f t="shared" si="2073"/>
        <v>6</v>
      </c>
      <c r="J1385" s="8">
        <f t="shared" si="2073"/>
        <v>50</v>
      </c>
      <c r="K1385" s="7" t="s">
        <v>312</v>
      </c>
      <c r="L1385" s="8">
        <v>48</v>
      </c>
      <c r="M1385" s="7">
        <f>IF(INDEX([1]equip.xml!$B:$B,MATCH(D1385,[1]equip.xml!$A:$A,0))=0,0,N1385)</f>
        <v>16</v>
      </c>
      <c r="N1385" s="8">
        <v>16</v>
      </c>
    </row>
    <row r="1386" spans="1:14">
      <c r="A1386" s="8">
        <f t="shared" si="1954"/>
        <v>10020</v>
      </c>
      <c r="B1386" s="8">
        <f t="shared" ref="B1386:C1386" si="2074">B1298</f>
        <v>40000</v>
      </c>
      <c r="C1386" s="8" t="str">
        <f t="shared" si="2074"/>
        <v>装备</v>
      </c>
      <c r="D1386" s="8">
        <f t="shared" si="2004"/>
        <v>40803050</v>
      </c>
      <c r="E1386" s="8"/>
      <c r="F1386" s="8">
        <v>1</v>
      </c>
      <c r="G1386" s="7">
        <f>3*INDEX([1]equip.xml!$I:$I,MATCH(D1386,[1]equip.xml!$A:$A,0))</f>
        <v>246000</v>
      </c>
      <c r="H1386" s="8" t="str">
        <f t="shared" ref="H1386:J1386" si="2075">H1298</f>
        <v>10_10,50_20,80_30</v>
      </c>
      <c r="I1386" s="8">
        <f t="shared" si="2075"/>
        <v>6</v>
      </c>
      <c r="J1386" s="8">
        <f t="shared" si="2075"/>
        <v>50</v>
      </c>
      <c r="K1386" s="7" t="s">
        <v>312</v>
      </c>
      <c r="L1386" s="8">
        <v>48</v>
      </c>
      <c r="M1386" s="7">
        <f>IF(INDEX([1]equip.xml!$B:$B,MATCH(D1386,[1]equip.xml!$A:$A,0))=0,0,N1386)</f>
        <v>16</v>
      </c>
      <c r="N1386" s="8">
        <v>16</v>
      </c>
    </row>
    <row r="1387" spans="1:14">
      <c r="A1387" s="8">
        <f t="shared" si="1954"/>
        <v>10020</v>
      </c>
      <c r="B1387" s="8">
        <f t="shared" ref="B1387:C1387" si="2076">B1299</f>
        <v>40000</v>
      </c>
      <c r="C1387" s="8" t="str">
        <f t="shared" si="2076"/>
        <v>装备</v>
      </c>
      <c r="D1387" s="8">
        <f t="shared" si="2004"/>
        <v>40803051</v>
      </c>
      <c r="E1387" s="8"/>
      <c r="F1387" s="8">
        <v>1</v>
      </c>
      <c r="G1387" s="7">
        <f>3*INDEX([1]equip.xml!$I:$I,MATCH(D1387,[1]equip.xml!$A:$A,0))</f>
        <v>255000</v>
      </c>
      <c r="H1387" s="8" t="str">
        <f t="shared" ref="H1387:J1387" si="2077">H1299</f>
        <v>10_10,50_20,80_30</v>
      </c>
      <c r="I1387" s="8">
        <f t="shared" si="2077"/>
        <v>6</v>
      </c>
      <c r="J1387" s="8">
        <f t="shared" si="2077"/>
        <v>50</v>
      </c>
      <c r="K1387" s="7" t="s">
        <v>312</v>
      </c>
      <c r="L1387" s="8">
        <v>48</v>
      </c>
      <c r="M1387" s="7">
        <f>IF(INDEX([1]equip.xml!$B:$B,MATCH(D1387,[1]equip.xml!$A:$A,0))=0,0,N1387)</f>
        <v>16</v>
      </c>
      <c r="N1387" s="8">
        <v>16</v>
      </c>
    </row>
    <row r="1388" spans="1:14">
      <c r="A1388" s="8">
        <f t="shared" si="1954"/>
        <v>10020</v>
      </c>
      <c r="B1388" s="8">
        <f t="shared" ref="B1388:C1388" si="2078">B1300</f>
        <v>40000</v>
      </c>
      <c r="C1388" s="8" t="str">
        <f t="shared" si="2078"/>
        <v>装备</v>
      </c>
      <c r="D1388" s="8">
        <f t="shared" si="2004"/>
        <v>40803060</v>
      </c>
      <c r="E1388" s="8"/>
      <c r="F1388" s="8">
        <v>1</v>
      </c>
      <c r="G1388" s="7">
        <f>3*INDEX([1]equip.xml!$I:$I,MATCH(D1388,[1]equip.xml!$A:$A,0))</f>
        <v>246000</v>
      </c>
      <c r="H1388" s="8" t="str">
        <f t="shared" ref="H1388:J1388" si="2079">H1300</f>
        <v>10_10,50_20,80_30</v>
      </c>
      <c r="I1388" s="8">
        <f t="shared" si="2079"/>
        <v>6</v>
      </c>
      <c r="J1388" s="8">
        <f t="shared" si="2079"/>
        <v>50</v>
      </c>
      <c r="K1388" s="7" t="s">
        <v>312</v>
      </c>
      <c r="L1388" s="8">
        <v>48</v>
      </c>
      <c r="M1388" s="7">
        <f>IF(INDEX([1]equip.xml!$B:$B,MATCH(D1388,[1]equip.xml!$A:$A,0))=0,0,N1388)</f>
        <v>16</v>
      </c>
      <c r="N1388" s="8">
        <v>16</v>
      </c>
    </row>
    <row r="1389" spans="1:14">
      <c r="A1389" s="8">
        <f t="shared" si="1954"/>
        <v>10020</v>
      </c>
      <c r="B1389" s="8">
        <f t="shared" ref="B1389:C1389" si="2080">B1301</f>
        <v>40000</v>
      </c>
      <c r="C1389" s="8" t="str">
        <f t="shared" si="2080"/>
        <v>装备</v>
      </c>
      <c r="D1389" s="8">
        <f t="shared" si="2004"/>
        <v>40803061</v>
      </c>
      <c r="E1389" s="8"/>
      <c r="F1389" s="8">
        <v>1</v>
      </c>
      <c r="G1389" s="7">
        <f>3*INDEX([1]equip.xml!$I:$I,MATCH(D1389,[1]equip.xml!$A:$A,0))</f>
        <v>255000</v>
      </c>
      <c r="H1389" s="8" t="str">
        <f t="shared" ref="H1389:J1389" si="2081">H1301</f>
        <v>10_10,50_20,80_30</v>
      </c>
      <c r="I1389" s="8">
        <f t="shared" si="2081"/>
        <v>6</v>
      </c>
      <c r="J1389" s="8">
        <f t="shared" si="2081"/>
        <v>50</v>
      </c>
      <c r="K1389" s="7" t="s">
        <v>312</v>
      </c>
      <c r="L1389" s="8">
        <v>48</v>
      </c>
      <c r="M1389" s="7">
        <f>IF(INDEX([1]equip.xml!$B:$B,MATCH(D1389,[1]equip.xml!$A:$A,0))=0,0,N1389)</f>
        <v>16</v>
      </c>
      <c r="N1389" s="8">
        <v>16</v>
      </c>
    </row>
    <row r="1390" spans="1:14">
      <c r="A1390" s="8">
        <f t="shared" si="1954"/>
        <v>10020</v>
      </c>
      <c r="B1390" s="8">
        <f t="shared" ref="B1390:C1390" si="2082">B1302</f>
        <v>40000</v>
      </c>
      <c r="C1390" s="8" t="str">
        <f t="shared" si="2082"/>
        <v>装备</v>
      </c>
      <c r="D1390" s="8">
        <f t="shared" si="2004"/>
        <v>40800040</v>
      </c>
      <c r="E1390" s="8"/>
      <c r="F1390" s="8">
        <v>1</v>
      </c>
      <c r="G1390" s="7">
        <f>3*INDEX([1]equip.xml!$I:$I,MATCH(D1390,[1]equip.xml!$A:$A,0))</f>
        <v>246000</v>
      </c>
      <c r="H1390" s="8" t="str">
        <f t="shared" ref="H1390:J1390" si="2083">H1302</f>
        <v>10_10,50_20,80_30</v>
      </c>
      <c r="I1390" s="8">
        <f t="shared" si="2083"/>
        <v>6</v>
      </c>
      <c r="J1390" s="8">
        <f t="shared" si="2083"/>
        <v>50</v>
      </c>
      <c r="K1390" s="7" t="s">
        <v>312</v>
      </c>
      <c r="L1390" s="8">
        <v>48</v>
      </c>
      <c r="M1390" s="7">
        <f>IF(INDEX([1]equip.xml!$B:$B,MATCH(D1390,[1]equip.xml!$A:$A,0))=0,0,N1390)</f>
        <v>16</v>
      </c>
      <c r="N1390" s="8">
        <v>16</v>
      </c>
    </row>
    <row r="1391" spans="1:14">
      <c r="A1391" s="8">
        <f t="shared" ref="A1391:A1454" si="2084">A1303+1</f>
        <v>10020</v>
      </c>
      <c r="B1391" s="8">
        <f t="shared" ref="B1391:C1391" si="2085">B1303</f>
        <v>40000</v>
      </c>
      <c r="C1391" s="8" t="str">
        <f t="shared" si="2085"/>
        <v>装备</v>
      </c>
      <c r="D1391" s="8">
        <f t="shared" si="2004"/>
        <v>40800041</v>
      </c>
      <c r="E1391" s="8"/>
      <c r="F1391" s="8">
        <v>1</v>
      </c>
      <c r="G1391" s="7">
        <f>3*INDEX([1]equip.xml!$I:$I,MATCH(D1391,[1]equip.xml!$A:$A,0))</f>
        <v>255000</v>
      </c>
      <c r="H1391" s="8" t="str">
        <f t="shared" ref="H1391:J1391" si="2086">H1303</f>
        <v>10_10,50_20,80_30</v>
      </c>
      <c r="I1391" s="8">
        <f t="shared" si="2086"/>
        <v>6</v>
      </c>
      <c r="J1391" s="8">
        <f t="shared" si="2086"/>
        <v>50</v>
      </c>
      <c r="K1391" s="7" t="s">
        <v>312</v>
      </c>
      <c r="L1391" s="8">
        <v>48</v>
      </c>
      <c r="M1391" s="7">
        <f>IF(INDEX([1]equip.xml!$B:$B,MATCH(D1391,[1]equip.xml!$A:$A,0))=0,0,N1391)</f>
        <v>16</v>
      </c>
      <c r="N1391" s="8">
        <v>16</v>
      </c>
    </row>
    <row r="1392" spans="1:14">
      <c r="A1392" s="8">
        <f t="shared" si="2084"/>
        <v>10020</v>
      </c>
      <c r="B1392" s="8">
        <f t="shared" ref="B1392:C1392" si="2087">B1304</f>
        <v>40000</v>
      </c>
      <c r="C1392" s="8" t="str">
        <f t="shared" si="2087"/>
        <v>装备</v>
      </c>
      <c r="D1392" s="8">
        <f t="shared" si="2004"/>
        <v>40800070</v>
      </c>
      <c r="E1392" s="8"/>
      <c r="F1392" s="8">
        <v>1</v>
      </c>
      <c r="G1392" s="7">
        <f>3*INDEX([1]equip.xml!$I:$I,MATCH(D1392,[1]equip.xml!$A:$A,0))</f>
        <v>246000</v>
      </c>
      <c r="H1392" s="8" t="str">
        <f t="shared" ref="H1392:J1392" si="2088">H1304</f>
        <v>10_10,50_20,80_30</v>
      </c>
      <c r="I1392" s="8">
        <f t="shared" si="2088"/>
        <v>6</v>
      </c>
      <c r="J1392" s="8">
        <f t="shared" si="2088"/>
        <v>50</v>
      </c>
      <c r="K1392" s="7" t="s">
        <v>312</v>
      </c>
      <c r="L1392" s="8">
        <v>48</v>
      </c>
      <c r="M1392" s="7">
        <f>IF(INDEX([1]equip.xml!$B:$B,MATCH(D1392,[1]equip.xml!$A:$A,0))=0,0,N1392)</f>
        <v>16</v>
      </c>
      <c r="N1392" s="8">
        <v>16</v>
      </c>
    </row>
    <row r="1393" spans="1:14">
      <c r="A1393" s="8">
        <f t="shared" si="2084"/>
        <v>10020</v>
      </c>
      <c r="B1393" s="8">
        <f t="shared" ref="B1393:C1393" si="2089">B1305</f>
        <v>40000</v>
      </c>
      <c r="C1393" s="8" t="str">
        <f t="shared" si="2089"/>
        <v>装备</v>
      </c>
      <c r="D1393" s="8">
        <f t="shared" si="2004"/>
        <v>40800071</v>
      </c>
      <c r="E1393" s="8"/>
      <c r="F1393" s="8">
        <v>1</v>
      </c>
      <c r="G1393" s="7">
        <f>3*INDEX([1]equip.xml!$I:$I,MATCH(D1393,[1]equip.xml!$A:$A,0))</f>
        <v>255000</v>
      </c>
      <c r="H1393" s="8" t="str">
        <f t="shared" ref="H1393:J1393" si="2090">H1305</f>
        <v>10_10,50_20,80_30</v>
      </c>
      <c r="I1393" s="8">
        <f t="shared" si="2090"/>
        <v>6</v>
      </c>
      <c r="J1393" s="8">
        <f t="shared" si="2090"/>
        <v>50</v>
      </c>
      <c r="K1393" s="7" t="s">
        <v>312</v>
      </c>
      <c r="L1393" s="8">
        <v>48</v>
      </c>
      <c r="M1393" s="7">
        <f>IF(INDEX([1]equip.xml!$B:$B,MATCH(D1393,[1]equip.xml!$A:$A,0))=0,0,N1393)</f>
        <v>16</v>
      </c>
      <c r="N1393" s="8">
        <v>16</v>
      </c>
    </row>
    <row r="1394" spans="1:14">
      <c r="A1394" s="8">
        <f t="shared" si="2084"/>
        <v>10020</v>
      </c>
      <c r="B1394" s="8">
        <f t="shared" ref="B1394:C1394" si="2091">B1306</f>
        <v>40000</v>
      </c>
      <c r="C1394" s="8" t="str">
        <f t="shared" si="2091"/>
        <v>装备</v>
      </c>
      <c r="D1394" s="7">
        <f>D1350+10000005</f>
        <v>50750015</v>
      </c>
      <c r="E1394" s="8"/>
      <c r="F1394" s="8">
        <v>1</v>
      </c>
      <c r="G1394" s="7">
        <f>3*INDEX([1]equip.xml!$I:$I,MATCH(D1394,[1]equip.xml!$A:$A,0))</f>
        <v>456000</v>
      </c>
      <c r="H1394" s="8" t="str">
        <f t="shared" ref="H1394:J1394" si="2092">H1306</f>
        <v>10_10,50_20,80_30</v>
      </c>
      <c r="I1394" s="8">
        <f t="shared" si="2092"/>
        <v>1</v>
      </c>
      <c r="J1394" s="8">
        <f t="shared" si="2092"/>
        <v>240</v>
      </c>
      <c r="K1394" s="7" t="s">
        <v>312</v>
      </c>
      <c r="L1394" s="8">
        <v>48</v>
      </c>
      <c r="M1394" s="7">
        <f>IF(INDEX([1]equip.xml!$B:$B,MATCH(D1394,[1]equip.xml!$A:$A,0))=0,0,N1394)</f>
        <v>70</v>
      </c>
      <c r="N1394" s="8">
        <v>70</v>
      </c>
    </row>
    <row r="1395" spans="1:14">
      <c r="A1395" s="8">
        <f t="shared" si="2084"/>
        <v>10020</v>
      </c>
      <c r="B1395" s="8">
        <f t="shared" ref="B1395:C1395" si="2093">B1307</f>
        <v>40000</v>
      </c>
      <c r="C1395" s="8" t="str">
        <f t="shared" si="2093"/>
        <v>装备</v>
      </c>
      <c r="D1395" s="7">
        <f t="shared" ref="D1395:D1437" si="2094">D1351+10000005</f>
        <v>50750025</v>
      </c>
      <c r="E1395" s="8"/>
      <c r="F1395" s="8">
        <v>1</v>
      </c>
      <c r="G1395" s="7">
        <f>3*INDEX([1]equip.xml!$I:$I,MATCH(D1395,[1]equip.xml!$A:$A,0))</f>
        <v>456000</v>
      </c>
      <c r="H1395" s="8" t="str">
        <f t="shared" ref="H1395:J1395" si="2095">H1307</f>
        <v>10_10,50_20,80_30</v>
      </c>
      <c r="I1395" s="8">
        <f t="shared" si="2095"/>
        <v>1</v>
      </c>
      <c r="J1395" s="8">
        <f t="shared" si="2095"/>
        <v>240</v>
      </c>
      <c r="K1395" s="7" t="s">
        <v>312</v>
      </c>
      <c r="L1395" s="8">
        <v>48</v>
      </c>
      <c r="M1395" s="7">
        <f>IF(INDEX([1]equip.xml!$B:$B,MATCH(D1395,[1]equip.xml!$A:$A,0))=0,0,N1395)</f>
        <v>70</v>
      </c>
      <c r="N1395" s="8">
        <v>70</v>
      </c>
    </row>
    <row r="1396" spans="1:14">
      <c r="A1396" s="8">
        <f t="shared" si="2084"/>
        <v>10020</v>
      </c>
      <c r="B1396" s="8">
        <f t="shared" ref="B1396:C1396" si="2096">B1308</f>
        <v>40000</v>
      </c>
      <c r="C1396" s="8" t="str">
        <f t="shared" si="2096"/>
        <v>装备</v>
      </c>
      <c r="D1396" s="7">
        <f t="shared" si="2094"/>
        <v>50750035</v>
      </c>
      <c r="E1396" s="8"/>
      <c r="F1396" s="8">
        <v>1</v>
      </c>
      <c r="G1396" s="7">
        <f>3*INDEX([1]equip.xml!$I:$I,MATCH(D1396,[1]equip.xml!$A:$A,0))</f>
        <v>456000</v>
      </c>
      <c r="H1396" s="8" t="str">
        <f t="shared" ref="H1396:J1396" si="2097">H1308</f>
        <v>10_10,50_20,80_30</v>
      </c>
      <c r="I1396" s="8">
        <f t="shared" si="2097"/>
        <v>1</v>
      </c>
      <c r="J1396" s="8">
        <f t="shared" si="2097"/>
        <v>240</v>
      </c>
      <c r="K1396" s="7" t="s">
        <v>312</v>
      </c>
      <c r="L1396" s="8">
        <v>48</v>
      </c>
      <c r="M1396" s="7">
        <f>IF(INDEX([1]equip.xml!$B:$B,MATCH(D1396,[1]equip.xml!$A:$A,0))=0,0,N1396)</f>
        <v>70</v>
      </c>
      <c r="N1396" s="8">
        <v>70</v>
      </c>
    </row>
    <row r="1397" spans="1:14">
      <c r="A1397" s="8">
        <f t="shared" si="2084"/>
        <v>10020</v>
      </c>
      <c r="B1397" s="8">
        <f t="shared" ref="B1397:C1397" si="2098">B1309</f>
        <v>40000</v>
      </c>
      <c r="C1397" s="8" t="str">
        <f t="shared" si="2098"/>
        <v>装备</v>
      </c>
      <c r="D1397" s="7">
        <f t="shared" si="2094"/>
        <v>50750085</v>
      </c>
      <c r="E1397" s="8"/>
      <c r="F1397" s="8">
        <v>1</v>
      </c>
      <c r="G1397" s="7">
        <f>3*INDEX([1]equip.xml!$I:$I,MATCH(D1397,[1]equip.xml!$A:$A,0))</f>
        <v>456000</v>
      </c>
      <c r="H1397" s="8" t="str">
        <f t="shared" ref="H1397:J1397" si="2099">H1309</f>
        <v>10_10,50_20,80_30</v>
      </c>
      <c r="I1397" s="8">
        <f t="shared" si="2099"/>
        <v>1</v>
      </c>
      <c r="J1397" s="8">
        <f t="shared" si="2099"/>
        <v>240</v>
      </c>
      <c r="K1397" s="7" t="s">
        <v>312</v>
      </c>
      <c r="L1397" s="8">
        <v>48</v>
      </c>
      <c r="M1397" s="7">
        <f>IF(INDEX([1]equip.xml!$B:$B,MATCH(D1397,[1]equip.xml!$A:$A,0))=0,0,N1397)</f>
        <v>70</v>
      </c>
      <c r="N1397" s="8">
        <v>70</v>
      </c>
    </row>
    <row r="1398" spans="1:14">
      <c r="A1398" s="8">
        <f t="shared" si="2084"/>
        <v>10020</v>
      </c>
      <c r="B1398" s="8">
        <f t="shared" ref="B1398:C1398" si="2100">B1310</f>
        <v>40000</v>
      </c>
      <c r="C1398" s="8" t="str">
        <f t="shared" si="2100"/>
        <v>装备</v>
      </c>
      <c r="D1398" s="7">
        <f t="shared" si="2094"/>
        <v>50750095</v>
      </c>
      <c r="E1398" s="8"/>
      <c r="F1398" s="8">
        <v>1</v>
      </c>
      <c r="G1398" s="7">
        <f>3*INDEX([1]equip.xml!$I:$I,MATCH(D1398,[1]equip.xml!$A:$A,0))</f>
        <v>456000</v>
      </c>
      <c r="H1398" s="8" t="str">
        <f t="shared" ref="H1398:J1398" si="2101">H1310</f>
        <v>10_10,50_20,80_30</v>
      </c>
      <c r="I1398" s="8">
        <f t="shared" si="2101"/>
        <v>1</v>
      </c>
      <c r="J1398" s="8">
        <f t="shared" si="2101"/>
        <v>240</v>
      </c>
      <c r="K1398" s="7" t="s">
        <v>312</v>
      </c>
      <c r="L1398" s="8">
        <v>48</v>
      </c>
      <c r="M1398" s="7">
        <f>IF(INDEX([1]equip.xml!$B:$B,MATCH(D1398,[1]equip.xml!$A:$A,0))=0,0,N1398)</f>
        <v>70</v>
      </c>
      <c r="N1398" s="8">
        <v>70</v>
      </c>
    </row>
    <row r="1399" spans="1:14">
      <c r="A1399" s="8">
        <f t="shared" si="2084"/>
        <v>10020</v>
      </c>
      <c r="B1399" s="8">
        <f t="shared" ref="B1399:C1399" si="2102">B1311</f>
        <v>40000</v>
      </c>
      <c r="C1399" s="8" t="str">
        <f t="shared" si="2102"/>
        <v>装备</v>
      </c>
      <c r="D1399" s="7">
        <f t="shared" si="2094"/>
        <v>50750105</v>
      </c>
      <c r="E1399" s="8"/>
      <c r="F1399" s="8">
        <v>1</v>
      </c>
      <c r="G1399" s="7">
        <f>3*INDEX([1]equip.xml!$I:$I,MATCH(D1399,[1]equip.xml!$A:$A,0))</f>
        <v>456000</v>
      </c>
      <c r="H1399" s="8" t="str">
        <f t="shared" ref="H1399:J1399" si="2103">H1311</f>
        <v>10_10,50_20,80_30</v>
      </c>
      <c r="I1399" s="8">
        <f t="shared" si="2103"/>
        <v>1</v>
      </c>
      <c r="J1399" s="8">
        <f t="shared" si="2103"/>
        <v>240</v>
      </c>
      <c r="K1399" s="7" t="s">
        <v>312</v>
      </c>
      <c r="L1399" s="8">
        <v>48</v>
      </c>
      <c r="M1399" s="7">
        <f>IF(INDEX([1]equip.xml!$B:$B,MATCH(D1399,[1]equip.xml!$A:$A,0))=0,0,N1399)</f>
        <v>70</v>
      </c>
      <c r="N1399" s="8">
        <v>70</v>
      </c>
    </row>
    <row r="1400" spans="1:14">
      <c r="A1400" s="8">
        <f t="shared" si="2084"/>
        <v>10020</v>
      </c>
      <c r="B1400" s="8">
        <f t="shared" ref="B1400:C1400" si="2104">B1312</f>
        <v>40000</v>
      </c>
      <c r="C1400" s="8" t="str">
        <f t="shared" si="2104"/>
        <v>装备</v>
      </c>
      <c r="D1400" s="7">
        <f t="shared" si="2094"/>
        <v>50751055</v>
      </c>
      <c r="E1400" s="8"/>
      <c r="F1400" s="8">
        <v>1</v>
      </c>
      <c r="G1400" s="7">
        <f>3*INDEX([1]equip.xml!$I:$I,MATCH(D1400,[1]equip.xml!$A:$A,0))</f>
        <v>456000</v>
      </c>
      <c r="H1400" s="8" t="str">
        <f t="shared" ref="H1400:J1400" si="2105">H1312</f>
        <v>10_10,50_20,80_30</v>
      </c>
      <c r="I1400" s="8">
        <f t="shared" si="2105"/>
        <v>1</v>
      </c>
      <c r="J1400" s="8">
        <f t="shared" si="2105"/>
        <v>240</v>
      </c>
      <c r="K1400" s="7" t="s">
        <v>312</v>
      </c>
      <c r="L1400" s="8">
        <v>48</v>
      </c>
      <c r="M1400" s="7">
        <f>IF(INDEX([1]equip.xml!$B:$B,MATCH(D1400,[1]equip.xml!$A:$A,0))=0,0,N1400)</f>
        <v>70</v>
      </c>
      <c r="N1400" s="8">
        <v>70</v>
      </c>
    </row>
    <row r="1401" spans="1:14">
      <c r="A1401" s="8">
        <f t="shared" si="2084"/>
        <v>10020</v>
      </c>
      <c r="B1401" s="8">
        <f t="shared" ref="B1401:C1401" si="2106">B1313</f>
        <v>40000</v>
      </c>
      <c r="C1401" s="8" t="str">
        <f t="shared" si="2106"/>
        <v>装备</v>
      </c>
      <c r="D1401" s="7">
        <f t="shared" si="2094"/>
        <v>50751056</v>
      </c>
      <c r="E1401" s="8"/>
      <c r="F1401" s="8">
        <v>1</v>
      </c>
      <c r="G1401" s="7">
        <f>3*INDEX([1]equip.xml!$I:$I,MATCH(D1401,[1]equip.xml!$A:$A,0))</f>
        <v>474000</v>
      </c>
      <c r="H1401" s="8" t="str">
        <f t="shared" ref="H1401:J1401" si="2107">H1313</f>
        <v>10_10,50_20,80_30</v>
      </c>
      <c r="I1401" s="8">
        <f t="shared" si="2107"/>
        <v>1</v>
      </c>
      <c r="J1401" s="8">
        <f t="shared" si="2107"/>
        <v>240</v>
      </c>
      <c r="K1401" s="7" t="s">
        <v>312</v>
      </c>
      <c r="L1401" s="8">
        <v>48</v>
      </c>
      <c r="M1401" s="7">
        <f>IF(INDEX([1]equip.xml!$B:$B,MATCH(D1401,[1]equip.xml!$A:$A,0))=0,0,N1401)</f>
        <v>70</v>
      </c>
      <c r="N1401" s="8">
        <v>70</v>
      </c>
    </row>
    <row r="1402" spans="1:14">
      <c r="A1402" s="8">
        <f t="shared" si="2084"/>
        <v>10020</v>
      </c>
      <c r="B1402" s="8">
        <f t="shared" ref="B1402:C1402" si="2108">B1314</f>
        <v>40000</v>
      </c>
      <c r="C1402" s="8" t="str">
        <f t="shared" si="2108"/>
        <v>装备</v>
      </c>
      <c r="D1402" s="7">
        <f t="shared" si="2094"/>
        <v>50751065</v>
      </c>
      <c r="E1402" s="8"/>
      <c r="F1402" s="8">
        <v>1</v>
      </c>
      <c r="G1402" s="7">
        <f>3*INDEX([1]equip.xml!$I:$I,MATCH(D1402,[1]equip.xml!$A:$A,0))</f>
        <v>456000</v>
      </c>
      <c r="H1402" s="8" t="str">
        <f t="shared" ref="H1402:J1402" si="2109">H1314</f>
        <v>10_10,50_20,80_30</v>
      </c>
      <c r="I1402" s="8">
        <f t="shared" si="2109"/>
        <v>1</v>
      </c>
      <c r="J1402" s="8">
        <f t="shared" si="2109"/>
        <v>240</v>
      </c>
      <c r="K1402" s="7" t="s">
        <v>312</v>
      </c>
      <c r="L1402" s="8">
        <v>48</v>
      </c>
      <c r="M1402" s="7">
        <f>IF(INDEX([1]equip.xml!$B:$B,MATCH(D1402,[1]equip.xml!$A:$A,0))=0,0,N1402)</f>
        <v>70</v>
      </c>
      <c r="N1402" s="8">
        <v>70</v>
      </c>
    </row>
    <row r="1403" spans="1:14">
      <c r="A1403" s="8">
        <f t="shared" si="2084"/>
        <v>10020</v>
      </c>
      <c r="B1403" s="8">
        <f t="shared" ref="B1403:C1403" si="2110">B1315</f>
        <v>40000</v>
      </c>
      <c r="C1403" s="8" t="str">
        <f t="shared" si="2110"/>
        <v>装备</v>
      </c>
      <c r="D1403" s="7">
        <f t="shared" si="2094"/>
        <v>50751066</v>
      </c>
      <c r="E1403" s="8"/>
      <c r="F1403" s="8">
        <v>1</v>
      </c>
      <c r="G1403" s="7">
        <f>3*INDEX([1]equip.xml!$I:$I,MATCH(D1403,[1]equip.xml!$A:$A,0))</f>
        <v>474000</v>
      </c>
      <c r="H1403" s="8" t="str">
        <f t="shared" ref="H1403:J1403" si="2111">H1315</f>
        <v>10_10,50_20,80_30</v>
      </c>
      <c r="I1403" s="8">
        <f t="shared" si="2111"/>
        <v>1</v>
      </c>
      <c r="J1403" s="8">
        <f t="shared" si="2111"/>
        <v>240</v>
      </c>
      <c r="K1403" s="7" t="s">
        <v>312</v>
      </c>
      <c r="L1403" s="8">
        <v>48</v>
      </c>
      <c r="M1403" s="7">
        <f>IF(INDEX([1]equip.xml!$B:$B,MATCH(D1403,[1]equip.xml!$A:$A,0))=0,0,N1403)</f>
        <v>70</v>
      </c>
      <c r="N1403" s="8">
        <v>70</v>
      </c>
    </row>
    <row r="1404" spans="1:14">
      <c r="A1404" s="8">
        <f t="shared" si="2084"/>
        <v>10020</v>
      </c>
      <c r="B1404" s="8">
        <f t="shared" ref="B1404:C1404" si="2112">B1316</f>
        <v>40000</v>
      </c>
      <c r="C1404" s="8" t="str">
        <f t="shared" si="2112"/>
        <v>装备</v>
      </c>
      <c r="D1404" s="7">
        <f t="shared" si="2094"/>
        <v>50752055</v>
      </c>
      <c r="E1404" s="8"/>
      <c r="F1404" s="8">
        <v>1</v>
      </c>
      <c r="G1404" s="7">
        <f>3*INDEX([1]equip.xml!$I:$I,MATCH(D1404,[1]equip.xml!$A:$A,0))</f>
        <v>456000</v>
      </c>
      <c r="H1404" s="8" t="str">
        <f t="shared" ref="H1404:J1404" si="2113">H1316</f>
        <v>10_10,50_20,80_30</v>
      </c>
      <c r="I1404" s="8">
        <f t="shared" si="2113"/>
        <v>1</v>
      </c>
      <c r="J1404" s="8">
        <f t="shared" si="2113"/>
        <v>240</v>
      </c>
      <c r="K1404" s="7" t="s">
        <v>312</v>
      </c>
      <c r="L1404" s="8">
        <v>48</v>
      </c>
      <c r="M1404" s="7">
        <f>IF(INDEX([1]equip.xml!$B:$B,MATCH(D1404,[1]equip.xml!$A:$A,0))=0,0,N1404)</f>
        <v>70</v>
      </c>
      <c r="N1404" s="8">
        <v>70</v>
      </c>
    </row>
    <row r="1405" spans="1:14">
      <c r="A1405" s="8">
        <f t="shared" si="2084"/>
        <v>10020</v>
      </c>
      <c r="B1405" s="8">
        <f t="shared" ref="B1405:C1405" si="2114">B1317</f>
        <v>40000</v>
      </c>
      <c r="C1405" s="8" t="str">
        <f t="shared" si="2114"/>
        <v>装备</v>
      </c>
      <c r="D1405" s="7">
        <f t="shared" si="2094"/>
        <v>50752056</v>
      </c>
      <c r="E1405" s="8"/>
      <c r="F1405" s="8">
        <v>1</v>
      </c>
      <c r="G1405" s="7">
        <f>3*INDEX([1]equip.xml!$I:$I,MATCH(D1405,[1]equip.xml!$A:$A,0))</f>
        <v>474000</v>
      </c>
      <c r="H1405" s="8" t="str">
        <f t="shared" ref="H1405:J1405" si="2115">H1317</f>
        <v>10_10,50_20,80_30</v>
      </c>
      <c r="I1405" s="8">
        <f t="shared" si="2115"/>
        <v>1</v>
      </c>
      <c r="J1405" s="8">
        <f t="shared" si="2115"/>
        <v>240</v>
      </c>
      <c r="K1405" s="7" t="s">
        <v>312</v>
      </c>
      <c r="L1405" s="8">
        <v>48</v>
      </c>
      <c r="M1405" s="7">
        <f>IF(INDEX([1]equip.xml!$B:$B,MATCH(D1405,[1]equip.xml!$A:$A,0))=0,0,N1405)</f>
        <v>70</v>
      </c>
      <c r="N1405" s="8">
        <v>70</v>
      </c>
    </row>
    <row r="1406" spans="1:14">
      <c r="A1406" s="8">
        <f t="shared" si="2084"/>
        <v>10020</v>
      </c>
      <c r="B1406" s="8">
        <f t="shared" ref="B1406:C1406" si="2116">B1318</f>
        <v>40000</v>
      </c>
      <c r="C1406" s="8" t="str">
        <f t="shared" si="2116"/>
        <v>装备</v>
      </c>
      <c r="D1406" s="7">
        <f t="shared" si="2094"/>
        <v>50752065</v>
      </c>
      <c r="E1406" s="8"/>
      <c r="F1406" s="8">
        <v>1</v>
      </c>
      <c r="G1406" s="7">
        <f>3*INDEX([1]equip.xml!$I:$I,MATCH(D1406,[1]equip.xml!$A:$A,0))</f>
        <v>456000</v>
      </c>
      <c r="H1406" s="8" t="str">
        <f t="shared" ref="H1406:J1406" si="2117">H1318</f>
        <v>10_10,50_20,80_30</v>
      </c>
      <c r="I1406" s="8">
        <f t="shared" si="2117"/>
        <v>1</v>
      </c>
      <c r="J1406" s="8">
        <f t="shared" si="2117"/>
        <v>240</v>
      </c>
      <c r="K1406" s="7" t="s">
        <v>312</v>
      </c>
      <c r="L1406" s="8">
        <v>48</v>
      </c>
      <c r="M1406" s="7">
        <f>IF(INDEX([1]equip.xml!$B:$B,MATCH(D1406,[1]equip.xml!$A:$A,0))=0,0,N1406)</f>
        <v>70</v>
      </c>
      <c r="N1406" s="8">
        <v>70</v>
      </c>
    </row>
    <row r="1407" spans="1:14">
      <c r="A1407" s="8">
        <f t="shared" si="2084"/>
        <v>10020</v>
      </c>
      <c r="B1407" s="8">
        <f t="shared" ref="B1407:C1407" si="2118">B1319</f>
        <v>40000</v>
      </c>
      <c r="C1407" s="8" t="str">
        <f t="shared" si="2118"/>
        <v>装备</v>
      </c>
      <c r="D1407" s="7">
        <f t="shared" si="2094"/>
        <v>50752066</v>
      </c>
      <c r="E1407" s="8"/>
      <c r="F1407" s="8">
        <v>1</v>
      </c>
      <c r="G1407" s="7">
        <f>3*INDEX([1]equip.xml!$I:$I,MATCH(D1407,[1]equip.xml!$A:$A,0))</f>
        <v>474000</v>
      </c>
      <c r="H1407" s="8" t="str">
        <f t="shared" ref="H1407:J1407" si="2119">H1319</f>
        <v>10_10,50_20,80_30</v>
      </c>
      <c r="I1407" s="8">
        <f t="shared" si="2119"/>
        <v>1</v>
      </c>
      <c r="J1407" s="8">
        <f t="shared" si="2119"/>
        <v>240</v>
      </c>
      <c r="K1407" s="7" t="s">
        <v>312</v>
      </c>
      <c r="L1407" s="8">
        <v>48</v>
      </c>
      <c r="M1407" s="7">
        <f>IF(INDEX([1]equip.xml!$B:$B,MATCH(D1407,[1]equip.xml!$A:$A,0))=0,0,N1407)</f>
        <v>70</v>
      </c>
      <c r="N1407" s="8">
        <v>70</v>
      </c>
    </row>
    <row r="1408" spans="1:14">
      <c r="A1408" s="8">
        <f t="shared" si="2084"/>
        <v>10020</v>
      </c>
      <c r="B1408" s="8">
        <f t="shared" ref="B1408:C1408" si="2120">B1320</f>
        <v>40000</v>
      </c>
      <c r="C1408" s="8" t="str">
        <f t="shared" si="2120"/>
        <v>装备</v>
      </c>
      <c r="D1408" s="7">
        <f t="shared" si="2094"/>
        <v>50753055</v>
      </c>
      <c r="E1408" s="8"/>
      <c r="F1408" s="8">
        <v>1</v>
      </c>
      <c r="G1408" s="7">
        <f>3*INDEX([1]equip.xml!$I:$I,MATCH(D1408,[1]equip.xml!$A:$A,0))</f>
        <v>456000</v>
      </c>
      <c r="H1408" s="8" t="str">
        <f t="shared" ref="H1408:J1408" si="2121">H1320</f>
        <v>10_10,50_20,80_30</v>
      </c>
      <c r="I1408" s="8">
        <f t="shared" si="2121"/>
        <v>1</v>
      </c>
      <c r="J1408" s="8">
        <f t="shared" si="2121"/>
        <v>240</v>
      </c>
      <c r="K1408" s="7" t="s">
        <v>312</v>
      </c>
      <c r="L1408" s="8">
        <v>48</v>
      </c>
      <c r="M1408" s="7">
        <f>IF(INDEX([1]equip.xml!$B:$B,MATCH(D1408,[1]equip.xml!$A:$A,0))=0,0,N1408)</f>
        <v>70</v>
      </c>
      <c r="N1408" s="8">
        <v>70</v>
      </c>
    </row>
    <row r="1409" spans="1:14">
      <c r="A1409" s="8">
        <f t="shared" si="2084"/>
        <v>10020</v>
      </c>
      <c r="B1409" s="8">
        <f t="shared" ref="B1409:C1409" si="2122">B1321</f>
        <v>40000</v>
      </c>
      <c r="C1409" s="8" t="str">
        <f t="shared" si="2122"/>
        <v>装备</v>
      </c>
      <c r="D1409" s="7">
        <f t="shared" si="2094"/>
        <v>50753056</v>
      </c>
      <c r="E1409" s="8"/>
      <c r="F1409" s="8">
        <v>1</v>
      </c>
      <c r="G1409" s="7">
        <f>3*INDEX([1]equip.xml!$I:$I,MATCH(D1409,[1]equip.xml!$A:$A,0))</f>
        <v>474000</v>
      </c>
      <c r="H1409" s="8" t="str">
        <f t="shared" ref="H1409:J1409" si="2123">H1321</f>
        <v>10_10,50_20,80_30</v>
      </c>
      <c r="I1409" s="8">
        <f t="shared" si="2123"/>
        <v>1</v>
      </c>
      <c r="J1409" s="8">
        <f t="shared" si="2123"/>
        <v>240</v>
      </c>
      <c r="K1409" s="7" t="s">
        <v>312</v>
      </c>
      <c r="L1409" s="8">
        <v>48</v>
      </c>
      <c r="M1409" s="7">
        <f>IF(INDEX([1]equip.xml!$B:$B,MATCH(D1409,[1]equip.xml!$A:$A,0))=0,0,N1409)</f>
        <v>70</v>
      </c>
      <c r="N1409" s="8">
        <v>70</v>
      </c>
    </row>
    <row r="1410" spans="1:14">
      <c r="A1410" s="8">
        <f t="shared" si="2084"/>
        <v>10020</v>
      </c>
      <c r="B1410" s="8">
        <f t="shared" ref="B1410:C1410" si="2124">B1322</f>
        <v>40000</v>
      </c>
      <c r="C1410" s="8" t="str">
        <f t="shared" si="2124"/>
        <v>装备</v>
      </c>
      <c r="D1410" s="7">
        <f t="shared" si="2094"/>
        <v>50753065</v>
      </c>
      <c r="E1410" s="8"/>
      <c r="F1410" s="8">
        <v>1</v>
      </c>
      <c r="G1410" s="7">
        <f>3*INDEX([1]equip.xml!$I:$I,MATCH(D1410,[1]equip.xml!$A:$A,0))</f>
        <v>456000</v>
      </c>
      <c r="H1410" s="8" t="str">
        <f t="shared" ref="H1410:J1410" si="2125">H1322</f>
        <v>10_10,50_20,80_30</v>
      </c>
      <c r="I1410" s="8">
        <f t="shared" si="2125"/>
        <v>1</v>
      </c>
      <c r="J1410" s="8">
        <f t="shared" si="2125"/>
        <v>240</v>
      </c>
      <c r="K1410" s="7" t="s">
        <v>312</v>
      </c>
      <c r="L1410" s="8">
        <v>48</v>
      </c>
      <c r="M1410" s="7">
        <f>IF(INDEX([1]equip.xml!$B:$B,MATCH(D1410,[1]equip.xml!$A:$A,0))=0,0,N1410)</f>
        <v>70</v>
      </c>
      <c r="N1410" s="8">
        <v>70</v>
      </c>
    </row>
    <row r="1411" spans="1:14">
      <c r="A1411" s="8">
        <f t="shared" si="2084"/>
        <v>10020</v>
      </c>
      <c r="B1411" s="8">
        <f t="shared" ref="B1411:C1411" si="2126">B1323</f>
        <v>40000</v>
      </c>
      <c r="C1411" s="8" t="str">
        <f t="shared" si="2126"/>
        <v>装备</v>
      </c>
      <c r="D1411" s="7">
        <f t="shared" si="2094"/>
        <v>50753066</v>
      </c>
      <c r="E1411" s="8"/>
      <c r="F1411" s="8">
        <v>1</v>
      </c>
      <c r="G1411" s="7">
        <f>3*INDEX([1]equip.xml!$I:$I,MATCH(D1411,[1]equip.xml!$A:$A,0))</f>
        <v>474000</v>
      </c>
      <c r="H1411" s="8" t="str">
        <f t="shared" ref="H1411:J1411" si="2127">H1323</f>
        <v>10_10,50_20,80_30</v>
      </c>
      <c r="I1411" s="8">
        <f t="shared" si="2127"/>
        <v>1</v>
      </c>
      <c r="J1411" s="8">
        <f t="shared" si="2127"/>
        <v>240</v>
      </c>
      <c r="K1411" s="7" t="s">
        <v>312</v>
      </c>
      <c r="L1411" s="8">
        <v>48</v>
      </c>
      <c r="M1411" s="7">
        <f>IF(INDEX([1]equip.xml!$B:$B,MATCH(D1411,[1]equip.xml!$A:$A,0))=0,0,N1411)</f>
        <v>70</v>
      </c>
      <c r="N1411" s="8">
        <v>70</v>
      </c>
    </row>
    <row r="1412" spans="1:14">
      <c r="A1412" s="8">
        <f t="shared" si="2084"/>
        <v>10020</v>
      </c>
      <c r="B1412" s="8">
        <f t="shared" ref="B1412:C1412" si="2128">B1324</f>
        <v>40000</v>
      </c>
      <c r="C1412" s="8" t="str">
        <f t="shared" si="2128"/>
        <v>装备</v>
      </c>
      <c r="D1412" s="7">
        <f t="shared" si="2094"/>
        <v>50750045</v>
      </c>
      <c r="E1412" s="8"/>
      <c r="F1412" s="8">
        <v>1</v>
      </c>
      <c r="G1412" s="7">
        <f>3*INDEX([1]equip.xml!$I:$I,MATCH(D1412,[1]equip.xml!$A:$A,0))</f>
        <v>456000</v>
      </c>
      <c r="H1412" s="8" t="str">
        <f t="shared" ref="H1412:J1412" si="2129">H1324</f>
        <v>10_10,50_20,80_30</v>
      </c>
      <c r="I1412" s="8">
        <f t="shared" si="2129"/>
        <v>1</v>
      </c>
      <c r="J1412" s="8">
        <f t="shared" si="2129"/>
        <v>240</v>
      </c>
      <c r="K1412" s="7" t="s">
        <v>312</v>
      </c>
      <c r="L1412" s="8">
        <v>48</v>
      </c>
      <c r="M1412" s="7">
        <f>IF(INDEX([1]equip.xml!$B:$B,MATCH(D1412,[1]equip.xml!$A:$A,0))=0,0,N1412)</f>
        <v>70</v>
      </c>
      <c r="N1412" s="8">
        <v>70</v>
      </c>
    </row>
    <row r="1413" spans="1:14">
      <c r="A1413" s="8">
        <f t="shared" si="2084"/>
        <v>10020</v>
      </c>
      <c r="B1413" s="8">
        <f t="shared" ref="B1413:C1413" si="2130">B1325</f>
        <v>40000</v>
      </c>
      <c r="C1413" s="8" t="str">
        <f t="shared" si="2130"/>
        <v>装备</v>
      </c>
      <c r="D1413" s="7">
        <f t="shared" si="2094"/>
        <v>50750046</v>
      </c>
      <c r="E1413" s="8"/>
      <c r="F1413" s="8">
        <v>1</v>
      </c>
      <c r="G1413" s="7">
        <f>3*INDEX([1]equip.xml!$I:$I,MATCH(D1413,[1]equip.xml!$A:$A,0))</f>
        <v>474000</v>
      </c>
      <c r="H1413" s="8" t="str">
        <f t="shared" ref="H1413:J1413" si="2131">H1325</f>
        <v>10_10,50_20,80_30</v>
      </c>
      <c r="I1413" s="8">
        <f t="shared" si="2131"/>
        <v>1</v>
      </c>
      <c r="J1413" s="8">
        <f t="shared" si="2131"/>
        <v>240</v>
      </c>
      <c r="K1413" s="7" t="s">
        <v>312</v>
      </c>
      <c r="L1413" s="8">
        <v>48</v>
      </c>
      <c r="M1413" s="7">
        <f>IF(INDEX([1]equip.xml!$B:$B,MATCH(D1413,[1]equip.xml!$A:$A,0))=0,0,N1413)</f>
        <v>70</v>
      </c>
      <c r="N1413" s="8">
        <v>70</v>
      </c>
    </row>
    <row r="1414" spans="1:14">
      <c r="A1414" s="8">
        <f t="shared" si="2084"/>
        <v>10020</v>
      </c>
      <c r="B1414" s="8">
        <f t="shared" ref="B1414:C1414" si="2132">B1326</f>
        <v>40000</v>
      </c>
      <c r="C1414" s="8" t="str">
        <f t="shared" si="2132"/>
        <v>装备</v>
      </c>
      <c r="D1414" s="7">
        <f t="shared" si="2094"/>
        <v>50750075</v>
      </c>
      <c r="E1414" s="8"/>
      <c r="F1414" s="8">
        <v>1</v>
      </c>
      <c r="G1414" s="7">
        <f>3*INDEX([1]equip.xml!$I:$I,MATCH(D1414,[1]equip.xml!$A:$A,0))</f>
        <v>456000</v>
      </c>
      <c r="H1414" s="8" t="str">
        <f t="shared" ref="H1414:J1414" si="2133">H1326</f>
        <v>10_10,50_20,80_30</v>
      </c>
      <c r="I1414" s="8">
        <f t="shared" si="2133"/>
        <v>1</v>
      </c>
      <c r="J1414" s="8">
        <f t="shared" si="2133"/>
        <v>240</v>
      </c>
      <c r="K1414" s="7" t="s">
        <v>312</v>
      </c>
      <c r="L1414" s="8">
        <v>48</v>
      </c>
      <c r="M1414" s="7">
        <f>IF(INDEX([1]equip.xml!$B:$B,MATCH(D1414,[1]equip.xml!$A:$A,0))=0,0,N1414)</f>
        <v>70</v>
      </c>
      <c r="N1414" s="8">
        <v>70</v>
      </c>
    </row>
    <row r="1415" spans="1:14">
      <c r="A1415" s="8">
        <f t="shared" si="2084"/>
        <v>10020</v>
      </c>
      <c r="B1415" s="8">
        <f t="shared" ref="B1415:C1415" si="2134">B1327</f>
        <v>40000</v>
      </c>
      <c r="C1415" s="8" t="str">
        <f t="shared" si="2134"/>
        <v>装备</v>
      </c>
      <c r="D1415" s="7">
        <f t="shared" si="2094"/>
        <v>50750076</v>
      </c>
      <c r="E1415" s="8"/>
      <c r="F1415" s="8">
        <v>1</v>
      </c>
      <c r="G1415" s="7">
        <f>3*INDEX([1]equip.xml!$I:$I,MATCH(D1415,[1]equip.xml!$A:$A,0))</f>
        <v>474000</v>
      </c>
      <c r="H1415" s="8" t="str">
        <f t="shared" ref="H1415:J1415" si="2135">H1327</f>
        <v>10_10,50_20,80_30</v>
      </c>
      <c r="I1415" s="8">
        <f t="shared" si="2135"/>
        <v>1</v>
      </c>
      <c r="J1415" s="8">
        <f t="shared" si="2135"/>
        <v>240</v>
      </c>
      <c r="K1415" s="7" t="s">
        <v>312</v>
      </c>
      <c r="L1415" s="8">
        <v>48</v>
      </c>
      <c r="M1415" s="7">
        <f>IF(INDEX([1]equip.xml!$B:$B,MATCH(D1415,[1]equip.xml!$A:$A,0))=0,0,N1415)</f>
        <v>70</v>
      </c>
      <c r="N1415" s="8">
        <v>70</v>
      </c>
    </row>
    <row r="1416" spans="1:14">
      <c r="A1416" s="8">
        <f t="shared" si="2084"/>
        <v>10020</v>
      </c>
      <c r="B1416" s="8">
        <f t="shared" ref="B1416:C1416" si="2136">B1328</f>
        <v>40000</v>
      </c>
      <c r="C1416" s="8" t="str">
        <f t="shared" si="2136"/>
        <v>装备</v>
      </c>
      <c r="D1416" s="7">
        <f t="shared" si="2094"/>
        <v>50800015</v>
      </c>
      <c r="E1416" s="8"/>
      <c r="F1416" s="8">
        <v>1</v>
      </c>
      <c r="G1416" s="7">
        <f>3*INDEX([1]equip.xml!$I:$I,MATCH(D1416,[1]equip.xml!$A:$A,0))</f>
        <v>492000</v>
      </c>
      <c r="H1416" s="8" t="str">
        <f t="shared" ref="H1416:J1416" si="2137">H1328</f>
        <v>10_10,50_20,80_30</v>
      </c>
      <c r="I1416" s="8">
        <f t="shared" si="2137"/>
        <v>1</v>
      </c>
      <c r="J1416" s="8">
        <f t="shared" si="2137"/>
        <v>240</v>
      </c>
      <c r="K1416" s="7" t="s">
        <v>312</v>
      </c>
      <c r="L1416" s="8">
        <v>48</v>
      </c>
      <c r="M1416" s="7">
        <f>IF(INDEX([1]equip.xml!$B:$B,MATCH(D1416,[1]equip.xml!$A:$A,0))=0,0,N1416)</f>
        <v>7</v>
      </c>
      <c r="N1416" s="8">
        <v>7</v>
      </c>
    </row>
    <row r="1417" spans="1:14">
      <c r="A1417" s="8">
        <f t="shared" si="2084"/>
        <v>10020</v>
      </c>
      <c r="B1417" s="8">
        <f t="shared" ref="B1417:C1417" si="2138">B1329</f>
        <v>40000</v>
      </c>
      <c r="C1417" s="8" t="str">
        <f t="shared" si="2138"/>
        <v>装备</v>
      </c>
      <c r="D1417" s="7">
        <f t="shared" si="2094"/>
        <v>50800025</v>
      </c>
      <c r="E1417" s="8"/>
      <c r="F1417" s="8">
        <v>1</v>
      </c>
      <c r="G1417" s="7">
        <f>3*INDEX([1]equip.xml!$I:$I,MATCH(D1417,[1]equip.xml!$A:$A,0))</f>
        <v>492000</v>
      </c>
      <c r="H1417" s="8" t="str">
        <f t="shared" ref="H1417:J1417" si="2139">H1329</f>
        <v>10_10,50_20,80_30</v>
      </c>
      <c r="I1417" s="8">
        <f t="shared" si="2139"/>
        <v>1</v>
      </c>
      <c r="J1417" s="8">
        <f t="shared" si="2139"/>
        <v>240</v>
      </c>
      <c r="K1417" s="7" t="s">
        <v>312</v>
      </c>
      <c r="L1417" s="8">
        <v>48</v>
      </c>
      <c r="M1417" s="7">
        <f>IF(INDEX([1]equip.xml!$B:$B,MATCH(D1417,[1]equip.xml!$A:$A,0))=0,0,N1417)</f>
        <v>7</v>
      </c>
      <c r="N1417" s="8">
        <v>7</v>
      </c>
    </row>
    <row r="1418" spans="1:14">
      <c r="A1418" s="8">
        <f t="shared" si="2084"/>
        <v>10020</v>
      </c>
      <c r="B1418" s="8">
        <f t="shared" ref="B1418:C1418" si="2140">B1330</f>
        <v>40000</v>
      </c>
      <c r="C1418" s="8" t="str">
        <f t="shared" si="2140"/>
        <v>装备</v>
      </c>
      <c r="D1418" s="7">
        <f t="shared" si="2094"/>
        <v>50800035</v>
      </c>
      <c r="E1418" s="8"/>
      <c r="F1418" s="8">
        <v>1</v>
      </c>
      <c r="G1418" s="7">
        <f>3*INDEX([1]equip.xml!$I:$I,MATCH(D1418,[1]equip.xml!$A:$A,0))</f>
        <v>492000</v>
      </c>
      <c r="H1418" s="8" t="str">
        <f t="shared" ref="H1418:J1418" si="2141">H1330</f>
        <v>10_10,50_20,80_30</v>
      </c>
      <c r="I1418" s="8">
        <f t="shared" si="2141"/>
        <v>1</v>
      </c>
      <c r="J1418" s="8">
        <f t="shared" si="2141"/>
        <v>240</v>
      </c>
      <c r="K1418" s="7" t="s">
        <v>312</v>
      </c>
      <c r="L1418" s="8">
        <v>48</v>
      </c>
      <c r="M1418" s="7">
        <f>IF(INDEX([1]equip.xml!$B:$B,MATCH(D1418,[1]equip.xml!$A:$A,0))=0,0,N1418)</f>
        <v>7</v>
      </c>
      <c r="N1418" s="8">
        <v>7</v>
      </c>
    </row>
    <row r="1419" spans="1:14">
      <c r="A1419" s="8">
        <f t="shared" si="2084"/>
        <v>10020</v>
      </c>
      <c r="B1419" s="8">
        <f t="shared" ref="B1419:C1419" si="2142">B1331</f>
        <v>40000</v>
      </c>
      <c r="C1419" s="8" t="str">
        <f t="shared" si="2142"/>
        <v>装备</v>
      </c>
      <c r="D1419" s="7">
        <f t="shared" si="2094"/>
        <v>50800085</v>
      </c>
      <c r="E1419" s="8"/>
      <c r="F1419" s="8">
        <v>1</v>
      </c>
      <c r="G1419" s="7">
        <f>3*INDEX([1]equip.xml!$I:$I,MATCH(D1419,[1]equip.xml!$A:$A,0))</f>
        <v>492000</v>
      </c>
      <c r="H1419" s="8" t="str">
        <f t="shared" ref="H1419:J1419" si="2143">H1331</f>
        <v>10_10,50_20,80_30</v>
      </c>
      <c r="I1419" s="8">
        <f t="shared" si="2143"/>
        <v>1</v>
      </c>
      <c r="J1419" s="8">
        <f t="shared" si="2143"/>
        <v>240</v>
      </c>
      <c r="K1419" s="7" t="s">
        <v>312</v>
      </c>
      <c r="L1419" s="8">
        <v>48</v>
      </c>
      <c r="M1419" s="7">
        <f>IF(INDEX([1]equip.xml!$B:$B,MATCH(D1419,[1]equip.xml!$A:$A,0))=0,0,N1419)</f>
        <v>7</v>
      </c>
      <c r="N1419" s="8">
        <v>7</v>
      </c>
    </row>
    <row r="1420" spans="1:14">
      <c r="A1420" s="8">
        <f t="shared" si="2084"/>
        <v>10020</v>
      </c>
      <c r="B1420" s="8">
        <f t="shared" ref="B1420:C1420" si="2144">B1332</f>
        <v>40000</v>
      </c>
      <c r="C1420" s="8" t="str">
        <f t="shared" si="2144"/>
        <v>装备</v>
      </c>
      <c r="D1420" s="7">
        <f t="shared" si="2094"/>
        <v>50800095</v>
      </c>
      <c r="E1420" s="8"/>
      <c r="F1420" s="8">
        <v>1</v>
      </c>
      <c r="G1420" s="7">
        <f>3*INDEX([1]equip.xml!$I:$I,MATCH(D1420,[1]equip.xml!$A:$A,0))</f>
        <v>492000</v>
      </c>
      <c r="H1420" s="8" t="str">
        <f t="shared" ref="H1420:J1420" si="2145">H1332</f>
        <v>10_10,50_20,80_30</v>
      </c>
      <c r="I1420" s="8">
        <f t="shared" si="2145"/>
        <v>1</v>
      </c>
      <c r="J1420" s="8">
        <f t="shared" si="2145"/>
        <v>240</v>
      </c>
      <c r="K1420" s="7" t="s">
        <v>312</v>
      </c>
      <c r="L1420" s="8">
        <v>48</v>
      </c>
      <c r="M1420" s="7">
        <f>IF(INDEX([1]equip.xml!$B:$B,MATCH(D1420,[1]equip.xml!$A:$A,0))=0,0,N1420)</f>
        <v>7</v>
      </c>
      <c r="N1420" s="8">
        <v>7</v>
      </c>
    </row>
    <row r="1421" spans="1:14">
      <c r="A1421" s="8">
        <f t="shared" si="2084"/>
        <v>10020</v>
      </c>
      <c r="B1421" s="8">
        <f t="shared" ref="B1421:C1421" si="2146">B1333</f>
        <v>40000</v>
      </c>
      <c r="C1421" s="8" t="str">
        <f t="shared" si="2146"/>
        <v>装备</v>
      </c>
      <c r="D1421" s="7">
        <f t="shared" si="2094"/>
        <v>50800105</v>
      </c>
      <c r="E1421" s="8"/>
      <c r="F1421" s="8">
        <v>1</v>
      </c>
      <c r="G1421" s="7">
        <f>3*INDEX([1]equip.xml!$I:$I,MATCH(D1421,[1]equip.xml!$A:$A,0))</f>
        <v>492000</v>
      </c>
      <c r="H1421" s="8" t="str">
        <f t="shared" ref="H1421:J1421" si="2147">H1333</f>
        <v>10_10,50_20,80_30</v>
      </c>
      <c r="I1421" s="8">
        <f t="shared" si="2147"/>
        <v>1</v>
      </c>
      <c r="J1421" s="8">
        <f t="shared" si="2147"/>
        <v>240</v>
      </c>
      <c r="K1421" s="7" t="s">
        <v>312</v>
      </c>
      <c r="L1421" s="8">
        <v>48</v>
      </c>
      <c r="M1421" s="7">
        <f>IF(INDEX([1]equip.xml!$B:$B,MATCH(D1421,[1]equip.xml!$A:$A,0))=0,0,N1421)</f>
        <v>7</v>
      </c>
      <c r="N1421" s="8">
        <v>7</v>
      </c>
    </row>
    <row r="1422" spans="1:14">
      <c r="A1422" s="8">
        <f t="shared" si="2084"/>
        <v>10020</v>
      </c>
      <c r="B1422" s="8">
        <f t="shared" ref="B1422:C1422" si="2148">B1334</f>
        <v>40000</v>
      </c>
      <c r="C1422" s="8" t="str">
        <f t="shared" si="2148"/>
        <v>装备</v>
      </c>
      <c r="D1422" s="7">
        <f t="shared" si="2094"/>
        <v>50801055</v>
      </c>
      <c r="E1422" s="8"/>
      <c r="F1422" s="8">
        <v>1</v>
      </c>
      <c r="G1422" s="7">
        <f>3*INDEX([1]equip.xml!$I:$I,MATCH(D1422,[1]equip.xml!$A:$A,0))</f>
        <v>492000</v>
      </c>
      <c r="H1422" s="8" t="str">
        <f t="shared" ref="H1422:J1422" si="2149">H1334</f>
        <v>10_10,50_20,80_30</v>
      </c>
      <c r="I1422" s="8">
        <f t="shared" si="2149"/>
        <v>1</v>
      </c>
      <c r="J1422" s="8">
        <f t="shared" si="2149"/>
        <v>240</v>
      </c>
      <c r="K1422" s="7" t="s">
        <v>312</v>
      </c>
      <c r="L1422" s="8">
        <v>48</v>
      </c>
      <c r="M1422" s="7">
        <f>IF(INDEX([1]equip.xml!$B:$B,MATCH(D1422,[1]equip.xml!$A:$A,0))=0,0,N1422)</f>
        <v>7</v>
      </c>
      <c r="N1422" s="8">
        <v>7</v>
      </c>
    </row>
    <row r="1423" spans="1:14">
      <c r="A1423" s="8">
        <f t="shared" si="2084"/>
        <v>10020</v>
      </c>
      <c r="B1423" s="8">
        <f t="shared" ref="B1423:C1423" si="2150">B1335</f>
        <v>40000</v>
      </c>
      <c r="C1423" s="8" t="str">
        <f t="shared" si="2150"/>
        <v>装备</v>
      </c>
      <c r="D1423" s="7">
        <f t="shared" si="2094"/>
        <v>50801056</v>
      </c>
      <c r="E1423" s="8"/>
      <c r="F1423" s="8">
        <v>1</v>
      </c>
      <c r="G1423" s="7">
        <f>3*INDEX([1]equip.xml!$I:$I,MATCH(D1423,[1]equip.xml!$A:$A,0))</f>
        <v>510000</v>
      </c>
      <c r="H1423" s="8" t="str">
        <f t="shared" ref="H1423:J1423" si="2151">H1335</f>
        <v>10_10,50_20,80_30</v>
      </c>
      <c r="I1423" s="8">
        <f t="shared" si="2151"/>
        <v>1</v>
      </c>
      <c r="J1423" s="8">
        <f t="shared" si="2151"/>
        <v>240</v>
      </c>
      <c r="K1423" s="7" t="s">
        <v>312</v>
      </c>
      <c r="L1423" s="8">
        <v>48</v>
      </c>
      <c r="M1423" s="7">
        <f>IF(INDEX([1]equip.xml!$B:$B,MATCH(D1423,[1]equip.xml!$A:$A,0))=0,0,N1423)</f>
        <v>7</v>
      </c>
      <c r="N1423" s="8">
        <v>7</v>
      </c>
    </row>
    <row r="1424" spans="1:14">
      <c r="A1424" s="8">
        <f t="shared" si="2084"/>
        <v>10020</v>
      </c>
      <c r="B1424" s="8">
        <f t="shared" ref="B1424:C1424" si="2152">B1336</f>
        <v>40000</v>
      </c>
      <c r="C1424" s="8" t="str">
        <f t="shared" si="2152"/>
        <v>装备</v>
      </c>
      <c r="D1424" s="7">
        <f t="shared" si="2094"/>
        <v>50801065</v>
      </c>
      <c r="E1424" s="8"/>
      <c r="F1424" s="8">
        <v>1</v>
      </c>
      <c r="G1424" s="7">
        <f>3*INDEX([1]equip.xml!$I:$I,MATCH(D1424,[1]equip.xml!$A:$A,0))</f>
        <v>492000</v>
      </c>
      <c r="H1424" s="8" t="str">
        <f t="shared" ref="H1424:J1424" si="2153">H1336</f>
        <v>10_10,50_20,80_30</v>
      </c>
      <c r="I1424" s="8">
        <f t="shared" si="2153"/>
        <v>1</v>
      </c>
      <c r="J1424" s="8">
        <f t="shared" si="2153"/>
        <v>240</v>
      </c>
      <c r="K1424" s="7" t="s">
        <v>312</v>
      </c>
      <c r="L1424" s="8">
        <v>48</v>
      </c>
      <c r="M1424" s="7">
        <f>IF(INDEX([1]equip.xml!$B:$B,MATCH(D1424,[1]equip.xml!$A:$A,0))=0,0,N1424)</f>
        <v>7</v>
      </c>
      <c r="N1424" s="8">
        <v>7</v>
      </c>
    </row>
    <row r="1425" spans="1:14">
      <c r="A1425" s="8">
        <f t="shared" si="2084"/>
        <v>10020</v>
      </c>
      <c r="B1425" s="8">
        <f t="shared" ref="B1425:C1425" si="2154">B1337</f>
        <v>40000</v>
      </c>
      <c r="C1425" s="8" t="str">
        <f t="shared" si="2154"/>
        <v>装备</v>
      </c>
      <c r="D1425" s="7">
        <f t="shared" si="2094"/>
        <v>50801066</v>
      </c>
      <c r="E1425" s="8"/>
      <c r="F1425" s="8">
        <v>1</v>
      </c>
      <c r="G1425" s="7">
        <f>3*INDEX([1]equip.xml!$I:$I,MATCH(D1425,[1]equip.xml!$A:$A,0))</f>
        <v>510000</v>
      </c>
      <c r="H1425" s="8" t="str">
        <f t="shared" ref="H1425:J1425" si="2155">H1337</f>
        <v>10_10,50_20,80_30</v>
      </c>
      <c r="I1425" s="8">
        <f t="shared" si="2155"/>
        <v>1</v>
      </c>
      <c r="J1425" s="8">
        <f t="shared" si="2155"/>
        <v>240</v>
      </c>
      <c r="K1425" s="7" t="s">
        <v>312</v>
      </c>
      <c r="L1425" s="8">
        <v>48</v>
      </c>
      <c r="M1425" s="7">
        <f>IF(INDEX([1]equip.xml!$B:$B,MATCH(D1425,[1]equip.xml!$A:$A,0))=0,0,N1425)</f>
        <v>7</v>
      </c>
      <c r="N1425" s="8">
        <v>7</v>
      </c>
    </row>
    <row r="1426" spans="1:14">
      <c r="A1426" s="8">
        <f t="shared" si="2084"/>
        <v>10020</v>
      </c>
      <c r="B1426" s="8">
        <f t="shared" ref="B1426:C1426" si="2156">B1338</f>
        <v>40000</v>
      </c>
      <c r="C1426" s="8" t="str">
        <f t="shared" si="2156"/>
        <v>装备</v>
      </c>
      <c r="D1426" s="7">
        <f t="shared" si="2094"/>
        <v>50802055</v>
      </c>
      <c r="E1426" s="8"/>
      <c r="F1426" s="8">
        <v>1</v>
      </c>
      <c r="G1426" s="7">
        <f>3*INDEX([1]equip.xml!$I:$I,MATCH(D1426,[1]equip.xml!$A:$A,0))</f>
        <v>492000</v>
      </c>
      <c r="H1426" s="8" t="str">
        <f t="shared" ref="H1426:J1426" si="2157">H1338</f>
        <v>10_10,50_20,80_30</v>
      </c>
      <c r="I1426" s="8">
        <f t="shared" si="2157"/>
        <v>1</v>
      </c>
      <c r="J1426" s="8">
        <f t="shared" si="2157"/>
        <v>240</v>
      </c>
      <c r="K1426" s="7" t="s">
        <v>312</v>
      </c>
      <c r="L1426" s="8">
        <v>48</v>
      </c>
      <c r="M1426" s="7">
        <f>IF(INDEX([1]equip.xml!$B:$B,MATCH(D1426,[1]equip.xml!$A:$A,0))=0,0,N1426)</f>
        <v>7</v>
      </c>
      <c r="N1426" s="8">
        <v>7</v>
      </c>
    </row>
    <row r="1427" spans="1:14">
      <c r="A1427" s="8">
        <f t="shared" si="2084"/>
        <v>10020</v>
      </c>
      <c r="B1427" s="8">
        <f t="shared" ref="B1427:C1427" si="2158">B1339</f>
        <v>40000</v>
      </c>
      <c r="C1427" s="8" t="str">
        <f t="shared" si="2158"/>
        <v>装备</v>
      </c>
      <c r="D1427" s="7">
        <f t="shared" si="2094"/>
        <v>50802056</v>
      </c>
      <c r="E1427" s="8"/>
      <c r="F1427" s="8">
        <v>1</v>
      </c>
      <c r="G1427" s="7">
        <f>3*INDEX([1]equip.xml!$I:$I,MATCH(D1427,[1]equip.xml!$A:$A,0))</f>
        <v>510000</v>
      </c>
      <c r="H1427" s="8" t="str">
        <f t="shared" ref="H1427:J1427" si="2159">H1339</f>
        <v>10_10,50_20,80_30</v>
      </c>
      <c r="I1427" s="8">
        <f t="shared" si="2159"/>
        <v>1</v>
      </c>
      <c r="J1427" s="8">
        <f t="shared" si="2159"/>
        <v>240</v>
      </c>
      <c r="K1427" s="7" t="s">
        <v>312</v>
      </c>
      <c r="L1427" s="8">
        <v>48</v>
      </c>
      <c r="M1427" s="7">
        <f>IF(INDEX([1]equip.xml!$B:$B,MATCH(D1427,[1]equip.xml!$A:$A,0))=0,0,N1427)</f>
        <v>7</v>
      </c>
      <c r="N1427" s="8">
        <v>7</v>
      </c>
    </row>
    <row r="1428" spans="1:14">
      <c r="A1428" s="8">
        <f t="shared" si="2084"/>
        <v>10020</v>
      </c>
      <c r="B1428" s="8">
        <f t="shared" ref="B1428:C1428" si="2160">B1340</f>
        <v>40000</v>
      </c>
      <c r="C1428" s="8" t="str">
        <f t="shared" si="2160"/>
        <v>装备</v>
      </c>
      <c r="D1428" s="7">
        <f t="shared" si="2094"/>
        <v>50802065</v>
      </c>
      <c r="E1428" s="8"/>
      <c r="F1428" s="8">
        <v>1</v>
      </c>
      <c r="G1428" s="7">
        <f>3*INDEX([1]equip.xml!$I:$I,MATCH(D1428,[1]equip.xml!$A:$A,0))</f>
        <v>492000</v>
      </c>
      <c r="H1428" s="8" t="str">
        <f t="shared" ref="H1428:J1428" si="2161">H1340</f>
        <v>10_10,50_20,80_30</v>
      </c>
      <c r="I1428" s="8">
        <f t="shared" si="2161"/>
        <v>1</v>
      </c>
      <c r="J1428" s="8">
        <f t="shared" si="2161"/>
        <v>240</v>
      </c>
      <c r="K1428" s="7" t="s">
        <v>312</v>
      </c>
      <c r="L1428" s="8">
        <v>48</v>
      </c>
      <c r="M1428" s="7">
        <f>IF(INDEX([1]equip.xml!$B:$B,MATCH(D1428,[1]equip.xml!$A:$A,0))=0,0,N1428)</f>
        <v>7</v>
      </c>
      <c r="N1428" s="8">
        <v>7</v>
      </c>
    </row>
    <row r="1429" spans="1:14">
      <c r="A1429" s="8">
        <f t="shared" si="2084"/>
        <v>10020</v>
      </c>
      <c r="B1429" s="8">
        <f t="shared" ref="B1429:C1429" si="2162">B1341</f>
        <v>40000</v>
      </c>
      <c r="C1429" s="8" t="str">
        <f t="shared" si="2162"/>
        <v>装备</v>
      </c>
      <c r="D1429" s="7">
        <f t="shared" si="2094"/>
        <v>50802066</v>
      </c>
      <c r="E1429" s="8"/>
      <c r="F1429" s="8">
        <v>1</v>
      </c>
      <c r="G1429" s="7">
        <f>3*INDEX([1]equip.xml!$I:$I,MATCH(D1429,[1]equip.xml!$A:$A,0))</f>
        <v>510000</v>
      </c>
      <c r="H1429" s="8" t="str">
        <f t="shared" ref="H1429:J1429" si="2163">H1341</f>
        <v>10_10,50_20,80_30</v>
      </c>
      <c r="I1429" s="8">
        <f t="shared" si="2163"/>
        <v>1</v>
      </c>
      <c r="J1429" s="8">
        <f t="shared" si="2163"/>
        <v>240</v>
      </c>
      <c r="K1429" s="7" t="s">
        <v>312</v>
      </c>
      <c r="L1429" s="8">
        <v>48</v>
      </c>
      <c r="M1429" s="7">
        <f>IF(INDEX([1]equip.xml!$B:$B,MATCH(D1429,[1]equip.xml!$A:$A,0))=0,0,N1429)</f>
        <v>7</v>
      </c>
      <c r="N1429" s="8">
        <v>7</v>
      </c>
    </row>
    <row r="1430" spans="1:14">
      <c r="A1430" s="8">
        <f t="shared" si="2084"/>
        <v>10020</v>
      </c>
      <c r="B1430" s="8">
        <f t="shared" ref="B1430:C1430" si="2164">B1342</f>
        <v>40000</v>
      </c>
      <c r="C1430" s="8" t="str">
        <f t="shared" si="2164"/>
        <v>装备</v>
      </c>
      <c r="D1430" s="7">
        <f t="shared" si="2094"/>
        <v>50803055</v>
      </c>
      <c r="E1430" s="8"/>
      <c r="F1430" s="8">
        <v>1</v>
      </c>
      <c r="G1430" s="7">
        <f>3*INDEX([1]equip.xml!$I:$I,MATCH(D1430,[1]equip.xml!$A:$A,0))</f>
        <v>492000</v>
      </c>
      <c r="H1430" s="8" t="str">
        <f t="shared" ref="H1430:J1430" si="2165">H1342</f>
        <v>10_10,50_20,80_30</v>
      </c>
      <c r="I1430" s="8">
        <f t="shared" si="2165"/>
        <v>1</v>
      </c>
      <c r="J1430" s="8">
        <f t="shared" si="2165"/>
        <v>240</v>
      </c>
      <c r="K1430" s="7" t="s">
        <v>312</v>
      </c>
      <c r="L1430" s="8">
        <v>48</v>
      </c>
      <c r="M1430" s="7">
        <f>IF(INDEX([1]equip.xml!$B:$B,MATCH(D1430,[1]equip.xml!$A:$A,0))=0,0,N1430)</f>
        <v>7</v>
      </c>
      <c r="N1430" s="8">
        <v>7</v>
      </c>
    </row>
    <row r="1431" spans="1:14">
      <c r="A1431" s="8">
        <f t="shared" si="2084"/>
        <v>10020</v>
      </c>
      <c r="B1431" s="8">
        <f t="shared" ref="B1431:C1431" si="2166">B1343</f>
        <v>40000</v>
      </c>
      <c r="C1431" s="8" t="str">
        <f t="shared" si="2166"/>
        <v>装备</v>
      </c>
      <c r="D1431" s="7">
        <f t="shared" si="2094"/>
        <v>50803056</v>
      </c>
      <c r="E1431" s="8"/>
      <c r="F1431" s="8">
        <v>1</v>
      </c>
      <c r="G1431" s="7">
        <f>3*INDEX([1]equip.xml!$I:$I,MATCH(D1431,[1]equip.xml!$A:$A,0))</f>
        <v>510000</v>
      </c>
      <c r="H1431" s="8" t="str">
        <f t="shared" ref="H1431:J1431" si="2167">H1343</f>
        <v>10_10,50_20,80_30</v>
      </c>
      <c r="I1431" s="8">
        <f t="shared" si="2167"/>
        <v>1</v>
      </c>
      <c r="J1431" s="8">
        <f t="shared" si="2167"/>
        <v>240</v>
      </c>
      <c r="K1431" s="7" t="s">
        <v>312</v>
      </c>
      <c r="L1431" s="8">
        <v>48</v>
      </c>
      <c r="M1431" s="7">
        <f>IF(INDEX([1]equip.xml!$B:$B,MATCH(D1431,[1]equip.xml!$A:$A,0))=0,0,N1431)</f>
        <v>7</v>
      </c>
      <c r="N1431" s="8">
        <v>7</v>
      </c>
    </row>
    <row r="1432" spans="1:14">
      <c r="A1432" s="8">
        <f t="shared" si="2084"/>
        <v>10020</v>
      </c>
      <c r="B1432" s="8">
        <f t="shared" ref="B1432:C1432" si="2168">B1344</f>
        <v>40000</v>
      </c>
      <c r="C1432" s="8" t="str">
        <f t="shared" si="2168"/>
        <v>装备</v>
      </c>
      <c r="D1432" s="7">
        <f t="shared" si="2094"/>
        <v>50803065</v>
      </c>
      <c r="E1432" s="8"/>
      <c r="F1432" s="8">
        <v>1</v>
      </c>
      <c r="G1432" s="7">
        <f>3*INDEX([1]equip.xml!$I:$I,MATCH(D1432,[1]equip.xml!$A:$A,0))</f>
        <v>492000</v>
      </c>
      <c r="H1432" s="8" t="str">
        <f t="shared" ref="H1432:J1432" si="2169">H1344</f>
        <v>10_10,50_20,80_30</v>
      </c>
      <c r="I1432" s="8">
        <f t="shared" si="2169"/>
        <v>1</v>
      </c>
      <c r="J1432" s="8">
        <f t="shared" si="2169"/>
        <v>240</v>
      </c>
      <c r="K1432" s="7" t="s">
        <v>312</v>
      </c>
      <c r="L1432" s="8">
        <v>48</v>
      </c>
      <c r="M1432" s="7">
        <f>IF(INDEX([1]equip.xml!$B:$B,MATCH(D1432,[1]equip.xml!$A:$A,0))=0,0,N1432)</f>
        <v>7</v>
      </c>
      <c r="N1432" s="8">
        <v>7</v>
      </c>
    </row>
    <row r="1433" spans="1:14">
      <c r="A1433" s="8">
        <f t="shared" si="2084"/>
        <v>10020</v>
      </c>
      <c r="B1433" s="8">
        <f t="shared" ref="B1433:C1433" si="2170">B1345</f>
        <v>40000</v>
      </c>
      <c r="C1433" s="8" t="str">
        <f t="shared" si="2170"/>
        <v>装备</v>
      </c>
      <c r="D1433" s="7">
        <f t="shared" si="2094"/>
        <v>50803066</v>
      </c>
      <c r="E1433" s="8"/>
      <c r="F1433" s="8">
        <v>1</v>
      </c>
      <c r="G1433" s="7">
        <f>3*INDEX([1]equip.xml!$I:$I,MATCH(D1433,[1]equip.xml!$A:$A,0))</f>
        <v>510000</v>
      </c>
      <c r="H1433" s="8" t="str">
        <f t="shared" ref="H1433:J1433" si="2171">H1345</f>
        <v>10_10,50_20,80_30</v>
      </c>
      <c r="I1433" s="8">
        <f t="shared" si="2171"/>
        <v>1</v>
      </c>
      <c r="J1433" s="8">
        <f t="shared" si="2171"/>
        <v>240</v>
      </c>
      <c r="K1433" s="7" t="s">
        <v>312</v>
      </c>
      <c r="L1433" s="8">
        <v>48</v>
      </c>
      <c r="M1433" s="7">
        <f>IF(INDEX([1]equip.xml!$B:$B,MATCH(D1433,[1]equip.xml!$A:$A,0))=0,0,N1433)</f>
        <v>7</v>
      </c>
      <c r="N1433" s="8">
        <v>7</v>
      </c>
    </row>
    <row r="1434" spans="1:14">
      <c r="A1434" s="8">
        <f t="shared" si="2084"/>
        <v>10020</v>
      </c>
      <c r="B1434" s="8">
        <f t="shared" ref="B1434:C1434" si="2172">B1346</f>
        <v>40000</v>
      </c>
      <c r="C1434" s="8" t="str">
        <f t="shared" si="2172"/>
        <v>装备</v>
      </c>
      <c r="D1434" s="7">
        <f t="shared" si="2094"/>
        <v>50800045</v>
      </c>
      <c r="E1434" s="8"/>
      <c r="F1434" s="8">
        <v>1</v>
      </c>
      <c r="G1434" s="7">
        <f>3*INDEX([1]equip.xml!$I:$I,MATCH(D1434,[1]equip.xml!$A:$A,0))</f>
        <v>492000</v>
      </c>
      <c r="H1434" s="8" t="str">
        <f t="shared" ref="H1434:J1434" si="2173">H1346</f>
        <v>10_10,50_20,80_30</v>
      </c>
      <c r="I1434" s="8">
        <f t="shared" si="2173"/>
        <v>1</v>
      </c>
      <c r="J1434" s="8">
        <f t="shared" si="2173"/>
        <v>240</v>
      </c>
      <c r="K1434" s="7" t="s">
        <v>312</v>
      </c>
      <c r="L1434" s="8">
        <v>48</v>
      </c>
      <c r="M1434" s="7">
        <f>IF(INDEX([1]equip.xml!$B:$B,MATCH(D1434,[1]equip.xml!$A:$A,0))=0,0,N1434)</f>
        <v>7</v>
      </c>
      <c r="N1434" s="8">
        <v>7</v>
      </c>
    </row>
    <row r="1435" spans="1:14">
      <c r="A1435" s="8">
        <f t="shared" si="2084"/>
        <v>10020</v>
      </c>
      <c r="B1435" s="8">
        <f t="shared" ref="B1435:C1435" si="2174">B1347</f>
        <v>40000</v>
      </c>
      <c r="C1435" s="8" t="str">
        <f t="shared" si="2174"/>
        <v>装备</v>
      </c>
      <c r="D1435" s="7">
        <f t="shared" si="2094"/>
        <v>50800046</v>
      </c>
      <c r="E1435" s="8"/>
      <c r="F1435" s="8">
        <v>1</v>
      </c>
      <c r="G1435" s="7">
        <f>3*INDEX([1]equip.xml!$I:$I,MATCH(D1435,[1]equip.xml!$A:$A,0))</f>
        <v>510000</v>
      </c>
      <c r="H1435" s="8" t="str">
        <f t="shared" ref="H1435:J1435" si="2175">H1347</f>
        <v>10_10,50_20,80_30</v>
      </c>
      <c r="I1435" s="8">
        <f t="shared" si="2175"/>
        <v>1</v>
      </c>
      <c r="J1435" s="8">
        <f t="shared" si="2175"/>
        <v>240</v>
      </c>
      <c r="K1435" s="7" t="s">
        <v>312</v>
      </c>
      <c r="L1435" s="8">
        <v>48</v>
      </c>
      <c r="M1435" s="7">
        <f>IF(INDEX([1]equip.xml!$B:$B,MATCH(D1435,[1]equip.xml!$A:$A,0))=0,0,N1435)</f>
        <v>7</v>
      </c>
      <c r="N1435" s="8">
        <v>7</v>
      </c>
    </row>
    <row r="1436" spans="1:14">
      <c r="A1436" s="8">
        <f t="shared" si="2084"/>
        <v>10020</v>
      </c>
      <c r="B1436" s="8">
        <f t="shared" ref="B1436:C1436" si="2176">B1348</f>
        <v>40000</v>
      </c>
      <c r="C1436" s="8" t="str">
        <f t="shared" si="2176"/>
        <v>装备</v>
      </c>
      <c r="D1436" s="7">
        <f t="shared" si="2094"/>
        <v>50800075</v>
      </c>
      <c r="E1436" s="8"/>
      <c r="F1436" s="8">
        <v>1</v>
      </c>
      <c r="G1436" s="7">
        <f>3*INDEX([1]equip.xml!$I:$I,MATCH(D1436,[1]equip.xml!$A:$A,0))</f>
        <v>492000</v>
      </c>
      <c r="H1436" s="8" t="str">
        <f t="shared" ref="H1436:J1436" si="2177">H1348</f>
        <v>10_10,50_20,80_30</v>
      </c>
      <c r="I1436" s="8">
        <f t="shared" si="2177"/>
        <v>1</v>
      </c>
      <c r="J1436" s="8">
        <f t="shared" si="2177"/>
        <v>240</v>
      </c>
      <c r="K1436" s="7" t="s">
        <v>312</v>
      </c>
      <c r="L1436" s="8">
        <v>48</v>
      </c>
      <c r="M1436" s="7">
        <f>IF(INDEX([1]equip.xml!$B:$B,MATCH(D1436,[1]equip.xml!$A:$A,0))=0,0,N1436)</f>
        <v>7</v>
      </c>
      <c r="N1436" s="8">
        <v>7</v>
      </c>
    </row>
    <row r="1437" spans="1:14">
      <c r="A1437" s="8">
        <f t="shared" si="2084"/>
        <v>10020</v>
      </c>
      <c r="B1437" s="8">
        <f t="shared" ref="B1437:C1437" si="2178">B1349</f>
        <v>40000</v>
      </c>
      <c r="C1437" s="8" t="str">
        <f t="shared" si="2178"/>
        <v>装备</v>
      </c>
      <c r="D1437" s="7">
        <f t="shared" si="2094"/>
        <v>50800076</v>
      </c>
      <c r="E1437" s="8"/>
      <c r="F1437" s="8">
        <v>1</v>
      </c>
      <c r="G1437" s="7">
        <f>3*INDEX([1]equip.xml!$I:$I,MATCH(D1437,[1]equip.xml!$A:$A,0))</f>
        <v>510000</v>
      </c>
      <c r="H1437" s="8" t="str">
        <f t="shared" ref="H1437:J1437" si="2179">H1349</f>
        <v>10_10,50_20,80_30</v>
      </c>
      <c r="I1437" s="8">
        <f t="shared" si="2179"/>
        <v>1</v>
      </c>
      <c r="J1437" s="8">
        <f t="shared" si="2179"/>
        <v>240</v>
      </c>
      <c r="K1437" s="7" t="s">
        <v>312</v>
      </c>
      <c r="L1437" s="8">
        <v>48</v>
      </c>
      <c r="M1437" s="7">
        <f>IF(INDEX([1]equip.xml!$B:$B,MATCH(D1437,[1]equip.xml!$A:$A,0))=0,0,N1437)</f>
        <v>7</v>
      </c>
      <c r="N1437" s="8">
        <v>7</v>
      </c>
    </row>
    <row r="1438" spans="1:14">
      <c r="A1438" s="8">
        <f t="shared" si="2084"/>
        <v>10021</v>
      </c>
      <c r="B1438" s="8">
        <f t="shared" ref="B1438:C1438" si="2180">B1350</f>
        <v>40000</v>
      </c>
      <c r="C1438" s="8" t="str">
        <f t="shared" si="2180"/>
        <v>装备</v>
      </c>
      <c r="D1438" s="8">
        <f t="shared" ref="D1415:D1478" si="2181">D1350+50000</f>
        <v>40800010</v>
      </c>
      <c r="E1438" s="8"/>
      <c r="F1438" s="8">
        <v>1</v>
      </c>
      <c r="G1438" s="7">
        <f>3*INDEX([1]equip.xml!$I:$I,MATCH(D1438,[1]equip.xml!$A:$A,0))</f>
        <v>246000</v>
      </c>
      <c r="H1438" s="8" t="str">
        <f t="shared" ref="H1438:J1438" si="2182">H1350</f>
        <v>10_10,50_20,80_30</v>
      </c>
      <c r="I1438" s="8">
        <f t="shared" si="2182"/>
        <v>6</v>
      </c>
      <c r="J1438" s="8">
        <f t="shared" si="2182"/>
        <v>50</v>
      </c>
      <c r="K1438" s="7" t="s">
        <v>312</v>
      </c>
      <c r="L1438" s="8">
        <v>52</v>
      </c>
      <c r="M1438" s="7">
        <f>IF(INDEX([1]equip.xml!$B:$B,MATCH(D1438,[1]equip.xml!$A:$A,0))=0,0,N1438)</f>
        <v>130</v>
      </c>
      <c r="N1438" s="8">
        <v>130</v>
      </c>
    </row>
    <row r="1439" spans="1:14">
      <c r="A1439" s="8">
        <f t="shared" si="2084"/>
        <v>10021</v>
      </c>
      <c r="B1439" s="8">
        <f t="shared" ref="B1439:C1439" si="2183">B1351</f>
        <v>40000</v>
      </c>
      <c r="C1439" s="8" t="str">
        <f t="shared" si="2183"/>
        <v>装备</v>
      </c>
      <c r="D1439" s="8">
        <f t="shared" si="2181"/>
        <v>40800020</v>
      </c>
      <c r="E1439" s="8"/>
      <c r="F1439" s="8">
        <v>1</v>
      </c>
      <c r="G1439" s="7">
        <f>3*INDEX([1]equip.xml!$I:$I,MATCH(D1439,[1]equip.xml!$A:$A,0))</f>
        <v>246000</v>
      </c>
      <c r="H1439" s="8" t="str">
        <f t="shared" ref="H1439:J1439" si="2184">H1351</f>
        <v>10_10,50_20,80_30</v>
      </c>
      <c r="I1439" s="8">
        <f t="shared" si="2184"/>
        <v>6</v>
      </c>
      <c r="J1439" s="8">
        <f t="shared" si="2184"/>
        <v>50</v>
      </c>
      <c r="K1439" s="7" t="s">
        <v>312</v>
      </c>
      <c r="L1439" s="8">
        <v>52</v>
      </c>
      <c r="M1439" s="7">
        <f>IF(INDEX([1]equip.xml!$B:$B,MATCH(D1439,[1]equip.xml!$A:$A,0))=0,0,N1439)</f>
        <v>130</v>
      </c>
      <c r="N1439" s="8">
        <v>130</v>
      </c>
    </row>
    <row r="1440" spans="1:14">
      <c r="A1440" s="8">
        <f t="shared" si="2084"/>
        <v>10021</v>
      </c>
      <c r="B1440" s="8">
        <f t="shared" ref="B1440:C1440" si="2185">B1352</f>
        <v>40000</v>
      </c>
      <c r="C1440" s="8" t="str">
        <f t="shared" si="2185"/>
        <v>装备</v>
      </c>
      <c r="D1440" s="8">
        <f t="shared" si="2181"/>
        <v>40800030</v>
      </c>
      <c r="E1440" s="8"/>
      <c r="F1440" s="8">
        <v>1</v>
      </c>
      <c r="G1440" s="7">
        <f>3*INDEX([1]equip.xml!$I:$I,MATCH(D1440,[1]equip.xml!$A:$A,0))</f>
        <v>246000</v>
      </c>
      <c r="H1440" s="8" t="str">
        <f t="shared" ref="H1440:J1440" si="2186">H1352</f>
        <v>10_10,50_20,80_30</v>
      </c>
      <c r="I1440" s="8">
        <f t="shared" si="2186"/>
        <v>6</v>
      </c>
      <c r="J1440" s="8">
        <f t="shared" si="2186"/>
        <v>50</v>
      </c>
      <c r="K1440" s="7" t="s">
        <v>312</v>
      </c>
      <c r="L1440" s="8">
        <v>52</v>
      </c>
      <c r="M1440" s="7">
        <f>IF(INDEX([1]equip.xml!$B:$B,MATCH(D1440,[1]equip.xml!$A:$A,0))=0,0,N1440)</f>
        <v>130</v>
      </c>
      <c r="N1440" s="8">
        <v>130</v>
      </c>
    </row>
    <row r="1441" spans="1:14">
      <c r="A1441" s="8">
        <f t="shared" si="2084"/>
        <v>10021</v>
      </c>
      <c r="B1441" s="8">
        <f t="shared" ref="B1441:C1441" si="2187">B1353</f>
        <v>40000</v>
      </c>
      <c r="C1441" s="8" t="str">
        <f t="shared" si="2187"/>
        <v>装备</v>
      </c>
      <c r="D1441" s="8">
        <f t="shared" si="2181"/>
        <v>40800080</v>
      </c>
      <c r="E1441" s="8"/>
      <c r="F1441" s="8">
        <v>1</v>
      </c>
      <c r="G1441" s="7">
        <f>3*INDEX([1]equip.xml!$I:$I,MATCH(D1441,[1]equip.xml!$A:$A,0))</f>
        <v>246000</v>
      </c>
      <c r="H1441" s="8" t="str">
        <f t="shared" ref="H1441:J1441" si="2188">H1353</f>
        <v>10_10,50_20,80_30</v>
      </c>
      <c r="I1441" s="8">
        <f t="shared" si="2188"/>
        <v>6</v>
      </c>
      <c r="J1441" s="8">
        <f t="shared" si="2188"/>
        <v>50</v>
      </c>
      <c r="K1441" s="7" t="s">
        <v>312</v>
      </c>
      <c r="L1441" s="8">
        <v>52</v>
      </c>
      <c r="M1441" s="7">
        <f>IF(INDEX([1]equip.xml!$B:$B,MATCH(D1441,[1]equip.xml!$A:$A,0))=0,0,N1441)</f>
        <v>130</v>
      </c>
      <c r="N1441" s="8">
        <v>130</v>
      </c>
    </row>
    <row r="1442" spans="1:14">
      <c r="A1442" s="8">
        <f t="shared" si="2084"/>
        <v>10021</v>
      </c>
      <c r="B1442" s="8">
        <f t="shared" ref="B1442:C1442" si="2189">B1354</f>
        <v>40000</v>
      </c>
      <c r="C1442" s="8" t="str">
        <f t="shared" si="2189"/>
        <v>装备</v>
      </c>
      <c r="D1442" s="8">
        <f t="shared" si="2181"/>
        <v>40800090</v>
      </c>
      <c r="E1442" s="8"/>
      <c r="F1442" s="8">
        <v>1</v>
      </c>
      <c r="G1442" s="7">
        <f>3*INDEX([1]equip.xml!$I:$I,MATCH(D1442,[1]equip.xml!$A:$A,0))</f>
        <v>246000</v>
      </c>
      <c r="H1442" s="8" t="str">
        <f t="shared" ref="H1442:J1442" si="2190">H1354</f>
        <v>10_10,50_20,80_30</v>
      </c>
      <c r="I1442" s="8">
        <f t="shared" si="2190"/>
        <v>6</v>
      </c>
      <c r="J1442" s="8">
        <f t="shared" si="2190"/>
        <v>50</v>
      </c>
      <c r="K1442" s="7" t="s">
        <v>312</v>
      </c>
      <c r="L1442" s="8">
        <v>52</v>
      </c>
      <c r="M1442" s="7">
        <f>IF(INDEX([1]equip.xml!$B:$B,MATCH(D1442,[1]equip.xml!$A:$A,0))=0,0,N1442)</f>
        <v>130</v>
      </c>
      <c r="N1442" s="8">
        <v>130</v>
      </c>
    </row>
    <row r="1443" spans="1:14">
      <c r="A1443" s="8">
        <f t="shared" si="2084"/>
        <v>10021</v>
      </c>
      <c r="B1443" s="8">
        <f t="shared" ref="B1443:C1443" si="2191">B1355</f>
        <v>40000</v>
      </c>
      <c r="C1443" s="8" t="str">
        <f t="shared" si="2191"/>
        <v>装备</v>
      </c>
      <c r="D1443" s="8">
        <f t="shared" si="2181"/>
        <v>40800100</v>
      </c>
      <c r="E1443" s="8"/>
      <c r="F1443" s="8">
        <v>1</v>
      </c>
      <c r="G1443" s="7">
        <f>3*INDEX([1]equip.xml!$I:$I,MATCH(D1443,[1]equip.xml!$A:$A,0))</f>
        <v>246000</v>
      </c>
      <c r="H1443" s="8" t="str">
        <f t="shared" ref="H1443:J1443" si="2192">H1355</f>
        <v>10_10,50_20,80_30</v>
      </c>
      <c r="I1443" s="8">
        <f t="shared" si="2192"/>
        <v>6</v>
      </c>
      <c r="J1443" s="8">
        <f t="shared" si="2192"/>
        <v>50</v>
      </c>
      <c r="K1443" s="7" t="s">
        <v>312</v>
      </c>
      <c r="L1443" s="8">
        <v>52</v>
      </c>
      <c r="M1443" s="7">
        <f>IF(INDEX([1]equip.xml!$B:$B,MATCH(D1443,[1]equip.xml!$A:$A,0))=0,0,N1443)</f>
        <v>130</v>
      </c>
      <c r="N1443" s="8">
        <v>130</v>
      </c>
    </row>
    <row r="1444" spans="1:14">
      <c r="A1444" s="8">
        <f t="shared" si="2084"/>
        <v>10021</v>
      </c>
      <c r="B1444" s="8">
        <f t="shared" ref="B1444:C1444" si="2193">B1356</f>
        <v>40000</v>
      </c>
      <c r="C1444" s="8" t="str">
        <f t="shared" si="2193"/>
        <v>装备</v>
      </c>
      <c r="D1444" s="8">
        <f t="shared" si="2181"/>
        <v>40801050</v>
      </c>
      <c r="E1444" s="8"/>
      <c r="F1444" s="8">
        <v>1</v>
      </c>
      <c r="G1444" s="7">
        <f>3*INDEX([1]equip.xml!$I:$I,MATCH(D1444,[1]equip.xml!$A:$A,0))</f>
        <v>246000</v>
      </c>
      <c r="H1444" s="8" t="str">
        <f t="shared" ref="H1444:J1444" si="2194">H1356</f>
        <v>10_10,50_20,80_30</v>
      </c>
      <c r="I1444" s="8">
        <f t="shared" si="2194"/>
        <v>6</v>
      </c>
      <c r="J1444" s="8">
        <f t="shared" si="2194"/>
        <v>50</v>
      </c>
      <c r="K1444" s="7" t="s">
        <v>312</v>
      </c>
      <c r="L1444" s="8">
        <v>52</v>
      </c>
      <c r="M1444" s="7">
        <f>IF(INDEX([1]equip.xml!$B:$B,MATCH(D1444,[1]equip.xml!$A:$A,0))=0,0,N1444)</f>
        <v>130</v>
      </c>
      <c r="N1444" s="8">
        <v>130</v>
      </c>
    </row>
    <row r="1445" spans="1:14">
      <c r="A1445" s="8">
        <f t="shared" si="2084"/>
        <v>10021</v>
      </c>
      <c r="B1445" s="8">
        <f t="shared" ref="B1445:C1445" si="2195">B1357</f>
        <v>40000</v>
      </c>
      <c r="C1445" s="8" t="str">
        <f t="shared" si="2195"/>
        <v>装备</v>
      </c>
      <c r="D1445" s="8">
        <f t="shared" si="2181"/>
        <v>40801051</v>
      </c>
      <c r="E1445" s="8"/>
      <c r="F1445" s="8">
        <v>1</v>
      </c>
      <c r="G1445" s="7">
        <f>3*INDEX([1]equip.xml!$I:$I,MATCH(D1445,[1]equip.xml!$A:$A,0))</f>
        <v>255000</v>
      </c>
      <c r="H1445" s="8" t="str">
        <f t="shared" ref="H1445:J1445" si="2196">H1357</f>
        <v>10_10,50_20,80_30</v>
      </c>
      <c r="I1445" s="8">
        <f t="shared" si="2196"/>
        <v>6</v>
      </c>
      <c r="J1445" s="8">
        <f t="shared" si="2196"/>
        <v>50</v>
      </c>
      <c r="K1445" s="7" t="s">
        <v>312</v>
      </c>
      <c r="L1445" s="8">
        <v>52</v>
      </c>
      <c r="M1445" s="7">
        <f>IF(INDEX([1]equip.xml!$B:$B,MATCH(D1445,[1]equip.xml!$A:$A,0))=0,0,N1445)</f>
        <v>130</v>
      </c>
      <c r="N1445" s="8">
        <v>130</v>
      </c>
    </row>
    <row r="1446" spans="1:14">
      <c r="A1446" s="8">
        <f t="shared" si="2084"/>
        <v>10021</v>
      </c>
      <c r="B1446" s="8">
        <f t="shared" ref="B1446:C1446" si="2197">B1358</f>
        <v>40000</v>
      </c>
      <c r="C1446" s="8" t="str">
        <f t="shared" si="2197"/>
        <v>装备</v>
      </c>
      <c r="D1446" s="8">
        <f t="shared" si="2181"/>
        <v>40801060</v>
      </c>
      <c r="E1446" s="8"/>
      <c r="F1446" s="8">
        <v>1</v>
      </c>
      <c r="G1446" s="7">
        <f>3*INDEX([1]equip.xml!$I:$I,MATCH(D1446,[1]equip.xml!$A:$A,0))</f>
        <v>246000</v>
      </c>
      <c r="H1446" s="8" t="str">
        <f t="shared" ref="H1446:J1446" si="2198">H1358</f>
        <v>10_10,50_20,80_30</v>
      </c>
      <c r="I1446" s="8">
        <f t="shared" si="2198"/>
        <v>6</v>
      </c>
      <c r="J1446" s="8">
        <f t="shared" si="2198"/>
        <v>50</v>
      </c>
      <c r="K1446" s="7" t="s">
        <v>312</v>
      </c>
      <c r="L1446" s="8">
        <v>52</v>
      </c>
      <c r="M1446" s="7">
        <f>IF(INDEX([1]equip.xml!$B:$B,MATCH(D1446,[1]equip.xml!$A:$A,0))=0,0,N1446)</f>
        <v>130</v>
      </c>
      <c r="N1446" s="8">
        <v>130</v>
      </c>
    </row>
    <row r="1447" spans="1:14">
      <c r="A1447" s="8">
        <f t="shared" si="2084"/>
        <v>10021</v>
      </c>
      <c r="B1447" s="8">
        <f t="shared" ref="B1447:C1447" si="2199">B1359</f>
        <v>40000</v>
      </c>
      <c r="C1447" s="8" t="str">
        <f t="shared" si="2199"/>
        <v>装备</v>
      </c>
      <c r="D1447" s="8">
        <f t="shared" si="2181"/>
        <v>40801061</v>
      </c>
      <c r="E1447" s="8"/>
      <c r="F1447" s="8">
        <v>1</v>
      </c>
      <c r="G1447" s="7">
        <f>3*INDEX([1]equip.xml!$I:$I,MATCH(D1447,[1]equip.xml!$A:$A,0))</f>
        <v>255000</v>
      </c>
      <c r="H1447" s="8" t="str">
        <f t="shared" ref="H1447:J1447" si="2200">H1359</f>
        <v>10_10,50_20,80_30</v>
      </c>
      <c r="I1447" s="8">
        <f t="shared" si="2200"/>
        <v>6</v>
      </c>
      <c r="J1447" s="8">
        <f t="shared" si="2200"/>
        <v>50</v>
      </c>
      <c r="K1447" s="7" t="s">
        <v>312</v>
      </c>
      <c r="L1447" s="8">
        <v>52</v>
      </c>
      <c r="M1447" s="7">
        <f>IF(INDEX([1]equip.xml!$B:$B,MATCH(D1447,[1]equip.xml!$A:$A,0))=0,0,N1447)</f>
        <v>130</v>
      </c>
      <c r="N1447" s="8">
        <v>130</v>
      </c>
    </row>
    <row r="1448" spans="1:14">
      <c r="A1448" s="8">
        <f t="shared" si="2084"/>
        <v>10021</v>
      </c>
      <c r="B1448" s="8">
        <f t="shared" ref="B1448:C1448" si="2201">B1360</f>
        <v>40000</v>
      </c>
      <c r="C1448" s="8" t="str">
        <f t="shared" si="2201"/>
        <v>装备</v>
      </c>
      <c r="D1448" s="8">
        <f t="shared" si="2181"/>
        <v>40802050</v>
      </c>
      <c r="E1448" s="8"/>
      <c r="F1448" s="8">
        <v>1</v>
      </c>
      <c r="G1448" s="7">
        <f>3*INDEX([1]equip.xml!$I:$I,MATCH(D1448,[1]equip.xml!$A:$A,0))</f>
        <v>246000</v>
      </c>
      <c r="H1448" s="8" t="str">
        <f t="shared" ref="H1448:J1448" si="2202">H1360</f>
        <v>10_10,50_20,80_30</v>
      </c>
      <c r="I1448" s="8">
        <f t="shared" si="2202"/>
        <v>6</v>
      </c>
      <c r="J1448" s="8">
        <f t="shared" si="2202"/>
        <v>50</v>
      </c>
      <c r="K1448" s="7" t="s">
        <v>312</v>
      </c>
      <c r="L1448" s="8">
        <v>52</v>
      </c>
      <c r="M1448" s="7">
        <f>IF(INDEX([1]equip.xml!$B:$B,MATCH(D1448,[1]equip.xml!$A:$A,0))=0,0,N1448)</f>
        <v>130</v>
      </c>
      <c r="N1448" s="8">
        <v>130</v>
      </c>
    </row>
    <row r="1449" spans="1:14">
      <c r="A1449" s="8">
        <f t="shared" si="2084"/>
        <v>10021</v>
      </c>
      <c r="B1449" s="8">
        <f t="shared" ref="B1449:C1449" si="2203">B1361</f>
        <v>40000</v>
      </c>
      <c r="C1449" s="8" t="str">
        <f t="shared" si="2203"/>
        <v>装备</v>
      </c>
      <c r="D1449" s="8">
        <f t="shared" si="2181"/>
        <v>40802051</v>
      </c>
      <c r="E1449" s="8"/>
      <c r="F1449" s="8">
        <v>1</v>
      </c>
      <c r="G1449" s="7">
        <f>3*INDEX([1]equip.xml!$I:$I,MATCH(D1449,[1]equip.xml!$A:$A,0))</f>
        <v>255000</v>
      </c>
      <c r="H1449" s="8" t="str">
        <f t="shared" ref="H1449:J1449" si="2204">H1361</f>
        <v>10_10,50_20,80_30</v>
      </c>
      <c r="I1449" s="8">
        <f t="shared" si="2204"/>
        <v>6</v>
      </c>
      <c r="J1449" s="8">
        <f t="shared" si="2204"/>
        <v>50</v>
      </c>
      <c r="K1449" s="7" t="s">
        <v>312</v>
      </c>
      <c r="L1449" s="8">
        <v>52</v>
      </c>
      <c r="M1449" s="7">
        <f>IF(INDEX([1]equip.xml!$B:$B,MATCH(D1449,[1]equip.xml!$A:$A,0))=0,0,N1449)</f>
        <v>130</v>
      </c>
      <c r="N1449" s="8">
        <v>130</v>
      </c>
    </row>
    <row r="1450" spans="1:14">
      <c r="A1450" s="8">
        <f t="shared" si="2084"/>
        <v>10021</v>
      </c>
      <c r="B1450" s="8">
        <f t="shared" ref="B1450:C1450" si="2205">B1362</f>
        <v>40000</v>
      </c>
      <c r="C1450" s="8" t="str">
        <f t="shared" si="2205"/>
        <v>装备</v>
      </c>
      <c r="D1450" s="8">
        <f t="shared" si="2181"/>
        <v>40802060</v>
      </c>
      <c r="E1450" s="8"/>
      <c r="F1450" s="8">
        <v>1</v>
      </c>
      <c r="G1450" s="7">
        <f>3*INDEX([1]equip.xml!$I:$I,MATCH(D1450,[1]equip.xml!$A:$A,0))</f>
        <v>246000</v>
      </c>
      <c r="H1450" s="8" t="str">
        <f t="shared" ref="H1450:J1450" si="2206">H1362</f>
        <v>10_10,50_20,80_30</v>
      </c>
      <c r="I1450" s="8">
        <f t="shared" si="2206"/>
        <v>6</v>
      </c>
      <c r="J1450" s="8">
        <f t="shared" si="2206"/>
        <v>50</v>
      </c>
      <c r="K1450" s="7" t="s">
        <v>312</v>
      </c>
      <c r="L1450" s="8">
        <v>52</v>
      </c>
      <c r="M1450" s="7">
        <f>IF(INDEX([1]equip.xml!$B:$B,MATCH(D1450,[1]equip.xml!$A:$A,0))=0,0,N1450)</f>
        <v>130</v>
      </c>
      <c r="N1450" s="8">
        <v>130</v>
      </c>
    </row>
    <row r="1451" spans="1:14">
      <c r="A1451" s="8">
        <f t="shared" si="2084"/>
        <v>10021</v>
      </c>
      <c r="B1451" s="8">
        <f t="shared" ref="B1451:C1451" si="2207">B1363</f>
        <v>40000</v>
      </c>
      <c r="C1451" s="8" t="str">
        <f t="shared" si="2207"/>
        <v>装备</v>
      </c>
      <c r="D1451" s="8">
        <f t="shared" si="2181"/>
        <v>40802061</v>
      </c>
      <c r="E1451" s="8"/>
      <c r="F1451" s="8">
        <v>1</v>
      </c>
      <c r="G1451" s="7">
        <f>3*INDEX([1]equip.xml!$I:$I,MATCH(D1451,[1]equip.xml!$A:$A,0))</f>
        <v>255000</v>
      </c>
      <c r="H1451" s="8" t="str">
        <f t="shared" ref="H1451:J1451" si="2208">H1363</f>
        <v>10_10,50_20,80_30</v>
      </c>
      <c r="I1451" s="8">
        <f t="shared" si="2208"/>
        <v>6</v>
      </c>
      <c r="J1451" s="8">
        <f t="shared" si="2208"/>
        <v>50</v>
      </c>
      <c r="K1451" s="7" t="s">
        <v>312</v>
      </c>
      <c r="L1451" s="8">
        <v>52</v>
      </c>
      <c r="M1451" s="7">
        <f>IF(INDEX([1]equip.xml!$B:$B,MATCH(D1451,[1]equip.xml!$A:$A,0))=0,0,N1451)</f>
        <v>130</v>
      </c>
      <c r="N1451" s="8">
        <v>130</v>
      </c>
    </row>
    <row r="1452" spans="1:14">
      <c r="A1452" s="8">
        <f t="shared" si="2084"/>
        <v>10021</v>
      </c>
      <c r="B1452" s="8">
        <f t="shared" ref="B1452:C1452" si="2209">B1364</f>
        <v>40000</v>
      </c>
      <c r="C1452" s="8" t="str">
        <f t="shared" si="2209"/>
        <v>装备</v>
      </c>
      <c r="D1452" s="8">
        <f t="shared" si="2181"/>
        <v>40803050</v>
      </c>
      <c r="E1452" s="8"/>
      <c r="F1452" s="8">
        <v>1</v>
      </c>
      <c r="G1452" s="7">
        <f>3*INDEX([1]equip.xml!$I:$I,MATCH(D1452,[1]equip.xml!$A:$A,0))</f>
        <v>246000</v>
      </c>
      <c r="H1452" s="8" t="str">
        <f t="shared" ref="H1452:J1452" si="2210">H1364</f>
        <v>10_10,50_20,80_30</v>
      </c>
      <c r="I1452" s="8">
        <f t="shared" si="2210"/>
        <v>6</v>
      </c>
      <c r="J1452" s="8">
        <f t="shared" si="2210"/>
        <v>50</v>
      </c>
      <c r="K1452" s="7" t="s">
        <v>312</v>
      </c>
      <c r="L1452" s="8">
        <v>52</v>
      </c>
      <c r="M1452" s="7">
        <f>IF(INDEX([1]equip.xml!$B:$B,MATCH(D1452,[1]equip.xml!$A:$A,0))=0,0,N1452)</f>
        <v>130</v>
      </c>
      <c r="N1452" s="8">
        <v>130</v>
      </c>
    </row>
    <row r="1453" spans="1:14">
      <c r="A1453" s="8">
        <f t="shared" si="2084"/>
        <v>10021</v>
      </c>
      <c r="B1453" s="8">
        <f t="shared" ref="B1453:C1453" si="2211">B1365</f>
        <v>40000</v>
      </c>
      <c r="C1453" s="8" t="str">
        <f t="shared" si="2211"/>
        <v>装备</v>
      </c>
      <c r="D1453" s="8">
        <f t="shared" si="2181"/>
        <v>40803051</v>
      </c>
      <c r="E1453" s="8"/>
      <c r="F1453" s="8">
        <v>1</v>
      </c>
      <c r="G1453" s="7">
        <f>3*INDEX([1]equip.xml!$I:$I,MATCH(D1453,[1]equip.xml!$A:$A,0))</f>
        <v>255000</v>
      </c>
      <c r="H1453" s="8" t="str">
        <f t="shared" ref="H1453:J1453" si="2212">H1365</f>
        <v>10_10,50_20,80_30</v>
      </c>
      <c r="I1453" s="8">
        <f t="shared" si="2212"/>
        <v>6</v>
      </c>
      <c r="J1453" s="8">
        <f t="shared" si="2212"/>
        <v>50</v>
      </c>
      <c r="K1453" s="7" t="s">
        <v>312</v>
      </c>
      <c r="L1453" s="8">
        <v>52</v>
      </c>
      <c r="M1453" s="7">
        <f>IF(INDEX([1]equip.xml!$B:$B,MATCH(D1453,[1]equip.xml!$A:$A,0))=0,0,N1453)</f>
        <v>130</v>
      </c>
      <c r="N1453" s="8">
        <v>130</v>
      </c>
    </row>
    <row r="1454" spans="1:14">
      <c r="A1454" s="8">
        <f t="shared" si="2084"/>
        <v>10021</v>
      </c>
      <c r="B1454" s="8">
        <f t="shared" ref="B1454:C1454" si="2213">B1366</f>
        <v>40000</v>
      </c>
      <c r="C1454" s="8" t="str">
        <f t="shared" si="2213"/>
        <v>装备</v>
      </c>
      <c r="D1454" s="8">
        <f t="shared" si="2181"/>
        <v>40803060</v>
      </c>
      <c r="E1454" s="8"/>
      <c r="F1454" s="8">
        <v>1</v>
      </c>
      <c r="G1454" s="7">
        <f>3*INDEX([1]equip.xml!$I:$I,MATCH(D1454,[1]equip.xml!$A:$A,0))</f>
        <v>246000</v>
      </c>
      <c r="H1454" s="8" t="str">
        <f t="shared" ref="H1454:J1454" si="2214">H1366</f>
        <v>10_10,50_20,80_30</v>
      </c>
      <c r="I1454" s="8">
        <f t="shared" si="2214"/>
        <v>6</v>
      </c>
      <c r="J1454" s="8">
        <f t="shared" si="2214"/>
        <v>50</v>
      </c>
      <c r="K1454" s="7" t="s">
        <v>312</v>
      </c>
      <c r="L1454" s="8">
        <v>52</v>
      </c>
      <c r="M1454" s="7">
        <f>IF(INDEX([1]equip.xml!$B:$B,MATCH(D1454,[1]equip.xml!$A:$A,0))=0,0,N1454)</f>
        <v>130</v>
      </c>
      <c r="N1454" s="8">
        <v>130</v>
      </c>
    </row>
    <row r="1455" spans="1:14">
      <c r="A1455" s="8">
        <f t="shared" ref="A1455:A1518" si="2215">A1367+1</f>
        <v>10021</v>
      </c>
      <c r="B1455" s="8">
        <f t="shared" ref="B1455:C1455" si="2216">B1367</f>
        <v>40000</v>
      </c>
      <c r="C1455" s="8" t="str">
        <f t="shared" si="2216"/>
        <v>装备</v>
      </c>
      <c r="D1455" s="8">
        <f t="shared" si="2181"/>
        <v>40803061</v>
      </c>
      <c r="E1455" s="8"/>
      <c r="F1455" s="8">
        <v>1</v>
      </c>
      <c r="G1455" s="7">
        <f>3*INDEX([1]equip.xml!$I:$I,MATCH(D1455,[1]equip.xml!$A:$A,0))</f>
        <v>255000</v>
      </c>
      <c r="H1455" s="8" t="str">
        <f t="shared" ref="H1455:J1455" si="2217">H1367</f>
        <v>10_10,50_20,80_30</v>
      </c>
      <c r="I1455" s="8">
        <f t="shared" si="2217"/>
        <v>6</v>
      </c>
      <c r="J1455" s="8">
        <f t="shared" si="2217"/>
        <v>50</v>
      </c>
      <c r="K1455" s="7" t="s">
        <v>312</v>
      </c>
      <c r="L1455" s="8">
        <v>52</v>
      </c>
      <c r="M1455" s="7">
        <f>IF(INDEX([1]equip.xml!$B:$B,MATCH(D1455,[1]equip.xml!$A:$A,0))=0,0,N1455)</f>
        <v>130</v>
      </c>
      <c r="N1455" s="8">
        <v>130</v>
      </c>
    </row>
    <row r="1456" spans="1:14">
      <c r="A1456" s="8">
        <f t="shared" si="2215"/>
        <v>10021</v>
      </c>
      <c r="B1456" s="8">
        <f t="shared" ref="B1456:C1456" si="2218">B1368</f>
        <v>40000</v>
      </c>
      <c r="C1456" s="8" t="str">
        <f t="shared" si="2218"/>
        <v>装备</v>
      </c>
      <c r="D1456" s="8">
        <f t="shared" si="2181"/>
        <v>40800040</v>
      </c>
      <c r="E1456" s="8"/>
      <c r="F1456" s="8">
        <v>1</v>
      </c>
      <c r="G1456" s="7">
        <f>3*INDEX([1]equip.xml!$I:$I,MATCH(D1456,[1]equip.xml!$A:$A,0))</f>
        <v>246000</v>
      </c>
      <c r="H1456" s="8" t="str">
        <f t="shared" ref="H1456:J1456" si="2219">H1368</f>
        <v>10_10,50_20,80_30</v>
      </c>
      <c r="I1456" s="8">
        <f t="shared" si="2219"/>
        <v>6</v>
      </c>
      <c r="J1456" s="8">
        <f t="shared" si="2219"/>
        <v>50</v>
      </c>
      <c r="K1456" s="7" t="s">
        <v>312</v>
      </c>
      <c r="L1456" s="8">
        <v>52</v>
      </c>
      <c r="M1456" s="7">
        <f>IF(INDEX([1]equip.xml!$B:$B,MATCH(D1456,[1]equip.xml!$A:$A,0))=0,0,N1456)</f>
        <v>130</v>
      </c>
      <c r="N1456" s="8">
        <v>130</v>
      </c>
    </row>
    <row r="1457" spans="1:14">
      <c r="A1457" s="8">
        <f t="shared" si="2215"/>
        <v>10021</v>
      </c>
      <c r="B1457" s="8">
        <f t="shared" ref="B1457:C1457" si="2220">B1369</f>
        <v>40000</v>
      </c>
      <c r="C1457" s="8" t="str">
        <f t="shared" si="2220"/>
        <v>装备</v>
      </c>
      <c r="D1457" s="8">
        <f t="shared" si="2181"/>
        <v>40800041</v>
      </c>
      <c r="E1457" s="8"/>
      <c r="F1457" s="8">
        <v>1</v>
      </c>
      <c r="G1457" s="7">
        <f>3*INDEX([1]equip.xml!$I:$I,MATCH(D1457,[1]equip.xml!$A:$A,0))</f>
        <v>255000</v>
      </c>
      <c r="H1457" s="8" t="str">
        <f t="shared" ref="H1457:J1457" si="2221">H1369</f>
        <v>10_10,50_20,80_30</v>
      </c>
      <c r="I1457" s="8">
        <f t="shared" si="2221"/>
        <v>6</v>
      </c>
      <c r="J1457" s="8">
        <f t="shared" si="2221"/>
        <v>50</v>
      </c>
      <c r="K1457" s="7" t="s">
        <v>312</v>
      </c>
      <c r="L1457" s="8">
        <v>52</v>
      </c>
      <c r="M1457" s="7">
        <f>IF(INDEX([1]equip.xml!$B:$B,MATCH(D1457,[1]equip.xml!$A:$A,0))=0,0,N1457)</f>
        <v>130</v>
      </c>
      <c r="N1457" s="8">
        <v>130</v>
      </c>
    </row>
    <row r="1458" spans="1:14">
      <c r="A1458" s="8">
        <f t="shared" si="2215"/>
        <v>10021</v>
      </c>
      <c r="B1458" s="8">
        <f t="shared" ref="B1458:C1458" si="2222">B1370</f>
        <v>40000</v>
      </c>
      <c r="C1458" s="8" t="str">
        <f t="shared" si="2222"/>
        <v>装备</v>
      </c>
      <c r="D1458" s="8">
        <f t="shared" si="2181"/>
        <v>40800070</v>
      </c>
      <c r="E1458" s="8"/>
      <c r="F1458" s="8">
        <v>1</v>
      </c>
      <c r="G1458" s="7">
        <f>3*INDEX([1]equip.xml!$I:$I,MATCH(D1458,[1]equip.xml!$A:$A,0))</f>
        <v>246000</v>
      </c>
      <c r="H1458" s="8" t="str">
        <f t="shared" ref="H1458:J1458" si="2223">H1370</f>
        <v>10_10,50_20,80_30</v>
      </c>
      <c r="I1458" s="8">
        <f t="shared" si="2223"/>
        <v>6</v>
      </c>
      <c r="J1458" s="8">
        <f t="shared" si="2223"/>
        <v>50</v>
      </c>
      <c r="K1458" s="7" t="s">
        <v>312</v>
      </c>
      <c r="L1458" s="8">
        <v>52</v>
      </c>
      <c r="M1458" s="7">
        <f>IF(INDEX([1]equip.xml!$B:$B,MATCH(D1458,[1]equip.xml!$A:$A,0))=0,0,N1458)</f>
        <v>130</v>
      </c>
      <c r="N1458" s="8">
        <v>130</v>
      </c>
    </row>
    <row r="1459" spans="1:14">
      <c r="A1459" s="8">
        <f t="shared" si="2215"/>
        <v>10021</v>
      </c>
      <c r="B1459" s="8">
        <f t="shared" ref="B1459:C1459" si="2224">B1371</f>
        <v>40000</v>
      </c>
      <c r="C1459" s="8" t="str">
        <f t="shared" si="2224"/>
        <v>装备</v>
      </c>
      <c r="D1459" s="8">
        <f t="shared" si="2181"/>
        <v>40800071</v>
      </c>
      <c r="E1459" s="8"/>
      <c r="F1459" s="8">
        <v>1</v>
      </c>
      <c r="G1459" s="7">
        <f>3*INDEX([1]equip.xml!$I:$I,MATCH(D1459,[1]equip.xml!$A:$A,0))</f>
        <v>255000</v>
      </c>
      <c r="H1459" s="8" t="str">
        <f t="shared" ref="H1459:J1459" si="2225">H1371</f>
        <v>10_10,50_20,80_30</v>
      </c>
      <c r="I1459" s="8">
        <f t="shared" si="2225"/>
        <v>6</v>
      </c>
      <c r="J1459" s="8">
        <f t="shared" si="2225"/>
        <v>50</v>
      </c>
      <c r="K1459" s="7" t="s">
        <v>312</v>
      </c>
      <c r="L1459" s="8">
        <v>52</v>
      </c>
      <c r="M1459" s="7">
        <f>IF(INDEX([1]equip.xml!$B:$B,MATCH(D1459,[1]equip.xml!$A:$A,0))=0,0,N1459)</f>
        <v>130</v>
      </c>
      <c r="N1459" s="8">
        <v>130</v>
      </c>
    </row>
    <row r="1460" spans="1:14">
      <c r="A1460" s="8">
        <f t="shared" si="2215"/>
        <v>10021</v>
      </c>
      <c r="B1460" s="8">
        <f t="shared" ref="B1460:C1460" si="2226">B1372</f>
        <v>40000</v>
      </c>
      <c r="C1460" s="8" t="str">
        <f t="shared" si="2226"/>
        <v>装备</v>
      </c>
      <c r="D1460" s="8">
        <f t="shared" si="2181"/>
        <v>40850010</v>
      </c>
      <c r="E1460" s="8"/>
      <c r="F1460" s="8">
        <v>1</v>
      </c>
      <c r="G1460" s="7">
        <f>3*INDEX([1]equip.xml!$I:$I,MATCH(D1460,[1]equip.xml!$A:$A,0))</f>
        <v>264000</v>
      </c>
      <c r="H1460" s="8" t="str">
        <f t="shared" ref="H1460:J1460" si="2227">H1372</f>
        <v>10_10,50_20,80_30</v>
      </c>
      <c r="I1460" s="8">
        <f t="shared" si="2227"/>
        <v>6</v>
      </c>
      <c r="J1460" s="8">
        <f t="shared" si="2227"/>
        <v>50</v>
      </c>
      <c r="K1460" s="7" t="s">
        <v>312</v>
      </c>
      <c r="L1460" s="8">
        <v>52</v>
      </c>
      <c r="M1460" s="7">
        <f>IF(INDEX([1]equip.xml!$B:$B,MATCH(D1460,[1]equip.xml!$A:$A,0))=0,0,N1460)</f>
        <v>8</v>
      </c>
      <c r="N1460" s="8">
        <v>8</v>
      </c>
    </row>
    <row r="1461" spans="1:14">
      <c r="A1461" s="8">
        <f t="shared" si="2215"/>
        <v>10021</v>
      </c>
      <c r="B1461" s="8">
        <f t="shared" ref="B1461:C1461" si="2228">B1373</f>
        <v>40000</v>
      </c>
      <c r="C1461" s="8" t="str">
        <f t="shared" si="2228"/>
        <v>装备</v>
      </c>
      <c r="D1461" s="8">
        <f t="shared" si="2181"/>
        <v>40850020</v>
      </c>
      <c r="E1461" s="8"/>
      <c r="F1461" s="8">
        <v>1</v>
      </c>
      <c r="G1461" s="7">
        <f>3*INDEX([1]equip.xml!$I:$I,MATCH(D1461,[1]equip.xml!$A:$A,0))</f>
        <v>264000</v>
      </c>
      <c r="H1461" s="8" t="str">
        <f t="shared" ref="H1461:J1461" si="2229">H1373</f>
        <v>10_10,50_20,80_30</v>
      </c>
      <c r="I1461" s="8">
        <f t="shared" si="2229"/>
        <v>6</v>
      </c>
      <c r="J1461" s="8">
        <f t="shared" si="2229"/>
        <v>50</v>
      </c>
      <c r="K1461" s="7" t="s">
        <v>312</v>
      </c>
      <c r="L1461" s="8">
        <v>52</v>
      </c>
      <c r="M1461" s="7">
        <f>IF(INDEX([1]equip.xml!$B:$B,MATCH(D1461,[1]equip.xml!$A:$A,0))=0,0,N1461)</f>
        <v>8</v>
      </c>
      <c r="N1461" s="8">
        <v>8</v>
      </c>
    </row>
    <row r="1462" spans="1:14">
      <c r="A1462" s="8">
        <f t="shared" si="2215"/>
        <v>10021</v>
      </c>
      <c r="B1462" s="8">
        <f t="shared" ref="B1462:C1462" si="2230">B1374</f>
        <v>40000</v>
      </c>
      <c r="C1462" s="8" t="str">
        <f t="shared" si="2230"/>
        <v>装备</v>
      </c>
      <c r="D1462" s="8">
        <f t="shared" si="2181"/>
        <v>40850030</v>
      </c>
      <c r="E1462" s="8"/>
      <c r="F1462" s="8">
        <v>1</v>
      </c>
      <c r="G1462" s="7">
        <f>3*INDEX([1]equip.xml!$I:$I,MATCH(D1462,[1]equip.xml!$A:$A,0))</f>
        <v>264000</v>
      </c>
      <c r="H1462" s="8" t="str">
        <f t="shared" ref="H1462:J1462" si="2231">H1374</f>
        <v>10_10,50_20,80_30</v>
      </c>
      <c r="I1462" s="8">
        <f t="shared" si="2231"/>
        <v>6</v>
      </c>
      <c r="J1462" s="8">
        <f t="shared" si="2231"/>
        <v>50</v>
      </c>
      <c r="K1462" s="7" t="s">
        <v>312</v>
      </c>
      <c r="L1462" s="8">
        <v>52</v>
      </c>
      <c r="M1462" s="7">
        <f>IF(INDEX([1]equip.xml!$B:$B,MATCH(D1462,[1]equip.xml!$A:$A,0))=0,0,N1462)</f>
        <v>8</v>
      </c>
      <c r="N1462" s="8">
        <v>8</v>
      </c>
    </row>
    <row r="1463" spans="1:14">
      <c r="A1463" s="8">
        <f t="shared" si="2215"/>
        <v>10021</v>
      </c>
      <c r="B1463" s="8">
        <f t="shared" ref="B1463:C1463" si="2232">B1375</f>
        <v>40000</v>
      </c>
      <c r="C1463" s="8" t="str">
        <f t="shared" si="2232"/>
        <v>装备</v>
      </c>
      <c r="D1463" s="8">
        <f t="shared" si="2181"/>
        <v>40850080</v>
      </c>
      <c r="E1463" s="8"/>
      <c r="F1463" s="8">
        <v>1</v>
      </c>
      <c r="G1463" s="7">
        <f>3*INDEX([1]equip.xml!$I:$I,MATCH(D1463,[1]equip.xml!$A:$A,0))</f>
        <v>264000</v>
      </c>
      <c r="H1463" s="8" t="str">
        <f t="shared" ref="H1463:J1463" si="2233">H1375</f>
        <v>10_10,50_20,80_30</v>
      </c>
      <c r="I1463" s="8">
        <f t="shared" si="2233"/>
        <v>6</v>
      </c>
      <c r="J1463" s="8">
        <f t="shared" si="2233"/>
        <v>50</v>
      </c>
      <c r="K1463" s="7" t="s">
        <v>312</v>
      </c>
      <c r="L1463" s="8">
        <v>52</v>
      </c>
      <c r="M1463" s="7">
        <f>IF(INDEX([1]equip.xml!$B:$B,MATCH(D1463,[1]equip.xml!$A:$A,0))=0,0,N1463)</f>
        <v>8</v>
      </c>
      <c r="N1463" s="8">
        <v>8</v>
      </c>
    </row>
    <row r="1464" spans="1:14">
      <c r="A1464" s="8">
        <f t="shared" si="2215"/>
        <v>10021</v>
      </c>
      <c r="B1464" s="8">
        <f t="shared" ref="B1464:C1464" si="2234">B1376</f>
        <v>40000</v>
      </c>
      <c r="C1464" s="8" t="str">
        <f t="shared" si="2234"/>
        <v>装备</v>
      </c>
      <c r="D1464" s="8">
        <f t="shared" si="2181"/>
        <v>40850090</v>
      </c>
      <c r="E1464" s="8"/>
      <c r="F1464" s="8">
        <v>1</v>
      </c>
      <c r="G1464" s="7">
        <f>3*INDEX([1]equip.xml!$I:$I,MATCH(D1464,[1]equip.xml!$A:$A,0))</f>
        <v>264000</v>
      </c>
      <c r="H1464" s="8" t="str">
        <f t="shared" ref="H1464:J1464" si="2235">H1376</f>
        <v>10_10,50_20,80_30</v>
      </c>
      <c r="I1464" s="8">
        <f t="shared" si="2235"/>
        <v>6</v>
      </c>
      <c r="J1464" s="8">
        <f t="shared" si="2235"/>
        <v>50</v>
      </c>
      <c r="K1464" s="7" t="s">
        <v>312</v>
      </c>
      <c r="L1464" s="8">
        <v>52</v>
      </c>
      <c r="M1464" s="7">
        <f>IF(INDEX([1]equip.xml!$B:$B,MATCH(D1464,[1]equip.xml!$A:$A,0))=0,0,N1464)</f>
        <v>8</v>
      </c>
      <c r="N1464" s="8">
        <v>8</v>
      </c>
    </row>
    <row r="1465" spans="1:14">
      <c r="A1465" s="8">
        <f t="shared" si="2215"/>
        <v>10021</v>
      </c>
      <c r="B1465" s="8">
        <f t="shared" ref="B1465:C1465" si="2236">B1377</f>
        <v>40000</v>
      </c>
      <c r="C1465" s="8" t="str">
        <f t="shared" si="2236"/>
        <v>装备</v>
      </c>
      <c r="D1465" s="8">
        <f t="shared" si="2181"/>
        <v>40850100</v>
      </c>
      <c r="E1465" s="8"/>
      <c r="F1465" s="8">
        <v>1</v>
      </c>
      <c r="G1465" s="7">
        <f>3*INDEX([1]equip.xml!$I:$I,MATCH(D1465,[1]equip.xml!$A:$A,0))</f>
        <v>264000</v>
      </c>
      <c r="H1465" s="8" t="str">
        <f t="shared" ref="H1465:J1465" si="2237">H1377</f>
        <v>10_10,50_20,80_30</v>
      </c>
      <c r="I1465" s="8">
        <f t="shared" si="2237"/>
        <v>6</v>
      </c>
      <c r="J1465" s="8">
        <f t="shared" si="2237"/>
        <v>50</v>
      </c>
      <c r="K1465" s="7" t="s">
        <v>312</v>
      </c>
      <c r="L1465" s="8">
        <v>52</v>
      </c>
      <c r="M1465" s="7">
        <f>IF(INDEX([1]equip.xml!$B:$B,MATCH(D1465,[1]equip.xml!$A:$A,0))=0,0,N1465)</f>
        <v>8</v>
      </c>
      <c r="N1465" s="8">
        <v>8</v>
      </c>
    </row>
    <row r="1466" spans="1:14">
      <c r="A1466" s="8">
        <f t="shared" si="2215"/>
        <v>10021</v>
      </c>
      <c r="B1466" s="8">
        <f t="shared" ref="B1466:C1466" si="2238">B1378</f>
        <v>40000</v>
      </c>
      <c r="C1466" s="8" t="str">
        <f t="shared" si="2238"/>
        <v>装备</v>
      </c>
      <c r="D1466" s="8">
        <f t="shared" si="2181"/>
        <v>40851050</v>
      </c>
      <c r="E1466" s="8"/>
      <c r="F1466" s="8">
        <v>1</v>
      </c>
      <c r="G1466" s="7">
        <f>3*INDEX([1]equip.xml!$I:$I,MATCH(D1466,[1]equip.xml!$A:$A,0))</f>
        <v>264000</v>
      </c>
      <c r="H1466" s="8" t="str">
        <f t="shared" ref="H1466:J1466" si="2239">H1378</f>
        <v>10_10,50_20,80_30</v>
      </c>
      <c r="I1466" s="8">
        <f t="shared" si="2239"/>
        <v>6</v>
      </c>
      <c r="J1466" s="8">
        <f t="shared" si="2239"/>
        <v>50</v>
      </c>
      <c r="K1466" s="7" t="s">
        <v>312</v>
      </c>
      <c r="L1466" s="8">
        <v>52</v>
      </c>
      <c r="M1466" s="7">
        <f>IF(INDEX([1]equip.xml!$B:$B,MATCH(D1466,[1]equip.xml!$A:$A,0))=0,0,N1466)</f>
        <v>8</v>
      </c>
      <c r="N1466" s="8">
        <v>8</v>
      </c>
    </row>
    <row r="1467" spans="1:14">
      <c r="A1467" s="8">
        <f t="shared" si="2215"/>
        <v>10021</v>
      </c>
      <c r="B1467" s="8">
        <f t="shared" ref="B1467:C1467" si="2240">B1379</f>
        <v>40000</v>
      </c>
      <c r="C1467" s="8" t="str">
        <f t="shared" si="2240"/>
        <v>装备</v>
      </c>
      <c r="D1467" s="8">
        <f t="shared" si="2181"/>
        <v>40851051</v>
      </c>
      <c r="E1467" s="8"/>
      <c r="F1467" s="8">
        <v>1</v>
      </c>
      <c r="G1467" s="7">
        <f>3*INDEX([1]equip.xml!$I:$I,MATCH(D1467,[1]equip.xml!$A:$A,0))</f>
        <v>273000</v>
      </c>
      <c r="H1467" s="8" t="str">
        <f t="shared" ref="H1467:J1467" si="2241">H1379</f>
        <v>10_10,50_20,80_30</v>
      </c>
      <c r="I1467" s="8">
        <f t="shared" si="2241"/>
        <v>6</v>
      </c>
      <c r="J1467" s="8">
        <f t="shared" si="2241"/>
        <v>50</v>
      </c>
      <c r="K1467" s="7" t="s">
        <v>312</v>
      </c>
      <c r="L1467" s="8">
        <v>52</v>
      </c>
      <c r="M1467" s="7">
        <f>IF(INDEX([1]equip.xml!$B:$B,MATCH(D1467,[1]equip.xml!$A:$A,0))=0,0,N1467)</f>
        <v>8</v>
      </c>
      <c r="N1467" s="8">
        <v>8</v>
      </c>
    </row>
    <row r="1468" spans="1:14">
      <c r="A1468" s="8">
        <f t="shared" si="2215"/>
        <v>10021</v>
      </c>
      <c r="B1468" s="8">
        <f t="shared" ref="B1468:C1468" si="2242">B1380</f>
        <v>40000</v>
      </c>
      <c r="C1468" s="8" t="str">
        <f t="shared" si="2242"/>
        <v>装备</v>
      </c>
      <c r="D1468" s="8">
        <f t="shared" si="2181"/>
        <v>40851060</v>
      </c>
      <c r="E1468" s="8"/>
      <c r="F1468" s="8">
        <v>1</v>
      </c>
      <c r="G1468" s="7">
        <f>3*INDEX([1]equip.xml!$I:$I,MATCH(D1468,[1]equip.xml!$A:$A,0))</f>
        <v>264000</v>
      </c>
      <c r="H1468" s="8" t="str">
        <f t="shared" ref="H1468:J1468" si="2243">H1380</f>
        <v>10_10,50_20,80_30</v>
      </c>
      <c r="I1468" s="8">
        <f t="shared" si="2243"/>
        <v>6</v>
      </c>
      <c r="J1468" s="8">
        <f t="shared" si="2243"/>
        <v>50</v>
      </c>
      <c r="K1468" s="7" t="s">
        <v>312</v>
      </c>
      <c r="L1468" s="8">
        <v>52</v>
      </c>
      <c r="M1468" s="7">
        <f>IF(INDEX([1]equip.xml!$B:$B,MATCH(D1468,[1]equip.xml!$A:$A,0))=0,0,N1468)</f>
        <v>8</v>
      </c>
      <c r="N1468" s="8">
        <v>8</v>
      </c>
    </row>
    <row r="1469" spans="1:14">
      <c r="A1469" s="8">
        <f t="shared" si="2215"/>
        <v>10021</v>
      </c>
      <c r="B1469" s="8">
        <f t="shared" ref="B1469:C1469" si="2244">B1381</f>
        <v>40000</v>
      </c>
      <c r="C1469" s="8" t="str">
        <f t="shared" si="2244"/>
        <v>装备</v>
      </c>
      <c r="D1469" s="8">
        <f t="shared" si="2181"/>
        <v>40851061</v>
      </c>
      <c r="E1469" s="8"/>
      <c r="F1469" s="8">
        <v>1</v>
      </c>
      <c r="G1469" s="7">
        <f>3*INDEX([1]equip.xml!$I:$I,MATCH(D1469,[1]equip.xml!$A:$A,0))</f>
        <v>273000</v>
      </c>
      <c r="H1469" s="8" t="str">
        <f t="shared" ref="H1469:J1469" si="2245">H1381</f>
        <v>10_10,50_20,80_30</v>
      </c>
      <c r="I1469" s="8">
        <f t="shared" si="2245"/>
        <v>6</v>
      </c>
      <c r="J1469" s="8">
        <f t="shared" si="2245"/>
        <v>50</v>
      </c>
      <c r="K1469" s="7" t="s">
        <v>312</v>
      </c>
      <c r="L1469" s="8">
        <v>52</v>
      </c>
      <c r="M1469" s="7">
        <f>IF(INDEX([1]equip.xml!$B:$B,MATCH(D1469,[1]equip.xml!$A:$A,0))=0,0,N1469)</f>
        <v>8</v>
      </c>
      <c r="N1469" s="8">
        <v>8</v>
      </c>
    </row>
    <row r="1470" spans="1:14">
      <c r="A1470" s="8">
        <f t="shared" si="2215"/>
        <v>10021</v>
      </c>
      <c r="B1470" s="8">
        <f t="shared" ref="B1470:C1470" si="2246">B1382</f>
        <v>40000</v>
      </c>
      <c r="C1470" s="8" t="str">
        <f t="shared" si="2246"/>
        <v>装备</v>
      </c>
      <c r="D1470" s="8">
        <f t="shared" si="2181"/>
        <v>40852050</v>
      </c>
      <c r="E1470" s="8"/>
      <c r="F1470" s="8">
        <v>1</v>
      </c>
      <c r="G1470" s="7">
        <f>3*INDEX([1]equip.xml!$I:$I,MATCH(D1470,[1]equip.xml!$A:$A,0))</f>
        <v>264000</v>
      </c>
      <c r="H1470" s="8" t="str">
        <f t="shared" ref="H1470:J1470" si="2247">H1382</f>
        <v>10_10,50_20,80_30</v>
      </c>
      <c r="I1470" s="8">
        <f t="shared" si="2247"/>
        <v>6</v>
      </c>
      <c r="J1470" s="8">
        <f t="shared" si="2247"/>
        <v>50</v>
      </c>
      <c r="K1470" s="7" t="s">
        <v>312</v>
      </c>
      <c r="L1470" s="8">
        <v>52</v>
      </c>
      <c r="M1470" s="7">
        <f>IF(INDEX([1]equip.xml!$B:$B,MATCH(D1470,[1]equip.xml!$A:$A,0))=0,0,N1470)</f>
        <v>8</v>
      </c>
      <c r="N1470" s="8">
        <v>8</v>
      </c>
    </row>
    <row r="1471" spans="1:14">
      <c r="A1471" s="8">
        <f t="shared" si="2215"/>
        <v>10021</v>
      </c>
      <c r="B1471" s="8">
        <f t="shared" ref="B1471:C1471" si="2248">B1383</f>
        <v>40000</v>
      </c>
      <c r="C1471" s="8" t="str">
        <f t="shared" si="2248"/>
        <v>装备</v>
      </c>
      <c r="D1471" s="8">
        <f t="shared" si="2181"/>
        <v>40852051</v>
      </c>
      <c r="E1471" s="8"/>
      <c r="F1471" s="8">
        <v>1</v>
      </c>
      <c r="G1471" s="7">
        <f>3*INDEX([1]equip.xml!$I:$I,MATCH(D1471,[1]equip.xml!$A:$A,0))</f>
        <v>273000</v>
      </c>
      <c r="H1471" s="8" t="str">
        <f t="shared" ref="H1471:J1471" si="2249">H1383</f>
        <v>10_10,50_20,80_30</v>
      </c>
      <c r="I1471" s="8">
        <f t="shared" si="2249"/>
        <v>6</v>
      </c>
      <c r="J1471" s="8">
        <f t="shared" si="2249"/>
        <v>50</v>
      </c>
      <c r="K1471" s="7" t="s">
        <v>312</v>
      </c>
      <c r="L1471" s="8">
        <v>52</v>
      </c>
      <c r="M1471" s="7">
        <f>IF(INDEX([1]equip.xml!$B:$B,MATCH(D1471,[1]equip.xml!$A:$A,0))=0,0,N1471)</f>
        <v>8</v>
      </c>
      <c r="N1471" s="8">
        <v>8</v>
      </c>
    </row>
    <row r="1472" spans="1:14">
      <c r="A1472" s="8">
        <f t="shared" si="2215"/>
        <v>10021</v>
      </c>
      <c r="B1472" s="8">
        <f t="shared" ref="B1472:C1472" si="2250">B1384</f>
        <v>40000</v>
      </c>
      <c r="C1472" s="8" t="str">
        <f t="shared" si="2250"/>
        <v>装备</v>
      </c>
      <c r="D1472" s="8">
        <f t="shared" si="2181"/>
        <v>40852060</v>
      </c>
      <c r="E1472" s="8"/>
      <c r="F1472" s="8">
        <v>1</v>
      </c>
      <c r="G1472" s="7">
        <f>3*INDEX([1]equip.xml!$I:$I,MATCH(D1472,[1]equip.xml!$A:$A,0))</f>
        <v>264000</v>
      </c>
      <c r="H1472" s="8" t="str">
        <f t="shared" ref="H1472:J1472" si="2251">H1384</f>
        <v>10_10,50_20,80_30</v>
      </c>
      <c r="I1472" s="8">
        <f t="shared" si="2251"/>
        <v>6</v>
      </c>
      <c r="J1472" s="8">
        <f t="shared" si="2251"/>
        <v>50</v>
      </c>
      <c r="K1472" s="7" t="s">
        <v>312</v>
      </c>
      <c r="L1472" s="8">
        <v>52</v>
      </c>
      <c r="M1472" s="7">
        <f>IF(INDEX([1]equip.xml!$B:$B,MATCH(D1472,[1]equip.xml!$A:$A,0))=0,0,N1472)</f>
        <v>8</v>
      </c>
      <c r="N1472" s="8">
        <v>8</v>
      </c>
    </row>
    <row r="1473" spans="1:14">
      <c r="A1473" s="8">
        <f t="shared" si="2215"/>
        <v>10021</v>
      </c>
      <c r="B1473" s="8">
        <f t="shared" ref="B1473:C1473" si="2252">B1385</f>
        <v>40000</v>
      </c>
      <c r="C1473" s="8" t="str">
        <f t="shared" si="2252"/>
        <v>装备</v>
      </c>
      <c r="D1473" s="8">
        <f t="shared" si="2181"/>
        <v>40852061</v>
      </c>
      <c r="E1473" s="8"/>
      <c r="F1473" s="8">
        <v>1</v>
      </c>
      <c r="G1473" s="7">
        <f>3*INDEX([1]equip.xml!$I:$I,MATCH(D1473,[1]equip.xml!$A:$A,0))</f>
        <v>273000</v>
      </c>
      <c r="H1473" s="8" t="str">
        <f t="shared" ref="H1473:J1473" si="2253">H1385</f>
        <v>10_10,50_20,80_30</v>
      </c>
      <c r="I1473" s="8">
        <f t="shared" si="2253"/>
        <v>6</v>
      </c>
      <c r="J1473" s="8">
        <f t="shared" si="2253"/>
        <v>50</v>
      </c>
      <c r="K1473" s="7" t="s">
        <v>312</v>
      </c>
      <c r="L1473" s="8">
        <v>52</v>
      </c>
      <c r="M1473" s="7">
        <f>IF(INDEX([1]equip.xml!$B:$B,MATCH(D1473,[1]equip.xml!$A:$A,0))=0,0,N1473)</f>
        <v>8</v>
      </c>
      <c r="N1473" s="8">
        <v>8</v>
      </c>
    </row>
    <row r="1474" spans="1:14">
      <c r="A1474" s="8">
        <f t="shared" si="2215"/>
        <v>10021</v>
      </c>
      <c r="B1474" s="8">
        <f t="shared" ref="B1474:C1474" si="2254">B1386</f>
        <v>40000</v>
      </c>
      <c r="C1474" s="8" t="str">
        <f t="shared" si="2254"/>
        <v>装备</v>
      </c>
      <c r="D1474" s="8">
        <f t="shared" si="2181"/>
        <v>40853050</v>
      </c>
      <c r="E1474" s="8"/>
      <c r="F1474" s="8">
        <v>1</v>
      </c>
      <c r="G1474" s="7">
        <f>3*INDEX([1]equip.xml!$I:$I,MATCH(D1474,[1]equip.xml!$A:$A,0))</f>
        <v>264000</v>
      </c>
      <c r="H1474" s="8" t="str">
        <f t="shared" ref="H1474:J1474" si="2255">H1386</f>
        <v>10_10,50_20,80_30</v>
      </c>
      <c r="I1474" s="8">
        <f t="shared" si="2255"/>
        <v>6</v>
      </c>
      <c r="J1474" s="8">
        <f t="shared" si="2255"/>
        <v>50</v>
      </c>
      <c r="K1474" s="7" t="s">
        <v>312</v>
      </c>
      <c r="L1474" s="8">
        <v>52</v>
      </c>
      <c r="M1474" s="7">
        <f>IF(INDEX([1]equip.xml!$B:$B,MATCH(D1474,[1]equip.xml!$A:$A,0))=0,0,N1474)</f>
        <v>8</v>
      </c>
      <c r="N1474" s="8">
        <v>8</v>
      </c>
    </row>
    <row r="1475" spans="1:14">
      <c r="A1475" s="8">
        <f t="shared" si="2215"/>
        <v>10021</v>
      </c>
      <c r="B1475" s="8">
        <f t="shared" ref="B1475:C1475" si="2256">B1387</f>
        <v>40000</v>
      </c>
      <c r="C1475" s="8" t="str">
        <f t="shared" si="2256"/>
        <v>装备</v>
      </c>
      <c r="D1475" s="8">
        <f t="shared" si="2181"/>
        <v>40853051</v>
      </c>
      <c r="E1475" s="8"/>
      <c r="F1475" s="8">
        <v>1</v>
      </c>
      <c r="G1475" s="7">
        <f>3*INDEX([1]equip.xml!$I:$I,MATCH(D1475,[1]equip.xml!$A:$A,0))</f>
        <v>273000</v>
      </c>
      <c r="H1475" s="8" t="str">
        <f t="shared" ref="H1475:J1475" si="2257">H1387</f>
        <v>10_10,50_20,80_30</v>
      </c>
      <c r="I1475" s="8">
        <f t="shared" si="2257"/>
        <v>6</v>
      </c>
      <c r="J1475" s="8">
        <f t="shared" si="2257"/>
        <v>50</v>
      </c>
      <c r="K1475" s="7" t="s">
        <v>312</v>
      </c>
      <c r="L1475" s="8">
        <v>52</v>
      </c>
      <c r="M1475" s="7">
        <f>IF(INDEX([1]equip.xml!$B:$B,MATCH(D1475,[1]equip.xml!$A:$A,0))=0,0,N1475)</f>
        <v>8</v>
      </c>
      <c r="N1475" s="8">
        <v>8</v>
      </c>
    </row>
    <row r="1476" spans="1:14">
      <c r="A1476" s="8">
        <f t="shared" si="2215"/>
        <v>10021</v>
      </c>
      <c r="B1476" s="8">
        <f t="shared" ref="B1476:C1476" si="2258">B1388</f>
        <v>40000</v>
      </c>
      <c r="C1476" s="8" t="str">
        <f t="shared" si="2258"/>
        <v>装备</v>
      </c>
      <c r="D1476" s="8">
        <f t="shared" si="2181"/>
        <v>40853060</v>
      </c>
      <c r="E1476" s="8"/>
      <c r="F1476" s="8">
        <v>1</v>
      </c>
      <c r="G1476" s="7">
        <f>3*INDEX([1]equip.xml!$I:$I,MATCH(D1476,[1]equip.xml!$A:$A,0))</f>
        <v>264000</v>
      </c>
      <c r="H1476" s="8" t="str">
        <f t="shared" ref="H1476:J1476" si="2259">H1388</f>
        <v>10_10,50_20,80_30</v>
      </c>
      <c r="I1476" s="8">
        <f t="shared" si="2259"/>
        <v>6</v>
      </c>
      <c r="J1476" s="8">
        <f t="shared" si="2259"/>
        <v>50</v>
      </c>
      <c r="K1476" s="7" t="s">
        <v>312</v>
      </c>
      <c r="L1476" s="8">
        <v>52</v>
      </c>
      <c r="M1476" s="7">
        <f>IF(INDEX([1]equip.xml!$B:$B,MATCH(D1476,[1]equip.xml!$A:$A,0))=0,0,N1476)</f>
        <v>8</v>
      </c>
      <c r="N1476" s="8">
        <v>8</v>
      </c>
    </row>
    <row r="1477" spans="1:14">
      <c r="A1477" s="8">
        <f t="shared" si="2215"/>
        <v>10021</v>
      </c>
      <c r="B1477" s="8">
        <f t="shared" ref="B1477:C1477" si="2260">B1389</f>
        <v>40000</v>
      </c>
      <c r="C1477" s="8" t="str">
        <f t="shared" si="2260"/>
        <v>装备</v>
      </c>
      <c r="D1477" s="8">
        <f t="shared" si="2181"/>
        <v>40853061</v>
      </c>
      <c r="E1477" s="8"/>
      <c r="F1477" s="8">
        <v>1</v>
      </c>
      <c r="G1477" s="7">
        <f>3*INDEX([1]equip.xml!$I:$I,MATCH(D1477,[1]equip.xml!$A:$A,0))</f>
        <v>273000</v>
      </c>
      <c r="H1477" s="8" t="str">
        <f t="shared" ref="H1477:J1477" si="2261">H1389</f>
        <v>10_10,50_20,80_30</v>
      </c>
      <c r="I1477" s="8">
        <f t="shared" si="2261"/>
        <v>6</v>
      </c>
      <c r="J1477" s="8">
        <f t="shared" si="2261"/>
        <v>50</v>
      </c>
      <c r="K1477" s="7" t="s">
        <v>312</v>
      </c>
      <c r="L1477" s="8">
        <v>52</v>
      </c>
      <c r="M1477" s="7">
        <f>IF(INDEX([1]equip.xml!$B:$B,MATCH(D1477,[1]equip.xml!$A:$A,0))=0,0,N1477)</f>
        <v>8</v>
      </c>
      <c r="N1477" s="8">
        <v>8</v>
      </c>
    </row>
    <row r="1478" spans="1:14">
      <c r="A1478" s="8">
        <f t="shared" si="2215"/>
        <v>10021</v>
      </c>
      <c r="B1478" s="8">
        <f t="shared" ref="B1478:C1478" si="2262">B1390</f>
        <v>40000</v>
      </c>
      <c r="C1478" s="8" t="str">
        <f t="shared" si="2262"/>
        <v>装备</v>
      </c>
      <c r="D1478" s="8">
        <f t="shared" si="2181"/>
        <v>40850040</v>
      </c>
      <c r="E1478" s="8"/>
      <c r="F1478" s="8">
        <v>1</v>
      </c>
      <c r="G1478" s="7">
        <f>3*INDEX([1]equip.xml!$I:$I,MATCH(D1478,[1]equip.xml!$A:$A,0))</f>
        <v>264000</v>
      </c>
      <c r="H1478" s="8" t="str">
        <f t="shared" ref="H1478:J1478" si="2263">H1390</f>
        <v>10_10,50_20,80_30</v>
      </c>
      <c r="I1478" s="8">
        <f t="shared" si="2263"/>
        <v>6</v>
      </c>
      <c r="J1478" s="8">
        <f t="shared" si="2263"/>
        <v>50</v>
      </c>
      <c r="K1478" s="7" t="s">
        <v>312</v>
      </c>
      <c r="L1478" s="8">
        <v>52</v>
      </c>
      <c r="M1478" s="7">
        <f>IF(INDEX([1]equip.xml!$B:$B,MATCH(D1478,[1]equip.xml!$A:$A,0))=0,0,N1478)</f>
        <v>8</v>
      </c>
      <c r="N1478" s="8">
        <v>8</v>
      </c>
    </row>
    <row r="1479" spans="1:14">
      <c r="A1479" s="8">
        <f t="shared" si="2215"/>
        <v>10021</v>
      </c>
      <c r="B1479" s="8">
        <f t="shared" ref="B1479:C1479" si="2264">B1391</f>
        <v>40000</v>
      </c>
      <c r="C1479" s="8" t="str">
        <f t="shared" si="2264"/>
        <v>装备</v>
      </c>
      <c r="D1479" s="8">
        <f t="shared" ref="D1479:D1542" si="2265">D1391+50000</f>
        <v>40850041</v>
      </c>
      <c r="E1479" s="8"/>
      <c r="F1479" s="8">
        <v>1</v>
      </c>
      <c r="G1479" s="7">
        <f>3*INDEX([1]equip.xml!$I:$I,MATCH(D1479,[1]equip.xml!$A:$A,0))</f>
        <v>273000</v>
      </c>
      <c r="H1479" s="8" t="str">
        <f t="shared" ref="H1479:J1479" si="2266">H1391</f>
        <v>10_10,50_20,80_30</v>
      </c>
      <c r="I1479" s="8">
        <f t="shared" si="2266"/>
        <v>6</v>
      </c>
      <c r="J1479" s="8">
        <f t="shared" si="2266"/>
        <v>50</v>
      </c>
      <c r="K1479" s="7" t="s">
        <v>312</v>
      </c>
      <c r="L1479" s="8">
        <v>52</v>
      </c>
      <c r="M1479" s="7">
        <f>IF(INDEX([1]equip.xml!$B:$B,MATCH(D1479,[1]equip.xml!$A:$A,0))=0,0,N1479)</f>
        <v>8</v>
      </c>
      <c r="N1479" s="8">
        <v>8</v>
      </c>
    </row>
    <row r="1480" spans="1:14">
      <c r="A1480" s="8">
        <f t="shared" si="2215"/>
        <v>10021</v>
      </c>
      <c r="B1480" s="8">
        <f t="shared" ref="B1480:C1480" si="2267">B1392</f>
        <v>40000</v>
      </c>
      <c r="C1480" s="8" t="str">
        <f t="shared" si="2267"/>
        <v>装备</v>
      </c>
      <c r="D1480" s="8">
        <f t="shared" si="2265"/>
        <v>40850070</v>
      </c>
      <c r="E1480" s="8"/>
      <c r="F1480" s="8">
        <v>1</v>
      </c>
      <c r="G1480" s="7">
        <f>3*INDEX([1]equip.xml!$I:$I,MATCH(D1480,[1]equip.xml!$A:$A,0))</f>
        <v>264000</v>
      </c>
      <c r="H1480" s="8" t="str">
        <f t="shared" ref="H1480:J1480" si="2268">H1392</f>
        <v>10_10,50_20,80_30</v>
      </c>
      <c r="I1480" s="8">
        <f t="shared" si="2268"/>
        <v>6</v>
      </c>
      <c r="J1480" s="8">
        <f t="shared" si="2268"/>
        <v>50</v>
      </c>
      <c r="K1480" s="7" t="s">
        <v>312</v>
      </c>
      <c r="L1480" s="8">
        <v>52</v>
      </c>
      <c r="M1480" s="7">
        <f>IF(INDEX([1]equip.xml!$B:$B,MATCH(D1480,[1]equip.xml!$A:$A,0))=0,0,N1480)</f>
        <v>8</v>
      </c>
      <c r="N1480" s="8">
        <v>8</v>
      </c>
    </row>
    <row r="1481" spans="1:14">
      <c r="A1481" s="8">
        <f t="shared" si="2215"/>
        <v>10021</v>
      </c>
      <c r="B1481" s="8">
        <f t="shared" ref="B1481:C1481" si="2269">B1393</f>
        <v>40000</v>
      </c>
      <c r="C1481" s="8" t="str">
        <f t="shared" si="2269"/>
        <v>装备</v>
      </c>
      <c r="D1481" s="8">
        <f t="shared" si="2265"/>
        <v>40850071</v>
      </c>
      <c r="E1481" s="8"/>
      <c r="F1481" s="8">
        <v>1</v>
      </c>
      <c r="G1481" s="7">
        <f>3*INDEX([1]equip.xml!$I:$I,MATCH(D1481,[1]equip.xml!$A:$A,0))</f>
        <v>273000</v>
      </c>
      <c r="H1481" s="8" t="str">
        <f t="shared" ref="H1481:J1481" si="2270">H1393</f>
        <v>10_10,50_20,80_30</v>
      </c>
      <c r="I1481" s="8">
        <f t="shared" si="2270"/>
        <v>6</v>
      </c>
      <c r="J1481" s="8">
        <f t="shared" si="2270"/>
        <v>50</v>
      </c>
      <c r="K1481" s="7" t="s">
        <v>312</v>
      </c>
      <c r="L1481" s="8">
        <v>52</v>
      </c>
      <c r="M1481" s="7">
        <f>IF(INDEX([1]equip.xml!$B:$B,MATCH(D1481,[1]equip.xml!$A:$A,0))=0,0,N1481)</f>
        <v>8</v>
      </c>
      <c r="N1481" s="8">
        <v>8</v>
      </c>
    </row>
    <row r="1482" spans="1:14">
      <c r="A1482" s="8">
        <f t="shared" si="2215"/>
        <v>10021</v>
      </c>
      <c r="B1482" s="8">
        <f t="shared" ref="B1482:C1482" si="2271">B1394</f>
        <v>40000</v>
      </c>
      <c r="C1482" s="8" t="str">
        <f t="shared" si="2271"/>
        <v>装备</v>
      </c>
      <c r="D1482" s="7">
        <f>D1438+10000005</f>
        <v>50800015</v>
      </c>
      <c r="E1482" s="8"/>
      <c r="F1482" s="8">
        <v>1</v>
      </c>
      <c r="G1482" s="7">
        <f>3*INDEX([1]equip.xml!$I:$I,MATCH(D1482,[1]equip.xml!$A:$A,0))</f>
        <v>492000</v>
      </c>
      <c r="H1482" s="8" t="str">
        <f t="shared" ref="H1482:J1482" si="2272">H1394</f>
        <v>10_10,50_20,80_30</v>
      </c>
      <c r="I1482" s="8">
        <f t="shared" si="2272"/>
        <v>1</v>
      </c>
      <c r="J1482" s="8">
        <f t="shared" si="2272"/>
        <v>240</v>
      </c>
      <c r="K1482" s="7" t="s">
        <v>312</v>
      </c>
      <c r="L1482" s="8">
        <v>52</v>
      </c>
      <c r="M1482" s="7">
        <f>IF(INDEX([1]equip.xml!$B:$B,MATCH(D1482,[1]equip.xml!$A:$A,0))=0,0,N1482)</f>
        <v>70</v>
      </c>
      <c r="N1482" s="8">
        <v>70</v>
      </c>
    </row>
    <row r="1483" spans="1:14">
      <c r="A1483" s="8">
        <f t="shared" si="2215"/>
        <v>10021</v>
      </c>
      <c r="B1483" s="8">
        <f t="shared" ref="B1483:C1483" si="2273">B1395</f>
        <v>40000</v>
      </c>
      <c r="C1483" s="8" t="str">
        <f t="shared" si="2273"/>
        <v>装备</v>
      </c>
      <c r="D1483" s="7">
        <f t="shared" ref="D1483:D1525" si="2274">D1439+10000005</f>
        <v>50800025</v>
      </c>
      <c r="E1483" s="8"/>
      <c r="F1483" s="8">
        <v>1</v>
      </c>
      <c r="G1483" s="7">
        <f>3*INDEX([1]equip.xml!$I:$I,MATCH(D1483,[1]equip.xml!$A:$A,0))</f>
        <v>492000</v>
      </c>
      <c r="H1483" s="8" t="str">
        <f t="shared" ref="H1483:J1483" si="2275">H1395</f>
        <v>10_10,50_20,80_30</v>
      </c>
      <c r="I1483" s="8">
        <f t="shared" si="2275"/>
        <v>1</v>
      </c>
      <c r="J1483" s="8">
        <f t="shared" si="2275"/>
        <v>240</v>
      </c>
      <c r="K1483" s="7" t="s">
        <v>312</v>
      </c>
      <c r="L1483" s="8">
        <v>52</v>
      </c>
      <c r="M1483" s="7">
        <f>IF(INDEX([1]equip.xml!$B:$B,MATCH(D1483,[1]equip.xml!$A:$A,0))=0,0,N1483)</f>
        <v>70</v>
      </c>
      <c r="N1483" s="8">
        <v>70</v>
      </c>
    </row>
    <row r="1484" spans="1:14">
      <c r="A1484" s="8">
        <f t="shared" si="2215"/>
        <v>10021</v>
      </c>
      <c r="B1484" s="8">
        <f t="shared" ref="B1484:C1484" si="2276">B1396</f>
        <v>40000</v>
      </c>
      <c r="C1484" s="8" t="str">
        <f t="shared" si="2276"/>
        <v>装备</v>
      </c>
      <c r="D1484" s="7">
        <f t="shared" si="2274"/>
        <v>50800035</v>
      </c>
      <c r="E1484" s="8"/>
      <c r="F1484" s="8">
        <v>1</v>
      </c>
      <c r="G1484" s="7">
        <f>3*INDEX([1]equip.xml!$I:$I,MATCH(D1484,[1]equip.xml!$A:$A,0))</f>
        <v>492000</v>
      </c>
      <c r="H1484" s="8" t="str">
        <f t="shared" ref="H1484:J1484" si="2277">H1396</f>
        <v>10_10,50_20,80_30</v>
      </c>
      <c r="I1484" s="8">
        <f t="shared" si="2277"/>
        <v>1</v>
      </c>
      <c r="J1484" s="8">
        <f t="shared" si="2277"/>
        <v>240</v>
      </c>
      <c r="K1484" s="7" t="s">
        <v>312</v>
      </c>
      <c r="L1484" s="8">
        <v>52</v>
      </c>
      <c r="M1484" s="7">
        <f>IF(INDEX([1]equip.xml!$B:$B,MATCH(D1484,[1]equip.xml!$A:$A,0))=0,0,N1484)</f>
        <v>70</v>
      </c>
      <c r="N1484" s="8">
        <v>70</v>
      </c>
    </row>
    <row r="1485" spans="1:14">
      <c r="A1485" s="8">
        <f t="shared" si="2215"/>
        <v>10021</v>
      </c>
      <c r="B1485" s="8">
        <f t="shared" ref="B1485:C1485" si="2278">B1397</f>
        <v>40000</v>
      </c>
      <c r="C1485" s="8" t="str">
        <f t="shared" si="2278"/>
        <v>装备</v>
      </c>
      <c r="D1485" s="7">
        <f t="shared" si="2274"/>
        <v>50800085</v>
      </c>
      <c r="E1485" s="8"/>
      <c r="F1485" s="8">
        <v>1</v>
      </c>
      <c r="G1485" s="7">
        <f>3*INDEX([1]equip.xml!$I:$I,MATCH(D1485,[1]equip.xml!$A:$A,0))</f>
        <v>492000</v>
      </c>
      <c r="H1485" s="8" t="str">
        <f t="shared" ref="H1485:J1485" si="2279">H1397</f>
        <v>10_10,50_20,80_30</v>
      </c>
      <c r="I1485" s="8">
        <f t="shared" si="2279"/>
        <v>1</v>
      </c>
      <c r="J1485" s="8">
        <f t="shared" si="2279"/>
        <v>240</v>
      </c>
      <c r="K1485" s="7" t="s">
        <v>312</v>
      </c>
      <c r="L1485" s="8">
        <v>52</v>
      </c>
      <c r="M1485" s="7">
        <f>IF(INDEX([1]equip.xml!$B:$B,MATCH(D1485,[1]equip.xml!$A:$A,0))=0,0,N1485)</f>
        <v>70</v>
      </c>
      <c r="N1485" s="8">
        <v>70</v>
      </c>
    </row>
    <row r="1486" spans="1:14">
      <c r="A1486" s="8">
        <f t="shared" si="2215"/>
        <v>10021</v>
      </c>
      <c r="B1486" s="8">
        <f t="shared" ref="B1486:C1486" si="2280">B1398</f>
        <v>40000</v>
      </c>
      <c r="C1486" s="8" t="str">
        <f t="shared" si="2280"/>
        <v>装备</v>
      </c>
      <c r="D1486" s="7">
        <f t="shared" si="2274"/>
        <v>50800095</v>
      </c>
      <c r="E1486" s="8"/>
      <c r="F1486" s="8">
        <v>1</v>
      </c>
      <c r="G1486" s="7">
        <f>3*INDEX([1]equip.xml!$I:$I,MATCH(D1486,[1]equip.xml!$A:$A,0))</f>
        <v>492000</v>
      </c>
      <c r="H1486" s="8" t="str">
        <f t="shared" ref="H1486:J1486" si="2281">H1398</f>
        <v>10_10,50_20,80_30</v>
      </c>
      <c r="I1486" s="8">
        <f t="shared" si="2281"/>
        <v>1</v>
      </c>
      <c r="J1486" s="8">
        <f t="shared" si="2281"/>
        <v>240</v>
      </c>
      <c r="K1486" s="7" t="s">
        <v>312</v>
      </c>
      <c r="L1486" s="8">
        <v>52</v>
      </c>
      <c r="M1486" s="7">
        <f>IF(INDEX([1]equip.xml!$B:$B,MATCH(D1486,[1]equip.xml!$A:$A,0))=0,0,N1486)</f>
        <v>70</v>
      </c>
      <c r="N1486" s="8">
        <v>70</v>
      </c>
    </row>
    <row r="1487" spans="1:14">
      <c r="A1487" s="8">
        <f t="shared" si="2215"/>
        <v>10021</v>
      </c>
      <c r="B1487" s="8">
        <f t="shared" ref="B1487:C1487" si="2282">B1399</f>
        <v>40000</v>
      </c>
      <c r="C1487" s="8" t="str">
        <f t="shared" si="2282"/>
        <v>装备</v>
      </c>
      <c r="D1487" s="7">
        <f t="shared" si="2274"/>
        <v>50800105</v>
      </c>
      <c r="E1487" s="8"/>
      <c r="F1487" s="8">
        <v>1</v>
      </c>
      <c r="G1487" s="7">
        <f>3*INDEX([1]equip.xml!$I:$I,MATCH(D1487,[1]equip.xml!$A:$A,0))</f>
        <v>492000</v>
      </c>
      <c r="H1487" s="8" t="str">
        <f t="shared" ref="H1487:J1487" si="2283">H1399</f>
        <v>10_10,50_20,80_30</v>
      </c>
      <c r="I1487" s="8">
        <f t="shared" si="2283"/>
        <v>1</v>
      </c>
      <c r="J1487" s="8">
        <f t="shared" si="2283"/>
        <v>240</v>
      </c>
      <c r="K1487" s="7" t="s">
        <v>312</v>
      </c>
      <c r="L1487" s="8">
        <v>52</v>
      </c>
      <c r="M1487" s="7">
        <f>IF(INDEX([1]equip.xml!$B:$B,MATCH(D1487,[1]equip.xml!$A:$A,0))=0,0,N1487)</f>
        <v>70</v>
      </c>
      <c r="N1487" s="8">
        <v>70</v>
      </c>
    </row>
    <row r="1488" spans="1:14">
      <c r="A1488" s="8">
        <f t="shared" si="2215"/>
        <v>10021</v>
      </c>
      <c r="B1488" s="8">
        <f t="shared" ref="B1488:C1488" si="2284">B1400</f>
        <v>40000</v>
      </c>
      <c r="C1488" s="8" t="str">
        <f t="shared" si="2284"/>
        <v>装备</v>
      </c>
      <c r="D1488" s="7">
        <f t="shared" si="2274"/>
        <v>50801055</v>
      </c>
      <c r="E1488" s="8"/>
      <c r="F1488" s="8">
        <v>1</v>
      </c>
      <c r="G1488" s="7">
        <f>3*INDEX([1]equip.xml!$I:$I,MATCH(D1488,[1]equip.xml!$A:$A,0))</f>
        <v>492000</v>
      </c>
      <c r="H1488" s="8" t="str">
        <f t="shared" ref="H1488:J1488" si="2285">H1400</f>
        <v>10_10,50_20,80_30</v>
      </c>
      <c r="I1488" s="8">
        <f t="shared" si="2285"/>
        <v>1</v>
      </c>
      <c r="J1488" s="8">
        <f t="shared" si="2285"/>
        <v>240</v>
      </c>
      <c r="K1488" s="7" t="s">
        <v>312</v>
      </c>
      <c r="L1488" s="8">
        <v>52</v>
      </c>
      <c r="M1488" s="7">
        <f>IF(INDEX([1]equip.xml!$B:$B,MATCH(D1488,[1]equip.xml!$A:$A,0))=0,0,N1488)</f>
        <v>70</v>
      </c>
      <c r="N1488" s="8">
        <v>70</v>
      </c>
    </row>
    <row r="1489" spans="1:14">
      <c r="A1489" s="8">
        <f t="shared" si="2215"/>
        <v>10021</v>
      </c>
      <c r="B1489" s="8">
        <f t="shared" ref="B1489:C1489" si="2286">B1401</f>
        <v>40000</v>
      </c>
      <c r="C1489" s="8" t="str">
        <f t="shared" si="2286"/>
        <v>装备</v>
      </c>
      <c r="D1489" s="7">
        <f t="shared" si="2274"/>
        <v>50801056</v>
      </c>
      <c r="E1489" s="8"/>
      <c r="F1489" s="8">
        <v>1</v>
      </c>
      <c r="G1489" s="7">
        <f>3*INDEX([1]equip.xml!$I:$I,MATCH(D1489,[1]equip.xml!$A:$A,0))</f>
        <v>510000</v>
      </c>
      <c r="H1489" s="8" t="str">
        <f t="shared" ref="H1489:J1489" si="2287">H1401</f>
        <v>10_10,50_20,80_30</v>
      </c>
      <c r="I1489" s="8">
        <f t="shared" si="2287"/>
        <v>1</v>
      </c>
      <c r="J1489" s="8">
        <f t="shared" si="2287"/>
        <v>240</v>
      </c>
      <c r="K1489" s="7" t="s">
        <v>312</v>
      </c>
      <c r="L1489" s="8">
        <v>52</v>
      </c>
      <c r="M1489" s="7">
        <f>IF(INDEX([1]equip.xml!$B:$B,MATCH(D1489,[1]equip.xml!$A:$A,0))=0,0,N1489)</f>
        <v>70</v>
      </c>
      <c r="N1489" s="8">
        <v>70</v>
      </c>
    </row>
    <row r="1490" spans="1:14">
      <c r="A1490" s="8">
        <f t="shared" si="2215"/>
        <v>10021</v>
      </c>
      <c r="B1490" s="8">
        <f t="shared" ref="B1490:C1490" si="2288">B1402</f>
        <v>40000</v>
      </c>
      <c r="C1490" s="8" t="str">
        <f t="shared" si="2288"/>
        <v>装备</v>
      </c>
      <c r="D1490" s="7">
        <f t="shared" si="2274"/>
        <v>50801065</v>
      </c>
      <c r="E1490" s="8"/>
      <c r="F1490" s="8">
        <v>1</v>
      </c>
      <c r="G1490" s="7">
        <f>3*INDEX([1]equip.xml!$I:$I,MATCH(D1490,[1]equip.xml!$A:$A,0))</f>
        <v>492000</v>
      </c>
      <c r="H1490" s="8" t="str">
        <f t="shared" ref="H1490:J1490" si="2289">H1402</f>
        <v>10_10,50_20,80_30</v>
      </c>
      <c r="I1490" s="8">
        <f t="shared" si="2289"/>
        <v>1</v>
      </c>
      <c r="J1490" s="8">
        <f t="shared" si="2289"/>
        <v>240</v>
      </c>
      <c r="K1490" s="7" t="s">
        <v>312</v>
      </c>
      <c r="L1490" s="8">
        <v>52</v>
      </c>
      <c r="M1490" s="7">
        <f>IF(INDEX([1]equip.xml!$B:$B,MATCH(D1490,[1]equip.xml!$A:$A,0))=0,0,N1490)</f>
        <v>70</v>
      </c>
      <c r="N1490" s="8">
        <v>70</v>
      </c>
    </row>
    <row r="1491" spans="1:14">
      <c r="A1491" s="8">
        <f t="shared" si="2215"/>
        <v>10021</v>
      </c>
      <c r="B1491" s="8">
        <f t="shared" ref="B1491:C1491" si="2290">B1403</f>
        <v>40000</v>
      </c>
      <c r="C1491" s="8" t="str">
        <f t="shared" si="2290"/>
        <v>装备</v>
      </c>
      <c r="D1491" s="7">
        <f t="shared" si="2274"/>
        <v>50801066</v>
      </c>
      <c r="E1491" s="8"/>
      <c r="F1491" s="8">
        <v>1</v>
      </c>
      <c r="G1491" s="7">
        <f>3*INDEX([1]equip.xml!$I:$I,MATCH(D1491,[1]equip.xml!$A:$A,0))</f>
        <v>510000</v>
      </c>
      <c r="H1491" s="8" t="str">
        <f t="shared" ref="H1491:J1491" si="2291">H1403</f>
        <v>10_10,50_20,80_30</v>
      </c>
      <c r="I1491" s="8">
        <f t="shared" si="2291"/>
        <v>1</v>
      </c>
      <c r="J1491" s="8">
        <f t="shared" si="2291"/>
        <v>240</v>
      </c>
      <c r="K1491" s="7" t="s">
        <v>312</v>
      </c>
      <c r="L1491" s="8">
        <v>52</v>
      </c>
      <c r="M1491" s="7">
        <f>IF(INDEX([1]equip.xml!$B:$B,MATCH(D1491,[1]equip.xml!$A:$A,0))=0,0,N1491)</f>
        <v>70</v>
      </c>
      <c r="N1491" s="8">
        <v>70</v>
      </c>
    </row>
    <row r="1492" spans="1:14">
      <c r="A1492" s="8">
        <f t="shared" si="2215"/>
        <v>10021</v>
      </c>
      <c r="B1492" s="8">
        <f t="shared" ref="B1492:C1492" si="2292">B1404</f>
        <v>40000</v>
      </c>
      <c r="C1492" s="8" t="str">
        <f t="shared" si="2292"/>
        <v>装备</v>
      </c>
      <c r="D1492" s="7">
        <f t="shared" si="2274"/>
        <v>50802055</v>
      </c>
      <c r="E1492" s="8"/>
      <c r="F1492" s="8">
        <v>1</v>
      </c>
      <c r="G1492" s="7">
        <f>3*INDEX([1]equip.xml!$I:$I,MATCH(D1492,[1]equip.xml!$A:$A,0))</f>
        <v>492000</v>
      </c>
      <c r="H1492" s="8" t="str">
        <f t="shared" ref="H1492:J1492" si="2293">H1404</f>
        <v>10_10,50_20,80_30</v>
      </c>
      <c r="I1492" s="8">
        <f t="shared" si="2293"/>
        <v>1</v>
      </c>
      <c r="J1492" s="8">
        <f t="shared" si="2293"/>
        <v>240</v>
      </c>
      <c r="K1492" s="7" t="s">
        <v>312</v>
      </c>
      <c r="L1492" s="8">
        <v>52</v>
      </c>
      <c r="M1492" s="7">
        <f>IF(INDEX([1]equip.xml!$B:$B,MATCH(D1492,[1]equip.xml!$A:$A,0))=0,0,N1492)</f>
        <v>70</v>
      </c>
      <c r="N1492" s="8">
        <v>70</v>
      </c>
    </row>
    <row r="1493" spans="1:14">
      <c r="A1493" s="8">
        <f t="shared" si="2215"/>
        <v>10021</v>
      </c>
      <c r="B1493" s="8">
        <f t="shared" ref="B1493:C1493" si="2294">B1405</f>
        <v>40000</v>
      </c>
      <c r="C1493" s="8" t="str">
        <f t="shared" si="2294"/>
        <v>装备</v>
      </c>
      <c r="D1493" s="7">
        <f t="shared" si="2274"/>
        <v>50802056</v>
      </c>
      <c r="E1493" s="8"/>
      <c r="F1493" s="8">
        <v>1</v>
      </c>
      <c r="G1493" s="7">
        <f>3*INDEX([1]equip.xml!$I:$I,MATCH(D1493,[1]equip.xml!$A:$A,0))</f>
        <v>510000</v>
      </c>
      <c r="H1493" s="8" t="str">
        <f t="shared" ref="H1493:J1493" si="2295">H1405</f>
        <v>10_10,50_20,80_30</v>
      </c>
      <c r="I1493" s="8">
        <f t="shared" si="2295"/>
        <v>1</v>
      </c>
      <c r="J1493" s="8">
        <f t="shared" si="2295"/>
        <v>240</v>
      </c>
      <c r="K1493" s="7" t="s">
        <v>312</v>
      </c>
      <c r="L1493" s="8">
        <v>52</v>
      </c>
      <c r="M1493" s="7">
        <f>IF(INDEX([1]equip.xml!$B:$B,MATCH(D1493,[1]equip.xml!$A:$A,0))=0,0,N1493)</f>
        <v>70</v>
      </c>
      <c r="N1493" s="8">
        <v>70</v>
      </c>
    </row>
    <row r="1494" spans="1:14">
      <c r="A1494" s="8">
        <f t="shared" si="2215"/>
        <v>10021</v>
      </c>
      <c r="B1494" s="8">
        <f t="shared" ref="B1494:C1494" si="2296">B1406</f>
        <v>40000</v>
      </c>
      <c r="C1494" s="8" t="str">
        <f t="shared" si="2296"/>
        <v>装备</v>
      </c>
      <c r="D1494" s="7">
        <f t="shared" si="2274"/>
        <v>50802065</v>
      </c>
      <c r="E1494" s="8"/>
      <c r="F1494" s="8">
        <v>1</v>
      </c>
      <c r="G1494" s="7">
        <f>3*INDEX([1]equip.xml!$I:$I,MATCH(D1494,[1]equip.xml!$A:$A,0))</f>
        <v>492000</v>
      </c>
      <c r="H1494" s="8" t="str">
        <f t="shared" ref="H1494:J1494" si="2297">H1406</f>
        <v>10_10,50_20,80_30</v>
      </c>
      <c r="I1494" s="8">
        <f t="shared" si="2297"/>
        <v>1</v>
      </c>
      <c r="J1494" s="8">
        <f t="shared" si="2297"/>
        <v>240</v>
      </c>
      <c r="K1494" s="7" t="s">
        <v>312</v>
      </c>
      <c r="L1494" s="8">
        <v>52</v>
      </c>
      <c r="M1494" s="7">
        <f>IF(INDEX([1]equip.xml!$B:$B,MATCH(D1494,[1]equip.xml!$A:$A,0))=0,0,N1494)</f>
        <v>70</v>
      </c>
      <c r="N1494" s="8">
        <v>70</v>
      </c>
    </row>
    <row r="1495" spans="1:14">
      <c r="A1495" s="8">
        <f t="shared" si="2215"/>
        <v>10021</v>
      </c>
      <c r="B1495" s="8">
        <f t="shared" ref="B1495:C1495" si="2298">B1407</f>
        <v>40000</v>
      </c>
      <c r="C1495" s="8" t="str">
        <f t="shared" si="2298"/>
        <v>装备</v>
      </c>
      <c r="D1495" s="7">
        <f t="shared" si="2274"/>
        <v>50802066</v>
      </c>
      <c r="E1495" s="8"/>
      <c r="F1495" s="8">
        <v>1</v>
      </c>
      <c r="G1495" s="7">
        <f>3*INDEX([1]equip.xml!$I:$I,MATCH(D1495,[1]equip.xml!$A:$A,0))</f>
        <v>510000</v>
      </c>
      <c r="H1495" s="8" t="str">
        <f t="shared" ref="H1495:J1495" si="2299">H1407</f>
        <v>10_10,50_20,80_30</v>
      </c>
      <c r="I1495" s="8">
        <f t="shared" si="2299"/>
        <v>1</v>
      </c>
      <c r="J1495" s="8">
        <f t="shared" si="2299"/>
        <v>240</v>
      </c>
      <c r="K1495" s="7" t="s">
        <v>312</v>
      </c>
      <c r="L1495" s="8">
        <v>52</v>
      </c>
      <c r="M1495" s="7">
        <f>IF(INDEX([1]equip.xml!$B:$B,MATCH(D1495,[1]equip.xml!$A:$A,0))=0,0,N1495)</f>
        <v>70</v>
      </c>
      <c r="N1495" s="8">
        <v>70</v>
      </c>
    </row>
    <row r="1496" spans="1:14">
      <c r="A1496" s="8">
        <f t="shared" si="2215"/>
        <v>10021</v>
      </c>
      <c r="B1496" s="8">
        <f t="shared" ref="B1496:C1496" si="2300">B1408</f>
        <v>40000</v>
      </c>
      <c r="C1496" s="8" t="str">
        <f t="shared" si="2300"/>
        <v>装备</v>
      </c>
      <c r="D1496" s="7">
        <f t="shared" si="2274"/>
        <v>50803055</v>
      </c>
      <c r="E1496" s="8"/>
      <c r="F1496" s="8">
        <v>1</v>
      </c>
      <c r="G1496" s="7">
        <f>3*INDEX([1]equip.xml!$I:$I,MATCH(D1496,[1]equip.xml!$A:$A,0))</f>
        <v>492000</v>
      </c>
      <c r="H1496" s="8" t="str">
        <f t="shared" ref="H1496:J1496" si="2301">H1408</f>
        <v>10_10,50_20,80_30</v>
      </c>
      <c r="I1496" s="8">
        <f t="shared" si="2301"/>
        <v>1</v>
      </c>
      <c r="J1496" s="8">
        <f t="shared" si="2301"/>
        <v>240</v>
      </c>
      <c r="K1496" s="7" t="s">
        <v>312</v>
      </c>
      <c r="L1496" s="8">
        <v>52</v>
      </c>
      <c r="M1496" s="7">
        <f>IF(INDEX([1]equip.xml!$B:$B,MATCH(D1496,[1]equip.xml!$A:$A,0))=0,0,N1496)</f>
        <v>70</v>
      </c>
      <c r="N1496" s="8">
        <v>70</v>
      </c>
    </row>
    <row r="1497" spans="1:14">
      <c r="A1497" s="8">
        <f t="shared" si="2215"/>
        <v>10021</v>
      </c>
      <c r="B1497" s="8">
        <f t="shared" ref="B1497:C1497" si="2302">B1409</f>
        <v>40000</v>
      </c>
      <c r="C1497" s="8" t="str">
        <f t="shared" si="2302"/>
        <v>装备</v>
      </c>
      <c r="D1497" s="7">
        <f t="shared" si="2274"/>
        <v>50803056</v>
      </c>
      <c r="E1497" s="8"/>
      <c r="F1497" s="8">
        <v>1</v>
      </c>
      <c r="G1497" s="7">
        <f>3*INDEX([1]equip.xml!$I:$I,MATCH(D1497,[1]equip.xml!$A:$A,0))</f>
        <v>510000</v>
      </c>
      <c r="H1497" s="8" t="str">
        <f t="shared" ref="H1497:J1497" si="2303">H1409</f>
        <v>10_10,50_20,80_30</v>
      </c>
      <c r="I1497" s="8">
        <f t="shared" si="2303"/>
        <v>1</v>
      </c>
      <c r="J1497" s="8">
        <f t="shared" si="2303"/>
        <v>240</v>
      </c>
      <c r="K1497" s="7" t="s">
        <v>312</v>
      </c>
      <c r="L1497" s="8">
        <v>52</v>
      </c>
      <c r="M1497" s="7">
        <f>IF(INDEX([1]equip.xml!$B:$B,MATCH(D1497,[1]equip.xml!$A:$A,0))=0,0,N1497)</f>
        <v>70</v>
      </c>
      <c r="N1497" s="8">
        <v>70</v>
      </c>
    </row>
    <row r="1498" spans="1:14">
      <c r="A1498" s="8">
        <f t="shared" si="2215"/>
        <v>10021</v>
      </c>
      <c r="B1498" s="8">
        <f t="shared" ref="B1498:C1498" si="2304">B1410</f>
        <v>40000</v>
      </c>
      <c r="C1498" s="8" t="str">
        <f t="shared" si="2304"/>
        <v>装备</v>
      </c>
      <c r="D1498" s="7">
        <f t="shared" si="2274"/>
        <v>50803065</v>
      </c>
      <c r="E1498" s="8"/>
      <c r="F1498" s="8">
        <v>1</v>
      </c>
      <c r="G1498" s="7">
        <f>3*INDEX([1]equip.xml!$I:$I,MATCH(D1498,[1]equip.xml!$A:$A,0))</f>
        <v>492000</v>
      </c>
      <c r="H1498" s="8" t="str">
        <f t="shared" ref="H1498:J1498" si="2305">H1410</f>
        <v>10_10,50_20,80_30</v>
      </c>
      <c r="I1498" s="8">
        <f t="shared" si="2305"/>
        <v>1</v>
      </c>
      <c r="J1498" s="8">
        <f t="shared" si="2305"/>
        <v>240</v>
      </c>
      <c r="K1498" s="7" t="s">
        <v>312</v>
      </c>
      <c r="L1498" s="8">
        <v>52</v>
      </c>
      <c r="M1498" s="7">
        <f>IF(INDEX([1]equip.xml!$B:$B,MATCH(D1498,[1]equip.xml!$A:$A,0))=0,0,N1498)</f>
        <v>70</v>
      </c>
      <c r="N1498" s="8">
        <v>70</v>
      </c>
    </row>
    <row r="1499" spans="1:14">
      <c r="A1499" s="8">
        <f t="shared" si="2215"/>
        <v>10021</v>
      </c>
      <c r="B1499" s="8">
        <f t="shared" ref="B1499:C1499" si="2306">B1411</f>
        <v>40000</v>
      </c>
      <c r="C1499" s="8" t="str">
        <f t="shared" si="2306"/>
        <v>装备</v>
      </c>
      <c r="D1499" s="7">
        <f t="shared" si="2274"/>
        <v>50803066</v>
      </c>
      <c r="E1499" s="8"/>
      <c r="F1499" s="8">
        <v>1</v>
      </c>
      <c r="G1499" s="7">
        <f>3*INDEX([1]equip.xml!$I:$I,MATCH(D1499,[1]equip.xml!$A:$A,0))</f>
        <v>510000</v>
      </c>
      <c r="H1499" s="8" t="str">
        <f t="shared" ref="H1499:J1499" si="2307">H1411</f>
        <v>10_10,50_20,80_30</v>
      </c>
      <c r="I1499" s="8">
        <f t="shared" si="2307"/>
        <v>1</v>
      </c>
      <c r="J1499" s="8">
        <f t="shared" si="2307"/>
        <v>240</v>
      </c>
      <c r="K1499" s="7" t="s">
        <v>312</v>
      </c>
      <c r="L1499" s="8">
        <v>52</v>
      </c>
      <c r="M1499" s="7">
        <f>IF(INDEX([1]equip.xml!$B:$B,MATCH(D1499,[1]equip.xml!$A:$A,0))=0,0,N1499)</f>
        <v>70</v>
      </c>
      <c r="N1499" s="8">
        <v>70</v>
      </c>
    </row>
    <row r="1500" spans="1:14">
      <c r="A1500" s="8">
        <f t="shared" si="2215"/>
        <v>10021</v>
      </c>
      <c r="B1500" s="8">
        <f t="shared" ref="B1500:C1500" si="2308">B1412</f>
        <v>40000</v>
      </c>
      <c r="C1500" s="8" t="str">
        <f t="shared" si="2308"/>
        <v>装备</v>
      </c>
      <c r="D1500" s="7">
        <f t="shared" si="2274"/>
        <v>50800045</v>
      </c>
      <c r="E1500" s="8"/>
      <c r="F1500" s="8">
        <v>1</v>
      </c>
      <c r="G1500" s="7">
        <f>3*INDEX([1]equip.xml!$I:$I,MATCH(D1500,[1]equip.xml!$A:$A,0))</f>
        <v>492000</v>
      </c>
      <c r="H1500" s="8" t="str">
        <f t="shared" ref="H1500:J1500" si="2309">H1412</f>
        <v>10_10,50_20,80_30</v>
      </c>
      <c r="I1500" s="8">
        <f t="shared" si="2309"/>
        <v>1</v>
      </c>
      <c r="J1500" s="8">
        <f t="shared" si="2309"/>
        <v>240</v>
      </c>
      <c r="K1500" s="7" t="s">
        <v>312</v>
      </c>
      <c r="L1500" s="8">
        <v>52</v>
      </c>
      <c r="M1500" s="7">
        <f>IF(INDEX([1]equip.xml!$B:$B,MATCH(D1500,[1]equip.xml!$A:$A,0))=0,0,N1500)</f>
        <v>70</v>
      </c>
      <c r="N1500" s="8">
        <v>70</v>
      </c>
    </row>
    <row r="1501" spans="1:14">
      <c r="A1501" s="8">
        <f t="shared" si="2215"/>
        <v>10021</v>
      </c>
      <c r="B1501" s="8">
        <f t="shared" ref="B1501:C1501" si="2310">B1413</f>
        <v>40000</v>
      </c>
      <c r="C1501" s="8" t="str">
        <f t="shared" si="2310"/>
        <v>装备</v>
      </c>
      <c r="D1501" s="7">
        <f t="shared" si="2274"/>
        <v>50800046</v>
      </c>
      <c r="E1501" s="8"/>
      <c r="F1501" s="8">
        <v>1</v>
      </c>
      <c r="G1501" s="7">
        <f>3*INDEX([1]equip.xml!$I:$I,MATCH(D1501,[1]equip.xml!$A:$A,0))</f>
        <v>510000</v>
      </c>
      <c r="H1501" s="8" t="str">
        <f t="shared" ref="H1501:J1501" si="2311">H1413</f>
        <v>10_10,50_20,80_30</v>
      </c>
      <c r="I1501" s="8">
        <f t="shared" si="2311"/>
        <v>1</v>
      </c>
      <c r="J1501" s="8">
        <f t="shared" si="2311"/>
        <v>240</v>
      </c>
      <c r="K1501" s="7" t="s">
        <v>312</v>
      </c>
      <c r="L1501" s="8">
        <v>52</v>
      </c>
      <c r="M1501" s="7">
        <f>IF(INDEX([1]equip.xml!$B:$B,MATCH(D1501,[1]equip.xml!$A:$A,0))=0,0,N1501)</f>
        <v>70</v>
      </c>
      <c r="N1501" s="8">
        <v>70</v>
      </c>
    </row>
    <row r="1502" spans="1:14">
      <c r="A1502" s="8">
        <f t="shared" si="2215"/>
        <v>10021</v>
      </c>
      <c r="B1502" s="8">
        <f t="shared" ref="B1502:C1502" si="2312">B1414</f>
        <v>40000</v>
      </c>
      <c r="C1502" s="8" t="str">
        <f t="shared" si="2312"/>
        <v>装备</v>
      </c>
      <c r="D1502" s="7">
        <f t="shared" si="2274"/>
        <v>50800075</v>
      </c>
      <c r="E1502" s="8"/>
      <c r="F1502" s="8">
        <v>1</v>
      </c>
      <c r="G1502" s="7">
        <f>3*INDEX([1]equip.xml!$I:$I,MATCH(D1502,[1]equip.xml!$A:$A,0))</f>
        <v>492000</v>
      </c>
      <c r="H1502" s="8" t="str">
        <f t="shared" ref="H1502:J1502" si="2313">H1414</f>
        <v>10_10,50_20,80_30</v>
      </c>
      <c r="I1502" s="8">
        <f t="shared" si="2313"/>
        <v>1</v>
      </c>
      <c r="J1502" s="8">
        <f t="shared" si="2313"/>
        <v>240</v>
      </c>
      <c r="K1502" s="7" t="s">
        <v>312</v>
      </c>
      <c r="L1502" s="8">
        <v>52</v>
      </c>
      <c r="M1502" s="7">
        <f>IF(INDEX([1]equip.xml!$B:$B,MATCH(D1502,[1]equip.xml!$A:$A,0))=0,0,N1502)</f>
        <v>70</v>
      </c>
      <c r="N1502" s="8">
        <v>70</v>
      </c>
    </row>
    <row r="1503" spans="1:14">
      <c r="A1503" s="8">
        <f t="shared" si="2215"/>
        <v>10021</v>
      </c>
      <c r="B1503" s="8">
        <f t="shared" ref="B1503:C1503" si="2314">B1415</f>
        <v>40000</v>
      </c>
      <c r="C1503" s="8" t="str">
        <f t="shared" si="2314"/>
        <v>装备</v>
      </c>
      <c r="D1503" s="7">
        <f t="shared" si="2274"/>
        <v>50800076</v>
      </c>
      <c r="E1503" s="8"/>
      <c r="F1503" s="8">
        <v>1</v>
      </c>
      <c r="G1503" s="7">
        <f>3*INDEX([1]equip.xml!$I:$I,MATCH(D1503,[1]equip.xml!$A:$A,0))</f>
        <v>510000</v>
      </c>
      <c r="H1503" s="8" t="str">
        <f t="shared" ref="H1503:J1503" si="2315">H1415</f>
        <v>10_10,50_20,80_30</v>
      </c>
      <c r="I1503" s="8">
        <f t="shared" si="2315"/>
        <v>1</v>
      </c>
      <c r="J1503" s="8">
        <f t="shared" si="2315"/>
        <v>240</v>
      </c>
      <c r="K1503" s="7" t="s">
        <v>312</v>
      </c>
      <c r="L1503" s="8">
        <v>52</v>
      </c>
      <c r="M1503" s="7">
        <f>IF(INDEX([1]equip.xml!$B:$B,MATCH(D1503,[1]equip.xml!$A:$A,0))=0,0,N1503)</f>
        <v>70</v>
      </c>
      <c r="N1503" s="8">
        <v>70</v>
      </c>
    </row>
    <row r="1504" spans="1:14">
      <c r="A1504" s="8">
        <f t="shared" si="2215"/>
        <v>10021</v>
      </c>
      <c r="B1504" s="8">
        <f t="shared" ref="B1504:C1504" si="2316">B1416</f>
        <v>40000</v>
      </c>
      <c r="C1504" s="8" t="str">
        <f t="shared" si="2316"/>
        <v>装备</v>
      </c>
      <c r="D1504" s="7">
        <f t="shared" si="2274"/>
        <v>50850015</v>
      </c>
      <c r="E1504" s="8"/>
      <c r="F1504" s="8">
        <v>1</v>
      </c>
      <c r="G1504" s="7">
        <f>3*INDEX([1]equip.xml!$I:$I,MATCH(D1504,[1]equip.xml!$A:$A,0))</f>
        <v>528000</v>
      </c>
      <c r="H1504" s="8" t="str">
        <f t="shared" ref="H1504:J1504" si="2317">H1416</f>
        <v>10_10,50_20,80_30</v>
      </c>
      <c r="I1504" s="8">
        <f t="shared" si="2317"/>
        <v>1</v>
      </c>
      <c r="J1504" s="8">
        <f t="shared" si="2317"/>
        <v>240</v>
      </c>
      <c r="K1504" s="7" t="s">
        <v>312</v>
      </c>
      <c r="L1504" s="8">
        <v>52</v>
      </c>
      <c r="M1504" s="7">
        <f>IF(INDEX([1]equip.xml!$B:$B,MATCH(D1504,[1]equip.xml!$A:$A,0))=0,0,N1504)</f>
        <v>4</v>
      </c>
      <c r="N1504" s="8">
        <v>4</v>
      </c>
    </row>
    <row r="1505" spans="1:14">
      <c r="A1505" s="8">
        <f t="shared" si="2215"/>
        <v>10021</v>
      </c>
      <c r="B1505" s="8">
        <f t="shared" ref="B1505:C1505" si="2318">B1417</f>
        <v>40000</v>
      </c>
      <c r="C1505" s="8" t="str">
        <f t="shared" si="2318"/>
        <v>装备</v>
      </c>
      <c r="D1505" s="7">
        <f t="shared" si="2274"/>
        <v>50850025</v>
      </c>
      <c r="E1505" s="8"/>
      <c r="F1505" s="8">
        <v>1</v>
      </c>
      <c r="G1505" s="7">
        <f>3*INDEX([1]equip.xml!$I:$I,MATCH(D1505,[1]equip.xml!$A:$A,0))</f>
        <v>528000</v>
      </c>
      <c r="H1505" s="8" t="str">
        <f t="shared" ref="H1505:J1505" si="2319">H1417</f>
        <v>10_10,50_20,80_30</v>
      </c>
      <c r="I1505" s="8">
        <f t="shared" si="2319"/>
        <v>1</v>
      </c>
      <c r="J1505" s="8">
        <f t="shared" si="2319"/>
        <v>240</v>
      </c>
      <c r="K1505" s="7" t="s">
        <v>312</v>
      </c>
      <c r="L1505" s="8">
        <v>52</v>
      </c>
      <c r="M1505" s="7">
        <f>IF(INDEX([1]equip.xml!$B:$B,MATCH(D1505,[1]equip.xml!$A:$A,0))=0,0,N1505)</f>
        <v>4</v>
      </c>
      <c r="N1505" s="8">
        <v>4</v>
      </c>
    </row>
    <row r="1506" spans="1:14">
      <c r="A1506" s="8">
        <f t="shared" si="2215"/>
        <v>10021</v>
      </c>
      <c r="B1506" s="8">
        <f t="shared" ref="B1506:C1506" si="2320">B1418</f>
        <v>40000</v>
      </c>
      <c r="C1506" s="8" t="str">
        <f t="shared" si="2320"/>
        <v>装备</v>
      </c>
      <c r="D1506" s="7">
        <f t="shared" si="2274"/>
        <v>50850035</v>
      </c>
      <c r="E1506" s="8"/>
      <c r="F1506" s="8">
        <v>1</v>
      </c>
      <c r="G1506" s="7">
        <f>3*INDEX([1]equip.xml!$I:$I,MATCH(D1506,[1]equip.xml!$A:$A,0))</f>
        <v>528000</v>
      </c>
      <c r="H1506" s="8" t="str">
        <f t="shared" ref="H1506:J1506" si="2321">H1418</f>
        <v>10_10,50_20,80_30</v>
      </c>
      <c r="I1506" s="8">
        <f t="shared" si="2321"/>
        <v>1</v>
      </c>
      <c r="J1506" s="8">
        <f t="shared" si="2321"/>
        <v>240</v>
      </c>
      <c r="K1506" s="7" t="s">
        <v>312</v>
      </c>
      <c r="L1506" s="8">
        <v>52</v>
      </c>
      <c r="M1506" s="7">
        <f>IF(INDEX([1]equip.xml!$B:$B,MATCH(D1506,[1]equip.xml!$A:$A,0))=0,0,N1506)</f>
        <v>4</v>
      </c>
      <c r="N1506" s="8">
        <v>4</v>
      </c>
    </row>
    <row r="1507" spans="1:14">
      <c r="A1507" s="8">
        <f t="shared" si="2215"/>
        <v>10021</v>
      </c>
      <c r="B1507" s="8">
        <f t="shared" ref="B1507:C1507" si="2322">B1419</f>
        <v>40000</v>
      </c>
      <c r="C1507" s="8" t="str">
        <f t="shared" si="2322"/>
        <v>装备</v>
      </c>
      <c r="D1507" s="7">
        <f t="shared" si="2274"/>
        <v>50850085</v>
      </c>
      <c r="E1507" s="8"/>
      <c r="F1507" s="8">
        <v>1</v>
      </c>
      <c r="G1507" s="7">
        <f>3*INDEX([1]equip.xml!$I:$I,MATCH(D1507,[1]equip.xml!$A:$A,0))</f>
        <v>528000</v>
      </c>
      <c r="H1507" s="8" t="str">
        <f t="shared" ref="H1507:J1507" si="2323">H1419</f>
        <v>10_10,50_20,80_30</v>
      </c>
      <c r="I1507" s="8">
        <f t="shared" si="2323"/>
        <v>1</v>
      </c>
      <c r="J1507" s="8">
        <f t="shared" si="2323"/>
        <v>240</v>
      </c>
      <c r="K1507" s="7" t="s">
        <v>312</v>
      </c>
      <c r="L1507" s="8">
        <v>52</v>
      </c>
      <c r="M1507" s="7">
        <f>IF(INDEX([1]equip.xml!$B:$B,MATCH(D1507,[1]equip.xml!$A:$A,0))=0,0,N1507)</f>
        <v>4</v>
      </c>
      <c r="N1507" s="8">
        <v>4</v>
      </c>
    </row>
    <row r="1508" spans="1:14">
      <c r="A1508" s="8">
        <f t="shared" si="2215"/>
        <v>10021</v>
      </c>
      <c r="B1508" s="8">
        <f t="shared" ref="B1508:C1508" si="2324">B1420</f>
        <v>40000</v>
      </c>
      <c r="C1508" s="8" t="str">
        <f t="shared" si="2324"/>
        <v>装备</v>
      </c>
      <c r="D1508" s="7">
        <f t="shared" si="2274"/>
        <v>50850095</v>
      </c>
      <c r="E1508" s="8"/>
      <c r="F1508" s="8">
        <v>1</v>
      </c>
      <c r="G1508" s="7">
        <f>3*INDEX([1]equip.xml!$I:$I,MATCH(D1508,[1]equip.xml!$A:$A,0))</f>
        <v>528000</v>
      </c>
      <c r="H1508" s="8" t="str">
        <f t="shared" ref="H1508:J1508" si="2325">H1420</f>
        <v>10_10,50_20,80_30</v>
      </c>
      <c r="I1508" s="8">
        <f t="shared" si="2325"/>
        <v>1</v>
      </c>
      <c r="J1508" s="8">
        <f t="shared" si="2325"/>
        <v>240</v>
      </c>
      <c r="K1508" s="7" t="s">
        <v>312</v>
      </c>
      <c r="L1508" s="8">
        <v>52</v>
      </c>
      <c r="M1508" s="7">
        <f>IF(INDEX([1]equip.xml!$B:$B,MATCH(D1508,[1]equip.xml!$A:$A,0))=0,0,N1508)</f>
        <v>4</v>
      </c>
      <c r="N1508" s="8">
        <v>4</v>
      </c>
    </row>
    <row r="1509" spans="1:14">
      <c r="A1509" s="8">
        <f t="shared" si="2215"/>
        <v>10021</v>
      </c>
      <c r="B1509" s="8">
        <f t="shared" ref="B1509:C1509" si="2326">B1421</f>
        <v>40000</v>
      </c>
      <c r="C1509" s="8" t="str">
        <f t="shared" si="2326"/>
        <v>装备</v>
      </c>
      <c r="D1509" s="7">
        <f t="shared" si="2274"/>
        <v>50850105</v>
      </c>
      <c r="E1509" s="8"/>
      <c r="F1509" s="8">
        <v>1</v>
      </c>
      <c r="G1509" s="7">
        <f>3*INDEX([1]equip.xml!$I:$I,MATCH(D1509,[1]equip.xml!$A:$A,0))</f>
        <v>528000</v>
      </c>
      <c r="H1509" s="8" t="str">
        <f t="shared" ref="H1509:J1509" si="2327">H1421</f>
        <v>10_10,50_20,80_30</v>
      </c>
      <c r="I1509" s="8">
        <f t="shared" si="2327"/>
        <v>1</v>
      </c>
      <c r="J1509" s="8">
        <f t="shared" si="2327"/>
        <v>240</v>
      </c>
      <c r="K1509" s="7" t="s">
        <v>312</v>
      </c>
      <c r="L1509" s="8">
        <v>52</v>
      </c>
      <c r="M1509" s="7">
        <f>IF(INDEX([1]equip.xml!$B:$B,MATCH(D1509,[1]equip.xml!$A:$A,0))=0,0,N1509)</f>
        <v>4</v>
      </c>
      <c r="N1509" s="8">
        <v>4</v>
      </c>
    </row>
    <row r="1510" spans="1:14">
      <c r="A1510" s="8">
        <f t="shared" si="2215"/>
        <v>10021</v>
      </c>
      <c r="B1510" s="8">
        <f t="shared" ref="B1510:C1510" si="2328">B1422</f>
        <v>40000</v>
      </c>
      <c r="C1510" s="8" t="str">
        <f t="shared" si="2328"/>
        <v>装备</v>
      </c>
      <c r="D1510" s="7">
        <f t="shared" si="2274"/>
        <v>50851055</v>
      </c>
      <c r="E1510" s="8"/>
      <c r="F1510" s="8">
        <v>1</v>
      </c>
      <c r="G1510" s="7">
        <f>3*INDEX([1]equip.xml!$I:$I,MATCH(D1510,[1]equip.xml!$A:$A,0))</f>
        <v>528000</v>
      </c>
      <c r="H1510" s="8" t="str">
        <f t="shared" ref="H1510:J1510" si="2329">H1422</f>
        <v>10_10,50_20,80_30</v>
      </c>
      <c r="I1510" s="8">
        <f t="shared" si="2329"/>
        <v>1</v>
      </c>
      <c r="J1510" s="8">
        <f t="shared" si="2329"/>
        <v>240</v>
      </c>
      <c r="K1510" s="7" t="s">
        <v>312</v>
      </c>
      <c r="L1510" s="8">
        <v>52</v>
      </c>
      <c r="M1510" s="7">
        <f>IF(INDEX([1]equip.xml!$B:$B,MATCH(D1510,[1]equip.xml!$A:$A,0))=0,0,N1510)</f>
        <v>4</v>
      </c>
      <c r="N1510" s="8">
        <v>4</v>
      </c>
    </row>
    <row r="1511" spans="1:14">
      <c r="A1511" s="8">
        <f t="shared" si="2215"/>
        <v>10021</v>
      </c>
      <c r="B1511" s="8">
        <f t="shared" ref="B1511:C1511" si="2330">B1423</f>
        <v>40000</v>
      </c>
      <c r="C1511" s="8" t="str">
        <f t="shared" si="2330"/>
        <v>装备</v>
      </c>
      <c r="D1511" s="7">
        <f t="shared" si="2274"/>
        <v>50851056</v>
      </c>
      <c r="E1511" s="8"/>
      <c r="F1511" s="8">
        <v>1</v>
      </c>
      <c r="G1511" s="7">
        <f>3*INDEX([1]equip.xml!$I:$I,MATCH(D1511,[1]equip.xml!$A:$A,0))</f>
        <v>546000</v>
      </c>
      <c r="H1511" s="8" t="str">
        <f t="shared" ref="H1511:J1511" si="2331">H1423</f>
        <v>10_10,50_20,80_30</v>
      </c>
      <c r="I1511" s="8">
        <f t="shared" si="2331"/>
        <v>1</v>
      </c>
      <c r="J1511" s="8">
        <f t="shared" si="2331"/>
        <v>240</v>
      </c>
      <c r="K1511" s="7" t="s">
        <v>312</v>
      </c>
      <c r="L1511" s="8">
        <v>52</v>
      </c>
      <c r="M1511" s="7">
        <f>IF(INDEX([1]equip.xml!$B:$B,MATCH(D1511,[1]equip.xml!$A:$A,0))=0,0,N1511)</f>
        <v>4</v>
      </c>
      <c r="N1511" s="8">
        <v>4</v>
      </c>
    </row>
    <row r="1512" spans="1:14">
      <c r="A1512" s="8">
        <f t="shared" si="2215"/>
        <v>10021</v>
      </c>
      <c r="B1512" s="8">
        <f t="shared" ref="B1512:C1512" si="2332">B1424</f>
        <v>40000</v>
      </c>
      <c r="C1512" s="8" t="str">
        <f t="shared" si="2332"/>
        <v>装备</v>
      </c>
      <c r="D1512" s="7">
        <f t="shared" si="2274"/>
        <v>50851065</v>
      </c>
      <c r="E1512" s="8"/>
      <c r="F1512" s="8">
        <v>1</v>
      </c>
      <c r="G1512" s="7">
        <f>3*INDEX([1]equip.xml!$I:$I,MATCH(D1512,[1]equip.xml!$A:$A,0))</f>
        <v>528000</v>
      </c>
      <c r="H1512" s="8" t="str">
        <f t="shared" ref="H1512:J1512" si="2333">H1424</f>
        <v>10_10,50_20,80_30</v>
      </c>
      <c r="I1512" s="8">
        <f t="shared" si="2333"/>
        <v>1</v>
      </c>
      <c r="J1512" s="8">
        <f t="shared" si="2333"/>
        <v>240</v>
      </c>
      <c r="K1512" s="7" t="s">
        <v>312</v>
      </c>
      <c r="L1512" s="8">
        <v>52</v>
      </c>
      <c r="M1512" s="7">
        <f>IF(INDEX([1]equip.xml!$B:$B,MATCH(D1512,[1]equip.xml!$A:$A,0))=0,0,N1512)</f>
        <v>4</v>
      </c>
      <c r="N1512" s="8">
        <v>4</v>
      </c>
    </row>
    <row r="1513" spans="1:14">
      <c r="A1513" s="8">
        <f t="shared" si="2215"/>
        <v>10021</v>
      </c>
      <c r="B1513" s="8">
        <f t="shared" ref="B1513:C1513" si="2334">B1425</f>
        <v>40000</v>
      </c>
      <c r="C1513" s="8" t="str">
        <f t="shared" si="2334"/>
        <v>装备</v>
      </c>
      <c r="D1513" s="7">
        <f t="shared" si="2274"/>
        <v>50851066</v>
      </c>
      <c r="E1513" s="8"/>
      <c r="F1513" s="8">
        <v>1</v>
      </c>
      <c r="G1513" s="7">
        <f>3*INDEX([1]equip.xml!$I:$I,MATCH(D1513,[1]equip.xml!$A:$A,0))</f>
        <v>546000</v>
      </c>
      <c r="H1513" s="8" t="str">
        <f t="shared" ref="H1513:J1513" si="2335">H1425</f>
        <v>10_10,50_20,80_30</v>
      </c>
      <c r="I1513" s="8">
        <f t="shared" si="2335"/>
        <v>1</v>
      </c>
      <c r="J1513" s="8">
        <f t="shared" si="2335"/>
        <v>240</v>
      </c>
      <c r="K1513" s="7" t="s">
        <v>312</v>
      </c>
      <c r="L1513" s="8">
        <v>52</v>
      </c>
      <c r="M1513" s="7">
        <f>IF(INDEX([1]equip.xml!$B:$B,MATCH(D1513,[1]equip.xml!$A:$A,0))=0,0,N1513)</f>
        <v>4</v>
      </c>
      <c r="N1513" s="8">
        <v>4</v>
      </c>
    </row>
    <row r="1514" spans="1:14">
      <c r="A1514" s="8">
        <f t="shared" si="2215"/>
        <v>10021</v>
      </c>
      <c r="B1514" s="8">
        <f t="shared" ref="B1514:C1514" si="2336">B1426</f>
        <v>40000</v>
      </c>
      <c r="C1514" s="8" t="str">
        <f t="shared" si="2336"/>
        <v>装备</v>
      </c>
      <c r="D1514" s="7">
        <f t="shared" si="2274"/>
        <v>50852055</v>
      </c>
      <c r="E1514" s="8"/>
      <c r="F1514" s="8">
        <v>1</v>
      </c>
      <c r="G1514" s="7">
        <f>3*INDEX([1]equip.xml!$I:$I,MATCH(D1514,[1]equip.xml!$A:$A,0))</f>
        <v>528000</v>
      </c>
      <c r="H1514" s="8" t="str">
        <f t="shared" ref="H1514:J1514" si="2337">H1426</f>
        <v>10_10,50_20,80_30</v>
      </c>
      <c r="I1514" s="8">
        <f t="shared" si="2337"/>
        <v>1</v>
      </c>
      <c r="J1514" s="8">
        <f t="shared" si="2337"/>
        <v>240</v>
      </c>
      <c r="K1514" s="7" t="s">
        <v>312</v>
      </c>
      <c r="L1514" s="8">
        <v>52</v>
      </c>
      <c r="M1514" s="7">
        <f>IF(INDEX([1]equip.xml!$B:$B,MATCH(D1514,[1]equip.xml!$A:$A,0))=0,0,N1514)</f>
        <v>4</v>
      </c>
      <c r="N1514" s="8">
        <v>4</v>
      </c>
    </row>
    <row r="1515" spans="1:14">
      <c r="A1515" s="8">
        <f t="shared" si="2215"/>
        <v>10021</v>
      </c>
      <c r="B1515" s="8">
        <f t="shared" ref="B1515:C1515" si="2338">B1427</f>
        <v>40000</v>
      </c>
      <c r="C1515" s="8" t="str">
        <f t="shared" si="2338"/>
        <v>装备</v>
      </c>
      <c r="D1515" s="7">
        <f t="shared" si="2274"/>
        <v>50852056</v>
      </c>
      <c r="E1515" s="8"/>
      <c r="F1515" s="8">
        <v>1</v>
      </c>
      <c r="G1515" s="7">
        <f>3*INDEX([1]equip.xml!$I:$I,MATCH(D1515,[1]equip.xml!$A:$A,0))</f>
        <v>546000</v>
      </c>
      <c r="H1515" s="8" t="str">
        <f t="shared" ref="H1515:J1515" si="2339">H1427</f>
        <v>10_10,50_20,80_30</v>
      </c>
      <c r="I1515" s="8">
        <f t="shared" si="2339"/>
        <v>1</v>
      </c>
      <c r="J1515" s="8">
        <f t="shared" si="2339"/>
        <v>240</v>
      </c>
      <c r="K1515" s="7" t="s">
        <v>312</v>
      </c>
      <c r="L1515" s="8">
        <v>52</v>
      </c>
      <c r="M1515" s="7">
        <f>IF(INDEX([1]equip.xml!$B:$B,MATCH(D1515,[1]equip.xml!$A:$A,0))=0,0,N1515)</f>
        <v>4</v>
      </c>
      <c r="N1515" s="8">
        <v>4</v>
      </c>
    </row>
    <row r="1516" spans="1:14">
      <c r="A1516" s="8">
        <f t="shared" si="2215"/>
        <v>10021</v>
      </c>
      <c r="B1516" s="8">
        <f t="shared" ref="B1516:C1516" si="2340">B1428</f>
        <v>40000</v>
      </c>
      <c r="C1516" s="8" t="str">
        <f t="shared" si="2340"/>
        <v>装备</v>
      </c>
      <c r="D1516" s="7">
        <f t="shared" si="2274"/>
        <v>50852065</v>
      </c>
      <c r="E1516" s="8"/>
      <c r="F1516" s="8">
        <v>1</v>
      </c>
      <c r="G1516" s="7">
        <f>3*INDEX([1]equip.xml!$I:$I,MATCH(D1516,[1]equip.xml!$A:$A,0))</f>
        <v>528000</v>
      </c>
      <c r="H1516" s="8" t="str">
        <f t="shared" ref="H1516:J1516" si="2341">H1428</f>
        <v>10_10,50_20,80_30</v>
      </c>
      <c r="I1516" s="8">
        <f t="shared" si="2341"/>
        <v>1</v>
      </c>
      <c r="J1516" s="8">
        <f t="shared" si="2341"/>
        <v>240</v>
      </c>
      <c r="K1516" s="7" t="s">
        <v>312</v>
      </c>
      <c r="L1516" s="8">
        <v>52</v>
      </c>
      <c r="M1516" s="7">
        <f>IF(INDEX([1]equip.xml!$B:$B,MATCH(D1516,[1]equip.xml!$A:$A,0))=0,0,N1516)</f>
        <v>4</v>
      </c>
      <c r="N1516" s="8">
        <v>4</v>
      </c>
    </row>
    <row r="1517" spans="1:14">
      <c r="A1517" s="8">
        <f t="shared" si="2215"/>
        <v>10021</v>
      </c>
      <c r="B1517" s="8">
        <f t="shared" ref="B1517:C1517" si="2342">B1429</f>
        <v>40000</v>
      </c>
      <c r="C1517" s="8" t="str">
        <f t="shared" si="2342"/>
        <v>装备</v>
      </c>
      <c r="D1517" s="7">
        <f t="shared" si="2274"/>
        <v>50852066</v>
      </c>
      <c r="E1517" s="8"/>
      <c r="F1517" s="8">
        <v>1</v>
      </c>
      <c r="G1517" s="7">
        <f>3*INDEX([1]equip.xml!$I:$I,MATCH(D1517,[1]equip.xml!$A:$A,0))</f>
        <v>546000</v>
      </c>
      <c r="H1517" s="8" t="str">
        <f t="shared" ref="H1517:J1517" si="2343">H1429</f>
        <v>10_10,50_20,80_30</v>
      </c>
      <c r="I1517" s="8">
        <f t="shared" si="2343"/>
        <v>1</v>
      </c>
      <c r="J1517" s="8">
        <f t="shared" si="2343"/>
        <v>240</v>
      </c>
      <c r="K1517" s="7" t="s">
        <v>312</v>
      </c>
      <c r="L1517" s="8">
        <v>52</v>
      </c>
      <c r="M1517" s="7">
        <f>IF(INDEX([1]equip.xml!$B:$B,MATCH(D1517,[1]equip.xml!$A:$A,0))=0,0,N1517)</f>
        <v>4</v>
      </c>
      <c r="N1517" s="8">
        <v>4</v>
      </c>
    </row>
    <row r="1518" spans="1:14">
      <c r="A1518" s="8">
        <f t="shared" si="2215"/>
        <v>10021</v>
      </c>
      <c r="B1518" s="8">
        <f t="shared" ref="B1518:C1518" si="2344">B1430</f>
        <v>40000</v>
      </c>
      <c r="C1518" s="8" t="str">
        <f t="shared" si="2344"/>
        <v>装备</v>
      </c>
      <c r="D1518" s="7">
        <f t="shared" si="2274"/>
        <v>50853055</v>
      </c>
      <c r="E1518" s="8"/>
      <c r="F1518" s="8">
        <v>1</v>
      </c>
      <c r="G1518" s="7">
        <f>3*INDEX([1]equip.xml!$I:$I,MATCH(D1518,[1]equip.xml!$A:$A,0))</f>
        <v>528000</v>
      </c>
      <c r="H1518" s="8" t="str">
        <f t="shared" ref="H1518:J1518" si="2345">H1430</f>
        <v>10_10,50_20,80_30</v>
      </c>
      <c r="I1518" s="8">
        <f t="shared" si="2345"/>
        <v>1</v>
      </c>
      <c r="J1518" s="8">
        <f t="shared" si="2345"/>
        <v>240</v>
      </c>
      <c r="K1518" s="7" t="s">
        <v>312</v>
      </c>
      <c r="L1518" s="8">
        <v>52</v>
      </c>
      <c r="M1518" s="7">
        <f>IF(INDEX([1]equip.xml!$B:$B,MATCH(D1518,[1]equip.xml!$A:$A,0))=0,0,N1518)</f>
        <v>4</v>
      </c>
      <c r="N1518" s="8">
        <v>4</v>
      </c>
    </row>
    <row r="1519" spans="1:14">
      <c r="A1519" s="8">
        <f t="shared" ref="A1519:A1582" si="2346">A1431+1</f>
        <v>10021</v>
      </c>
      <c r="B1519" s="8">
        <f t="shared" ref="B1519:C1519" si="2347">B1431</f>
        <v>40000</v>
      </c>
      <c r="C1519" s="8" t="str">
        <f t="shared" si="2347"/>
        <v>装备</v>
      </c>
      <c r="D1519" s="7">
        <f t="shared" si="2274"/>
        <v>50853056</v>
      </c>
      <c r="E1519" s="8"/>
      <c r="F1519" s="8">
        <v>1</v>
      </c>
      <c r="G1519" s="7">
        <f>3*INDEX([1]equip.xml!$I:$I,MATCH(D1519,[1]equip.xml!$A:$A,0))</f>
        <v>546000</v>
      </c>
      <c r="H1519" s="8" t="str">
        <f t="shared" ref="H1519:J1519" si="2348">H1431</f>
        <v>10_10,50_20,80_30</v>
      </c>
      <c r="I1519" s="8">
        <f t="shared" si="2348"/>
        <v>1</v>
      </c>
      <c r="J1519" s="8">
        <f t="shared" si="2348"/>
        <v>240</v>
      </c>
      <c r="K1519" s="7" t="s">
        <v>312</v>
      </c>
      <c r="L1519" s="8">
        <v>52</v>
      </c>
      <c r="M1519" s="7">
        <f>IF(INDEX([1]equip.xml!$B:$B,MATCH(D1519,[1]equip.xml!$A:$A,0))=0,0,N1519)</f>
        <v>4</v>
      </c>
      <c r="N1519" s="8">
        <v>4</v>
      </c>
    </row>
    <row r="1520" spans="1:14">
      <c r="A1520" s="8">
        <f t="shared" si="2346"/>
        <v>10021</v>
      </c>
      <c r="B1520" s="8">
        <f t="shared" ref="B1520:C1520" si="2349">B1432</f>
        <v>40000</v>
      </c>
      <c r="C1520" s="8" t="str">
        <f t="shared" si="2349"/>
        <v>装备</v>
      </c>
      <c r="D1520" s="7">
        <f t="shared" si="2274"/>
        <v>50853065</v>
      </c>
      <c r="E1520" s="8"/>
      <c r="F1520" s="8">
        <v>1</v>
      </c>
      <c r="G1520" s="7">
        <f>3*INDEX([1]equip.xml!$I:$I,MATCH(D1520,[1]equip.xml!$A:$A,0))</f>
        <v>528000</v>
      </c>
      <c r="H1520" s="8" t="str">
        <f t="shared" ref="H1520:J1520" si="2350">H1432</f>
        <v>10_10,50_20,80_30</v>
      </c>
      <c r="I1520" s="8">
        <f t="shared" si="2350"/>
        <v>1</v>
      </c>
      <c r="J1520" s="8">
        <f t="shared" si="2350"/>
        <v>240</v>
      </c>
      <c r="K1520" s="7" t="s">
        <v>312</v>
      </c>
      <c r="L1520" s="8">
        <v>52</v>
      </c>
      <c r="M1520" s="7">
        <f>IF(INDEX([1]equip.xml!$B:$B,MATCH(D1520,[1]equip.xml!$A:$A,0))=0,0,N1520)</f>
        <v>4</v>
      </c>
      <c r="N1520" s="8">
        <v>4</v>
      </c>
    </row>
    <row r="1521" spans="1:14">
      <c r="A1521" s="8">
        <f t="shared" si="2346"/>
        <v>10021</v>
      </c>
      <c r="B1521" s="8">
        <f t="shared" ref="B1521:C1521" si="2351">B1433</f>
        <v>40000</v>
      </c>
      <c r="C1521" s="8" t="str">
        <f t="shared" si="2351"/>
        <v>装备</v>
      </c>
      <c r="D1521" s="7">
        <f t="shared" si="2274"/>
        <v>50853066</v>
      </c>
      <c r="E1521" s="8"/>
      <c r="F1521" s="8">
        <v>1</v>
      </c>
      <c r="G1521" s="7">
        <f>3*INDEX([1]equip.xml!$I:$I,MATCH(D1521,[1]equip.xml!$A:$A,0))</f>
        <v>546000</v>
      </c>
      <c r="H1521" s="8" t="str">
        <f t="shared" ref="H1521:J1521" si="2352">H1433</f>
        <v>10_10,50_20,80_30</v>
      </c>
      <c r="I1521" s="8">
        <f t="shared" si="2352"/>
        <v>1</v>
      </c>
      <c r="J1521" s="8">
        <f t="shared" si="2352"/>
        <v>240</v>
      </c>
      <c r="K1521" s="7" t="s">
        <v>312</v>
      </c>
      <c r="L1521" s="8">
        <v>52</v>
      </c>
      <c r="M1521" s="7">
        <f>IF(INDEX([1]equip.xml!$B:$B,MATCH(D1521,[1]equip.xml!$A:$A,0))=0,0,N1521)</f>
        <v>4</v>
      </c>
      <c r="N1521" s="8">
        <v>4</v>
      </c>
    </row>
    <row r="1522" spans="1:14">
      <c r="A1522" s="8">
        <f t="shared" si="2346"/>
        <v>10021</v>
      </c>
      <c r="B1522" s="8">
        <f t="shared" ref="B1522:C1522" si="2353">B1434</f>
        <v>40000</v>
      </c>
      <c r="C1522" s="8" t="str">
        <f t="shared" si="2353"/>
        <v>装备</v>
      </c>
      <c r="D1522" s="7">
        <f t="shared" si="2274"/>
        <v>50850045</v>
      </c>
      <c r="E1522" s="8"/>
      <c r="F1522" s="8">
        <v>1</v>
      </c>
      <c r="G1522" s="7">
        <f>3*INDEX([1]equip.xml!$I:$I,MATCH(D1522,[1]equip.xml!$A:$A,0))</f>
        <v>528000</v>
      </c>
      <c r="H1522" s="8" t="str">
        <f t="shared" ref="H1522:J1522" si="2354">H1434</f>
        <v>10_10,50_20,80_30</v>
      </c>
      <c r="I1522" s="8">
        <f t="shared" si="2354"/>
        <v>1</v>
      </c>
      <c r="J1522" s="8">
        <f t="shared" si="2354"/>
        <v>240</v>
      </c>
      <c r="K1522" s="7" t="s">
        <v>312</v>
      </c>
      <c r="L1522" s="8">
        <v>52</v>
      </c>
      <c r="M1522" s="7">
        <f>IF(INDEX([1]equip.xml!$B:$B,MATCH(D1522,[1]equip.xml!$A:$A,0))=0,0,N1522)</f>
        <v>4</v>
      </c>
      <c r="N1522" s="8">
        <v>4</v>
      </c>
    </row>
    <row r="1523" spans="1:14">
      <c r="A1523" s="8">
        <f t="shared" si="2346"/>
        <v>10021</v>
      </c>
      <c r="B1523" s="8">
        <f t="shared" ref="B1523:C1523" si="2355">B1435</f>
        <v>40000</v>
      </c>
      <c r="C1523" s="8" t="str">
        <f t="shared" si="2355"/>
        <v>装备</v>
      </c>
      <c r="D1523" s="7">
        <f t="shared" si="2274"/>
        <v>50850046</v>
      </c>
      <c r="E1523" s="8"/>
      <c r="F1523" s="8">
        <v>1</v>
      </c>
      <c r="G1523" s="7">
        <f>3*INDEX([1]equip.xml!$I:$I,MATCH(D1523,[1]equip.xml!$A:$A,0))</f>
        <v>546000</v>
      </c>
      <c r="H1523" s="8" t="str">
        <f t="shared" ref="H1523:J1523" si="2356">H1435</f>
        <v>10_10,50_20,80_30</v>
      </c>
      <c r="I1523" s="8">
        <f t="shared" si="2356"/>
        <v>1</v>
      </c>
      <c r="J1523" s="8">
        <f t="shared" si="2356"/>
        <v>240</v>
      </c>
      <c r="K1523" s="7" t="s">
        <v>312</v>
      </c>
      <c r="L1523" s="8">
        <v>52</v>
      </c>
      <c r="M1523" s="7">
        <f>IF(INDEX([1]equip.xml!$B:$B,MATCH(D1523,[1]equip.xml!$A:$A,0))=0,0,N1523)</f>
        <v>4</v>
      </c>
      <c r="N1523" s="8">
        <v>4</v>
      </c>
    </row>
    <row r="1524" spans="1:14">
      <c r="A1524" s="8">
        <f t="shared" si="2346"/>
        <v>10021</v>
      </c>
      <c r="B1524" s="8">
        <f t="shared" ref="B1524:C1524" si="2357">B1436</f>
        <v>40000</v>
      </c>
      <c r="C1524" s="8" t="str">
        <f t="shared" si="2357"/>
        <v>装备</v>
      </c>
      <c r="D1524" s="7">
        <f t="shared" si="2274"/>
        <v>50850075</v>
      </c>
      <c r="E1524" s="8"/>
      <c r="F1524" s="8">
        <v>1</v>
      </c>
      <c r="G1524" s="7">
        <f>3*INDEX([1]equip.xml!$I:$I,MATCH(D1524,[1]equip.xml!$A:$A,0))</f>
        <v>528000</v>
      </c>
      <c r="H1524" s="8" t="str">
        <f t="shared" ref="H1524:J1524" si="2358">H1436</f>
        <v>10_10,50_20,80_30</v>
      </c>
      <c r="I1524" s="8">
        <f t="shared" si="2358"/>
        <v>1</v>
      </c>
      <c r="J1524" s="8">
        <f t="shared" si="2358"/>
        <v>240</v>
      </c>
      <c r="K1524" s="7" t="s">
        <v>312</v>
      </c>
      <c r="L1524" s="8">
        <v>52</v>
      </c>
      <c r="M1524" s="7">
        <f>IF(INDEX([1]equip.xml!$B:$B,MATCH(D1524,[1]equip.xml!$A:$A,0))=0,0,N1524)</f>
        <v>4</v>
      </c>
      <c r="N1524" s="8">
        <v>4</v>
      </c>
    </row>
    <row r="1525" spans="1:14">
      <c r="A1525" s="8">
        <f t="shared" si="2346"/>
        <v>10021</v>
      </c>
      <c r="B1525" s="8">
        <f t="shared" ref="B1525:C1525" si="2359">B1437</f>
        <v>40000</v>
      </c>
      <c r="C1525" s="8" t="str">
        <f t="shared" si="2359"/>
        <v>装备</v>
      </c>
      <c r="D1525" s="7">
        <f t="shared" si="2274"/>
        <v>50850076</v>
      </c>
      <c r="E1525" s="8"/>
      <c r="F1525" s="8">
        <v>1</v>
      </c>
      <c r="G1525" s="7">
        <f>3*INDEX([1]equip.xml!$I:$I,MATCH(D1525,[1]equip.xml!$A:$A,0))</f>
        <v>546000</v>
      </c>
      <c r="H1525" s="8" t="str">
        <f t="shared" ref="H1525:J1525" si="2360">H1437</f>
        <v>10_10,50_20,80_30</v>
      </c>
      <c r="I1525" s="8">
        <f t="shared" si="2360"/>
        <v>1</v>
      </c>
      <c r="J1525" s="8">
        <f t="shared" si="2360"/>
        <v>240</v>
      </c>
      <c r="K1525" s="7" t="s">
        <v>312</v>
      </c>
      <c r="L1525" s="8">
        <v>52</v>
      </c>
      <c r="M1525" s="7">
        <f>IF(INDEX([1]equip.xml!$B:$B,MATCH(D1525,[1]equip.xml!$A:$A,0))=0,0,N1525)</f>
        <v>4</v>
      </c>
      <c r="N1525" s="8">
        <v>4</v>
      </c>
    </row>
    <row r="1526" spans="1:14">
      <c r="A1526" s="8">
        <f t="shared" si="2346"/>
        <v>10022</v>
      </c>
      <c r="B1526" s="8">
        <f t="shared" ref="B1526:C1526" si="2361">B1438</f>
        <v>40000</v>
      </c>
      <c r="C1526" s="8" t="str">
        <f t="shared" si="2361"/>
        <v>装备</v>
      </c>
      <c r="D1526" s="8">
        <f t="shared" si="2265"/>
        <v>40850010</v>
      </c>
      <c r="E1526" s="8"/>
      <c r="F1526" s="8">
        <v>1</v>
      </c>
      <c r="G1526" s="7">
        <f>3*INDEX([1]equip.xml!$I:$I,MATCH(D1526,[1]equip.xml!$A:$A,0))</f>
        <v>264000</v>
      </c>
      <c r="H1526" s="8" t="str">
        <f t="shared" ref="H1526:J1526" si="2362">H1438</f>
        <v>10_10,50_20,80_30</v>
      </c>
      <c r="I1526" s="8">
        <f t="shared" si="2362"/>
        <v>6</v>
      </c>
      <c r="J1526" s="8">
        <f t="shared" si="2362"/>
        <v>50</v>
      </c>
      <c r="K1526" s="7" t="s">
        <v>312</v>
      </c>
      <c r="L1526" s="8">
        <v>56</v>
      </c>
      <c r="M1526" s="7">
        <f>IF(INDEX([1]equip.xml!$B:$B,MATCH(D1526,[1]equip.xml!$A:$A,0))=0,0,N1526)</f>
        <v>130</v>
      </c>
      <c r="N1526" s="8">
        <v>130</v>
      </c>
    </row>
    <row r="1527" spans="1:14">
      <c r="A1527" s="8">
        <f t="shared" si="2346"/>
        <v>10022</v>
      </c>
      <c r="B1527" s="8">
        <f t="shared" ref="B1527:C1527" si="2363">B1439</f>
        <v>40000</v>
      </c>
      <c r="C1527" s="8" t="str">
        <f t="shared" si="2363"/>
        <v>装备</v>
      </c>
      <c r="D1527" s="8">
        <f t="shared" si="2265"/>
        <v>40850020</v>
      </c>
      <c r="E1527" s="8"/>
      <c r="F1527" s="8">
        <v>1</v>
      </c>
      <c r="G1527" s="7">
        <f>3*INDEX([1]equip.xml!$I:$I,MATCH(D1527,[1]equip.xml!$A:$A,0))</f>
        <v>264000</v>
      </c>
      <c r="H1527" s="8" t="str">
        <f t="shared" ref="H1527:J1527" si="2364">H1439</f>
        <v>10_10,50_20,80_30</v>
      </c>
      <c r="I1527" s="8">
        <f t="shared" si="2364"/>
        <v>6</v>
      </c>
      <c r="J1527" s="8">
        <f t="shared" si="2364"/>
        <v>50</v>
      </c>
      <c r="K1527" s="7" t="s">
        <v>312</v>
      </c>
      <c r="L1527" s="8">
        <v>56</v>
      </c>
      <c r="M1527" s="7">
        <f>IF(INDEX([1]equip.xml!$B:$B,MATCH(D1527,[1]equip.xml!$A:$A,0))=0,0,N1527)</f>
        <v>130</v>
      </c>
      <c r="N1527" s="8">
        <v>130</v>
      </c>
    </row>
    <row r="1528" spans="1:14">
      <c r="A1528" s="8">
        <f t="shared" si="2346"/>
        <v>10022</v>
      </c>
      <c r="B1528" s="8">
        <f t="shared" ref="B1528:C1528" si="2365">B1440</f>
        <v>40000</v>
      </c>
      <c r="C1528" s="8" t="str">
        <f t="shared" si="2365"/>
        <v>装备</v>
      </c>
      <c r="D1528" s="8">
        <f t="shared" si="2265"/>
        <v>40850030</v>
      </c>
      <c r="E1528" s="8"/>
      <c r="F1528" s="8">
        <v>1</v>
      </c>
      <c r="G1528" s="7">
        <f>3*INDEX([1]equip.xml!$I:$I,MATCH(D1528,[1]equip.xml!$A:$A,0))</f>
        <v>264000</v>
      </c>
      <c r="H1528" s="8" t="str">
        <f t="shared" ref="H1528:J1528" si="2366">H1440</f>
        <v>10_10,50_20,80_30</v>
      </c>
      <c r="I1528" s="8">
        <f t="shared" si="2366"/>
        <v>6</v>
      </c>
      <c r="J1528" s="8">
        <f t="shared" si="2366"/>
        <v>50</v>
      </c>
      <c r="K1528" s="7" t="s">
        <v>312</v>
      </c>
      <c r="L1528" s="8">
        <v>56</v>
      </c>
      <c r="M1528" s="7">
        <f>IF(INDEX([1]equip.xml!$B:$B,MATCH(D1528,[1]equip.xml!$A:$A,0))=0,0,N1528)</f>
        <v>130</v>
      </c>
      <c r="N1528" s="8">
        <v>130</v>
      </c>
    </row>
    <row r="1529" spans="1:14">
      <c r="A1529" s="8">
        <f t="shared" si="2346"/>
        <v>10022</v>
      </c>
      <c r="B1529" s="8">
        <f t="shared" ref="B1529:C1529" si="2367">B1441</f>
        <v>40000</v>
      </c>
      <c r="C1529" s="8" t="str">
        <f t="shared" si="2367"/>
        <v>装备</v>
      </c>
      <c r="D1529" s="8">
        <f t="shared" si="2265"/>
        <v>40850080</v>
      </c>
      <c r="E1529" s="8"/>
      <c r="F1529" s="8">
        <v>1</v>
      </c>
      <c r="G1529" s="7">
        <f>3*INDEX([1]equip.xml!$I:$I,MATCH(D1529,[1]equip.xml!$A:$A,0))</f>
        <v>264000</v>
      </c>
      <c r="H1529" s="8" t="str">
        <f t="shared" ref="H1529:J1529" si="2368">H1441</f>
        <v>10_10,50_20,80_30</v>
      </c>
      <c r="I1529" s="8">
        <f t="shared" si="2368"/>
        <v>6</v>
      </c>
      <c r="J1529" s="8">
        <f t="shared" si="2368"/>
        <v>50</v>
      </c>
      <c r="K1529" s="7" t="s">
        <v>312</v>
      </c>
      <c r="L1529" s="8">
        <v>56</v>
      </c>
      <c r="M1529" s="7">
        <f>IF(INDEX([1]equip.xml!$B:$B,MATCH(D1529,[1]equip.xml!$A:$A,0))=0,0,N1529)</f>
        <v>130</v>
      </c>
      <c r="N1529" s="8">
        <v>130</v>
      </c>
    </row>
    <row r="1530" spans="1:14">
      <c r="A1530" s="8">
        <f t="shared" si="2346"/>
        <v>10022</v>
      </c>
      <c r="B1530" s="8">
        <f t="shared" ref="B1530:C1530" si="2369">B1442</f>
        <v>40000</v>
      </c>
      <c r="C1530" s="8" t="str">
        <f t="shared" si="2369"/>
        <v>装备</v>
      </c>
      <c r="D1530" s="8">
        <f t="shared" si="2265"/>
        <v>40850090</v>
      </c>
      <c r="E1530" s="8"/>
      <c r="F1530" s="8">
        <v>1</v>
      </c>
      <c r="G1530" s="7">
        <f>3*INDEX([1]equip.xml!$I:$I,MATCH(D1530,[1]equip.xml!$A:$A,0))</f>
        <v>264000</v>
      </c>
      <c r="H1530" s="8" t="str">
        <f t="shared" ref="H1530:J1530" si="2370">H1442</f>
        <v>10_10,50_20,80_30</v>
      </c>
      <c r="I1530" s="8">
        <f t="shared" si="2370"/>
        <v>6</v>
      </c>
      <c r="J1530" s="8">
        <f t="shared" si="2370"/>
        <v>50</v>
      </c>
      <c r="K1530" s="7" t="s">
        <v>312</v>
      </c>
      <c r="L1530" s="8">
        <v>56</v>
      </c>
      <c r="M1530" s="7">
        <f>IF(INDEX([1]equip.xml!$B:$B,MATCH(D1530,[1]equip.xml!$A:$A,0))=0,0,N1530)</f>
        <v>130</v>
      </c>
      <c r="N1530" s="8">
        <v>130</v>
      </c>
    </row>
    <row r="1531" spans="1:14">
      <c r="A1531" s="8">
        <f t="shared" si="2346"/>
        <v>10022</v>
      </c>
      <c r="B1531" s="8">
        <f t="shared" ref="B1531:C1531" si="2371">B1443</f>
        <v>40000</v>
      </c>
      <c r="C1531" s="8" t="str">
        <f t="shared" si="2371"/>
        <v>装备</v>
      </c>
      <c r="D1531" s="8">
        <f t="shared" si="2265"/>
        <v>40850100</v>
      </c>
      <c r="E1531" s="8"/>
      <c r="F1531" s="8">
        <v>1</v>
      </c>
      <c r="G1531" s="7">
        <f>3*INDEX([1]equip.xml!$I:$I,MATCH(D1531,[1]equip.xml!$A:$A,0))</f>
        <v>264000</v>
      </c>
      <c r="H1531" s="8" t="str">
        <f t="shared" ref="H1531:J1531" si="2372">H1443</f>
        <v>10_10,50_20,80_30</v>
      </c>
      <c r="I1531" s="8">
        <f t="shared" si="2372"/>
        <v>6</v>
      </c>
      <c r="J1531" s="8">
        <f t="shared" si="2372"/>
        <v>50</v>
      </c>
      <c r="K1531" s="7" t="s">
        <v>312</v>
      </c>
      <c r="L1531" s="8">
        <v>56</v>
      </c>
      <c r="M1531" s="7">
        <f>IF(INDEX([1]equip.xml!$B:$B,MATCH(D1531,[1]equip.xml!$A:$A,0))=0,0,N1531)</f>
        <v>130</v>
      </c>
      <c r="N1531" s="8">
        <v>130</v>
      </c>
    </row>
    <row r="1532" spans="1:14">
      <c r="A1532" s="8">
        <f t="shared" si="2346"/>
        <v>10022</v>
      </c>
      <c r="B1532" s="8">
        <f t="shared" ref="B1532:C1532" si="2373">B1444</f>
        <v>40000</v>
      </c>
      <c r="C1532" s="8" t="str">
        <f t="shared" si="2373"/>
        <v>装备</v>
      </c>
      <c r="D1532" s="8">
        <f t="shared" si="2265"/>
        <v>40851050</v>
      </c>
      <c r="E1532" s="8"/>
      <c r="F1532" s="8">
        <v>1</v>
      </c>
      <c r="G1532" s="7">
        <f>3*INDEX([1]equip.xml!$I:$I,MATCH(D1532,[1]equip.xml!$A:$A,0))</f>
        <v>264000</v>
      </c>
      <c r="H1532" s="8" t="str">
        <f t="shared" ref="H1532:J1532" si="2374">H1444</f>
        <v>10_10,50_20,80_30</v>
      </c>
      <c r="I1532" s="8">
        <f t="shared" si="2374"/>
        <v>6</v>
      </c>
      <c r="J1532" s="8">
        <f t="shared" si="2374"/>
        <v>50</v>
      </c>
      <c r="K1532" s="7" t="s">
        <v>312</v>
      </c>
      <c r="L1532" s="8">
        <v>56</v>
      </c>
      <c r="M1532" s="7">
        <f>IF(INDEX([1]equip.xml!$B:$B,MATCH(D1532,[1]equip.xml!$A:$A,0))=0,0,N1532)</f>
        <v>130</v>
      </c>
      <c r="N1532" s="8">
        <v>130</v>
      </c>
    </row>
    <row r="1533" spans="1:14">
      <c r="A1533" s="8">
        <f t="shared" si="2346"/>
        <v>10022</v>
      </c>
      <c r="B1533" s="8">
        <f t="shared" ref="B1533:C1533" si="2375">B1445</f>
        <v>40000</v>
      </c>
      <c r="C1533" s="8" t="str">
        <f t="shared" si="2375"/>
        <v>装备</v>
      </c>
      <c r="D1533" s="8">
        <f t="shared" si="2265"/>
        <v>40851051</v>
      </c>
      <c r="E1533" s="8"/>
      <c r="F1533" s="8">
        <v>1</v>
      </c>
      <c r="G1533" s="7">
        <f>3*INDEX([1]equip.xml!$I:$I,MATCH(D1533,[1]equip.xml!$A:$A,0))</f>
        <v>273000</v>
      </c>
      <c r="H1533" s="8" t="str">
        <f t="shared" ref="H1533:J1533" si="2376">H1445</f>
        <v>10_10,50_20,80_30</v>
      </c>
      <c r="I1533" s="8">
        <f t="shared" si="2376"/>
        <v>6</v>
      </c>
      <c r="J1533" s="8">
        <f t="shared" si="2376"/>
        <v>50</v>
      </c>
      <c r="K1533" s="7" t="s">
        <v>312</v>
      </c>
      <c r="L1533" s="8">
        <v>56</v>
      </c>
      <c r="M1533" s="7">
        <f>IF(INDEX([1]equip.xml!$B:$B,MATCH(D1533,[1]equip.xml!$A:$A,0))=0,0,N1533)</f>
        <v>130</v>
      </c>
      <c r="N1533" s="8">
        <v>130</v>
      </c>
    </row>
    <row r="1534" spans="1:14">
      <c r="A1534" s="8">
        <f t="shared" si="2346"/>
        <v>10022</v>
      </c>
      <c r="B1534" s="8">
        <f t="shared" ref="B1534:C1534" si="2377">B1446</f>
        <v>40000</v>
      </c>
      <c r="C1534" s="8" t="str">
        <f t="shared" si="2377"/>
        <v>装备</v>
      </c>
      <c r="D1534" s="8">
        <f t="shared" si="2265"/>
        <v>40851060</v>
      </c>
      <c r="E1534" s="8"/>
      <c r="F1534" s="8">
        <v>1</v>
      </c>
      <c r="G1534" s="7">
        <f>3*INDEX([1]equip.xml!$I:$I,MATCH(D1534,[1]equip.xml!$A:$A,0))</f>
        <v>264000</v>
      </c>
      <c r="H1534" s="8" t="str">
        <f t="shared" ref="H1534:J1534" si="2378">H1446</f>
        <v>10_10,50_20,80_30</v>
      </c>
      <c r="I1534" s="8">
        <f t="shared" si="2378"/>
        <v>6</v>
      </c>
      <c r="J1534" s="8">
        <f t="shared" si="2378"/>
        <v>50</v>
      </c>
      <c r="K1534" s="7" t="s">
        <v>312</v>
      </c>
      <c r="L1534" s="8">
        <v>56</v>
      </c>
      <c r="M1534" s="7">
        <f>IF(INDEX([1]equip.xml!$B:$B,MATCH(D1534,[1]equip.xml!$A:$A,0))=0,0,N1534)</f>
        <v>130</v>
      </c>
      <c r="N1534" s="8">
        <v>130</v>
      </c>
    </row>
    <row r="1535" spans="1:14">
      <c r="A1535" s="8">
        <f t="shared" si="2346"/>
        <v>10022</v>
      </c>
      <c r="B1535" s="8">
        <f t="shared" ref="B1535:C1535" si="2379">B1447</f>
        <v>40000</v>
      </c>
      <c r="C1535" s="8" t="str">
        <f t="shared" si="2379"/>
        <v>装备</v>
      </c>
      <c r="D1535" s="8">
        <f t="shared" si="2265"/>
        <v>40851061</v>
      </c>
      <c r="E1535" s="8"/>
      <c r="F1535" s="8">
        <v>1</v>
      </c>
      <c r="G1535" s="7">
        <f>3*INDEX([1]equip.xml!$I:$I,MATCH(D1535,[1]equip.xml!$A:$A,0))</f>
        <v>273000</v>
      </c>
      <c r="H1535" s="8" t="str">
        <f t="shared" ref="H1535:J1535" si="2380">H1447</f>
        <v>10_10,50_20,80_30</v>
      </c>
      <c r="I1535" s="8">
        <f t="shared" si="2380"/>
        <v>6</v>
      </c>
      <c r="J1535" s="8">
        <f t="shared" si="2380"/>
        <v>50</v>
      </c>
      <c r="K1535" s="7" t="s">
        <v>312</v>
      </c>
      <c r="L1535" s="8">
        <v>56</v>
      </c>
      <c r="M1535" s="7">
        <f>IF(INDEX([1]equip.xml!$B:$B,MATCH(D1535,[1]equip.xml!$A:$A,0))=0,0,N1535)</f>
        <v>130</v>
      </c>
      <c r="N1535" s="8">
        <v>130</v>
      </c>
    </row>
    <row r="1536" spans="1:14">
      <c r="A1536" s="8">
        <f t="shared" si="2346"/>
        <v>10022</v>
      </c>
      <c r="B1536" s="8">
        <f t="shared" ref="B1536:C1536" si="2381">B1448</f>
        <v>40000</v>
      </c>
      <c r="C1536" s="8" t="str">
        <f t="shared" si="2381"/>
        <v>装备</v>
      </c>
      <c r="D1536" s="8">
        <f t="shared" si="2265"/>
        <v>40852050</v>
      </c>
      <c r="E1536" s="8"/>
      <c r="F1536" s="8">
        <v>1</v>
      </c>
      <c r="G1536" s="7">
        <f>3*INDEX([1]equip.xml!$I:$I,MATCH(D1536,[1]equip.xml!$A:$A,0))</f>
        <v>264000</v>
      </c>
      <c r="H1536" s="8" t="str">
        <f t="shared" ref="H1536:J1536" si="2382">H1448</f>
        <v>10_10,50_20,80_30</v>
      </c>
      <c r="I1536" s="8">
        <f t="shared" si="2382"/>
        <v>6</v>
      </c>
      <c r="J1536" s="8">
        <f t="shared" si="2382"/>
        <v>50</v>
      </c>
      <c r="K1536" s="7" t="s">
        <v>312</v>
      </c>
      <c r="L1536" s="8">
        <v>56</v>
      </c>
      <c r="M1536" s="7">
        <f>IF(INDEX([1]equip.xml!$B:$B,MATCH(D1536,[1]equip.xml!$A:$A,0))=0,0,N1536)</f>
        <v>130</v>
      </c>
      <c r="N1536" s="8">
        <v>130</v>
      </c>
    </row>
    <row r="1537" spans="1:14">
      <c r="A1537" s="8">
        <f t="shared" si="2346"/>
        <v>10022</v>
      </c>
      <c r="B1537" s="8">
        <f t="shared" ref="B1537:C1537" si="2383">B1449</f>
        <v>40000</v>
      </c>
      <c r="C1537" s="8" t="str">
        <f t="shared" si="2383"/>
        <v>装备</v>
      </c>
      <c r="D1537" s="8">
        <f t="shared" si="2265"/>
        <v>40852051</v>
      </c>
      <c r="E1537" s="8"/>
      <c r="F1537" s="8">
        <v>1</v>
      </c>
      <c r="G1537" s="7">
        <f>3*INDEX([1]equip.xml!$I:$I,MATCH(D1537,[1]equip.xml!$A:$A,0))</f>
        <v>273000</v>
      </c>
      <c r="H1537" s="8" t="str">
        <f t="shared" ref="H1537:J1537" si="2384">H1449</f>
        <v>10_10,50_20,80_30</v>
      </c>
      <c r="I1537" s="8">
        <f t="shared" si="2384"/>
        <v>6</v>
      </c>
      <c r="J1537" s="8">
        <f t="shared" si="2384"/>
        <v>50</v>
      </c>
      <c r="K1537" s="7" t="s">
        <v>312</v>
      </c>
      <c r="L1537" s="8">
        <v>56</v>
      </c>
      <c r="M1537" s="7">
        <f>IF(INDEX([1]equip.xml!$B:$B,MATCH(D1537,[1]equip.xml!$A:$A,0))=0,0,N1537)</f>
        <v>130</v>
      </c>
      <c r="N1537" s="8">
        <v>130</v>
      </c>
    </row>
    <row r="1538" spans="1:14">
      <c r="A1538" s="8">
        <f t="shared" si="2346"/>
        <v>10022</v>
      </c>
      <c r="B1538" s="8">
        <f t="shared" ref="B1538:C1538" si="2385">B1450</f>
        <v>40000</v>
      </c>
      <c r="C1538" s="8" t="str">
        <f t="shared" si="2385"/>
        <v>装备</v>
      </c>
      <c r="D1538" s="8">
        <f t="shared" si="2265"/>
        <v>40852060</v>
      </c>
      <c r="E1538" s="8"/>
      <c r="F1538" s="8">
        <v>1</v>
      </c>
      <c r="G1538" s="7">
        <f>3*INDEX([1]equip.xml!$I:$I,MATCH(D1538,[1]equip.xml!$A:$A,0))</f>
        <v>264000</v>
      </c>
      <c r="H1538" s="8" t="str">
        <f t="shared" ref="H1538:J1538" si="2386">H1450</f>
        <v>10_10,50_20,80_30</v>
      </c>
      <c r="I1538" s="8">
        <f t="shared" si="2386"/>
        <v>6</v>
      </c>
      <c r="J1538" s="8">
        <f t="shared" si="2386"/>
        <v>50</v>
      </c>
      <c r="K1538" s="7" t="s">
        <v>312</v>
      </c>
      <c r="L1538" s="8">
        <v>56</v>
      </c>
      <c r="M1538" s="7">
        <f>IF(INDEX([1]equip.xml!$B:$B,MATCH(D1538,[1]equip.xml!$A:$A,0))=0,0,N1538)</f>
        <v>130</v>
      </c>
      <c r="N1538" s="8">
        <v>130</v>
      </c>
    </row>
    <row r="1539" spans="1:14">
      <c r="A1539" s="8">
        <f t="shared" si="2346"/>
        <v>10022</v>
      </c>
      <c r="B1539" s="8">
        <f t="shared" ref="B1539:C1539" si="2387">B1451</f>
        <v>40000</v>
      </c>
      <c r="C1539" s="8" t="str">
        <f t="shared" si="2387"/>
        <v>装备</v>
      </c>
      <c r="D1539" s="8">
        <f t="shared" si="2265"/>
        <v>40852061</v>
      </c>
      <c r="E1539" s="8"/>
      <c r="F1539" s="8">
        <v>1</v>
      </c>
      <c r="G1539" s="7">
        <f>3*INDEX([1]equip.xml!$I:$I,MATCH(D1539,[1]equip.xml!$A:$A,0))</f>
        <v>273000</v>
      </c>
      <c r="H1539" s="8" t="str">
        <f t="shared" ref="H1539:J1539" si="2388">H1451</f>
        <v>10_10,50_20,80_30</v>
      </c>
      <c r="I1539" s="8">
        <f t="shared" si="2388"/>
        <v>6</v>
      </c>
      <c r="J1539" s="8">
        <f t="shared" si="2388"/>
        <v>50</v>
      </c>
      <c r="K1539" s="7" t="s">
        <v>312</v>
      </c>
      <c r="L1539" s="8">
        <v>56</v>
      </c>
      <c r="M1539" s="7">
        <f>IF(INDEX([1]equip.xml!$B:$B,MATCH(D1539,[1]equip.xml!$A:$A,0))=0,0,N1539)</f>
        <v>130</v>
      </c>
      <c r="N1539" s="8">
        <v>130</v>
      </c>
    </row>
    <row r="1540" spans="1:14">
      <c r="A1540" s="8">
        <f t="shared" si="2346"/>
        <v>10022</v>
      </c>
      <c r="B1540" s="8">
        <f t="shared" ref="B1540:C1540" si="2389">B1452</f>
        <v>40000</v>
      </c>
      <c r="C1540" s="8" t="str">
        <f t="shared" si="2389"/>
        <v>装备</v>
      </c>
      <c r="D1540" s="8">
        <f t="shared" si="2265"/>
        <v>40853050</v>
      </c>
      <c r="E1540" s="8"/>
      <c r="F1540" s="8">
        <v>1</v>
      </c>
      <c r="G1540" s="7">
        <f>3*INDEX([1]equip.xml!$I:$I,MATCH(D1540,[1]equip.xml!$A:$A,0))</f>
        <v>264000</v>
      </c>
      <c r="H1540" s="8" t="str">
        <f t="shared" ref="H1540:J1540" si="2390">H1452</f>
        <v>10_10,50_20,80_30</v>
      </c>
      <c r="I1540" s="8">
        <f t="shared" si="2390"/>
        <v>6</v>
      </c>
      <c r="J1540" s="8">
        <f t="shared" si="2390"/>
        <v>50</v>
      </c>
      <c r="K1540" s="7" t="s">
        <v>312</v>
      </c>
      <c r="L1540" s="8">
        <v>56</v>
      </c>
      <c r="M1540" s="7">
        <f>IF(INDEX([1]equip.xml!$B:$B,MATCH(D1540,[1]equip.xml!$A:$A,0))=0,0,N1540)</f>
        <v>130</v>
      </c>
      <c r="N1540" s="8">
        <v>130</v>
      </c>
    </row>
    <row r="1541" spans="1:14">
      <c r="A1541" s="8">
        <f t="shared" si="2346"/>
        <v>10022</v>
      </c>
      <c r="B1541" s="8">
        <f t="shared" ref="B1541:C1541" si="2391">B1453</f>
        <v>40000</v>
      </c>
      <c r="C1541" s="8" t="str">
        <f t="shared" si="2391"/>
        <v>装备</v>
      </c>
      <c r="D1541" s="8">
        <f t="shared" si="2265"/>
        <v>40853051</v>
      </c>
      <c r="E1541" s="8"/>
      <c r="F1541" s="8">
        <v>1</v>
      </c>
      <c r="G1541" s="7">
        <f>3*INDEX([1]equip.xml!$I:$I,MATCH(D1541,[1]equip.xml!$A:$A,0))</f>
        <v>273000</v>
      </c>
      <c r="H1541" s="8" t="str">
        <f t="shared" ref="H1541:J1541" si="2392">H1453</f>
        <v>10_10,50_20,80_30</v>
      </c>
      <c r="I1541" s="8">
        <f t="shared" si="2392"/>
        <v>6</v>
      </c>
      <c r="J1541" s="8">
        <f t="shared" si="2392"/>
        <v>50</v>
      </c>
      <c r="K1541" s="7" t="s">
        <v>312</v>
      </c>
      <c r="L1541" s="8">
        <v>56</v>
      </c>
      <c r="M1541" s="7">
        <f>IF(INDEX([1]equip.xml!$B:$B,MATCH(D1541,[1]equip.xml!$A:$A,0))=0,0,N1541)</f>
        <v>130</v>
      </c>
      <c r="N1541" s="8">
        <v>130</v>
      </c>
    </row>
    <row r="1542" spans="1:14">
      <c r="A1542" s="8">
        <f t="shared" si="2346"/>
        <v>10022</v>
      </c>
      <c r="B1542" s="8">
        <f t="shared" ref="B1542:C1542" si="2393">B1454</f>
        <v>40000</v>
      </c>
      <c r="C1542" s="8" t="str">
        <f t="shared" si="2393"/>
        <v>装备</v>
      </c>
      <c r="D1542" s="8">
        <f t="shared" si="2265"/>
        <v>40853060</v>
      </c>
      <c r="E1542" s="8"/>
      <c r="F1542" s="8">
        <v>1</v>
      </c>
      <c r="G1542" s="7">
        <f>3*INDEX([1]equip.xml!$I:$I,MATCH(D1542,[1]equip.xml!$A:$A,0))</f>
        <v>264000</v>
      </c>
      <c r="H1542" s="8" t="str">
        <f t="shared" ref="H1542:J1542" si="2394">H1454</f>
        <v>10_10,50_20,80_30</v>
      </c>
      <c r="I1542" s="8">
        <f t="shared" si="2394"/>
        <v>6</v>
      </c>
      <c r="J1542" s="8">
        <f t="shared" si="2394"/>
        <v>50</v>
      </c>
      <c r="K1542" s="7" t="s">
        <v>312</v>
      </c>
      <c r="L1542" s="8">
        <v>56</v>
      </c>
      <c r="M1542" s="7">
        <f>IF(INDEX([1]equip.xml!$B:$B,MATCH(D1542,[1]equip.xml!$A:$A,0))=0,0,N1542)</f>
        <v>130</v>
      </c>
      <c r="N1542" s="8">
        <v>130</v>
      </c>
    </row>
    <row r="1543" spans="1:14">
      <c r="A1543" s="8">
        <f t="shared" si="2346"/>
        <v>10022</v>
      </c>
      <c r="B1543" s="8">
        <f t="shared" ref="B1543:C1543" si="2395">B1455</f>
        <v>40000</v>
      </c>
      <c r="C1543" s="8" t="str">
        <f t="shared" si="2395"/>
        <v>装备</v>
      </c>
      <c r="D1543" s="8">
        <f t="shared" ref="D1543:D1606" si="2396">D1455+50000</f>
        <v>40853061</v>
      </c>
      <c r="E1543" s="8"/>
      <c r="F1543" s="8">
        <v>1</v>
      </c>
      <c r="G1543" s="7">
        <f>3*INDEX([1]equip.xml!$I:$I,MATCH(D1543,[1]equip.xml!$A:$A,0))</f>
        <v>273000</v>
      </c>
      <c r="H1543" s="8" t="str">
        <f t="shared" ref="H1543:J1543" si="2397">H1455</f>
        <v>10_10,50_20,80_30</v>
      </c>
      <c r="I1543" s="8">
        <f t="shared" si="2397"/>
        <v>6</v>
      </c>
      <c r="J1543" s="8">
        <f t="shared" si="2397"/>
        <v>50</v>
      </c>
      <c r="K1543" s="7" t="s">
        <v>312</v>
      </c>
      <c r="L1543" s="8">
        <v>56</v>
      </c>
      <c r="M1543" s="7">
        <f>IF(INDEX([1]equip.xml!$B:$B,MATCH(D1543,[1]equip.xml!$A:$A,0))=0,0,N1543)</f>
        <v>130</v>
      </c>
      <c r="N1543" s="8">
        <v>130</v>
      </c>
    </row>
    <row r="1544" spans="1:14">
      <c r="A1544" s="8">
        <f t="shared" si="2346"/>
        <v>10022</v>
      </c>
      <c r="B1544" s="8">
        <f t="shared" ref="B1544:C1544" si="2398">B1456</f>
        <v>40000</v>
      </c>
      <c r="C1544" s="8" t="str">
        <f t="shared" si="2398"/>
        <v>装备</v>
      </c>
      <c r="D1544" s="8">
        <f t="shared" si="2396"/>
        <v>40850040</v>
      </c>
      <c r="E1544" s="8"/>
      <c r="F1544" s="8">
        <v>1</v>
      </c>
      <c r="G1544" s="7">
        <f>3*INDEX([1]equip.xml!$I:$I,MATCH(D1544,[1]equip.xml!$A:$A,0))</f>
        <v>264000</v>
      </c>
      <c r="H1544" s="8" t="str">
        <f t="shared" ref="H1544:J1544" si="2399">H1456</f>
        <v>10_10,50_20,80_30</v>
      </c>
      <c r="I1544" s="8">
        <f t="shared" si="2399"/>
        <v>6</v>
      </c>
      <c r="J1544" s="8">
        <f t="shared" si="2399"/>
        <v>50</v>
      </c>
      <c r="K1544" s="7" t="s">
        <v>312</v>
      </c>
      <c r="L1544" s="8">
        <v>56</v>
      </c>
      <c r="M1544" s="7">
        <f>IF(INDEX([1]equip.xml!$B:$B,MATCH(D1544,[1]equip.xml!$A:$A,0))=0,0,N1544)</f>
        <v>130</v>
      </c>
      <c r="N1544" s="8">
        <v>130</v>
      </c>
    </row>
    <row r="1545" spans="1:14">
      <c r="A1545" s="8">
        <f t="shared" si="2346"/>
        <v>10022</v>
      </c>
      <c r="B1545" s="8">
        <f t="shared" ref="B1545:C1545" si="2400">B1457</f>
        <v>40000</v>
      </c>
      <c r="C1545" s="8" t="str">
        <f t="shared" si="2400"/>
        <v>装备</v>
      </c>
      <c r="D1545" s="8">
        <f t="shared" si="2396"/>
        <v>40850041</v>
      </c>
      <c r="E1545" s="8"/>
      <c r="F1545" s="8">
        <v>1</v>
      </c>
      <c r="G1545" s="7">
        <f>3*INDEX([1]equip.xml!$I:$I,MATCH(D1545,[1]equip.xml!$A:$A,0))</f>
        <v>273000</v>
      </c>
      <c r="H1545" s="8" t="str">
        <f t="shared" ref="H1545:J1545" si="2401">H1457</f>
        <v>10_10,50_20,80_30</v>
      </c>
      <c r="I1545" s="8">
        <f t="shared" si="2401"/>
        <v>6</v>
      </c>
      <c r="J1545" s="8">
        <f t="shared" si="2401"/>
        <v>50</v>
      </c>
      <c r="K1545" s="7" t="s">
        <v>312</v>
      </c>
      <c r="L1545" s="8">
        <v>56</v>
      </c>
      <c r="M1545" s="7">
        <f>IF(INDEX([1]equip.xml!$B:$B,MATCH(D1545,[1]equip.xml!$A:$A,0))=0,0,N1545)</f>
        <v>130</v>
      </c>
      <c r="N1545" s="8">
        <v>130</v>
      </c>
    </row>
    <row r="1546" spans="1:14">
      <c r="A1546" s="8">
        <f t="shared" si="2346"/>
        <v>10022</v>
      </c>
      <c r="B1546" s="8">
        <f t="shared" ref="B1546:C1546" si="2402">B1458</f>
        <v>40000</v>
      </c>
      <c r="C1546" s="8" t="str">
        <f t="shared" si="2402"/>
        <v>装备</v>
      </c>
      <c r="D1546" s="8">
        <f t="shared" si="2396"/>
        <v>40850070</v>
      </c>
      <c r="E1546" s="8"/>
      <c r="F1546" s="8">
        <v>1</v>
      </c>
      <c r="G1546" s="7">
        <f>3*INDEX([1]equip.xml!$I:$I,MATCH(D1546,[1]equip.xml!$A:$A,0))</f>
        <v>264000</v>
      </c>
      <c r="H1546" s="8" t="str">
        <f t="shared" ref="H1546:J1546" si="2403">H1458</f>
        <v>10_10,50_20,80_30</v>
      </c>
      <c r="I1546" s="8">
        <f t="shared" si="2403"/>
        <v>6</v>
      </c>
      <c r="J1546" s="8">
        <f t="shared" si="2403"/>
        <v>50</v>
      </c>
      <c r="K1546" s="7" t="s">
        <v>312</v>
      </c>
      <c r="L1546" s="8">
        <v>56</v>
      </c>
      <c r="M1546" s="7">
        <f>IF(INDEX([1]equip.xml!$B:$B,MATCH(D1546,[1]equip.xml!$A:$A,0))=0,0,N1546)</f>
        <v>130</v>
      </c>
      <c r="N1546" s="8">
        <v>130</v>
      </c>
    </row>
    <row r="1547" spans="1:14">
      <c r="A1547" s="8">
        <f t="shared" si="2346"/>
        <v>10022</v>
      </c>
      <c r="B1547" s="8">
        <f t="shared" ref="B1547:C1547" si="2404">B1459</f>
        <v>40000</v>
      </c>
      <c r="C1547" s="8" t="str">
        <f t="shared" si="2404"/>
        <v>装备</v>
      </c>
      <c r="D1547" s="8">
        <f t="shared" si="2396"/>
        <v>40850071</v>
      </c>
      <c r="E1547" s="8"/>
      <c r="F1547" s="8">
        <v>1</v>
      </c>
      <c r="G1547" s="7">
        <f>3*INDEX([1]equip.xml!$I:$I,MATCH(D1547,[1]equip.xml!$A:$A,0))</f>
        <v>273000</v>
      </c>
      <c r="H1547" s="8" t="str">
        <f t="shared" ref="H1547:J1547" si="2405">H1459</f>
        <v>10_10,50_20,80_30</v>
      </c>
      <c r="I1547" s="8">
        <f t="shared" si="2405"/>
        <v>6</v>
      </c>
      <c r="J1547" s="8">
        <f t="shared" si="2405"/>
        <v>50</v>
      </c>
      <c r="K1547" s="7" t="s">
        <v>312</v>
      </c>
      <c r="L1547" s="8">
        <v>56</v>
      </c>
      <c r="M1547" s="7">
        <f>IF(INDEX([1]equip.xml!$B:$B,MATCH(D1547,[1]equip.xml!$A:$A,0))=0,0,N1547)</f>
        <v>130</v>
      </c>
      <c r="N1547" s="8">
        <v>130</v>
      </c>
    </row>
    <row r="1548" spans="1:14">
      <c r="A1548" s="8">
        <f t="shared" si="2346"/>
        <v>10022</v>
      </c>
      <c r="B1548" s="8">
        <f t="shared" ref="B1548:C1548" si="2406">B1460</f>
        <v>40000</v>
      </c>
      <c r="C1548" s="8" t="str">
        <f t="shared" si="2406"/>
        <v>装备</v>
      </c>
      <c r="D1548" s="8">
        <f t="shared" si="2396"/>
        <v>40900010</v>
      </c>
      <c r="E1548" s="8"/>
      <c r="F1548" s="8">
        <v>1</v>
      </c>
      <c r="G1548" s="7">
        <f>3*INDEX([1]equip.xml!$I:$I,MATCH(D1548,[1]equip.xml!$A:$A,0))</f>
        <v>282000</v>
      </c>
      <c r="H1548" s="8" t="str">
        <f t="shared" ref="H1548:J1548" si="2407">H1460</f>
        <v>10_10,50_20,80_30</v>
      </c>
      <c r="I1548" s="8">
        <f t="shared" si="2407"/>
        <v>6</v>
      </c>
      <c r="J1548" s="8">
        <f t="shared" si="2407"/>
        <v>50</v>
      </c>
      <c r="K1548" s="7" t="s">
        <v>312</v>
      </c>
      <c r="L1548" s="8">
        <v>56</v>
      </c>
      <c r="M1548" s="7">
        <f>IF(INDEX([1]equip.xml!$B:$B,MATCH(D1548,[1]equip.xml!$A:$A,0))=0,0,N1548)</f>
        <v>4</v>
      </c>
      <c r="N1548" s="8">
        <v>4</v>
      </c>
    </row>
    <row r="1549" spans="1:14">
      <c r="A1549" s="8">
        <f t="shared" si="2346"/>
        <v>10022</v>
      </c>
      <c r="B1549" s="8">
        <f t="shared" ref="B1549:C1549" si="2408">B1461</f>
        <v>40000</v>
      </c>
      <c r="C1549" s="8" t="str">
        <f t="shared" si="2408"/>
        <v>装备</v>
      </c>
      <c r="D1549" s="8">
        <f t="shared" si="2396"/>
        <v>40900020</v>
      </c>
      <c r="E1549" s="8"/>
      <c r="F1549" s="8">
        <v>1</v>
      </c>
      <c r="G1549" s="7">
        <f>3*INDEX([1]equip.xml!$I:$I,MATCH(D1549,[1]equip.xml!$A:$A,0))</f>
        <v>282000</v>
      </c>
      <c r="H1549" s="8" t="str">
        <f t="shared" ref="H1549:J1549" si="2409">H1461</f>
        <v>10_10,50_20,80_30</v>
      </c>
      <c r="I1549" s="8">
        <f t="shared" si="2409"/>
        <v>6</v>
      </c>
      <c r="J1549" s="8">
        <f t="shared" si="2409"/>
        <v>50</v>
      </c>
      <c r="K1549" s="7" t="s">
        <v>312</v>
      </c>
      <c r="L1549" s="8">
        <v>56</v>
      </c>
      <c r="M1549" s="7">
        <f>IF(INDEX([1]equip.xml!$B:$B,MATCH(D1549,[1]equip.xml!$A:$A,0))=0,0,N1549)</f>
        <v>4</v>
      </c>
      <c r="N1549" s="8">
        <v>4</v>
      </c>
    </row>
    <row r="1550" spans="1:14">
      <c r="A1550" s="8">
        <f t="shared" si="2346"/>
        <v>10022</v>
      </c>
      <c r="B1550" s="8">
        <f t="shared" ref="B1550:C1550" si="2410">B1462</f>
        <v>40000</v>
      </c>
      <c r="C1550" s="8" t="str">
        <f t="shared" si="2410"/>
        <v>装备</v>
      </c>
      <c r="D1550" s="8">
        <f t="shared" si="2396"/>
        <v>40900030</v>
      </c>
      <c r="E1550" s="8"/>
      <c r="F1550" s="8">
        <v>1</v>
      </c>
      <c r="G1550" s="7">
        <f>3*INDEX([1]equip.xml!$I:$I,MATCH(D1550,[1]equip.xml!$A:$A,0))</f>
        <v>282000</v>
      </c>
      <c r="H1550" s="8" t="str">
        <f t="shared" ref="H1550:J1550" si="2411">H1462</f>
        <v>10_10,50_20,80_30</v>
      </c>
      <c r="I1550" s="8">
        <f t="shared" si="2411"/>
        <v>6</v>
      </c>
      <c r="J1550" s="8">
        <f t="shared" si="2411"/>
        <v>50</v>
      </c>
      <c r="K1550" s="7" t="s">
        <v>312</v>
      </c>
      <c r="L1550" s="8">
        <v>56</v>
      </c>
      <c r="M1550" s="7">
        <f>IF(INDEX([1]equip.xml!$B:$B,MATCH(D1550,[1]equip.xml!$A:$A,0))=0,0,N1550)</f>
        <v>4</v>
      </c>
      <c r="N1550" s="8">
        <v>4</v>
      </c>
    </row>
    <row r="1551" spans="1:14">
      <c r="A1551" s="8">
        <f t="shared" si="2346"/>
        <v>10022</v>
      </c>
      <c r="B1551" s="8">
        <f t="shared" ref="B1551:C1551" si="2412">B1463</f>
        <v>40000</v>
      </c>
      <c r="C1551" s="8" t="str">
        <f t="shared" si="2412"/>
        <v>装备</v>
      </c>
      <c r="D1551" s="8">
        <f t="shared" si="2396"/>
        <v>40900080</v>
      </c>
      <c r="E1551" s="8"/>
      <c r="F1551" s="8">
        <v>1</v>
      </c>
      <c r="G1551" s="7">
        <f>3*INDEX([1]equip.xml!$I:$I,MATCH(D1551,[1]equip.xml!$A:$A,0))</f>
        <v>282000</v>
      </c>
      <c r="H1551" s="8" t="str">
        <f t="shared" ref="H1551:J1551" si="2413">H1463</f>
        <v>10_10,50_20,80_30</v>
      </c>
      <c r="I1551" s="8">
        <f t="shared" si="2413"/>
        <v>6</v>
      </c>
      <c r="J1551" s="8">
        <f t="shared" si="2413"/>
        <v>50</v>
      </c>
      <c r="K1551" s="7" t="s">
        <v>312</v>
      </c>
      <c r="L1551" s="8">
        <v>56</v>
      </c>
      <c r="M1551" s="7">
        <f>IF(INDEX([1]equip.xml!$B:$B,MATCH(D1551,[1]equip.xml!$A:$A,0))=0,0,N1551)</f>
        <v>4</v>
      </c>
      <c r="N1551" s="8">
        <v>4</v>
      </c>
    </row>
    <row r="1552" spans="1:14">
      <c r="A1552" s="8">
        <f t="shared" si="2346"/>
        <v>10022</v>
      </c>
      <c r="B1552" s="8">
        <f t="shared" ref="B1552:C1552" si="2414">B1464</f>
        <v>40000</v>
      </c>
      <c r="C1552" s="8" t="str">
        <f t="shared" si="2414"/>
        <v>装备</v>
      </c>
      <c r="D1552" s="8">
        <f t="shared" si="2396"/>
        <v>40900090</v>
      </c>
      <c r="E1552" s="8"/>
      <c r="F1552" s="8">
        <v>1</v>
      </c>
      <c r="G1552" s="7">
        <f>3*INDEX([1]equip.xml!$I:$I,MATCH(D1552,[1]equip.xml!$A:$A,0))</f>
        <v>282000</v>
      </c>
      <c r="H1552" s="8" t="str">
        <f t="shared" ref="H1552:J1552" si="2415">H1464</f>
        <v>10_10,50_20,80_30</v>
      </c>
      <c r="I1552" s="8">
        <f t="shared" si="2415"/>
        <v>6</v>
      </c>
      <c r="J1552" s="8">
        <f t="shared" si="2415"/>
        <v>50</v>
      </c>
      <c r="K1552" s="7" t="s">
        <v>312</v>
      </c>
      <c r="L1552" s="8">
        <v>56</v>
      </c>
      <c r="M1552" s="7">
        <f>IF(INDEX([1]equip.xml!$B:$B,MATCH(D1552,[1]equip.xml!$A:$A,0))=0,0,N1552)</f>
        <v>4</v>
      </c>
      <c r="N1552" s="8">
        <v>4</v>
      </c>
    </row>
    <row r="1553" spans="1:14">
      <c r="A1553" s="8">
        <f t="shared" si="2346"/>
        <v>10022</v>
      </c>
      <c r="B1553" s="8">
        <f t="shared" ref="B1553:C1553" si="2416">B1465</f>
        <v>40000</v>
      </c>
      <c r="C1553" s="8" t="str">
        <f t="shared" si="2416"/>
        <v>装备</v>
      </c>
      <c r="D1553" s="8">
        <f t="shared" si="2396"/>
        <v>40900100</v>
      </c>
      <c r="E1553" s="8"/>
      <c r="F1553" s="8">
        <v>1</v>
      </c>
      <c r="G1553" s="7">
        <f>3*INDEX([1]equip.xml!$I:$I,MATCH(D1553,[1]equip.xml!$A:$A,0))</f>
        <v>282000</v>
      </c>
      <c r="H1553" s="8" t="str">
        <f t="shared" ref="H1553:J1553" si="2417">H1465</f>
        <v>10_10,50_20,80_30</v>
      </c>
      <c r="I1553" s="8">
        <f t="shared" si="2417"/>
        <v>6</v>
      </c>
      <c r="J1553" s="8">
        <f t="shared" si="2417"/>
        <v>50</v>
      </c>
      <c r="K1553" s="7" t="s">
        <v>312</v>
      </c>
      <c r="L1553" s="8">
        <v>56</v>
      </c>
      <c r="M1553" s="7">
        <f>IF(INDEX([1]equip.xml!$B:$B,MATCH(D1553,[1]equip.xml!$A:$A,0))=0,0,N1553)</f>
        <v>4</v>
      </c>
      <c r="N1553" s="8">
        <v>4</v>
      </c>
    </row>
    <row r="1554" spans="1:14">
      <c r="A1554" s="8">
        <f t="shared" si="2346"/>
        <v>10022</v>
      </c>
      <c r="B1554" s="8">
        <f t="shared" ref="B1554:C1554" si="2418">B1466</f>
        <v>40000</v>
      </c>
      <c r="C1554" s="8" t="str">
        <f t="shared" si="2418"/>
        <v>装备</v>
      </c>
      <c r="D1554" s="8">
        <f t="shared" si="2396"/>
        <v>40901050</v>
      </c>
      <c r="E1554" s="8"/>
      <c r="F1554" s="8">
        <v>1</v>
      </c>
      <c r="G1554" s="7">
        <f>3*INDEX([1]equip.xml!$I:$I,MATCH(D1554,[1]equip.xml!$A:$A,0))</f>
        <v>282000</v>
      </c>
      <c r="H1554" s="8" t="str">
        <f t="shared" ref="H1554:J1554" si="2419">H1466</f>
        <v>10_10,50_20,80_30</v>
      </c>
      <c r="I1554" s="8">
        <f t="shared" si="2419"/>
        <v>6</v>
      </c>
      <c r="J1554" s="8">
        <f t="shared" si="2419"/>
        <v>50</v>
      </c>
      <c r="K1554" s="7" t="s">
        <v>312</v>
      </c>
      <c r="L1554" s="8">
        <v>56</v>
      </c>
      <c r="M1554" s="7">
        <f>IF(INDEX([1]equip.xml!$B:$B,MATCH(D1554,[1]equip.xml!$A:$A,0))=0,0,N1554)</f>
        <v>4</v>
      </c>
      <c r="N1554" s="8">
        <v>4</v>
      </c>
    </row>
    <row r="1555" spans="1:14">
      <c r="A1555" s="8">
        <f t="shared" si="2346"/>
        <v>10022</v>
      </c>
      <c r="B1555" s="8">
        <f t="shared" ref="B1555:C1555" si="2420">B1467</f>
        <v>40000</v>
      </c>
      <c r="C1555" s="8" t="str">
        <f t="shared" si="2420"/>
        <v>装备</v>
      </c>
      <c r="D1555" s="8">
        <f t="shared" si="2396"/>
        <v>40901051</v>
      </c>
      <c r="E1555" s="8"/>
      <c r="F1555" s="8">
        <v>1</v>
      </c>
      <c r="G1555" s="7">
        <f>3*INDEX([1]equip.xml!$I:$I,MATCH(D1555,[1]equip.xml!$A:$A,0))</f>
        <v>291000</v>
      </c>
      <c r="H1555" s="8" t="str">
        <f t="shared" ref="H1555:J1555" si="2421">H1467</f>
        <v>10_10,50_20,80_30</v>
      </c>
      <c r="I1555" s="8">
        <f t="shared" si="2421"/>
        <v>6</v>
      </c>
      <c r="J1555" s="8">
        <f t="shared" si="2421"/>
        <v>50</v>
      </c>
      <c r="K1555" s="7" t="s">
        <v>312</v>
      </c>
      <c r="L1555" s="8">
        <v>56</v>
      </c>
      <c r="M1555" s="7">
        <f>IF(INDEX([1]equip.xml!$B:$B,MATCH(D1555,[1]equip.xml!$A:$A,0))=0,0,N1555)</f>
        <v>4</v>
      </c>
      <c r="N1555" s="8">
        <v>4</v>
      </c>
    </row>
    <row r="1556" spans="1:14">
      <c r="A1556" s="8">
        <f t="shared" si="2346"/>
        <v>10022</v>
      </c>
      <c r="B1556" s="8">
        <f t="shared" ref="B1556:C1556" si="2422">B1468</f>
        <v>40000</v>
      </c>
      <c r="C1556" s="8" t="str">
        <f t="shared" si="2422"/>
        <v>装备</v>
      </c>
      <c r="D1556" s="8">
        <f t="shared" si="2396"/>
        <v>40901060</v>
      </c>
      <c r="E1556" s="8"/>
      <c r="F1556" s="8">
        <v>1</v>
      </c>
      <c r="G1556" s="7">
        <f>3*INDEX([1]equip.xml!$I:$I,MATCH(D1556,[1]equip.xml!$A:$A,0))</f>
        <v>282000</v>
      </c>
      <c r="H1556" s="8" t="str">
        <f t="shared" ref="H1556:J1556" si="2423">H1468</f>
        <v>10_10,50_20,80_30</v>
      </c>
      <c r="I1556" s="8">
        <f t="shared" si="2423"/>
        <v>6</v>
      </c>
      <c r="J1556" s="8">
        <f t="shared" si="2423"/>
        <v>50</v>
      </c>
      <c r="K1556" s="7" t="s">
        <v>312</v>
      </c>
      <c r="L1556" s="8">
        <v>56</v>
      </c>
      <c r="M1556" s="7">
        <f>IF(INDEX([1]equip.xml!$B:$B,MATCH(D1556,[1]equip.xml!$A:$A,0))=0,0,N1556)</f>
        <v>4</v>
      </c>
      <c r="N1556" s="8">
        <v>4</v>
      </c>
    </row>
    <row r="1557" spans="1:14">
      <c r="A1557" s="8">
        <f t="shared" si="2346"/>
        <v>10022</v>
      </c>
      <c r="B1557" s="8">
        <f t="shared" ref="B1557:C1557" si="2424">B1469</f>
        <v>40000</v>
      </c>
      <c r="C1557" s="8" t="str">
        <f t="shared" si="2424"/>
        <v>装备</v>
      </c>
      <c r="D1557" s="8">
        <f t="shared" si="2396"/>
        <v>40901061</v>
      </c>
      <c r="E1557" s="8"/>
      <c r="F1557" s="8">
        <v>1</v>
      </c>
      <c r="G1557" s="7">
        <f>3*INDEX([1]equip.xml!$I:$I,MATCH(D1557,[1]equip.xml!$A:$A,0))</f>
        <v>291000</v>
      </c>
      <c r="H1557" s="8" t="str">
        <f t="shared" ref="H1557:J1557" si="2425">H1469</f>
        <v>10_10,50_20,80_30</v>
      </c>
      <c r="I1557" s="8">
        <f t="shared" si="2425"/>
        <v>6</v>
      </c>
      <c r="J1557" s="8">
        <f t="shared" si="2425"/>
        <v>50</v>
      </c>
      <c r="K1557" s="7" t="s">
        <v>312</v>
      </c>
      <c r="L1557" s="8">
        <v>56</v>
      </c>
      <c r="M1557" s="7">
        <f>IF(INDEX([1]equip.xml!$B:$B,MATCH(D1557,[1]equip.xml!$A:$A,0))=0,0,N1557)</f>
        <v>4</v>
      </c>
      <c r="N1557" s="8">
        <v>4</v>
      </c>
    </row>
    <row r="1558" spans="1:14">
      <c r="A1558" s="8">
        <f t="shared" si="2346"/>
        <v>10022</v>
      </c>
      <c r="B1558" s="8">
        <f t="shared" ref="B1558:C1558" si="2426">B1470</f>
        <v>40000</v>
      </c>
      <c r="C1558" s="8" t="str">
        <f t="shared" si="2426"/>
        <v>装备</v>
      </c>
      <c r="D1558" s="8">
        <f t="shared" si="2396"/>
        <v>40902050</v>
      </c>
      <c r="E1558" s="8"/>
      <c r="F1558" s="8">
        <v>1</v>
      </c>
      <c r="G1558" s="7">
        <f>3*INDEX([1]equip.xml!$I:$I,MATCH(D1558,[1]equip.xml!$A:$A,0))</f>
        <v>282000</v>
      </c>
      <c r="H1558" s="8" t="str">
        <f t="shared" ref="H1558:J1558" si="2427">H1470</f>
        <v>10_10,50_20,80_30</v>
      </c>
      <c r="I1558" s="8">
        <f t="shared" si="2427"/>
        <v>6</v>
      </c>
      <c r="J1558" s="8">
        <f t="shared" si="2427"/>
        <v>50</v>
      </c>
      <c r="K1558" s="7" t="s">
        <v>312</v>
      </c>
      <c r="L1558" s="8">
        <v>56</v>
      </c>
      <c r="M1558" s="7">
        <f>IF(INDEX([1]equip.xml!$B:$B,MATCH(D1558,[1]equip.xml!$A:$A,0))=0,0,N1558)</f>
        <v>4</v>
      </c>
      <c r="N1558" s="8">
        <v>4</v>
      </c>
    </row>
    <row r="1559" spans="1:14">
      <c r="A1559" s="8">
        <f t="shared" si="2346"/>
        <v>10022</v>
      </c>
      <c r="B1559" s="8">
        <f t="shared" ref="B1559:C1559" si="2428">B1471</f>
        <v>40000</v>
      </c>
      <c r="C1559" s="8" t="str">
        <f t="shared" si="2428"/>
        <v>装备</v>
      </c>
      <c r="D1559" s="8">
        <f t="shared" si="2396"/>
        <v>40902051</v>
      </c>
      <c r="E1559" s="8"/>
      <c r="F1559" s="8">
        <v>1</v>
      </c>
      <c r="G1559" s="7">
        <f>3*INDEX([1]equip.xml!$I:$I,MATCH(D1559,[1]equip.xml!$A:$A,0))</f>
        <v>291000</v>
      </c>
      <c r="H1559" s="8" t="str">
        <f t="shared" ref="H1559:J1559" si="2429">H1471</f>
        <v>10_10,50_20,80_30</v>
      </c>
      <c r="I1559" s="8">
        <f t="shared" si="2429"/>
        <v>6</v>
      </c>
      <c r="J1559" s="8">
        <f t="shared" si="2429"/>
        <v>50</v>
      </c>
      <c r="K1559" s="7" t="s">
        <v>312</v>
      </c>
      <c r="L1559" s="8">
        <v>56</v>
      </c>
      <c r="M1559" s="7">
        <f>IF(INDEX([1]equip.xml!$B:$B,MATCH(D1559,[1]equip.xml!$A:$A,0))=0,0,N1559)</f>
        <v>4</v>
      </c>
      <c r="N1559" s="8">
        <v>4</v>
      </c>
    </row>
    <row r="1560" spans="1:14">
      <c r="A1560" s="8">
        <f t="shared" si="2346"/>
        <v>10022</v>
      </c>
      <c r="B1560" s="8">
        <f t="shared" ref="B1560:C1560" si="2430">B1472</f>
        <v>40000</v>
      </c>
      <c r="C1560" s="8" t="str">
        <f t="shared" si="2430"/>
        <v>装备</v>
      </c>
      <c r="D1560" s="8">
        <f t="shared" si="2396"/>
        <v>40902060</v>
      </c>
      <c r="E1560" s="8"/>
      <c r="F1560" s="8">
        <v>1</v>
      </c>
      <c r="G1560" s="7">
        <f>3*INDEX([1]equip.xml!$I:$I,MATCH(D1560,[1]equip.xml!$A:$A,0))</f>
        <v>282000</v>
      </c>
      <c r="H1560" s="8" t="str">
        <f t="shared" ref="H1560:J1560" si="2431">H1472</f>
        <v>10_10,50_20,80_30</v>
      </c>
      <c r="I1560" s="8">
        <f t="shared" si="2431"/>
        <v>6</v>
      </c>
      <c r="J1560" s="8">
        <f t="shared" si="2431"/>
        <v>50</v>
      </c>
      <c r="K1560" s="7" t="s">
        <v>312</v>
      </c>
      <c r="L1560" s="8">
        <v>56</v>
      </c>
      <c r="M1560" s="7">
        <f>IF(INDEX([1]equip.xml!$B:$B,MATCH(D1560,[1]equip.xml!$A:$A,0))=0,0,N1560)</f>
        <v>4</v>
      </c>
      <c r="N1560" s="8">
        <v>4</v>
      </c>
    </row>
    <row r="1561" spans="1:14">
      <c r="A1561" s="8">
        <f t="shared" si="2346"/>
        <v>10022</v>
      </c>
      <c r="B1561" s="8">
        <f t="shared" ref="B1561:C1561" si="2432">B1473</f>
        <v>40000</v>
      </c>
      <c r="C1561" s="8" t="str">
        <f t="shared" si="2432"/>
        <v>装备</v>
      </c>
      <c r="D1561" s="8">
        <f t="shared" si="2396"/>
        <v>40902061</v>
      </c>
      <c r="E1561" s="8"/>
      <c r="F1561" s="8">
        <v>1</v>
      </c>
      <c r="G1561" s="7">
        <f>3*INDEX([1]equip.xml!$I:$I,MATCH(D1561,[1]equip.xml!$A:$A,0))</f>
        <v>291000</v>
      </c>
      <c r="H1561" s="8" t="str">
        <f t="shared" ref="H1561:J1561" si="2433">H1473</f>
        <v>10_10,50_20,80_30</v>
      </c>
      <c r="I1561" s="8">
        <f t="shared" si="2433"/>
        <v>6</v>
      </c>
      <c r="J1561" s="8">
        <f t="shared" si="2433"/>
        <v>50</v>
      </c>
      <c r="K1561" s="7" t="s">
        <v>312</v>
      </c>
      <c r="L1561" s="8">
        <v>56</v>
      </c>
      <c r="M1561" s="7">
        <f>IF(INDEX([1]equip.xml!$B:$B,MATCH(D1561,[1]equip.xml!$A:$A,0))=0,0,N1561)</f>
        <v>4</v>
      </c>
      <c r="N1561" s="8">
        <v>4</v>
      </c>
    </row>
    <row r="1562" spans="1:14">
      <c r="A1562" s="8">
        <f t="shared" si="2346"/>
        <v>10022</v>
      </c>
      <c r="B1562" s="8">
        <f t="shared" ref="B1562:C1562" si="2434">B1474</f>
        <v>40000</v>
      </c>
      <c r="C1562" s="8" t="str">
        <f t="shared" si="2434"/>
        <v>装备</v>
      </c>
      <c r="D1562" s="8">
        <f t="shared" si="2396"/>
        <v>40903050</v>
      </c>
      <c r="E1562" s="8"/>
      <c r="F1562" s="8">
        <v>1</v>
      </c>
      <c r="G1562" s="7">
        <f>3*INDEX([1]equip.xml!$I:$I,MATCH(D1562,[1]equip.xml!$A:$A,0))</f>
        <v>282000</v>
      </c>
      <c r="H1562" s="8" t="str">
        <f t="shared" ref="H1562:J1562" si="2435">H1474</f>
        <v>10_10,50_20,80_30</v>
      </c>
      <c r="I1562" s="8">
        <f t="shared" si="2435"/>
        <v>6</v>
      </c>
      <c r="J1562" s="8">
        <f t="shared" si="2435"/>
        <v>50</v>
      </c>
      <c r="K1562" s="7" t="s">
        <v>312</v>
      </c>
      <c r="L1562" s="8">
        <v>56</v>
      </c>
      <c r="M1562" s="7">
        <f>IF(INDEX([1]equip.xml!$B:$B,MATCH(D1562,[1]equip.xml!$A:$A,0))=0,0,N1562)</f>
        <v>4</v>
      </c>
      <c r="N1562" s="8">
        <v>4</v>
      </c>
    </row>
    <row r="1563" spans="1:14">
      <c r="A1563" s="8">
        <f t="shared" si="2346"/>
        <v>10022</v>
      </c>
      <c r="B1563" s="8">
        <f t="shared" ref="B1563:C1563" si="2436">B1475</f>
        <v>40000</v>
      </c>
      <c r="C1563" s="8" t="str">
        <f t="shared" si="2436"/>
        <v>装备</v>
      </c>
      <c r="D1563" s="8">
        <f t="shared" si="2396"/>
        <v>40903051</v>
      </c>
      <c r="E1563" s="8"/>
      <c r="F1563" s="8">
        <v>1</v>
      </c>
      <c r="G1563" s="7">
        <f>3*INDEX([1]equip.xml!$I:$I,MATCH(D1563,[1]equip.xml!$A:$A,0))</f>
        <v>291000</v>
      </c>
      <c r="H1563" s="8" t="str">
        <f t="shared" ref="H1563:J1563" si="2437">H1475</f>
        <v>10_10,50_20,80_30</v>
      </c>
      <c r="I1563" s="8">
        <f t="shared" si="2437"/>
        <v>6</v>
      </c>
      <c r="J1563" s="8">
        <f t="shared" si="2437"/>
        <v>50</v>
      </c>
      <c r="K1563" s="7" t="s">
        <v>312</v>
      </c>
      <c r="L1563" s="8">
        <v>56</v>
      </c>
      <c r="M1563" s="7">
        <f>IF(INDEX([1]equip.xml!$B:$B,MATCH(D1563,[1]equip.xml!$A:$A,0))=0,0,N1563)</f>
        <v>4</v>
      </c>
      <c r="N1563" s="8">
        <v>4</v>
      </c>
    </row>
    <row r="1564" spans="1:14">
      <c r="A1564" s="8">
        <f t="shared" si="2346"/>
        <v>10022</v>
      </c>
      <c r="B1564" s="8">
        <f t="shared" ref="B1564:C1564" si="2438">B1476</f>
        <v>40000</v>
      </c>
      <c r="C1564" s="8" t="str">
        <f t="shared" si="2438"/>
        <v>装备</v>
      </c>
      <c r="D1564" s="8">
        <f t="shared" si="2396"/>
        <v>40903060</v>
      </c>
      <c r="E1564" s="8"/>
      <c r="F1564" s="8">
        <v>1</v>
      </c>
      <c r="G1564" s="7">
        <f>3*INDEX([1]equip.xml!$I:$I,MATCH(D1564,[1]equip.xml!$A:$A,0))</f>
        <v>282000</v>
      </c>
      <c r="H1564" s="8" t="str">
        <f t="shared" ref="H1564:J1564" si="2439">H1476</f>
        <v>10_10,50_20,80_30</v>
      </c>
      <c r="I1564" s="8">
        <f t="shared" si="2439"/>
        <v>6</v>
      </c>
      <c r="J1564" s="8">
        <f t="shared" si="2439"/>
        <v>50</v>
      </c>
      <c r="K1564" s="7" t="s">
        <v>312</v>
      </c>
      <c r="L1564" s="8">
        <v>56</v>
      </c>
      <c r="M1564" s="7">
        <f>IF(INDEX([1]equip.xml!$B:$B,MATCH(D1564,[1]equip.xml!$A:$A,0))=0,0,N1564)</f>
        <v>4</v>
      </c>
      <c r="N1564" s="8">
        <v>4</v>
      </c>
    </row>
    <row r="1565" spans="1:14">
      <c r="A1565" s="8">
        <f t="shared" si="2346"/>
        <v>10022</v>
      </c>
      <c r="B1565" s="8">
        <f t="shared" ref="B1565:C1565" si="2440">B1477</f>
        <v>40000</v>
      </c>
      <c r="C1565" s="8" t="str">
        <f t="shared" si="2440"/>
        <v>装备</v>
      </c>
      <c r="D1565" s="8">
        <f t="shared" si="2396"/>
        <v>40903061</v>
      </c>
      <c r="E1565" s="8"/>
      <c r="F1565" s="8">
        <v>1</v>
      </c>
      <c r="G1565" s="7">
        <f>3*INDEX([1]equip.xml!$I:$I,MATCH(D1565,[1]equip.xml!$A:$A,0))</f>
        <v>291000</v>
      </c>
      <c r="H1565" s="8" t="str">
        <f t="shared" ref="H1565:J1565" si="2441">H1477</f>
        <v>10_10,50_20,80_30</v>
      </c>
      <c r="I1565" s="8">
        <f t="shared" si="2441"/>
        <v>6</v>
      </c>
      <c r="J1565" s="8">
        <f t="shared" si="2441"/>
        <v>50</v>
      </c>
      <c r="K1565" s="7" t="s">
        <v>312</v>
      </c>
      <c r="L1565" s="8">
        <v>56</v>
      </c>
      <c r="M1565" s="7">
        <f>IF(INDEX([1]equip.xml!$B:$B,MATCH(D1565,[1]equip.xml!$A:$A,0))=0,0,N1565)</f>
        <v>4</v>
      </c>
      <c r="N1565" s="8">
        <v>4</v>
      </c>
    </row>
    <row r="1566" spans="1:14">
      <c r="A1566" s="8">
        <f t="shared" si="2346"/>
        <v>10022</v>
      </c>
      <c r="B1566" s="8">
        <f t="shared" ref="B1566:C1566" si="2442">B1478</f>
        <v>40000</v>
      </c>
      <c r="C1566" s="8" t="str">
        <f t="shared" si="2442"/>
        <v>装备</v>
      </c>
      <c r="D1566" s="8">
        <f t="shared" si="2396"/>
        <v>40900040</v>
      </c>
      <c r="E1566" s="8"/>
      <c r="F1566" s="8">
        <v>1</v>
      </c>
      <c r="G1566" s="7">
        <f>3*INDEX([1]equip.xml!$I:$I,MATCH(D1566,[1]equip.xml!$A:$A,0))</f>
        <v>282000</v>
      </c>
      <c r="H1566" s="8" t="str">
        <f t="shared" ref="H1566:J1566" si="2443">H1478</f>
        <v>10_10,50_20,80_30</v>
      </c>
      <c r="I1566" s="8">
        <f t="shared" si="2443"/>
        <v>6</v>
      </c>
      <c r="J1566" s="8">
        <f t="shared" si="2443"/>
        <v>50</v>
      </c>
      <c r="K1566" s="7" t="s">
        <v>312</v>
      </c>
      <c r="L1566" s="8">
        <v>56</v>
      </c>
      <c r="M1566" s="7">
        <f>IF(INDEX([1]equip.xml!$B:$B,MATCH(D1566,[1]equip.xml!$A:$A,0))=0,0,N1566)</f>
        <v>4</v>
      </c>
      <c r="N1566" s="8">
        <v>4</v>
      </c>
    </row>
    <row r="1567" spans="1:14">
      <c r="A1567" s="8">
        <f t="shared" si="2346"/>
        <v>10022</v>
      </c>
      <c r="B1567" s="8">
        <f t="shared" ref="B1567:C1567" si="2444">B1479</f>
        <v>40000</v>
      </c>
      <c r="C1567" s="8" t="str">
        <f t="shared" si="2444"/>
        <v>装备</v>
      </c>
      <c r="D1567" s="8">
        <f t="shared" si="2396"/>
        <v>40900041</v>
      </c>
      <c r="E1567" s="8"/>
      <c r="F1567" s="8">
        <v>1</v>
      </c>
      <c r="G1567" s="7">
        <f>3*INDEX([1]equip.xml!$I:$I,MATCH(D1567,[1]equip.xml!$A:$A,0))</f>
        <v>291000</v>
      </c>
      <c r="H1567" s="8" t="str">
        <f t="shared" ref="H1567:J1567" si="2445">H1479</f>
        <v>10_10,50_20,80_30</v>
      </c>
      <c r="I1567" s="8">
        <f t="shared" si="2445"/>
        <v>6</v>
      </c>
      <c r="J1567" s="8">
        <f t="shared" si="2445"/>
        <v>50</v>
      </c>
      <c r="K1567" s="7" t="s">
        <v>312</v>
      </c>
      <c r="L1567" s="8">
        <v>56</v>
      </c>
      <c r="M1567" s="7">
        <f>IF(INDEX([1]equip.xml!$B:$B,MATCH(D1567,[1]equip.xml!$A:$A,0))=0,0,N1567)</f>
        <v>4</v>
      </c>
      <c r="N1567" s="8">
        <v>4</v>
      </c>
    </row>
    <row r="1568" spans="1:14">
      <c r="A1568" s="8">
        <f t="shared" si="2346"/>
        <v>10022</v>
      </c>
      <c r="B1568" s="8">
        <f t="shared" ref="B1568:C1568" si="2446">B1480</f>
        <v>40000</v>
      </c>
      <c r="C1568" s="8" t="str">
        <f t="shared" si="2446"/>
        <v>装备</v>
      </c>
      <c r="D1568" s="8">
        <f t="shared" si="2396"/>
        <v>40900070</v>
      </c>
      <c r="E1568" s="8"/>
      <c r="F1568" s="8">
        <v>1</v>
      </c>
      <c r="G1568" s="7">
        <f>3*INDEX([1]equip.xml!$I:$I,MATCH(D1568,[1]equip.xml!$A:$A,0))</f>
        <v>282000</v>
      </c>
      <c r="H1568" s="8" t="str">
        <f t="shared" ref="H1568:J1568" si="2447">H1480</f>
        <v>10_10,50_20,80_30</v>
      </c>
      <c r="I1568" s="8">
        <f t="shared" si="2447"/>
        <v>6</v>
      </c>
      <c r="J1568" s="8">
        <f t="shared" si="2447"/>
        <v>50</v>
      </c>
      <c r="K1568" s="7" t="s">
        <v>312</v>
      </c>
      <c r="L1568" s="8">
        <v>56</v>
      </c>
      <c r="M1568" s="7">
        <f>IF(INDEX([1]equip.xml!$B:$B,MATCH(D1568,[1]equip.xml!$A:$A,0))=0,0,N1568)</f>
        <v>4</v>
      </c>
      <c r="N1568" s="8">
        <v>4</v>
      </c>
    </row>
    <row r="1569" spans="1:14">
      <c r="A1569" s="8">
        <f t="shared" si="2346"/>
        <v>10022</v>
      </c>
      <c r="B1569" s="8">
        <f t="shared" ref="B1569:C1569" si="2448">B1481</f>
        <v>40000</v>
      </c>
      <c r="C1569" s="8" t="str">
        <f t="shared" si="2448"/>
        <v>装备</v>
      </c>
      <c r="D1569" s="8">
        <f t="shared" si="2396"/>
        <v>40900071</v>
      </c>
      <c r="E1569" s="8"/>
      <c r="F1569" s="8">
        <v>1</v>
      </c>
      <c r="G1569" s="7">
        <f>3*INDEX([1]equip.xml!$I:$I,MATCH(D1569,[1]equip.xml!$A:$A,0))</f>
        <v>291000</v>
      </c>
      <c r="H1569" s="8" t="str">
        <f t="shared" ref="H1569:J1569" si="2449">H1481</f>
        <v>10_10,50_20,80_30</v>
      </c>
      <c r="I1569" s="8">
        <f t="shared" si="2449"/>
        <v>6</v>
      </c>
      <c r="J1569" s="8">
        <f t="shared" si="2449"/>
        <v>50</v>
      </c>
      <c r="K1569" s="7" t="s">
        <v>312</v>
      </c>
      <c r="L1569" s="8">
        <v>56</v>
      </c>
      <c r="M1569" s="7">
        <f>IF(INDEX([1]equip.xml!$B:$B,MATCH(D1569,[1]equip.xml!$A:$A,0))=0,0,N1569)</f>
        <v>4</v>
      </c>
      <c r="N1569" s="8">
        <v>4</v>
      </c>
    </row>
    <row r="1570" spans="1:14">
      <c r="A1570" s="8">
        <f t="shared" si="2346"/>
        <v>10022</v>
      </c>
      <c r="B1570" s="8">
        <f t="shared" ref="B1570:C1570" si="2450">B1482</f>
        <v>40000</v>
      </c>
      <c r="C1570" s="8" t="str">
        <f t="shared" si="2450"/>
        <v>装备</v>
      </c>
      <c r="D1570" s="7">
        <f>D1526+10000005</f>
        <v>50850015</v>
      </c>
      <c r="E1570" s="8"/>
      <c r="F1570" s="8">
        <v>1</v>
      </c>
      <c r="G1570" s="7">
        <f>3*INDEX([1]equip.xml!$I:$I,MATCH(D1570,[1]equip.xml!$A:$A,0))</f>
        <v>528000</v>
      </c>
      <c r="H1570" s="8" t="str">
        <f t="shared" ref="H1570:J1570" si="2451">H1482</f>
        <v>10_10,50_20,80_30</v>
      </c>
      <c r="I1570" s="8">
        <f t="shared" si="2451"/>
        <v>1</v>
      </c>
      <c r="J1570" s="8">
        <f t="shared" si="2451"/>
        <v>240</v>
      </c>
      <c r="K1570" s="7" t="s">
        <v>312</v>
      </c>
      <c r="L1570" s="8">
        <v>56</v>
      </c>
      <c r="M1570" s="7">
        <f>IF(INDEX([1]equip.xml!$B:$B,MATCH(D1570,[1]equip.xml!$A:$A,0))=0,0,N1570)</f>
        <v>70</v>
      </c>
      <c r="N1570" s="8">
        <v>70</v>
      </c>
    </row>
    <row r="1571" spans="1:14">
      <c r="A1571" s="8">
        <f t="shared" si="2346"/>
        <v>10022</v>
      </c>
      <c r="B1571" s="8">
        <f t="shared" ref="B1571:C1571" si="2452">B1483</f>
        <v>40000</v>
      </c>
      <c r="C1571" s="8" t="str">
        <f t="shared" si="2452"/>
        <v>装备</v>
      </c>
      <c r="D1571" s="7">
        <f t="shared" ref="D1571:D1613" si="2453">D1527+10000005</f>
        <v>50850025</v>
      </c>
      <c r="E1571" s="8"/>
      <c r="F1571" s="8">
        <v>1</v>
      </c>
      <c r="G1571" s="7">
        <f>3*INDEX([1]equip.xml!$I:$I,MATCH(D1571,[1]equip.xml!$A:$A,0))</f>
        <v>528000</v>
      </c>
      <c r="H1571" s="8" t="str">
        <f t="shared" ref="H1571:J1571" si="2454">H1483</f>
        <v>10_10,50_20,80_30</v>
      </c>
      <c r="I1571" s="8">
        <f t="shared" si="2454"/>
        <v>1</v>
      </c>
      <c r="J1571" s="8">
        <f t="shared" si="2454"/>
        <v>240</v>
      </c>
      <c r="K1571" s="7" t="s">
        <v>312</v>
      </c>
      <c r="L1571" s="8">
        <v>56</v>
      </c>
      <c r="M1571" s="7">
        <f>IF(INDEX([1]equip.xml!$B:$B,MATCH(D1571,[1]equip.xml!$A:$A,0))=0,0,N1571)</f>
        <v>70</v>
      </c>
      <c r="N1571" s="8">
        <v>70</v>
      </c>
    </row>
    <row r="1572" spans="1:14">
      <c r="A1572" s="8">
        <f t="shared" si="2346"/>
        <v>10022</v>
      </c>
      <c r="B1572" s="8">
        <f t="shared" ref="B1572:C1572" si="2455">B1484</f>
        <v>40000</v>
      </c>
      <c r="C1572" s="8" t="str">
        <f t="shared" si="2455"/>
        <v>装备</v>
      </c>
      <c r="D1572" s="7">
        <f t="shared" si="2453"/>
        <v>50850035</v>
      </c>
      <c r="E1572" s="8"/>
      <c r="F1572" s="8">
        <v>1</v>
      </c>
      <c r="G1572" s="7">
        <f>3*INDEX([1]equip.xml!$I:$I,MATCH(D1572,[1]equip.xml!$A:$A,0))</f>
        <v>528000</v>
      </c>
      <c r="H1572" s="8" t="str">
        <f t="shared" ref="H1572:J1572" si="2456">H1484</f>
        <v>10_10,50_20,80_30</v>
      </c>
      <c r="I1572" s="8">
        <f t="shared" si="2456"/>
        <v>1</v>
      </c>
      <c r="J1572" s="8">
        <f t="shared" si="2456"/>
        <v>240</v>
      </c>
      <c r="K1572" s="7" t="s">
        <v>312</v>
      </c>
      <c r="L1572" s="8">
        <v>56</v>
      </c>
      <c r="M1572" s="7">
        <f>IF(INDEX([1]equip.xml!$B:$B,MATCH(D1572,[1]equip.xml!$A:$A,0))=0,0,N1572)</f>
        <v>70</v>
      </c>
      <c r="N1572" s="8">
        <v>70</v>
      </c>
    </row>
    <row r="1573" spans="1:14">
      <c r="A1573" s="8">
        <f t="shared" si="2346"/>
        <v>10022</v>
      </c>
      <c r="B1573" s="8">
        <f t="shared" ref="B1573:C1573" si="2457">B1485</f>
        <v>40000</v>
      </c>
      <c r="C1573" s="8" t="str">
        <f t="shared" si="2457"/>
        <v>装备</v>
      </c>
      <c r="D1573" s="7">
        <f t="shared" si="2453"/>
        <v>50850085</v>
      </c>
      <c r="E1573" s="8"/>
      <c r="F1573" s="8">
        <v>1</v>
      </c>
      <c r="G1573" s="7">
        <f>3*INDEX([1]equip.xml!$I:$I,MATCH(D1573,[1]equip.xml!$A:$A,0))</f>
        <v>528000</v>
      </c>
      <c r="H1573" s="8" t="str">
        <f t="shared" ref="H1573:J1573" si="2458">H1485</f>
        <v>10_10,50_20,80_30</v>
      </c>
      <c r="I1573" s="8">
        <f t="shared" si="2458"/>
        <v>1</v>
      </c>
      <c r="J1573" s="8">
        <f t="shared" si="2458"/>
        <v>240</v>
      </c>
      <c r="K1573" s="7" t="s">
        <v>312</v>
      </c>
      <c r="L1573" s="8">
        <v>56</v>
      </c>
      <c r="M1573" s="7">
        <f>IF(INDEX([1]equip.xml!$B:$B,MATCH(D1573,[1]equip.xml!$A:$A,0))=0,0,N1573)</f>
        <v>70</v>
      </c>
      <c r="N1573" s="8">
        <v>70</v>
      </c>
    </row>
    <row r="1574" spans="1:14">
      <c r="A1574" s="8">
        <f t="shared" si="2346"/>
        <v>10022</v>
      </c>
      <c r="B1574" s="8">
        <f t="shared" ref="B1574:C1574" si="2459">B1486</f>
        <v>40000</v>
      </c>
      <c r="C1574" s="8" t="str">
        <f t="shared" si="2459"/>
        <v>装备</v>
      </c>
      <c r="D1574" s="7">
        <f t="shared" si="2453"/>
        <v>50850095</v>
      </c>
      <c r="E1574" s="8"/>
      <c r="F1574" s="8">
        <v>1</v>
      </c>
      <c r="G1574" s="7">
        <f>3*INDEX([1]equip.xml!$I:$I,MATCH(D1574,[1]equip.xml!$A:$A,0))</f>
        <v>528000</v>
      </c>
      <c r="H1574" s="8" t="str">
        <f t="shared" ref="H1574:J1574" si="2460">H1486</f>
        <v>10_10,50_20,80_30</v>
      </c>
      <c r="I1574" s="8">
        <f t="shared" si="2460"/>
        <v>1</v>
      </c>
      <c r="J1574" s="8">
        <f t="shared" si="2460"/>
        <v>240</v>
      </c>
      <c r="K1574" s="7" t="s">
        <v>312</v>
      </c>
      <c r="L1574" s="8">
        <v>56</v>
      </c>
      <c r="M1574" s="7">
        <f>IF(INDEX([1]equip.xml!$B:$B,MATCH(D1574,[1]equip.xml!$A:$A,0))=0,0,N1574)</f>
        <v>70</v>
      </c>
      <c r="N1574" s="8">
        <v>70</v>
      </c>
    </row>
    <row r="1575" spans="1:14">
      <c r="A1575" s="8">
        <f t="shared" si="2346"/>
        <v>10022</v>
      </c>
      <c r="B1575" s="8">
        <f t="shared" ref="B1575:C1575" si="2461">B1487</f>
        <v>40000</v>
      </c>
      <c r="C1575" s="8" t="str">
        <f t="shared" si="2461"/>
        <v>装备</v>
      </c>
      <c r="D1575" s="7">
        <f t="shared" si="2453"/>
        <v>50850105</v>
      </c>
      <c r="E1575" s="8"/>
      <c r="F1575" s="8">
        <v>1</v>
      </c>
      <c r="G1575" s="7">
        <f>3*INDEX([1]equip.xml!$I:$I,MATCH(D1575,[1]equip.xml!$A:$A,0))</f>
        <v>528000</v>
      </c>
      <c r="H1575" s="8" t="str">
        <f t="shared" ref="H1575:J1575" si="2462">H1487</f>
        <v>10_10,50_20,80_30</v>
      </c>
      <c r="I1575" s="8">
        <f t="shared" si="2462"/>
        <v>1</v>
      </c>
      <c r="J1575" s="8">
        <f t="shared" si="2462"/>
        <v>240</v>
      </c>
      <c r="K1575" s="7" t="s">
        <v>312</v>
      </c>
      <c r="L1575" s="8">
        <v>56</v>
      </c>
      <c r="M1575" s="7">
        <f>IF(INDEX([1]equip.xml!$B:$B,MATCH(D1575,[1]equip.xml!$A:$A,0))=0,0,N1575)</f>
        <v>70</v>
      </c>
      <c r="N1575" s="8">
        <v>70</v>
      </c>
    </row>
    <row r="1576" spans="1:14">
      <c r="A1576" s="8">
        <f t="shared" si="2346"/>
        <v>10022</v>
      </c>
      <c r="B1576" s="8">
        <f t="shared" ref="B1576:C1576" si="2463">B1488</f>
        <v>40000</v>
      </c>
      <c r="C1576" s="8" t="str">
        <f t="shared" si="2463"/>
        <v>装备</v>
      </c>
      <c r="D1576" s="7">
        <f t="shared" si="2453"/>
        <v>50851055</v>
      </c>
      <c r="E1576" s="8"/>
      <c r="F1576" s="8">
        <v>1</v>
      </c>
      <c r="G1576" s="7">
        <f>3*INDEX([1]equip.xml!$I:$I,MATCH(D1576,[1]equip.xml!$A:$A,0))</f>
        <v>528000</v>
      </c>
      <c r="H1576" s="8" t="str">
        <f t="shared" ref="H1576:J1576" si="2464">H1488</f>
        <v>10_10,50_20,80_30</v>
      </c>
      <c r="I1576" s="8">
        <f t="shared" si="2464"/>
        <v>1</v>
      </c>
      <c r="J1576" s="8">
        <f t="shared" si="2464"/>
        <v>240</v>
      </c>
      <c r="K1576" s="7" t="s">
        <v>312</v>
      </c>
      <c r="L1576" s="8">
        <v>56</v>
      </c>
      <c r="M1576" s="7">
        <f>IF(INDEX([1]equip.xml!$B:$B,MATCH(D1576,[1]equip.xml!$A:$A,0))=0,0,N1576)</f>
        <v>70</v>
      </c>
      <c r="N1576" s="8">
        <v>70</v>
      </c>
    </row>
    <row r="1577" spans="1:14">
      <c r="A1577" s="8">
        <f t="shared" si="2346"/>
        <v>10022</v>
      </c>
      <c r="B1577" s="8">
        <f t="shared" ref="B1577:C1577" si="2465">B1489</f>
        <v>40000</v>
      </c>
      <c r="C1577" s="8" t="str">
        <f t="shared" si="2465"/>
        <v>装备</v>
      </c>
      <c r="D1577" s="7">
        <f t="shared" si="2453"/>
        <v>50851056</v>
      </c>
      <c r="E1577" s="8"/>
      <c r="F1577" s="8">
        <v>1</v>
      </c>
      <c r="G1577" s="7">
        <f>3*INDEX([1]equip.xml!$I:$I,MATCH(D1577,[1]equip.xml!$A:$A,0))</f>
        <v>546000</v>
      </c>
      <c r="H1577" s="8" t="str">
        <f t="shared" ref="H1577:J1577" si="2466">H1489</f>
        <v>10_10,50_20,80_30</v>
      </c>
      <c r="I1577" s="8">
        <f t="shared" si="2466"/>
        <v>1</v>
      </c>
      <c r="J1577" s="8">
        <f t="shared" si="2466"/>
        <v>240</v>
      </c>
      <c r="K1577" s="7" t="s">
        <v>312</v>
      </c>
      <c r="L1577" s="8">
        <v>56</v>
      </c>
      <c r="M1577" s="7">
        <f>IF(INDEX([1]equip.xml!$B:$B,MATCH(D1577,[1]equip.xml!$A:$A,0))=0,0,N1577)</f>
        <v>70</v>
      </c>
      <c r="N1577" s="8">
        <v>70</v>
      </c>
    </row>
    <row r="1578" spans="1:14">
      <c r="A1578" s="8">
        <f t="shared" si="2346"/>
        <v>10022</v>
      </c>
      <c r="B1578" s="8">
        <f t="shared" ref="B1578:C1578" si="2467">B1490</f>
        <v>40000</v>
      </c>
      <c r="C1578" s="8" t="str">
        <f t="shared" si="2467"/>
        <v>装备</v>
      </c>
      <c r="D1578" s="7">
        <f t="shared" si="2453"/>
        <v>50851065</v>
      </c>
      <c r="E1578" s="8"/>
      <c r="F1578" s="8">
        <v>1</v>
      </c>
      <c r="G1578" s="7">
        <f>3*INDEX([1]equip.xml!$I:$I,MATCH(D1578,[1]equip.xml!$A:$A,0))</f>
        <v>528000</v>
      </c>
      <c r="H1578" s="8" t="str">
        <f t="shared" ref="H1578:J1578" si="2468">H1490</f>
        <v>10_10,50_20,80_30</v>
      </c>
      <c r="I1578" s="8">
        <f t="shared" si="2468"/>
        <v>1</v>
      </c>
      <c r="J1578" s="8">
        <f t="shared" si="2468"/>
        <v>240</v>
      </c>
      <c r="K1578" s="7" t="s">
        <v>312</v>
      </c>
      <c r="L1578" s="8">
        <v>56</v>
      </c>
      <c r="M1578" s="7">
        <f>IF(INDEX([1]equip.xml!$B:$B,MATCH(D1578,[1]equip.xml!$A:$A,0))=0,0,N1578)</f>
        <v>70</v>
      </c>
      <c r="N1578" s="8">
        <v>70</v>
      </c>
    </row>
    <row r="1579" spans="1:14">
      <c r="A1579" s="8">
        <f t="shared" si="2346"/>
        <v>10022</v>
      </c>
      <c r="B1579" s="8">
        <f t="shared" ref="B1579:C1579" si="2469">B1491</f>
        <v>40000</v>
      </c>
      <c r="C1579" s="8" t="str">
        <f t="shared" si="2469"/>
        <v>装备</v>
      </c>
      <c r="D1579" s="7">
        <f t="shared" si="2453"/>
        <v>50851066</v>
      </c>
      <c r="E1579" s="8"/>
      <c r="F1579" s="8">
        <v>1</v>
      </c>
      <c r="G1579" s="7">
        <f>3*INDEX([1]equip.xml!$I:$I,MATCH(D1579,[1]equip.xml!$A:$A,0))</f>
        <v>546000</v>
      </c>
      <c r="H1579" s="8" t="str">
        <f t="shared" ref="H1579:J1579" si="2470">H1491</f>
        <v>10_10,50_20,80_30</v>
      </c>
      <c r="I1579" s="8">
        <f t="shared" si="2470"/>
        <v>1</v>
      </c>
      <c r="J1579" s="8">
        <f t="shared" si="2470"/>
        <v>240</v>
      </c>
      <c r="K1579" s="7" t="s">
        <v>312</v>
      </c>
      <c r="L1579" s="8">
        <v>56</v>
      </c>
      <c r="M1579" s="7">
        <f>IF(INDEX([1]equip.xml!$B:$B,MATCH(D1579,[1]equip.xml!$A:$A,0))=0,0,N1579)</f>
        <v>70</v>
      </c>
      <c r="N1579" s="8">
        <v>70</v>
      </c>
    </row>
    <row r="1580" spans="1:14">
      <c r="A1580" s="8">
        <f t="shared" si="2346"/>
        <v>10022</v>
      </c>
      <c r="B1580" s="8">
        <f t="shared" ref="B1580:C1580" si="2471">B1492</f>
        <v>40000</v>
      </c>
      <c r="C1580" s="8" t="str">
        <f t="shared" si="2471"/>
        <v>装备</v>
      </c>
      <c r="D1580" s="7">
        <f t="shared" si="2453"/>
        <v>50852055</v>
      </c>
      <c r="E1580" s="8"/>
      <c r="F1580" s="8">
        <v>1</v>
      </c>
      <c r="G1580" s="7">
        <f>3*INDEX([1]equip.xml!$I:$I,MATCH(D1580,[1]equip.xml!$A:$A,0))</f>
        <v>528000</v>
      </c>
      <c r="H1580" s="8" t="str">
        <f t="shared" ref="H1580:J1580" si="2472">H1492</f>
        <v>10_10,50_20,80_30</v>
      </c>
      <c r="I1580" s="8">
        <f t="shared" si="2472"/>
        <v>1</v>
      </c>
      <c r="J1580" s="8">
        <f t="shared" si="2472"/>
        <v>240</v>
      </c>
      <c r="K1580" s="7" t="s">
        <v>312</v>
      </c>
      <c r="L1580" s="8">
        <v>56</v>
      </c>
      <c r="M1580" s="7">
        <f>IF(INDEX([1]equip.xml!$B:$B,MATCH(D1580,[1]equip.xml!$A:$A,0))=0,0,N1580)</f>
        <v>70</v>
      </c>
      <c r="N1580" s="8">
        <v>70</v>
      </c>
    </row>
    <row r="1581" spans="1:14">
      <c r="A1581" s="8">
        <f t="shared" si="2346"/>
        <v>10022</v>
      </c>
      <c r="B1581" s="8">
        <f t="shared" ref="B1581:C1581" si="2473">B1493</f>
        <v>40000</v>
      </c>
      <c r="C1581" s="8" t="str">
        <f t="shared" si="2473"/>
        <v>装备</v>
      </c>
      <c r="D1581" s="7">
        <f t="shared" si="2453"/>
        <v>50852056</v>
      </c>
      <c r="E1581" s="8"/>
      <c r="F1581" s="8">
        <v>1</v>
      </c>
      <c r="G1581" s="7">
        <f>3*INDEX([1]equip.xml!$I:$I,MATCH(D1581,[1]equip.xml!$A:$A,0))</f>
        <v>546000</v>
      </c>
      <c r="H1581" s="8" t="str">
        <f t="shared" ref="H1581:J1581" si="2474">H1493</f>
        <v>10_10,50_20,80_30</v>
      </c>
      <c r="I1581" s="8">
        <f t="shared" si="2474"/>
        <v>1</v>
      </c>
      <c r="J1581" s="8">
        <f t="shared" si="2474"/>
        <v>240</v>
      </c>
      <c r="K1581" s="7" t="s">
        <v>312</v>
      </c>
      <c r="L1581" s="8">
        <v>56</v>
      </c>
      <c r="M1581" s="7">
        <f>IF(INDEX([1]equip.xml!$B:$B,MATCH(D1581,[1]equip.xml!$A:$A,0))=0,0,N1581)</f>
        <v>70</v>
      </c>
      <c r="N1581" s="8">
        <v>70</v>
      </c>
    </row>
    <row r="1582" spans="1:14">
      <c r="A1582" s="8">
        <f t="shared" si="2346"/>
        <v>10022</v>
      </c>
      <c r="B1582" s="8">
        <f t="shared" ref="B1582:C1582" si="2475">B1494</f>
        <v>40000</v>
      </c>
      <c r="C1582" s="8" t="str">
        <f t="shared" si="2475"/>
        <v>装备</v>
      </c>
      <c r="D1582" s="7">
        <f t="shared" si="2453"/>
        <v>50852065</v>
      </c>
      <c r="E1582" s="8"/>
      <c r="F1582" s="8">
        <v>1</v>
      </c>
      <c r="G1582" s="7">
        <f>3*INDEX([1]equip.xml!$I:$I,MATCH(D1582,[1]equip.xml!$A:$A,0))</f>
        <v>528000</v>
      </c>
      <c r="H1582" s="8" t="str">
        <f t="shared" ref="H1582:J1582" si="2476">H1494</f>
        <v>10_10,50_20,80_30</v>
      </c>
      <c r="I1582" s="8">
        <f t="shared" si="2476"/>
        <v>1</v>
      </c>
      <c r="J1582" s="8">
        <f t="shared" si="2476"/>
        <v>240</v>
      </c>
      <c r="K1582" s="7" t="s">
        <v>312</v>
      </c>
      <c r="L1582" s="8">
        <v>56</v>
      </c>
      <c r="M1582" s="7">
        <f>IF(INDEX([1]equip.xml!$B:$B,MATCH(D1582,[1]equip.xml!$A:$A,0))=0,0,N1582)</f>
        <v>70</v>
      </c>
      <c r="N1582" s="8">
        <v>70</v>
      </c>
    </row>
    <row r="1583" spans="1:14">
      <c r="A1583" s="8">
        <f t="shared" ref="A1583:A1646" si="2477">A1495+1</f>
        <v>10022</v>
      </c>
      <c r="B1583" s="8">
        <f t="shared" ref="B1583:C1583" si="2478">B1495</f>
        <v>40000</v>
      </c>
      <c r="C1583" s="8" t="str">
        <f t="shared" si="2478"/>
        <v>装备</v>
      </c>
      <c r="D1583" s="7">
        <f t="shared" si="2453"/>
        <v>50852066</v>
      </c>
      <c r="E1583" s="8"/>
      <c r="F1583" s="8">
        <v>1</v>
      </c>
      <c r="G1583" s="7">
        <f>3*INDEX([1]equip.xml!$I:$I,MATCH(D1583,[1]equip.xml!$A:$A,0))</f>
        <v>546000</v>
      </c>
      <c r="H1583" s="8" t="str">
        <f t="shared" ref="H1583:J1583" si="2479">H1495</f>
        <v>10_10,50_20,80_30</v>
      </c>
      <c r="I1583" s="8">
        <f t="shared" si="2479"/>
        <v>1</v>
      </c>
      <c r="J1583" s="8">
        <f t="shared" si="2479"/>
        <v>240</v>
      </c>
      <c r="K1583" s="7" t="s">
        <v>312</v>
      </c>
      <c r="L1583" s="8">
        <v>56</v>
      </c>
      <c r="M1583" s="7">
        <f>IF(INDEX([1]equip.xml!$B:$B,MATCH(D1583,[1]equip.xml!$A:$A,0))=0,0,N1583)</f>
        <v>70</v>
      </c>
      <c r="N1583" s="8">
        <v>70</v>
      </c>
    </row>
    <row r="1584" spans="1:14">
      <c r="A1584" s="8">
        <f t="shared" si="2477"/>
        <v>10022</v>
      </c>
      <c r="B1584" s="8">
        <f t="shared" ref="B1584:C1584" si="2480">B1496</f>
        <v>40000</v>
      </c>
      <c r="C1584" s="8" t="str">
        <f t="shared" si="2480"/>
        <v>装备</v>
      </c>
      <c r="D1584" s="7">
        <f t="shared" si="2453"/>
        <v>50853055</v>
      </c>
      <c r="E1584" s="8"/>
      <c r="F1584" s="8">
        <v>1</v>
      </c>
      <c r="G1584" s="7">
        <f>3*INDEX([1]equip.xml!$I:$I,MATCH(D1584,[1]equip.xml!$A:$A,0))</f>
        <v>528000</v>
      </c>
      <c r="H1584" s="8" t="str">
        <f t="shared" ref="H1584:J1584" si="2481">H1496</f>
        <v>10_10,50_20,80_30</v>
      </c>
      <c r="I1584" s="8">
        <f t="shared" si="2481"/>
        <v>1</v>
      </c>
      <c r="J1584" s="8">
        <f t="shared" si="2481"/>
        <v>240</v>
      </c>
      <c r="K1584" s="7" t="s">
        <v>312</v>
      </c>
      <c r="L1584" s="8">
        <v>56</v>
      </c>
      <c r="M1584" s="7">
        <f>IF(INDEX([1]equip.xml!$B:$B,MATCH(D1584,[1]equip.xml!$A:$A,0))=0,0,N1584)</f>
        <v>70</v>
      </c>
      <c r="N1584" s="8">
        <v>70</v>
      </c>
    </row>
    <row r="1585" spans="1:14">
      <c r="A1585" s="8">
        <f t="shared" si="2477"/>
        <v>10022</v>
      </c>
      <c r="B1585" s="8">
        <f t="shared" ref="B1585:C1585" si="2482">B1497</f>
        <v>40000</v>
      </c>
      <c r="C1585" s="8" t="str">
        <f t="shared" si="2482"/>
        <v>装备</v>
      </c>
      <c r="D1585" s="7">
        <f t="shared" si="2453"/>
        <v>50853056</v>
      </c>
      <c r="E1585" s="8"/>
      <c r="F1585" s="8">
        <v>1</v>
      </c>
      <c r="G1585" s="7">
        <f>3*INDEX([1]equip.xml!$I:$I,MATCH(D1585,[1]equip.xml!$A:$A,0))</f>
        <v>546000</v>
      </c>
      <c r="H1585" s="8" t="str">
        <f t="shared" ref="H1585:J1585" si="2483">H1497</f>
        <v>10_10,50_20,80_30</v>
      </c>
      <c r="I1585" s="8">
        <f t="shared" si="2483"/>
        <v>1</v>
      </c>
      <c r="J1585" s="8">
        <f t="shared" si="2483"/>
        <v>240</v>
      </c>
      <c r="K1585" s="7" t="s">
        <v>312</v>
      </c>
      <c r="L1585" s="8">
        <v>56</v>
      </c>
      <c r="M1585" s="7">
        <f>IF(INDEX([1]equip.xml!$B:$B,MATCH(D1585,[1]equip.xml!$A:$A,0))=0,0,N1585)</f>
        <v>70</v>
      </c>
      <c r="N1585" s="8">
        <v>70</v>
      </c>
    </row>
    <row r="1586" spans="1:14">
      <c r="A1586" s="8">
        <f t="shared" si="2477"/>
        <v>10022</v>
      </c>
      <c r="B1586" s="8">
        <f t="shared" ref="B1586:C1586" si="2484">B1498</f>
        <v>40000</v>
      </c>
      <c r="C1586" s="8" t="str">
        <f t="shared" si="2484"/>
        <v>装备</v>
      </c>
      <c r="D1586" s="7">
        <f t="shared" si="2453"/>
        <v>50853065</v>
      </c>
      <c r="E1586" s="8"/>
      <c r="F1586" s="8">
        <v>1</v>
      </c>
      <c r="G1586" s="7">
        <f>3*INDEX([1]equip.xml!$I:$I,MATCH(D1586,[1]equip.xml!$A:$A,0))</f>
        <v>528000</v>
      </c>
      <c r="H1586" s="8" t="str">
        <f t="shared" ref="H1586:J1586" si="2485">H1498</f>
        <v>10_10,50_20,80_30</v>
      </c>
      <c r="I1586" s="8">
        <f t="shared" si="2485"/>
        <v>1</v>
      </c>
      <c r="J1586" s="8">
        <f t="shared" si="2485"/>
        <v>240</v>
      </c>
      <c r="K1586" s="7" t="s">
        <v>312</v>
      </c>
      <c r="L1586" s="8">
        <v>56</v>
      </c>
      <c r="M1586" s="7">
        <f>IF(INDEX([1]equip.xml!$B:$B,MATCH(D1586,[1]equip.xml!$A:$A,0))=0,0,N1586)</f>
        <v>70</v>
      </c>
      <c r="N1586" s="8">
        <v>70</v>
      </c>
    </row>
    <row r="1587" spans="1:14">
      <c r="A1587" s="8">
        <f t="shared" si="2477"/>
        <v>10022</v>
      </c>
      <c r="B1587" s="8">
        <f t="shared" ref="B1587:C1587" si="2486">B1499</f>
        <v>40000</v>
      </c>
      <c r="C1587" s="8" t="str">
        <f t="shared" si="2486"/>
        <v>装备</v>
      </c>
      <c r="D1587" s="7">
        <f t="shared" si="2453"/>
        <v>50853066</v>
      </c>
      <c r="E1587" s="8"/>
      <c r="F1587" s="8">
        <v>1</v>
      </c>
      <c r="G1587" s="7">
        <f>3*INDEX([1]equip.xml!$I:$I,MATCH(D1587,[1]equip.xml!$A:$A,0))</f>
        <v>546000</v>
      </c>
      <c r="H1587" s="8" t="str">
        <f t="shared" ref="H1587:J1587" si="2487">H1499</f>
        <v>10_10,50_20,80_30</v>
      </c>
      <c r="I1587" s="8">
        <f t="shared" si="2487"/>
        <v>1</v>
      </c>
      <c r="J1587" s="8">
        <f t="shared" si="2487"/>
        <v>240</v>
      </c>
      <c r="K1587" s="7" t="s">
        <v>312</v>
      </c>
      <c r="L1587" s="8">
        <v>56</v>
      </c>
      <c r="M1587" s="7">
        <f>IF(INDEX([1]equip.xml!$B:$B,MATCH(D1587,[1]equip.xml!$A:$A,0))=0,0,N1587)</f>
        <v>70</v>
      </c>
      <c r="N1587" s="8">
        <v>70</v>
      </c>
    </row>
    <row r="1588" spans="1:14">
      <c r="A1588" s="8">
        <f t="shared" si="2477"/>
        <v>10022</v>
      </c>
      <c r="B1588" s="8">
        <f t="shared" ref="B1588:C1588" si="2488">B1500</f>
        <v>40000</v>
      </c>
      <c r="C1588" s="8" t="str">
        <f t="shared" si="2488"/>
        <v>装备</v>
      </c>
      <c r="D1588" s="7">
        <f t="shared" si="2453"/>
        <v>50850045</v>
      </c>
      <c r="E1588" s="8"/>
      <c r="F1588" s="8">
        <v>1</v>
      </c>
      <c r="G1588" s="7">
        <f>3*INDEX([1]equip.xml!$I:$I,MATCH(D1588,[1]equip.xml!$A:$A,0))</f>
        <v>528000</v>
      </c>
      <c r="H1588" s="8" t="str">
        <f t="shared" ref="H1588:J1588" si="2489">H1500</f>
        <v>10_10,50_20,80_30</v>
      </c>
      <c r="I1588" s="8">
        <f t="shared" si="2489"/>
        <v>1</v>
      </c>
      <c r="J1588" s="8">
        <f t="shared" si="2489"/>
        <v>240</v>
      </c>
      <c r="K1588" s="7" t="s">
        <v>312</v>
      </c>
      <c r="L1588" s="8">
        <v>56</v>
      </c>
      <c r="M1588" s="7">
        <f>IF(INDEX([1]equip.xml!$B:$B,MATCH(D1588,[1]equip.xml!$A:$A,0))=0,0,N1588)</f>
        <v>70</v>
      </c>
      <c r="N1588" s="8">
        <v>70</v>
      </c>
    </row>
    <row r="1589" spans="1:14">
      <c r="A1589" s="8">
        <f t="shared" si="2477"/>
        <v>10022</v>
      </c>
      <c r="B1589" s="8">
        <f t="shared" ref="B1589:C1589" si="2490">B1501</f>
        <v>40000</v>
      </c>
      <c r="C1589" s="8" t="str">
        <f t="shared" si="2490"/>
        <v>装备</v>
      </c>
      <c r="D1589" s="7">
        <f t="shared" si="2453"/>
        <v>50850046</v>
      </c>
      <c r="E1589" s="8"/>
      <c r="F1589" s="8">
        <v>1</v>
      </c>
      <c r="G1589" s="7">
        <f>3*INDEX([1]equip.xml!$I:$I,MATCH(D1589,[1]equip.xml!$A:$A,0))</f>
        <v>546000</v>
      </c>
      <c r="H1589" s="8" t="str">
        <f t="shared" ref="H1589:J1589" si="2491">H1501</f>
        <v>10_10,50_20,80_30</v>
      </c>
      <c r="I1589" s="8">
        <f t="shared" si="2491"/>
        <v>1</v>
      </c>
      <c r="J1589" s="8">
        <f t="shared" si="2491"/>
        <v>240</v>
      </c>
      <c r="K1589" s="7" t="s">
        <v>312</v>
      </c>
      <c r="L1589" s="8">
        <v>56</v>
      </c>
      <c r="M1589" s="7">
        <f>IF(INDEX([1]equip.xml!$B:$B,MATCH(D1589,[1]equip.xml!$A:$A,0))=0,0,N1589)</f>
        <v>70</v>
      </c>
      <c r="N1589" s="8">
        <v>70</v>
      </c>
    </row>
    <row r="1590" spans="1:14">
      <c r="A1590" s="8">
        <f t="shared" si="2477"/>
        <v>10022</v>
      </c>
      <c r="B1590" s="8">
        <f t="shared" ref="B1590:C1590" si="2492">B1502</f>
        <v>40000</v>
      </c>
      <c r="C1590" s="8" t="str">
        <f t="shared" si="2492"/>
        <v>装备</v>
      </c>
      <c r="D1590" s="7">
        <f t="shared" si="2453"/>
        <v>50850075</v>
      </c>
      <c r="E1590" s="8"/>
      <c r="F1590" s="8">
        <v>1</v>
      </c>
      <c r="G1590" s="7">
        <f>3*INDEX([1]equip.xml!$I:$I,MATCH(D1590,[1]equip.xml!$A:$A,0))</f>
        <v>528000</v>
      </c>
      <c r="H1590" s="8" t="str">
        <f t="shared" ref="H1590:J1590" si="2493">H1502</f>
        <v>10_10,50_20,80_30</v>
      </c>
      <c r="I1590" s="8">
        <f t="shared" si="2493"/>
        <v>1</v>
      </c>
      <c r="J1590" s="8">
        <f t="shared" si="2493"/>
        <v>240</v>
      </c>
      <c r="K1590" s="7" t="s">
        <v>312</v>
      </c>
      <c r="L1590" s="8">
        <v>56</v>
      </c>
      <c r="M1590" s="7">
        <f>IF(INDEX([1]equip.xml!$B:$B,MATCH(D1590,[1]equip.xml!$A:$A,0))=0,0,N1590)</f>
        <v>70</v>
      </c>
      <c r="N1590" s="8">
        <v>70</v>
      </c>
    </row>
    <row r="1591" spans="1:14">
      <c r="A1591" s="8">
        <f t="shared" si="2477"/>
        <v>10022</v>
      </c>
      <c r="B1591" s="8">
        <f t="shared" ref="B1591:C1591" si="2494">B1503</f>
        <v>40000</v>
      </c>
      <c r="C1591" s="8" t="str">
        <f t="shared" si="2494"/>
        <v>装备</v>
      </c>
      <c r="D1591" s="7">
        <f t="shared" si="2453"/>
        <v>50850076</v>
      </c>
      <c r="E1591" s="8"/>
      <c r="F1591" s="8">
        <v>1</v>
      </c>
      <c r="G1591" s="7">
        <f>3*INDEX([1]equip.xml!$I:$I,MATCH(D1591,[1]equip.xml!$A:$A,0))</f>
        <v>546000</v>
      </c>
      <c r="H1591" s="8" t="str">
        <f t="shared" ref="H1591:J1591" si="2495">H1503</f>
        <v>10_10,50_20,80_30</v>
      </c>
      <c r="I1591" s="8">
        <f t="shared" si="2495"/>
        <v>1</v>
      </c>
      <c r="J1591" s="8">
        <f t="shared" si="2495"/>
        <v>240</v>
      </c>
      <c r="K1591" s="7" t="s">
        <v>312</v>
      </c>
      <c r="L1591" s="8">
        <v>56</v>
      </c>
      <c r="M1591" s="7">
        <f>IF(INDEX([1]equip.xml!$B:$B,MATCH(D1591,[1]equip.xml!$A:$A,0))=0,0,N1591)</f>
        <v>70</v>
      </c>
      <c r="N1591" s="8">
        <v>70</v>
      </c>
    </row>
    <row r="1592" spans="1:14">
      <c r="A1592" s="8">
        <f t="shared" si="2477"/>
        <v>10022</v>
      </c>
      <c r="B1592" s="8">
        <f t="shared" ref="B1592:C1592" si="2496">B1504</f>
        <v>40000</v>
      </c>
      <c r="C1592" s="8" t="str">
        <f t="shared" si="2496"/>
        <v>装备</v>
      </c>
      <c r="D1592" s="7">
        <f t="shared" si="2453"/>
        <v>50900015</v>
      </c>
      <c r="E1592" s="8"/>
      <c r="F1592" s="8">
        <v>1</v>
      </c>
      <c r="G1592" s="7">
        <f>3*INDEX([1]equip.xml!$I:$I,MATCH(D1592,[1]equip.xml!$A:$A,0))</f>
        <v>564000</v>
      </c>
      <c r="H1592" s="8" t="str">
        <f t="shared" ref="H1592:J1592" si="2497">H1504</f>
        <v>10_10,50_20,80_30</v>
      </c>
      <c r="I1592" s="8">
        <f t="shared" si="2497"/>
        <v>1</v>
      </c>
      <c r="J1592" s="8">
        <f t="shared" si="2497"/>
        <v>240</v>
      </c>
      <c r="K1592" s="7" t="s">
        <v>312</v>
      </c>
      <c r="L1592" s="8">
        <v>56</v>
      </c>
      <c r="M1592" s="7">
        <f>IF(INDEX([1]equip.xml!$B:$B,MATCH(D1592,[1]equip.xml!$A:$A,0))=0,0,N1592)</f>
        <v>2</v>
      </c>
      <c r="N1592" s="8">
        <v>2</v>
      </c>
    </row>
    <row r="1593" spans="1:14">
      <c r="A1593" s="8">
        <f t="shared" si="2477"/>
        <v>10022</v>
      </c>
      <c r="B1593" s="8">
        <f t="shared" ref="B1593:C1593" si="2498">B1505</f>
        <v>40000</v>
      </c>
      <c r="C1593" s="8" t="str">
        <f t="shared" si="2498"/>
        <v>装备</v>
      </c>
      <c r="D1593" s="7">
        <f t="shared" si="2453"/>
        <v>50900025</v>
      </c>
      <c r="E1593" s="8"/>
      <c r="F1593" s="8">
        <v>1</v>
      </c>
      <c r="G1593" s="7">
        <f>3*INDEX([1]equip.xml!$I:$I,MATCH(D1593,[1]equip.xml!$A:$A,0))</f>
        <v>564000</v>
      </c>
      <c r="H1593" s="8" t="str">
        <f t="shared" ref="H1593:J1593" si="2499">H1505</f>
        <v>10_10,50_20,80_30</v>
      </c>
      <c r="I1593" s="8">
        <f t="shared" si="2499"/>
        <v>1</v>
      </c>
      <c r="J1593" s="8">
        <f t="shared" si="2499"/>
        <v>240</v>
      </c>
      <c r="K1593" s="7" t="s">
        <v>312</v>
      </c>
      <c r="L1593" s="8">
        <v>56</v>
      </c>
      <c r="M1593" s="7">
        <f>IF(INDEX([1]equip.xml!$B:$B,MATCH(D1593,[1]equip.xml!$A:$A,0))=0,0,N1593)</f>
        <v>2</v>
      </c>
      <c r="N1593" s="8">
        <v>2</v>
      </c>
    </row>
    <row r="1594" spans="1:14">
      <c r="A1594" s="8">
        <f t="shared" si="2477"/>
        <v>10022</v>
      </c>
      <c r="B1594" s="8">
        <f t="shared" ref="B1594:C1594" si="2500">B1506</f>
        <v>40000</v>
      </c>
      <c r="C1594" s="8" t="str">
        <f t="shared" si="2500"/>
        <v>装备</v>
      </c>
      <c r="D1594" s="7">
        <f t="shared" si="2453"/>
        <v>50900035</v>
      </c>
      <c r="E1594" s="8"/>
      <c r="F1594" s="8">
        <v>1</v>
      </c>
      <c r="G1594" s="7">
        <f>3*INDEX([1]equip.xml!$I:$I,MATCH(D1594,[1]equip.xml!$A:$A,0))</f>
        <v>564000</v>
      </c>
      <c r="H1594" s="8" t="str">
        <f t="shared" ref="H1594:J1594" si="2501">H1506</f>
        <v>10_10,50_20,80_30</v>
      </c>
      <c r="I1594" s="8">
        <f t="shared" si="2501"/>
        <v>1</v>
      </c>
      <c r="J1594" s="8">
        <f t="shared" si="2501"/>
        <v>240</v>
      </c>
      <c r="K1594" s="7" t="s">
        <v>312</v>
      </c>
      <c r="L1594" s="8">
        <v>56</v>
      </c>
      <c r="M1594" s="7">
        <f>IF(INDEX([1]equip.xml!$B:$B,MATCH(D1594,[1]equip.xml!$A:$A,0))=0,0,N1594)</f>
        <v>2</v>
      </c>
      <c r="N1594" s="8">
        <v>2</v>
      </c>
    </row>
    <row r="1595" spans="1:14">
      <c r="A1595" s="8">
        <f t="shared" si="2477"/>
        <v>10022</v>
      </c>
      <c r="B1595" s="8">
        <f t="shared" ref="B1595:C1595" si="2502">B1507</f>
        <v>40000</v>
      </c>
      <c r="C1595" s="8" t="str">
        <f t="shared" si="2502"/>
        <v>装备</v>
      </c>
      <c r="D1595" s="7">
        <f t="shared" si="2453"/>
        <v>50900085</v>
      </c>
      <c r="E1595" s="8"/>
      <c r="F1595" s="8">
        <v>1</v>
      </c>
      <c r="G1595" s="7">
        <f>3*INDEX([1]equip.xml!$I:$I,MATCH(D1595,[1]equip.xml!$A:$A,0))</f>
        <v>564000</v>
      </c>
      <c r="H1595" s="8" t="str">
        <f t="shared" ref="H1595:J1595" si="2503">H1507</f>
        <v>10_10,50_20,80_30</v>
      </c>
      <c r="I1595" s="8">
        <f t="shared" si="2503"/>
        <v>1</v>
      </c>
      <c r="J1595" s="8">
        <f t="shared" si="2503"/>
        <v>240</v>
      </c>
      <c r="K1595" s="7" t="s">
        <v>312</v>
      </c>
      <c r="L1595" s="8">
        <v>56</v>
      </c>
      <c r="M1595" s="7">
        <f>IF(INDEX([1]equip.xml!$B:$B,MATCH(D1595,[1]equip.xml!$A:$A,0))=0,0,N1595)</f>
        <v>2</v>
      </c>
      <c r="N1595" s="8">
        <v>2</v>
      </c>
    </row>
    <row r="1596" spans="1:14">
      <c r="A1596" s="8">
        <f t="shared" si="2477"/>
        <v>10022</v>
      </c>
      <c r="B1596" s="8">
        <f t="shared" ref="B1596:C1596" si="2504">B1508</f>
        <v>40000</v>
      </c>
      <c r="C1596" s="8" t="str">
        <f t="shared" si="2504"/>
        <v>装备</v>
      </c>
      <c r="D1596" s="7">
        <f t="shared" si="2453"/>
        <v>50900095</v>
      </c>
      <c r="E1596" s="8"/>
      <c r="F1596" s="8">
        <v>1</v>
      </c>
      <c r="G1596" s="7">
        <f>3*INDEX([1]equip.xml!$I:$I,MATCH(D1596,[1]equip.xml!$A:$A,0))</f>
        <v>564000</v>
      </c>
      <c r="H1596" s="8" t="str">
        <f t="shared" ref="H1596:J1596" si="2505">H1508</f>
        <v>10_10,50_20,80_30</v>
      </c>
      <c r="I1596" s="8">
        <f t="shared" si="2505"/>
        <v>1</v>
      </c>
      <c r="J1596" s="8">
        <f t="shared" si="2505"/>
        <v>240</v>
      </c>
      <c r="K1596" s="7" t="s">
        <v>312</v>
      </c>
      <c r="L1596" s="8">
        <v>56</v>
      </c>
      <c r="M1596" s="7">
        <f>IF(INDEX([1]equip.xml!$B:$B,MATCH(D1596,[1]equip.xml!$A:$A,0))=0,0,N1596)</f>
        <v>2</v>
      </c>
      <c r="N1596" s="8">
        <v>2</v>
      </c>
    </row>
    <row r="1597" spans="1:14">
      <c r="A1597" s="8">
        <f t="shared" si="2477"/>
        <v>10022</v>
      </c>
      <c r="B1597" s="8">
        <f t="shared" ref="B1597:C1597" si="2506">B1509</f>
        <v>40000</v>
      </c>
      <c r="C1597" s="8" t="str">
        <f t="shared" si="2506"/>
        <v>装备</v>
      </c>
      <c r="D1597" s="7">
        <f t="shared" si="2453"/>
        <v>50900105</v>
      </c>
      <c r="E1597" s="8"/>
      <c r="F1597" s="8">
        <v>1</v>
      </c>
      <c r="G1597" s="7">
        <f>3*INDEX([1]equip.xml!$I:$I,MATCH(D1597,[1]equip.xml!$A:$A,0))</f>
        <v>564000</v>
      </c>
      <c r="H1597" s="8" t="str">
        <f t="shared" ref="H1597:J1597" si="2507">H1509</f>
        <v>10_10,50_20,80_30</v>
      </c>
      <c r="I1597" s="8">
        <f t="shared" si="2507"/>
        <v>1</v>
      </c>
      <c r="J1597" s="8">
        <f t="shared" si="2507"/>
        <v>240</v>
      </c>
      <c r="K1597" s="7" t="s">
        <v>312</v>
      </c>
      <c r="L1597" s="8">
        <v>56</v>
      </c>
      <c r="M1597" s="7">
        <f>IF(INDEX([1]equip.xml!$B:$B,MATCH(D1597,[1]equip.xml!$A:$A,0))=0,0,N1597)</f>
        <v>2</v>
      </c>
      <c r="N1597" s="8">
        <v>2</v>
      </c>
    </row>
    <row r="1598" spans="1:14">
      <c r="A1598" s="8">
        <f t="shared" si="2477"/>
        <v>10022</v>
      </c>
      <c r="B1598" s="8">
        <f t="shared" ref="B1598:C1598" si="2508">B1510</f>
        <v>40000</v>
      </c>
      <c r="C1598" s="8" t="str">
        <f t="shared" si="2508"/>
        <v>装备</v>
      </c>
      <c r="D1598" s="7">
        <f t="shared" si="2453"/>
        <v>50901055</v>
      </c>
      <c r="E1598" s="8"/>
      <c r="F1598" s="8">
        <v>1</v>
      </c>
      <c r="G1598" s="7">
        <f>3*INDEX([1]equip.xml!$I:$I,MATCH(D1598,[1]equip.xml!$A:$A,0))</f>
        <v>564000</v>
      </c>
      <c r="H1598" s="8" t="str">
        <f t="shared" ref="H1598:J1598" si="2509">H1510</f>
        <v>10_10,50_20,80_30</v>
      </c>
      <c r="I1598" s="8">
        <f t="shared" si="2509"/>
        <v>1</v>
      </c>
      <c r="J1598" s="8">
        <f t="shared" si="2509"/>
        <v>240</v>
      </c>
      <c r="K1598" s="7" t="s">
        <v>312</v>
      </c>
      <c r="L1598" s="8">
        <v>56</v>
      </c>
      <c r="M1598" s="7">
        <f>IF(INDEX([1]equip.xml!$B:$B,MATCH(D1598,[1]equip.xml!$A:$A,0))=0,0,N1598)</f>
        <v>2</v>
      </c>
      <c r="N1598" s="8">
        <v>2</v>
      </c>
    </row>
    <row r="1599" spans="1:14">
      <c r="A1599" s="8">
        <f t="shared" si="2477"/>
        <v>10022</v>
      </c>
      <c r="B1599" s="8">
        <f t="shared" ref="B1599:C1599" si="2510">B1511</f>
        <v>40000</v>
      </c>
      <c r="C1599" s="8" t="str">
        <f t="shared" si="2510"/>
        <v>装备</v>
      </c>
      <c r="D1599" s="7">
        <f t="shared" si="2453"/>
        <v>50901056</v>
      </c>
      <c r="E1599" s="8"/>
      <c r="F1599" s="8">
        <v>1</v>
      </c>
      <c r="G1599" s="7">
        <f>3*INDEX([1]equip.xml!$I:$I,MATCH(D1599,[1]equip.xml!$A:$A,0))</f>
        <v>582000</v>
      </c>
      <c r="H1599" s="8" t="str">
        <f t="shared" ref="H1599:J1599" si="2511">H1511</f>
        <v>10_10,50_20,80_30</v>
      </c>
      <c r="I1599" s="8">
        <f t="shared" si="2511"/>
        <v>1</v>
      </c>
      <c r="J1599" s="8">
        <f t="shared" si="2511"/>
        <v>240</v>
      </c>
      <c r="K1599" s="7" t="s">
        <v>312</v>
      </c>
      <c r="L1599" s="8">
        <v>56</v>
      </c>
      <c r="M1599" s="7">
        <f>IF(INDEX([1]equip.xml!$B:$B,MATCH(D1599,[1]equip.xml!$A:$A,0))=0,0,N1599)</f>
        <v>2</v>
      </c>
      <c r="N1599" s="8">
        <v>2</v>
      </c>
    </row>
    <row r="1600" spans="1:14">
      <c r="A1600" s="8">
        <f t="shared" si="2477"/>
        <v>10022</v>
      </c>
      <c r="B1600" s="8">
        <f t="shared" ref="B1600:C1600" si="2512">B1512</f>
        <v>40000</v>
      </c>
      <c r="C1600" s="8" t="str">
        <f t="shared" si="2512"/>
        <v>装备</v>
      </c>
      <c r="D1600" s="7">
        <f t="shared" si="2453"/>
        <v>50901065</v>
      </c>
      <c r="E1600" s="8"/>
      <c r="F1600" s="8">
        <v>1</v>
      </c>
      <c r="G1600" s="7">
        <f>3*INDEX([1]equip.xml!$I:$I,MATCH(D1600,[1]equip.xml!$A:$A,0))</f>
        <v>564000</v>
      </c>
      <c r="H1600" s="8" t="str">
        <f t="shared" ref="H1600:J1600" si="2513">H1512</f>
        <v>10_10,50_20,80_30</v>
      </c>
      <c r="I1600" s="8">
        <f t="shared" si="2513"/>
        <v>1</v>
      </c>
      <c r="J1600" s="8">
        <f t="shared" si="2513"/>
        <v>240</v>
      </c>
      <c r="K1600" s="7" t="s">
        <v>312</v>
      </c>
      <c r="L1600" s="8">
        <v>56</v>
      </c>
      <c r="M1600" s="7">
        <f>IF(INDEX([1]equip.xml!$B:$B,MATCH(D1600,[1]equip.xml!$A:$A,0))=0,0,N1600)</f>
        <v>2</v>
      </c>
      <c r="N1600" s="8">
        <v>2</v>
      </c>
    </row>
    <row r="1601" spans="1:14">
      <c r="A1601" s="8">
        <f t="shared" si="2477"/>
        <v>10022</v>
      </c>
      <c r="B1601" s="8">
        <f t="shared" ref="B1601:C1601" si="2514">B1513</f>
        <v>40000</v>
      </c>
      <c r="C1601" s="8" t="str">
        <f t="shared" si="2514"/>
        <v>装备</v>
      </c>
      <c r="D1601" s="7">
        <f t="shared" si="2453"/>
        <v>50901066</v>
      </c>
      <c r="E1601" s="8"/>
      <c r="F1601" s="8">
        <v>1</v>
      </c>
      <c r="G1601" s="7">
        <f>3*INDEX([1]equip.xml!$I:$I,MATCH(D1601,[1]equip.xml!$A:$A,0))</f>
        <v>582000</v>
      </c>
      <c r="H1601" s="8" t="str">
        <f t="shared" ref="H1601:J1601" si="2515">H1513</f>
        <v>10_10,50_20,80_30</v>
      </c>
      <c r="I1601" s="8">
        <f t="shared" si="2515"/>
        <v>1</v>
      </c>
      <c r="J1601" s="8">
        <f t="shared" si="2515"/>
        <v>240</v>
      </c>
      <c r="K1601" s="7" t="s">
        <v>312</v>
      </c>
      <c r="L1601" s="8">
        <v>56</v>
      </c>
      <c r="M1601" s="7">
        <f>IF(INDEX([1]equip.xml!$B:$B,MATCH(D1601,[1]equip.xml!$A:$A,0))=0,0,N1601)</f>
        <v>2</v>
      </c>
      <c r="N1601" s="8">
        <v>2</v>
      </c>
    </row>
    <row r="1602" spans="1:14">
      <c r="A1602" s="8">
        <f t="shared" si="2477"/>
        <v>10022</v>
      </c>
      <c r="B1602" s="8">
        <f t="shared" ref="B1602:C1602" si="2516">B1514</f>
        <v>40000</v>
      </c>
      <c r="C1602" s="8" t="str">
        <f t="shared" si="2516"/>
        <v>装备</v>
      </c>
      <c r="D1602" s="7">
        <f t="shared" si="2453"/>
        <v>50902055</v>
      </c>
      <c r="E1602" s="8"/>
      <c r="F1602" s="8">
        <v>1</v>
      </c>
      <c r="G1602" s="7">
        <f>3*INDEX([1]equip.xml!$I:$I,MATCH(D1602,[1]equip.xml!$A:$A,0))</f>
        <v>564000</v>
      </c>
      <c r="H1602" s="8" t="str">
        <f t="shared" ref="H1602:J1602" si="2517">H1514</f>
        <v>10_10,50_20,80_30</v>
      </c>
      <c r="I1602" s="8">
        <f t="shared" si="2517"/>
        <v>1</v>
      </c>
      <c r="J1602" s="8">
        <f t="shared" si="2517"/>
        <v>240</v>
      </c>
      <c r="K1602" s="7" t="s">
        <v>312</v>
      </c>
      <c r="L1602" s="8">
        <v>56</v>
      </c>
      <c r="M1602" s="7">
        <f>IF(INDEX([1]equip.xml!$B:$B,MATCH(D1602,[1]equip.xml!$A:$A,0))=0,0,N1602)</f>
        <v>2</v>
      </c>
      <c r="N1602" s="8">
        <v>2</v>
      </c>
    </row>
    <row r="1603" spans="1:14">
      <c r="A1603" s="8">
        <f t="shared" si="2477"/>
        <v>10022</v>
      </c>
      <c r="B1603" s="8">
        <f t="shared" ref="B1603:C1603" si="2518">B1515</f>
        <v>40000</v>
      </c>
      <c r="C1603" s="8" t="str">
        <f t="shared" si="2518"/>
        <v>装备</v>
      </c>
      <c r="D1603" s="7">
        <f t="shared" si="2453"/>
        <v>50902056</v>
      </c>
      <c r="E1603" s="8"/>
      <c r="F1603" s="8">
        <v>1</v>
      </c>
      <c r="G1603" s="7">
        <f>3*INDEX([1]equip.xml!$I:$I,MATCH(D1603,[1]equip.xml!$A:$A,0))</f>
        <v>582000</v>
      </c>
      <c r="H1603" s="8" t="str">
        <f t="shared" ref="H1603:J1603" si="2519">H1515</f>
        <v>10_10,50_20,80_30</v>
      </c>
      <c r="I1603" s="8">
        <f t="shared" si="2519"/>
        <v>1</v>
      </c>
      <c r="J1603" s="8">
        <f t="shared" si="2519"/>
        <v>240</v>
      </c>
      <c r="K1603" s="7" t="s">
        <v>312</v>
      </c>
      <c r="L1603" s="8">
        <v>56</v>
      </c>
      <c r="M1603" s="7">
        <f>IF(INDEX([1]equip.xml!$B:$B,MATCH(D1603,[1]equip.xml!$A:$A,0))=0,0,N1603)</f>
        <v>2</v>
      </c>
      <c r="N1603" s="8">
        <v>2</v>
      </c>
    </row>
    <row r="1604" spans="1:14">
      <c r="A1604" s="8">
        <f t="shared" si="2477"/>
        <v>10022</v>
      </c>
      <c r="B1604" s="8">
        <f t="shared" ref="B1604:C1604" si="2520">B1516</f>
        <v>40000</v>
      </c>
      <c r="C1604" s="8" t="str">
        <f t="shared" si="2520"/>
        <v>装备</v>
      </c>
      <c r="D1604" s="7">
        <f t="shared" si="2453"/>
        <v>50902065</v>
      </c>
      <c r="E1604" s="8"/>
      <c r="F1604" s="8">
        <v>1</v>
      </c>
      <c r="G1604" s="7">
        <f>3*INDEX([1]equip.xml!$I:$I,MATCH(D1604,[1]equip.xml!$A:$A,0))</f>
        <v>564000</v>
      </c>
      <c r="H1604" s="8" t="str">
        <f t="shared" ref="H1604:J1604" si="2521">H1516</f>
        <v>10_10,50_20,80_30</v>
      </c>
      <c r="I1604" s="8">
        <f t="shared" si="2521"/>
        <v>1</v>
      </c>
      <c r="J1604" s="8">
        <f t="shared" si="2521"/>
        <v>240</v>
      </c>
      <c r="K1604" s="7" t="s">
        <v>312</v>
      </c>
      <c r="L1604" s="8">
        <v>56</v>
      </c>
      <c r="M1604" s="7">
        <f>IF(INDEX([1]equip.xml!$B:$B,MATCH(D1604,[1]equip.xml!$A:$A,0))=0,0,N1604)</f>
        <v>2</v>
      </c>
      <c r="N1604" s="8">
        <v>2</v>
      </c>
    </row>
    <row r="1605" spans="1:14">
      <c r="A1605" s="8">
        <f t="shared" si="2477"/>
        <v>10022</v>
      </c>
      <c r="B1605" s="8">
        <f t="shared" ref="B1605:C1605" si="2522">B1517</f>
        <v>40000</v>
      </c>
      <c r="C1605" s="8" t="str">
        <f t="shared" si="2522"/>
        <v>装备</v>
      </c>
      <c r="D1605" s="7">
        <f t="shared" si="2453"/>
        <v>50902066</v>
      </c>
      <c r="E1605" s="8"/>
      <c r="F1605" s="8">
        <v>1</v>
      </c>
      <c r="G1605" s="7">
        <f>3*INDEX([1]equip.xml!$I:$I,MATCH(D1605,[1]equip.xml!$A:$A,0))</f>
        <v>582000</v>
      </c>
      <c r="H1605" s="8" t="str">
        <f t="shared" ref="H1605:J1605" si="2523">H1517</f>
        <v>10_10,50_20,80_30</v>
      </c>
      <c r="I1605" s="8">
        <f t="shared" si="2523"/>
        <v>1</v>
      </c>
      <c r="J1605" s="8">
        <f t="shared" si="2523"/>
        <v>240</v>
      </c>
      <c r="K1605" s="7" t="s">
        <v>312</v>
      </c>
      <c r="L1605" s="8">
        <v>56</v>
      </c>
      <c r="M1605" s="7">
        <f>IF(INDEX([1]equip.xml!$B:$B,MATCH(D1605,[1]equip.xml!$A:$A,0))=0,0,N1605)</f>
        <v>2</v>
      </c>
      <c r="N1605" s="8">
        <v>2</v>
      </c>
    </row>
    <row r="1606" spans="1:14">
      <c r="A1606" s="8">
        <f t="shared" si="2477"/>
        <v>10022</v>
      </c>
      <c r="B1606" s="8">
        <f t="shared" ref="B1606:C1606" si="2524">B1518</f>
        <v>40000</v>
      </c>
      <c r="C1606" s="8" t="str">
        <f t="shared" si="2524"/>
        <v>装备</v>
      </c>
      <c r="D1606" s="7">
        <f t="shared" si="2453"/>
        <v>50903055</v>
      </c>
      <c r="E1606" s="8"/>
      <c r="F1606" s="8">
        <v>1</v>
      </c>
      <c r="G1606" s="7">
        <f>3*INDEX([1]equip.xml!$I:$I,MATCH(D1606,[1]equip.xml!$A:$A,0))</f>
        <v>564000</v>
      </c>
      <c r="H1606" s="8" t="str">
        <f t="shared" ref="H1606:J1606" si="2525">H1518</f>
        <v>10_10,50_20,80_30</v>
      </c>
      <c r="I1606" s="8">
        <f t="shared" si="2525"/>
        <v>1</v>
      </c>
      <c r="J1606" s="8">
        <f t="shared" si="2525"/>
        <v>240</v>
      </c>
      <c r="K1606" s="7" t="s">
        <v>312</v>
      </c>
      <c r="L1606" s="8">
        <v>56</v>
      </c>
      <c r="M1606" s="7">
        <f>IF(INDEX([1]equip.xml!$B:$B,MATCH(D1606,[1]equip.xml!$A:$A,0))=0,0,N1606)</f>
        <v>2</v>
      </c>
      <c r="N1606" s="8">
        <v>2</v>
      </c>
    </row>
    <row r="1607" spans="1:14">
      <c r="A1607" s="8">
        <f t="shared" si="2477"/>
        <v>10022</v>
      </c>
      <c r="B1607" s="8">
        <f t="shared" ref="B1607:C1607" si="2526">B1519</f>
        <v>40000</v>
      </c>
      <c r="C1607" s="8" t="str">
        <f t="shared" si="2526"/>
        <v>装备</v>
      </c>
      <c r="D1607" s="7">
        <f t="shared" si="2453"/>
        <v>50903056</v>
      </c>
      <c r="E1607" s="8"/>
      <c r="F1607" s="8">
        <v>1</v>
      </c>
      <c r="G1607" s="7">
        <f>3*INDEX([1]equip.xml!$I:$I,MATCH(D1607,[1]equip.xml!$A:$A,0))</f>
        <v>582000</v>
      </c>
      <c r="H1607" s="8" t="str">
        <f t="shared" ref="H1607:J1607" si="2527">H1519</f>
        <v>10_10,50_20,80_30</v>
      </c>
      <c r="I1607" s="8">
        <f t="shared" si="2527"/>
        <v>1</v>
      </c>
      <c r="J1607" s="8">
        <f t="shared" si="2527"/>
        <v>240</v>
      </c>
      <c r="K1607" s="7" t="s">
        <v>312</v>
      </c>
      <c r="L1607" s="8">
        <v>56</v>
      </c>
      <c r="M1607" s="7">
        <f>IF(INDEX([1]equip.xml!$B:$B,MATCH(D1607,[1]equip.xml!$A:$A,0))=0,0,N1607)</f>
        <v>2</v>
      </c>
      <c r="N1607" s="8">
        <v>2</v>
      </c>
    </row>
    <row r="1608" spans="1:14">
      <c r="A1608" s="8">
        <f t="shared" si="2477"/>
        <v>10022</v>
      </c>
      <c r="B1608" s="8">
        <f t="shared" ref="B1608:C1608" si="2528">B1520</f>
        <v>40000</v>
      </c>
      <c r="C1608" s="8" t="str">
        <f t="shared" si="2528"/>
        <v>装备</v>
      </c>
      <c r="D1608" s="7">
        <f t="shared" si="2453"/>
        <v>50903065</v>
      </c>
      <c r="E1608" s="8"/>
      <c r="F1608" s="8">
        <v>1</v>
      </c>
      <c r="G1608" s="7">
        <f>3*INDEX([1]equip.xml!$I:$I,MATCH(D1608,[1]equip.xml!$A:$A,0))</f>
        <v>564000</v>
      </c>
      <c r="H1608" s="8" t="str">
        <f t="shared" ref="H1608:J1608" si="2529">H1520</f>
        <v>10_10,50_20,80_30</v>
      </c>
      <c r="I1608" s="8">
        <f t="shared" si="2529"/>
        <v>1</v>
      </c>
      <c r="J1608" s="8">
        <f t="shared" si="2529"/>
        <v>240</v>
      </c>
      <c r="K1608" s="7" t="s">
        <v>312</v>
      </c>
      <c r="L1608" s="8">
        <v>56</v>
      </c>
      <c r="M1608" s="7">
        <f>IF(INDEX([1]equip.xml!$B:$B,MATCH(D1608,[1]equip.xml!$A:$A,0))=0,0,N1608)</f>
        <v>2</v>
      </c>
      <c r="N1608" s="8">
        <v>2</v>
      </c>
    </row>
    <row r="1609" spans="1:14">
      <c r="A1609" s="8">
        <f t="shared" si="2477"/>
        <v>10022</v>
      </c>
      <c r="B1609" s="8">
        <f t="shared" ref="B1609:C1609" si="2530">B1521</f>
        <v>40000</v>
      </c>
      <c r="C1609" s="8" t="str">
        <f t="shared" si="2530"/>
        <v>装备</v>
      </c>
      <c r="D1609" s="7">
        <f t="shared" si="2453"/>
        <v>50903066</v>
      </c>
      <c r="E1609" s="8"/>
      <c r="F1609" s="8">
        <v>1</v>
      </c>
      <c r="G1609" s="7">
        <f>3*INDEX([1]equip.xml!$I:$I,MATCH(D1609,[1]equip.xml!$A:$A,0))</f>
        <v>582000</v>
      </c>
      <c r="H1609" s="8" t="str">
        <f t="shared" ref="H1609:J1609" si="2531">H1521</f>
        <v>10_10,50_20,80_30</v>
      </c>
      <c r="I1609" s="8">
        <f t="shared" si="2531"/>
        <v>1</v>
      </c>
      <c r="J1609" s="8">
        <f t="shared" si="2531"/>
        <v>240</v>
      </c>
      <c r="K1609" s="7" t="s">
        <v>312</v>
      </c>
      <c r="L1609" s="8">
        <v>56</v>
      </c>
      <c r="M1609" s="7">
        <f>IF(INDEX([1]equip.xml!$B:$B,MATCH(D1609,[1]equip.xml!$A:$A,0))=0,0,N1609)</f>
        <v>2</v>
      </c>
      <c r="N1609" s="8">
        <v>2</v>
      </c>
    </row>
    <row r="1610" spans="1:14">
      <c r="A1610" s="8">
        <f t="shared" si="2477"/>
        <v>10022</v>
      </c>
      <c r="B1610" s="8">
        <f t="shared" ref="B1610:C1610" si="2532">B1522</f>
        <v>40000</v>
      </c>
      <c r="C1610" s="8" t="str">
        <f t="shared" si="2532"/>
        <v>装备</v>
      </c>
      <c r="D1610" s="7">
        <f t="shared" si="2453"/>
        <v>50900045</v>
      </c>
      <c r="E1610" s="8"/>
      <c r="F1610" s="8">
        <v>1</v>
      </c>
      <c r="G1610" s="7">
        <f>3*INDEX([1]equip.xml!$I:$I,MATCH(D1610,[1]equip.xml!$A:$A,0))</f>
        <v>564000</v>
      </c>
      <c r="H1610" s="8" t="str">
        <f t="shared" ref="H1610:J1610" si="2533">H1522</f>
        <v>10_10,50_20,80_30</v>
      </c>
      <c r="I1610" s="8">
        <f t="shared" si="2533"/>
        <v>1</v>
      </c>
      <c r="J1610" s="8">
        <f t="shared" si="2533"/>
        <v>240</v>
      </c>
      <c r="K1610" s="7" t="s">
        <v>312</v>
      </c>
      <c r="L1610" s="8">
        <v>56</v>
      </c>
      <c r="M1610" s="7">
        <f>IF(INDEX([1]equip.xml!$B:$B,MATCH(D1610,[1]equip.xml!$A:$A,0))=0,0,N1610)</f>
        <v>2</v>
      </c>
      <c r="N1610" s="8">
        <v>2</v>
      </c>
    </row>
    <row r="1611" spans="1:14">
      <c r="A1611" s="8">
        <f t="shared" si="2477"/>
        <v>10022</v>
      </c>
      <c r="B1611" s="8">
        <f t="shared" ref="B1611:C1611" si="2534">B1523</f>
        <v>40000</v>
      </c>
      <c r="C1611" s="8" t="str">
        <f t="shared" si="2534"/>
        <v>装备</v>
      </c>
      <c r="D1611" s="7">
        <f t="shared" si="2453"/>
        <v>50900046</v>
      </c>
      <c r="E1611" s="8"/>
      <c r="F1611" s="8">
        <v>1</v>
      </c>
      <c r="G1611" s="7">
        <f>3*INDEX([1]equip.xml!$I:$I,MATCH(D1611,[1]equip.xml!$A:$A,0))</f>
        <v>582000</v>
      </c>
      <c r="H1611" s="8" t="str">
        <f t="shared" ref="H1611:J1611" si="2535">H1523</f>
        <v>10_10,50_20,80_30</v>
      </c>
      <c r="I1611" s="8">
        <f t="shared" si="2535"/>
        <v>1</v>
      </c>
      <c r="J1611" s="8">
        <f t="shared" si="2535"/>
        <v>240</v>
      </c>
      <c r="K1611" s="7" t="s">
        <v>312</v>
      </c>
      <c r="L1611" s="8">
        <v>56</v>
      </c>
      <c r="M1611" s="7">
        <f>IF(INDEX([1]equip.xml!$B:$B,MATCH(D1611,[1]equip.xml!$A:$A,0))=0,0,N1611)</f>
        <v>2</v>
      </c>
      <c r="N1611" s="8">
        <v>2</v>
      </c>
    </row>
    <row r="1612" spans="1:14">
      <c r="A1612" s="8">
        <f t="shared" si="2477"/>
        <v>10022</v>
      </c>
      <c r="B1612" s="8">
        <f t="shared" ref="B1612:C1612" si="2536">B1524</f>
        <v>40000</v>
      </c>
      <c r="C1612" s="8" t="str">
        <f t="shared" si="2536"/>
        <v>装备</v>
      </c>
      <c r="D1612" s="7">
        <f t="shared" si="2453"/>
        <v>50900075</v>
      </c>
      <c r="E1612" s="8"/>
      <c r="F1612" s="8">
        <v>1</v>
      </c>
      <c r="G1612" s="7">
        <f>3*INDEX([1]equip.xml!$I:$I,MATCH(D1612,[1]equip.xml!$A:$A,0))</f>
        <v>564000</v>
      </c>
      <c r="H1612" s="8" t="str">
        <f t="shared" ref="H1612:J1612" si="2537">H1524</f>
        <v>10_10,50_20,80_30</v>
      </c>
      <c r="I1612" s="8">
        <f t="shared" si="2537"/>
        <v>1</v>
      </c>
      <c r="J1612" s="8">
        <f t="shared" si="2537"/>
        <v>240</v>
      </c>
      <c r="K1612" s="7" t="s">
        <v>312</v>
      </c>
      <c r="L1612" s="8">
        <v>56</v>
      </c>
      <c r="M1612" s="7">
        <f>IF(INDEX([1]equip.xml!$B:$B,MATCH(D1612,[1]equip.xml!$A:$A,0))=0,0,N1612)</f>
        <v>2</v>
      </c>
      <c r="N1612" s="8">
        <v>2</v>
      </c>
    </row>
    <row r="1613" spans="1:14">
      <c r="A1613" s="8">
        <f t="shared" si="2477"/>
        <v>10022</v>
      </c>
      <c r="B1613" s="8">
        <f t="shared" ref="B1613:C1613" si="2538">B1525</f>
        <v>40000</v>
      </c>
      <c r="C1613" s="8" t="str">
        <f t="shared" si="2538"/>
        <v>装备</v>
      </c>
      <c r="D1613" s="7">
        <f t="shared" si="2453"/>
        <v>50900076</v>
      </c>
      <c r="E1613" s="8"/>
      <c r="F1613" s="8">
        <v>1</v>
      </c>
      <c r="G1613" s="7">
        <f>3*INDEX([1]equip.xml!$I:$I,MATCH(D1613,[1]equip.xml!$A:$A,0))</f>
        <v>582000</v>
      </c>
      <c r="H1613" s="8" t="str">
        <f t="shared" ref="H1613:J1613" si="2539">H1525</f>
        <v>10_10,50_20,80_30</v>
      </c>
      <c r="I1613" s="8">
        <f t="shared" si="2539"/>
        <v>1</v>
      </c>
      <c r="J1613" s="8">
        <f t="shared" si="2539"/>
        <v>240</v>
      </c>
      <c r="K1613" s="7" t="s">
        <v>312</v>
      </c>
      <c r="L1613" s="8">
        <v>56</v>
      </c>
      <c r="M1613" s="7">
        <f>IF(INDEX([1]equip.xml!$B:$B,MATCH(D1613,[1]equip.xml!$A:$A,0))=0,0,N1613)</f>
        <v>2</v>
      </c>
      <c r="N1613" s="8">
        <v>2</v>
      </c>
    </row>
    <row r="1614" spans="1:14">
      <c r="A1614" s="8">
        <f t="shared" si="2477"/>
        <v>10023</v>
      </c>
      <c r="B1614" s="8">
        <f t="shared" ref="B1614:C1614" si="2540">B1526</f>
        <v>40000</v>
      </c>
      <c r="C1614" s="8" t="str">
        <f t="shared" si="2540"/>
        <v>装备</v>
      </c>
      <c r="D1614" s="8">
        <f t="shared" ref="D1607:D1670" si="2541">D1526+50000</f>
        <v>40900010</v>
      </c>
      <c r="E1614" s="8"/>
      <c r="F1614" s="8">
        <v>1</v>
      </c>
      <c r="G1614" s="7">
        <f>3*INDEX([1]equip.xml!$I:$I,MATCH(D1614,[1]equip.xml!$A:$A,0))</f>
        <v>282000</v>
      </c>
      <c r="H1614" s="8" t="str">
        <f t="shared" ref="H1614:J1614" si="2542">H1526</f>
        <v>10_10,50_20,80_30</v>
      </c>
      <c r="I1614" s="8">
        <f t="shared" si="2542"/>
        <v>6</v>
      </c>
      <c r="J1614" s="8">
        <f t="shared" si="2542"/>
        <v>50</v>
      </c>
      <c r="K1614" s="7" t="s">
        <v>312</v>
      </c>
      <c r="L1614" s="8">
        <v>56</v>
      </c>
      <c r="M1614" s="7">
        <f>IF(INDEX([1]equip.xml!$B:$B,MATCH(D1614,[1]equip.xml!$A:$A,0))=0,0,N1614)</f>
        <v>130</v>
      </c>
      <c r="N1614" s="8">
        <v>130</v>
      </c>
    </row>
    <row r="1615" spans="1:14">
      <c r="A1615" s="8">
        <f t="shared" si="2477"/>
        <v>10023</v>
      </c>
      <c r="B1615" s="8">
        <f t="shared" ref="B1615:C1615" si="2543">B1527</f>
        <v>40000</v>
      </c>
      <c r="C1615" s="8" t="str">
        <f t="shared" si="2543"/>
        <v>装备</v>
      </c>
      <c r="D1615" s="8">
        <f t="shared" si="2541"/>
        <v>40900020</v>
      </c>
      <c r="E1615" s="8"/>
      <c r="F1615" s="8">
        <v>1</v>
      </c>
      <c r="G1615" s="7">
        <f>3*INDEX([1]equip.xml!$I:$I,MATCH(D1615,[1]equip.xml!$A:$A,0))</f>
        <v>282000</v>
      </c>
      <c r="H1615" s="8" t="str">
        <f t="shared" ref="H1615:J1615" si="2544">H1527</f>
        <v>10_10,50_20,80_30</v>
      </c>
      <c r="I1615" s="8">
        <f t="shared" si="2544"/>
        <v>6</v>
      </c>
      <c r="J1615" s="8">
        <f t="shared" si="2544"/>
        <v>50</v>
      </c>
      <c r="K1615" s="7" t="s">
        <v>312</v>
      </c>
      <c r="L1615" s="8">
        <v>56</v>
      </c>
      <c r="M1615" s="7">
        <f>IF(INDEX([1]equip.xml!$B:$B,MATCH(D1615,[1]equip.xml!$A:$A,0))=0,0,N1615)</f>
        <v>130</v>
      </c>
      <c r="N1615" s="8">
        <v>130</v>
      </c>
    </row>
    <row r="1616" spans="1:14">
      <c r="A1616" s="8">
        <f t="shared" si="2477"/>
        <v>10023</v>
      </c>
      <c r="B1616" s="8">
        <f t="shared" ref="B1616:C1616" si="2545">B1528</f>
        <v>40000</v>
      </c>
      <c r="C1616" s="8" t="str">
        <f t="shared" si="2545"/>
        <v>装备</v>
      </c>
      <c r="D1616" s="8">
        <f t="shared" si="2541"/>
        <v>40900030</v>
      </c>
      <c r="E1616" s="8"/>
      <c r="F1616" s="8">
        <v>1</v>
      </c>
      <c r="G1616" s="7">
        <f>3*INDEX([1]equip.xml!$I:$I,MATCH(D1616,[1]equip.xml!$A:$A,0))</f>
        <v>282000</v>
      </c>
      <c r="H1616" s="8" t="str">
        <f t="shared" ref="H1616:J1616" si="2546">H1528</f>
        <v>10_10,50_20,80_30</v>
      </c>
      <c r="I1616" s="8">
        <f t="shared" si="2546"/>
        <v>6</v>
      </c>
      <c r="J1616" s="8">
        <f t="shared" si="2546"/>
        <v>50</v>
      </c>
      <c r="K1616" s="7" t="s">
        <v>312</v>
      </c>
      <c r="L1616" s="8">
        <v>56</v>
      </c>
      <c r="M1616" s="7">
        <f>IF(INDEX([1]equip.xml!$B:$B,MATCH(D1616,[1]equip.xml!$A:$A,0))=0,0,N1616)</f>
        <v>130</v>
      </c>
      <c r="N1616" s="8">
        <v>130</v>
      </c>
    </row>
    <row r="1617" spans="1:14">
      <c r="A1617" s="8">
        <f t="shared" si="2477"/>
        <v>10023</v>
      </c>
      <c r="B1617" s="8">
        <f t="shared" ref="B1617:C1617" si="2547">B1529</f>
        <v>40000</v>
      </c>
      <c r="C1617" s="8" t="str">
        <f t="shared" si="2547"/>
        <v>装备</v>
      </c>
      <c r="D1617" s="8">
        <f t="shared" si="2541"/>
        <v>40900080</v>
      </c>
      <c r="E1617" s="8"/>
      <c r="F1617" s="8">
        <v>1</v>
      </c>
      <c r="G1617" s="7">
        <f>3*INDEX([1]equip.xml!$I:$I,MATCH(D1617,[1]equip.xml!$A:$A,0))</f>
        <v>282000</v>
      </c>
      <c r="H1617" s="8" t="str">
        <f t="shared" ref="H1617:J1617" si="2548">H1529</f>
        <v>10_10,50_20,80_30</v>
      </c>
      <c r="I1617" s="8">
        <f t="shared" si="2548"/>
        <v>6</v>
      </c>
      <c r="J1617" s="8">
        <f t="shared" si="2548"/>
        <v>50</v>
      </c>
      <c r="K1617" s="7" t="s">
        <v>312</v>
      </c>
      <c r="L1617" s="8">
        <v>56</v>
      </c>
      <c r="M1617" s="7">
        <f>IF(INDEX([1]equip.xml!$B:$B,MATCH(D1617,[1]equip.xml!$A:$A,0))=0,0,N1617)</f>
        <v>130</v>
      </c>
      <c r="N1617" s="8">
        <v>130</v>
      </c>
    </row>
    <row r="1618" spans="1:14">
      <c r="A1618" s="8">
        <f t="shared" si="2477"/>
        <v>10023</v>
      </c>
      <c r="B1618" s="8">
        <f t="shared" ref="B1618:C1618" si="2549">B1530</f>
        <v>40000</v>
      </c>
      <c r="C1618" s="8" t="str">
        <f t="shared" si="2549"/>
        <v>装备</v>
      </c>
      <c r="D1618" s="8">
        <f t="shared" si="2541"/>
        <v>40900090</v>
      </c>
      <c r="E1618" s="8"/>
      <c r="F1618" s="8">
        <v>1</v>
      </c>
      <c r="G1618" s="7">
        <f>3*INDEX([1]equip.xml!$I:$I,MATCH(D1618,[1]equip.xml!$A:$A,0))</f>
        <v>282000</v>
      </c>
      <c r="H1618" s="8" t="str">
        <f t="shared" ref="H1618:J1618" si="2550">H1530</f>
        <v>10_10,50_20,80_30</v>
      </c>
      <c r="I1618" s="8">
        <f t="shared" si="2550"/>
        <v>6</v>
      </c>
      <c r="J1618" s="8">
        <f t="shared" si="2550"/>
        <v>50</v>
      </c>
      <c r="K1618" s="7" t="s">
        <v>312</v>
      </c>
      <c r="L1618" s="8">
        <v>56</v>
      </c>
      <c r="M1618" s="7">
        <f>IF(INDEX([1]equip.xml!$B:$B,MATCH(D1618,[1]equip.xml!$A:$A,0))=0,0,N1618)</f>
        <v>130</v>
      </c>
      <c r="N1618" s="8">
        <v>130</v>
      </c>
    </row>
    <row r="1619" spans="1:14">
      <c r="A1619" s="8">
        <f t="shared" si="2477"/>
        <v>10023</v>
      </c>
      <c r="B1619" s="8">
        <f t="shared" ref="B1619:C1619" si="2551">B1531</f>
        <v>40000</v>
      </c>
      <c r="C1619" s="8" t="str">
        <f t="shared" si="2551"/>
        <v>装备</v>
      </c>
      <c r="D1619" s="8">
        <f t="shared" si="2541"/>
        <v>40900100</v>
      </c>
      <c r="E1619" s="8"/>
      <c r="F1619" s="8">
        <v>1</v>
      </c>
      <c r="G1619" s="7">
        <f>3*INDEX([1]equip.xml!$I:$I,MATCH(D1619,[1]equip.xml!$A:$A,0))</f>
        <v>282000</v>
      </c>
      <c r="H1619" s="8" t="str">
        <f t="shared" ref="H1619:J1619" si="2552">H1531</f>
        <v>10_10,50_20,80_30</v>
      </c>
      <c r="I1619" s="8">
        <f t="shared" si="2552"/>
        <v>6</v>
      </c>
      <c r="J1619" s="8">
        <f t="shared" si="2552"/>
        <v>50</v>
      </c>
      <c r="K1619" s="7" t="s">
        <v>312</v>
      </c>
      <c r="L1619" s="8">
        <v>56</v>
      </c>
      <c r="M1619" s="7">
        <f>IF(INDEX([1]equip.xml!$B:$B,MATCH(D1619,[1]equip.xml!$A:$A,0))=0,0,N1619)</f>
        <v>130</v>
      </c>
      <c r="N1619" s="8">
        <v>130</v>
      </c>
    </row>
    <row r="1620" spans="1:14">
      <c r="A1620" s="8">
        <f t="shared" si="2477"/>
        <v>10023</v>
      </c>
      <c r="B1620" s="8">
        <f t="shared" ref="B1620:C1620" si="2553">B1532</f>
        <v>40000</v>
      </c>
      <c r="C1620" s="8" t="str">
        <f t="shared" si="2553"/>
        <v>装备</v>
      </c>
      <c r="D1620" s="8">
        <f t="shared" si="2541"/>
        <v>40901050</v>
      </c>
      <c r="E1620" s="8"/>
      <c r="F1620" s="8">
        <v>1</v>
      </c>
      <c r="G1620" s="7">
        <f>3*INDEX([1]equip.xml!$I:$I,MATCH(D1620,[1]equip.xml!$A:$A,0))</f>
        <v>282000</v>
      </c>
      <c r="H1620" s="8" t="str">
        <f t="shared" ref="H1620:J1620" si="2554">H1532</f>
        <v>10_10,50_20,80_30</v>
      </c>
      <c r="I1620" s="8">
        <f t="shared" si="2554"/>
        <v>6</v>
      </c>
      <c r="J1620" s="8">
        <f t="shared" si="2554"/>
        <v>50</v>
      </c>
      <c r="K1620" s="7" t="s">
        <v>312</v>
      </c>
      <c r="L1620" s="8">
        <v>56</v>
      </c>
      <c r="M1620" s="7">
        <f>IF(INDEX([1]equip.xml!$B:$B,MATCH(D1620,[1]equip.xml!$A:$A,0))=0,0,N1620)</f>
        <v>130</v>
      </c>
      <c r="N1620" s="8">
        <v>130</v>
      </c>
    </row>
    <row r="1621" spans="1:14">
      <c r="A1621" s="8">
        <f t="shared" si="2477"/>
        <v>10023</v>
      </c>
      <c r="B1621" s="8">
        <f t="shared" ref="B1621:C1621" si="2555">B1533</f>
        <v>40000</v>
      </c>
      <c r="C1621" s="8" t="str">
        <f t="shared" si="2555"/>
        <v>装备</v>
      </c>
      <c r="D1621" s="8">
        <f t="shared" si="2541"/>
        <v>40901051</v>
      </c>
      <c r="E1621" s="8"/>
      <c r="F1621" s="8">
        <v>1</v>
      </c>
      <c r="G1621" s="7">
        <f>3*INDEX([1]equip.xml!$I:$I,MATCH(D1621,[1]equip.xml!$A:$A,0))</f>
        <v>291000</v>
      </c>
      <c r="H1621" s="8" t="str">
        <f t="shared" ref="H1621:J1621" si="2556">H1533</f>
        <v>10_10,50_20,80_30</v>
      </c>
      <c r="I1621" s="8">
        <f t="shared" si="2556"/>
        <v>6</v>
      </c>
      <c r="J1621" s="8">
        <f t="shared" si="2556"/>
        <v>50</v>
      </c>
      <c r="K1621" s="7" t="s">
        <v>312</v>
      </c>
      <c r="L1621" s="8">
        <v>56</v>
      </c>
      <c r="M1621" s="7">
        <f>IF(INDEX([1]equip.xml!$B:$B,MATCH(D1621,[1]equip.xml!$A:$A,0))=0,0,N1621)</f>
        <v>130</v>
      </c>
      <c r="N1621" s="8">
        <v>130</v>
      </c>
    </row>
    <row r="1622" spans="1:14">
      <c r="A1622" s="8">
        <f t="shared" si="2477"/>
        <v>10023</v>
      </c>
      <c r="B1622" s="8">
        <f t="shared" ref="B1622:C1622" si="2557">B1534</f>
        <v>40000</v>
      </c>
      <c r="C1622" s="8" t="str">
        <f t="shared" si="2557"/>
        <v>装备</v>
      </c>
      <c r="D1622" s="8">
        <f t="shared" si="2541"/>
        <v>40901060</v>
      </c>
      <c r="E1622" s="8"/>
      <c r="F1622" s="8">
        <v>1</v>
      </c>
      <c r="G1622" s="7">
        <f>3*INDEX([1]equip.xml!$I:$I,MATCH(D1622,[1]equip.xml!$A:$A,0))</f>
        <v>282000</v>
      </c>
      <c r="H1622" s="8" t="str">
        <f t="shared" ref="H1622:J1622" si="2558">H1534</f>
        <v>10_10,50_20,80_30</v>
      </c>
      <c r="I1622" s="8">
        <f t="shared" si="2558"/>
        <v>6</v>
      </c>
      <c r="J1622" s="8">
        <f t="shared" si="2558"/>
        <v>50</v>
      </c>
      <c r="K1622" s="7" t="s">
        <v>312</v>
      </c>
      <c r="L1622" s="8">
        <v>56</v>
      </c>
      <c r="M1622" s="7">
        <f>IF(INDEX([1]equip.xml!$B:$B,MATCH(D1622,[1]equip.xml!$A:$A,0))=0,0,N1622)</f>
        <v>130</v>
      </c>
      <c r="N1622" s="8">
        <v>130</v>
      </c>
    </row>
    <row r="1623" spans="1:14">
      <c r="A1623" s="8">
        <f t="shared" si="2477"/>
        <v>10023</v>
      </c>
      <c r="B1623" s="8">
        <f t="shared" ref="B1623:C1623" si="2559">B1535</f>
        <v>40000</v>
      </c>
      <c r="C1623" s="8" t="str">
        <f t="shared" si="2559"/>
        <v>装备</v>
      </c>
      <c r="D1623" s="8">
        <f t="shared" si="2541"/>
        <v>40901061</v>
      </c>
      <c r="E1623" s="8"/>
      <c r="F1623" s="8">
        <v>1</v>
      </c>
      <c r="G1623" s="7">
        <f>3*INDEX([1]equip.xml!$I:$I,MATCH(D1623,[1]equip.xml!$A:$A,0))</f>
        <v>291000</v>
      </c>
      <c r="H1623" s="8" t="str">
        <f t="shared" ref="H1623:J1623" si="2560">H1535</f>
        <v>10_10,50_20,80_30</v>
      </c>
      <c r="I1623" s="8">
        <f t="shared" si="2560"/>
        <v>6</v>
      </c>
      <c r="J1623" s="8">
        <f t="shared" si="2560"/>
        <v>50</v>
      </c>
      <c r="K1623" s="7" t="s">
        <v>312</v>
      </c>
      <c r="L1623" s="8">
        <v>56</v>
      </c>
      <c r="M1623" s="7">
        <f>IF(INDEX([1]equip.xml!$B:$B,MATCH(D1623,[1]equip.xml!$A:$A,0))=0,0,N1623)</f>
        <v>130</v>
      </c>
      <c r="N1623" s="8">
        <v>130</v>
      </c>
    </row>
    <row r="1624" spans="1:14">
      <c r="A1624" s="8">
        <f t="shared" si="2477"/>
        <v>10023</v>
      </c>
      <c r="B1624" s="8">
        <f t="shared" ref="B1624:C1624" si="2561">B1536</f>
        <v>40000</v>
      </c>
      <c r="C1624" s="8" t="str">
        <f t="shared" si="2561"/>
        <v>装备</v>
      </c>
      <c r="D1624" s="8">
        <f t="shared" si="2541"/>
        <v>40902050</v>
      </c>
      <c r="E1624" s="8"/>
      <c r="F1624" s="8">
        <v>1</v>
      </c>
      <c r="G1624" s="7">
        <f>3*INDEX([1]equip.xml!$I:$I,MATCH(D1624,[1]equip.xml!$A:$A,0))</f>
        <v>282000</v>
      </c>
      <c r="H1624" s="8" t="str">
        <f t="shared" ref="H1624:J1624" si="2562">H1536</f>
        <v>10_10,50_20,80_30</v>
      </c>
      <c r="I1624" s="8">
        <f t="shared" si="2562"/>
        <v>6</v>
      </c>
      <c r="J1624" s="8">
        <f t="shared" si="2562"/>
        <v>50</v>
      </c>
      <c r="K1624" s="7" t="s">
        <v>312</v>
      </c>
      <c r="L1624" s="8">
        <v>56</v>
      </c>
      <c r="M1624" s="7">
        <f>IF(INDEX([1]equip.xml!$B:$B,MATCH(D1624,[1]equip.xml!$A:$A,0))=0,0,N1624)</f>
        <v>130</v>
      </c>
      <c r="N1624" s="8">
        <v>130</v>
      </c>
    </row>
    <row r="1625" spans="1:14">
      <c r="A1625" s="8">
        <f t="shared" si="2477"/>
        <v>10023</v>
      </c>
      <c r="B1625" s="8">
        <f t="shared" ref="B1625:C1625" si="2563">B1537</f>
        <v>40000</v>
      </c>
      <c r="C1625" s="8" t="str">
        <f t="shared" si="2563"/>
        <v>装备</v>
      </c>
      <c r="D1625" s="8">
        <f t="shared" si="2541"/>
        <v>40902051</v>
      </c>
      <c r="E1625" s="8"/>
      <c r="F1625" s="8">
        <v>1</v>
      </c>
      <c r="G1625" s="7">
        <f>3*INDEX([1]equip.xml!$I:$I,MATCH(D1625,[1]equip.xml!$A:$A,0))</f>
        <v>291000</v>
      </c>
      <c r="H1625" s="8" t="str">
        <f t="shared" ref="H1625:J1625" si="2564">H1537</f>
        <v>10_10,50_20,80_30</v>
      </c>
      <c r="I1625" s="8">
        <f t="shared" si="2564"/>
        <v>6</v>
      </c>
      <c r="J1625" s="8">
        <f t="shared" si="2564"/>
        <v>50</v>
      </c>
      <c r="K1625" s="7" t="s">
        <v>312</v>
      </c>
      <c r="L1625" s="8">
        <v>56</v>
      </c>
      <c r="M1625" s="7">
        <f>IF(INDEX([1]equip.xml!$B:$B,MATCH(D1625,[1]equip.xml!$A:$A,0))=0,0,N1625)</f>
        <v>130</v>
      </c>
      <c r="N1625" s="8">
        <v>130</v>
      </c>
    </row>
    <row r="1626" spans="1:14">
      <c r="A1626" s="8">
        <f t="shared" si="2477"/>
        <v>10023</v>
      </c>
      <c r="B1626" s="8">
        <f t="shared" ref="B1626:C1626" si="2565">B1538</f>
        <v>40000</v>
      </c>
      <c r="C1626" s="8" t="str">
        <f t="shared" si="2565"/>
        <v>装备</v>
      </c>
      <c r="D1626" s="8">
        <f t="shared" si="2541"/>
        <v>40902060</v>
      </c>
      <c r="E1626" s="8"/>
      <c r="F1626" s="8">
        <v>1</v>
      </c>
      <c r="G1626" s="7">
        <f>3*INDEX([1]equip.xml!$I:$I,MATCH(D1626,[1]equip.xml!$A:$A,0))</f>
        <v>282000</v>
      </c>
      <c r="H1626" s="8" t="str">
        <f t="shared" ref="H1626:J1626" si="2566">H1538</f>
        <v>10_10,50_20,80_30</v>
      </c>
      <c r="I1626" s="8">
        <f t="shared" si="2566"/>
        <v>6</v>
      </c>
      <c r="J1626" s="8">
        <f t="shared" si="2566"/>
        <v>50</v>
      </c>
      <c r="K1626" s="7" t="s">
        <v>312</v>
      </c>
      <c r="L1626" s="8">
        <v>56</v>
      </c>
      <c r="M1626" s="7">
        <f>IF(INDEX([1]equip.xml!$B:$B,MATCH(D1626,[1]equip.xml!$A:$A,0))=0,0,N1626)</f>
        <v>130</v>
      </c>
      <c r="N1626" s="8">
        <v>130</v>
      </c>
    </row>
    <row r="1627" spans="1:14">
      <c r="A1627" s="8">
        <f t="shared" si="2477"/>
        <v>10023</v>
      </c>
      <c r="B1627" s="8">
        <f t="shared" ref="B1627:C1627" si="2567">B1539</f>
        <v>40000</v>
      </c>
      <c r="C1627" s="8" t="str">
        <f t="shared" si="2567"/>
        <v>装备</v>
      </c>
      <c r="D1627" s="8">
        <f t="shared" si="2541"/>
        <v>40902061</v>
      </c>
      <c r="E1627" s="8"/>
      <c r="F1627" s="8">
        <v>1</v>
      </c>
      <c r="G1627" s="7">
        <f>3*INDEX([1]equip.xml!$I:$I,MATCH(D1627,[1]equip.xml!$A:$A,0))</f>
        <v>291000</v>
      </c>
      <c r="H1627" s="8" t="str">
        <f t="shared" ref="H1627:J1627" si="2568">H1539</f>
        <v>10_10,50_20,80_30</v>
      </c>
      <c r="I1627" s="8">
        <f t="shared" si="2568"/>
        <v>6</v>
      </c>
      <c r="J1627" s="8">
        <f t="shared" si="2568"/>
        <v>50</v>
      </c>
      <c r="K1627" s="7" t="s">
        <v>312</v>
      </c>
      <c r="L1627" s="8">
        <v>56</v>
      </c>
      <c r="M1627" s="7">
        <f>IF(INDEX([1]equip.xml!$B:$B,MATCH(D1627,[1]equip.xml!$A:$A,0))=0,0,N1627)</f>
        <v>130</v>
      </c>
      <c r="N1627" s="8">
        <v>130</v>
      </c>
    </row>
    <row r="1628" spans="1:14">
      <c r="A1628" s="8">
        <f t="shared" si="2477"/>
        <v>10023</v>
      </c>
      <c r="B1628" s="8">
        <f t="shared" ref="B1628:C1628" si="2569">B1540</f>
        <v>40000</v>
      </c>
      <c r="C1628" s="8" t="str">
        <f t="shared" si="2569"/>
        <v>装备</v>
      </c>
      <c r="D1628" s="8">
        <f t="shared" si="2541"/>
        <v>40903050</v>
      </c>
      <c r="E1628" s="8"/>
      <c r="F1628" s="8">
        <v>1</v>
      </c>
      <c r="G1628" s="7">
        <f>3*INDEX([1]equip.xml!$I:$I,MATCH(D1628,[1]equip.xml!$A:$A,0))</f>
        <v>282000</v>
      </c>
      <c r="H1628" s="8" t="str">
        <f t="shared" ref="H1628:J1628" si="2570">H1540</f>
        <v>10_10,50_20,80_30</v>
      </c>
      <c r="I1628" s="8">
        <f t="shared" si="2570"/>
        <v>6</v>
      </c>
      <c r="J1628" s="8">
        <f t="shared" si="2570"/>
        <v>50</v>
      </c>
      <c r="K1628" s="7" t="s">
        <v>312</v>
      </c>
      <c r="L1628" s="8">
        <v>56</v>
      </c>
      <c r="M1628" s="7">
        <f>IF(INDEX([1]equip.xml!$B:$B,MATCH(D1628,[1]equip.xml!$A:$A,0))=0,0,N1628)</f>
        <v>130</v>
      </c>
      <c r="N1628" s="8">
        <v>130</v>
      </c>
    </row>
    <row r="1629" spans="1:14">
      <c r="A1629" s="8">
        <f t="shared" si="2477"/>
        <v>10023</v>
      </c>
      <c r="B1629" s="8">
        <f t="shared" ref="B1629:C1629" si="2571">B1541</f>
        <v>40000</v>
      </c>
      <c r="C1629" s="8" t="str">
        <f t="shared" si="2571"/>
        <v>装备</v>
      </c>
      <c r="D1629" s="8">
        <f t="shared" si="2541"/>
        <v>40903051</v>
      </c>
      <c r="E1629" s="8"/>
      <c r="F1629" s="8">
        <v>1</v>
      </c>
      <c r="G1629" s="7">
        <f>3*INDEX([1]equip.xml!$I:$I,MATCH(D1629,[1]equip.xml!$A:$A,0))</f>
        <v>291000</v>
      </c>
      <c r="H1629" s="8" t="str">
        <f t="shared" ref="H1629:J1629" si="2572">H1541</f>
        <v>10_10,50_20,80_30</v>
      </c>
      <c r="I1629" s="8">
        <f t="shared" si="2572"/>
        <v>6</v>
      </c>
      <c r="J1629" s="8">
        <f t="shared" si="2572"/>
        <v>50</v>
      </c>
      <c r="K1629" s="7" t="s">
        <v>312</v>
      </c>
      <c r="L1629" s="8">
        <v>56</v>
      </c>
      <c r="M1629" s="7">
        <f>IF(INDEX([1]equip.xml!$B:$B,MATCH(D1629,[1]equip.xml!$A:$A,0))=0,0,N1629)</f>
        <v>130</v>
      </c>
      <c r="N1629" s="8">
        <v>130</v>
      </c>
    </row>
    <row r="1630" spans="1:14">
      <c r="A1630" s="8">
        <f t="shared" si="2477"/>
        <v>10023</v>
      </c>
      <c r="B1630" s="8">
        <f t="shared" ref="B1630:C1630" si="2573">B1542</f>
        <v>40000</v>
      </c>
      <c r="C1630" s="8" t="str">
        <f t="shared" si="2573"/>
        <v>装备</v>
      </c>
      <c r="D1630" s="8">
        <f t="shared" si="2541"/>
        <v>40903060</v>
      </c>
      <c r="E1630" s="8"/>
      <c r="F1630" s="8">
        <v>1</v>
      </c>
      <c r="G1630" s="7">
        <f>3*INDEX([1]equip.xml!$I:$I,MATCH(D1630,[1]equip.xml!$A:$A,0))</f>
        <v>282000</v>
      </c>
      <c r="H1630" s="8" t="str">
        <f t="shared" ref="H1630:J1630" si="2574">H1542</f>
        <v>10_10,50_20,80_30</v>
      </c>
      <c r="I1630" s="8">
        <f t="shared" si="2574"/>
        <v>6</v>
      </c>
      <c r="J1630" s="8">
        <f t="shared" si="2574"/>
        <v>50</v>
      </c>
      <c r="K1630" s="7" t="s">
        <v>312</v>
      </c>
      <c r="L1630" s="8">
        <v>56</v>
      </c>
      <c r="M1630" s="7">
        <f>IF(INDEX([1]equip.xml!$B:$B,MATCH(D1630,[1]equip.xml!$A:$A,0))=0,0,N1630)</f>
        <v>130</v>
      </c>
      <c r="N1630" s="8">
        <v>130</v>
      </c>
    </row>
    <row r="1631" spans="1:14">
      <c r="A1631" s="8">
        <f t="shared" si="2477"/>
        <v>10023</v>
      </c>
      <c r="B1631" s="8">
        <f t="shared" ref="B1631:C1631" si="2575">B1543</f>
        <v>40000</v>
      </c>
      <c r="C1631" s="8" t="str">
        <f t="shared" si="2575"/>
        <v>装备</v>
      </c>
      <c r="D1631" s="8">
        <f t="shared" si="2541"/>
        <v>40903061</v>
      </c>
      <c r="E1631" s="8"/>
      <c r="F1631" s="8">
        <v>1</v>
      </c>
      <c r="G1631" s="7">
        <f>3*INDEX([1]equip.xml!$I:$I,MATCH(D1631,[1]equip.xml!$A:$A,0))</f>
        <v>291000</v>
      </c>
      <c r="H1631" s="8" t="str">
        <f t="shared" ref="H1631:J1631" si="2576">H1543</f>
        <v>10_10,50_20,80_30</v>
      </c>
      <c r="I1631" s="8">
        <f t="shared" si="2576"/>
        <v>6</v>
      </c>
      <c r="J1631" s="8">
        <f t="shared" si="2576"/>
        <v>50</v>
      </c>
      <c r="K1631" s="7" t="s">
        <v>312</v>
      </c>
      <c r="L1631" s="8">
        <v>56</v>
      </c>
      <c r="M1631" s="7">
        <f>IF(INDEX([1]equip.xml!$B:$B,MATCH(D1631,[1]equip.xml!$A:$A,0))=0,0,N1631)</f>
        <v>130</v>
      </c>
      <c r="N1631" s="8">
        <v>130</v>
      </c>
    </row>
    <row r="1632" spans="1:14">
      <c r="A1632" s="8">
        <f t="shared" si="2477"/>
        <v>10023</v>
      </c>
      <c r="B1632" s="8">
        <f t="shared" ref="B1632:C1632" si="2577">B1544</f>
        <v>40000</v>
      </c>
      <c r="C1632" s="8" t="str">
        <f t="shared" si="2577"/>
        <v>装备</v>
      </c>
      <c r="D1632" s="8">
        <f t="shared" si="2541"/>
        <v>40900040</v>
      </c>
      <c r="E1632" s="8"/>
      <c r="F1632" s="8">
        <v>1</v>
      </c>
      <c r="G1632" s="7">
        <f>3*INDEX([1]equip.xml!$I:$I,MATCH(D1632,[1]equip.xml!$A:$A,0))</f>
        <v>282000</v>
      </c>
      <c r="H1632" s="8" t="str">
        <f t="shared" ref="H1632:J1632" si="2578">H1544</f>
        <v>10_10,50_20,80_30</v>
      </c>
      <c r="I1632" s="8">
        <f t="shared" si="2578"/>
        <v>6</v>
      </c>
      <c r="J1632" s="8">
        <f t="shared" si="2578"/>
        <v>50</v>
      </c>
      <c r="K1632" s="7" t="s">
        <v>312</v>
      </c>
      <c r="L1632" s="8">
        <v>56</v>
      </c>
      <c r="M1632" s="7">
        <f>IF(INDEX([1]equip.xml!$B:$B,MATCH(D1632,[1]equip.xml!$A:$A,0))=0,0,N1632)</f>
        <v>130</v>
      </c>
      <c r="N1632" s="8">
        <v>130</v>
      </c>
    </row>
    <row r="1633" spans="1:14">
      <c r="A1633" s="8">
        <f t="shared" si="2477"/>
        <v>10023</v>
      </c>
      <c r="B1633" s="8">
        <f t="shared" ref="B1633:C1633" si="2579">B1545</f>
        <v>40000</v>
      </c>
      <c r="C1633" s="8" t="str">
        <f t="shared" si="2579"/>
        <v>装备</v>
      </c>
      <c r="D1633" s="8">
        <f t="shared" si="2541"/>
        <v>40900041</v>
      </c>
      <c r="E1633" s="8"/>
      <c r="F1633" s="8">
        <v>1</v>
      </c>
      <c r="G1633" s="7">
        <f>3*INDEX([1]equip.xml!$I:$I,MATCH(D1633,[1]equip.xml!$A:$A,0))</f>
        <v>291000</v>
      </c>
      <c r="H1633" s="8" t="str">
        <f t="shared" ref="H1633:J1633" si="2580">H1545</f>
        <v>10_10,50_20,80_30</v>
      </c>
      <c r="I1633" s="8">
        <f t="shared" si="2580"/>
        <v>6</v>
      </c>
      <c r="J1633" s="8">
        <f t="shared" si="2580"/>
        <v>50</v>
      </c>
      <c r="K1633" s="7" t="s">
        <v>312</v>
      </c>
      <c r="L1633" s="8">
        <v>56</v>
      </c>
      <c r="M1633" s="7">
        <f>IF(INDEX([1]equip.xml!$B:$B,MATCH(D1633,[1]equip.xml!$A:$A,0))=0,0,N1633)</f>
        <v>130</v>
      </c>
      <c r="N1633" s="8">
        <v>130</v>
      </c>
    </row>
    <row r="1634" spans="1:14">
      <c r="A1634" s="8">
        <f t="shared" si="2477"/>
        <v>10023</v>
      </c>
      <c r="B1634" s="8">
        <f t="shared" ref="B1634:C1634" si="2581">B1546</f>
        <v>40000</v>
      </c>
      <c r="C1634" s="8" t="str">
        <f t="shared" si="2581"/>
        <v>装备</v>
      </c>
      <c r="D1634" s="8">
        <f t="shared" si="2541"/>
        <v>40900070</v>
      </c>
      <c r="E1634" s="8"/>
      <c r="F1634" s="8">
        <v>1</v>
      </c>
      <c r="G1634" s="7">
        <f>3*INDEX([1]equip.xml!$I:$I,MATCH(D1634,[1]equip.xml!$A:$A,0))</f>
        <v>282000</v>
      </c>
      <c r="H1634" s="8" t="str">
        <f t="shared" ref="H1634:J1634" si="2582">H1546</f>
        <v>10_10,50_20,80_30</v>
      </c>
      <c r="I1634" s="8">
        <f t="shared" si="2582"/>
        <v>6</v>
      </c>
      <c r="J1634" s="8">
        <f t="shared" si="2582"/>
        <v>50</v>
      </c>
      <c r="K1634" s="7" t="s">
        <v>312</v>
      </c>
      <c r="L1634" s="8">
        <v>56</v>
      </c>
      <c r="M1634" s="7">
        <f>IF(INDEX([1]equip.xml!$B:$B,MATCH(D1634,[1]equip.xml!$A:$A,0))=0,0,N1634)</f>
        <v>130</v>
      </c>
      <c r="N1634" s="8">
        <v>130</v>
      </c>
    </row>
    <row r="1635" spans="1:14">
      <c r="A1635" s="8">
        <f t="shared" si="2477"/>
        <v>10023</v>
      </c>
      <c r="B1635" s="8">
        <f t="shared" ref="B1635:C1635" si="2583">B1547</f>
        <v>40000</v>
      </c>
      <c r="C1635" s="8" t="str">
        <f t="shared" si="2583"/>
        <v>装备</v>
      </c>
      <c r="D1635" s="8">
        <f t="shared" si="2541"/>
        <v>40900071</v>
      </c>
      <c r="E1635" s="8"/>
      <c r="F1635" s="8">
        <v>1</v>
      </c>
      <c r="G1635" s="7">
        <f>3*INDEX([1]equip.xml!$I:$I,MATCH(D1635,[1]equip.xml!$A:$A,0))</f>
        <v>291000</v>
      </c>
      <c r="H1635" s="8" t="str">
        <f t="shared" ref="H1635:J1635" si="2584">H1547</f>
        <v>10_10,50_20,80_30</v>
      </c>
      <c r="I1635" s="8">
        <f t="shared" si="2584"/>
        <v>6</v>
      </c>
      <c r="J1635" s="8">
        <f t="shared" si="2584"/>
        <v>50</v>
      </c>
      <c r="K1635" s="7" t="s">
        <v>312</v>
      </c>
      <c r="L1635" s="8">
        <v>56</v>
      </c>
      <c r="M1635" s="7">
        <f>IF(INDEX([1]equip.xml!$B:$B,MATCH(D1635,[1]equip.xml!$A:$A,0))=0,0,N1635)</f>
        <v>130</v>
      </c>
      <c r="N1635" s="8">
        <v>130</v>
      </c>
    </row>
    <row r="1636" spans="1:14">
      <c r="A1636" s="8">
        <f t="shared" si="2477"/>
        <v>10023</v>
      </c>
      <c r="B1636" s="8">
        <f t="shared" ref="B1636:C1636" si="2585">B1548</f>
        <v>40000</v>
      </c>
      <c r="C1636" s="8" t="str">
        <f t="shared" si="2585"/>
        <v>装备</v>
      </c>
      <c r="D1636" s="8">
        <f t="shared" si="2541"/>
        <v>40950010</v>
      </c>
      <c r="E1636" s="8"/>
      <c r="F1636" s="8">
        <v>1</v>
      </c>
      <c r="G1636" s="7">
        <f>3*INDEX([1]equip.xml!$I:$I,MATCH(D1636,[1]equip.xml!$A:$A,0))</f>
        <v>300000</v>
      </c>
      <c r="H1636" s="8" t="str">
        <f t="shared" ref="H1636:J1636" si="2586">H1548</f>
        <v>10_10,50_20,80_30</v>
      </c>
      <c r="I1636" s="8">
        <f t="shared" si="2586"/>
        <v>6</v>
      </c>
      <c r="J1636" s="8">
        <f t="shared" si="2586"/>
        <v>50</v>
      </c>
      <c r="K1636" s="7" t="s">
        <v>312</v>
      </c>
      <c r="L1636" s="8">
        <v>56</v>
      </c>
      <c r="M1636" s="7">
        <f>IF(INDEX([1]equip.xml!$B:$B,MATCH(D1636,[1]equip.xml!$A:$A,0))=0,0,N1636)</f>
        <v>1</v>
      </c>
      <c r="N1636" s="8">
        <v>1</v>
      </c>
    </row>
    <row r="1637" spans="1:14">
      <c r="A1637" s="8">
        <f t="shared" si="2477"/>
        <v>10023</v>
      </c>
      <c r="B1637" s="8">
        <f t="shared" ref="B1637:C1637" si="2587">B1549</f>
        <v>40000</v>
      </c>
      <c r="C1637" s="8" t="str">
        <f t="shared" si="2587"/>
        <v>装备</v>
      </c>
      <c r="D1637" s="8">
        <f t="shared" si="2541"/>
        <v>40950020</v>
      </c>
      <c r="E1637" s="8"/>
      <c r="F1637" s="8">
        <v>1</v>
      </c>
      <c r="G1637" s="7">
        <f>3*INDEX([1]equip.xml!$I:$I,MATCH(D1637,[1]equip.xml!$A:$A,0))</f>
        <v>300000</v>
      </c>
      <c r="H1637" s="8" t="str">
        <f t="shared" ref="H1637:J1637" si="2588">H1549</f>
        <v>10_10,50_20,80_30</v>
      </c>
      <c r="I1637" s="8">
        <f t="shared" si="2588"/>
        <v>6</v>
      </c>
      <c r="J1637" s="8">
        <f t="shared" si="2588"/>
        <v>50</v>
      </c>
      <c r="K1637" s="7" t="s">
        <v>312</v>
      </c>
      <c r="L1637" s="8">
        <v>56</v>
      </c>
      <c r="M1637" s="7">
        <f>IF(INDEX([1]equip.xml!$B:$B,MATCH(D1637,[1]equip.xml!$A:$A,0))=0,0,N1637)</f>
        <v>1</v>
      </c>
      <c r="N1637" s="8">
        <v>1</v>
      </c>
    </row>
    <row r="1638" spans="1:14">
      <c r="A1638" s="8">
        <f t="shared" si="2477"/>
        <v>10023</v>
      </c>
      <c r="B1638" s="8">
        <f t="shared" ref="B1638:C1638" si="2589">B1550</f>
        <v>40000</v>
      </c>
      <c r="C1638" s="8" t="str">
        <f t="shared" si="2589"/>
        <v>装备</v>
      </c>
      <c r="D1638" s="8">
        <f t="shared" si="2541"/>
        <v>40950030</v>
      </c>
      <c r="E1638" s="8"/>
      <c r="F1638" s="8">
        <v>1</v>
      </c>
      <c r="G1638" s="7">
        <f>3*INDEX([1]equip.xml!$I:$I,MATCH(D1638,[1]equip.xml!$A:$A,0))</f>
        <v>300000</v>
      </c>
      <c r="H1638" s="8" t="str">
        <f t="shared" ref="H1638:J1638" si="2590">H1550</f>
        <v>10_10,50_20,80_30</v>
      </c>
      <c r="I1638" s="8">
        <f t="shared" si="2590"/>
        <v>6</v>
      </c>
      <c r="J1638" s="8">
        <f t="shared" si="2590"/>
        <v>50</v>
      </c>
      <c r="K1638" s="7" t="s">
        <v>312</v>
      </c>
      <c r="L1638" s="8">
        <v>56</v>
      </c>
      <c r="M1638" s="7">
        <f>IF(INDEX([1]equip.xml!$B:$B,MATCH(D1638,[1]equip.xml!$A:$A,0))=0,0,N1638)</f>
        <v>1</v>
      </c>
      <c r="N1638" s="8">
        <v>1</v>
      </c>
    </row>
    <row r="1639" spans="1:14">
      <c r="A1639" s="8">
        <f t="shared" si="2477"/>
        <v>10023</v>
      </c>
      <c r="B1639" s="8">
        <f t="shared" ref="B1639:C1639" si="2591">B1551</f>
        <v>40000</v>
      </c>
      <c r="C1639" s="8" t="str">
        <f t="shared" si="2591"/>
        <v>装备</v>
      </c>
      <c r="D1639" s="8">
        <f t="shared" si="2541"/>
        <v>40950080</v>
      </c>
      <c r="E1639" s="8"/>
      <c r="F1639" s="8">
        <v>1</v>
      </c>
      <c r="G1639" s="7">
        <f>3*INDEX([1]equip.xml!$I:$I,MATCH(D1639,[1]equip.xml!$A:$A,0))</f>
        <v>300000</v>
      </c>
      <c r="H1639" s="8" t="str">
        <f t="shared" ref="H1639:J1639" si="2592">H1551</f>
        <v>10_10,50_20,80_30</v>
      </c>
      <c r="I1639" s="8">
        <f t="shared" si="2592"/>
        <v>6</v>
      </c>
      <c r="J1639" s="8">
        <f t="shared" si="2592"/>
        <v>50</v>
      </c>
      <c r="K1639" s="7" t="s">
        <v>312</v>
      </c>
      <c r="L1639" s="8">
        <v>56</v>
      </c>
      <c r="M1639" s="7">
        <f>IF(INDEX([1]equip.xml!$B:$B,MATCH(D1639,[1]equip.xml!$A:$A,0))=0,0,N1639)</f>
        <v>1</v>
      </c>
      <c r="N1639" s="8">
        <v>1</v>
      </c>
    </row>
    <row r="1640" spans="1:14">
      <c r="A1640" s="8">
        <f t="shared" si="2477"/>
        <v>10023</v>
      </c>
      <c r="B1640" s="8">
        <f t="shared" ref="B1640:C1640" si="2593">B1552</f>
        <v>40000</v>
      </c>
      <c r="C1640" s="8" t="str">
        <f t="shared" si="2593"/>
        <v>装备</v>
      </c>
      <c r="D1640" s="8">
        <f t="shared" si="2541"/>
        <v>40950090</v>
      </c>
      <c r="E1640" s="8"/>
      <c r="F1640" s="8">
        <v>1</v>
      </c>
      <c r="G1640" s="7">
        <f>3*INDEX([1]equip.xml!$I:$I,MATCH(D1640,[1]equip.xml!$A:$A,0))</f>
        <v>300000</v>
      </c>
      <c r="H1640" s="8" t="str">
        <f t="shared" ref="H1640:J1640" si="2594">H1552</f>
        <v>10_10,50_20,80_30</v>
      </c>
      <c r="I1640" s="8">
        <f t="shared" si="2594"/>
        <v>6</v>
      </c>
      <c r="J1640" s="8">
        <f t="shared" si="2594"/>
        <v>50</v>
      </c>
      <c r="K1640" s="7" t="s">
        <v>312</v>
      </c>
      <c r="L1640" s="8">
        <v>56</v>
      </c>
      <c r="M1640" s="7">
        <f>IF(INDEX([1]equip.xml!$B:$B,MATCH(D1640,[1]equip.xml!$A:$A,0))=0,0,N1640)</f>
        <v>1</v>
      </c>
      <c r="N1640" s="8">
        <v>1</v>
      </c>
    </row>
    <row r="1641" spans="1:14">
      <c r="A1641" s="8">
        <f t="shared" si="2477"/>
        <v>10023</v>
      </c>
      <c r="B1641" s="8">
        <f t="shared" ref="B1641:C1641" si="2595">B1553</f>
        <v>40000</v>
      </c>
      <c r="C1641" s="8" t="str">
        <f t="shared" si="2595"/>
        <v>装备</v>
      </c>
      <c r="D1641" s="8">
        <f t="shared" si="2541"/>
        <v>40950100</v>
      </c>
      <c r="E1641" s="8"/>
      <c r="F1641" s="8">
        <v>1</v>
      </c>
      <c r="G1641" s="7">
        <f>3*INDEX([1]equip.xml!$I:$I,MATCH(D1641,[1]equip.xml!$A:$A,0))</f>
        <v>300000</v>
      </c>
      <c r="H1641" s="8" t="str">
        <f t="shared" ref="H1641:J1641" si="2596">H1553</f>
        <v>10_10,50_20,80_30</v>
      </c>
      <c r="I1641" s="8">
        <f t="shared" si="2596"/>
        <v>6</v>
      </c>
      <c r="J1641" s="8">
        <f t="shared" si="2596"/>
        <v>50</v>
      </c>
      <c r="K1641" s="7" t="s">
        <v>312</v>
      </c>
      <c r="L1641" s="8">
        <v>56</v>
      </c>
      <c r="M1641" s="7">
        <f>IF(INDEX([1]equip.xml!$B:$B,MATCH(D1641,[1]equip.xml!$A:$A,0))=0,0,N1641)</f>
        <v>1</v>
      </c>
      <c r="N1641" s="8">
        <v>1</v>
      </c>
    </row>
    <row r="1642" spans="1:14">
      <c r="A1642" s="8">
        <f t="shared" si="2477"/>
        <v>10023</v>
      </c>
      <c r="B1642" s="8">
        <f t="shared" ref="B1642:C1642" si="2597">B1554</f>
        <v>40000</v>
      </c>
      <c r="C1642" s="8" t="str">
        <f t="shared" si="2597"/>
        <v>装备</v>
      </c>
      <c r="D1642" s="8">
        <f t="shared" si="2541"/>
        <v>40951050</v>
      </c>
      <c r="E1642" s="8"/>
      <c r="F1642" s="8">
        <v>1</v>
      </c>
      <c r="G1642" s="7">
        <f>3*INDEX([1]equip.xml!$I:$I,MATCH(D1642,[1]equip.xml!$A:$A,0))</f>
        <v>300000</v>
      </c>
      <c r="H1642" s="8" t="str">
        <f t="shared" ref="H1642:J1642" si="2598">H1554</f>
        <v>10_10,50_20,80_30</v>
      </c>
      <c r="I1642" s="8">
        <f t="shared" si="2598"/>
        <v>6</v>
      </c>
      <c r="J1642" s="8">
        <f t="shared" si="2598"/>
        <v>50</v>
      </c>
      <c r="K1642" s="7" t="s">
        <v>312</v>
      </c>
      <c r="L1642" s="8">
        <v>56</v>
      </c>
      <c r="M1642" s="7">
        <f>IF(INDEX([1]equip.xml!$B:$B,MATCH(D1642,[1]equip.xml!$A:$A,0))=0,0,N1642)</f>
        <v>1</v>
      </c>
      <c r="N1642" s="8">
        <v>1</v>
      </c>
    </row>
    <row r="1643" spans="1:14">
      <c r="A1643" s="8">
        <f t="shared" si="2477"/>
        <v>10023</v>
      </c>
      <c r="B1643" s="8">
        <f t="shared" ref="B1643:C1643" si="2599">B1555</f>
        <v>40000</v>
      </c>
      <c r="C1643" s="8" t="str">
        <f t="shared" si="2599"/>
        <v>装备</v>
      </c>
      <c r="D1643" s="8">
        <f t="shared" si="2541"/>
        <v>40951051</v>
      </c>
      <c r="E1643" s="8"/>
      <c r="F1643" s="8">
        <v>1</v>
      </c>
      <c r="G1643" s="7">
        <f>3*INDEX([1]equip.xml!$I:$I,MATCH(D1643,[1]equip.xml!$A:$A,0))</f>
        <v>309000</v>
      </c>
      <c r="H1643" s="8" t="str">
        <f t="shared" ref="H1643:J1643" si="2600">H1555</f>
        <v>10_10,50_20,80_30</v>
      </c>
      <c r="I1643" s="8">
        <f t="shared" si="2600"/>
        <v>6</v>
      </c>
      <c r="J1643" s="8">
        <f t="shared" si="2600"/>
        <v>50</v>
      </c>
      <c r="K1643" s="7" t="s">
        <v>312</v>
      </c>
      <c r="L1643" s="8">
        <v>56</v>
      </c>
      <c r="M1643" s="7">
        <f>IF(INDEX([1]equip.xml!$B:$B,MATCH(D1643,[1]equip.xml!$A:$A,0))=0,0,N1643)</f>
        <v>1</v>
      </c>
      <c r="N1643" s="8">
        <v>1</v>
      </c>
    </row>
    <row r="1644" spans="1:14">
      <c r="A1644" s="8">
        <f t="shared" si="2477"/>
        <v>10023</v>
      </c>
      <c r="B1644" s="8">
        <f t="shared" ref="B1644:C1644" si="2601">B1556</f>
        <v>40000</v>
      </c>
      <c r="C1644" s="8" t="str">
        <f t="shared" si="2601"/>
        <v>装备</v>
      </c>
      <c r="D1644" s="8">
        <f t="shared" si="2541"/>
        <v>40951060</v>
      </c>
      <c r="E1644" s="8"/>
      <c r="F1644" s="8">
        <v>1</v>
      </c>
      <c r="G1644" s="7">
        <f>3*INDEX([1]equip.xml!$I:$I,MATCH(D1644,[1]equip.xml!$A:$A,0))</f>
        <v>300000</v>
      </c>
      <c r="H1644" s="8" t="str">
        <f t="shared" ref="H1644:J1644" si="2602">H1556</f>
        <v>10_10,50_20,80_30</v>
      </c>
      <c r="I1644" s="8">
        <f t="shared" si="2602"/>
        <v>6</v>
      </c>
      <c r="J1644" s="8">
        <f t="shared" si="2602"/>
        <v>50</v>
      </c>
      <c r="K1644" s="7" t="s">
        <v>312</v>
      </c>
      <c r="L1644" s="8">
        <v>56</v>
      </c>
      <c r="M1644" s="7">
        <f>IF(INDEX([1]equip.xml!$B:$B,MATCH(D1644,[1]equip.xml!$A:$A,0))=0,0,N1644)</f>
        <v>1</v>
      </c>
      <c r="N1644" s="8">
        <v>1</v>
      </c>
    </row>
    <row r="1645" spans="1:14">
      <c r="A1645" s="8">
        <f t="shared" si="2477"/>
        <v>10023</v>
      </c>
      <c r="B1645" s="8">
        <f t="shared" ref="B1645:C1645" si="2603">B1557</f>
        <v>40000</v>
      </c>
      <c r="C1645" s="8" t="str">
        <f t="shared" si="2603"/>
        <v>装备</v>
      </c>
      <c r="D1645" s="8">
        <f t="shared" si="2541"/>
        <v>40951061</v>
      </c>
      <c r="E1645" s="8"/>
      <c r="F1645" s="8">
        <v>1</v>
      </c>
      <c r="G1645" s="7">
        <f>3*INDEX([1]equip.xml!$I:$I,MATCH(D1645,[1]equip.xml!$A:$A,0))</f>
        <v>309000</v>
      </c>
      <c r="H1645" s="8" t="str">
        <f t="shared" ref="H1645:J1645" si="2604">H1557</f>
        <v>10_10,50_20,80_30</v>
      </c>
      <c r="I1645" s="8">
        <f t="shared" si="2604"/>
        <v>6</v>
      </c>
      <c r="J1645" s="8">
        <f t="shared" si="2604"/>
        <v>50</v>
      </c>
      <c r="K1645" s="7" t="s">
        <v>312</v>
      </c>
      <c r="L1645" s="8">
        <v>56</v>
      </c>
      <c r="M1645" s="7">
        <f>IF(INDEX([1]equip.xml!$B:$B,MATCH(D1645,[1]equip.xml!$A:$A,0))=0,0,N1645)</f>
        <v>1</v>
      </c>
      <c r="N1645" s="8">
        <v>1</v>
      </c>
    </row>
    <row r="1646" spans="1:14">
      <c r="A1646" s="8">
        <f t="shared" si="2477"/>
        <v>10023</v>
      </c>
      <c r="B1646" s="8">
        <f t="shared" ref="B1646:C1646" si="2605">B1558</f>
        <v>40000</v>
      </c>
      <c r="C1646" s="8" t="str">
        <f t="shared" si="2605"/>
        <v>装备</v>
      </c>
      <c r="D1646" s="8">
        <f t="shared" si="2541"/>
        <v>40952050</v>
      </c>
      <c r="E1646" s="8"/>
      <c r="F1646" s="8">
        <v>1</v>
      </c>
      <c r="G1646" s="7">
        <f>3*INDEX([1]equip.xml!$I:$I,MATCH(D1646,[1]equip.xml!$A:$A,0))</f>
        <v>300000</v>
      </c>
      <c r="H1646" s="8" t="str">
        <f t="shared" ref="H1646:J1646" si="2606">H1558</f>
        <v>10_10,50_20,80_30</v>
      </c>
      <c r="I1646" s="8">
        <f t="shared" si="2606"/>
        <v>6</v>
      </c>
      <c r="J1646" s="8">
        <f t="shared" si="2606"/>
        <v>50</v>
      </c>
      <c r="K1646" s="7" t="s">
        <v>312</v>
      </c>
      <c r="L1646" s="8">
        <v>56</v>
      </c>
      <c r="M1646" s="7">
        <f>IF(INDEX([1]equip.xml!$B:$B,MATCH(D1646,[1]equip.xml!$A:$A,0))=0,0,N1646)</f>
        <v>1</v>
      </c>
      <c r="N1646" s="8">
        <v>1</v>
      </c>
    </row>
    <row r="1647" spans="1:14">
      <c r="A1647" s="8">
        <f t="shared" ref="A1647:A1710" si="2607">A1559+1</f>
        <v>10023</v>
      </c>
      <c r="B1647" s="8">
        <f t="shared" ref="B1647:C1647" si="2608">B1559</f>
        <v>40000</v>
      </c>
      <c r="C1647" s="8" t="str">
        <f t="shared" si="2608"/>
        <v>装备</v>
      </c>
      <c r="D1647" s="8">
        <f t="shared" si="2541"/>
        <v>40952051</v>
      </c>
      <c r="E1647" s="8"/>
      <c r="F1647" s="8">
        <v>1</v>
      </c>
      <c r="G1647" s="7">
        <f>3*INDEX([1]equip.xml!$I:$I,MATCH(D1647,[1]equip.xml!$A:$A,0))</f>
        <v>309000</v>
      </c>
      <c r="H1647" s="8" t="str">
        <f t="shared" ref="H1647:J1647" si="2609">H1559</f>
        <v>10_10,50_20,80_30</v>
      </c>
      <c r="I1647" s="8">
        <f t="shared" si="2609"/>
        <v>6</v>
      </c>
      <c r="J1647" s="8">
        <f t="shared" si="2609"/>
        <v>50</v>
      </c>
      <c r="K1647" s="7" t="s">
        <v>312</v>
      </c>
      <c r="L1647" s="8">
        <v>56</v>
      </c>
      <c r="M1647" s="7">
        <f>IF(INDEX([1]equip.xml!$B:$B,MATCH(D1647,[1]equip.xml!$A:$A,0))=0,0,N1647)</f>
        <v>1</v>
      </c>
      <c r="N1647" s="8">
        <v>1</v>
      </c>
    </row>
    <row r="1648" spans="1:14">
      <c r="A1648" s="8">
        <f t="shared" si="2607"/>
        <v>10023</v>
      </c>
      <c r="B1648" s="8">
        <f t="shared" ref="B1648:C1648" si="2610">B1560</f>
        <v>40000</v>
      </c>
      <c r="C1648" s="8" t="str">
        <f t="shared" si="2610"/>
        <v>装备</v>
      </c>
      <c r="D1648" s="8">
        <f t="shared" si="2541"/>
        <v>40952060</v>
      </c>
      <c r="E1648" s="8"/>
      <c r="F1648" s="8">
        <v>1</v>
      </c>
      <c r="G1648" s="7">
        <f>3*INDEX([1]equip.xml!$I:$I,MATCH(D1648,[1]equip.xml!$A:$A,0))</f>
        <v>300000</v>
      </c>
      <c r="H1648" s="8" t="str">
        <f t="shared" ref="H1648:J1648" si="2611">H1560</f>
        <v>10_10,50_20,80_30</v>
      </c>
      <c r="I1648" s="8">
        <f t="shared" si="2611"/>
        <v>6</v>
      </c>
      <c r="J1648" s="8">
        <f t="shared" si="2611"/>
        <v>50</v>
      </c>
      <c r="K1648" s="7" t="s">
        <v>312</v>
      </c>
      <c r="L1648" s="8">
        <v>56</v>
      </c>
      <c r="M1648" s="7">
        <f>IF(INDEX([1]equip.xml!$B:$B,MATCH(D1648,[1]equip.xml!$A:$A,0))=0,0,N1648)</f>
        <v>1</v>
      </c>
      <c r="N1648" s="8">
        <v>1</v>
      </c>
    </row>
    <row r="1649" spans="1:14">
      <c r="A1649" s="8">
        <f t="shared" si="2607"/>
        <v>10023</v>
      </c>
      <c r="B1649" s="8">
        <f t="shared" ref="B1649:C1649" si="2612">B1561</f>
        <v>40000</v>
      </c>
      <c r="C1649" s="8" t="str">
        <f t="shared" si="2612"/>
        <v>装备</v>
      </c>
      <c r="D1649" s="8">
        <f t="shared" si="2541"/>
        <v>40952061</v>
      </c>
      <c r="E1649" s="8"/>
      <c r="F1649" s="8">
        <v>1</v>
      </c>
      <c r="G1649" s="7">
        <f>3*INDEX([1]equip.xml!$I:$I,MATCH(D1649,[1]equip.xml!$A:$A,0))</f>
        <v>309000</v>
      </c>
      <c r="H1649" s="8" t="str">
        <f t="shared" ref="H1649:J1649" si="2613">H1561</f>
        <v>10_10,50_20,80_30</v>
      </c>
      <c r="I1649" s="8">
        <f t="shared" si="2613"/>
        <v>6</v>
      </c>
      <c r="J1649" s="8">
        <f t="shared" si="2613"/>
        <v>50</v>
      </c>
      <c r="K1649" s="7" t="s">
        <v>312</v>
      </c>
      <c r="L1649" s="8">
        <v>56</v>
      </c>
      <c r="M1649" s="7">
        <f>IF(INDEX([1]equip.xml!$B:$B,MATCH(D1649,[1]equip.xml!$A:$A,0))=0,0,N1649)</f>
        <v>1</v>
      </c>
      <c r="N1649" s="8">
        <v>1</v>
      </c>
    </row>
    <row r="1650" spans="1:14">
      <c r="A1650" s="8">
        <f t="shared" si="2607"/>
        <v>10023</v>
      </c>
      <c r="B1650" s="8">
        <f t="shared" ref="B1650:C1650" si="2614">B1562</f>
        <v>40000</v>
      </c>
      <c r="C1650" s="8" t="str">
        <f t="shared" si="2614"/>
        <v>装备</v>
      </c>
      <c r="D1650" s="8">
        <f t="shared" si="2541"/>
        <v>40953050</v>
      </c>
      <c r="E1650" s="8"/>
      <c r="F1650" s="8">
        <v>1</v>
      </c>
      <c r="G1650" s="7">
        <f>3*INDEX([1]equip.xml!$I:$I,MATCH(D1650,[1]equip.xml!$A:$A,0))</f>
        <v>300000</v>
      </c>
      <c r="H1650" s="8" t="str">
        <f t="shared" ref="H1650:J1650" si="2615">H1562</f>
        <v>10_10,50_20,80_30</v>
      </c>
      <c r="I1650" s="8">
        <f t="shared" si="2615"/>
        <v>6</v>
      </c>
      <c r="J1650" s="8">
        <f t="shared" si="2615"/>
        <v>50</v>
      </c>
      <c r="K1650" s="7" t="s">
        <v>312</v>
      </c>
      <c r="L1650" s="8">
        <v>56</v>
      </c>
      <c r="M1650" s="7">
        <f>IF(INDEX([1]equip.xml!$B:$B,MATCH(D1650,[1]equip.xml!$A:$A,0))=0,0,N1650)</f>
        <v>1</v>
      </c>
      <c r="N1650" s="8">
        <v>1</v>
      </c>
    </row>
    <row r="1651" spans="1:14">
      <c r="A1651" s="8">
        <f t="shared" si="2607"/>
        <v>10023</v>
      </c>
      <c r="B1651" s="8">
        <f t="shared" ref="B1651:C1651" si="2616">B1563</f>
        <v>40000</v>
      </c>
      <c r="C1651" s="8" t="str">
        <f t="shared" si="2616"/>
        <v>装备</v>
      </c>
      <c r="D1651" s="8">
        <f t="shared" si="2541"/>
        <v>40953051</v>
      </c>
      <c r="E1651" s="8"/>
      <c r="F1651" s="8">
        <v>1</v>
      </c>
      <c r="G1651" s="7">
        <f>3*INDEX([1]equip.xml!$I:$I,MATCH(D1651,[1]equip.xml!$A:$A,0))</f>
        <v>309000</v>
      </c>
      <c r="H1651" s="8" t="str">
        <f t="shared" ref="H1651:J1651" si="2617">H1563</f>
        <v>10_10,50_20,80_30</v>
      </c>
      <c r="I1651" s="8">
        <f t="shared" si="2617"/>
        <v>6</v>
      </c>
      <c r="J1651" s="8">
        <f t="shared" si="2617"/>
        <v>50</v>
      </c>
      <c r="K1651" s="7" t="s">
        <v>312</v>
      </c>
      <c r="L1651" s="8">
        <v>56</v>
      </c>
      <c r="M1651" s="7">
        <f>IF(INDEX([1]equip.xml!$B:$B,MATCH(D1651,[1]equip.xml!$A:$A,0))=0,0,N1651)</f>
        <v>1</v>
      </c>
      <c r="N1651" s="8">
        <v>1</v>
      </c>
    </row>
    <row r="1652" spans="1:14">
      <c r="A1652" s="8">
        <f t="shared" si="2607"/>
        <v>10023</v>
      </c>
      <c r="B1652" s="8">
        <f t="shared" ref="B1652:C1652" si="2618">B1564</f>
        <v>40000</v>
      </c>
      <c r="C1652" s="8" t="str">
        <f t="shared" si="2618"/>
        <v>装备</v>
      </c>
      <c r="D1652" s="8">
        <f t="shared" si="2541"/>
        <v>40953060</v>
      </c>
      <c r="E1652" s="8"/>
      <c r="F1652" s="8">
        <v>1</v>
      </c>
      <c r="G1652" s="7">
        <f>3*INDEX([1]equip.xml!$I:$I,MATCH(D1652,[1]equip.xml!$A:$A,0))</f>
        <v>300000</v>
      </c>
      <c r="H1652" s="8" t="str">
        <f t="shared" ref="H1652:J1652" si="2619">H1564</f>
        <v>10_10,50_20,80_30</v>
      </c>
      <c r="I1652" s="8">
        <f t="shared" si="2619"/>
        <v>6</v>
      </c>
      <c r="J1652" s="8">
        <f t="shared" si="2619"/>
        <v>50</v>
      </c>
      <c r="K1652" s="7" t="s">
        <v>312</v>
      </c>
      <c r="L1652" s="8">
        <v>56</v>
      </c>
      <c r="M1652" s="7">
        <f>IF(INDEX([1]equip.xml!$B:$B,MATCH(D1652,[1]equip.xml!$A:$A,0))=0,0,N1652)</f>
        <v>1</v>
      </c>
      <c r="N1652" s="8">
        <v>1</v>
      </c>
    </row>
    <row r="1653" spans="1:14">
      <c r="A1653" s="8">
        <f t="shared" si="2607"/>
        <v>10023</v>
      </c>
      <c r="B1653" s="8">
        <f t="shared" ref="B1653:C1653" si="2620">B1565</f>
        <v>40000</v>
      </c>
      <c r="C1653" s="8" t="str">
        <f t="shared" si="2620"/>
        <v>装备</v>
      </c>
      <c r="D1653" s="8">
        <f t="shared" si="2541"/>
        <v>40953061</v>
      </c>
      <c r="E1653" s="8"/>
      <c r="F1653" s="8">
        <v>1</v>
      </c>
      <c r="G1653" s="7">
        <f>3*INDEX([1]equip.xml!$I:$I,MATCH(D1653,[1]equip.xml!$A:$A,0))</f>
        <v>309000</v>
      </c>
      <c r="H1653" s="8" t="str">
        <f t="shared" ref="H1653:J1653" si="2621">H1565</f>
        <v>10_10,50_20,80_30</v>
      </c>
      <c r="I1653" s="8">
        <f t="shared" si="2621"/>
        <v>6</v>
      </c>
      <c r="J1653" s="8">
        <f t="shared" si="2621"/>
        <v>50</v>
      </c>
      <c r="K1653" s="7" t="s">
        <v>312</v>
      </c>
      <c r="L1653" s="8">
        <v>56</v>
      </c>
      <c r="M1653" s="7">
        <f>IF(INDEX([1]equip.xml!$B:$B,MATCH(D1653,[1]equip.xml!$A:$A,0))=0,0,N1653)</f>
        <v>1</v>
      </c>
      <c r="N1653" s="8">
        <v>1</v>
      </c>
    </row>
    <row r="1654" spans="1:14">
      <c r="A1654" s="8">
        <f t="shared" si="2607"/>
        <v>10023</v>
      </c>
      <c r="B1654" s="8">
        <f t="shared" ref="B1654:C1654" si="2622">B1566</f>
        <v>40000</v>
      </c>
      <c r="C1654" s="8" t="str">
        <f t="shared" si="2622"/>
        <v>装备</v>
      </c>
      <c r="D1654" s="8">
        <f t="shared" si="2541"/>
        <v>40950040</v>
      </c>
      <c r="E1654" s="8"/>
      <c r="F1654" s="8">
        <v>1</v>
      </c>
      <c r="G1654" s="7">
        <f>3*INDEX([1]equip.xml!$I:$I,MATCH(D1654,[1]equip.xml!$A:$A,0))</f>
        <v>300000</v>
      </c>
      <c r="H1654" s="8" t="str">
        <f t="shared" ref="H1654:J1654" si="2623">H1566</f>
        <v>10_10,50_20,80_30</v>
      </c>
      <c r="I1654" s="8">
        <f t="shared" si="2623"/>
        <v>6</v>
      </c>
      <c r="J1654" s="8">
        <f t="shared" si="2623"/>
        <v>50</v>
      </c>
      <c r="K1654" s="7" t="s">
        <v>312</v>
      </c>
      <c r="L1654" s="8">
        <v>56</v>
      </c>
      <c r="M1654" s="7">
        <f>IF(INDEX([1]equip.xml!$B:$B,MATCH(D1654,[1]equip.xml!$A:$A,0))=0,0,N1654)</f>
        <v>1</v>
      </c>
      <c r="N1654" s="8">
        <v>1</v>
      </c>
    </row>
    <row r="1655" spans="1:14">
      <c r="A1655" s="8">
        <f t="shared" si="2607"/>
        <v>10023</v>
      </c>
      <c r="B1655" s="8">
        <f t="shared" ref="B1655:C1655" si="2624">B1567</f>
        <v>40000</v>
      </c>
      <c r="C1655" s="8" t="str">
        <f t="shared" si="2624"/>
        <v>装备</v>
      </c>
      <c r="D1655" s="8">
        <f t="shared" si="2541"/>
        <v>40950041</v>
      </c>
      <c r="E1655" s="8"/>
      <c r="F1655" s="8">
        <v>1</v>
      </c>
      <c r="G1655" s="7">
        <f>3*INDEX([1]equip.xml!$I:$I,MATCH(D1655,[1]equip.xml!$A:$A,0))</f>
        <v>309000</v>
      </c>
      <c r="H1655" s="8" t="str">
        <f t="shared" ref="H1655:J1655" si="2625">H1567</f>
        <v>10_10,50_20,80_30</v>
      </c>
      <c r="I1655" s="8">
        <f t="shared" si="2625"/>
        <v>6</v>
      </c>
      <c r="J1655" s="8">
        <f t="shared" si="2625"/>
        <v>50</v>
      </c>
      <c r="K1655" s="7" t="s">
        <v>312</v>
      </c>
      <c r="L1655" s="8">
        <v>56</v>
      </c>
      <c r="M1655" s="7">
        <f>IF(INDEX([1]equip.xml!$B:$B,MATCH(D1655,[1]equip.xml!$A:$A,0))=0,0,N1655)</f>
        <v>1</v>
      </c>
      <c r="N1655" s="8">
        <v>1</v>
      </c>
    </row>
    <row r="1656" spans="1:14">
      <c r="A1656" s="8">
        <f t="shared" si="2607"/>
        <v>10023</v>
      </c>
      <c r="B1656" s="8">
        <f t="shared" ref="B1656:C1656" si="2626">B1568</f>
        <v>40000</v>
      </c>
      <c r="C1656" s="8" t="str">
        <f t="shared" si="2626"/>
        <v>装备</v>
      </c>
      <c r="D1656" s="8">
        <f t="shared" si="2541"/>
        <v>40950070</v>
      </c>
      <c r="E1656" s="8"/>
      <c r="F1656" s="8">
        <v>1</v>
      </c>
      <c r="G1656" s="7">
        <f>3*INDEX([1]equip.xml!$I:$I,MATCH(D1656,[1]equip.xml!$A:$A,0))</f>
        <v>300000</v>
      </c>
      <c r="H1656" s="8" t="str">
        <f t="shared" ref="H1656:J1656" si="2627">H1568</f>
        <v>10_10,50_20,80_30</v>
      </c>
      <c r="I1656" s="8">
        <f t="shared" si="2627"/>
        <v>6</v>
      </c>
      <c r="J1656" s="8">
        <f t="shared" si="2627"/>
        <v>50</v>
      </c>
      <c r="K1656" s="7" t="s">
        <v>312</v>
      </c>
      <c r="L1656" s="8">
        <v>56</v>
      </c>
      <c r="M1656" s="7">
        <f>IF(INDEX([1]equip.xml!$B:$B,MATCH(D1656,[1]equip.xml!$A:$A,0))=0,0,N1656)</f>
        <v>1</v>
      </c>
      <c r="N1656" s="8">
        <v>1</v>
      </c>
    </row>
    <row r="1657" spans="1:14">
      <c r="A1657" s="8">
        <f t="shared" si="2607"/>
        <v>10023</v>
      </c>
      <c r="B1657" s="8">
        <f t="shared" ref="B1657:C1657" si="2628">B1569</f>
        <v>40000</v>
      </c>
      <c r="C1657" s="8" t="str">
        <f t="shared" si="2628"/>
        <v>装备</v>
      </c>
      <c r="D1657" s="8">
        <f t="shared" si="2541"/>
        <v>40950071</v>
      </c>
      <c r="E1657" s="8"/>
      <c r="F1657" s="8">
        <v>1</v>
      </c>
      <c r="G1657" s="7">
        <f>3*INDEX([1]equip.xml!$I:$I,MATCH(D1657,[1]equip.xml!$A:$A,0))</f>
        <v>309000</v>
      </c>
      <c r="H1657" s="8" t="str">
        <f t="shared" ref="H1657:J1657" si="2629">H1569</f>
        <v>10_10,50_20,80_30</v>
      </c>
      <c r="I1657" s="8">
        <f t="shared" si="2629"/>
        <v>6</v>
      </c>
      <c r="J1657" s="8">
        <f t="shared" si="2629"/>
        <v>50</v>
      </c>
      <c r="K1657" s="7" t="s">
        <v>312</v>
      </c>
      <c r="L1657" s="8">
        <v>56</v>
      </c>
      <c r="M1657" s="7">
        <f>IF(INDEX([1]equip.xml!$B:$B,MATCH(D1657,[1]equip.xml!$A:$A,0))=0,0,N1657)</f>
        <v>1</v>
      </c>
      <c r="N1657" s="8">
        <v>1</v>
      </c>
    </row>
    <row r="1658" spans="1:14">
      <c r="A1658" s="8">
        <f t="shared" si="2607"/>
        <v>10023</v>
      </c>
      <c r="B1658" s="8">
        <f t="shared" ref="B1658:C1658" si="2630">B1570</f>
        <v>40000</v>
      </c>
      <c r="C1658" s="8" t="str">
        <f t="shared" si="2630"/>
        <v>装备</v>
      </c>
      <c r="D1658" s="7">
        <f>D1614+10000005</f>
        <v>50900015</v>
      </c>
      <c r="E1658" s="8"/>
      <c r="F1658" s="8">
        <v>1</v>
      </c>
      <c r="G1658" s="7">
        <f>3*INDEX([1]equip.xml!$I:$I,MATCH(D1658,[1]equip.xml!$A:$A,0))</f>
        <v>564000</v>
      </c>
      <c r="H1658" s="8" t="str">
        <f t="shared" ref="H1658:J1658" si="2631">H1570</f>
        <v>10_10,50_20,80_30</v>
      </c>
      <c r="I1658" s="8">
        <f t="shared" si="2631"/>
        <v>1</v>
      </c>
      <c r="J1658" s="8">
        <f t="shared" si="2631"/>
        <v>240</v>
      </c>
      <c r="K1658" s="7" t="s">
        <v>312</v>
      </c>
      <c r="L1658" s="8">
        <v>56</v>
      </c>
      <c r="M1658" s="7">
        <f>IF(INDEX([1]equip.xml!$B:$B,MATCH(D1658,[1]equip.xml!$A:$A,0))=0,0,N1658)</f>
        <v>70</v>
      </c>
      <c r="N1658" s="8">
        <v>70</v>
      </c>
    </row>
    <row r="1659" spans="1:14">
      <c r="A1659" s="8">
        <f t="shared" si="2607"/>
        <v>10023</v>
      </c>
      <c r="B1659" s="8">
        <f t="shared" ref="B1659:C1659" si="2632">B1571</f>
        <v>40000</v>
      </c>
      <c r="C1659" s="8" t="str">
        <f t="shared" si="2632"/>
        <v>装备</v>
      </c>
      <c r="D1659" s="7">
        <f t="shared" ref="D1659:D1701" si="2633">D1615+10000005</f>
        <v>50900025</v>
      </c>
      <c r="E1659" s="8"/>
      <c r="F1659" s="8">
        <v>1</v>
      </c>
      <c r="G1659" s="7">
        <f>3*INDEX([1]equip.xml!$I:$I,MATCH(D1659,[1]equip.xml!$A:$A,0))</f>
        <v>564000</v>
      </c>
      <c r="H1659" s="8" t="str">
        <f t="shared" ref="H1659:J1659" si="2634">H1571</f>
        <v>10_10,50_20,80_30</v>
      </c>
      <c r="I1659" s="8">
        <f t="shared" si="2634"/>
        <v>1</v>
      </c>
      <c r="J1659" s="8">
        <f t="shared" si="2634"/>
        <v>240</v>
      </c>
      <c r="K1659" s="7" t="s">
        <v>312</v>
      </c>
      <c r="L1659" s="8">
        <v>56</v>
      </c>
      <c r="M1659" s="7">
        <f>IF(INDEX([1]equip.xml!$B:$B,MATCH(D1659,[1]equip.xml!$A:$A,0))=0,0,N1659)</f>
        <v>70</v>
      </c>
      <c r="N1659" s="8">
        <v>70</v>
      </c>
    </row>
    <row r="1660" spans="1:14">
      <c r="A1660" s="8">
        <f t="shared" si="2607"/>
        <v>10023</v>
      </c>
      <c r="B1660" s="8">
        <f t="shared" ref="B1660:C1660" si="2635">B1572</f>
        <v>40000</v>
      </c>
      <c r="C1660" s="8" t="str">
        <f t="shared" si="2635"/>
        <v>装备</v>
      </c>
      <c r="D1660" s="7">
        <f t="shared" si="2633"/>
        <v>50900035</v>
      </c>
      <c r="E1660" s="8"/>
      <c r="F1660" s="8">
        <v>1</v>
      </c>
      <c r="G1660" s="7">
        <f>3*INDEX([1]equip.xml!$I:$I,MATCH(D1660,[1]equip.xml!$A:$A,0))</f>
        <v>564000</v>
      </c>
      <c r="H1660" s="8" t="str">
        <f t="shared" ref="H1660:J1660" si="2636">H1572</f>
        <v>10_10,50_20,80_30</v>
      </c>
      <c r="I1660" s="8">
        <f t="shared" si="2636"/>
        <v>1</v>
      </c>
      <c r="J1660" s="8">
        <f t="shared" si="2636"/>
        <v>240</v>
      </c>
      <c r="K1660" s="7" t="s">
        <v>312</v>
      </c>
      <c r="L1660" s="8">
        <v>56</v>
      </c>
      <c r="M1660" s="7">
        <f>IF(INDEX([1]equip.xml!$B:$B,MATCH(D1660,[1]equip.xml!$A:$A,0))=0,0,N1660)</f>
        <v>70</v>
      </c>
      <c r="N1660" s="8">
        <v>70</v>
      </c>
    </row>
    <row r="1661" spans="1:14">
      <c r="A1661" s="8">
        <f t="shared" si="2607"/>
        <v>10023</v>
      </c>
      <c r="B1661" s="8">
        <f t="shared" ref="B1661:C1661" si="2637">B1573</f>
        <v>40000</v>
      </c>
      <c r="C1661" s="8" t="str">
        <f t="shared" si="2637"/>
        <v>装备</v>
      </c>
      <c r="D1661" s="7">
        <f t="shared" si="2633"/>
        <v>50900085</v>
      </c>
      <c r="E1661" s="8"/>
      <c r="F1661" s="8">
        <v>1</v>
      </c>
      <c r="G1661" s="7">
        <f>3*INDEX([1]equip.xml!$I:$I,MATCH(D1661,[1]equip.xml!$A:$A,0))</f>
        <v>564000</v>
      </c>
      <c r="H1661" s="8" t="str">
        <f t="shared" ref="H1661:J1661" si="2638">H1573</f>
        <v>10_10,50_20,80_30</v>
      </c>
      <c r="I1661" s="8">
        <f t="shared" si="2638"/>
        <v>1</v>
      </c>
      <c r="J1661" s="8">
        <f t="shared" si="2638"/>
        <v>240</v>
      </c>
      <c r="K1661" s="7" t="s">
        <v>312</v>
      </c>
      <c r="L1661" s="8">
        <v>56</v>
      </c>
      <c r="M1661" s="7">
        <f>IF(INDEX([1]equip.xml!$B:$B,MATCH(D1661,[1]equip.xml!$A:$A,0))=0,0,N1661)</f>
        <v>70</v>
      </c>
      <c r="N1661" s="8">
        <v>70</v>
      </c>
    </row>
    <row r="1662" spans="1:14">
      <c r="A1662" s="8">
        <f t="shared" si="2607"/>
        <v>10023</v>
      </c>
      <c r="B1662" s="8">
        <f t="shared" ref="B1662:C1662" si="2639">B1574</f>
        <v>40000</v>
      </c>
      <c r="C1662" s="8" t="str">
        <f t="shared" si="2639"/>
        <v>装备</v>
      </c>
      <c r="D1662" s="7">
        <f t="shared" si="2633"/>
        <v>50900095</v>
      </c>
      <c r="E1662" s="8"/>
      <c r="F1662" s="8">
        <v>1</v>
      </c>
      <c r="G1662" s="7">
        <f>3*INDEX([1]equip.xml!$I:$I,MATCH(D1662,[1]equip.xml!$A:$A,0))</f>
        <v>564000</v>
      </c>
      <c r="H1662" s="8" t="str">
        <f t="shared" ref="H1662:J1662" si="2640">H1574</f>
        <v>10_10,50_20,80_30</v>
      </c>
      <c r="I1662" s="8">
        <f t="shared" si="2640"/>
        <v>1</v>
      </c>
      <c r="J1662" s="8">
        <f t="shared" si="2640"/>
        <v>240</v>
      </c>
      <c r="K1662" s="7" t="s">
        <v>312</v>
      </c>
      <c r="L1662" s="8">
        <v>56</v>
      </c>
      <c r="M1662" s="7">
        <f>IF(INDEX([1]equip.xml!$B:$B,MATCH(D1662,[1]equip.xml!$A:$A,0))=0,0,N1662)</f>
        <v>70</v>
      </c>
      <c r="N1662" s="8">
        <v>70</v>
      </c>
    </row>
    <row r="1663" spans="1:14">
      <c r="A1663" s="8">
        <f t="shared" si="2607"/>
        <v>10023</v>
      </c>
      <c r="B1663" s="8">
        <f t="shared" ref="B1663:C1663" si="2641">B1575</f>
        <v>40000</v>
      </c>
      <c r="C1663" s="8" t="str">
        <f t="shared" si="2641"/>
        <v>装备</v>
      </c>
      <c r="D1663" s="7">
        <f t="shared" si="2633"/>
        <v>50900105</v>
      </c>
      <c r="E1663" s="8"/>
      <c r="F1663" s="8">
        <v>1</v>
      </c>
      <c r="G1663" s="7">
        <f>3*INDEX([1]equip.xml!$I:$I,MATCH(D1663,[1]equip.xml!$A:$A,0))</f>
        <v>564000</v>
      </c>
      <c r="H1663" s="8" t="str">
        <f t="shared" ref="H1663:J1663" si="2642">H1575</f>
        <v>10_10,50_20,80_30</v>
      </c>
      <c r="I1663" s="8">
        <f t="shared" si="2642"/>
        <v>1</v>
      </c>
      <c r="J1663" s="8">
        <f t="shared" si="2642"/>
        <v>240</v>
      </c>
      <c r="K1663" s="7" t="s">
        <v>312</v>
      </c>
      <c r="L1663" s="8">
        <v>56</v>
      </c>
      <c r="M1663" s="7">
        <f>IF(INDEX([1]equip.xml!$B:$B,MATCH(D1663,[1]equip.xml!$A:$A,0))=0,0,N1663)</f>
        <v>70</v>
      </c>
      <c r="N1663" s="8">
        <v>70</v>
      </c>
    </row>
    <row r="1664" spans="1:14">
      <c r="A1664" s="8">
        <f t="shared" si="2607"/>
        <v>10023</v>
      </c>
      <c r="B1664" s="8">
        <f t="shared" ref="B1664:C1664" si="2643">B1576</f>
        <v>40000</v>
      </c>
      <c r="C1664" s="8" t="str">
        <f t="shared" si="2643"/>
        <v>装备</v>
      </c>
      <c r="D1664" s="7">
        <f t="shared" si="2633"/>
        <v>50901055</v>
      </c>
      <c r="E1664" s="8"/>
      <c r="F1664" s="8">
        <v>1</v>
      </c>
      <c r="G1664" s="7">
        <f>3*INDEX([1]equip.xml!$I:$I,MATCH(D1664,[1]equip.xml!$A:$A,0))</f>
        <v>564000</v>
      </c>
      <c r="H1664" s="8" t="str">
        <f t="shared" ref="H1664:J1664" si="2644">H1576</f>
        <v>10_10,50_20,80_30</v>
      </c>
      <c r="I1664" s="8">
        <f t="shared" si="2644"/>
        <v>1</v>
      </c>
      <c r="J1664" s="8">
        <f t="shared" si="2644"/>
        <v>240</v>
      </c>
      <c r="K1664" s="7" t="s">
        <v>312</v>
      </c>
      <c r="L1664" s="8">
        <v>56</v>
      </c>
      <c r="M1664" s="7">
        <f>IF(INDEX([1]equip.xml!$B:$B,MATCH(D1664,[1]equip.xml!$A:$A,0))=0,0,N1664)</f>
        <v>70</v>
      </c>
      <c r="N1664" s="8">
        <v>70</v>
      </c>
    </row>
    <row r="1665" spans="1:14">
      <c r="A1665" s="8">
        <f t="shared" si="2607"/>
        <v>10023</v>
      </c>
      <c r="B1665" s="8">
        <f t="shared" ref="B1665:C1665" si="2645">B1577</f>
        <v>40000</v>
      </c>
      <c r="C1665" s="8" t="str">
        <f t="shared" si="2645"/>
        <v>装备</v>
      </c>
      <c r="D1665" s="7">
        <f t="shared" si="2633"/>
        <v>50901056</v>
      </c>
      <c r="E1665" s="8"/>
      <c r="F1665" s="8">
        <v>1</v>
      </c>
      <c r="G1665" s="7">
        <f>3*INDEX([1]equip.xml!$I:$I,MATCH(D1665,[1]equip.xml!$A:$A,0))</f>
        <v>582000</v>
      </c>
      <c r="H1665" s="8" t="str">
        <f t="shared" ref="H1665:J1665" si="2646">H1577</f>
        <v>10_10,50_20,80_30</v>
      </c>
      <c r="I1665" s="8">
        <f t="shared" si="2646"/>
        <v>1</v>
      </c>
      <c r="J1665" s="8">
        <f t="shared" si="2646"/>
        <v>240</v>
      </c>
      <c r="K1665" s="7" t="s">
        <v>312</v>
      </c>
      <c r="L1665" s="8">
        <v>56</v>
      </c>
      <c r="M1665" s="7">
        <f>IF(INDEX([1]equip.xml!$B:$B,MATCH(D1665,[1]equip.xml!$A:$A,0))=0,0,N1665)</f>
        <v>70</v>
      </c>
      <c r="N1665" s="8">
        <v>70</v>
      </c>
    </row>
    <row r="1666" spans="1:14">
      <c r="A1666" s="8">
        <f t="shared" si="2607"/>
        <v>10023</v>
      </c>
      <c r="B1666" s="8">
        <f t="shared" ref="B1666:C1666" si="2647">B1578</f>
        <v>40000</v>
      </c>
      <c r="C1666" s="8" t="str">
        <f t="shared" si="2647"/>
        <v>装备</v>
      </c>
      <c r="D1666" s="7">
        <f t="shared" si="2633"/>
        <v>50901065</v>
      </c>
      <c r="E1666" s="8"/>
      <c r="F1666" s="8">
        <v>1</v>
      </c>
      <c r="G1666" s="7">
        <f>3*INDEX([1]equip.xml!$I:$I,MATCH(D1666,[1]equip.xml!$A:$A,0))</f>
        <v>564000</v>
      </c>
      <c r="H1666" s="8" t="str">
        <f t="shared" ref="H1666:J1666" si="2648">H1578</f>
        <v>10_10,50_20,80_30</v>
      </c>
      <c r="I1666" s="8">
        <f t="shared" si="2648"/>
        <v>1</v>
      </c>
      <c r="J1666" s="8">
        <f t="shared" si="2648"/>
        <v>240</v>
      </c>
      <c r="K1666" s="7" t="s">
        <v>312</v>
      </c>
      <c r="L1666" s="8">
        <v>56</v>
      </c>
      <c r="M1666" s="7">
        <f>IF(INDEX([1]equip.xml!$B:$B,MATCH(D1666,[1]equip.xml!$A:$A,0))=0,0,N1666)</f>
        <v>70</v>
      </c>
      <c r="N1666" s="8">
        <v>70</v>
      </c>
    </row>
    <row r="1667" spans="1:14">
      <c r="A1667" s="8">
        <f t="shared" si="2607"/>
        <v>10023</v>
      </c>
      <c r="B1667" s="8">
        <f t="shared" ref="B1667:C1667" si="2649">B1579</f>
        <v>40000</v>
      </c>
      <c r="C1667" s="8" t="str">
        <f t="shared" si="2649"/>
        <v>装备</v>
      </c>
      <c r="D1667" s="7">
        <f t="shared" si="2633"/>
        <v>50901066</v>
      </c>
      <c r="E1667" s="8"/>
      <c r="F1667" s="8">
        <v>1</v>
      </c>
      <c r="G1667" s="7">
        <f>3*INDEX([1]equip.xml!$I:$I,MATCH(D1667,[1]equip.xml!$A:$A,0))</f>
        <v>582000</v>
      </c>
      <c r="H1667" s="8" t="str">
        <f t="shared" ref="H1667:J1667" si="2650">H1579</f>
        <v>10_10,50_20,80_30</v>
      </c>
      <c r="I1667" s="8">
        <f t="shared" si="2650"/>
        <v>1</v>
      </c>
      <c r="J1667" s="8">
        <f t="shared" si="2650"/>
        <v>240</v>
      </c>
      <c r="K1667" s="7" t="s">
        <v>312</v>
      </c>
      <c r="L1667" s="8">
        <v>56</v>
      </c>
      <c r="M1667" s="7">
        <f>IF(INDEX([1]equip.xml!$B:$B,MATCH(D1667,[1]equip.xml!$A:$A,0))=0,0,N1667)</f>
        <v>70</v>
      </c>
      <c r="N1667" s="8">
        <v>70</v>
      </c>
    </row>
    <row r="1668" spans="1:14">
      <c r="A1668" s="8">
        <f t="shared" si="2607"/>
        <v>10023</v>
      </c>
      <c r="B1668" s="8">
        <f t="shared" ref="B1668:C1668" si="2651">B1580</f>
        <v>40000</v>
      </c>
      <c r="C1668" s="8" t="str">
        <f t="shared" si="2651"/>
        <v>装备</v>
      </c>
      <c r="D1668" s="7">
        <f t="shared" si="2633"/>
        <v>50902055</v>
      </c>
      <c r="E1668" s="8"/>
      <c r="F1668" s="8">
        <v>1</v>
      </c>
      <c r="G1668" s="7">
        <f>3*INDEX([1]equip.xml!$I:$I,MATCH(D1668,[1]equip.xml!$A:$A,0))</f>
        <v>564000</v>
      </c>
      <c r="H1668" s="8" t="str">
        <f t="shared" ref="H1668:J1668" si="2652">H1580</f>
        <v>10_10,50_20,80_30</v>
      </c>
      <c r="I1668" s="8">
        <f t="shared" si="2652"/>
        <v>1</v>
      </c>
      <c r="J1668" s="8">
        <f t="shared" si="2652"/>
        <v>240</v>
      </c>
      <c r="K1668" s="7" t="s">
        <v>312</v>
      </c>
      <c r="L1668" s="8">
        <v>56</v>
      </c>
      <c r="M1668" s="7">
        <f>IF(INDEX([1]equip.xml!$B:$B,MATCH(D1668,[1]equip.xml!$A:$A,0))=0,0,N1668)</f>
        <v>70</v>
      </c>
      <c r="N1668" s="8">
        <v>70</v>
      </c>
    </row>
    <row r="1669" spans="1:14">
      <c r="A1669" s="8">
        <f t="shared" si="2607"/>
        <v>10023</v>
      </c>
      <c r="B1669" s="8">
        <f t="shared" ref="B1669:C1669" si="2653">B1581</f>
        <v>40000</v>
      </c>
      <c r="C1669" s="8" t="str">
        <f t="shared" si="2653"/>
        <v>装备</v>
      </c>
      <c r="D1669" s="7">
        <f t="shared" si="2633"/>
        <v>50902056</v>
      </c>
      <c r="E1669" s="8"/>
      <c r="F1669" s="8">
        <v>1</v>
      </c>
      <c r="G1669" s="7">
        <f>3*INDEX([1]equip.xml!$I:$I,MATCH(D1669,[1]equip.xml!$A:$A,0))</f>
        <v>582000</v>
      </c>
      <c r="H1669" s="8" t="str">
        <f t="shared" ref="H1669:J1669" si="2654">H1581</f>
        <v>10_10,50_20,80_30</v>
      </c>
      <c r="I1669" s="8">
        <f t="shared" si="2654"/>
        <v>1</v>
      </c>
      <c r="J1669" s="8">
        <f t="shared" si="2654"/>
        <v>240</v>
      </c>
      <c r="K1669" s="7" t="s">
        <v>312</v>
      </c>
      <c r="L1669" s="8">
        <v>56</v>
      </c>
      <c r="M1669" s="7">
        <f>IF(INDEX([1]equip.xml!$B:$B,MATCH(D1669,[1]equip.xml!$A:$A,0))=0,0,N1669)</f>
        <v>70</v>
      </c>
      <c r="N1669" s="8">
        <v>70</v>
      </c>
    </row>
    <row r="1670" spans="1:14">
      <c r="A1670" s="8">
        <f t="shared" si="2607"/>
        <v>10023</v>
      </c>
      <c r="B1670" s="8">
        <f t="shared" ref="B1670:C1670" si="2655">B1582</f>
        <v>40000</v>
      </c>
      <c r="C1670" s="8" t="str">
        <f t="shared" si="2655"/>
        <v>装备</v>
      </c>
      <c r="D1670" s="7">
        <f t="shared" si="2633"/>
        <v>50902065</v>
      </c>
      <c r="E1670" s="8"/>
      <c r="F1670" s="8">
        <v>1</v>
      </c>
      <c r="G1670" s="7">
        <f>3*INDEX([1]equip.xml!$I:$I,MATCH(D1670,[1]equip.xml!$A:$A,0))</f>
        <v>564000</v>
      </c>
      <c r="H1670" s="8" t="str">
        <f t="shared" ref="H1670:J1670" si="2656">H1582</f>
        <v>10_10,50_20,80_30</v>
      </c>
      <c r="I1670" s="8">
        <f t="shared" si="2656"/>
        <v>1</v>
      </c>
      <c r="J1670" s="8">
        <f t="shared" si="2656"/>
        <v>240</v>
      </c>
      <c r="K1670" s="7" t="s">
        <v>312</v>
      </c>
      <c r="L1670" s="8">
        <v>56</v>
      </c>
      <c r="M1670" s="7">
        <f>IF(INDEX([1]equip.xml!$B:$B,MATCH(D1670,[1]equip.xml!$A:$A,0))=0,0,N1670)</f>
        <v>70</v>
      </c>
      <c r="N1670" s="8">
        <v>70</v>
      </c>
    </row>
    <row r="1671" spans="1:14">
      <c r="A1671" s="8">
        <f t="shared" si="2607"/>
        <v>10023</v>
      </c>
      <c r="B1671" s="8">
        <f t="shared" ref="B1671:C1671" si="2657">B1583</f>
        <v>40000</v>
      </c>
      <c r="C1671" s="8" t="str">
        <f t="shared" si="2657"/>
        <v>装备</v>
      </c>
      <c r="D1671" s="7">
        <f t="shared" si="2633"/>
        <v>50902066</v>
      </c>
      <c r="E1671" s="8"/>
      <c r="F1671" s="8">
        <v>1</v>
      </c>
      <c r="G1671" s="7">
        <f>3*INDEX([1]equip.xml!$I:$I,MATCH(D1671,[1]equip.xml!$A:$A,0))</f>
        <v>582000</v>
      </c>
      <c r="H1671" s="8" t="str">
        <f t="shared" ref="H1671:J1671" si="2658">H1583</f>
        <v>10_10,50_20,80_30</v>
      </c>
      <c r="I1671" s="8">
        <f t="shared" si="2658"/>
        <v>1</v>
      </c>
      <c r="J1671" s="8">
        <f t="shared" si="2658"/>
        <v>240</v>
      </c>
      <c r="K1671" s="7" t="s">
        <v>312</v>
      </c>
      <c r="L1671" s="8">
        <v>56</v>
      </c>
      <c r="M1671" s="7">
        <f>IF(INDEX([1]equip.xml!$B:$B,MATCH(D1671,[1]equip.xml!$A:$A,0))=0,0,N1671)</f>
        <v>70</v>
      </c>
      <c r="N1671" s="8">
        <v>70</v>
      </c>
    </row>
    <row r="1672" spans="1:14">
      <c r="A1672" s="8">
        <f t="shared" si="2607"/>
        <v>10023</v>
      </c>
      <c r="B1672" s="8">
        <f t="shared" ref="B1672:C1672" si="2659">B1584</f>
        <v>40000</v>
      </c>
      <c r="C1672" s="8" t="str">
        <f t="shared" si="2659"/>
        <v>装备</v>
      </c>
      <c r="D1672" s="7">
        <f t="shared" si="2633"/>
        <v>50903055</v>
      </c>
      <c r="E1672" s="8"/>
      <c r="F1672" s="8">
        <v>1</v>
      </c>
      <c r="G1672" s="7">
        <f>3*INDEX([1]equip.xml!$I:$I,MATCH(D1672,[1]equip.xml!$A:$A,0))</f>
        <v>564000</v>
      </c>
      <c r="H1672" s="8" t="str">
        <f t="shared" ref="H1672:J1672" si="2660">H1584</f>
        <v>10_10,50_20,80_30</v>
      </c>
      <c r="I1672" s="8">
        <f t="shared" si="2660"/>
        <v>1</v>
      </c>
      <c r="J1672" s="8">
        <f t="shared" si="2660"/>
        <v>240</v>
      </c>
      <c r="K1672" s="7" t="s">
        <v>312</v>
      </c>
      <c r="L1672" s="8">
        <v>56</v>
      </c>
      <c r="M1672" s="7">
        <f>IF(INDEX([1]equip.xml!$B:$B,MATCH(D1672,[1]equip.xml!$A:$A,0))=0,0,N1672)</f>
        <v>70</v>
      </c>
      <c r="N1672" s="8">
        <v>70</v>
      </c>
    </row>
    <row r="1673" spans="1:14">
      <c r="A1673" s="8">
        <f t="shared" si="2607"/>
        <v>10023</v>
      </c>
      <c r="B1673" s="8">
        <f t="shared" ref="B1673:C1673" si="2661">B1585</f>
        <v>40000</v>
      </c>
      <c r="C1673" s="8" t="str">
        <f t="shared" si="2661"/>
        <v>装备</v>
      </c>
      <c r="D1673" s="7">
        <f t="shared" si="2633"/>
        <v>50903056</v>
      </c>
      <c r="E1673" s="8"/>
      <c r="F1673" s="8">
        <v>1</v>
      </c>
      <c r="G1673" s="7">
        <f>3*INDEX([1]equip.xml!$I:$I,MATCH(D1673,[1]equip.xml!$A:$A,0))</f>
        <v>582000</v>
      </c>
      <c r="H1673" s="8" t="str">
        <f t="shared" ref="H1673:J1673" si="2662">H1585</f>
        <v>10_10,50_20,80_30</v>
      </c>
      <c r="I1673" s="8">
        <f t="shared" si="2662"/>
        <v>1</v>
      </c>
      <c r="J1673" s="8">
        <f t="shared" si="2662"/>
        <v>240</v>
      </c>
      <c r="K1673" s="7" t="s">
        <v>312</v>
      </c>
      <c r="L1673" s="8">
        <v>56</v>
      </c>
      <c r="M1673" s="7">
        <f>IF(INDEX([1]equip.xml!$B:$B,MATCH(D1673,[1]equip.xml!$A:$A,0))=0,0,N1673)</f>
        <v>70</v>
      </c>
      <c r="N1673" s="8">
        <v>70</v>
      </c>
    </row>
    <row r="1674" spans="1:14">
      <c r="A1674" s="8">
        <f t="shared" si="2607"/>
        <v>10023</v>
      </c>
      <c r="B1674" s="8">
        <f t="shared" ref="B1674:C1674" si="2663">B1586</f>
        <v>40000</v>
      </c>
      <c r="C1674" s="8" t="str">
        <f t="shared" si="2663"/>
        <v>装备</v>
      </c>
      <c r="D1674" s="7">
        <f t="shared" si="2633"/>
        <v>50903065</v>
      </c>
      <c r="E1674" s="8"/>
      <c r="F1674" s="8">
        <v>1</v>
      </c>
      <c r="G1674" s="7">
        <f>3*INDEX([1]equip.xml!$I:$I,MATCH(D1674,[1]equip.xml!$A:$A,0))</f>
        <v>564000</v>
      </c>
      <c r="H1674" s="8" t="str">
        <f t="shared" ref="H1674:J1674" si="2664">H1586</f>
        <v>10_10,50_20,80_30</v>
      </c>
      <c r="I1674" s="8">
        <f t="shared" si="2664"/>
        <v>1</v>
      </c>
      <c r="J1674" s="8">
        <f t="shared" si="2664"/>
        <v>240</v>
      </c>
      <c r="K1674" s="7" t="s">
        <v>312</v>
      </c>
      <c r="L1674" s="8">
        <v>56</v>
      </c>
      <c r="M1674" s="7">
        <f>IF(INDEX([1]equip.xml!$B:$B,MATCH(D1674,[1]equip.xml!$A:$A,0))=0,0,N1674)</f>
        <v>70</v>
      </c>
      <c r="N1674" s="8">
        <v>70</v>
      </c>
    </row>
    <row r="1675" spans="1:14">
      <c r="A1675" s="8">
        <f t="shared" si="2607"/>
        <v>10023</v>
      </c>
      <c r="B1675" s="8">
        <f t="shared" ref="B1675:C1675" si="2665">B1587</f>
        <v>40000</v>
      </c>
      <c r="C1675" s="8" t="str">
        <f t="shared" si="2665"/>
        <v>装备</v>
      </c>
      <c r="D1675" s="7">
        <f t="shared" si="2633"/>
        <v>50903066</v>
      </c>
      <c r="E1675" s="8"/>
      <c r="F1675" s="8">
        <v>1</v>
      </c>
      <c r="G1675" s="7">
        <f>3*INDEX([1]equip.xml!$I:$I,MATCH(D1675,[1]equip.xml!$A:$A,0))</f>
        <v>582000</v>
      </c>
      <c r="H1675" s="8" t="str">
        <f t="shared" ref="H1675:J1675" si="2666">H1587</f>
        <v>10_10,50_20,80_30</v>
      </c>
      <c r="I1675" s="8">
        <f t="shared" si="2666"/>
        <v>1</v>
      </c>
      <c r="J1675" s="8">
        <f t="shared" si="2666"/>
        <v>240</v>
      </c>
      <c r="K1675" s="7" t="s">
        <v>312</v>
      </c>
      <c r="L1675" s="8">
        <v>56</v>
      </c>
      <c r="M1675" s="7">
        <f>IF(INDEX([1]equip.xml!$B:$B,MATCH(D1675,[1]equip.xml!$A:$A,0))=0,0,N1675)</f>
        <v>70</v>
      </c>
      <c r="N1675" s="8">
        <v>70</v>
      </c>
    </row>
    <row r="1676" spans="1:14">
      <c r="A1676" s="8">
        <f t="shared" si="2607"/>
        <v>10023</v>
      </c>
      <c r="B1676" s="8">
        <f t="shared" ref="B1676:C1676" si="2667">B1588</f>
        <v>40000</v>
      </c>
      <c r="C1676" s="8" t="str">
        <f t="shared" si="2667"/>
        <v>装备</v>
      </c>
      <c r="D1676" s="7">
        <f t="shared" si="2633"/>
        <v>50900045</v>
      </c>
      <c r="E1676" s="8"/>
      <c r="F1676" s="8">
        <v>1</v>
      </c>
      <c r="G1676" s="7">
        <f>3*INDEX([1]equip.xml!$I:$I,MATCH(D1676,[1]equip.xml!$A:$A,0))</f>
        <v>564000</v>
      </c>
      <c r="H1676" s="8" t="str">
        <f t="shared" ref="H1676:J1676" si="2668">H1588</f>
        <v>10_10,50_20,80_30</v>
      </c>
      <c r="I1676" s="8">
        <f t="shared" si="2668"/>
        <v>1</v>
      </c>
      <c r="J1676" s="8">
        <f t="shared" si="2668"/>
        <v>240</v>
      </c>
      <c r="K1676" s="7" t="s">
        <v>312</v>
      </c>
      <c r="L1676" s="8">
        <v>56</v>
      </c>
      <c r="M1676" s="7">
        <f>IF(INDEX([1]equip.xml!$B:$B,MATCH(D1676,[1]equip.xml!$A:$A,0))=0,0,N1676)</f>
        <v>70</v>
      </c>
      <c r="N1676" s="8">
        <v>70</v>
      </c>
    </row>
    <row r="1677" spans="1:14">
      <c r="A1677" s="8">
        <f t="shared" si="2607"/>
        <v>10023</v>
      </c>
      <c r="B1677" s="8">
        <f t="shared" ref="B1677:C1677" si="2669">B1589</f>
        <v>40000</v>
      </c>
      <c r="C1677" s="8" t="str">
        <f t="shared" si="2669"/>
        <v>装备</v>
      </c>
      <c r="D1677" s="7">
        <f t="shared" si="2633"/>
        <v>50900046</v>
      </c>
      <c r="E1677" s="8"/>
      <c r="F1677" s="8">
        <v>1</v>
      </c>
      <c r="G1677" s="7">
        <f>3*INDEX([1]equip.xml!$I:$I,MATCH(D1677,[1]equip.xml!$A:$A,0))</f>
        <v>582000</v>
      </c>
      <c r="H1677" s="8" t="str">
        <f t="shared" ref="H1677:J1677" si="2670">H1589</f>
        <v>10_10,50_20,80_30</v>
      </c>
      <c r="I1677" s="8">
        <f t="shared" si="2670"/>
        <v>1</v>
      </c>
      <c r="J1677" s="8">
        <f t="shared" si="2670"/>
        <v>240</v>
      </c>
      <c r="K1677" s="7" t="s">
        <v>312</v>
      </c>
      <c r="L1677" s="8">
        <v>56</v>
      </c>
      <c r="M1677" s="7">
        <f>IF(INDEX([1]equip.xml!$B:$B,MATCH(D1677,[1]equip.xml!$A:$A,0))=0,0,N1677)</f>
        <v>70</v>
      </c>
      <c r="N1677" s="8">
        <v>70</v>
      </c>
    </row>
    <row r="1678" spans="1:14">
      <c r="A1678" s="8">
        <f t="shared" si="2607"/>
        <v>10023</v>
      </c>
      <c r="B1678" s="8">
        <f t="shared" ref="B1678:C1678" si="2671">B1590</f>
        <v>40000</v>
      </c>
      <c r="C1678" s="8" t="str">
        <f t="shared" si="2671"/>
        <v>装备</v>
      </c>
      <c r="D1678" s="7">
        <f t="shared" si="2633"/>
        <v>50900075</v>
      </c>
      <c r="E1678" s="8"/>
      <c r="F1678" s="8">
        <v>1</v>
      </c>
      <c r="G1678" s="7">
        <f>3*INDEX([1]equip.xml!$I:$I,MATCH(D1678,[1]equip.xml!$A:$A,0))</f>
        <v>564000</v>
      </c>
      <c r="H1678" s="8" t="str">
        <f t="shared" ref="H1678:J1678" si="2672">H1590</f>
        <v>10_10,50_20,80_30</v>
      </c>
      <c r="I1678" s="8">
        <f t="shared" si="2672"/>
        <v>1</v>
      </c>
      <c r="J1678" s="8">
        <f t="shared" si="2672"/>
        <v>240</v>
      </c>
      <c r="K1678" s="7" t="s">
        <v>312</v>
      </c>
      <c r="L1678" s="8">
        <v>56</v>
      </c>
      <c r="M1678" s="7">
        <f>IF(INDEX([1]equip.xml!$B:$B,MATCH(D1678,[1]equip.xml!$A:$A,0))=0,0,N1678)</f>
        <v>70</v>
      </c>
      <c r="N1678" s="8">
        <v>70</v>
      </c>
    </row>
    <row r="1679" spans="1:14">
      <c r="A1679" s="8">
        <f t="shared" si="2607"/>
        <v>10023</v>
      </c>
      <c r="B1679" s="8">
        <f t="shared" ref="B1679:C1679" si="2673">B1591</f>
        <v>40000</v>
      </c>
      <c r="C1679" s="8" t="str">
        <f t="shared" si="2673"/>
        <v>装备</v>
      </c>
      <c r="D1679" s="7">
        <f t="shared" si="2633"/>
        <v>50900076</v>
      </c>
      <c r="E1679" s="8"/>
      <c r="F1679" s="8">
        <v>1</v>
      </c>
      <c r="G1679" s="7">
        <f>3*INDEX([1]equip.xml!$I:$I,MATCH(D1679,[1]equip.xml!$A:$A,0))</f>
        <v>582000</v>
      </c>
      <c r="H1679" s="8" t="str">
        <f t="shared" ref="H1679:J1679" si="2674">H1591</f>
        <v>10_10,50_20,80_30</v>
      </c>
      <c r="I1679" s="8">
        <f t="shared" si="2674"/>
        <v>1</v>
      </c>
      <c r="J1679" s="8">
        <f t="shared" si="2674"/>
        <v>240</v>
      </c>
      <c r="K1679" s="7" t="s">
        <v>312</v>
      </c>
      <c r="L1679" s="8">
        <v>56</v>
      </c>
      <c r="M1679" s="7">
        <f>IF(INDEX([1]equip.xml!$B:$B,MATCH(D1679,[1]equip.xml!$A:$A,0))=0,0,N1679)</f>
        <v>70</v>
      </c>
      <c r="N1679" s="8">
        <v>70</v>
      </c>
    </row>
    <row r="1680" spans="1:14">
      <c r="A1680" s="8">
        <f t="shared" si="2607"/>
        <v>10023</v>
      </c>
      <c r="B1680" s="8">
        <f t="shared" ref="B1680:C1680" si="2675">B1592</f>
        <v>40000</v>
      </c>
      <c r="C1680" s="8" t="str">
        <f t="shared" si="2675"/>
        <v>装备</v>
      </c>
      <c r="D1680" s="7">
        <f t="shared" si="2633"/>
        <v>50950015</v>
      </c>
      <c r="E1680" s="8"/>
      <c r="F1680" s="8">
        <v>1</v>
      </c>
      <c r="G1680" s="7">
        <f>3*INDEX([1]equip.xml!$I:$I,MATCH(D1680,[1]equip.xml!$A:$A,0))</f>
        <v>600000</v>
      </c>
      <c r="H1680" s="8" t="str">
        <f t="shared" ref="H1680:J1680" si="2676">H1592</f>
        <v>10_10,50_20,80_30</v>
      </c>
      <c r="I1680" s="8">
        <f t="shared" si="2676"/>
        <v>1</v>
      </c>
      <c r="J1680" s="8">
        <f t="shared" si="2676"/>
        <v>240</v>
      </c>
      <c r="K1680" s="7" t="s">
        <v>312</v>
      </c>
      <c r="L1680" s="8">
        <v>56</v>
      </c>
      <c r="M1680" s="7">
        <f>IF(INDEX([1]equip.xml!$B:$B,MATCH(D1680,[1]equip.xml!$A:$A,0))=0,0,N1680)</f>
        <v>1</v>
      </c>
      <c r="N1680" s="8">
        <v>1</v>
      </c>
    </row>
    <row r="1681" spans="1:14">
      <c r="A1681" s="8">
        <f t="shared" si="2607"/>
        <v>10023</v>
      </c>
      <c r="B1681" s="8">
        <f t="shared" ref="B1681:C1681" si="2677">B1593</f>
        <v>40000</v>
      </c>
      <c r="C1681" s="8" t="str">
        <f t="shared" si="2677"/>
        <v>装备</v>
      </c>
      <c r="D1681" s="7">
        <f t="shared" si="2633"/>
        <v>50950025</v>
      </c>
      <c r="E1681" s="8"/>
      <c r="F1681" s="8">
        <v>1</v>
      </c>
      <c r="G1681" s="7">
        <f>3*INDEX([1]equip.xml!$I:$I,MATCH(D1681,[1]equip.xml!$A:$A,0))</f>
        <v>600000</v>
      </c>
      <c r="H1681" s="8" t="str">
        <f t="shared" ref="H1681:J1681" si="2678">H1593</f>
        <v>10_10,50_20,80_30</v>
      </c>
      <c r="I1681" s="8">
        <f t="shared" si="2678"/>
        <v>1</v>
      </c>
      <c r="J1681" s="8">
        <f t="shared" si="2678"/>
        <v>240</v>
      </c>
      <c r="K1681" s="7" t="s">
        <v>312</v>
      </c>
      <c r="L1681" s="8">
        <v>56</v>
      </c>
      <c r="M1681" s="7">
        <f>IF(INDEX([1]equip.xml!$B:$B,MATCH(D1681,[1]equip.xml!$A:$A,0))=0,0,N1681)</f>
        <v>1</v>
      </c>
      <c r="N1681" s="8">
        <v>1</v>
      </c>
    </row>
    <row r="1682" spans="1:14">
      <c r="A1682" s="8">
        <f t="shared" si="2607"/>
        <v>10023</v>
      </c>
      <c r="B1682" s="8">
        <f t="shared" ref="B1682:C1682" si="2679">B1594</f>
        <v>40000</v>
      </c>
      <c r="C1682" s="8" t="str">
        <f t="shared" si="2679"/>
        <v>装备</v>
      </c>
      <c r="D1682" s="7">
        <f t="shared" si="2633"/>
        <v>50950035</v>
      </c>
      <c r="E1682" s="8"/>
      <c r="F1682" s="8">
        <v>1</v>
      </c>
      <c r="G1682" s="7">
        <f>3*INDEX([1]equip.xml!$I:$I,MATCH(D1682,[1]equip.xml!$A:$A,0))</f>
        <v>600000</v>
      </c>
      <c r="H1682" s="8" t="str">
        <f t="shared" ref="H1682:J1682" si="2680">H1594</f>
        <v>10_10,50_20,80_30</v>
      </c>
      <c r="I1682" s="8">
        <f t="shared" si="2680"/>
        <v>1</v>
      </c>
      <c r="J1682" s="8">
        <f t="shared" si="2680"/>
        <v>240</v>
      </c>
      <c r="K1682" s="7" t="s">
        <v>312</v>
      </c>
      <c r="L1682" s="8">
        <v>56</v>
      </c>
      <c r="M1682" s="7">
        <f>IF(INDEX([1]equip.xml!$B:$B,MATCH(D1682,[1]equip.xml!$A:$A,0))=0,0,N1682)</f>
        <v>1</v>
      </c>
      <c r="N1682" s="8">
        <v>1</v>
      </c>
    </row>
    <row r="1683" spans="1:14">
      <c r="A1683" s="8">
        <f t="shared" si="2607"/>
        <v>10023</v>
      </c>
      <c r="B1683" s="8">
        <f t="shared" ref="B1683:C1683" si="2681">B1595</f>
        <v>40000</v>
      </c>
      <c r="C1683" s="8" t="str">
        <f t="shared" si="2681"/>
        <v>装备</v>
      </c>
      <c r="D1683" s="7">
        <f t="shared" si="2633"/>
        <v>50950085</v>
      </c>
      <c r="E1683" s="8"/>
      <c r="F1683" s="8">
        <v>1</v>
      </c>
      <c r="G1683" s="7">
        <f>3*INDEX([1]equip.xml!$I:$I,MATCH(D1683,[1]equip.xml!$A:$A,0))</f>
        <v>600000</v>
      </c>
      <c r="H1683" s="8" t="str">
        <f t="shared" ref="H1683:J1683" si="2682">H1595</f>
        <v>10_10,50_20,80_30</v>
      </c>
      <c r="I1683" s="8">
        <f t="shared" si="2682"/>
        <v>1</v>
      </c>
      <c r="J1683" s="8">
        <f t="shared" si="2682"/>
        <v>240</v>
      </c>
      <c r="K1683" s="7" t="s">
        <v>312</v>
      </c>
      <c r="L1683" s="8">
        <v>56</v>
      </c>
      <c r="M1683" s="7">
        <f>IF(INDEX([1]equip.xml!$B:$B,MATCH(D1683,[1]equip.xml!$A:$A,0))=0,0,N1683)</f>
        <v>1</v>
      </c>
      <c r="N1683" s="8">
        <v>1</v>
      </c>
    </row>
    <row r="1684" spans="1:14">
      <c r="A1684" s="8">
        <f t="shared" si="2607"/>
        <v>10023</v>
      </c>
      <c r="B1684" s="8">
        <f t="shared" ref="B1684:C1684" si="2683">B1596</f>
        <v>40000</v>
      </c>
      <c r="C1684" s="8" t="str">
        <f t="shared" si="2683"/>
        <v>装备</v>
      </c>
      <c r="D1684" s="7">
        <f t="shared" si="2633"/>
        <v>50950095</v>
      </c>
      <c r="E1684" s="8"/>
      <c r="F1684" s="8">
        <v>1</v>
      </c>
      <c r="G1684" s="7">
        <f>3*INDEX([1]equip.xml!$I:$I,MATCH(D1684,[1]equip.xml!$A:$A,0))</f>
        <v>600000</v>
      </c>
      <c r="H1684" s="8" t="str">
        <f t="shared" ref="H1684:J1684" si="2684">H1596</f>
        <v>10_10,50_20,80_30</v>
      </c>
      <c r="I1684" s="8">
        <f t="shared" si="2684"/>
        <v>1</v>
      </c>
      <c r="J1684" s="8">
        <f t="shared" si="2684"/>
        <v>240</v>
      </c>
      <c r="K1684" s="7" t="s">
        <v>312</v>
      </c>
      <c r="L1684" s="8">
        <v>56</v>
      </c>
      <c r="M1684" s="7">
        <f>IF(INDEX([1]equip.xml!$B:$B,MATCH(D1684,[1]equip.xml!$A:$A,0))=0,0,N1684)</f>
        <v>1</v>
      </c>
      <c r="N1684" s="8">
        <v>1</v>
      </c>
    </row>
    <row r="1685" spans="1:14">
      <c r="A1685" s="8">
        <f t="shared" si="2607"/>
        <v>10023</v>
      </c>
      <c r="B1685" s="8">
        <f t="shared" ref="B1685:C1685" si="2685">B1597</f>
        <v>40000</v>
      </c>
      <c r="C1685" s="8" t="str">
        <f t="shared" si="2685"/>
        <v>装备</v>
      </c>
      <c r="D1685" s="7">
        <f t="shared" si="2633"/>
        <v>50950105</v>
      </c>
      <c r="E1685" s="8"/>
      <c r="F1685" s="8">
        <v>1</v>
      </c>
      <c r="G1685" s="7">
        <f>3*INDEX([1]equip.xml!$I:$I,MATCH(D1685,[1]equip.xml!$A:$A,0))</f>
        <v>600000</v>
      </c>
      <c r="H1685" s="8" t="str">
        <f t="shared" ref="H1685:J1685" si="2686">H1597</f>
        <v>10_10,50_20,80_30</v>
      </c>
      <c r="I1685" s="8">
        <f t="shared" si="2686"/>
        <v>1</v>
      </c>
      <c r="J1685" s="8">
        <f t="shared" si="2686"/>
        <v>240</v>
      </c>
      <c r="K1685" s="7" t="s">
        <v>312</v>
      </c>
      <c r="L1685" s="8">
        <v>56</v>
      </c>
      <c r="M1685" s="7">
        <f>IF(INDEX([1]equip.xml!$B:$B,MATCH(D1685,[1]equip.xml!$A:$A,0))=0,0,N1685)</f>
        <v>1</v>
      </c>
      <c r="N1685" s="8">
        <v>1</v>
      </c>
    </row>
    <row r="1686" spans="1:14">
      <c r="A1686" s="8">
        <f t="shared" si="2607"/>
        <v>10023</v>
      </c>
      <c r="B1686" s="8">
        <f t="shared" ref="B1686:C1686" si="2687">B1598</f>
        <v>40000</v>
      </c>
      <c r="C1686" s="8" t="str">
        <f t="shared" si="2687"/>
        <v>装备</v>
      </c>
      <c r="D1686" s="7">
        <f t="shared" si="2633"/>
        <v>50951055</v>
      </c>
      <c r="E1686" s="8"/>
      <c r="F1686" s="8">
        <v>1</v>
      </c>
      <c r="G1686" s="7">
        <f>3*INDEX([1]equip.xml!$I:$I,MATCH(D1686,[1]equip.xml!$A:$A,0))</f>
        <v>600000</v>
      </c>
      <c r="H1686" s="8" t="str">
        <f t="shared" ref="H1686:J1686" si="2688">H1598</f>
        <v>10_10,50_20,80_30</v>
      </c>
      <c r="I1686" s="8">
        <f t="shared" si="2688"/>
        <v>1</v>
      </c>
      <c r="J1686" s="8">
        <f t="shared" si="2688"/>
        <v>240</v>
      </c>
      <c r="K1686" s="7" t="s">
        <v>312</v>
      </c>
      <c r="L1686" s="8">
        <v>56</v>
      </c>
      <c r="M1686" s="7">
        <f>IF(INDEX([1]equip.xml!$B:$B,MATCH(D1686,[1]equip.xml!$A:$A,0))=0,0,N1686)</f>
        <v>1</v>
      </c>
      <c r="N1686" s="8">
        <v>1</v>
      </c>
    </row>
    <row r="1687" spans="1:14">
      <c r="A1687" s="8">
        <f t="shared" si="2607"/>
        <v>10023</v>
      </c>
      <c r="B1687" s="8">
        <f t="shared" ref="B1687:C1687" si="2689">B1599</f>
        <v>40000</v>
      </c>
      <c r="C1687" s="8" t="str">
        <f t="shared" si="2689"/>
        <v>装备</v>
      </c>
      <c r="D1687" s="7">
        <f t="shared" si="2633"/>
        <v>50951056</v>
      </c>
      <c r="E1687" s="8"/>
      <c r="F1687" s="8">
        <v>1</v>
      </c>
      <c r="G1687" s="7">
        <f>3*INDEX([1]equip.xml!$I:$I,MATCH(D1687,[1]equip.xml!$A:$A,0))</f>
        <v>618000</v>
      </c>
      <c r="H1687" s="8" t="str">
        <f t="shared" ref="H1687:J1687" si="2690">H1599</f>
        <v>10_10,50_20,80_30</v>
      </c>
      <c r="I1687" s="8">
        <f t="shared" si="2690"/>
        <v>1</v>
      </c>
      <c r="J1687" s="8">
        <f t="shared" si="2690"/>
        <v>240</v>
      </c>
      <c r="K1687" s="7" t="s">
        <v>312</v>
      </c>
      <c r="L1687" s="8">
        <v>56</v>
      </c>
      <c r="M1687" s="7">
        <f>IF(INDEX([1]equip.xml!$B:$B,MATCH(D1687,[1]equip.xml!$A:$A,0))=0,0,N1687)</f>
        <v>1</v>
      </c>
      <c r="N1687" s="8">
        <v>1</v>
      </c>
    </row>
    <row r="1688" spans="1:14">
      <c r="A1688" s="8">
        <f t="shared" si="2607"/>
        <v>10023</v>
      </c>
      <c r="B1688" s="8">
        <f t="shared" ref="B1688:C1688" si="2691">B1600</f>
        <v>40000</v>
      </c>
      <c r="C1688" s="8" t="str">
        <f t="shared" si="2691"/>
        <v>装备</v>
      </c>
      <c r="D1688" s="7">
        <f t="shared" si="2633"/>
        <v>50951065</v>
      </c>
      <c r="E1688" s="8"/>
      <c r="F1688" s="8">
        <v>1</v>
      </c>
      <c r="G1688" s="7">
        <f>3*INDEX([1]equip.xml!$I:$I,MATCH(D1688,[1]equip.xml!$A:$A,0))</f>
        <v>600000</v>
      </c>
      <c r="H1688" s="8" t="str">
        <f t="shared" ref="H1688:J1688" si="2692">H1600</f>
        <v>10_10,50_20,80_30</v>
      </c>
      <c r="I1688" s="8">
        <f t="shared" si="2692"/>
        <v>1</v>
      </c>
      <c r="J1688" s="8">
        <f t="shared" si="2692"/>
        <v>240</v>
      </c>
      <c r="K1688" s="7" t="s">
        <v>312</v>
      </c>
      <c r="L1688" s="8">
        <v>56</v>
      </c>
      <c r="M1688" s="7">
        <f>IF(INDEX([1]equip.xml!$B:$B,MATCH(D1688,[1]equip.xml!$A:$A,0))=0,0,N1688)</f>
        <v>1</v>
      </c>
      <c r="N1688" s="8">
        <v>1</v>
      </c>
    </row>
    <row r="1689" spans="1:14">
      <c r="A1689" s="8">
        <f t="shared" si="2607"/>
        <v>10023</v>
      </c>
      <c r="B1689" s="8">
        <f t="shared" ref="B1689:C1689" si="2693">B1601</f>
        <v>40000</v>
      </c>
      <c r="C1689" s="8" t="str">
        <f t="shared" si="2693"/>
        <v>装备</v>
      </c>
      <c r="D1689" s="7">
        <f t="shared" si="2633"/>
        <v>50951066</v>
      </c>
      <c r="E1689" s="8"/>
      <c r="F1689" s="8">
        <v>1</v>
      </c>
      <c r="G1689" s="7">
        <f>3*INDEX([1]equip.xml!$I:$I,MATCH(D1689,[1]equip.xml!$A:$A,0))</f>
        <v>618000</v>
      </c>
      <c r="H1689" s="8" t="str">
        <f t="shared" ref="H1689:J1689" si="2694">H1601</f>
        <v>10_10,50_20,80_30</v>
      </c>
      <c r="I1689" s="8">
        <f t="shared" si="2694"/>
        <v>1</v>
      </c>
      <c r="J1689" s="8">
        <f t="shared" si="2694"/>
        <v>240</v>
      </c>
      <c r="K1689" s="7" t="s">
        <v>312</v>
      </c>
      <c r="L1689" s="8">
        <v>56</v>
      </c>
      <c r="M1689" s="7">
        <f>IF(INDEX([1]equip.xml!$B:$B,MATCH(D1689,[1]equip.xml!$A:$A,0))=0,0,N1689)</f>
        <v>1</v>
      </c>
      <c r="N1689" s="8">
        <v>1</v>
      </c>
    </row>
    <row r="1690" spans="1:14">
      <c r="A1690" s="8">
        <f t="shared" si="2607"/>
        <v>10023</v>
      </c>
      <c r="B1690" s="8">
        <f t="shared" ref="B1690:C1690" si="2695">B1602</f>
        <v>40000</v>
      </c>
      <c r="C1690" s="8" t="str">
        <f t="shared" si="2695"/>
        <v>装备</v>
      </c>
      <c r="D1690" s="7">
        <f t="shared" si="2633"/>
        <v>50952055</v>
      </c>
      <c r="E1690" s="8"/>
      <c r="F1690" s="8">
        <v>1</v>
      </c>
      <c r="G1690" s="7">
        <f>3*INDEX([1]equip.xml!$I:$I,MATCH(D1690,[1]equip.xml!$A:$A,0))</f>
        <v>600000</v>
      </c>
      <c r="H1690" s="8" t="str">
        <f t="shared" ref="H1690:J1690" si="2696">H1602</f>
        <v>10_10,50_20,80_30</v>
      </c>
      <c r="I1690" s="8">
        <f t="shared" si="2696"/>
        <v>1</v>
      </c>
      <c r="J1690" s="8">
        <f t="shared" si="2696"/>
        <v>240</v>
      </c>
      <c r="K1690" s="7" t="s">
        <v>312</v>
      </c>
      <c r="L1690" s="8">
        <v>56</v>
      </c>
      <c r="M1690" s="7">
        <f>IF(INDEX([1]equip.xml!$B:$B,MATCH(D1690,[1]equip.xml!$A:$A,0))=0,0,N1690)</f>
        <v>1</v>
      </c>
      <c r="N1690" s="8">
        <v>1</v>
      </c>
    </row>
    <row r="1691" spans="1:14">
      <c r="A1691" s="8">
        <f t="shared" si="2607"/>
        <v>10023</v>
      </c>
      <c r="B1691" s="8">
        <f t="shared" ref="B1691:C1691" si="2697">B1603</f>
        <v>40000</v>
      </c>
      <c r="C1691" s="8" t="str">
        <f t="shared" si="2697"/>
        <v>装备</v>
      </c>
      <c r="D1691" s="7">
        <f t="shared" si="2633"/>
        <v>50952056</v>
      </c>
      <c r="E1691" s="8"/>
      <c r="F1691" s="8">
        <v>1</v>
      </c>
      <c r="G1691" s="7">
        <f>3*INDEX([1]equip.xml!$I:$I,MATCH(D1691,[1]equip.xml!$A:$A,0))</f>
        <v>618000</v>
      </c>
      <c r="H1691" s="8" t="str">
        <f t="shared" ref="H1691:J1691" si="2698">H1603</f>
        <v>10_10,50_20,80_30</v>
      </c>
      <c r="I1691" s="8">
        <f t="shared" si="2698"/>
        <v>1</v>
      </c>
      <c r="J1691" s="8">
        <f t="shared" si="2698"/>
        <v>240</v>
      </c>
      <c r="K1691" s="7" t="s">
        <v>312</v>
      </c>
      <c r="L1691" s="8">
        <v>56</v>
      </c>
      <c r="M1691" s="7">
        <f>IF(INDEX([1]equip.xml!$B:$B,MATCH(D1691,[1]equip.xml!$A:$A,0))=0,0,N1691)</f>
        <v>1</v>
      </c>
      <c r="N1691" s="8">
        <v>1</v>
      </c>
    </row>
    <row r="1692" spans="1:14">
      <c r="A1692" s="8">
        <f t="shared" si="2607"/>
        <v>10023</v>
      </c>
      <c r="B1692" s="8">
        <f t="shared" ref="B1692:C1692" si="2699">B1604</f>
        <v>40000</v>
      </c>
      <c r="C1692" s="8" t="str">
        <f t="shared" si="2699"/>
        <v>装备</v>
      </c>
      <c r="D1692" s="7">
        <f t="shared" si="2633"/>
        <v>50952065</v>
      </c>
      <c r="E1692" s="8"/>
      <c r="F1692" s="8">
        <v>1</v>
      </c>
      <c r="G1692" s="7">
        <f>3*INDEX([1]equip.xml!$I:$I,MATCH(D1692,[1]equip.xml!$A:$A,0))</f>
        <v>600000</v>
      </c>
      <c r="H1692" s="8" t="str">
        <f t="shared" ref="H1692:J1692" si="2700">H1604</f>
        <v>10_10,50_20,80_30</v>
      </c>
      <c r="I1692" s="8">
        <f t="shared" si="2700"/>
        <v>1</v>
      </c>
      <c r="J1692" s="8">
        <f t="shared" si="2700"/>
        <v>240</v>
      </c>
      <c r="K1692" s="7" t="s">
        <v>312</v>
      </c>
      <c r="L1692" s="8">
        <v>56</v>
      </c>
      <c r="M1692" s="7">
        <f>IF(INDEX([1]equip.xml!$B:$B,MATCH(D1692,[1]equip.xml!$A:$A,0))=0,0,N1692)</f>
        <v>1</v>
      </c>
      <c r="N1692" s="8">
        <v>1</v>
      </c>
    </row>
    <row r="1693" spans="1:14">
      <c r="A1693" s="8">
        <f t="shared" si="2607"/>
        <v>10023</v>
      </c>
      <c r="B1693" s="8">
        <f t="shared" ref="B1693:C1693" si="2701">B1605</f>
        <v>40000</v>
      </c>
      <c r="C1693" s="8" t="str">
        <f t="shared" si="2701"/>
        <v>装备</v>
      </c>
      <c r="D1693" s="7">
        <f t="shared" si="2633"/>
        <v>50952066</v>
      </c>
      <c r="E1693" s="8"/>
      <c r="F1693" s="8">
        <v>1</v>
      </c>
      <c r="G1693" s="7">
        <f>3*INDEX([1]equip.xml!$I:$I,MATCH(D1693,[1]equip.xml!$A:$A,0))</f>
        <v>618000</v>
      </c>
      <c r="H1693" s="8" t="str">
        <f t="shared" ref="H1693:J1693" si="2702">H1605</f>
        <v>10_10,50_20,80_30</v>
      </c>
      <c r="I1693" s="8">
        <f t="shared" si="2702"/>
        <v>1</v>
      </c>
      <c r="J1693" s="8">
        <f t="shared" si="2702"/>
        <v>240</v>
      </c>
      <c r="K1693" s="7" t="s">
        <v>312</v>
      </c>
      <c r="L1693" s="8">
        <v>56</v>
      </c>
      <c r="M1693" s="7">
        <f>IF(INDEX([1]equip.xml!$B:$B,MATCH(D1693,[1]equip.xml!$A:$A,0))=0,0,N1693)</f>
        <v>1</v>
      </c>
      <c r="N1693" s="8">
        <v>1</v>
      </c>
    </row>
    <row r="1694" spans="1:14">
      <c r="A1694" s="8">
        <f t="shared" si="2607"/>
        <v>10023</v>
      </c>
      <c r="B1694" s="8">
        <f t="shared" ref="B1694:C1694" si="2703">B1606</f>
        <v>40000</v>
      </c>
      <c r="C1694" s="8" t="str">
        <f t="shared" si="2703"/>
        <v>装备</v>
      </c>
      <c r="D1694" s="7">
        <f t="shared" si="2633"/>
        <v>50953055</v>
      </c>
      <c r="E1694" s="8"/>
      <c r="F1694" s="8">
        <v>1</v>
      </c>
      <c r="G1694" s="7">
        <f>3*INDEX([1]equip.xml!$I:$I,MATCH(D1694,[1]equip.xml!$A:$A,0))</f>
        <v>600000</v>
      </c>
      <c r="H1694" s="8" t="str">
        <f t="shared" ref="H1694:J1694" si="2704">H1606</f>
        <v>10_10,50_20,80_30</v>
      </c>
      <c r="I1694" s="8">
        <f t="shared" si="2704"/>
        <v>1</v>
      </c>
      <c r="J1694" s="8">
        <f t="shared" si="2704"/>
        <v>240</v>
      </c>
      <c r="K1694" s="7" t="s">
        <v>312</v>
      </c>
      <c r="L1694" s="8">
        <v>56</v>
      </c>
      <c r="M1694" s="7">
        <f>IF(INDEX([1]equip.xml!$B:$B,MATCH(D1694,[1]equip.xml!$A:$A,0))=0,0,N1694)</f>
        <v>1</v>
      </c>
      <c r="N1694" s="8">
        <v>1</v>
      </c>
    </row>
    <row r="1695" spans="1:14">
      <c r="A1695" s="8">
        <f t="shared" si="2607"/>
        <v>10023</v>
      </c>
      <c r="B1695" s="8">
        <f t="shared" ref="B1695:C1695" si="2705">B1607</f>
        <v>40000</v>
      </c>
      <c r="C1695" s="8" t="str">
        <f t="shared" si="2705"/>
        <v>装备</v>
      </c>
      <c r="D1695" s="7">
        <f t="shared" si="2633"/>
        <v>50953056</v>
      </c>
      <c r="E1695" s="8"/>
      <c r="F1695" s="8">
        <v>1</v>
      </c>
      <c r="G1695" s="7">
        <f>3*INDEX([1]equip.xml!$I:$I,MATCH(D1695,[1]equip.xml!$A:$A,0))</f>
        <v>618000</v>
      </c>
      <c r="H1695" s="8" t="str">
        <f t="shared" ref="H1695:J1695" si="2706">H1607</f>
        <v>10_10,50_20,80_30</v>
      </c>
      <c r="I1695" s="8">
        <f t="shared" si="2706"/>
        <v>1</v>
      </c>
      <c r="J1695" s="8">
        <f t="shared" si="2706"/>
        <v>240</v>
      </c>
      <c r="K1695" s="7" t="s">
        <v>312</v>
      </c>
      <c r="L1695" s="8">
        <v>56</v>
      </c>
      <c r="M1695" s="7">
        <f>IF(INDEX([1]equip.xml!$B:$B,MATCH(D1695,[1]equip.xml!$A:$A,0))=0,0,N1695)</f>
        <v>1</v>
      </c>
      <c r="N1695" s="8">
        <v>1</v>
      </c>
    </row>
    <row r="1696" spans="1:14">
      <c r="A1696" s="8">
        <f t="shared" si="2607"/>
        <v>10023</v>
      </c>
      <c r="B1696" s="8">
        <f t="shared" ref="B1696:C1696" si="2707">B1608</f>
        <v>40000</v>
      </c>
      <c r="C1696" s="8" t="str">
        <f t="shared" si="2707"/>
        <v>装备</v>
      </c>
      <c r="D1696" s="7">
        <f t="shared" si="2633"/>
        <v>50953065</v>
      </c>
      <c r="E1696" s="8"/>
      <c r="F1696" s="8">
        <v>1</v>
      </c>
      <c r="G1696" s="7">
        <f>3*INDEX([1]equip.xml!$I:$I,MATCH(D1696,[1]equip.xml!$A:$A,0))</f>
        <v>600000</v>
      </c>
      <c r="H1696" s="8" t="str">
        <f t="shared" ref="H1696:J1696" si="2708">H1608</f>
        <v>10_10,50_20,80_30</v>
      </c>
      <c r="I1696" s="8">
        <f t="shared" si="2708"/>
        <v>1</v>
      </c>
      <c r="J1696" s="8">
        <f t="shared" si="2708"/>
        <v>240</v>
      </c>
      <c r="K1696" s="7" t="s">
        <v>312</v>
      </c>
      <c r="L1696" s="8">
        <v>56</v>
      </c>
      <c r="M1696" s="7">
        <f>IF(INDEX([1]equip.xml!$B:$B,MATCH(D1696,[1]equip.xml!$A:$A,0))=0,0,N1696)</f>
        <v>1</v>
      </c>
      <c r="N1696" s="8">
        <v>1</v>
      </c>
    </row>
    <row r="1697" spans="1:14">
      <c r="A1697" s="8">
        <f t="shared" si="2607"/>
        <v>10023</v>
      </c>
      <c r="B1697" s="8">
        <f t="shared" ref="B1697:C1697" si="2709">B1609</f>
        <v>40000</v>
      </c>
      <c r="C1697" s="8" t="str">
        <f t="shared" si="2709"/>
        <v>装备</v>
      </c>
      <c r="D1697" s="7">
        <f t="shared" si="2633"/>
        <v>50953066</v>
      </c>
      <c r="E1697" s="8"/>
      <c r="F1697" s="8">
        <v>1</v>
      </c>
      <c r="G1697" s="7">
        <f>3*INDEX([1]equip.xml!$I:$I,MATCH(D1697,[1]equip.xml!$A:$A,0))</f>
        <v>618000</v>
      </c>
      <c r="H1697" s="8" t="str">
        <f t="shared" ref="H1697:J1697" si="2710">H1609</f>
        <v>10_10,50_20,80_30</v>
      </c>
      <c r="I1697" s="8">
        <f t="shared" si="2710"/>
        <v>1</v>
      </c>
      <c r="J1697" s="8">
        <f t="shared" si="2710"/>
        <v>240</v>
      </c>
      <c r="K1697" s="7" t="s">
        <v>312</v>
      </c>
      <c r="L1697" s="8">
        <v>56</v>
      </c>
      <c r="M1697" s="7">
        <f>IF(INDEX([1]equip.xml!$B:$B,MATCH(D1697,[1]equip.xml!$A:$A,0))=0,0,N1697)</f>
        <v>1</v>
      </c>
      <c r="N1697" s="8">
        <v>1</v>
      </c>
    </row>
    <row r="1698" spans="1:14">
      <c r="A1698" s="8">
        <f t="shared" si="2607"/>
        <v>10023</v>
      </c>
      <c r="B1698" s="8">
        <f t="shared" ref="B1698:C1698" si="2711">B1610</f>
        <v>40000</v>
      </c>
      <c r="C1698" s="8" t="str">
        <f t="shared" si="2711"/>
        <v>装备</v>
      </c>
      <c r="D1698" s="7">
        <f t="shared" si="2633"/>
        <v>50950045</v>
      </c>
      <c r="E1698" s="8"/>
      <c r="F1698" s="8">
        <v>1</v>
      </c>
      <c r="G1698" s="7">
        <f>3*INDEX([1]equip.xml!$I:$I,MATCH(D1698,[1]equip.xml!$A:$A,0))</f>
        <v>600000</v>
      </c>
      <c r="H1698" s="8" t="str">
        <f t="shared" ref="H1698:J1698" si="2712">H1610</f>
        <v>10_10,50_20,80_30</v>
      </c>
      <c r="I1698" s="8">
        <f t="shared" si="2712"/>
        <v>1</v>
      </c>
      <c r="J1698" s="8">
        <f t="shared" si="2712"/>
        <v>240</v>
      </c>
      <c r="K1698" s="7" t="s">
        <v>312</v>
      </c>
      <c r="L1698" s="8">
        <v>56</v>
      </c>
      <c r="M1698" s="7">
        <f>IF(INDEX([1]equip.xml!$B:$B,MATCH(D1698,[1]equip.xml!$A:$A,0))=0,0,N1698)</f>
        <v>1</v>
      </c>
      <c r="N1698" s="8">
        <v>1</v>
      </c>
    </row>
    <row r="1699" spans="1:14">
      <c r="A1699" s="8">
        <f t="shared" si="2607"/>
        <v>10023</v>
      </c>
      <c r="B1699" s="8">
        <f t="shared" ref="B1699:C1699" si="2713">B1611</f>
        <v>40000</v>
      </c>
      <c r="C1699" s="8" t="str">
        <f t="shared" si="2713"/>
        <v>装备</v>
      </c>
      <c r="D1699" s="7">
        <f t="shared" si="2633"/>
        <v>50950046</v>
      </c>
      <c r="E1699" s="8"/>
      <c r="F1699" s="8">
        <v>1</v>
      </c>
      <c r="G1699" s="7">
        <f>3*INDEX([1]equip.xml!$I:$I,MATCH(D1699,[1]equip.xml!$A:$A,0))</f>
        <v>618000</v>
      </c>
      <c r="H1699" s="8" t="str">
        <f t="shared" ref="H1699:J1699" si="2714">H1611</f>
        <v>10_10,50_20,80_30</v>
      </c>
      <c r="I1699" s="8">
        <f t="shared" si="2714"/>
        <v>1</v>
      </c>
      <c r="J1699" s="8">
        <f t="shared" si="2714"/>
        <v>240</v>
      </c>
      <c r="K1699" s="7" t="s">
        <v>312</v>
      </c>
      <c r="L1699" s="8">
        <v>56</v>
      </c>
      <c r="M1699" s="7">
        <f>IF(INDEX([1]equip.xml!$B:$B,MATCH(D1699,[1]equip.xml!$A:$A,0))=0,0,N1699)</f>
        <v>1</v>
      </c>
      <c r="N1699" s="8">
        <v>1</v>
      </c>
    </row>
    <row r="1700" spans="1:14">
      <c r="A1700" s="8">
        <f t="shared" si="2607"/>
        <v>10023</v>
      </c>
      <c r="B1700" s="8">
        <f t="shared" ref="B1700:C1700" si="2715">B1612</f>
        <v>40000</v>
      </c>
      <c r="C1700" s="8" t="str">
        <f t="shared" si="2715"/>
        <v>装备</v>
      </c>
      <c r="D1700" s="7">
        <f t="shared" si="2633"/>
        <v>50950075</v>
      </c>
      <c r="E1700" s="8"/>
      <c r="F1700" s="8">
        <v>1</v>
      </c>
      <c r="G1700" s="7">
        <f>3*INDEX([1]equip.xml!$I:$I,MATCH(D1700,[1]equip.xml!$A:$A,0))</f>
        <v>600000</v>
      </c>
      <c r="H1700" s="8" t="str">
        <f t="shared" ref="H1700:J1700" si="2716">H1612</f>
        <v>10_10,50_20,80_30</v>
      </c>
      <c r="I1700" s="8">
        <f t="shared" si="2716"/>
        <v>1</v>
      </c>
      <c r="J1700" s="8">
        <f t="shared" si="2716"/>
        <v>240</v>
      </c>
      <c r="K1700" s="7" t="s">
        <v>312</v>
      </c>
      <c r="L1700" s="8">
        <v>56</v>
      </c>
      <c r="M1700" s="7">
        <f>IF(INDEX([1]equip.xml!$B:$B,MATCH(D1700,[1]equip.xml!$A:$A,0))=0,0,N1700)</f>
        <v>1</v>
      </c>
      <c r="N1700" s="8">
        <v>1</v>
      </c>
    </row>
    <row r="1701" spans="1:14">
      <c r="A1701" s="8">
        <f t="shared" si="2607"/>
        <v>10023</v>
      </c>
      <c r="B1701" s="8">
        <f t="shared" ref="B1701:C1701" si="2717">B1613</f>
        <v>40000</v>
      </c>
      <c r="C1701" s="8" t="str">
        <f t="shared" si="2717"/>
        <v>装备</v>
      </c>
      <c r="D1701" s="7">
        <f t="shared" si="2633"/>
        <v>50950076</v>
      </c>
      <c r="E1701" s="8"/>
      <c r="F1701" s="8">
        <v>1</v>
      </c>
      <c r="G1701" s="7">
        <f>3*INDEX([1]equip.xml!$I:$I,MATCH(D1701,[1]equip.xml!$A:$A,0))</f>
        <v>618000</v>
      </c>
      <c r="H1701" s="8" t="str">
        <f t="shared" ref="H1701:J1701" si="2718">H1613</f>
        <v>10_10,50_20,80_30</v>
      </c>
      <c r="I1701" s="8">
        <f t="shared" si="2718"/>
        <v>1</v>
      </c>
      <c r="J1701" s="8">
        <f t="shared" si="2718"/>
        <v>240</v>
      </c>
      <c r="K1701" s="7" t="s">
        <v>312</v>
      </c>
      <c r="L1701" s="8">
        <v>56</v>
      </c>
      <c r="M1701" s="7">
        <f>IF(INDEX([1]equip.xml!$B:$B,MATCH(D1701,[1]equip.xml!$A:$A,0))=0,0,N1701)</f>
        <v>1</v>
      </c>
      <c r="N1701" s="8">
        <v>1</v>
      </c>
    </row>
    <row r="1702" spans="1:14">
      <c r="A1702" s="8">
        <f t="shared" si="2607"/>
        <v>10024</v>
      </c>
      <c r="B1702" s="8">
        <f t="shared" ref="B1702:C1702" si="2719">B1614</f>
        <v>40000</v>
      </c>
      <c r="C1702" s="8" t="str">
        <f t="shared" si="2719"/>
        <v>装备</v>
      </c>
      <c r="D1702" s="8">
        <f t="shared" ref="D1671:D1734" si="2720">D1614+50000</f>
        <v>40950010</v>
      </c>
      <c r="E1702" s="8"/>
      <c r="F1702" s="8">
        <v>1</v>
      </c>
      <c r="G1702" s="7">
        <f>3*INDEX([1]equip.xml!$I:$I,MATCH(D1702,[1]equip.xml!$A:$A,0))</f>
        <v>300000</v>
      </c>
      <c r="H1702" s="8" t="str">
        <f t="shared" ref="H1702:J1702" si="2721">H1614</f>
        <v>10_10,50_20,80_30</v>
      </c>
      <c r="I1702" s="8">
        <f t="shared" si="2721"/>
        <v>6</v>
      </c>
      <c r="J1702" s="8">
        <f t="shared" si="2721"/>
        <v>50</v>
      </c>
      <c r="K1702" s="7" t="s">
        <v>312</v>
      </c>
      <c r="L1702" s="8">
        <v>60</v>
      </c>
      <c r="M1702" s="7">
        <f>IF(INDEX([1]equip.xml!$B:$B,MATCH(D1702,[1]equip.xml!$A:$A,0))=0,0,N1702)</f>
        <v>130</v>
      </c>
      <c r="N1702" s="8">
        <v>130</v>
      </c>
    </row>
    <row r="1703" spans="1:14">
      <c r="A1703" s="8">
        <f t="shared" si="2607"/>
        <v>10024</v>
      </c>
      <c r="B1703" s="8">
        <f t="shared" ref="B1703:C1703" si="2722">B1615</f>
        <v>40000</v>
      </c>
      <c r="C1703" s="8" t="str">
        <f t="shared" si="2722"/>
        <v>装备</v>
      </c>
      <c r="D1703" s="8">
        <f t="shared" si="2720"/>
        <v>40950020</v>
      </c>
      <c r="E1703" s="8"/>
      <c r="F1703" s="8">
        <v>1</v>
      </c>
      <c r="G1703" s="7">
        <f>3*INDEX([1]equip.xml!$I:$I,MATCH(D1703,[1]equip.xml!$A:$A,0))</f>
        <v>300000</v>
      </c>
      <c r="H1703" s="8" t="str">
        <f t="shared" ref="H1703:J1703" si="2723">H1615</f>
        <v>10_10,50_20,80_30</v>
      </c>
      <c r="I1703" s="8">
        <f t="shared" si="2723"/>
        <v>6</v>
      </c>
      <c r="J1703" s="8">
        <f t="shared" si="2723"/>
        <v>50</v>
      </c>
      <c r="K1703" s="7" t="s">
        <v>312</v>
      </c>
      <c r="L1703" s="8">
        <v>60</v>
      </c>
      <c r="M1703" s="7">
        <f>IF(INDEX([1]equip.xml!$B:$B,MATCH(D1703,[1]equip.xml!$A:$A,0))=0,0,N1703)</f>
        <v>130</v>
      </c>
      <c r="N1703" s="8">
        <v>130</v>
      </c>
    </row>
    <row r="1704" spans="1:14">
      <c r="A1704" s="8">
        <f t="shared" si="2607"/>
        <v>10024</v>
      </c>
      <c r="B1704" s="8">
        <f t="shared" ref="B1704:C1704" si="2724">B1616</f>
        <v>40000</v>
      </c>
      <c r="C1704" s="8" t="str">
        <f t="shared" si="2724"/>
        <v>装备</v>
      </c>
      <c r="D1704" s="8">
        <f t="shared" si="2720"/>
        <v>40950030</v>
      </c>
      <c r="E1704" s="8"/>
      <c r="F1704" s="8">
        <v>1</v>
      </c>
      <c r="G1704" s="7">
        <f>3*INDEX([1]equip.xml!$I:$I,MATCH(D1704,[1]equip.xml!$A:$A,0))</f>
        <v>300000</v>
      </c>
      <c r="H1704" s="8" t="str">
        <f t="shared" ref="H1704:J1704" si="2725">H1616</f>
        <v>10_10,50_20,80_30</v>
      </c>
      <c r="I1704" s="8">
        <f t="shared" si="2725"/>
        <v>6</v>
      </c>
      <c r="J1704" s="8">
        <f t="shared" si="2725"/>
        <v>50</v>
      </c>
      <c r="K1704" s="7" t="s">
        <v>312</v>
      </c>
      <c r="L1704" s="8">
        <v>60</v>
      </c>
      <c r="M1704" s="7">
        <f>IF(INDEX([1]equip.xml!$B:$B,MATCH(D1704,[1]equip.xml!$A:$A,0))=0,0,N1704)</f>
        <v>130</v>
      </c>
      <c r="N1704" s="8">
        <v>130</v>
      </c>
    </row>
    <row r="1705" spans="1:14">
      <c r="A1705" s="8">
        <f t="shared" si="2607"/>
        <v>10024</v>
      </c>
      <c r="B1705" s="8">
        <f t="shared" ref="B1705:C1705" si="2726">B1617</f>
        <v>40000</v>
      </c>
      <c r="C1705" s="8" t="str">
        <f t="shared" si="2726"/>
        <v>装备</v>
      </c>
      <c r="D1705" s="8">
        <f t="shared" si="2720"/>
        <v>40950080</v>
      </c>
      <c r="E1705" s="8"/>
      <c r="F1705" s="8">
        <v>1</v>
      </c>
      <c r="G1705" s="7">
        <f>3*INDEX([1]equip.xml!$I:$I,MATCH(D1705,[1]equip.xml!$A:$A,0))</f>
        <v>300000</v>
      </c>
      <c r="H1705" s="8" t="str">
        <f t="shared" ref="H1705:J1705" si="2727">H1617</f>
        <v>10_10,50_20,80_30</v>
      </c>
      <c r="I1705" s="8">
        <f t="shared" si="2727"/>
        <v>6</v>
      </c>
      <c r="J1705" s="8">
        <f t="shared" si="2727"/>
        <v>50</v>
      </c>
      <c r="K1705" s="7" t="s">
        <v>312</v>
      </c>
      <c r="L1705" s="8">
        <v>60</v>
      </c>
      <c r="M1705" s="7">
        <f>IF(INDEX([1]equip.xml!$B:$B,MATCH(D1705,[1]equip.xml!$A:$A,0))=0,0,N1705)</f>
        <v>130</v>
      </c>
      <c r="N1705" s="8">
        <v>130</v>
      </c>
    </row>
    <row r="1706" spans="1:14">
      <c r="A1706" s="8">
        <f t="shared" si="2607"/>
        <v>10024</v>
      </c>
      <c r="B1706" s="8">
        <f t="shared" ref="B1706:C1706" si="2728">B1618</f>
        <v>40000</v>
      </c>
      <c r="C1706" s="8" t="str">
        <f t="shared" si="2728"/>
        <v>装备</v>
      </c>
      <c r="D1706" s="8">
        <f t="shared" si="2720"/>
        <v>40950090</v>
      </c>
      <c r="E1706" s="8"/>
      <c r="F1706" s="8">
        <v>1</v>
      </c>
      <c r="G1706" s="7">
        <f>3*INDEX([1]equip.xml!$I:$I,MATCH(D1706,[1]equip.xml!$A:$A,0))</f>
        <v>300000</v>
      </c>
      <c r="H1706" s="8" t="str">
        <f t="shared" ref="H1706:J1706" si="2729">H1618</f>
        <v>10_10,50_20,80_30</v>
      </c>
      <c r="I1706" s="8">
        <f t="shared" si="2729"/>
        <v>6</v>
      </c>
      <c r="J1706" s="8">
        <f t="shared" si="2729"/>
        <v>50</v>
      </c>
      <c r="K1706" s="7" t="s">
        <v>312</v>
      </c>
      <c r="L1706" s="8">
        <v>60</v>
      </c>
      <c r="M1706" s="7">
        <f>IF(INDEX([1]equip.xml!$B:$B,MATCH(D1706,[1]equip.xml!$A:$A,0))=0,0,N1706)</f>
        <v>130</v>
      </c>
      <c r="N1706" s="8">
        <v>130</v>
      </c>
    </row>
    <row r="1707" spans="1:14">
      <c r="A1707" s="8">
        <f t="shared" si="2607"/>
        <v>10024</v>
      </c>
      <c r="B1707" s="8">
        <f t="shared" ref="B1707:C1707" si="2730">B1619</f>
        <v>40000</v>
      </c>
      <c r="C1707" s="8" t="str">
        <f t="shared" si="2730"/>
        <v>装备</v>
      </c>
      <c r="D1707" s="8">
        <f t="shared" si="2720"/>
        <v>40950100</v>
      </c>
      <c r="E1707" s="8"/>
      <c r="F1707" s="8">
        <v>1</v>
      </c>
      <c r="G1707" s="7">
        <f>3*INDEX([1]equip.xml!$I:$I,MATCH(D1707,[1]equip.xml!$A:$A,0))</f>
        <v>300000</v>
      </c>
      <c r="H1707" s="8" t="str">
        <f t="shared" ref="H1707:J1707" si="2731">H1619</f>
        <v>10_10,50_20,80_30</v>
      </c>
      <c r="I1707" s="8">
        <f t="shared" si="2731"/>
        <v>6</v>
      </c>
      <c r="J1707" s="8">
        <f t="shared" si="2731"/>
        <v>50</v>
      </c>
      <c r="K1707" s="7" t="s">
        <v>312</v>
      </c>
      <c r="L1707" s="8">
        <v>60</v>
      </c>
      <c r="M1707" s="7">
        <f>IF(INDEX([1]equip.xml!$B:$B,MATCH(D1707,[1]equip.xml!$A:$A,0))=0,0,N1707)</f>
        <v>130</v>
      </c>
      <c r="N1707" s="8">
        <v>130</v>
      </c>
    </row>
    <row r="1708" spans="1:14">
      <c r="A1708" s="8">
        <f t="shared" si="2607"/>
        <v>10024</v>
      </c>
      <c r="B1708" s="8">
        <f t="shared" ref="B1708:C1708" si="2732">B1620</f>
        <v>40000</v>
      </c>
      <c r="C1708" s="8" t="str">
        <f t="shared" si="2732"/>
        <v>装备</v>
      </c>
      <c r="D1708" s="8">
        <f t="shared" si="2720"/>
        <v>40951050</v>
      </c>
      <c r="E1708" s="8"/>
      <c r="F1708" s="8">
        <v>1</v>
      </c>
      <c r="G1708" s="7">
        <f>3*INDEX([1]equip.xml!$I:$I,MATCH(D1708,[1]equip.xml!$A:$A,0))</f>
        <v>300000</v>
      </c>
      <c r="H1708" s="8" t="str">
        <f t="shared" ref="H1708:J1708" si="2733">H1620</f>
        <v>10_10,50_20,80_30</v>
      </c>
      <c r="I1708" s="8">
        <f t="shared" si="2733"/>
        <v>6</v>
      </c>
      <c r="J1708" s="8">
        <f t="shared" si="2733"/>
        <v>50</v>
      </c>
      <c r="K1708" s="7" t="s">
        <v>312</v>
      </c>
      <c r="L1708" s="8">
        <v>60</v>
      </c>
      <c r="M1708" s="7">
        <f>IF(INDEX([1]equip.xml!$B:$B,MATCH(D1708,[1]equip.xml!$A:$A,0))=0,0,N1708)</f>
        <v>130</v>
      </c>
      <c r="N1708" s="8">
        <v>130</v>
      </c>
    </row>
    <row r="1709" spans="1:14">
      <c r="A1709" s="8">
        <f t="shared" si="2607"/>
        <v>10024</v>
      </c>
      <c r="B1709" s="8">
        <f t="shared" ref="B1709:C1709" si="2734">B1621</f>
        <v>40000</v>
      </c>
      <c r="C1709" s="8" t="str">
        <f t="shared" si="2734"/>
        <v>装备</v>
      </c>
      <c r="D1709" s="8">
        <f t="shared" si="2720"/>
        <v>40951051</v>
      </c>
      <c r="E1709" s="8"/>
      <c r="F1709" s="8">
        <v>1</v>
      </c>
      <c r="G1709" s="7">
        <f>3*INDEX([1]equip.xml!$I:$I,MATCH(D1709,[1]equip.xml!$A:$A,0))</f>
        <v>309000</v>
      </c>
      <c r="H1709" s="8" t="str">
        <f t="shared" ref="H1709:J1709" si="2735">H1621</f>
        <v>10_10,50_20,80_30</v>
      </c>
      <c r="I1709" s="8">
        <f t="shared" si="2735"/>
        <v>6</v>
      </c>
      <c r="J1709" s="8">
        <f t="shared" si="2735"/>
        <v>50</v>
      </c>
      <c r="K1709" s="7" t="s">
        <v>312</v>
      </c>
      <c r="L1709" s="8">
        <v>60</v>
      </c>
      <c r="M1709" s="7">
        <f>IF(INDEX([1]equip.xml!$B:$B,MATCH(D1709,[1]equip.xml!$A:$A,0))=0,0,N1709)</f>
        <v>130</v>
      </c>
      <c r="N1709" s="8">
        <v>130</v>
      </c>
    </row>
    <row r="1710" spans="1:14">
      <c r="A1710" s="8">
        <f t="shared" si="2607"/>
        <v>10024</v>
      </c>
      <c r="B1710" s="8">
        <f t="shared" ref="B1710:C1710" si="2736">B1622</f>
        <v>40000</v>
      </c>
      <c r="C1710" s="8" t="str">
        <f t="shared" si="2736"/>
        <v>装备</v>
      </c>
      <c r="D1710" s="8">
        <f t="shared" si="2720"/>
        <v>40951060</v>
      </c>
      <c r="E1710" s="8"/>
      <c r="F1710" s="8">
        <v>1</v>
      </c>
      <c r="G1710" s="7">
        <f>3*INDEX([1]equip.xml!$I:$I,MATCH(D1710,[1]equip.xml!$A:$A,0))</f>
        <v>300000</v>
      </c>
      <c r="H1710" s="8" t="str">
        <f t="shared" ref="H1710:J1710" si="2737">H1622</f>
        <v>10_10,50_20,80_30</v>
      </c>
      <c r="I1710" s="8">
        <f t="shared" si="2737"/>
        <v>6</v>
      </c>
      <c r="J1710" s="8">
        <f t="shared" si="2737"/>
        <v>50</v>
      </c>
      <c r="K1710" s="7" t="s">
        <v>312</v>
      </c>
      <c r="L1710" s="8">
        <v>60</v>
      </c>
      <c r="M1710" s="7">
        <f>IF(INDEX([1]equip.xml!$B:$B,MATCH(D1710,[1]equip.xml!$A:$A,0))=0,0,N1710)</f>
        <v>130</v>
      </c>
      <c r="N1710" s="8">
        <v>130</v>
      </c>
    </row>
    <row r="1711" spans="1:14">
      <c r="A1711" s="8">
        <f t="shared" ref="A1711:A1774" si="2738">A1623+1</f>
        <v>10024</v>
      </c>
      <c r="B1711" s="8">
        <f t="shared" ref="B1711:C1711" si="2739">B1623</f>
        <v>40000</v>
      </c>
      <c r="C1711" s="8" t="str">
        <f t="shared" si="2739"/>
        <v>装备</v>
      </c>
      <c r="D1711" s="8">
        <f t="shared" si="2720"/>
        <v>40951061</v>
      </c>
      <c r="E1711" s="8"/>
      <c r="F1711" s="8">
        <v>1</v>
      </c>
      <c r="G1711" s="7">
        <f>3*INDEX([1]equip.xml!$I:$I,MATCH(D1711,[1]equip.xml!$A:$A,0))</f>
        <v>309000</v>
      </c>
      <c r="H1711" s="8" t="str">
        <f t="shared" ref="H1711:J1711" si="2740">H1623</f>
        <v>10_10,50_20,80_30</v>
      </c>
      <c r="I1711" s="8">
        <f t="shared" si="2740"/>
        <v>6</v>
      </c>
      <c r="J1711" s="8">
        <f t="shared" si="2740"/>
        <v>50</v>
      </c>
      <c r="K1711" s="7" t="s">
        <v>312</v>
      </c>
      <c r="L1711" s="8">
        <v>60</v>
      </c>
      <c r="M1711" s="7">
        <f>IF(INDEX([1]equip.xml!$B:$B,MATCH(D1711,[1]equip.xml!$A:$A,0))=0,0,N1711)</f>
        <v>130</v>
      </c>
      <c r="N1711" s="8">
        <v>130</v>
      </c>
    </row>
    <row r="1712" spans="1:14">
      <c r="A1712" s="8">
        <f t="shared" si="2738"/>
        <v>10024</v>
      </c>
      <c r="B1712" s="8">
        <f t="shared" ref="B1712:C1712" si="2741">B1624</f>
        <v>40000</v>
      </c>
      <c r="C1712" s="8" t="str">
        <f t="shared" si="2741"/>
        <v>装备</v>
      </c>
      <c r="D1712" s="8">
        <f t="shared" si="2720"/>
        <v>40952050</v>
      </c>
      <c r="E1712" s="8"/>
      <c r="F1712" s="8">
        <v>1</v>
      </c>
      <c r="G1712" s="7">
        <f>3*INDEX([1]equip.xml!$I:$I,MATCH(D1712,[1]equip.xml!$A:$A,0))</f>
        <v>300000</v>
      </c>
      <c r="H1712" s="8" t="str">
        <f t="shared" ref="H1712:J1712" si="2742">H1624</f>
        <v>10_10,50_20,80_30</v>
      </c>
      <c r="I1712" s="8">
        <f t="shared" si="2742"/>
        <v>6</v>
      </c>
      <c r="J1712" s="8">
        <f t="shared" si="2742"/>
        <v>50</v>
      </c>
      <c r="K1712" s="7" t="s">
        <v>312</v>
      </c>
      <c r="L1712" s="8">
        <v>60</v>
      </c>
      <c r="M1712" s="7">
        <f>IF(INDEX([1]equip.xml!$B:$B,MATCH(D1712,[1]equip.xml!$A:$A,0))=0,0,N1712)</f>
        <v>130</v>
      </c>
      <c r="N1712" s="8">
        <v>130</v>
      </c>
    </row>
    <row r="1713" spans="1:14">
      <c r="A1713" s="8">
        <f t="shared" si="2738"/>
        <v>10024</v>
      </c>
      <c r="B1713" s="8">
        <f t="shared" ref="B1713:C1713" si="2743">B1625</f>
        <v>40000</v>
      </c>
      <c r="C1713" s="8" t="str">
        <f t="shared" si="2743"/>
        <v>装备</v>
      </c>
      <c r="D1713" s="8">
        <f t="shared" si="2720"/>
        <v>40952051</v>
      </c>
      <c r="E1713" s="8"/>
      <c r="F1713" s="8">
        <v>1</v>
      </c>
      <c r="G1713" s="7">
        <f>3*INDEX([1]equip.xml!$I:$I,MATCH(D1713,[1]equip.xml!$A:$A,0))</f>
        <v>309000</v>
      </c>
      <c r="H1713" s="8" t="str">
        <f t="shared" ref="H1713:J1713" si="2744">H1625</f>
        <v>10_10,50_20,80_30</v>
      </c>
      <c r="I1713" s="8">
        <f t="shared" si="2744"/>
        <v>6</v>
      </c>
      <c r="J1713" s="8">
        <f t="shared" si="2744"/>
        <v>50</v>
      </c>
      <c r="K1713" s="7" t="s">
        <v>312</v>
      </c>
      <c r="L1713" s="8">
        <v>60</v>
      </c>
      <c r="M1713" s="7">
        <f>IF(INDEX([1]equip.xml!$B:$B,MATCH(D1713,[1]equip.xml!$A:$A,0))=0,0,N1713)</f>
        <v>130</v>
      </c>
      <c r="N1713" s="8">
        <v>130</v>
      </c>
    </row>
    <row r="1714" spans="1:14">
      <c r="A1714" s="8">
        <f t="shared" si="2738"/>
        <v>10024</v>
      </c>
      <c r="B1714" s="8">
        <f t="shared" ref="B1714:C1714" si="2745">B1626</f>
        <v>40000</v>
      </c>
      <c r="C1714" s="8" t="str">
        <f t="shared" si="2745"/>
        <v>装备</v>
      </c>
      <c r="D1714" s="8">
        <f t="shared" si="2720"/>
        <v>40952060</v>
      </c>
      <c r="E1714" s="8"/>
      <c r="F1714" s="8">
        <v>1</v>
      </c>
      <c r="G1714" s="7">
        <f>3*INDEX([1]equip.xml!$I:$I,MATCH(D1714,[1]equip.xml!$A:$A,0))</f>
        <v>300000</v>
      </c>
      <c r="H1714" s="8" t="str">
        <f t="shared" ref="H1714:J1714" si="2746">H1626</f>
        <v>10_10,50_20,80_30</v>
      </c>
      <c r="I1714" s="8">
        <f t="shared" si="2746"/>
        <v>6</v>
      </c>
      <c r="J1714" s="8">
        <f t="shared" si="2746"/>
        <v>50</v>
      </c>
      <c r="K1714" s="7" t="s">
        <v>312</v>
      </c>
      <c r="L1714" s="8">
        <v>60</v>
      </c>
      <c r="M1714" s="7">
        <f>IF(INDEX([1]equip.xml!$B:$B,MATCH(D1714,[1]equip.xml!$A:$A,0))=0,0,N1714)</f>
        <v>130</v>
      </c>
      <c r="N1714" s="8">
        <v>130</v>
      </c>
    </row>
    <row r="1715" spans="1:14">
      <c r="A1715" s="8">
        <f t="shared" si="2738"/>
        <v>10024</v>
      </c>
      <c r="B1715" s="8">
        <f t="shared" ref="B1715:C1715" si="2747">B1627</f>
        <v>40000</v>
      </c>
      <c r="C1715" s="8" t="str">
        <f t="shared" si="2747"/>
        <v>装备</v>
      </c>
      <c r="D1715" s="8">
        <f t="shared" si="2720"/>
        <v>40952061</v>
      </c>
      <c r="E1715" s="8"/>
      <c r="F1715" s="8">
        <v>1</v>
      </c>
      <c r="G1715" s="7">
        <f>3*INDEX([1]equip.xml!$I:$I,MATCH(D1715,[1]equip.xml!$A:$A,0))</f>
        <v>309000</v>
      </c>
      <c r="H1715" s="8" t="str">
        <f t="shared" ref="H1715:J1715" si="2748">H1627</f>
        <v>10_10,50_20,80_30</v>
      </c>
      <c r="I1715" s="8">
        <f t="shared" si="2748"/>
        <v>6</v>
      </c>
      <c r="J1715" s="8">
        <f t="shared" si="2748"/>
        <v>50</v>
      </c>
      <c r="K1715" s="7" t="s">
        <v>312</v>
      </c>
      <c r="L1715" s="8">
        <v>60</v>
      </c>
      <c r="M1715" s="7">
        <f>IF(INDEX([1]equip.xml!$B:$B,MATCH(D1715,[1]equip.xml!$A:$A,0))=0,0,N1715)</f>
        <v>130</v>
      </c>
      <c r="N1715" s="8">
        <v>130</v>
      </c>
    </row>
    <row r="1716" spans="1:14">
      <c r="A1716" s="8">
        <f t="shared" si="2738"/>
        <v>10024</v>
      </c>
      <c r="B1716" s="8">
        <f t="shared" ref="B1716:C1716" si="2749">B1628</f>
        <v>40000</v>
      </c>
      <c r="C1716" s="8" t="str">
        <f t="shared" si="2749"/>
        <v>装备</v>
      </c>
      <c r="D1716" s="8">
        <f t="shared" si="2720"/>
        <v>40953050</v>
      </c>
      <c r="E1716" s="8"/>
      <c r="F1716" s="8">
        <v>1</v>
      </c>
      <c r="G1716" s="7">
        <f>3*INDEX([1]equip.xml!$I:$I,MATCH(D1716,[1]equip.xml!$A:$A,0))</f>
        <v>300000</v>
      </c>
      <c r="H1716" s="8" t="str">
        <f t="shared" ref="H1716:J1716" si="2750">H1628</f>
        <v>10_10,50_20,80_30</v>
      </c>
      <c r="I1716" s="8">
        <f t="shared" si="2750"/>
        <v>6</v>
      </c>
      <c r="J1716" s="8">
        <f t="shared" si="2750"/>
        <v>50</v>
      </c>
      <c r="K1716" s="7" t="s">
        <v>312</v>
      </c>
      <c r="L1716" s="8">
        <v>60</v>
      </c>
      <c r="M1716" s="7">
        <f>IF(INDEX([1]equip.xml!$B:$B,MATCH(D1716,[1]equip.xml!$A:$A,0))=0,0,N1716)</f>
        <v>130</v>
      </c>
      <c r="N1716" s="8">
        <v>130</v>
      </c>
    </row>
    <row r="1717" spans="1:14">
      <c r="A1717" s="8">
        <f t="shared" si="2738"/>
        <v>10024</v>
      </c>
      <c r="B1717" s="8">
        <f t="shared" ref="B1717:C1717" si="2751">B1629</f>
        <v>40000</v>
      </c>
      <c r="C1717" s="8" t="str">
        <f t="shared" si="2751"/>
        <v>装备</v>
      </c>
      <c r="D1717" s="8">
        <f t="shared" si="2720"/>
        <v>40953051</v>
      </c>
      <c r="E1717" s="8"/>
      <c r="F1717" s="8">
        <v>1</v>
      </c>
      <c r="G1717" s="7">
        <f>3*INDEX([1]equip.xml!$I:$I,MATCH(D1717,[1]equip.xml!$A:$A,0))</f>
        <v>309000</v>
      </c>
      <c r="H1717" s="8" t="str">
        <f t="shared" ref="H1717:J1717" si="2752">H1629</f>
        <v>10_10,50_20,80_30</v>
      </c>
      <c r="I1717" s="8">
        <f t="shared" si="2752"/>
        <v>6</v>
      </c>
      <c r="J1717" s="8">
        <f t="shared" si="2752"/>
        <v>50</v>
      </c>
      <c r="K1717" s="7" t="s">
        <v>312</v>
      </c>
      <c r="L1717" s="8">
        <v>60</v>
      </c>
      <c r="M1717" s="7">
        <f>IF(INDEX([1]equip.xml!$B:$B,MATCH(D1717,[1]equip.xml!$A:$A,0))=0,0,N1717)</f>
        <v>130</v>
      </c>
      <c r="N1717" s="8">
        <v>130</v>
      </c>
    </row>
    <row r="1718" spans="1:14">
      <c r="A1718" s="8">
        <f t="shared" si="2738"/>
        <v>10024</v>
      </c>
      <c r="B1718" s="8">
        <f t="shared" ref="B1718:C1718" si="2753">B1630</f>
        <v>40000</v>
      </c>
      <c r="C1718" s="8" t="str">
        <f t="shared" si="2753"/>
        <v>装备</v>
      </c>
      <c r="D1718" s="8">
        <f t="shared" si="2720"/>
        <v>40953060</v>
      </c>
      <c r="E1718" s="8"/>
      <c r="F1718" s="8">
        <v>1</v>
      </c>
      <c r="G1718" s="7">
        <f>3*INDEX([1]equip.xml!$I:$I,MATCH(D1718,[1]equip.xml!$A:$A,0))</f>
        <v>300000</v>
      </c>
      <c r="H1718" s="8" t="str">
        <f t="shared" ref="H1718:J1718" si="2754">H1630</f>
        <v>10_10,50_20,80_30</v>
      </c>
      <c r="I1718" s="8">
        <f t="shared" si="2754"/>
        <v>6</v>
      </c>
      <c r="J1718" s="8">
        <f t="shared" si="2754"/>
        <v>50</v>
      </c>
      <c r="K1718" s="7" t="s">
        <v>312</v>
      </c>
      <c r="L1718" s="8">
        <v>60</v>
      </c>
      <c r="M1718" s="7">
        <f>IF(INDEX([1]equip.xml!$B:$B,MATCH(D1718,[1]equip.xml!$A:$A,0))=0,0,N1718)</f>
        <v>130</v>
      </c>
      <c r="N1718" s="8">
        <v>130</v>
      </c>
    </row>
    <row r="1719" spans="1:14">
      <c r="A1719" s="8">
        <f t="shared" si="2738"/>
        <v>10024</v>
      </c>
      <c r="B1719" s="8">
        <f t="shared" ref="B1719:C1719" si="2755">B1631</f>
        <v>40000</v>
      </c>
      <c r="C1719" s="8" t="str">
        <f t="shared" si="2755"/>
        <v>装备</v>
      </c>
      <c r="D1719" s="8">
        <f t="shared" si="2720"/>
        <v>40953061</v>
      </c>
      <c r="E1719" s="8"/>
      <c r="F1719" s="8">
        <v>1</v>
      </c>
      <c r="G1719" s="7">
        <f>3*INDEX([1]equip.xml!$I:$I,MATCH(D1719,[1]equip.xml!$A:$A,0))</f>
        <v>309000</v>
      </c>
      <c r="H1719" s="8" t="str">
        <f t="shared" ref="H1719:J1719" si="2756">H1631</f>
        <v>10_10,50_20,80_30</v>
      </c>
      <c r="I1719" s="8">
        <f t="shared" si="2756"/>
        <v>6</v>
      </c>
      <c r="J1719" s="8">
        <f t="shared" si="2756"/>
        <v>50</v>
      </c>
      <c r="K1719" s="7" t="s">
        <v>312</v>
      </c>
      <c r="L1719" s="8">
        <v>60</v>
      </c>
      <c r="M1719" s="7">
        <f>IF(INDEX([1]equip.xml!$B:$B,MATCH(D1719,[1]equip.xml!$A:$A,0))=0,0,N1719)</f>
        <v>130</v>
      </c>
      <c r="N1719" s="8">
        <v>130</v>
      </c>
    </row>
    <row r="1720" spans="1:14">
      <c r="A1720" s="8">
        <f t="shared" si="2738"/>
        <v>10024</v>
      </c>
      <c r="B1720" s="8">
        <f t="shared" ref="B1720:C1720" si="2757">B1632</f>
        <v>40000</v>
      </c>
      <c r="C1720" s="8" t="str">
        <f t="shared" si="2757"/>
        <v>装备</v>
      </c>
      <c r="D1720" s="8">
        <f t="shared" si="2720"/>
        <v>40950040</v>
      </c>
      <c r="E1720" s="8"/>
      <c r="F1720" s="8">
        <v>1</v>
      </c>
      <c r="G1720" s="7">
        <f>3*INDEX([1]equip.xml!$I:$I,MATCH(D1720,[1]equip.xml!$A:$A,0))</f>
        <v>300000</v>
      </c>
      <c r="H1720" s="8" t="str">
        <f t="shared" ref="H1720:J1720" si="2758">H1632</f>
        <v>10_10,50_20,80_30</v>
      </c>
      <c r="I1720" s="8">
        <f t="shared" si="2758"/>
        <v>6</v>
      </c>
      <c r="J1720" s="8">
        <f t="shared" si="2758"/>
        <v>50</v>
      </c>
      <c r="K1720" s="7" t="s">
        <v>312</v>
      </c>
      <c r="L1720" s="8">
        <v>60</v>
      </c>
      <c r="M1720" s="7">
        <f>IF(INDEX([1]equip.xml!$B:$B,MATCH(D1720,[1]equip.xml!$A:$A,0))=0,0,N1720)</f>
        <v>130</v>
      </c>
      <c r="N1720" s="8">
        <v>130</v>
      </c>
    </row>
    <row r="1721" spans="1:14">
      <c r="A1721" s="8">
        <f t="shared" si="2738"/>
        <v>10024</v>
      </c>
      <c r="B1721" s="8">
        <f t="shared" ref="B1721:C1721" si="2759">B1633</f>
        <v>40000</v>
      </c>
      <c r="C1721" s="8" t="str">
        <f t="shared" si="2759"/>
        <v>装备</v>
      </c>
      <c r="D1721" s="8">
        <f t="shared" si="2720"/>
        <v>40950041</v>
      </c>
      <c r="E1721" s="8"/>
      <c r="F1721" s="8">
        <v>1</v>
      </c>
      <c r="G1721" s="7">
        <f>3*INDEX([1]equip.xml!$I:$I,MATCH(D1721,[1]equip.xml!$A:$A,0))</f>
        <v>309000</v>
      </c>
      <c r="H1721" s="8" t="str">
        <f t="shared" ref="H1721:J1721" si="2760">H1633</f>
        <v>10_10,50_20,80_30</v>
      </c>
      <c r="I1721" s="8">
        <f t="shared" si="2760"/>
        <v>6</v>
      </c>
      <c r="J1721" s="8">
        <f t="shared" si="2760"/>
        <v>50</v>
      </c>
      <c r="K1721" s="7" t="s">
        <v>312</v>
      </c>
      <c r="L1721" s="8">
        <v>60</v>
      </c>
      <c r="M1721" s="7">
        <f>IF(INDEX([1]equip.xml!$B:$B,MATCH(D1721,[1]equip.xml!$A:$A,0))=0,0,N1721)</f>
        <v>130</v>
      </c>
      <c r="N1721" s="8">
        <v>130</v>
      </c>
    </row>
    <row r="1722" spans="1:14">
      <c r="A1722" s="8">
        <f t="shared" si="2738"/>
        <v>10024</v>
      </c>
      <c r="B1722" s="8">
        <f t="shared" ref="B1722:C1722" si="2761">B1634</f>
        <v>40000</v>
      </c>
      <c r="C1722" s="8" t="str">
        <f t="shared" si="2761"/>
        <v>装备</v>
      </c>
      <c r="D1722" s="8">
        <f t="shared" si="2720"/>
        <v>40950070</v>
      </c>
      <c r="E1722" s="8"/>
      <c r="F1722" s="8">
        <v>1</v>
      </c>
      <c r="G1722" s="7">
        <f>3*INDEX([1]equip.xml!$I:$I,MATCH(D1722,[1]equip.xml!$A:$A,0))</f>
        <v>300000</v>
      </c>
      <c r="H1722" s="8" t="str">
        <f t="shared" ref="H1722:J1722" si="2762">H1634</f>
        <v>10_10,50_20,80_30</v>
      </c>
      <c r="I1722" s="8">
        <f t="shared" si="2762"/>
        <v>6</v>
      </c>
      <c r="J1722" s="8">
        <f t="shared" si="2762"/>
        <v>50</v>
      </c>
      <c r="K1722" s="7" t="s">
        <v>312</v>
      </c>
      <c r="L1722" s="8">
        <v>60</v>
      </c>
      <c r="M1722" s="7">
        <f>IF(INDEX([1]equip.xml!$B:$B,MATCH(D1722,[1]equip.xml!$A:$A,0))=0,0,N1722)</f>
        <v>130</v>
      </c>
      <c r="N1722" s="8">
        <v>130</v>
      </c>
    </row>
    <row r="1723" spans="1:14">
      <c r="A1723" s="8">
        <f t="shared" si="2738"/>
        <v>10024</v>
      </c>
      <c r="B1723" s="8">
        <f t="shared" ref="B1723:C1723" si="2763">B1635</f>
        <v>40000</v>
      </c>
      <c r="C1723" s="8" t="str">
        <f t="shared" si="2763"/>
        <v>装备</v>
      </c>
      <c r="D1723" s="8">
        <f t="shared" si="2720"/>
        <v>40950071</v>
      </c>
      <c r="E1723" s="8"/>
      <c r="F1723" s="8">
        <v>1</v>
      </c>
      <c r="G1723" s="7">
        <f>3*INDEX([1]equip.xml!$I:$I,MATCH(D1723,[1]equip.xml!$A:$A,0))</f>
        <v>309000</v>
      </c>
      <c r="H1723" s="8" t="str">
        <f t="shared" ref="H1723:J1723" si="2764">H1635</f>
        <v>10_10,50_20,80_30</v>
      </c>
      <c r="I1723" s="8">
        <f t="shared" si="2764"/>
        <v>6</v>
      </c>
      <c r="J1723" s="8">
        <f t="shared" si="2764"/>
        <v>50</v>
      </c>
      <c r="K1723" s="7" t="s">
        <v>312</v>
      </c>
      <c r="L1723" s="8">
        <v>60</v>
      </c>
      <c r="M1723" s="7">
        <f>IF(INDEX([1]equip.xml!$B:$B,MATCH(D1723,[1]equip.xml!$A:$A,0))=0,0,N1723)</f>
        <v>130</v>
      </c>
      <c r="N1723" s="8">
        <v>130</v>
      </c>
    </row>
    <row r="1724" spans="1:14">
      <c r="A1724" s="8">
        <f t="shared" si="2738"/>
        <v>10024</v>
      </c>
      <c r="B1724" s="8">
        <f t="shared" ref="B1724:C1724" si="2765">B1636</f>
        <v>40000</v>
      </c>
      <c r="C1724" s="8" t="str">
        <f t="shared" si="2765"/>
        <v>装备</v>
      </c>
      <c r="D1724" s="8">
        <f t="shared" si="2720"/>
        <v>41000010</v>
      </c>
      <c r="E1724" s="8"/>
      <c r="F1724" s="8">
        <v>1</v>
      </c>
      <c r="G1724" s="7">
        <f>3*INDEX([1]equip.xml!$I:$I,MATCH(D1724,[1]equip.xml!$A:$A,0))</f>
        <v>318000</v>
      </c>
      <c r="H1724" s="8" t="str">
        <f t="shared" ref="H1724:J1724" si="2766">H1636</f>
        <v>10_10,50_20,80_30</v>
      </c>
      <c r="I1724" s="8">
        <f t="shared" si="2766"/>
        <v>6</v>
      </c>
      <c r="J1724" s="8">
        <f t="shared" si="2766"/>
        <v>50</v>
      </c>
      <c r="K1724" s="7" t="s">
        <v>312</v>
      </c>
      <c r="L1724" s="8">
        <v>60</v>
      </c>
      <c r="M1724" s="7">
        <f>IF(INDEX([1]equip.xml!$B:$B,MATCH(D1724,[1]equip.xml!$A:$A,0))=0,0,N1724)</f>
        <v>1</v>
      </c>
      <c r="N1724" s="8">
        <v>1</v>
      </c>
    </row>
    <row r="1725" spans="1:14">
      <c r="A1725" s="8">
        <f t="shared" si="2738"/>
        <v>10024</v>
      </c>
      <c r="B1725" s="8">
        <f t="shared" ref="B1725:C1725" si="2767">B1637</f>
        <v>40000</v>
      </c>
      <c r="C1725" s="8" t="str">
        <f t="shared" si="2767"/>
        <v>装备</v>
      </c>
      <c r="D1725" s="8">
        <f t="shared" si="2720"/>
        <v>41000020</v>
      </c>
      <c r="E1725" s="8"/>
      <c r="F1725" s="8">
        <v>1</v>
      </c>
      <c r="G1725" s="7">
        <f>3*INDEX([1]equip.xml!$I:$I,MATCH(D1725,[1]equip.xml!$A:$A,0))</f>
        <v>318000</v>
      </c>
      <c r="H1725" s="8" t="str">
        <f t="shared" ref="H1725:J1725" si="2768">H1637</f>
        <v>10_10,50_20,80_30</v>
      </c>
      <c r="I1725" s="8">
        <f t="shared" si="2768"/>
        <v>6</v>
      </c>
      <c r="J1725" s="8">
        <f t="shared" si="2768"/>
        <v>50</v>
      </c>
      <c r="K1725" s="7" t="s">
        <v>312</v>
      </c>
      <c r="L1725" s="8">
        <v>60</v>
      </c>
      <c r="M1725" s="7">
        <f>IF(INDEX([1]equip.xml!$B:$B,MATCH(D1725,[1]equip.xml!$A:$A,0))=0,0,N1725)</f>
        <v>1</v>
      </c>
      <c r="N1725" s="8">
        <v>1</v>
      </c>
    </row>
    <row r="1726" spans="1:14">
      <c r="A1726" s="8">
        <f t="shared" si="2738"/>
        <v>10024</v>
      </c>
      <c r="B1726" s="8">
        <f t="shared" ref="B1726:C1726" si="2769">B1638</f>
        <v>40000</v>
      </c>
      <c r="C1726" s="8" t="str">
        <f t="shared" si="2769"/>
        <v>装备</v>
      </c>
      <c r="D1726" s="8">
        <f t="shared" si="2720"/>
        <v>41000030</v>
      </c>
      <c r="E1726" s="8"/>
      <c r="F1726" s="8">
        <v>1</v>
      </c>
      <c r="G1726" s="7">
        <f>3*INDEX([1]equip.xml!$I:$I,MATCH(D1726,[1]equip.xml!$A:$A,0))</f>
        <v>318000</v>
      </c>
      <c r="H1726" s="8" t="str">
        <f t="shared" ref="H1726:J1726" si="2770">H1638</f>
        <v>10_10,50_20,80_30</v>
      </c>
      <c r="I1726" s="8">
        <f t="shared" si="2770"/>
        <v>6</v>
      </c>
      <c r="J1726" s="8">
        <f t="shared" si="2770"/>
        <v>50</v>
      </c>
      <c r="K1726" s="7" t="s">
        <v>312</v>
      </c>
      <c r="L1726" s="8">
        <v>60</v>
      </c>
      <c r="M1726" s="7">
        <f>IF(INDEX([1]equip.xml!$B:$B,MATCH(D1726,[1]equip.xml!$A:$A,0))=0,0,N1726)</f>
        <v>1</v>
      </c>
      <c r="N1726" s="8">
        <v>1</v>
      </c>
    </row>
    <row r="1727" spans="1:14">
      <c r="A1727" s="8">
        <f t="shared" si="2738"/>
        <v>10024</v>
      </c>
      <c r="B1727" s="8">
        <f t="shared" ref="B1727:C1727" si="2771">B1639</f>
        <v>40000</v>
      </c>
      <c r="C1727" s="8" t="str">
        <f t="shared" si="2771"/>
        <v>装备</v>
      </c>
      <c r="D1727" s="8">
        <f t="shared" si="2720"/>
        <v>41000080</v>
      </c>
      <c r="E1727" s="8"/>
      <c r="F1727" s="8">
        <v>1</v>
      </c>
      <c r="G1727" s="7">
        <f>3*INDEX([1]equip.xml!$I:$I,MATCH(D1727,[1]equip.xml!$A:$A,0))</f>
        <v>318000</v>
      </c>
      <c r="H1727" s="8" t="str">
        <f t="shared" ref="H1727:J1727" si="2772">H1639</f>
        <v>10_10,50_20,80_30</v>
      </c>
      <c r="I1727" s="8">
        <f t="shared" si="2772"/>
        <v>6</v>
      </c>
      <c r="J1727" s="8">
        <f t="shared" si="2772"/>
        <v>50</v>
      </c>
      <c r="K1727" s="7" t="s">
        <v>312</v>
      </c>
      <c r="L1727" s="8">
        <v>60</v>
      </c>
      <c r="M1727" s="7">
        <f>IF(INDEX([1]equip.xml!$B:$B,MATCH(D1727,[1]equip.xml!$A:$A,0))=0,0,N1727)</f>
        <v>1</v>
      </c>
      <c r="N1727" s="8">
        <v>1</v>
      </c>
    </row>
    <row r="1728" spans="1:14">
      <c r="A1728" s="8">
        <f t="shared" si="2738"/>
        <v>10024</v>
      </c>
      <c r="B1728" s="8">
        <f t="shared" ref="B1728:C1728" si="2773">B1640</f>
        <v>40000</v>
      </c>
      <c r="C1728" s="8" t="str">
        <f t="shared" si="2773"/>
        <v>装备</v>
      </c>
      <c r="D1728" s="8">
        <f t="shared" si="2720"/>
        <v>41000090</v>
      </c>
      <c r="E1728" s="8"/>
      <c r="F1728" s="8">
        <v>1</v>
      </c>
      <c r="G1728" s="7">
        <f>3*INDEX([1]equip.xml!$I:$I,MATCH(D1728,[1]equip.xml!$A:$A,0))</f>
        <v>318000</v>
      </c>
      <c r="H1728" s="8" t="str">
        <f t="shared" ref="H1728:J1728" si="2774">H1640</f>
        <v>10_10,50_20,80_30</v>
      </c>
      <c r="I1728" s="8">
        <f t="shared" si="2774"/>
        <v>6</v>
      </c>
      <c r="J1728" s="8">
        <f t="shared" si="2774"/>
        <v>50</v>
      </c>
      <c r="K1728" s="7" t="s">
        <v>312</v>
      </c>
      <c r="L1728" s="8">
        <v>60</v>
      </c>
      <c r="M1728" s="7">
        <f>IF(INDEX([1]equip.xml!$B:$B,MATCH(D1728,[1]equip.xml!$A:$A,0))=0,0,N1728)</f>
        <v>1</v>
      </c>
      <c r="N1728" s="8">
        <v>1</v>
      </c>
    </row>
    <row r="1729" spans="1:14">
      <c r="A1729" s="8">
        <f t="shared" si="2738"/>
        <v>10024</v>
      </c>
      <c r="B1729" s="8">
        <f t="shared" ref="B1729:C1729" si="2775">B1641</f>
        <v>40000</v>
      </c>
      <c r="C1729" s="8" t="str">
        <f t="shared" si="2775"/>
        <v>装备</v>
      </c>
      <c r="D1729" s="8">
        <f t="shared" si="2720"/>
        <v>41000100</v>
      </c>
      <c r="E1729" s="8"/>
      <c r="F1729" s="8">
        <v>1</v>
      </c>
      <c r="G1729" s="7">
        <f>3*INDEX([1]equip.xml!$I:$I,MATCH(D1729,[1]equip.xml!$A:$A,0))</f>
        <v>318000</v>
      </c>
      <c r="H1729" s="8" t="str">
        <f t="shared" ref="H1729:J1729" si="2776">H1641</f>
        <v>10_10,50_20,80_30</v>
      </c>
      <c r="I1729" s="8">
        <f t="shared" si="2776"/>
        <v>6</v>
      </c>
      <c r="J1729" s="8">
        <f t="shared" si="2776"/>
        <v>50</v>
      </c>
      <c r="K1729" s="7" t="s">
        <v>312</v>
      </c>
      <c r="L1729" s="8">
        <v>60</v>
      </c>
      <c r="M1729" s="7">
        <f>IF(INDEX([1]equip.xml!$B:$B,MATCH(D1729,[1]equip.xml!$A:$A,0))=0,0,N1729)</f>
        <v>1</v>
      </c>
      <c r="N1729" s="8">
        <v>1</v>
      </c>
    </row>
    <row r="1730" spans="1:14">
      <c r="A1730" s="8">
        <f t="shared" si="2738"/>
        <v>10024</v>
      </c>
      <c r="B1730" s="8">
        <f t="shared" ref="B1730:C1730" si="2777">B1642</f>
        <v>40000</v>
      </c>
      <c r="C1730" s="8" t="str">
        <f t="shared" si="2777"/>
        <v>装备</v>
      </c>
      <c r="D1730" s="8">
        <f t="shared" si="2720"/>
        <v>41001050</v>
      </c>
      <c r="E1730" s="8"/>
      <c r="F1730" s="8">
        <v>1</v>
      </c>
      <c r="G1730" s="7">
        <f>3*INDEX([1]equip.xml!$I:$I,MATCH(D1730,[1]equip.xml!$A:$A,0))</f>
        <v>318000</v>
      </c>
      <c r="H1730" s="8" t="str">
        <f t="shared" ref="H1730:J1730" si="2778">H1642</f>
        <v>10_10,50_20,80_30</v>
      </c>
      <c r="I1730" s="8">
        <f t="shared" si="2778"/>
        <v>6</v>
      </c>
      <c r="J1730" s="8">
        <f t="shared" si="2778"/>
        <v>50</v>
      </c>
      <c r="K1730" s="7" t="s">
        <v>312</v>
      </c>
      <c r="L1730" s="8">
        <v>60</v>
      </c>
      <c r="M1730" s="7">
        <f>IF(INDEX([1]equip.xml!$B:$B,MATCH(D1730,[1]equip.xml!$A:$A,0))=0,0,N1730)</f>
        <v>1</v>
      </c>
      <c r="N1730" s="8">
        <v>1</v>
      </c>
    </row>
    <row r="1731" spans="1:14">
      <c r="A1731" s="8">
        <f t="shared" si="2738"/>
        <v>10024</v>
      </c>
      <c r="B1731" s="8">
        <f t="shared" ref="B1731:C1731" si="2779">B1643</f>
        <v>40000</v>
      </c>
      <c r="C1731" s="8" t="str">
        <f t="shared" si="2779"/>
        <v>装备</v>
      </c>
      <c r="D1731" s="8">
        <f t="shared" si="2720"/>
        <v>41001051</v>
      </c>
      <c r="E1731" s="8"/>
      <c r="F1731" s="8">
        <v>1</v>
      </c>
      <c r="G1731" s="7">
        <f>3*INDEX([1]equip.xml!$I:$I,MATCH(D1731,[1]equip.xml!$A:$A,0))</f>
        <v>327000</v>
      </c>
      <c r="H1731" s="8" t="str">
        <f t="shared" ref="H1731:J1731" si="2780">H1643</f>
        <v>10_10,50_20,80_30</v>
      </c>
      <c r="I1731" s="8">
        <f t="shared" si="2780"/>
        <v>6</v>
      </c>
      <c r="J1731" s="8">
        <f t="shared" si="2780"/>
        <v>50</v>
      </c>
      <c r="K1731" s="7" t="s">
        <v>312</v>
      </c>
      <c r="L1731" s="8">
        <v>60</v>
      </c>
      <c r="M1731" s="7">
        <f>IF(INDEX([1]equip.xml!$B:$B,MATCH(D1731,[1]equip.xml!$A:$A,0))=0,0,N1731)</f>
        <v>0</v>
      </c>
      <c r="N1731" s="8">
        <v>1</v>
      </c>
    </row>
    <row r="1732" spans="1:14">
      <c r="A1732" s="8">
        <f t="shared" si="2738"/>
        <v>10024</v>
      </c>
      <c r="B1732" s="8">
        <f t="shared" ref="B1732:C1732" si="2781">B1644</f>
        <v>40000</v>
      </c>
      <c r="C1732" s="8" t="str">
        <f t="shared" si="2781"/>
        <v>装备</v>
      </c>
      <c r="D1732" s="8">
        <f t="shared" si="2720"/>
        <v>41001060</v>
      </c>
      <c r="E1732" s="8"/>
      <c r="F1732" s="8">
        <v>1</v>
      </c>
      <c r="G1732" s="7">
        <f>3*INDEX([1]equip.xml!$I:$I,MATCH(D1732,[1]equip.xml!$A:$A,0))</f>
        <v>318000</v>
      </c>
      <c r="H1732" s="8" t="str">
        <f t="shared" ref="H1732:J1732" si="2782">H1644</f>
        <v>10_10,50_20,80_30</v>
      </c>
      <c r="I1732" s="8">
        <f t="shared" si="2782"/>
        <v>6</v>
      </c>
      <c r="J1732" s="8">
        <f t="shared" si="2782"/>
        <v>50</v>
      </c>
      <c r="K1732" s="7" t="s">
        <v>312</v>
      </c>
      <c r="L1732" s="8">
        <v>60</v>
      </c>
      <c r="M1732" s="7">
        <f>IF(INDEX([1]equip.xml!$B:$B,MATCH(D1732,[1]equip.xml!$A:$A,0))=0,0,N1732)</f>
        <v>1</v>
      </c>
      <c r="N1732" s="8">
        <v>1</v>
      </c>
    </row>
    <row r="1733" spans="1:14">
      <c r="A1733" s="8">
        <f t="shared" si="2738"/>
        <v>10024</v>
      </c>
      <c r="B1733" s="8">
        <f t="shared" ref="B1733:C1733" si="2783">B1645</f>
        <v>40000</v>
      </c>
      <c r="C1733" s="8" t="str">
        <f t="shared" si="2783"/>
        <v>装备</v>
      </c>
      <c r="D1733" s="8">
        <f t="shared" si="2720"/>
        <v>41001061</v>
      </c>
      <c r="E1733" s="8"/>
      <c r="F1733" s="8">
        <v>1</v>
      </c>
      <c r="G1733" s="7">
        <f>3*INDEX([1]equip.xml!$I:$I,MATCH(D1733,[1]equip.xml!$A:$A,0))</f>
        <v>327000</v>
      </c>
      <c r="H1733" s="8" t="str">
        <f t="shared" ref="H1733:J1733" si="2784">H1645</f>
        <v>10_10,50_20,80_30</v>
      </c>
      <c r="I1733" s="8">
        <f t="shared" si="2784"/>
        <v>6</v>
      </c>
      <c r="J1733" s="8">
        <f t="shared" si="2784"/>
        <v>50</v>
      </c>
      <c r="K1733" s="7" t="s">
        <v>312</v>
      </c>
      <c r="L1733" s="8">
        <v>60</v>
      </c>
      <c r="M1733" s="7">
        <f>IF(INDEX([1]equip.xml!$B:$B,MATCH(D1733,[1]equip.xml!$A:$A,0))=0,0,N1733)</f>
        <v>0</v>
      </c>
      <c r="N1733" s="8">
        <v>1</v>
      </c>
    </row>
    <row r="1734" spans="1:14">
      <c r="A1734" s="8">
        <f t="shared" si="2738"/>
        <v>10024</v>
      </c>
      <c r="B1734" s="8">
        <f t="shared" ref="B1734:C1734" si="2785">B1646</f>
        <v>40000</v>
      </c>
      <c r="C1734" s="8" t="str">
        <f t="shared" si="2785"/>
        <v>装备</v>
      </c>
      <c r="D1734" s="8">
        <f t="shared" si="2720"/>
        <v>41002050</v>
      </c>
      <c r="E1734" s="8"/>
      <c r="F1734" s="8">
        <v>1</v>
      </c>
      <c r="G1734" s="7">
        <f>3*INDEX([1]equip.xml!$I:$I,MATCH(D1734,[1]equip.xml!$A:$A,0))</f>
        <v>318000</v>
      </c>
      <c r="H1734" s="8" t="str">
        <f t="shared" ref="H1734:J1734" si="2786">H1646</f>
        <v>10_10,50_20,80_30</v>
      </c>
      <c r="I1734" s="8">
        <f t="shared" si="2786"/>
        <v>6</v>
      </c>
      <c r="J1734" s="8">
        <f t="shared" si="2786"/>
        <v>50</v>
      </c>
      <c r="K1734" s="7" t="s">
        <v>312</v>
      </c>
      <c r="L1734" s="8">
        <v>60</v>
      </c>
      <c r="M1734" s="7">
        <f>IF(INDEX([1]equip.xml!$B:$B,MATCH(D1734,[1]equip.xml!$A:$A,0))=0,0,N1734)</f>
        <v>1</v>
      </c>
      <c r="N1734" s="8">
        <v>1</v>
      </c>
    </row>
    <row r="1735" spans="1:14">
      <c r="A1735" s="8">
        <f t="shared" si="2738"/>
        <v>10024</v>
      </c>
      <c r="B1735" s="8">
        <f t="shared" ref="B1735:C1735" si="2787">B1647</f>
        <v>40000</v>
      </c>
      <c r="C1735" s="8" t="str">
        <f t="shared" si="2787"/>
        <v>装备</v>
      </c>
      <c r="D1735" s="8">
        <f t="shared" ref="D1735:D1789" si="2788">D1647+50000</f>
        <v>41002051</v>
      </c>
      <c r="E1735" s="8"/>
      <c r="F1735" s="8">
        <v>1</v>
      </c>
      <c r="G1735" s="7">
        <f>3*INDEX([1]equip.xml!$I:$I,MATCH(D1735,[1]equip.xml!$A:$A,0))</f>
        <v>327000</v>
      </c>
      <c r="H1735" s="8" t="str">
        <f t="shared" ref="H1735:J1735" si="2789">H1647</f>
        <v>10_10,50_20,80_30</v>
      </c>
      <c r="I1735" s="8">
        <f t="shared" si="2789"/>
        <v>6</v>
      </c>
      <c r="J1735" s="8">
        <f t="shared" si="2789"/>
        <v>50</v>
      </c>
      <c r="K1735" s="7" t="s">
        <v>312</v>
      </c>
      <c r="L1735" s="8">
        <v>60</v>
      </c>
      <c r="M1735" s="7">
        <f>IF(INDEX([1]equip.xml!$B:$B,MATCH(D1735,[1]equip.xml!$A:$A,0))=0,0,N1735)</f>
        <v>0</v>
      </c>
      <c r="N1735" s="8">
        <v>1</v>
      </c>
    </row>
    <row r="1736" spans="1:14">
      <c r="A1736" s="8">
        <f t="shared" si="2738"/>
        <v>10024</v>
      </c>
      <c r="B1736" s="8">
        <f t="shared" ref="B1736:C1736" si="2790">B1648</f>
        <v>40000</v>
      </c>
      <c r="C1736" s="8" t="str">
        <f t="shared" si="2790"/>
        <v>装备</v>
      </c>
      <c r="D1736" s="8">
        <f t="shared" si="2788"/>
        <v>41002060</v>
      </c>
      <c r="E1736" s="8"/>
      <c r="F1736" s="8">
        <v>1</v>
      </c>
      <c r="G1736" s="7">
        <f>3*INDEX([1]equip.xml!$I:$I,MATCH(D1736,[1]equip.xml!$A:$A,0))</f>
        <v>318000</v>
      </c>
      <c r="H1736" s="8" t="str">
        <f t="shared" ref="H1736:J1736" si="2791">H1648</f>
        <v>10_10,50_20,80_30</v>
      </c>
      <c r="I1736" s="8">
        <f t="shared" si="2791"/>
        <v>6</v>
      </c>
      <c r="J1736" s="8">
        <f t="shared" si="2791"/>
        <v>50</v>
      </c>
      <c r="K1736" s="7" t="s">
        <v>312</v>
      </c>
      <c r="L1736" s="8">
        <v>60</v>
      </c>
      <c r="M1736" s="7">
        <f>IF(INDEX([1]equip.xml!$B:$B,MATCH(D1736,[1]equip.xml!$A:$A,0))=0,0,N1736)</f>
        <v>1</v>
      </c>
      <c r="N1736" s="8">
        <v>1</v>
      </c>
    </row>
    <row r="1737" spans="1:14">
      <c r="A1737" s="8">
        <f t="shared" si="2738"/>
        <v>10024</v>
      </c>
      <c r="B1737" s="8">
        <f t="shared" ref="B1737:C1737" si="2792">B1649</f>
        <v>40000</v>
      </c>
      <c r="C1737" s="8" t="str">
        <f t="shared" si="2792"/>
        <v>装备</v>
      </c>
      <c r="D1737" s="8">
        <f t="shared" si="2788"/>
        <v>41002061</v>
      </c>
      <c r="E1737" s="8"/>
      <c r="F1737" s="8">
        <v>1</v>
      </c>
      <c r="G1737" s="7">
        <f>3*INDEX([1]equip.xml!$I:$I,MATCH(D1737,[1]equip.xml!$A:$A,0))</f>
        <v>327000</v>
      </c>
      <c r="H1737" s="8" t="str">
        <f t="shared" ref="H1737:J1737" si="2793">H1649</f>
        <v>10_10,50_20,80_30</v>
      </c>
      <c r="I1737" s="8">
        <f t="shared" si="2793"/>
        <v>6</v>
      </c>
      <c r="J1737" s="8">
        <f t="shared" si="2793"/>
        <v>50</v>
      </c>
      <c r="K1737" s="7" t="s">
        <v>312</v>
      </c>
      <c r="L1737" s="8">
        <v>60</v>
      </c>
      <c r="M1737" s="7">
        <f>IF(INDEX([1]equip.xml!$B:$B,MATCH(D1737,[1]equip.xml!$A:$A,0))=0,0,N1737)</f>
        <v>0</v>
      </c>
      <c r="N1737" s="8">
        <v>1</v>
      </c>
    </row>
    <row r="1738" spans="1:14">
      <c r="A1738" s="8">
        <f t="shared" si="2738"/>
        <v>10024</v>
      </c>
      <c r="B1738" s="8">
        <f t="shared" ref="B1738:C1738" si="2794">B1650</f>
        <v>40000</v>
      </c>
      <c r="C1738" s="8" t="str">
        <f t="shared" si="2794"/>
        <v>装备</v>
      </c>
      <c r="D1738" s="8">
        <f t="shared" si="2788"/>
        <v>41003050</v>
      </c>
      <c r="E1738" s="8"/>
      <c r="F1738" s="8">
        <v>1</v>
      </c>
      <c r="G1738" s="7">
        <f>3*INDEX([1]equip.xml!$I:$I,MATCH(D1738,[1]equip.xml!$A:$A,0))</f>
        <v>318000</v>
      </c>
      <c r="H1738" s="8" t="str">
        <f t="shared" ref="H1738:J1738" si="2795">H1650</f>
        <v>10_10,50_20,80_30</v>
      </c>
      <c r="I1738" s="8">
        <f t="shared" si="2795"/>
        <v>6</v>
      </c>
      <c r="J1738" s="8">
        <f t="shared" si="2795"/>
        <v>50</v>
      </c>
      <c r="K1738" s="7" t="s">
        <v>312</v>
      </c>
      <c r="L1738" s="8">
        <v>60</v>
      </c>
      <c r="M1738" s="7">
        <f>IF(INDEX([1]equip.xml!$B:$B,MATCH(D1738,[1]equip.xml!$A:$A,0))=0,0,N1738)</f>
        <v>1</v>
      </c>
      <c r="N1738" s="8">
        <v>1</v>
      </c>
    </row>
    <row r="1739" spans="1:14">
      <c r="A1739" s="8">
        <f t="shared" si="2738"/>
        <v>10024</v>
      </c>
      <c r="B1739" s="8">
        <f t="shared" ref="B1739:C1739" si="2796">B1651</f>
        <v>40000</v>
      </c>
      <c r="C1739" s="8" t="str">
        <f t="shared" si="2796"/>
        <v>装备</v>
      </c>
      <c r="D1739" s="8">
        <f t="shared" si="2788"/>
        <v>41003051</v>
      </c>
      <c r="E1739" s="8"/>
      <c r="F1739" s="8">
        <v>1</v>
      </c>
      <c r="G1739" s="7">
        <f>3*INDEX([1]equip.xml!$I:$I,MATCH(D1739,[1]equip.xml!$A:$A,0))</f>
        <v>327000</v>
      </c>
      <c r="H1739" s="8" t="str">
        <f t="shared" ref="H1739:J1739" si="2797">H1651</f>
        <v>10_10,50_20,80_30</v>
      </c>
      <c r="I1739" s="8">
        <f t="shared" si="2797"/>
        <v>6</v>
      </c>
      <c r="J1739" s="8">
        <f t="shared" si="2797"/>
        <v>50</v>
      </c>
      <c r="K1739" s="7" t="s">
        <v>312</v>
      </c>
      <c r="L1739" s="8">
        <v>60</v>
      </c>
      <c r="M1739" s="7">
        <f>IF(INDEX([1]equip.xml!$B:$B,MATCH(D1739,[1]equip.xml!$A:$A,0))=0,0,N1739)</f>
        <v>0</v>
      </c>
      <c r="N1739" s="8">
        <v>1</v>
      </c>
    </row>
    <row r="1740" spans="1:14">
      <c r="A1740" s="8">
        <f t="shared" si="2738"/>
        <v>10024</v>
      </c>
      <c r="B1740" s="8">
        <f t="shared" ref="B1740:C1740" si="2798">B1652</f>
        <v>40000</v>
      </c>
      <c r="C1740" s="8" t="str">
        <f t="shared" si="2798"/>
        <v>装备</v>
      </c>
      <c r="D1740" s="8">
        <f t="shared" si="2788"/>
        <v>41003060</v>
      </c>
      <c r="E1740" s="8"/>
      <c r="F1740" s="8">
        <v>1</v>
      </c>
      <c r="G1740" s="7">
        <f>3*INDEX([1]equip.xml!$I:$I,MATCH(D1740,[1]equip.xml!$A:$A,0))</f>
        <v>318000</v>
      </c>
      <c r="H1740" s="8" t="str">
        <f t="shared" ref="H1740:J1740" si="2799">H1652</f>
        <v>10_10,50_20,80_30</v>
      </c>
      <c r="I1740" s="8">
        <f t="shared" si="2799"/>
        <v>6</v>
      </c>
      <c r="J1740" s="8">
        <f t="shared" si="2799"/>
        <v>50</v>
      </c>
      <c r="K1740" s="7" t="s">
        <v>312</v>
      </c>
      <c r="L1740" s="8">
        <v>60</v>
      </c>
      <c r="M1740" s="7">
        <f>IF(INDEX([1]equip.xml!$B:$B,MATCH(D1740,[1]equip.xml!$A:$A,0))=0,0,N1740)</f>
        <v>1</v>
      </c>
      <c r="N1740" s="8">
        <v>1</v>
      </c>
    </row>
    <row r="1741" spans="1:14">
      <c r="A1741" s="8">
        <f t="shared" si="2738"/>
        <v>10024</v>
      </c>
      <c r="B1741" s="8">
        <f t="shared" ref="B1741:C1741" si="2800">B1653</f>
        <v>40000</v>
      </c>
      <c r="C1741" s="8" t="str">
        <f t="shared" si="2800"/>
        <v>装备</v>
      </c>
      <c r="D1741" s="8">
        <f t="shared" si="2788"/>
        <v>41003061</v>
      </c>
      <c r="E1741" s="8"/>
      <c r="F1741" s="8">
        <v>1</v>
      </c>
      <c r="G1741" s="7">
        <f>3*INDEX([1]equip.xml!$I:$I,MATCH(D1741,[1]equip.xml!$A:$A,0))</f>
        <v>327000</v>
      </c>
      <c r="H1741" s="8" t="str">
        <f t="shared" ref="H1741:J1741" si="2801">H1653</f>
        <v>10_10,50_20,80_30</v>
      </c>
      <c r="I1741" s="8">
        <f t="shared" si="2801"/>
        <v>6</v>
      </c>
      <c r="J1741" s="8">
        <f t="shared" si="2801"/>
        <v>50</v>
      </c>
      <c r="K1741" s="7" t="s">
        <v>312</v>
      </c>
      <c r="L1741" s="8">
        <v>60</v>
      </c>
      <c r="M1741" s="7">
        <f>IF(INDEX([1]equip.xml!$B:$B,MATCH(D1741,[1]equip.xml!$A:$A,0))=0,0,N1741)</f>
        <v>0</v>
      </c>
      <c r="N1741" s="8">
        <v>1</v>
      </c>
    </row>
    <row r="1742" spans="1:14">
      <c r="A1742" s="8">
        <f t="shared" si="2738"/>
        <v>10024</v>
      </c>
      <c r="B1742" s="8">
        <f t="shared" ref="B1742:C1742" si="2802">B1654</f>
        <v>40000</v>
      </c>
      <c r="C1742" s="8" t="str">
        <f t="shared" si="2802"/>
        <v>装备</v>
      </c>
      <c r="D1742" s="8">
        <f t="shared" si="2788"/>
        <v>41000040</v>
      </c>
      <c r="E1742" s="8"/>
      <c r="F1742" s="8">
        <v>1</v>
      </c>
      <c r="G1742" s="7">
        <f>3*INDEX([1]equip.xml!$I:$I,MATCH(D1742,[1]equip.xml!$A:$A,0))</f>
        <v>318000</v>
      </c>
      <c r="H1742" s="8" t="str">
        <f t="shared" ref="H1742:J1742" si="2803">H1654</f>
        <v>10_10,50_20,80_30</v>
      </c>
      <c r="I1742" s="8">
        <f t="shared" si="2803"/>
        <v>6</v>
      </c>
      <c r="J1742" s="8">
        <f t="shared" si="2803"/>
        <v>50</v>
      </c>
      <c r="K1742" s="7" t="s">
        <v>312</v>
      </c>
      <c r="L1742" s="8">
        <v>60</v>
      </c>
      <c r="M1742" s="7">
        <f>IF(INDEX([1]equip.xml!$B:$B,MATCH(D1742,[1]equip.xml!$A:$A,0))=0,0,N1742)</f>
        <v>1</v>
      </c>
      <c r="N1742" s="8">
        <v>1</v>
      </c>
    </row>
    <row r="1743" spans="1:14">
      <c r="A1743" s="8">
        <f t="shared" si="2738"/>
        <v>10024</v>
      </c>
      <c r="B1743" s="8">
        <f t="shared" ref="B1743:C1743" si="2804">B1655</f>
        <v>40000</v>
      </c>
      <c r="C1743" s="8" t="str">
        <f t="shared" si="2804"/>
        <v>装备</v>
      </c>
      <c r="D1743" s="8">
        <f t="shared" si="2788"/>
        <v>41000041</v>
      </c>
      <c r="E1743" s="8"/>
      <c r="F1743" s="8">
        <v>1</v>
      </c>
      <c r="G1743" s="7">
        <f>3*INDEX([1]equip.xml!$I:$I,MATCH(D1743,[1]equip.xml!$A:$A,0))</f>
        <v>327000</v>
      </c>
      <c r="H1743" s="8" t="str">
        <f t="shared" ref="H1743:J1743" si="2805">H1655</f>
        <v>10_10,50_20,80_30</v>
      </c>
      <c r="I1743" s="8">
        <f t="shared" si="2805"/>
        <v>6</v>
      </c>
      <c r="J1743" s="8">
        <f t="shared" si="2805"/>
        <v>50</v>
      </c>
      <c r="K1743" s="7" t="s">
        <v>312</v>
      </c>
      <c r="L1743" s="8">
        <v>60</v>
      </c>
      <c r="M1743" s="7">
        <f>IF(INDEX([1]equip.xml!$B:$B,MATCH(D1743,[1]equip.xml!$A:$A,0))=0,0,N1743)</f>
        <v>1</v>
      </c>
      <c r="N1743" s="8">
        <v>1</v>
      </c>
    </row>
    <row r="1744" spans="1:14">
      <c r="A1744" s="8">
        <f t="shared" si="2738"/>
        <v>10024</v>
      </c>
      <c r="B1744" s="8">
        <f t="shared" ref="B1744:C1744" si="2806">B1656</f>
        <v>40000</v>
      </c>
      <c r="C1744" s="8" t="str">
        <f t="shared" si="2806"/>
        <v>装备</v>
      </c>
      <c r="D1744" s="8">
        <f t="shared" si="2788"/>
        <v>41000070</v>
      </c>
      <c r="E1744" s="8"/>
      <c r="F1744" s="8">
        <v>1</v>
      </c>
      <c r="G1744" s="7">
        <f>3*INDEX([1]equip.xml!$I:$I,MATCH(D1744,[1]equip.xml!$A:$A,0))</f>
        <v>318000</v>
      </c>
      <c r="H1744" s="8" t="str">
        <f t="shared" ref="H1744:J1744" si="2807">H1656</f>
        <v>10_10,50_20,80_30</v>
      </c>
      <c r="I1744" s="8">
        <f t="shared" si="2807"/>
        <v>6</v>
      </c>
      <c r="J1744" s="8">
        <f t="shared" si="2807"/>
        <v>50</v>
      </c>
      <c r="K1744" s="7" t="s">
        <v>312</v>
      </c>
      <c r="L1744" s="8">
        <v>60</v>
      </c>
      <c r="M1744" s="7">
        <f>IF(INDEX([1]equip.xml!$B:$B,MATCH(D1744,[1]equip.xml!$A:$A,0))=0,0,N1744)</f>
        <v>1</v>
      </c>
      <c r="N1744" s="8">
        <v>1</v>
      </c>
    </row>
    <row r="1745" spans="1:14">
      <c r="A1745" s="8">
        <f t="shared" si="2738"/>
        <v>10024</v>
      </c>
      <c r="B1745" s="8">
        <f t="shared" ref="B1745:C1745" si="2808">B1657</f>
        <v>40000</v>
      </c>
      <c r="C1745" s="8" t="str">
        <f t="shared" si="2808"/>
        <v>装备</v>
      </c>
      <c r="D1745" s="8">
        <f t="shared" si="2788"/>
        <v>41000071</v>
      </c>
      <c r="E1745" s="8"/>
      <c r="F1745" s="8">
        <v>1</v>
      </c>
      <c r="G1745" s="7">
        <f>3*INDEX([1]equip.xml!$I:$I,MATCH(D1745,[1]equip.xml!$A:$A,0))</f>
        <v>327000</v>
      </c>
      <c r="H1745" s="8" t="str">
        <f t="shared" ref="H1745:J1745" si="2809">H1657</f>
        <v>10_10,50_20,80_30</v>
      </c>
      <c r="I1745" s="8">
        <f t="shared" si="2809"/>
        <v>6</v>
      </c>
      <c r="J1745" s="8">
        <f t="shared" si="2809"/>
        <v>50</v>
      </c>
      <c r="K1745" s="7" t="s">
        <v>312</v>
      </c>
      <c r="L1745" s="8">
        <v>60</v>
      </c>
      <c r="M1745" s="7">
        <f>IF(INDEX([1]equip.xml!$B:$B,MATCH(D1745,[1]equip.xml!$A:$A,0))=0,0,N1745)</f>
        <v>1</v>
      </c>
      <c r="N1745" s="8">
        <v>1</v>
      </c>
    </row>
    <row r="1746" spans="1:14">
      <c r="A1746" s="8">
        <f t="shared" si="2738"/>
        <v>10024</v>
      </c>
      <c r="B1746" s="8">
        <f t="shared" ref="B1746:C1746" si="2810">B1658</f>
        <v>40000</v>
      </c>
      <c r="C1746" s="8" t="str">
        <f t="shared" si="2810"/>
        <v>装备</v>
      </c>
      <c r="D1746" s="7">
        <f>D1702+10000005</f>
        <v>50950015</v>
      </c>
      <c r="E1746" s="8"/>
      <c r="F1746" s="8">
        <v>1</v>
      </c>
      <c r="G1746" s="7">
        <f>3*INDEX([1]equip.xml!$I:$I,MATCH(D1746,[1]equip.xml!$A:$A,0))</f>
        <v>600000</v>
      </c>
      <c r="H1746" s="8" t="str">
        <f t="shared" ref="H1746:J1746" si="2811">H1658</f>
        <v>10_10,50_20,80_30</v>
      </c>
      <c r="I1746" s="8">
        <f t="shared" si="2811"/>
        <v>1</v>
      </c>
      <c r="J1746" s="8">
        <f t="shared" si="2811"/>
        <v>240</v>
      </c>
      <c r="K1746" s="7" t="s">
        <v>312</v>
      </c>
      <c r="L1746" s="8">
        <v>60</v>
      </c>
      <c r="M1746" s="7">
        <f>IF(INDEX([1]equip.xml!$B:$B,MATCH(D1746,[1]equip.xml!$A:$A,0))=0,0,N1746)</f>
        <v>70</v>
      </c>
      <c r="N1746" s="8">
        <v>70</v>
      </c>
    </row>
    <row r="1747" spans="1:14">
      <c r="A1747" s="8">
        <f t="shared" si="2738"/>
        <v>10024</v>
      </c>
      <c r="B1747" s="8">
        <f t="shared" ref="B1747:C1747" si="2812">B1659</f>
        <v>40000</v>
      </c>
      <c r="C1747" s="8" t="str">
        <f t="shared" si="2812"/>
        <v>装备</v>
      </c>
      <c r="D1747" s="7">
        <f t="shared" ref="D1747:D1789" si="2813">D1703+10000005</f>
        <v>50950025</v>
      </c>
      <c r="E1747" s="8"/>
      <c r="F1747" s="8">
        <v>1</v>
      </c>
      <c r="G1747" s="7">
        <f>3*INDEX([1]equip.xml!$I:$I,MATCH(D1747,[1]equip.xml!$A:$A,0))</f>
        <v>600000</v>
      </c>
      <c r="H1747" s="8" t="str">
        <f t="shared" ref="H1747:J1747" si="2814">H1659</f>
        <v>10_10,50_20,80_30</v>
      </c>
      <c r="I1747" s="8">
        <f t="shared" si="2814"/>
        <v>1</v>
      </c>
      <c r="J1747" s="8">
        <f t="shared" si="2814"/>
        <v>240</v>
      </c>
      <c r="K1747" s="7" t="s">
        <v>312</v>
      </c>
      <c r="L1747" s="8">
        <v>60</v>
      </c>
      <c r="M1747" s="7">
        <f>IF(INDEX([1]equip.xml!$B:$B,MATCH(D1747,[1]equip.xml!$A:$A,0))=0,0,N1747)</f>
        <v>70</v>
      </c>
      <c r="N1747" s="8">
        <v>70</v>
      </c>
    </row>
    <row r="1748" spans="1:14">
      <c r="A1748" s="8">
        <f t="shared" si="2738"/>
        <v>10024</v>
      </c>
      <c r="B1748" s="8">
        <f t="shared" ref="B1748:C1748" si="2815">B1660</f>
        <v>40000</v>
      </c>
      <c r="C1748" s="8" t="str">
        <f t="shared" si="2815"/>
        <v>装备</v>
      </c>
      <c r="D1748" s="7">
        <f t="shared" si="2813"/>
        <v>50950035</v>
      </c>
      <c r="E1748" s="8"/>
      <c r="F1748" s="8">
        <v>1</v>
      </c>
      <c r="G1748" s="7">
        <f>3*INDEX([1]equip.xml!$I:$I,MATCH(D1748,[1]equip.xml!$A:$A,0))</f>
        <v>600000</v>
      </c>
      <c r="H1748" s="8" t="str">
        <f t="shared" ref="H1748:J1748" si="2816">H1660</f>
        <v>10_10,50_20,80_30</v>
      </c>
      <c r="I1748" s="8">
        <f t="shared" si="2816"/>
        <v>1</v>
      </c>
      <c r="J1748" s="8">
        <f t="shared" si="2816"/>
        <v>240</v>
      </c>
      <c r="K1748" s="7" t="s">
        <v>312</v>
      </c>
      <c r="L1748" s="8">
        <v>60</v>
      </c>
      <c r="M1748" s="7">
        <f>IF(INDEX([1]equip.xml!$B:$B,MATCH(D1748,[1]equip.xml!$A:$A,0))=0,0,N1748)</f>
        <v>70</v>
      </c>
      <c r="N1748" s="8">
        <v>70</v>
      </c>
    </row>
    <row r="1749" spans="1:14">
      <c r="A1749" s="8">
        <f t="shared" si="2738"/>
        <v>10024</v>
      </c>
      <c r="B1749" s="8">
        <f t="shared" ref="B1749:C1749" si="2817">B1661</f>
        <v>40000</v>
      </c>
      <c r="C1749" s="8" t="str">
        <f t="shared" si="2817"/>
        <v>装备</v>
      </c>
      <c r="D1749" s="7">
        <f t="shared" si="2813"/>
        <v>50950085</v>
      </c>
      <c r="E1749" s="8"/>
      <c r="F1749" s="8">
        <v>1</v>
      </c>
      <c r="G1749" s="7">
        <f>3*INDEX([1]equip.xml!$I:$I,MATCH(D1749,[1]equip.xml!$A:$A,0))</f>
        <v>600000</v>
      </c>
      <c r="H1749" s="8" t="str">
        <f t="shared" ref="H1749:J1749" si="2818">H1661</f>
        <v>10_10,50_20,80_30</v>
      </c>
      <c r="I1749" s="8">
        <f t="shared" si="2818"/>
        <v>1</v>
      </c>
      <c r="J1749" s="8">
        <f t="shared" si="2818"/>
        <v>240</v>
      </c>
      <c r="K1749" s="7" t="s">
        <v>312</v>
      </c>
      <c r="L1749" s="8">
        <v>60</v>
      </c>
      <c r="M1749" s="7">
        <f>IF(INDEX([1]equip.xml!$B:$B,MATCH(D1749,[1]equip.xml!$A:$A,0))=0,0,N1749)</f>
        <v>70</v>
      </c>
      <c r="N1749" s="8">
        <v>70</v>
      </c>
    </row>
    <row r="1750" spans="1:14">
      <c r="A1750" s="8">
        <f t="shared" si="2738"/>
        <v>10024</v>
      </c>
      <c r="B1750" s="8">
        <f t="shared" ref="B1750:C1750" si="2819">B1662</f>
        <v>40000</v>
      </c>
      <c r="C1750" s="8" t="str">
        <f t="shared" si="2819"/>
        <v>装备</v>
      </c>
      <c r="D1750" s="7">
        <f t="shared" si="2813"/>
        <v>50950095</v>
      </c>
      <c r="E1750" s="8"/>
      <c r="F1750" s="8">
        <v>1</v>
      </c>
      <c r="G1750" s="7">
        <f>3*INDEX([1]equip.xml!$I:$I,MATCH(D1750,[1]equip.xml!$A:$A,0))</f>
        <v>600000</v>
      </c>
      <c r="H1750" s="8" t="str">
        <f t="shared" ref="H1750:J1750" si="2820">H1662</f>
        <v>10_10,50_20,80_30</v>
      </c>
      <c r="I1750" s="8">
        <f t="shared" si="2820"/>
        <v>1</v>
      </c>
      <c r="J1750" s="8">
        <f t="shared" si="2820"/>
        <v>240</v>
      </c>
      <c r="K1750" s="7" t="s">
        <v>312</v>
      </c>
      <c r="L1750" s="8">
        <v>60</v>
      </c>
      <c r="M1750" s="7">
        <f>IF(INDEX([1]equip.xml!$B:$B,MATCH(D1750,[1]equip.xml!$A:$A,0))=0,0,N1750)</f>
        <v>70</v>
      </c>
      <c r="N1750" s="8">
        <v>70</v>
      </c>
    </row>
    <row r="1751" spans="1:14">
      <c r="A1751" s="8">
        <f t="shared" si="2738"/>
        <v>10024</v>
      </c>
      <c r="B1751" s="8">
        <f t="shared" ref="B1751:C1751" si="2821">B1663</f>
        <v>40000</v>
      </c>
      <c r="C1751" s="8" t="str">
        <f t="shared" si="2821"/>
        <v>装备</v>
      </c>
      <c r="D1751" s="7">
        <f t="shared" si="2813"/>
        <v>50950105</v>
      </c>
      <c r="E1751" s="8"/>
      <c r="F1751" s="8">
        <v>1</v>
      </c>
      <c r="G1751" s="7">
        <f>3*INDEX([1]equip.xml!$I:$I,MATCH(D1751,[1]equip.xml!$A:$A,0))</f>
        <v>600000</v>
      </c>
      <c r="H1751" s="8" t="str">
        <f t="shared" ref="H1751:J1751" si="2822">H1663</f>
        <v>10_10,50_20,80_30</v>
      </c>
      <c r="I1751" s="8">
        <f t="shared" si="2822"/>
        <v>1</v>
      </c>
      <c r="J1751" s="8">
        <f t="shared" si="2822"/>
        <v>240</v>
      </c>
      <c r="K1751" s="7" t="s">
        <v>312</v>
      </c>
      <c r="L1751" s="8">
        <v>60</v>
      </c>
      <c r="M1751" s="7">
        <f>IF(INDEX([1]equip.xml!$B:$B,MATCH(D1751,[1]equip.xml!$A:$A,0))=0,0,N1751)</f>
        <v>70</v>
      </c>
      <c r="N1751" s="8">
        <v>70</v>
      </c>
    </row>
    <row r="1752" spans="1:14">
      <c r="A1752" s="8">
        <f t="shared" si="2738"/>
        <v>10024</v>
      </c>
      <c r="B1752" s="8">
        <f t="shared" ref="B1752:C1752" si="2823">B1664</f>
        <v>40000</v>
      </c>
      <c r="C1752" s="8" t="str">
        <f t="shared" si="2823"/>
        <v>装备</v>
      </c>
      <c r="D1752" s="7">
        <f t="shared" si="2813"/>
        <v>50951055</v>
      </c>
      <c r="E1752" s="8"/>
      <c r="F1752" s="8">
        <v>1</v>
      </c>
      <c r="G1752" s="7">
        <f>3*INDEX([1]equip.xml!$I:$I,MATCH(D1752,[1]equip.xml!$A:$A,0))</f>
        <v>600000</v>
      </c>
      <c r="H1752" s="8" t="str">
        <f t="shared" ref="H1752:J1752" si="2824">H1664</f>
        <v>10_10,50_20,80_30</v>
      </c>
      <c r="I1752" s="8">
        <f t="shared" si="2824"/>
        <v>1</v>
      </c>
      <c r="J1752" s="8">
        <f t="shared" si="2824"/>
        <v>240</v>
      </c>
      <c r="K1752" s="7" t="s">
        <v>312</v>
      </c>
      <c r="L1752" s="8">
        <v>60</v>
      </c>
      <c r="M1752" s="7">
        <f>IF(INDEX([1]equip.xml!$B:$B,MATCH(D1752,[1]equip.xml!$A:$A,0))=0,0,N1752)</f>
        <v>70</v>
      </c>
      <c r="N1752" s="8">
        <v>70</v>
      </c>
    </row>
    <row r="1753" spans="1:14">
      <c r="A1753" s="8">
        <f t="shared" si="2738"/>
        <v>10024</v>
      </c>
      <c r="B1753" s="8">
        <f t="shared" ref="B1753:C1753" si="2825">B1665</f>
        <v>40000</v>
      </c>
      <c r="C1753" s="8" t="str">
        <f t="shared" si="2825"/>
        <v>装备</v>
      </c>
      <c r="D1753" s="7">
        <f t="shared" si="2813"/>
        <v>50951056</v>
      </c>
      <c r="E1753" s="8"/>
      <c r="F1753" s="8">
        <v>1</v>
      </c>
      <c r="G1753" s="7">
        <f>3*INDEX([1]equip.xml!$I:$I,MATCH(D1753,[1]equip.xml!$A:$A,0))</f>
        <v>618000</v>
      </c>
      <c r="H1753" s="8" t="str">
        <f t="shared" ref="H1753:J1753" si="2826">H1665</f>
        <v>10_10,50_20,80_30</v>
      </c>
      <c r="I1753" s="8">
        <f t="shared" si="2826"/>
        <v>1</v>
      </c>
      <c r="J1753" s="8">
        <f t="shared" si="2826"/>
        <v>240</v>
      </c>
      <c r="K1753" s="7" t="s">
        <v>312</v>
      </c>
      <c r="L1753" s="8">
        <v>60</v>
      </c>
      <c r="M1753" s="7">
        <f>IF(INDEX([1]equip.xml!$B:$B,MATCH(D1753,[1]equip.xml!$A:$A,0))=0,0,N1753)</f>
        <v>70</v>
      </c>
      <c r="N1753" s="8">
        <v>70</v>
      </c>
    </row>
    <row r="1754" spans="1:14">
      <c r="A1754" s="8">
        <f t="shared" si="2738"/>
        <v>10024</v>
      </c>
      <c r="B1754" s="8">
        <f t="shared" ref="B1754:C1754" si="2827">B1666</f>
        <v>40000</v>
      </c>
      <c r="C1754" s="8" t="str">
        <f t="shared" si="2827"/>
        <v>装备</v>
      </c>
      <c r="D1754" s="7">
        <f t="shared" si="2813"/>
        <v>50951065</v>
      </c>
      <c r="E1754" s="8"/>
      <c r="F1754" s="8">
        <v>1</v>
      </c>
      <c r="G1754" s="7">
        <f>3*INDEX([1]equip.xml!$I:$I,MATCH(D1754,[1]equip.xml!$A:$A,0))</f>
        <v>600000</v>
      </c>
      <c r="H1754" s="8" t="str">
        <f t="shared" ref="H1754:J1754" si="2828">H1666</f>
        <v>10_10,50_20,80_30</v>
      </c>
      <c r="I1754" s="8">
        <f t="shared" si="2828"/>
        <v>1</v>
      </c>
      <c r="J1754" s="8">
        <f t="shared" si="2828"/>
        <v>240</v>
      </c>
      <c r="K1754" s="7" t="s">
        <v>312</v>
      </c>
      <c r="L1754" s="8">
        <v>60</v>
      </c>
      <c r="M1754" s="7">
        <f>IF(INDEX([1]equip.xml!$B:$B,MATCH(D1754,[1]equip.xml!$A:$A,0))=0,0,N1754)</f>
        <v>70</v>
      </c>
      <c r="N1754" s="8">
        <v>70</v>
      </c>
    </row>
    <row r="1755" spans="1:14">
      <c r="A1755" s="8">
        <f t="shared" si="2738"/>
        <v>10024</v>
      </c>
      <c r="B1755" s="8">
        <f t="shared" ref="B1755:C1755" si="2829">B1667</f>
        <v>40000</v>
      </c>
      <c r="C1755" s="8" t="str">
        <f t="shared" si="2829"/>
        <v>装备</v>
      </c>
      <c r="D1755" s="7">
        <f t="shared" si="2813"/>
        <v>50951066</v>
      </c>
      <c r="E1755" s="8"/>
      <c r="F1755" s="8">
        <v>1</v>
      </c>
      <c r="G1755" s="7">
        <f>3*INDEX([1]equip.xml!$I:$I,MATCH(D1755,[1]equip.xml!$A:$A,0))</f>
        <v>618000</v>
      </c>
      <c r="H1755" s="8" t="str">
        <f t="shared" ref="H1755:J1755" si="2830">H1667</f>
        <v>10_10,50_20,80_30</v>
      </c>
      <c r="I1755" s="8">
        <f t="shared" si="2830"/>
        <v>1</v>
      </c>
      <c r="J1755" s="8">
        <f t="shared" si="2830"/>
        <v>240</v>
      </c>
      <c r="K1755" s="7" t="s">
        <v>312</v>
      </c>
      <c r="L1755" s="8">
        <v>60</v>
      </c>
      <c r="M1755" s="7">
        <f>IF(INDEX([1]equip.xml!$B:$B,MATCH(D1755,[1]equip.xml!$A:$A,0))=0,0,N1755)</f>
        <v>70</v>
      </c>
      <c r="N1755" s="8">
        <v>70</v>
      </c>
    </row>
    <row r="1756" spans="1:14">
      <c r="A1756" s="8">
        <f t="shared" si="2738"/>
        <v>10024</v>
      </c>
      <c r="B1756" s="8">
        <f t="shared" ref="B1756:C1756" si="2831">B1668</f>
        <v>40000</v>
      </c>
      <c r="C1756" s="8" t="str">
        <f t="shared" si="2831"/>
        <v>装备</v>
      </c>
      <c r="D1756" s="7">
        <f t="shared" si="2813"/>
        <v>50952055</v>
      </c>
      <c r="E1756" s="8"/>
      <c r="F1756" s="8">
        <v>1</v>
      </c>
      <c r="G1756" s="7">
        <f>3*INDEX([1]equip.xml!$I:$I,MATCH(D1756,[1]equip.xml!$A:$A,0))</f>
        <v>600000</v>
      </c>
      <c r="H1756" s="8" t="str">
        <f t="shared" ref="H1756:J1756" si="2832">H1668</f>
        <v>10_10,50_20,80_30</v>
      </c>
      <c r="I1756" s="8">
        <f t="shared" si="2832"/>
        <v>1</v>
      </c>
      <c r="J1756" s="8">
        <f t="shared" si="2832"/>
        <v>240</v>
      </c>
      <c r="K1756" s="7" t="s">
        <v>312</v>
      </c>
      <c r="L1756" s="8">
        <v>60</v>
      </c>
      <c r="M1756" s="7">
        <f>IF(INDEX([1]equip.xml!$B:$B,MATCH(D1756,[1]equip.xml!$A:$A,0))=0,0,N1756)</f>
        <v>70</v>
      </c>
      <c r="N1756" s="8">
        <v>70</v>
      </c>
    </row>
    <row r="1757" spans="1:14">
      <c r="A1757" s="8">
        <f t="shared" si="2738"/>
        <v>10024</v>
      </c>
      <c r="B1757" s="8">
        <f t="shared" ref="B1757:C1757" si="2833">B1669</f>
        <v>40000</v>
      </c>
      <c r="C1757" s="8" t="str">
        <f t="shared" si="2833"/>
        <v>装备</v>
      </c>
      <c r="D1757" s="7">
        <f t="shared" si="2813"/>
        <v>50952056</v>
      </c>
      <c r="E1757" s="8"/>
      <c r="F1757" s="8">
        <v>1</v>
      </c>
      <c r="G1757" s="7">
        <f>3*INDEX([1]equip.xml!$I:$I,MATCH(D1757,[1]equip.xml!$A:$A,0))</f>
        <v>618000</v>
      </c>
      <c r="H1757" s="8" t="str">
        <f t="shared" ref="H1757:J1757" si="2834">H1669</f>
        <v>10_10,50_20,80_30</v>
      </c>
      <c r="I1757" s="8">
        <f t="shared" si="2834"/>
        <v>1</v>
      </c>
      <c r="J1757" s="8">
        <f t="shared" si="2834"/>
        <v>240</v>
      </c>
      <c r="K1757" s="7" t="s">
        <v>312</v>
      </c>
      <c r="L1757" s="8">
        <v>60</v>
      </c>
      <c r="M1757" s="7">
        <f>IF(INDEX([1]equip.xml!$B:$B,MATCH(D1757,[1]equip.xml!$A:$A,0))=0,0,N1757)</f>
        <v>70</v>
      </c>
      <c r="N1757" s="8">
        <v>70</v>
      </c>
    </row>
    <row r="1758" spans="1:14">
      <c r="A1758" s="8">
        <f t="shared" si="2738"/>
        <v>10024</v>
      </c>
      <c r="B1758" s="8">
        <f t="shared" ref="B1758:C1758" si="2835">B1670</f>
        <v>40000</v>
      </c>
      <c r="C1758" s="8" t="str">
        <f t="shared" si="2835"/>
        <v>装备</v>
      </c>
      <c r="D1758" s="7">
        <f t="shared" si="2813"/>
        <v>50952065</v>
      </c>
      <c r="E1758" s="8"/>
      <c r="F1758" s="8">
        <v>1</v>
      </c>
      <c r="G1758" s="7">
        <f>3*INDEX([1]equip.xml!$I:$I,MATCH(D1758,[1]equip.xml!$A:$A,0))</f>
        <v>600000</v>
      </c>
      <c r="H1758" s="8" t="str">
        <f t="shared" ref="H1758:J1758" si="2836">H1670</f>
        <v>10_10,50_20,80_30</v>
      </c>
      <c r="I1758" s="8">
        <f t="shared" si="2836"/>
        <v>1</v>
      </c>
      <c r="J1758" s="8">
        <f t="shared" si="2836"/>
        <v>240</v>
      </c>
      <c r="K1758" s="7" t="s">
        <v>312</v>
      </c>
      <c r="L1758" s="8">
        <v>60</v>
      </c>
      <c r="M1758" s="7">
        <f>IF(INDEX([1]equip.xml!$B:$B,MATCH(D1758,[1]equip.xml!$A:$A,0))=0,0,N1758)</f>
        <v>70</v>
      </c>
      <c r="N1758" s="8">
        <v>70</v>
      </c>
    </row>
    <row r="1759" spans="1:14">
      <c r="A1759" s="8">
        <f t="shared" si="2738"/>
        <v>10024</v>
      </c>
      <c r="B1759" s="8">
        <f t="shared" ref="B1759:C1759" si="2837">B1671</f>
        <v>40000</v>
      </c>
      <c r="C1759" s="8" t="str">
        <f t="shared" si="2837"/>
        <v>装备</v>
      </c>
      <c r="D1759" s="7">
        <f t="shared" si="2813"/>
        <v>50952066</v>
      </c>
      <c r="E1759" s="8"/>
      <c r="F1759" s="8">
        <v>1</v>
      </c>
      <c r="G1759" s="7">
        <f>3*INDEX([1]equip.xml!$I:$I,MATCH(D1759,[1]equip.xml!$A:$A,0))</f>
        <v>618000</v>
      </c>
      <c r="H1759" s="8" t="str">
        <f t="shared" ref="H1759:J1759" si="2838">H1671</f>
        <v>10_10,50_20,80_30</v>
      </c>
      <c r="I1759" s="8">
        <f t="shared" si="2838"/>
        <v>1</v>
      </c>
      <c r="J1759" s="8">
        <f t="shared" si="2838"/>
        <v>240</v>
      </c>
      <c r="K1759" s="7" t="s">
        <v>312</v>
      </c>
      <c r="L1759" s="8">
        <v>60</v>
      </c>
      <c r="M1759" s="7">
        <f>IF(INDEX([1]equip.xml!$B:$B,MATCH(D1759,[1]equip.xml!$A:$A,0))=0,0,N1759)</f>
        <v>70</v>
      </c>
      <c r="N1759" s="8">
        <v>70</v>
      </c>
    </row>
    <row r="1760" spans="1:14">
      <c r="A1760" s="8">
        <f t="shared" si="2738"/>
        <v>10024</v>
      </c>
      <c r="B1760" s="8">
        <f t="shared" ref="B1760:C1760" si="2839">B1672</f>
        <v>40000</v>
      </c>
      <c r="C1760" s="8" t="str">
        <f t="shared" si="2839"/>
        <v>装备</v>
      </c>
      <c r="D1760" s="7">
        <f t="shared" si="2813"/>
        <v>50953055</v>
      </c>
      <c r="E1760" s="8"/>
      <c r="F1760" s="8">
        <v>1</v>
      </c>
      <c r="G1760" s="7">
        <f>3*INDEX([1]equip.xml!$I:$I,MATCH(D1760,[1]equip.xml!$A:$A,0))</f>
        <v>600000</v>
      </c>
      <c r="H1760" s="8" t="str">
        <f t="shared" ref="H1760:J1760" si="2840">H1672</f>
        <v>10_10,50_20,80_30</v>
      </c>
      <c r="I1760" s="8">
        <f t="shared" si="2840"/>
        <v>1</v>
      </c>
      <c r="J1760" s="8">
        <f t="shared" si="2840"/>
        <v>240</v>
      </c>
      <c r="K1760" s="7" t="s">
        <v>312</v>
      </c>
      <c r="L1760" s="8">
        <v>60</v>
      </c>
      <c r="M1760" s="7">
        <f>IF(INDEX([1]equip.xml!$B:$B,MATCH(D1760,[1]equip.xml!$A:$A,0))=0,0,N1760)</f>
        <v>70</v>
      </c>
      <c r="N1760" s="8">
        <v>70</v>
      </c>
    </row>
    <row r="1761" spans="1:14">
      <c r="A1761" s="8">
        <f t="shared" si="2738"/>
        <v>10024</v>
      </c>
      <c r="B1761" s="8">
        <f t="shared" ref="B1761:C1761" si="2841">B1673</f>
        <v>40000</v>
      </c>
      <c r="C1761" s="8" t="str">
        <f t="shared" si="2841"/>
        <v>装备</v>
      </c>
      <c r="D1761" s="7">
        <f t="shared" si="2813"/>
        <v>50953056</v>
      </c>
      <c r="E1761" s="8"/>
      <c r="F1761" s="8">
        <v>1</v>
      </c>
      <c r="G1761" s="7">
        <f>3*INDEX([1]equip.xml!$I:$I,MATCH(D1761,[1]equip.xml!$A:$A,0))</f>
        <v>618000</v>
      </c>
      <c r="H1761" s="8" t="str">
        <f t="shared" ref="H1761:J1761" si="2842">H1673</f>
        <v>10_10,50_20,80_30</v>
      </c>
      <c r="I1761" s="8">
        <f t="shared" si="2842"/>
        <v>1</v>
      </c>
      <c r="J1761" s="8">
        <f t="shared" si="2842"/>
        <v>240</v>
      </c>
      <c r="K1761" s="7" t="s">
        <v>312</v>
      </c>
      <c r="L1761" s="8">
        <v>60</v>
      </c>
      <c r="M1761" s="7">
        <f>IF(INDEX([1]equip.xml!$B:$B,MATCH(D1761,[1]equip.xml!$A:$A,0))=0,0,N1761)</f>
        <v>70</v>
      </c>
      <c r="N1761" s="8">
        <v>70</v>
      </c>
    </row>
    <row r="1762" spans="1:14">
      <c r="A1762" s="8">
        <f t="shared" si="2738"/>
        <v>10024</v>
      </c>
      <c r="B1762" s="8">
        <f t="shared" ref="B1762:C1762" si="2843">B1674</f>
        <v>40000</v>
      </c>
      <c r="C1762" s="8" t="str">
        <f t="shared" si="2843"/>
        <v>装备</v>
      </c>
      <c r="D1762" s="7">
        <f t="shared" si="2813"/>
        <v>50953065</v>
      </c>
      <c r="E1762" s="8"/>
      <c r="F1762" s="8">
        <v>1</v>
      </c>
      <c r="G1762" s="7">
        <f>3*INDEX([1]equip.xml!$I:$I,MATCH(D1762,[1]equip.xml!$A:$A,0))</f>
        <v>600000</v>
      </c>
      <c r="H1762" s="8" t="str">
        <f t="shared" ref="H1762:J1762" si="2844">H1674</f>
        <v>10_10,50_20,80_30</v>
      </c>
      <c r="I1762" s="8">
        <f t="shared" si="2844"/>
        <v>1</v>
      </c>
      <c r="J1762" s="8">
        <f t="shared" si="2844"/>
        <v>240</v>
      </c>
      <c r="K1762" s="7" t="s">
        <v>312</v>
      </c>
      <c r="L1762" s="8">
        <v>60</v>
      </c>
      <c r="M1762" s="7">
        <f>IF(INDEX([1]equip.xml!$B:$B,MATCH(D1762,[1]equip.xml!$A:$A,0))=0,0,N1762)</f>
        <v>70</v>
      </c>
      <c r="N1762" s="8">
        <v>70</v>
      </c>
    </row>
    <row r="1763" spans="1:14">
      <c r="A1763" s="8">
        <f t="shared" si="2738"/>
        <v>10024</v>
      </c>
      <c r="B1763" s="8">
        <f t="shared" ref="B1763:C1763" si="2845">B1675</f>
        <v>40000</v>
      </c>
      <c r="C1763" s="8" t="str">
        <f t="shared" si="2845"/>
        <v>装备</v>
      </c>
      <c r="D1763" s="7">
        <f t="shared" si="2813"/>
        <v>50953066</v>
      </c>
      <c r="E1763" s="8"/>
      <c r="F1763" s="8">
        <v>1</v>
      </c>
      <c r="G1763" s="7">
        <f>3*INDEX([1]equip.xml!$I:$I,MATCH(D1763,[1]equip.xml!$A:$A,0))</f>
        <v>618000</v>
      </c>
      <c r="H1763" s="8" t="str">
        <f t="shared" ref="H1763:J1763" si="2846">H1675</f>
        <v>10_10,50_20,80_30</v>
      </c>
      <c r="I1763" s="8">
        <f t="shared" si="2846"/>
        <v>1</v>
      </c>
      <c r="J1763" s="8">
        <f t="shared" si="2846"/>
        <v>240</v>
      </c>
      <c r="K1763" s="7" t="s">
        <v>312</v>
      </c>
      <c r="L1763" s="8">
        <v>60</v>
      </c>
      <c r="M1763" s="7">
        <f>IF(INDEX([1]equip.xml!$B:$B,MATCH(D1763,[1]equip.xml!$A:$A,0))=0,0,N1763)</f>
        <v>70</v>
      </c>
      <c r="N1763" s="8">
        <v>70</v>
      </c>
    </row>
    <row r="1764" spans="1:14">
      <c r="A1764" s="8">
        <f t="shared" si="2738"/>
        <v>10024</v>
      </c>
      <c r="B1764" s="8">
        <f t="shared" ref="B1764:C1764" si="2847">B1676</f>
        <v>40000</v>
      </c>
      <c r="C1764" s="8" t="str">
        <f t="shared" si="2847"/>
        <v>装备</v>
      </c>
      <c r="D1764" s="7">
        <f t="shared" si="2813"/>
        <v>50950045</v>
      </c>
      <c r="E1764" s="8"/>
      <c r="F1764" s="8">
        <v>1</v>
      </c>
      <c r="G1764" s="7">
        <f>3*INDEX([1]equip.xml!$I:$I,MATCH(D1764,[1]equip.xml!$A:$A,0))</f>
        <v>600000</v>
      </c>
      <c r="H1764" s="8" t="str">
        <f t="shared" ref="H1764:J1764" si="2848">H1676</f>
        <v>10_10,50_20,80_30</v>
      </c>
      <c r="I1764" s="8">
        <f t="shared" si="2848"/>
        <v>1</v>
      </c>
      <c r="J1764" s="8">
        <f t="shared" si="2848"/>
        <v>240</v>
      </c>
      <c r="K1764" s="7" t="s">
        <v>312</v>
      </c>
      <c r="L1764" s="8">
        <v>60</v>
      </c>
      <c r="M1764" s="7">
        <f>IF(INDEX([1]equip.xml!$B:$B,MATCH(D1764,[1]equip.xml!$A:$A,0))=0,0,N1764)</f>
        <v>70</v>
      </c>
      <c r="N1764" s="8">
        <v>70</v>
      </c>
    </row>
    <row r="1765" spans="1:14">
      <c r="A1765" s="8">
        <f t="shared" si="2738"/>
        <v>10024</v>
      </c>
      <c r="B1765" s="8">
        <f t="shared" ref="B1765:C1765" si="2849">B1677</f>
        <v>40000</v>
      </c>
      <c r="C1765" s="8" t="str">
        <f t="shared" si="2849"/>
        <v>装备</v>
      </c>
      <c r="D1765" s="7">
        <f t="shared" si="2813"/>
        <v>50950046</v>
      </c>
      <c r="E1765" s="8"/>
      <c r="F1765" s="8">
        <v>1</v>
      </c>
      <c r="G1765" s="7">
        <f>3*INDEX([1]equip.xml!$I:$I,MATCH(D1765,[1]equip.xml!$A:$A,0))</f>
        <v>618000</v>
      </c>
      <c r="H1765" s="8" t="str">
        <f t="shared" ref="H1765:J1765" si="2850">H1677</f>
        <v>10_10,50_20,80_30</v>
      </c>
      <c r="I1765" s="8">
        <f t="shared" si="2850"/>
        <v>1</v>
      </c>
      <c r="J1765" s="8">
        <f t="shared" si="2850"/>
        <v>240</v>
      </c>
      <c r="K1765" s="7" t="s">
        <v>312</v>
      </c>
      <c r="L1765" s="8">
        <v>60</v>
      </c>
      <c r="M1765" s="7">
        <f>IF(INDEX([1]equip.xml!$B:$B,MATCH(D1765,[1]equip.xml!$A:$A,0))=0,0,N1765)</f>
        <v>70</v>
      </c>
      <c r="N1765" s="8">
        <v>70</v>
      </c>
    </row>
    <row r="1766" spans="1:14">
      <c r="A1766" s="8">
        <f t="shared" si="2738"/>
        <v>10024</v>
      </c>
      <c r="B1766" s="8">
        <f t="shared" ref="B1766:C1766" si="2851">B1678</f>
        <v>40000</v>
      </c>
      <c r="C1766" s="8" t="str">
        <f t="shared" si="2851"/>
        <v>装备</v>
      </c>
      <c r="D1766" s="7">
        <f t="shared" si="2813"/>
        <v>50950075</v>
      </c>
      <c r="E1766" s="8"/>
      <c r="F1766" s="8">
        <v>1</v>
      </c>
      <c r="G1766" s="7">
        <f>3*INDEX([1]equip.xml!$I:$I,MATCH(D1766,[1]equip.xml!$A:$A,0))</f>
        <v>600000</v>
      </c>
      <c r="H1766" s="8" t="str">
        <f t="shared" ref="H1766:J1766" si="2852">H1678</f>
        <v>10_10,50_20,80_30</v>
      </c>
      <c r="I1766" s="8">
        <f t="shared" si="2852"/>
        <v>1</v>
      </c>
      <c r="J1766" s="8">
        <f t="shared" si="2852"/>
        <v>240</v>
      </c>
      <c r="K1766" s="7" t="s">
        <v>312</v>
      </c>
      <c r="L1766" s="8">
        <v>60</v>
      </c>
      <c r="M1766" s="7">
        <f>IF(INDEX([1]equip.xml!$B:$B,MATCH(D1766,[1]equip.xml!$A:$A,0))=0,0,N1766)</f>
        <v>70</v>
      </c>
      <c r="N1766" s="8">
        <v>70</v>
      </c>
    </row>
    <row r="1767" spans="1:14">
      <c r="A1767" s="8">
        <f t="shared" si="2738"/>
        <v>10024</v>
      </c>
      <c r="B1767" s="8">
        <f t="shared" ref="B1767:C1767" si="2853">B1679</f>
        <v>40000</v>
      </c>
      <c r="C1767" s="8" t="str">
        <f t="shared" si="2853"/>
        <v>装备</v>
      </c>
      <c r="D1767" s="7">
        <f t="shared" si="2813"/>
        <v>50950076</v>
      </c>
      <c r="E1767" s="8"/>
      <c r="F1767" s="8">
        <v>1</v>
      </c>
      <c r="G1767" s="7">
        <f>3*INDEX([1]equip.xml!$I:$I,MATCH(D1767,[1]equip.xml!$A:$A,0))</f>
        <v>618000</v>
      </c>
      <c r="H1767" s="8" t="str">
        <f t="shared" ref="H1767:J1767" si="2854">H1679</f>
        <v>10_10,50_20,80_30</v>
      </c>
      <c r="I1767" s="8">
        <f t="shared" si="2854"/>
        <v>1</v>
      </c>
      <c r="J1767" s="8">
        <f t="shared" si="2854"/>
        <v>240</v>
      </c>
      <c r="K1767" s="7" t="s">
        <v>312</v>
      </c>
      <c r="L1767" s="8">
        <v>60</v>
      </c>
      <c r="M1767" s="7">
        <f>IF(INDEX([1]equip.xml!$B:$B,MATCH(D1767,[1]equip.xml!$A:$A,0))=0,0,N1767)</f>
        <v>70</v>
      </c>
      <c r="N1767" s="8">
        <v>70</v>
      </c>
    </row>
    <row r="1768" spans="1:14">
      <c r="A1768" s="8">
        <f t="shared" si="2738"/>
        <v>10024</v>
      </c>
      <c r="B1768" s="8">
        <f t="shared" ref="B1768:C1768" si="2855">B1680</f>
        <v>40000</v>
      </c>
      <c r="C1768" s="8" t="str">
        <f t="shared" si="2855"/>
        <v>装备</v>
      </c>
      <c r="D1768" s="7">
        <f t="shared" si="2813"/>
        <v>51000015</v>
      </c>
      <c r="E1768" s="8"/>
      <c r="F1768" s="8">
        <v>1</v>
      </c>
      <c r="G1768" s="7">
        <f>3*INDEX([1]equip.xml!$I:$I,MATCH(D1768,[1]equip.xml!$A:$A,0))</f>
        <v>636000</v>
      </c>
      <c r="H1768" s="8" t="str">
        <f t="shared" ref="H1768:J1768" si="2856">H1680</f>
        <v>10_10,50_20,80_30</v>
      </c>
      <c r="I1768" s="8">
        <f t="shared" si="2856"/>
        <v>1</v>
      </c>
      <c r="J1768" s="8">
        <f t="shared" si="2856"/>
        <v>240</v>
      </c>
      <c r="K1768" s="7" t="s">
        <v>312</v>
      </c>
      <c r="L1768" s="8">
        <v>60</v>
      </c>
      <c r="M1768" s="7">
        <f>IF(INDEX([1]equip.xml!$B:$B,MATCH(D1768,[1]equip.xml!$A:$A,0))=0,0,N1768)</f>
        <v>1</v>
      </c>
      <c r="N1768" s="8">
        <v>1</v>
      </c>
    </row>
    <row r="1769" spans="1:14">
      <c r="A1769" s="8">
        <f t="shared" si="2738"/>
        <v>10024</v>
      </c>
      <c r="B1769" s="8">
        <f t="shared" ref="B1769:C1769" si="2857">B1681</f>
        <v>40000</v>
      </c>
      <c r="C1769" s="8" t="str">
        <f t="shared" si="2857"/>
        <v>装备</v>
      </c>
      <c r="D1769" s="7">
        <f t="shared" si="2813"/>
        <v>51000025</v>
      </c>
      <c r="E1769" s="8"/>
      <c r="F1769" s="8">
        <v>1</v>
      </c>
      <c r="G1769" s="7">
        <f>3*INDEX([1]equip.xml!$I:$I,MATCH(D1769,[1]equip.xml!$A:$A,0))</f>
        <v>636000</v>
      </c>
      <c r="H1769" s="8" t="str">
        <f t="shared" ref="H1769:J1769" si="2858">H1681</f>
        <v>10_10,50_20,80_30</v>
      </c>
      <c r="I1769" s="8">
        <f t="shared" si="2858"/>
        <v>1</v>
      </c>
      <c r="J1769" s="8">
        <f t="shared" si="2858"/>
        <v>240</v>
      </c>
      <c r="K1769" s="7" t="s">
        <v>312</v>
      </c>
      <c r="L1769" s="8">
        <v>60</v>
      </c>
      <c r="M1769" s="7">
        <f>IF(INDEX([1]equip.xml!$B:$B,MATCH(D1769,[1]equip.xml!$A:$A,0))=0,0,N1769)</f>
        <v>1</v>
      </c>
      <c r="N1769" s="8">
        <v>1</v>
      </c>
    </row>
    <row r="1770" spans="1:14">
      <c r="A1770" s="8">
        <f t="shared" si="2738"/>
        <v>10024</v>
      </c>
      <c r="B1770" s="8">
        <f t="shared" ref="B1770:C1770" si="2859">B1682</f>
        <v>40000</v>
      </c>
      <c r="C1770" s="8" t="str">
        <f t="shared" si="2859"/>
        <v>装备</v>
      </c>
      <c r="D1770" s="7">
        <f t="shared" si="2813"/>
        <v>51000035</v>
      </c>
      <c r="E1770" s="8"/>
      <c r="F1770" s="8">
        <v>1</v>
      </c>
      <c r="G1770" s="7">
        <f>3*INDEX([1]equip.xml!$I:$I,MATCH(D1770,[1]equip.xml!$A:$A,0))</f>
        <v>636000</v>
      </c>
      <c r="H1770" s="8" t="str">
        <f t="shared" ref="H1770:J1770" si="2860">H1682</f>
        <v>10_10,50_20,80_30</v>
      </c>
      <c r="I1770" s="8">
        <f t="shared" si="2860"/>
        <v>1</v>
      </c>
      <c r="J1770" s="8">
        <f t="shared" si="2860"/>
        <v>240</v>
      </c>
      <c r="K1770" s="7" t="s">
        <v>312</v>
      </c>
      <c r="L1770" s="8">
        <v>60</v>
      </c>
      <c r="M1770" s="7">
        <f>IF(INDEX([1]equip.xml!$B:$B,MATCH(D1770,[1]equip.xml!$A:$A,0))=0,0,N1770)</f>
        <v>1</v>
      </c>
      <c r="N1770" s="8">
        <v>1</v>
      </c>
    </row>
    <row r="1771" spans="1:14">
      <c r="A1771" s="8">
        <f t="shared" si="2738"/>
        <v>10024</v>
      </c>
      <c r="B1771" s="8">
        <f t="shared" ref="B1771:C1771" si="2861">B1683</f>
        <v>40000</v>
      </c>
      <c r="C1771" s="8" t="str">
        <f t="shared" si="2861"/>
        <v>装备</v>
      </c>
      <c r="D1771" s="7">
        <f t="shared" si="2813"/>
        <v>51000085</v>
      </c>
      <c r="E1771" s="8"/>
      <c r="F1771" s="8">
        <v>1</v>
      </c>
      <c r="G1771" s="7">
        <f>3*INDEX([1]equip.xml!$I:$I,MATCH(D1771,[1]equip.xml!$A:$A,0))</f>
        <v>636000</v>
      </c>
      <c r="H1771" s="8" t="str">
        <f t="shared" ref="H1771:J1771" si="2862">H1683</f>
        <v>10_10,50_20,80_30</v>
      </c>
      <c r="I1771" s="8">
        <f t="shared" si="2862"/>
        <v>1</v>
      </c>
      <c r="J1771" s="8">
        <f t="shared" si="2862"/>
        <v>240</v>
      </c>
      <c r="K1771" s="7" t="s">
        <v>312</v>
      </c>
      <c r="L1771" s="8">
        <v>60</v>
      </c>
      <c r="M1771" s="7">
        <f>IF(INDEX([1]equip.xml!$B:$B,MATCH(D1771,[1]equip.xml!$A:$A,0))=0,0,N1771)</f>
        <v>1</v>
      </c>
      <c r="N1771" s="8">
        <v>1</v>
      </c>
    </row>
    <row r="1772" spans="1:14">
      <c r="A1772" s="8">
        <f t="shared" si="2738"/>
        <v>10024</v>
      </c>
      <c r="B1772" s="8">
        <f t="shared" ref="B1772:C1772" si="2863">B1684</f>
        <v>40000</v>
      </c>
      <c r="C1772" s="8" t="str">
        <f t="shared" si="2863"/>
        <v>装备</v>
      </c>
      <c r="D1772" s="7">
        <f t="shared" si="2813"/>
        <v>51000095</v>
      </c>
      <c r="E1772" s="8"/>
      <c r="F1772" s="8">
        <v>1</v>
      </c>
      <c r="G1772" s="7">
        <f>3*INDEX([1]equip.xml!$I:$I,MATCH(D1772,[1]equip.xml!$A:$A,0))</f>
        <v>636000</v>
      </c>
      <c r="H1772" s="8" t="str">
        <f t="shared" ref="H1772:J1772" si="2864">H1684</f>
        <v>10_10,50_20,80_30</v>
      </c>
      <c r="I1772" s="8">
        <f t="shared" si="2864"/>
        <v>1</v>
      </c>
      <c r="J1772" s="8">
        <f t="shared" si="2864"/>
        <v>240</v>
      </c>
      <c r="K1772" s="7" t="s">
        <v>312</v>
      </c>
      <c r="L1772" s="8">
        <v>60</v>
      </c>
      <c r="M1772" s="7">
        <f>IF(INDEX([1]equip.xml!$B:$B,MATCH(D1772,[1]equip.xml!$A:$A,0))=0,0,N1772)</f>
        <v>1</v>
      </c>
      <c r="N1772" s="8">
        <v>1</v>
      </c>
    </row>
    <row r="1773" spans="1:14">
      <c r="A1773" s="8">
        <f t="shared" si="2738"/>
        <v>10024</v>
      </c>
      <c r="B1773" s="8">
        <f t="shared" ref="B1773:C1773" si="2865">B1685</f>
        <v>40000</v>
      </c>
      <c r="C1773" s="8" t="str">
        <f t="shared" si="2865"/>
        <v>装备</v>
      </c>
      <c r="D1773" s="7">
        <f t="shared" si="2813"/>
        <v>51000105</v>
      </c>
      <c r="E1773" s="8"/>
      <c r="F1773" s="8">
        <v>1</v>
      </c>
      <c r="G1773" s="7">
        <f>3*INDEX([1]equip.xml!$I:$I,MATCH(D1773,[1]equip.xml!$A:$A,0))</f>
        <v>636000</v>
      </c>
      <c r="H1773" s="8" t="str">
        <f t="shared" ref="H1773:J1773" si="2866">H1685</f>
        <v>10_10,50_20,80_30</v>
      </c>
      <c r="I1773" s="8">
        <f t="shared" si="2866"/>
        <v>1</v>
      </c>
      <c r="J1773" s="8">
        <f t="shared" si="2866"/>
        <v>240</v>
      </c>
      <c r="K1773" s="7" t="s">
        <v>312</v>
      </c>
      <c r="L1773" s="8">
        <v>60</v>
      </c>
      <c r="M1773" s="7">
        <f>IF(INDEX([1]equip.xml!$B:$B,MATCH(D1773,[1]equip.xml!$A:$A,0))=0,0,N1773)</f>
        <v>1</v>
      </c>
      <c r="N1773" s="8">
        <v>1</v>
      </c>
    </row>
    <row r="1774" spans="1:14">
      <c r="A1774" s="8">
        <f t="shared" si="2738"/>
        <v>10024</v>
      </c>
      <c r="B1774" s="8">
        <f t="shared" ref="B1774:C1774" si="2867">B1686</f>
        <v>40000</v>
      </c>
      <c r="C1774" s="8" t="str">
        <f t="shared" si="2867"/>
        <v>装备</v>
      </c>
      <c r="D1774" s="7">
        <f t="shared" si="2813"/>
        <v>51001055</v>
      </c>
      <c r="E1774" s="8"/>
      <c r="F1774" s="8">
        <v>1</v>
      </c>
      <c r="G1774" s="7">
        <f>3*INDEX([1]equip.xml!$I:$I,MATCH(D1774,[1]equip.xml!$A:$A,0))</f>
        <v>636000</v>
      </c>
      <c r="H1774" s="8" t="str">
        <f t="shared" ref="H1774:J1774" si="2868">H1686</f>
        <v>10_10,50_20,80_30</v>
      </c>
      <c r="I1774" s="8">
        <f t="shared" si="2868"/>
        <v>1</v>
      </c>
      <c r="J1774" s="8">
        <f t="shared" si="2868"/>
        <v>240</v>
      </c>
      <c r="K1774" s="7" t="s">
        <v>312</v>
      </c>
      <c r="L1774" s="8">
        <v>60</v>
      </c>
      <c r="M1774" s="7">
        <f>IF(INDEX([1]equip.xml!$B:$B,MATCH(D1774,[1]equip.xml!$A:$A,0))=0,0,N1774)</f>
        <v>1</v>
      </c>
      <c r="N1774" s="8">
        <v>1</v>
      </c>
    </row>
    <row r="1775" spans="1:14">
      <c r="A1775" s="8">
        <f t="shared" ref="A1775:A1789" si="2869">A1687+1</f>
        <v>10024</v>
      </c>
      <c r="B1775" s="8">
        <f t="shared" ref="B1775:C1775" si="2870">B1687</f>
        <v>40000</v>
      </c>
      <c r="C1775" s="8" t="str">
        <f t="shared" si="2870"/>
        <v>装备</v>
      </c>
      <c r="D1775" s="7">
        <f t="shared" si="2813"/>
        <v>51001056</v>
      </c>
      <c r="E1775" s="8"/>
      <c r="F1775" s="8">
        <v>1</v>
      </c>
      <c r="G1775" s="7">
        <f>3*INDEX([1]equip.xml!$I:$I,MATCH(D1775,[1]equip.xml!$A:$A,0))</f>
        <v>654000</v>
      </c>
      <c r="H1775" s="8" t="str">
        <f t="shared" ref="H1775:J1775" si="2871">H1687</f>
        <v>10_10,50_20,80_30</v>
      </c>
      <c r="I1775" s="8">
        <f t="shared" si="2871"/>
        <v>1</v>
      </c>
      <c r="J1775" s="8">
        <f t="shared" si="2871"/>
        <v>240</v>
      </c>
      <c r="K1775" s="7" t="s">
        <v>312</v>
      </c>
      <c r="L1775" s="8">
        <v>60</v>
      </c>
      <c r="M1775" s="7">
        <f>IF(INDEX([1]equip.xml!$B:$B,MATCH(D1775,[1]equip.xml!$A:$A,0))=0,0,N1775)</f>
        <v>0</v>
      </c>
      <c r="N1775" s="8">
        <v>1</v>
      </c>
    </row>
    <row r="1776" spans="1:14">
      <c r="A1776" s="8">
        <f t="shared" si="2869"/>
        <v>10024</v>
      </c>
      <c r="B1776" s="8">
        <f t="shared" ref="B1776:C1776" si="2872">B1688</f>
        <v>40000</v>
      </c>
      <c r="C1776" s="8" t="str">
        <f t="shared" si="2872"/>
        <v>装备</v>
      </c>
      <c r="D1776" s="7">
        <f t="shared" si="2813"/>
        <v>51001065</v>
      </c>
      <c r="E1776" s="8"/>
      <c r="F1776" s="8">
        <v>1</v>
      </c>
      <c r="G1776" s="7">
        <f>3*INDEX([1]equip.xml!$I:$I,MATCH(D1776,[1]equip.xml!$A:$A,0))</f>
        <v>636000</v>
      </c>
      <c r="H1776" s="8" t="str">
        <f t="shared" ref="H1776:J1776" si="2873">H1688</f>
        <v>10_10,50_20,80_30</v>
      </c>
      <c r="I1776" s="8">
        <f t="shared" si="2873"/>
        <v>1</v>
      </c>
      <c r="J1776" s="8">
        <f t="shared" si="2873"/>
        <v>240</v>
      </c>
      <c r="K1776" s="7" t="s">
        <v>312</v>
      </c>
      <c r="L1776" s="8">
        <v>60</v>
      </c>
      <c r="M1776" s="7">
        <f>IF(INDEX([1]equip.xml!$B:$B,MATCH(D1776,[1]equip.xml!$A:$A,0))=0,0,N1776)</f>
        <v>1</v>
      </c>
      <c r="N1776" s="8">
        <v>1</v>
      </c>
    </row>
    <row r="1777" spans="1:14">
      <c r="A1777" s="8">
        <f t="shared" si="2869"/>
        <v>10024</v>
      </c>
      <c r="B1777" s="8">
        <f t="shared" ref="B1777:C1777" si="2874">B1689</f>
        <v>40000</v>
      </c>
      <c r="C1777" s="8" t="str">
        <f t="shared" si="2874"/>
        <v>装备</v>
      </c>
      <c r="D1777" s="7">
        <f t="shared" si="2813"/>
        <v>51001066</v>
      </c>
      <c r="E1777" s="8"/>
      <c r="F1777" s="8">
        <v>1</v>
      </c>
      <c r="G1777" s="7">
        <f>3*INDEX([1]equip.xml!$I:$I,MATCH(D1777,[1]equip.xml!$A:$A,0))</f>
        <v>654000</v>
      </c>
      <c r="H1777" s="8" t="str">
        <f t="shared" ref="H1777:J1777" si="2875">H1689</f>
        <v>10_10,50_20,80_30</v>
      </c>
      <c r="I1777" s="8">
        <f t="shared" si="2875"/>
        <v>1</v>
      </c>
      <c r="J1777" s="8">
        <f t="shared" si="2875"/>
        <v>240</v>
      </c>
      <c r="K1777" s="7" t="s">
        <v>312</v>
      </c>
      <c r="L1777" s="8">
        <v>60</v>
      </c>
      <c r="M1777" s="7">
        <f>IF(INDEX([1]equip.xml!$B:$B,MATCH(D1777,[1]equip.xml!$A:$A,0))=0,0,N1777)</f>
        <v>0</v>
      </c>
      <c r="N1777" s="8">
        <v>1</v>
      </c>
    </row>
    <row r="1778" spans="1:14">
      <c r="A1778" s="8">
        <f t="shared" si="2869"/>
        <v>10024</v>
      </c>
      <c r="B1778" s="8">
        <f t="shared" ref="B1778:C1778" si="2876">B1690</f>
        <v>40000</v>
      </c>
      <c r="C1778" s="8" t="str">
        <f t="shared" si="2876"/>
        <v>装备</v>
      </c>
      <c r="D1778" s="7">
        <f t="shared" si="2813"/>
        <v>51002055</v>
      </c>
      <c r="E1778" s="8"/>
      <c r="F1778" s="8">
        <v>1</v>
      </c>
      <c r="G1778" s="7">
        <f>3*INDEX([1]equip.xml!$I:$I,MATCH(D1778,[1]equip.xml!$A:$A,0))</f>
        <v>636000</v>
      </c>
      <c r="H1778" s="8" t="str">
        <f t="shared" ref="H1778:J1778" si="2877">H1690</f>
        <v>10_10,50_20,80_30</v>
      </c>
      <c r="I1778" s="8">
        <f t="shared" si="2877"/>
        <v>1</v>
      </c>
      <c r="J1778" s="8">
        <f t="shared" si="2877"/>
        <v>240</v>
      </c>
      <c r="K1778" s="7" t="s">
        <v>312</v>
      </c>
      <c r="L1778" s="8">
        <v>60</v>
      </c>
      <c r="M1778" s="7">
        <f>IF(INDEX([1]equip.xml!$B:$B,MATCH(D1778,[1]equip.xml!$A:$A,0))=0,0,N1778)</f>
        <v>1</v>
      </c>
      <c r="N1778" s="8">
        <v>1</v>
      </c>
    </row>
    <row r="1779" spans="1:14">
      <c r="A1779" s="8">
        <f t="shared" si="2869"/>
        <v>10024</v>
      </c>
      <c r="B1779" s="8">
        <f t="shared" ref="B1779:C1779" si="2878">B1691</f>
        <v>40000</v>
      </c>
      <c r="C1779" s="8" t="str">
        <f t="shared" si="2878"/>
        <v>装备</v>
      </c>
      <c r="D1779" s="7">
        <f t="shared" si="2813"/>
        <v>51002056</v>
      </c>
      <c r="E1779" s="8"/>
      <c r="F1779" s="8">
        <v>1</v>
      </c>
      <c r="G1779" s="7">
        <f>3*INDEX([1]equip.xml!$I:$I,MATCH(D1779,[1]equip.xml!$A:$A,0))</f>
        <v>654000</v>
      </c>
      <c r="H1779" s="8" t="str">
        <f t="shared" ref="H1779:J1779" si="2879">H1691</f>
        <v>10_10,50_20,80_30</v>
      </c>
      <c r="I1779" s="8">
        <f t="shared" si="2879"/>
        <v>1</v>
      </c>
      <c r="J1779" s="8">
        <f t="shared" si="2879"/>
        <v>240</v>
      </c>
      <c r="K1779" s="7" t="s">
        <v>312</v>
      </c>
      <c r="L1779" s="8">
        <v>60</v>
      </c>
      <c r="M1779" s="7">
        <f>IF(INDEX([1]equip.xml!$B:$B,MATCH(D1779,[1]equip.xml!$A:$A,0))=0,0,N1779)</f>
        <v>0</v>
      </c>
      <c r="N1779" s="8">
        <v>1</v>
      </c>
    </row>
    <row r="1780" spans="1:14">
      <c r="A1780" s="8">
        <f t="shared" si="2869"/>
        <v>10024</v>
      </c>
      <c r="B1780" s="8">
        <f t="shared" ref="B1780:C1780" si="2880">B1692</f>
        <v>40000</v>
      </c>
      <c r="C1780" s="8" t="str">
        <f t="shared" si="2880"/>
        <v>装备</v>
      </c>
      <c r="D1780" s="7">
        <f t="shared" si="2813"/>
        <v>51002065</v>
      </c>
      <c r="E1780" s="8"/>
      <c r="F1780" s="8">
        <v>1</v>
      </c>
      <c r="G1780" s="7">
        <f>3*INDEX([1]equip.xml!$I:$I,MATCH(D1780,[1]equip.xml!$A:$A,0))</f>
        <v>636000</v>
      </c>
      <c r="H1780" s="8" t="str">
        <f t="shared" ref="H1780:J1780" si="2881">H1692</f>
        <v>10_10,50_20,80_30</v>
      </c>
      <c r="I1780" s="8">
        <f t="shared" si="2881"/>
        <v>1</v>
      </c>
      <c r="J1780" s="8">
        <f t="shared" si="2881"/>
        <v>240</v>
      </c>
      <c r="K1780" s="7" t="s">
        <v>312</v>
      </c>
      <c r="L1780" s="8">
        <v>60</v>
      </c>
      <c r="M1780" s="7">
        <f>IF(INDEX([1]equip.xml!$B:$B,MATCH(D1780,[1]equip.xml!$A:$A,0))=0,0,N1780)</f>
        <v>1</v>
      </c>
      <c r="N1780" s="8">
        <v>1</v>
      </c>
    </row>
    <row r="1781" spans="1:14">
      <c r="A1781" s="8">
        <f t="shared" si="2869"/>
        <v>10024</v>
      </c>
      <c r="B1781" s="8">
        <f t="shared" ref="B1781:C1781" si="2882">B1693</f>
        <v>40000</v>
      </c>
      <c r="C1781" s="8" t="str">
        <f t="shared" si="2882"/>
        <v>装备</v>
      </c>
      <c r="D1781" s="7">
        <f t="shared" si="2813"/>
        <v>51002066</v>
      </c>
      <c r="E1781" s="8"/>
      <c r="F1781" s="8">
        <v>1</v>
      </c>
      <c r="G1781" s="7">
        <f>3*INDEX([1]equip.xml!$I:$I,MATCH(D1781,[1]equip.xml!$A:$A,0))</f>
        <v>654000</v>
      </c>
      <c r="H1781" s="8" t="str">
        <f t="shared" ref="H1781:J1781" si="2883">H1693</f>
        <v>10_10,50_20,80_30</v>
      </c>
      <c r="I1781" s="8">
        <f t="shared" si="2883"/>
        <v>1</v>
      </c>
      <c r="J1781" s="8">
        <f t="shared" si="2883"/>
        <v>240</v>
      </c>
      <c r="K1781" s="7" t="s">
        <v>312</v>
      </c>
      <c r="L1781" s="8">
        <v>60</v>
      </c>
      <c r="M1781" s="7">
        <f>IF(INDEX([1]equip.xml!$B:$B,MATCH(D1781,[1]equip.xml!$A:$A,0))=0,0,N1781)</f>
        <v>0</v>
      </c>
      <c r="N1781" s="8">
        <v>1</v>
      </c>
    </row>
    <row r="1782" spans="1:14">
      <c r="A1782" s="8">
        <f t="shared" si="2869"/>
        <v>10024</v>
      </c>
      <c r="B1782" s="8">
        <f t="shared" ref="B1782:C1782" si="2884">B1694</f>
        <v>40000</v>
      </c>
      <c r="C1782" s="8" t="str">
        <f t="shared" si="2884"/>
        <v>装备</v>
      </c>
      <c r="D1782" s="7">
        <f t="shared" si="2813"/>
        <v>51003055</v>
      </c>
      <c r="E1782" s="8"/>
      <c r="F1782" s="8">
        <v>1</v>
      </c>
      <c r="G1782" s="7">
        <f>3*INDEX([1]equip.xml!$I:$I,MATCH(D1782,[1]equip.xml!$A:$A,0))</f>
        <v>636000</v>
      </c>
      <c r="H1782" s="8" t="str">
        <f t="shared" ref="H1782:J1782" si="2885">H1694</f>
        <v>10_10,50_20,80_30</v>
      </c>
      <c r="I1782" s="8">
        <f t="shared" si="2885"/>
        <v>1</v>
      </c>
      <c r="J1782" s="8">
        <f t="shared" si="2885"/>
        <v>240</v>
      </c>
      <c r="K1782" s="7" t="s">
        <v>312</v>
      </c>
      <c r="L1782" s="8">
        <v>60</v>
      </c>
      <c r="M1782" s="7">
        <f>IF(INDEX([1]equip.xml!$B:$B,MATCH(D1782,[1]equip.xml!$A:$A,0))=0,0,N1782)</f>
        <v>1</v>
      </c>
      <c r="N1782" s="8">
        <v>1</v>
      </c>
    </row>
    <row r="1783" spans="1:14">
      <c r="A1783" s="8">
        <f t="shared" si="2869"/>
        <v>10024</v>
      </c>
      <c r="B1783" s="8">
        <f t="shared" ref="B1783:C1783" si="2886">B1695</f>
        <v>40000</v>
      </c>
      <c r="C1783" s="8" t="str">
        <f t="shared" si="2886"/>
        <v>装备</v>
      </c>
      <c r="D1783" s="7">
        <f t="shared" si="2813"/>
        <v>51003056</v>
      </c>
      <c r="E1783" s="8"/>
      <c r="F1783" s="8">
        <v>1</v>
      </c>
      <c r="G1783" s="7">
        <f>3*INDEX([1]equip.xml!$I:$I,MATCH(D1783,[1]equip.xml!$A:$A,0))</f>
        <v>654000</v>
      </c>
      <c r="H1783" s="8" t="str">
        <f t="shared" ref="H1783:J1783" si="2887">H1695</f>
        <v>10_10,50_20,80_30</v>
      </c>
      <c r="I1783" s="8">
        <f t="shared" si="2887"/>
        <v>1</v>
      </c>
      <c r="J1783" s="8">
        <f t="shared" si="2887"/>
        <v>240</v>
      </c>
      <c r="K1783" s="7" t="s">
        <v>312</v>
      </c>
      <c r="L1783" s="8">
        <v>60</v>
      </c>
      <c r="M1783" s="7">
        <f>IF(INDEX([1]equip.xml!$B:$B,MATCH(D1783,[1]equip.xml!$A:$A,0))=0,0,N1783)</f>
        <v>0</v>
      </c>
      <c r="N1783" s="8">
        <v>1</v>
      </c>
    </row>
    <row r="1784" spans="1:14">
      <c r="A1784" s="8">
        <f t="shared" si="2869"/>
        <v>10024</v>
      </c>
      <c r="B1784" s="8">
        <f t="shared" ref="B1784:C1784" si="2888">B1696</f>
        <v>40000</v>
      </c>
      <c r="C1784" s="8" t="str">
        <f t="shared" si="2888"/>
        <v>装备</v>
      </c>
      <c r="D1784" s="7">
        <f t="shared" si="2813"/>
        <v>51003065</v>
      </c>
      <c r="E1784" s="8"/>
      <c r="F1784" s="8">
        <v>1</v>
      </c>
      <c r="G1784" s="7">
        <f>3*INDEX([1]equip.xml!$I:$I,MATCH(D1784,[1]equip.xml!$A:$A,0))</f>
        <v>636000</v>
      </c>
      <c r="H1784" s="8" t="str">
        <f t="shared" ref="H1784:J1784" si="2889">H1696</f>
        <v>10_10,50_20,80_30</v>
      </c>
      <c r="I1784" s="8">
        <f t="shared" si="2889"/>
        <v>1</v>
      </c>
      <c r="J1784" s="8">
        <f t="shared" si="2889"/>
        <v>240</v>
      </c>
      <c r="K1784" s="7" t="s">
        <v>312</v>
      </c>
      <c r="L1784" s="8">
        <v>60</v>
      </c>
      <c r="M1784" s="7">
        <f>IF(INDEX([1]equip.xml!$B:$B,MATCH(D1784,[1]equip.xml!$A:$A,0))=0,0,N1784)</f>
        <v>1</v>
      </c>
      <c r="N1784" s="8">
        <v>1</v>
      </c>
    </row>
    <row r="1785" spans="1:14">
      <c r="A1785" s="8">
        <f t="shared" si="2869"/>
        <v>10024</v>
      </c>
      <c r="B1785" s="8">
        <f t="shared" ref="B1785:C1785" si="2890">B1697</f>
        <v>40000</v>
      </c>
      <c r="C1785" s="8" t="str">
        <f t="shared" si="2890"/>
        <v>装备</v>
      </c>
      <c r="D1785" s="7">
        <f t="shared" si="2813"/>
        <v>51003066</v>
      </c>
      <c r="E1785" s="8"/>
      <c r="F1785" s="8">
        <v>1</v>
      </c>
      <c r="G1785" s="7">
        <f>3*INDEX([1]equip.xml!$I:$I,MATCH(D1785,[1]equip.xml!$A:$A,0))</f>
        <v>654000</v>
      </c>
      <c r="H1785" s="8" t="str">
        <f t="shared" ref="H1785:J1785" si="2891">H1697</f>
        <v>10_10,50_20,80_30</v>
      </c>
      <c r="I1785" s="8">
        <f t="shared" si="2891"/>
        <v>1</v>
      </c>
      <c r="J1785" s="8">
        <f t="shared" si="2891"/>
        <v>240</v>
      </c>
      <c r="K1785" s="7" t="s">
        <v>312</v>
      </c>
      <c r="L1785" s="8">
        <v>60</v>
      </c>
      <c r="M1785" s="7">
        <f>IF(INDEX([1]equip.xml!$B:$B,MATCH(D1785,[1]equip.xml!$A:$A,0))=0,0,N1785)</f>
        <v>0</v>
      </c>
      <c r="N1785" s="8">
        <v>1</v>
      </c>
    </row>
    <row r="1786" spans="1:14">
      <c r="A1786" s="8">
        <f t="shared" si="2869"/>
        <v>10024</v>
      </c>
      <c r="B1786" s="8">
        <f t="shared" ref="B1786:C1786" si="2892">B1698</f>
        <v>40000</v>
      </c>
      <c r="C1786" s="8" t="str">
        <f t="shared" si="2892"/>
        <v>装备</v>
      </c>
      <c r="D1786" s="7">
        <f t="shared" si="2813"/>
        <v>51000045</v>
      </c>
      <c r="E1786" s="8"/>
      <c r="F1786" s="8">
        <v>1</v>
      </c>
      <c r="G1786" s="7">
        <f>3*INDEX([1]equip.xml!$I:$I,MATCH(D1786,[1]equip.xml!$A:$A,0))</f>
        <v>636000</v>
      </c>
      <c r="H1786" s="8" t="str">
        <f t="shared" ref="H1786:J1786" si="2893">H1698</f>
        <v>10_10,50_20,80_30</v>
      </c>
      <c r="I1786" s="8">
        <f t="shared" si="2893"/>
        <v>1</v>
      </c>
      <c r="J1786" s="8">
        <f t="shared" si="2893"/>
        <v>240</v>
      </c>
      <c r="K1786" s="7" t="s">
        <v>312</v>
      </c>
      <c r="L1786" s="8">
        <v>60</v>
      </c>
      <c r="M1786" s="7">
        <f>IF(INDEX([1]equip.xml!$B:$B,MATCH(D1786,[1]equip.xml!$A:$A,0))=0,0,N1786)</f>
        <v>1</v>
      </c>
      <c r="N1786" s="8">
        <v>1</v>
      </c>
    </row>
    <row r="1787" spans="1:14">
      <c r="A1787" s="8">
        <f t="shared" si="2869"/>
        <v>10024</v>
      </c>
      <c r="B1787" s="8">
        <f t="shared" ref="B1787:C1787" si="2894">B1699</f>
        <v>40000</v>
      </c>
      <c r="C1787" s="8" t="str">
        <f t="shared" si="2894"/>
        <v>装备</v>
      </c>
      <c r="D1787" s="7">
        <f t="shared" si="2813"/>
        <v>51000046</v>
      </c>
      <c r="E1787" s="8"/>
      <c r="F1787" s="8">
        <v>1</v>
      </c>
      <c r="G1787" s="7">
        <f>3*INDEX([1]equip.xml!$I:$I,MATCH(D1787,[1]equip.xml!$A:$A,0))</f>
        <v>654000</v>
      </c>
      <c r="H1787" s="8" t="str">
        <f t="shared" ref="H1787:J1787" si="2895">H1699</f>
        <v>10_10,50_20,80_30</v>
      </c>
      <c r="I1787" s="8">
        <f t="shared" si="2895"/>
        <v>1</v>
      </c>
      <c r="J1787" s="8">
        <f t="shared" si="2895"/>
        <v>240</v>
      </c>
      <c r="K1787" s="7" t="s">
        <v>312</v>
      </c>
      <c r="L1787" s="8">
        <v>60</v>
      </c>
      <c r="M1787" s="7">
        <f>IF(INDEX([1]equip.xml!$B:$B,MATCH(D1787,[1]equip.xml!$A:$A,0))=0,0,N1787)</f>
        <v>1</v>
      </c>
      <c r="N1787" s="8">
        <v>1</v>
      </c>
    </row>
    <row r="1788" spans="1:14">
      <c r="A1788" s="8">
        <f t="shared" si="2869"/>
        <v>10024</v>
      </c>
      <c r="B1788" s="8">
        <f t="shared" ref="B1788:C1788" si="2896">B1700</f>
        <v>40000</v>
      </c>
      <c r="C1788" s="8" t="str">
        <f t="shared" si="2896"/>
        <v>装备</v>
      </c>
      <c r="D1788" s="7">
        <f t="shared" si="2813"/>
        <v>51000075</v>
      </c>
      <c r="E1788" s="8"/>
      <c r="F1788" s="8">
        <v>1</v>
      </c>
      <c r="G1788" s="7">
        <f>3*INDEX([1]equip.xml!$I:$I,MATCH(D1788,[1]equip.xml!$A:$A,0))</f>
        <v>636000</v>
      </c>
      <c r="H1788" s="8" t="str">
        <f t="shared" ref="H1788:J1788" si="2897">H1700</f>
        <v>10_10,50_20,80_30</v>
      </c>
      <c r="I1788" s="8">
        <f t="shared" si="2897"/>
        <v>1</v>
      </c>
      <c r="J1788" s="8">
        <f t="shared" si="2897"/>
        <v>240</v>
      </c>
      <c r="K1788" s="7" t="s">
        <v>312</v>
      </c>
      <c r="L1788" s="8">
        <v>60</v>
      </c>
      <c r="M1788" s="7">
        <f>IF(INDEX([1]equip.xml!$B:$B,MATCH(D1788,[1]equip.xml!$A:$A,0))=0,0,N1788)</f>
        <v>1</v>
      </c>
      <c r="N1788" s="8">
        <v>1</v>
      </c>
    </row>
    <row r="1789" spans="1:14">
      <c r="A1789" s="8">
        <f t="shared" si="2869"/>
        <v>10024</v>
      </c>
      <c r="B1789" s="8">
        <f t="shared" ref="B1789:C1789" si="2898">B1701</f>
        <v>40000</v>
      </c>
      <c r="C1789" s="8" t="str">
        <f t="shared" si="2898"/>
        <v>装备</v>
      </c>
      <c r="D1789" s="7">
        <f t="shared" si="2813"/>
        <v>51000076</v>
      </c>
      <c r="E1789" s="8"/>
      <c r="F1789" s="8">
        <v>1</v>
      </c>
      <c r="G1789" s="7">
        <f>3*INDEX([1]equip.xml!$I:$I,MATCH(D1789,[1]equip.xml!$A:$A,0))</f>
        <v>654000</v>
      </c>
      <c r="H1789" s="8" t="str">
        <f t="shared" ref="H1789:J1789" si="2899">H1701</f>
        <v>10_10,50_20,80_30</v>
      </c>
      <c r="I1789" s="8">
        <f t="shared" si="2899"/>
        <v>1</v>
      </c>
      <c r="J1789" s="8">
        <f t="shared" si="2899"/>
        <v>240</v>
      </c>
      <c r="K1789" s="7" t="s">
        <v>312</v>
      </c>
      <c r="L1789" s="8">
        <v>60</v>
      </c>
      <c r="M1789" s="7">
        <f>IF(INDEX([1]equip.xml!$B:$B,MATCH(D1789,[1]equip.xml!$A:$A,0))=0,0,N1789)</f>
        <v>1</v>
      </c>
      <c r="N1789" s="8">
        <v>1</v>
      </c>
    </row>
    <row r="1790" spans="1:14">
      <c r="A1790" s="8">
        <f>A1262+10000</f>
        <v>20019</v>
      </c>
      <c r="B1790" s="8">
        <v>40000</v>
      </c>
      <c r="C1790" s="8" t="s">
        <v>298</v>
      </c>
      <c r="D1790" s="8">
        <v>40700010</v>
      </c>
      <c r="E1790" s="8"/>
      <c r="F1790" s="8">
        <v>1</v>
      </c>
      <c r="G1790" s="7">
        <v>210000</v>
      </c>
      <c r="H1790" s="8" t="s">
        <v>299</v>
      </c>
      <c r="I1790" s="8">
        <v>6</v>
      </c>
      <c r="J1790" s="8">
        <v>50</v>
      </c>
      <c r="K1790" s="7" t="s">
        <v>312</v>
      </c>
      <c r="L1790" s="8">
        <v>64</v>
      </c>
      <c r="M1790" s="7">
        <f>IF(INDEX([1]equip.xml!$B:$B,MATCH(D1790&amp;"",[1]equip.xml!$A:$A,0))=0,0,N1790)</f>
        <v>130</v>
      </c>
      <c r="N1790" s="8">
        <v>130</v>
      </c>
    </row>
    <row r="1791" spans="1:14">
      <c r="A1791" s="8">
        <f t="shared" ref="A1791:A1854" si="2900">A1263+10000</f>
        <v>20019</v>
      </c>
      <c r="B1791" s="8">
        <v>40000</v>
      </c>
      <c r="C1791" s="8" t="s">
        <v>298</v>
      </c>
      <c r="D1791" s="8">
        <v>40700020</v>
      </c>
      <c r="E1791" s="8"/>
      <c r="F1791" s="8">
        <v>1</v>
      </c>
      <c r="G1791" s="7">
        <v>210000</v>
      </c>
      <c r="H1791" s="8" t="s">
        <v>299</v>
      </c>
      <c r="I1791" s="8">
        <v>6</v>
      </c>
      <c r="J1791" s="8">
        <v>50</v>
      </c>
      <c r="K1791" s="7" t="s">
        <v>312</v>
      </c>
      <c r="L1791" s="8">
        <v>64</v>
      </c>
      <c r="M1791" s="7">
        <f>IF(INDEX([1]equip.xml!$B:$B,MATCH(D1791&amp;"",[1]equip.xml!$A:$A,0))=0,0,N1791)</f>
        <v>130</v>
      </c>
      <c r="N1791" s="8">
        <v>130</v>
      </c>
    </row>
    <row r="1792" spans="1:14">
      <c r="A1792" s="8">
        <f t="shared" si="2900"/>
        <v>20019</v>
      </c>
      <c r="B1792" s="8">
        <v>40000</v>
      </c>
      <c r="C1792" s="8" t="s">
        <v>298</v>
      </c>
      <c r="D1792" s="8">
        <v>40700030</v>
      </c>
      <c r="E1792" s="8"/>
      <c r="F1792" s="8">
        <v>1</v>
      </c>
      <c r="G1792" s="7">
        <v>210000</v>
      </c>
      <c r="H1792" s="8" t="s">
        <v>299</v>
      </c>
      <c r="I1792" s="8">
        <v>6</v>
      </c>
      <c r="J1792" s="8">
        <v>50</v>
      </c>
      <c r="K1792" s="7" t="s">
        <v>312</v>
      </c>
      <c r="L1792" s="8">
        <v>64</v>
      </c>
      <c r="M1792" s="7">
        <f>IF(INDEX([1]equip.xml!$B:$B,MATCH(D1792&amp;"",[1]equip.xml!$A:$A,0))=0,0,N1792)</f>
        <v>130</v>
      </c>
      <c r="N1792" s="8">
        <v>130</v>
      </c>
    </row>
    <row r="1793" spans="1:14">
      <c r="A1793" s="8">
        <f t="shared" si="2900"/>
        <v>20019</v>
      </c>
      <c r="B1793" s="8">
        <v>40000</v>
      </c>
      <c r="C1793" s="8" t="s">
        <v>298</v>
      </c>
      <c r="D1793" s="8">
        <v>40700080</v>
      </c>
      <c r="E1793" s="8"/>
      <c r="F1793" s="8">
        <v>1</v>
      </c>
      <c r="G1793" s="7">
        <v>210000</v>
      </c>
      <c r="H1793" s="8" t="s">
        <v>299</v>
      </c>
      <c r="I1793" s="8">
        <v>6</v>
      </c>
      <c r="J1793" s="8">
        <v>50</v>
      </c>
      <c r="K1793" s="7" t="s">
        <v>312</v>
      </c>
      <c r="L1793" s="8">
        <v>64</v>
      </c>
      <c r="M1793" s="7">
        <f>IF(INDEX([1]equip.xml!$B:$B,MATCH(D1793&amp;"",[1]equip.xml!$A:$A,0))=0,0,N1793)</f>
        <v>130</v>
      </c>
      <c r="N1793" s="8">
        <v>130</v>
      </c>
    </row>
    <row r="1794" spans="1:14">
      <c r="A1794" s="8">
        <f t="shared" si="2900"/>
        <v>20019</v>
      </c>
      <c r="B1794" s="8">
        <v>40000</v>
      </c>
      <c r="C1794" s="8" t="s">
        <v>298</v>
      </c>
      <c r="D1794" s="8">
        <v>40700090</v>
      </c>
      <c r="E1794" s="8"/>
      <c r="F1794" s="8">
        <v>1</v>
      </c>
      <c r="G1794" s="7">
        <v>210000</v>
      </c>
      <c r="H1794" s="8" t="s">
        <v>299</v>
      </c>
      <c r="I1794" s="8">
        <v>6</v>
      </c>
      <c r="J1794" s="8">
        <v>50</v>
      </c>
      <c r="K1794" s="7" t="s">
        <v>312</v>
      </c>
      <c r="L1794" s="8">
        <v>64</v>
      </c>
      <c r="M1794" s="7">
        <f>IF(INDEX([1]equip.xml!$B:$B,MATCH(D1794&amp;"",[1]equip.xml!$A:$A,0))=0,0,N1794)</f>
        <v>130</v>
      </c>
      <c r="N1794" s="8">
        <v>130</v>
      </c>
    </row>
    <row r="1795" spans="1:14">
      <c r="A1795" s="8">
        <f t="shared" si="2900"/>
        <v>20019</v>
      </c>
      <c r="B1795" s="8">
        <v>40000</v>
      </c>
      <c r="C1795" s="8" t="s">
        <v>298</v>
      </c>
      <c r="D1795" s="8">
        <v>40700100</v>
      </c>
      <c r="E1795" s="8"/>
      <c r="F1795" s="8">
        <v>1</v>
      </c>
      <c r="G1795" s="7">
        <v>210000</v>
      </c>
      <c r="H1795" s="8" t="s">
        <v>299</v>
      </c>
      <c r="I1795" s="8">
        <v>6</v>
      </c>
      <c r="J1795" s="8">
        <v>50</v>
      </c>
      <c r="K1795" s="7" t="s">
        <v>312</v>
      </c>
      <c r="L1795" s="8">
        <v>64</v>
      </c>
      <c r="M1795" s="7">
        <f>IF(INDEX([1]equip.xml!$B:$B,MATCH(D1795&amp;"",[1]equip.xml!$A:$A,0))=0,0,N1795)</f>
        <v>130</v>
      </c>
      <c r="N1795" s="8">
        <v>130</v>
      </c>
    </row>
    <row r="1796" spans="1:14">
      <c r="A1796" s="8">
        <f t="shared" si="2900"/>
        <v>20019</v>
      </c>
      <c r="B1796" s="8">
        <v>40000</v>
      </c>
      <c r="C1796" s="8" t="s">
        <v>298</v>
      </c>
      <c r="D1796" s="8">
        <v>40701050</v>
      </c>
      <c r="E1796" s="8"/>
      <c r="F1796" s="8">
        <v>1</v>
      </c>
      <c r="G1796" s="7">
        <v>210000</v>
      </c>
      <c r="H1796" s="8" t="s">
        <v>299</v>
      </c>
      <c r="I1796" s="8">
        <v>6</v>
      </c>
      <c r="J1796" s="8">
        <v>50</v>
      </c>
      <c r="K1796" s="7" t="s">
        <v>312</v>
      </c>
      <c r="L1796" s="8">
        <v>64</v>
      </c>
      <c r="M1796" s="7">
        <f>IF(INDEX([1]equip.xml!$B:$B,MATCH(D1796&amp;"",[1]equip.xml!$A:$A,0))=0,0,N1796)</f>
        <v>130</v>
      </c>
      <c r="N1796" s="8">
        <v>130</v>
      </c>
    </row>
    <row r="1797" spans="1:14">
      <c r="A1797" s="8">
        <f t="shared" si="2900"/>
        <v>20019</v>
      </c>
      <c r="B1797" s="8">
        <v>40000</v>
      </c>
      <c r="C1797" s="8" t="s">
        <v>298</v>
      </c>
      <c r="D1797" s="8">
        <v>40701051</v>
      </c>
      <c r="E1797" s="8"/>
      <c r="F1797" s="8">
        <v>1</v>
      </c>
      <c r="G1797" s="7">
        <v>219000</v>
      </c>
      <c r="H1797" s="8" t="s">
        <v>299</v>
      </c>
      <c r="I1797" s="8">
        <v>6</v>
      </c>
      <c r="J1797" s="8">
        <v>50</v>
      </c>
      <c r="K1797" s="7" t="s">
        <v>312</v>
      </c>
      <c r="L1797" s="8">
        <v>64</v>
      </c>
      <c r="M1797" s="7">
        <f>IF(INDEX([1]equip.xml!$B:$B,MATCH(D1797&amp;"",[1]equip.xml!$A:$A,0))=0,0,N1797)</f>
        <v>0</v>
      </c>
      <c r="N1797" s="8">
        <v>130</v>
      </c>
    </row>
    <row r="1798" spans="1:14">
      <c r="A1798" s="8">
        <f t="shared" si="2900"/>
        <v>20019</v>
      </c>
      <c r="B1798" s="8">
        <v>40000</v>
      </c>
      <c r="C1798" s="8" t="s">
        <v>298</v>
      </c>
      <c r="D1798" s="8">
        <v>40701060</v>
      </c>
      <c r="E1798" s="8"/>
      <c r="F1798" s="8">
        <v>1</v>
      </c>
      <c r="G1798" s="7">
        <v>210000</v>
      </c>
      <c r="H1798" s="8" t="s">
        <v>299</v>
      </c>
      <c r="I1798" s="8">
        <v>6</v>
      </c>
      <c r="J1798" s="8">
        <v>50</v>
      </c>
      <c r="K1798" s="7" t="s">
        <v>312</v>
      </c>
      <c r="L1798" s="8">
        <v>64</v>
      </c>
      <c r="M1798" s="7">
        <f>IF(INDEX([1]equip.xml!$B:$B,MATCH(D1798&amp;"",[1]equip.xml!$A:$A,0))=0,0,N1798)</f>
        <v>130</v>
      </c>
      <c r="N1798" s="8">
        <v>130</v>
      </c>
    </row>
    <row r="1799" spans="1:14">
      <c r="A1799" s="8">
        <f t="shared" si="2900"/>
        <v>20019</v>
      </c>
      <c r="B1799" s="8">
        <v>40000</v>
      </c>
      <c r="C1799" s="8" t="s">
        <v>298</v>
      </c>
      <c r="D1799" s="8">
        <v>40701061</v>
      </c>
      <c r="E1799" s="8"/>
      <c r="F1799" s="8">
        <v>1</v>
      </c>
      <c r="G1799" s="7">
        <v>219000</v>
      </c>
      <c r="H1799" s="8" t="s">
        <v>299</v>
      </c>
      <c r="I1799" s="8">
        <v>6</v>
      </c>
      <c r="J1799" s="8">
        <v>50</v>
      </c>
      <c r="K1799" s="7" t="s">
        <v>312</v>
      </c>
      <c r="L1799" s="8">
        <v>64</v>
      </c>
      <c r="M1799" s="7">
        <f>IF(INDEX([1]equip.xml!$B:$B,MATCH(D1799&amp;"",[1]equip.xml!$A:$A,0))=0,0,N1799)</f>
        <v>0</v>
      </c>
      <c r="N1799" s="8">
        <v>130</v>
      </c>
    </row>
    <row r="1800" spans="1:14">
      <c r="A1800" s="8">
        <f t="shared" si="2900"/>
        <v>20019</v>
      </c>
      <c r="B1800" s="8">
        <v>40000</v>
      </c>
      <c r="C1800" s="8" t="s">
        <v>298</v>
      </c>
      <c r="D1800" s="8">
        <v>40702050</v>
      </c>
      <c r="E1800" s="8"/>
      <c r="F1800" s="8">
        <v>1</v>
      </c>
      <c r="G1800" s="7">
        <v>210000</v>
      </c>
      <c r="H1800" s="8" t="s">
        <v>299</v>
      </c>
      <c r="I1800" s="8">
        <v>6</v>
      </c>
      <c r="J1800" s="8">
        <v>50</v>
      </c>
      <c r="K1800" s="7" t="s">
        <v>312</v>
      </c>
      <c r="L1800" s="8">
        <v>64</v>
      </c>
      <c r="M1800" s="7">
        <f>IF(INDEX([1]equip.xml!$B:$B,MATCH(D1800&amp;"",[1]equip.xml!$A:$A,0))=0,0,N1800)</f>
        <v>130</v>
      </c>
      <c r="N1800" s="8">
        <v>130</v>
      </c>
    </row>
    <row r="1801" spans="1:14">
      <c r="A1801" s="8">
        <f t="shared" si="2900"/>
        <v>20019</v>
      </c>
      <c r="B1801" s="8">
        <v>40000</v>
      </c>
      <c r="C1801" s="8" t="s">
        <v>298</v>
      </c>
      <c r="D1801" s="8">
        <v>40702051</v>
      </c>
      <c r="E1801" s="8"/>
      <c r="F1801" s="8">
        <v>1</v>
      </c>
      <c r="G1801" s="7">
        <v>219000</v>
      </c>
      <c r="H1801" s="8" t="s">
        <v>299</v>
      </c>
      <c r="I1801" s="8">
        <v>6</v>
      </c>
      <c r="J1801" s="8">
        <v>50</v>
      </c>
      <c r="K1801" s="7" t="s">
        <v>312</v>
      </c>
      <c r="L1801" s="8">
        <v>64</v>
      </c>
      <c r="M1801" s="7">
        <f>IF(INDEX([1]equip.xml!$B:$B,MATCH(D1801&amp;"",[1]equip.xml!$A:$A,0))=0,0,N1801)</f>
        <v>0</v>
      </c>
      <c r="N1801" s="8">
        <v>130</v>
      </c>
    </row>
    <row r="1802" spans="1:14">
      <c r="A1802" s="8">
        <f t="shared" si="2900"/>
        <v>20019</v>
      </c>
      <c r="B1802" s="8">
        <v>40000</v>
      </c>
      <c r="C1802" s="8" t="s">
        <v>298</v>
      </c>
      <c r="D1802" s="8">
        <v>40702060</v>
      </c>
      <c r="E1802" s="8"/>
      <c r="F1802" s="8">
        <v>1</v>
      </c>
      <c r="G1802" s="7">
        <v>210000</v>
      </c>
      <c r="H1802" s="8" t="s">
        <v>299</v>
      </c>
      <c r="I1802" s="8">
        <v>6</v>
      </c>
      <c r="J1802" s="8">
        <v>50</v>
      </c>
      <c r="K1802" s="7" t="s">
        <v>312</v>
      </c>
      <c r="L1802" s="8">
        <v>64</v>
      </c>
      <c r="M1802" s="7">
        <f>IF(INDEX([1]equip.xml!$B:$B,MATCH(D1802&amp;"",[1]equip.xml!$A:$A,0))=0,0,N1802)</f>
        <v>130</v>
      </c>
      <c r="N1802" s="8">
        <v>130</v>
      </c>
    </row>
    <row r="1803" spans="1:14">
      <c r="A1803" s="8">
        <f>A1275+10000</f>
        <v>20019</v>
      </c>
      <c r="B1803" s="8">
        <v>40000</v>
      </c>
      <c r="C1803" s="8" t="s">
        <v>298</v>
      </c>
      <c r="D1803" s="8">
        <v>40702061</v>
      </c>
      <c r="E1803" s="8"/>
      <c r="F1803" s="8">
        <v>1</v>
      </c>
      <c r="G1803" s="7">
        <v>219000</v>
      </c>
      <c r="H1803" s="8" t="s">
        <v>299</v>
      </c>
      <c r="I1803" s="8">
        <v>6</v>
      </c>
      <c r="J1803" s="8">
        <v>50</v>
      </c>
      <c r="K1803" s="7" t="s">
        <v>312</v>
      </c>
      <c r="L1803" s="8">
        <v>64</v>
      </c>
      <c r="M1803" s="7">
        <f>IF(INDEX([1]equip.xml!$B:$B,MATCH(D1803&amp;"",[1]equip.xml!$A:$A,0))=0,0,N1803)</f>
        <v>0</v>
      </c>
      <c r="N1803" s="8">
        <v>130</v>
      </c>
    </row>
    <row r="1804" spans="1:14">
      <c r="A1804" s="8">
        <f t="shared" si="2900"/>
        <v>20019</v>
      </c>
      <c r="B1804" s="8">
        <v>40000</v>
      </c>
      <c r="C1804" s="8" t="s">
        <v>298</v>
      </c>
      <c r="D1804" s="8">
        <v>40703050</v>
      </c>
      <c r="E1804" s="8"/>
      <c r="F1804" s="8">
        <v>1</v>
      </c>
      <c r="G1804" s="7">
        <v>210000</v>
      </c>
      <c r="H1804" s="8" t="s">
        <v>299</v>
      </c>
      <c r="I1804" s="8">
        <v>6</v>
      </c>
      <c r="J1804" s="8">
        <v>50</v>
      </c>
      <c r="K1804" s="7" t="s">
        <v>312</v>
      </c>
      <c r="L1804" s="8">
        <v>64</v>
      </c>
      <c r="M1804" s="7">
        <f>IF(INDEX([1]equip.xml!$B:$B,MATCH(D1804&amp;"",[1]equip.xml!$A:$A,0))=0,0,N1804)</f>
        <v>130</v>
      </c>
      <c r="N1804" s="8">
        <v>130</v>
      </c>
    </row>
    <row r="1805" spans="1:14">
      <c r="A1805" s="8">
        <f t="shared" si="2900"/>
        <v>20019</v>
      </c>
      <c r="B1805" s="8">
        <v>40000</v>
      </c>
      <c r="C1805" s="8" t="s">
        <v>298</v>
      </c>
      <c r="D1805" s="8">
        <v>40703051</v>
      </c>
      <c r="E1805" s="8"/>
      <c r="F1805" s="8">
        <v>1</v>
      </c>
      <c r="G1805" s="7">
        <v>219000</v>
      </c>
      <c r="H1805" s="8" t="s">
        <v>299</v>
      </c>
      <c r="I1805" s="8">
        <v>6</v>
      </c>
      <c r="J1805" s="8">
        <v>50</v>
      </c>
      <c r="K1805" s="7" t="s">
        <v>312</v>
      </c>
      <c r="L1805" s="8">
        <v>64</v>
      </c>
      <c r="M1805" s="7">
        <f>IF(INDEX([1]equip.xml!$B:$B,MATCH(D1805&amp;"",[1]equip.xml!$A:$A,0))=0,0,N1805)</f>
        <v>0</v>
      </c>
      <c r="N1805" s="8">
        <v>130</v>
      </c>
    </row>
    <row r="1806" spans="1:14">
      <c r="A1806" s="8">
        <f t="shared" si="2900"/>
        <v>20019</v>
      </c>
      <c r="B1806" s="8">
        <v>40000</v>
      </c>
      <c r="C1806" s="8" t="s">
        <v>298</v>
      </c>
      <c r="D1806" s="8">
        <v>40703060</v>
      </c>
      <c r="E1806" s="8"/>
      <c r="F1806" s="8">
        <v>1</v>
      </c>
      <c r="G1806" s="7">
        <v>210000</v>
      </c>
      <c r="H1806" s="8" t="s">
        <v>299</v>
      </c>
      <c r="I1806" s="8">
        <v>6</v>
      </c>
      <c r="J1806" s="8">
        <v>50</v>
      </c>
      <c r="K1806" s="7" t="s">
        <v>312</v>
      </c>
      <c r="L1806" s="8">
        <v>64</v>
      </c>
      <c r="M1806" s="7">
        <f>IF(INDEX([1]equip.xml!$B:$B,MATCH(D1806&amp;"",[1]equip.xml!$A:$A,0))=0,0,N1806)</f>
        <v>130</v>
      </c>
      <c r="N1806" s="8">
        <v>130</v>
      </c>
    </row>
    <row r="1807" spans="1:14">
      <c r="A1807" s="8">
        <f t="shared" si="2900"/>
        <v>20019</v>
      </c>
      <c r="B1807" s="8">
        <v>40000</v>
      </c>
      <c r="C1807" s="8" t="s">
        <v>298</v>
      </c>
      <c r="D1807" s="8">
        <v>40703061</v>
      </c>
      <c r="E1807" s="8"/>
      <c r="F1807" s="8">
        <v>1</v>
      </c>
      <c r="G1807" s="7">
        <v>219000</v>
      </c>
      <c r="H1807" s="8" t="s">
        <v>299</v>
      </c>
      <c r="I1807" s="8">
        <v>6</v>
      </c>
      <c r="J1807" s="8">
        <v>50</v>
      </c>
      <c r="K1807" s="7" t="s">
        <v>312</v>
      </c>
      <c r="L1807" s="8">
        <v>64</v>
      </c>
      <c r="M1807" s="7">
        <f>IF(INDEX([1]equip.xml!$B:$B,MATCH(D1807&amp;"",[1]equip.xml!$A:$A,0))=0,0,N1807)</f>
        <v>0</v>
      </c>
      <c r="N1807" s="8">
        <v>130</v>
      </c>
    </row>
    <row r="1808" spans="1:14">
      <c r="A1808" s="8">
        <f t="shared" si="2900"/>
        <v>20019</v>
      </c>
      <c r="B1808" s="8">
        <v>40000</v>
      </c>
      <c r="C1808" s="8" t="s">
        <v>298</v>
      </c>
      <c r="D1808" s="8">
        <v>40700040</v>
      </c>
      <c r="E1808" s="8"/>
      <c r="F1808" s="8">
        <v>1</v>
      </c>
      <c r="G1808" s="7">
        <v>210000</v>
      </c>
      <c r="H1808" s="8" t="s">
        <v>299</v>
      </c>
      <c r="I1808" s="8">
        <v>6</v>
      </c>
      <c r="J1808" s="8">
        <v>50</v>
      </c>
      <c r="K1808" s="7" t="s">
        <v>312</v>
      </c>
      <c r="L1808" s="8">
        <v>64</v>
      </c>
      <c r="M1808" s="7">
        <f>IF(INDEX([1]equip.xml!$B:$B,MATCH(D1808&amp;"",[1]equip.xml!$A:$A,0))=0,0,N1808)</f>
        <v>130</v>
      </c>
      <c r="N1808" s="8">
        <v>130</v>
      </c>
    </row>
    <row r="1809" spans="1:14">
      <c r="A1809" s="8">
        <f t="shared" si="2900"/>
        <v>20019</v>
      </c>
      <c r="B1809" s="8">
        <v>40000</v>
      </c>
      <c r="C1809" s="8" t="s">
        <v>298</v>
      </c>
      <c r="D1809" s="8">
        <v>40700041</v>
      </c>
      <c r="E1809" s="8"/>
      <c r="F1809" s="8">
        <v>1</v>
      </c>
      <c r="G1809" s="7">
        <v>219000</v>
      </c>
      <c r="H1809" s="8" t="s">
        <v>299</v>
      </c>
      <c r="I1809" s="8">
        <v>6</v>
      </c>
      <c r="J1809" s="8">
        <v>50</v>
      </c>
      <c r="K1809" s="7" t="s">
        <v>312</v>
      </c>
      <c r="L1809" s="8">
        <v>64</v>
      </c>
      <c r="M1809" s="7">
        <f>IF(INDEX([1]equip.xml!$B:$B,MATCH(D1809&amp;"",[1]equip.xml!$A:$A,0))=0,0,N1809)</f>
        <v>0</v>
      </c>
      <c r="N1809" s="8">
        <v>130</v>
      </c>
    </row>
    <row r="1810" spans="1:14">
      <c r="A1810" s="8">
        <f t="shared" si="2900"/>
        <v>20019</v>
      </c>
      <c r="B1810" s="8">
        <v>40000</v>
      </c>
      <c r="C1810" s="8" t="s">
        <v>298</v>
      </c>
      <c r="D1810" s="8">
        <v>40700070</v>
      </c>
      <c r="E1810" s="8"/>
      <c r="F1810" s="8">
        <v>1</v>
      </c>
      <c r="G1810" s="7">
        <v>210000</v>
      </c>
      <c r="H1810" s="8" t="s">
        <v>299</v>
      </c>
      <c r="I1810" s="8">
        <v>6</v>
      </c>
      <c r="J1810" s="8">
        <v>50</v>
      </c>
      <c r="K1810" s="7" t="s">
        <v>312</v>
      </c>
      <c r="L1810" s="8">
        <v>64</v>
      </c>
      <c r="M1810" s="7">
        <f>IF(INDEX([1]equip.xml!$B:$B,MATCH(D1810&amp;"",[1]equip.xml!$A:$A,0))=0,0,N1810)</f>
        <v>130</v>
      </c>
      <c r="N1810" s="8">
        <v>130</v>
      </c>
    </row>
    <row r="1811" spans="1:14">
      <c r="A1811" s="8">
        <f t="shared" si="2900"/>
        <v>20019</v>
      </c>
      <c r="B1811" s="8">
        <v>40000</v>
      </c>
      <c r="C1811" s="8" t="s">
        <v>298</v>
      </c>
      <c r="D1811" s="8">
        <v>40700071</v>
      </c>
      <c r="E1811" s="8"/>
      <c r="F1811" s="8">
        <v>1</v>
      </c>
      <c r="G1811" s="7">
        <v>219000</v>
      </c>
      <c r="H1811" s="8" t="s">
        <v>299</v>
      </c>
      <c r="I1811" s="8">
        <v>6</v>
      </c>
      <c r="J1811" s="8">
        <v>50</v>
      </c>
      <c r="K1811" s="7" t="s">
        <v>312</v>
      </c>
      <c r="L1811" s="8">
        <v>64</v>
      </c>
      <c r="M1811" s="7">
        <f>IF(INDEX([1]equip.xml!$B:$B,MATCH(D1811&amp;"",[1]equip.xml!$A:$A,0))=0,0,N1811)</f>
        <v>0</v>
      </c>
      <c r="N1811" s="8">
        <v>130</v>
      </c>
    </row>
    <row r="1812" spans="1:14">
      <c r="A1812" s="8">
        <f t="shared" si="2900"/>
        <v>20019</v>
      </c>
      <c r="B1812" s="8">
        <v>40000</v>
      </c>
      <c r="C1812" s="8" t="s">
        <v>298</v>
      </c>
      <c r="D1812" s="8">
        <f>D1790+50000</f>
        <v>40750010</v>
      </c>
      <c r="E1812" s="8"/>
      <c r="F1812" s="8">
        <v>1</v>
      </c>
      <c r="G1812" s="7">
        <v>228000</v>
      </c>
      <c r="H1812" s="8" t="s">
        <v>299</v>
      </c>
      <c r="I1812" s="8">
        <v>6</v>
      </c>
      <c r="J1812" s="8">
        <v>50</v>
      </c>
      <c r="K1812" s="7" t="s">
        <v>312</v>
      </c>
      <c r="L1812" s="8">
        <v>64</v>
      </c>
      <c r="M1812" s="7">
        <f>IF(INDEX([1]equip.xml!$B:$B,MATCH(D1812,[1]equip.xml!$A:$A,0))=0,0,N1812)</f>
        <v>60</v>
      </c>
      <c r="N1812" s="8">
        <v>60</v>
      </c>
    </row>
    <row r="1813" spans="1:14">
      <c r="A1813" s="8">
        <f t="shared" si="2900"/>
        <v>20019</v>
      </c>
      <c r="B1813" s="8">
        <v>40000</v>
      </c>
      <c r="C1813" s="8" t="s">
        <v>298</v>
      </c>
      <c r="D1813" s="8">
        <f t="shared" ref="D1813:D1833" si="2901">D1791+50000</f>
        <v>40750020</v>
      </c>
      <c r="E1813" s="8"/>
      <c r="F1813" s="8">
        <v>1</v>
      </c>
      <c r="G1813" s="7">
        <v>228000</v>
      </c>
      <c r="H1813" s="8" t="s">
        <v>299</v>
      </c>
      <c r="I1813" s="8">
        <v>6</v>
      </c>
      <c r="J1813" s="8">
        <v>50</v>
      </c>
      <c r="K1813" s="7" t="s">
        <v>312</v>
      </c>
      <c r="L1813" s="8">
        <v>64</v>
      </c>
      <c r="M1813" s="7">
        <f>IF(INDEX([1]equip.xml!$B:$B,MATCH(D1813,[1]equip.xml!$A:$A,0))=0,0,N1813)</f>
        <v>60</v>
      </c>
      <c r="N1813" s="8">
        <v>60</v>
      </c>
    </row>
    <row r="1814" spans="1:14">
      <c r="A1814" s="8">
        <f t="shared" si="2900"/>
        <v>20019</v>
      </c>
      <c r="B1814" s="8">
        <v>40000</v>
      </c>
      <c r="C1814" s="8" t="s">
        <v>298</v>
      </c>
      <c r="D1814" s="8">
        <f t="shared" si="2901"/>
        <v>40750030</v>
      </c>
      <c r="E1814" s="8"/>
      <c r="F1814" s="8">
        <v>1</v>
      </c>
      <c r="G1814" s="7">
        <v>228000</v>
      </c>
      <c r="H1814" s="8" t="s">
        <v>299</v>
      </c>
      <c r="I1814" s="8">
        <v>6</v>
      </c>
      <c r="J1814" s="8">
        <v>50</v>
      </c>
      <c r="K1814" s="7" t="s">
        <v>312</v>
      </c>
      <c r="L1814" s="8">
        <v>64</v>
      </c>
      <c r="M1814" s="7">
        <f>IF(INDEX([1]equip.xml!$B:$B,MATCH(D1814,[1]equip.xml!$A:$A,0))=0,0,N1814)</f>
        <v>60</v>
      </c>
      <c r="N1814" s="8">
        <v>60</v>
      </c>
    </row>
    <row r="1815" spans="1:14">
      <c r="A1815" s="8">
        <f t="shared" si="2900"/>
        <v>20019</v>
      </c>
      <c r="B1815" s="8">
        <v>40000</v>
      </c>
      <c r="C1815" s="8" t="s">
        <v>298</v>
      </c>
      <c r="D1815" s="8">
        <f t="shared" si="2901"/>
        <v>40750080</v>
      </c>
      <c r="E1815" s="8"/>
      <c r="F1815" s="8">
        <v>1</v>
      </c>
      <c r="G1815" s="7">
        <v>228000</v>
      </c>
      <c r="H1815" s="8" t="s">
        <v>299</v>
      </c>
      <c r="I1815" s="8">
        <v>6</v>
      </c>
      <c r="J1815" s="8">
        <v>50</v>
      </c>
      <c r="K1815" s="7" t="s">
        <v>312</v>
      </c>
      <c r="L1815" s="8">
        <v>64</v>
      </c>
      <c r="M1815" s="7">
        <f>IF(INDEX([1]equip.xml!$B:$B,MATCH(D1815,[1]equip.xml!$A:$A,0))=0,0,N1815)</f>
        <v>60</v>
      </c>
      <c r="N1815" s="8">
        <v>60</v>
      </c>
    </row>
    <row r="1816" spans="1:14">
      <c r="A1816" s="8">
        <f t="shared" si="2900"/>
        <v>20019</v>
      </c>
      <c r="B1816" s="8">
        <v>40000</v>
      </c>
      <c r="C1816" s="8" t="s">
        <v>298</v>
      </c>
      <c r="D1816" s="8">
        <f t="shared" si="2901"/>
        <v>40750090</v>
      </c>
      <c r="E1816" s="8"/>
      <c r="F1816" s="8">
        <v>1</v>
      </c>
      <c r="G1816" s="7">
        <v>228000</v>
      </c>
      <c r="H1816" s="8" t="s">
        <v>299</v>
      </c>
      <c r="I1816" s="8">
        <v>6</v>
      </c>
      <c r="J1816" s="8">
        <v>50</v>
      </c>
      <c r="K1816" s="7" t="s">
        <v>312</v>
      </c>
      <c r="L1816" s="8">
        <v>64</v>
      </c>
      <c r="M1816" s="7">
        <f>IF(INDEX([1]equip.xml!$B:$B,MATCH(D1816,[1]equip.xml!$A:$A,0))=0,0,N1816)</f>
        <v>60</v>
      </c>
      <c r="N1816" s="8">
        <v>60</v>
      </c>
    </row>
    <row r="1817" spans="1:14">
      <c r="A1817" s="8">
        <f t="shared" si="2900"/>
        <v>20019</v>
      </c>
      <c r="B1817" s="8">
        <v>40000</v>
      </c>
      <c r="C1817" s="8" t="s">
        <v>298</v>
      </c>
      <c r="D1817" s="8">
        <f t="shared" si="2901"/>
        <v>40750100</v>
      </c>
      <c r="E1817" s="8"/>
      <c r="F1817" s="8">
        <v>1</v>
      </c>
      <c r="G1817" s="7">
        <v>228000</v>
      </c>
      <c r="H1817" s="8" t="s">
        <v>299</v>
      </c>
      <c r="I1817" s="8">
        <v>6</v>
      </c>
      <c r="J1817" s="8">
        <v>50</v>
      </c>
      <c r="K1817" s="7" t="s">
        <v>312</v>
      </c>
      <c r="L1817" s="8">
        <v>64</v>
      </c>
      <c r="M1817" s="7">
        <f>IF(INDEX([1]equip.xml!$B:$B,MATCH(D1817,[1]equip.xml!$A:$A,0))=0,0,N1817)</f>
        <v>60</v>
      </c>
      <c r="N1817" s="8">
        <v>60</v>
      </c>
    </row>
    <row r="1818" spans="1:14">
      <c r="A1818" s="8">
        <f t="shared" si="2900"/>
        <v>20019</v>
      </c>
      <c r="B1818" s="8">
        <v>40000</v>
      </c>
      <c r="C1818" s="8" t="s">
        <v>298</v>
      </c>
      <c r="D1818" s="8">
        <f t="shared" si="2901"/>
        <v>40751050</v>
      </c>
      <c r="E1818" s="8"/>
      <c r="F1818" s="8">
        <v>1</v>
      </c>
      <c r="G1818" s="7">
        <v>228000</v>
      </c>
      <c r="H1818" s="8" t="s">
        <v>299</v>
      </c>
      <c r="I1818" s="8">
        <v>6</v>
      </c>
      <c r="J1818" s="8">
        <v>50</v>
      </c>
      <c r="K1818" s="7" t="s">
        <v>312</v>
      </c>
      <c r="L1818" s="8">
        <v>64</v>
      </c>
      <c r="M1818" s="7">
        <f>IF(INDEX([1]equip.xml!$B:$B,MATCH(D1818,[1]equip.xml!$A:$A,0))=0,0,N1818)</f>
        <v>60</v>
      </c>
      <c r="N1818" s="8">
        <v>60</v>
      </c>
    </row>
    <row r="1819" spans="1:14">
      <c r="A1819" s="8">
        <f t="shared" si="2900"/>
        <v>20019</v>
      </c>
      <c r="B1819" s="8">
        <v>40000</v>
      </c>
      <c r="C1819" s="8" t="s">
        <v>298</v>
      </c>
      <c r="D1819" s="8">
        <f t="shared" si="2901"/>
        <v>40751051</v>
      </c>
      <c r="E1819" s="8"/>
      <c r="F1819" s="8">
        <v>1</v>
      </c>
      <c r="G1819" s="7">
        <v>237000</v>
      </c>
      <c r="H1819" s="8" t="s">
        <v>299</v>
      </c>
      <c r="I1819" s="8">
        <v>6</v>
      </c>
      <c r="J1819" s="8">
        <v>50</v>
      </c>
      <c r="K1819" s="7" t="s">
        <v>312</v>
      </c>
      <c r="L1819" s="8">
        <v>64</v>
      </c>
      <c r="M1819" s="7">
        <f>IF(INDEX([1]equip.xml!$B:$B,MATCH(D1819,[1]equip.xml!$A:$A,0))=0,0,N1819)</f>
        <v>60</v>
      </c>
      <c r="N1819" s="8">
        <v>60</v>
      </c>
    </row>
    <row r="1820" spans="1:14">
      <c r="A1820" s="8">
        <f t="shared" si="2900"/>
        <v>20019</v>
      </c>
      <c r="B1820" s="8">
        <v>40000</v>
      </c>
      <c r="C1820" s="8" t="s">
        <v>298</v>
      </c>
      <c r="D1820" s="8">
        <f t="shared" si="2901"/>
        <v>40751060</v>
      </c>
      <c r="E1820" s="8"/>
      <c r="F1820" s="8">
        <v>1</v>
      </c>
      <c r="G1820" s="7">
        <v>228000</v>
      </c>
      <c r="H1820" s="8" t="s">
        <v>299</v>
      </c>
      <c r="I1820" s="8">
        <v>6</v>
      </c>
      <c r="J1820" s="8">
        <v>50</v>
      </c>
      <c r="K1820" s="7" t="s">
        <v>312</v>
      </c>
      <c r="L1820" s="8">
        <v>64</v>
      </c>
      <c r="M1820" s="7">
        <f>IF(INDEX([1]equip.xml!$B:$B,MATCH(D1820,[1]equip.xml!$A:$A,0))=0,0,N1820)</f>
        <v>60</v>
      </c>
      <c r="N1820" s="8">
        <v>60</v>
      </c>
    </row>
    <row r="1821" spans="1:14">
      <c r="A1821" s="8">
        <f t="shared" si="2900"/>
        <v>20019</v>
      </c>
      <c r="B1821" s="8">
        <v>40000</v>
      </c>
      <c r="C1821" s="8" t="s">
        <v>298</v>
      </c>
      <c r="D1821" s="8">
        <f t="shared" si="2901"/>
        <v>40751061</v>
      </c>
      <c r="E1821" s="8"/>
      <c r="F1821" s="8">
        <v>1</v>
      </c>
      <c r="G1821" s="7">
        <v>237000</v>
      </c>
      <c r="H1821" s="8" t="s">
        <v>299</v>
      </c>
      <c r="I1821" s="8">
        <v>6</v>
      </c>
      <c r="J1821" s="8">
        <v>50</v>
      </c>
      <c r="K1821" s="7" t="s">
        <v>312</v>
      </c>
      <c r="L1821" s="8">
        <v>64</v>
      </c>
      <c r="M1821" s="7">
        <f>IF(INDEX([1]equip.xml!$B:$B,MATCH(D1821,[1]equip.xml!$A:$A,0))=0,0,N1821)</f>
        <v>60</v>
      </c>
      <c r="N1821" s="8">
        <v>60</v>
      </c>
    </row>
    <row r="1822" spans="1:14">
      <c r="A1822" s="8">
        <f t="shared" si="2900"/>
        <v>20019</v>
      </c>
      <c r="B1822" s="8">
        <v>40000</v>
      </c>
      <c r="C1822" s="8" t="s">
        <v>298</v>
      </c>
      <c r="D1822" s="8">
        <f t="shared" si="2901"/>
        <v>40752050</v>
      </c>
      <c r="E1822" s="8"/>
      <c r="F1822" s="8">
        <v>1</v>
      </c>
      <c r="G1822" s="7">
        <v>228000</v>
      </c>
      <c r="H1822" s="8" t="s">
        <v>299</v>
      </c>
      <c r="I1822" s="8">
        <v>6</v>
      </c>
      <c r="J1822" s="8">
        <v>50</v>
      </c>
      <c r="K1822" s="7" t="s">
        <v>312</v>
      </c>
      <c r="L1822" s="8">
        <v>64</v>
      </c>
      <c r="M1822" s="7">
        <f>IF(INDEX([1]equip.xml!$B:$B,MATCH(D1822,[1]equip.xml!$A:$A,0))=0,0,N1822)</f>
        <v>60</v>
      </c>
      <c r="N1822" s="8">
        <v>60</v>
      </c>
    </row>
    <row r="1823" spans="1:14">
      <c r="A1823" s="8">
        <f t="shared" si="2900"/>
        <v>20019</v>
      </c>
      <c r="B1823" s="8">
        <v>40000</v>
      </c>
      <c r="C1823" s="8" t="s">
        <v>298</v>
      </c>
      <c r="D1823" s="8">
        <f t="shared" si="2901"/>
        <v>40752051</v>
      </c>
      <c r="E1823" s="8"/>
      <c r="F1823" s="8">
        <v>1</v>
      </c>
      <c r="G1823" s="7">
        <v>237000</v>
      </c>
      <c r="H1823" s="8" t="s">
        <v>299</v>
      </c>
      <c r="I1823" s="8">
        <v>6</v>
      </c>
      <c r="J1823" s="8">
        <v>50</v>
      </c>
      <c r="K1823" s="7" t="s">
        <v>312</v>
      </c>
      <c r="L1823" s="8">
        <v>64</v>
      </c>
      <c r="M1823" s="7">
        <f>IF(INDEX([1]equip.xml!$B:$B,MATCH(D1823,[1]equip.xml!$A:$A,0))=0,0,N1823)</f>
        <v>60</v>
      </c>
      <c r="N1823" s="8">
        <v>60</v>
      </c>
    </row>
    <row r="1824" spans="1:14">
      <c r="A1824" s="8">
        <f t="shared" si="2900"/>
        <v>20019</v>
      </c>
      <c r="B1824" s="8">
        <v>40000</v>
      </c>
      <c r="C1824" s="8" t="s">
        <v>298</v>
      </c>
      <c r="D1824" s="8">
        <f t="shared" si="2901"/>
        <v>40752060</v>
      </c>
      <c r="E1824" s="8"/>
      <c r="F1824" s="8">
        <v>1</v>
      </c>
      <c r="G1824" s="7">
        <v>228000</v>
      </c>
      <c r="H1824" s="8" t="s">
        <v>299</v>
      </c>
      <c r="I1824" s="8">
        <v>6</v>
      </c>
      <c r="J1824" s="8">
        <v>50</v>
      </c>
      <c r="K1824" s="7" t="s">
        <v>312</v>
      </c>
      <c r="L1824" s="8">
        <v>64</v>
      </c>
      <c r="M1824" s="7">
        <f>IF(INDEX([1]equip.xml!$B:$B,MATCH(D1824,[1]equip.xml!$A:$A,0))=0,0,N1824)</f>
        <v>60</v>
      </c>
      <c r="N1824" s="8">
        <v>60</v>
      </c>
    </row>
    <row r="1825" spans="1:14">
      <c r="A1825" s="8">
        <f t="shared" si="2900"/>
        <v>20019</v>
      </c>
      <c r="B1825" s="8">
        <v>40000</v>
      </c>
      <c r="C1825" s="8" t="s">
        <v>298</v>
      </c>
      <c r="D1825" s="8">
        <f t="shared" si="2901"/>
        <v>40752061</v>
      </c>
      <c r="E1825" s="8"/>
      <c r="F1825" s="8">
        <v>1</v>
      </c>
      <c r="G1825" s="7">
        <v>237000</v>
      </c>
      <c r="H1825" s="8" t="s">
        <v>299</v>
      </c>
      <c r="I1825" s="8">
        <v>6</v>
      </c>
      <c r="J1825" s="8">
        <v>50</v>
      </c>
      <c r="K1825" s="7" t="s">
        <v>312</v>
      </c>
      <c r="L1825" s="8">
        <v>64</v>
      </c>
      <c r="M1825" s="7">
        <f>IF(INDEX([1]equip.xml!$B:$B,MATCH(D1825,[1]equip.xml!$A:$A,0))=0,0,N1825)</f>
        <v>60</v>
      </c>
      <c r="N1825" s="8">
        <v>60</v>
      </c>
    </row>
    <row r="1826" spans="1:14">
      <c r="A1826" s="8">
        <f t="shared" si="2900"/>
        <v>20019</v>
      </c>
      <c r="B1826" s="8">
        <v>40000</v>
      </c>
      <c r="C1826" s="8" t="s">
        <v>298</v>
      </c>
      <c r="D1826" s="8">
        <f t="shared" si="2901"/>
        <v>40753050</v>
      </c>
      <c r="E1826" s="8"/>
      <c r="F1826" s="8">
        <v>1</v>
      </c>
      <c r="G1826" s="7">
        <v>228000</v>
      </c>
      <c r="H1826" s="8" t="s">
        <v>299</v>
      </c>
      <c r="I1826" s="8">
        <v>6</v>
      </c>
      <c r="J1826" s="8">
        <v>50</v>
      </c>
      <c r="K1826" s="7" t="s">
        <v>312</v>
      </c>
      <c r="L1826" s="8">
        <v>64</v>
      </c>
      <c r="M1826" s="7">
        <f>IF(INDEX([1]equip.xml!$B:$B,MATCH(D1826,[1]equip.xml!$A:$A,0))=0,0,N1826)</f>
        <v>60</v>
      </c>
      <c r="N1826" s="8">
        <v>60</v>
      </c>
    </row>
    <row r="1827" spans="1:14">
      <c r="A1827" s="8">
        <f t="shared" si="2900"/>
        <v>20019</v>
      </c>
      <c r="B1827" s="8">
        <v>40000</v>
      </c>
      <c r="C1827" s="8" t="s">
        <v>298</v>
      </c>
      <c r="D1827" s="8">
        <f>D1805+50000</f>
        <v>40753051</v>
      </c>
      <c r="E1827" s="8"/>
      <c r="F1827" s="8">
        <v>1</v>
      </c>
      <c r="G1827" s="7">
        <v>237000</v>
      </c>
      <c r="H1827" s="8" t="s">
        <v>299</v>
      </c>
      <c r="I1827" s="8">
        <v>6</v>
      </c>
      <c r="J1827" s="8">
        <v>50</v>
      </c>
      <c r="K1827" s="7" t="s">
        <v>312</v>
      </c>
      <c r="L1827" s="8">
        <v>64</v>
      </c>
      <c r="M1827" s="7">
        <f>IF(INDEX([1]equip.xml!$B:$B,MATCH(D1827,[1]equip.xml!$A:$A,0))=0,0,N1827)</f>
        <v>60</v>
      </c>
      <c r="N1827" s="8">
        <v>60</v>
      </c>
    </row>
    <row r="1828" spans="1:14">
      <c r="A1828" s="8">
        <f t="shared" si="2900"/>
        <v>20019</v>
      </c>
      <c r="B1828" s="8">
        <v>40000</v>
      </c>
      <c r="C1828" s="8" t="s">
        <v>298</v>
      </c>
      <c r="D1828" s="8">
        <f t="shared" si="2901"/>
        <v>40753060</v>
      </c>
      <c r="E1828" s="8"/>
      <c r="F1828" s="8">
        <v>1</v>
      </c>
      <c r="G1828" s="7">
        <v>228000</v>
      </c>
      <c r="H1828" s="8" t="s">
        <v>299</v>
      </c>
      <c r="I1828" s="8">
        <v>6</v>
      </c>
      <c r="J1828" s="8">
        <v>50</v>
      </c>
      <c r="K1828" s="7" t="s">
        <v>312</v>
      </c>
      <c r="L1828" s="8">
        <v>64</v>
      </c>
      <c r="M1828" s="7">
        <f>IF(INDEX([1]equip.xml!$B:$B,MATCH(D1828,[1]equip.xml!$A:$A,0))=0,0,N1828)</f>
        <v>60</v>
      </c>
      <c r="N1828" s="8">
        <v>60</v>
      </c>
    </row>
    <row r="1829" spans="1:14">
      <c r="A1829" s="8">
        <f t="shared" si="2900"/>
        <v>20019</v>
      </c>
      <c r="B1829" s="8">
        <v>40000</v>
      </c>
      <c r="C1829" s="8" t="s">
        <v>298</v>
      </c>
      <c r="D1829" s="8">
        <f t="shared" si="2901"/>
        <v>40753061</v>
      </c>
      <c r="E1829" s="8"/>
      <c r="F1829" s="8">
        <v>1</v>
      </c>
      <c r="G1829" s="7">
        <v>237000</v>
      </c>
      <c r="H1829" s="8" t="s">
        <v>299</v>
      </c>
      <c r="I1829" s="8">
        <v>6</v>
      </c>
      <c r="J1829" s="8">
        <v>50</v>
      </c>
      <c r="K1829" s="7" t="s">
        <v>312</v>
      </c>
      <c r="L1829" s="8">
        <v>64</v>
      </c>
      <c r="M1829" s="7">
        <f>IF(INDEX([1]equip.xml!$B:$B,MATCH(D1829,[1]equip.xml!$A:$A,0))=0,0,N1829)</f>
        <v>60</v>
      </c>
      <c r="N1829" s="8">
        <v>60</v>
      </c>
    </row>
    <row r="1830" spans="1:14">
      <c r="A1830" s="8">
        <f t="shared" si="2900"/>
        <v>20019</v>
      </c>
      <c r="B1830" s="8">
        <v>40000</v>
      </c>
      <c r="C1830" s="8" t="s">
        <v>298</v>
      </c>
      <c r="D1830" s="8">
        <f t="shared" si="2901"/>
        <v>40750040</v>
      </c>
      <c r="E1830" s="8"/>
      <c r="F1830" s="8">
        <v>1</v>
      </c>
      <c r="G1830" s="7">
        <v>228000</v>
      </c>
      <c r="H1830" s="8" t="s">
        <v>299</v>
      </c>
      <c r="I1830" s="8">
        <v>6</v>
      </c>
      <c r="J1830" s="8">
        <v>50</v>
      </c>
      <c r="K1830" s="7" t="s">
        <v>312</v>
      </c>
      <c r="L1830" s="8">
        <v>64</v>
      </c>
      <c r="M1830" s="7">
        <f>IF(INDEX([1]equip.xml!$B:$B,MATCH(D1830,[1]equip.xml!$A:$A,0))=0,0,N1830)</f>
        <v>60</v>
      </c>
      <c r="N1830" s="8">
        <v>60</v>
      </c>
    </row>
    <row r="1831" spans="1:14">
      <c r="A1831" s="8">
        <f t="shared" si="2900"/>
        <v>20019</v>
      </c>
      <c r="B1831" s="8">
        <v>40000</v>
      </c>
      <c r="C1831" s="8" t="s">
        <v>298</v>
      </c>
      <c r="D1831" s="8">
        <f>D1809+50000</f>
        <v>40750041</v>
      </c>
      <c r="E1831" s="8"/>
      <c r="F1831" s="8">
        <v>1</v>
      </c>
      <c r="G1831" s="7">
        <v>237000</v>
      </c>
      <c r="H1831" s="8" t="s">
        <v>299</v>
      </c>
      <c r="I1831" s="8">
        <v>6</v>
      </c>
      <c r="J1831" s="8">
        <v>50</v>
      </c>
      <c r="K1831" s="7" t="s">
        <v>312</v>
      </c>
      <c r="L1831" s="8">
        <v>64</v>
      </c>
      <c r="M1831" s="7">
        <f>IF(INDEX([1]equip.xml!$B:$B,MATCH(D1831,[1]equip.xml!$A:$A,0))=0,0,N1831)</f>
        <v>60</v>
      </c>
      <c r="N1831" s="8">
        <v>60</v>
      </c>
    </row>
    <row r="1832" spans="1:14">
      <c r="A1832" s="8">
        <f t="shared" si="2900"/>
        <v>20019</v>
      </c>
      <c r="B1832" s="8">
        <v>40000</v>
      </c>
      <c r="C1832" s="8" t="s">
        <v>298</v>
      </c>
      <c r="D1832" s="8">
        <f t="shared" si="2901"/>
        <v>40750070</v>
      </c>
      <c r="E1832" s="8"/>
      <c r="F1832" s="8">
        <v>1</v>
      </c>
      <c r="G1832" s="7">
        <v>228000</v>
      </c>
      <c r="H1832" s="8" t="s">
        <v>299</v>
      </c>
      <c r="I1832" s="8">
        <v>6</v>
      </c>
      <c r="J1832" s="8">
        <v>50</v>
      </c>
      <c r="K1832" s="7" t="s">
        <v>312</v>
      </c>
      <c r="L1832" s="8">
        <v>64</v>
      </c>
      <c r="M1832" s="7">
        <f>IF(INDEX([1]equip.xml!$B:$B,MATCH(D1832,[1]equip.xml!$A:$A,0))=0,0,N1832)</f>
        <v>60</v>
      </c>
      <c r="N1832" s="8">
        <v>60</v>
      </c>
    </row>
    <row r="1833" spans="1:14">
      <c r="A1833" s="8">
        <f t="shared" si="2900"/>
        <v>20019</v>
      </c>
      <c r="B1833" s="8">
        <v>40000</v>
      </c>
      <c r="C1833" s="8" t="s">
        <v>298</v>
      </c>
      <c r="D1833" s="8">
        <f t="shared" si="2901"/>
        <v>40750071</v>
      </c>
      <c r="E1833" s="8"/>
      <c r="F1833" s="8">
        <v>1</v>
      </c>
      <c r="G1833" s="7">
        <v>237000</v>
      </c>
      <c r="H1833" s="8" t="s">
        <v>299</v>
      </c>
      <c r="I1833" s="8">
        <v>6</v>
      </c>
      <c r="J1833" s="8">
        <v>50</v>
      </c>
      <c r="K1833" s="7" t="s">
        <v>312</v>
      </c>
      <c r="L1833" s="8">
        <v>64</v>
      </c>
      <c r="M1833" s="7">
        <f>IF(INDEX([1]equip.xml!$B:$B,MATCH(D1833,[1]equip.xml!$A:$A,0))=0,0,N1833)</f>
        <v>60</v>
      </c>
      <c r="N1833" s="8">
        <v>60</v>
      </c>
    </row>
    <row r="1834" spans="1:14">
      <c r="A1834" s="8">
        <f t="shared" si="2900"/>
        <v>20019</v>
      </c>
      <c r="B1834" s="8">
        <v>40000</v>
      </c>
      <c r="C1834" s="8" t="s">
        <v>298</v>
      </c>
      <c r="D1834" s="7">
        <f>D1790+10000005</f>
        <v>50700015</v>
      </c>
      <c r="E1834" s="8"/>
      <c r="F1834" s="8">
        <v>1</v>
      </c>
      <c r="G1834" s="7">
        <v>420000</v>
      </c>
      <c r="H1834" s="8" t="s">
        <v>299</v>
      </c>
      <c r="I1834" s="8">
        <v>1</v>
      </c>
      <c r="J1834" s="8">
        <v>240</v>
      </c>
      <c r="K1834" s="7" t="s">
        <v>312</v>
      </c>
      <c r="L1834" s="8">
        <v>64</v>
      </c>
      <c r="M1834" s="7">
        <f>IF(INDEX([1]equip.xml!$B:$B,MATCH(D1834,[1]equip.xml!$A:$A,0))=0,0,N1834)</f>
        <v>130</v>
      </c>
      <c r="N1834" s="8">
        <f>N1790</f>
        <v>130</v>
      </c>
    </row>
    <row r="1835" spans="1:14">
      <c r="A1835" s="8">
        <f t="shared" si="2900"/>
        <v>20019</v>
      </c>
      <c r="B1835" s="8">
        <v>40000</v>
      </c>
      <c r="C1835" s="8" t="s">
        <v>298</v>
      </c>
      <c r="D1835" s="7">
        <f t="shared" ref="D1835:D1877" si="2902">D1791+10000005</f>
        <v>50700025</v>
      </c>
      <c r="E1835" s="8"/>
      <c r="F1835" s="8">
        <v>1</v>
      </c>
      <c r="G1835" s="7">
        <v>420000</v>
      </c>
      <c r="H1835" s="8" t="s">
        <v>299</v>
      </c>
      <c r="I1835" s="8">
        <v>1</v>
      </c>
      <c r="J1835" s="8">
        <v>240</v>
      </c>
      <c r="K1835" s="7" t="s">
        <v>312</v>
      </c>
      <c r="L1835" s="8">
        <v>64</v>
      </c>
      <c r="M1835" s="7">
        <f>IF(INDEX([1]equip.xml!$B:$B,MATCH(D1835,[1]equip.xml!$A:$A,0))=0,0,N1835)</f>
        <v>130</v>
      </c>
      <c r="N1835" s="8">
        <f t="shared" ref="N1835:N1898" si="2903">N1791</f>
        <v>130</v>
      </c>
    </row>
    <row r="1836" spans="1:14">
      <c r="A1836" s="8">
        <f t="shared" si="2900"/>
        <v>20019</v>
      </c>
      <c r="B1836" s="8">
        <v>40000</v>
      </c>
      <c r="C1836" s="8" t="s">
        <v>298</v>
      </c>
      <c r="D1836" s="7">
        <f t="shared" si="2902"/>
        <v>50700035</v>
      </c>
      <c r="E1836" s="8"/>
      <c r="F1836" s="8">
        <v>1</v>
      </c>
      <c r="G1836" s="7">
        <v>420000</v>
      </c>
      <c r="H1836" s="8" t="s">
        <v>299</v>
      </c>
      <c r="I1836" s="8">
        <v>1</v>
      </c>
      <c r="J1836" s="8">
        <v>240</v>
      </c>
      <c r="K1836" s="7" t="s">
        <v>312</v>
      </c>
      <c r="L1836" s="8">
        <v>64</v>
      </c>
      <c r="M1836" s="7">
        <f>IF(INDEX([1]equip.xml!$B:$B,MATCH(D1836,[1]equip.xml!$A:$A,0))=0,0,N1836)</f>
        <v>130</v>
      </c>
      <c r="N1836" s="8">
        <f t="shared" si="2903"/>
        <v>130</v>
      </c>
    </row>
    <row r="1837" spans="1:14">
      <c r="A1837" s="8">
        <f t="shared" si="2900"/>
        <v>20019</v>
      </c>
      <c r="B1837" s="8">
        <v>40000</v>
      </c>
      <c r="C1837" s="8" t="s">
        <v>298</v>
      </c>
      <c r="D1837" s="7">
        <f t="shared" si="2902"/>
        <v>50700085</v>
      </c>
      <c r="E1837" s="8"/>
      <c r="F1837" s="8">
        <v>1</v>
      </c>
      <c r="G1837" s="7">
        <v>420000</v>
      </c>
      <c r="H1837" s="8" t="s">
        <v>299</v>
      </c>
      <c r="I1837" s="8">
        <v>1</v>
      </c>
      <c r="J1837" s="8">
        <v>240</v>
      </c>
      <c r="K1837" s="7" t="s">
        <v>312</v>
      </c>
      <c r="L1837" s="8">
        <v>64</v>
      </c>
      <c r="M1837" s="7">
        <f>IF(INDEX([1]equip.xml!$B:$B,MATCH(D1837,[1]equip.xml!$A:$A,0))=0,0,N1837)</f>
        <v>130</v>
      </c>
      <c r="N1837" s="8">
        <f t="shared" si="2903"/>
        <v>130</v>
      </c>
    </row>
    <row r="1838" spans="1:14">
      <c r="A1838" s="8">
        <f t="shared" si="2900"/>
        <v>20019</v>
      </c>
      <c r="B1838" s="8">
        <v>40000</v>
      </c>
      <c r="C1838" s="8" t="s">
        <v>298</v>
      </c>
      <c r="D1838" s="7">
        <f t="shared" si="2902"/>
        <v>50700095</v>
      </c>
      <c r="E1838" s="8"/>
      <c r="F1838" s="8">
        <v>1</v>
      </c>
      <c r="G1838" s="7">
        <v>420000</v>
      </c>
      <c r="H1838" s="8" t="s">
        <v>299</v>
      </c>
      <c r="I1838" s="8">
        <v>1</v>
      </c>
      <c r="J1838" s="8">
        <v>240</v>
      </c>
      <c r="K1838" s="7" t="s">
        <v>312</v>
      </c>
      <c r="L1838" s="8">
        <v>64</v>
      </c>
      <c r="M1838" s="7">
        <f>IF(INDEX([1]equip.xml!$B:$B,MATCH(D1838,[1]equip.xml!$A:$A,0))=0,0,N1838)</f>
        <v>130</v>
      </c>
      <c r="N1838" s="8">
        <f t="shared" si="2903"/>
        <v>130</v>
      </c>
    </row>
    <row r="1839" spans="1:14">
      <c r="A1839" s="8">
        <f t="shared" si="2900"/>
        <v>20019</v>
      </c>
      <c r="B1839" s="8">
        <v>40000</v>
      </c>
      <c r="C1839" s="8" t="s">
        <v>298</v>
      </c>
      <c r="D1839" s="7">
        <f t="shared" si="2902"/>
        <v>50700105</v>
      </c>
      <c r="E1839" s="8"/>
      <c r="F1839" s="8">
        <v>1</v>
      </c>
      <c r="G1839" s="7">
        <v>420000</v>
      </c>
      <c r="H1839" s="8" t="s">
        <v>299</v>
      </c>
      <c r="I1839" s="8">
        <v>1</v>
      </c>
      <c r="J1839" s="8">
        <v>240</v>
      </c>
      <c r="K1839" s="7" t="s">
        <v>312</v>
      </c>
      <c r="L1839" s="8">
        <v>64</v>
      </c>
      <c r="M1839" s="7">
        <f>IF(INDEX([1]equip.xml!$B:$B,MATCH(D1839,[1]equip.xml!$A:$A,0))=0,0,N1839)</f>
        <v>130</v>
      </c>
      <c r="N1839" s="8">
        <f t="shared" si="2903"/>
        <v>130</v>
      </c>
    </row>
    <row r="1840" spans="1:14">
      <c r="A1840" s="8">
        <f t="shared" si="2900"/>
        <v>20019</v>
      </c>
      <c r="B1840" s="8">
        <v>40000</v>
      </c>
      <c r="C1840" s="8" t="s">
        <v>298</v>
      </c>
      <c r="D1840" s="7">
        <f t="shared" si="2902"/>
        <v>50701055</v>
      </c>
      <c r="E1840" s="8"/>
      <c r="F1840" s="8">
        <v>1</v>
      </c>
      <c r="G1840" s="7">
        <v>420000</v>
      </c>
      <c r="H1840" s="8" t="s">
        <v>299</v>
      </c>
      <c r="I1840" s="8">
        <v>1</v>
      </c>
      <c r="J1840" s="8">
        <v>240</v>
      </c>
      <c r="K1840" s="7" t="s">
        <v>312</v>
      </c>
      <c r="L1840" s="8">
        <v>64</v>
      </c>
      <c r="M1840" s="7">
        <f>IF(INDEX([1]equip.xml!$B:$B,MATCH(D1840,[1]equip.xml!$A:$A,0))=0,0,N1840)</f>
        <v>130</v>
      </c>
      <c r="N1840" s="8">
        <f t="shared" si="2903"/>
        <v>130</v>
      </c>
    </row>
    <row r="1841" spans="1:14">
      <c r="A1841" s="8">
        <f t="shared" si="2900"/>
        <v>20019</v>
      </c>
      <c r="B1841" s="8">
        <v>40000</v>
      </c>
      <c r="C1841" s="8" t="s">
        <v>298</v>
      </c>
      <c r="D1841" s="7">
        <f t="shared" si="2902"/>
        <v>50701056</v>
      </c>
      <c r="E1841" s="8"/>
      <c r="F1841" s="8">
        <v>1</v>
      </c>
      <c r="G1841" s="7">
        <v>438000</v>
      </c>
      <c r="H1841" s="8" t="s">
        <v>299</v>
      </c>
      <c r="I1841" s="8">
        <v>1</v>
      </c>
      <c r="J1841" s="8">
        <v>240</v>
      </c>
      <c r="K1841" s="7" t="s">
        <v>312</v>
      </c>
      <c r="L1841" s="8">
        <v>64</v>
      </c>
      <c r="M1841" s="7">
        <f>IF(INDEX([1]equip.xml!$B:$B,MATCH(D1841,[1]equip.xml!$A:$A,0))=0,0,N1841)</f>
        <v>0</v>
      </c>
      <c r="N1841" s="8">
        <f t="shared" si="2903"/>
        <v>130</v>
      </c>
    </row>
    <row r="1842" spans="1:14">
      <c r="A1842" s="8">
        <f t="shared" si="2900"/>
        <v>20019</v>
      </c>
      <c r="B1842" s="8">
        <v>40000</v>
      </c>
      <c r="C1842" s="8" t="s">
        <v>298</v>
      </c>
      <c r="D1842" s="7">
        <f t="shared" si="2902"/>
        <v>50701065</v>
      </c>
      <c r="E1842" s="8"/>
      <c r="F1842" s="8">
        <v>1</v>
      </c>
      <c r="G1842" s="7">
        <v>420000</v>
      </c>
      <c r="H1842" s="8" t="s">
        <v>299</v>
      </c>
      <c r="I1842" s="8">
        <v>1</v>
      </c>
      <c r="J1842" s="8">
        <v>240</v>
      </c>
      <c r="K1842" s="7" t="s">
        <v>312</v>
      </c>
      <c r="L1842" s="8">
        <v>64</v>
      </c>
      <c r="M1842" s="7">
        <f>IF(INDEX([1]equip.xml!$B:$B,MATCH(D1842,[1]equip.xml!$A:$A,0))=0,0,N1842)</f>
        <v>130</v>
      </c>
      <c r="N1842" s="8">
        <f t="shared" si="2903"/>
        <v>130</v>
      </c>
    </row>
    <row r="1843" spans="1:14">
      <c r="A1843" s="8">
        <f t="shared" si="2900"/>
        <v>20019</v>
      </c>
      <c r="B1843" s="8">
        <v>40000</v>
      </c>
      <c r="C1843" s="8" t="s">
        <v>298</v>
      </c>
      <c r="D1843" s="7">
        <f t="shared" si="2902"/>
        <v>50701066</v>
      </c>
      <c r="E1843" s="8"/>
      <c r="F1843" s="8">
        <v>1</v>
      </c>
      <c r="G1843" s="7">
        <v>438000</v>
      </c>
      <c r="H1843" s="8" t="s">
        <v>299</v>
      </c>
      <c r="I1843" s="8">
        <v>1</v>
      </c>
      <c r="J1843" s="8">
        <v>240</v>
      </c>
      <c r="K1843" s="7" t="s">
        <v>312</v>
      </c>
      <c r="L1843" s="8">
        <v>64</v>
      </c>
      <c r="M1843" s="7">
        <f>IF(INDEX([1]equip.xml!$B:$B,MATCH(D1843,[1]equip.xml!$A:$A,0))=0,0,N1843)</f>
        <v>0</v>
      </c>
      <c r="N1843" s="8">
        <f t="shared" si="2903"/>
        <v>130</v>
      </c>
    </row>
    <row r="1844" spans="1:14">
      <c r="A1844" s="8">
        <f t="shared" si="2900"/>
        <v>20019</v>
      </c>
      <c r="B1844" s="8">
        <v>40000</v>
      </c>
      <c r="C1844" s="8" t="s">
        <v>298</v>
      </c>
      <c r="D1844" s="7">
        <f t="shared" si="2902"/>
        <v>50702055</v>
      </c>
      <c r="E1844" s="8"/>
      <c r="F1844" s="8">
        <v>1</v>
      </c>
      <c r="G1844" s="7">
        <v>420000</v>
      </c>
      <c r="H1844" s="8" t="s">
        <v>299</v>
      </c>
      <c r="I1844" s="8">
        <v>1</v>
      </c>
      <c r="J1844" s="8">
        <v>240</v>
      </c>
      <c r="K1844" s="7" t="s">
        <v>312</v>
      </c>
      <c r="L1844" s="8">
        <v>64</v>
      </c>
      <c r="M1844" s="7">
        <f>IF(INDEX([1]equip.xml!$B:$B,MATCH(D1844,[1]equip.xml!$A:$A,0))=0,0,N1844)</f>
        <v>130</v>
      </c>
      <c r="N1844" s="8">
        <f t="shared" si="2903"/>
        <v>130</v>
      </c>
    </row>
    <row r="1845" spans="1:14">
      <c r="A1845" s="8">
        <f t="shared" si="2900"/>
        <v>20019</v>
      </c>
      <c r="B1845" s="8">
        <v>40000</v>
      </c>
      <c r="C1845" s="8" t="s">
        <v>298</v>
      </c>
      <c r="D1845" s="7">
        <f t="shared" si="2902"/>
        <v>50702056</v>
      </c>
      <c r="E1845" s="8"/>
      <c r="F1845" s="8">
        <v>1</v>
      </c>
      <c r="G1845" s="7">
        <v>438000</v>
      </c>
      <c r="H1845" s="8" t="s">
        <v>299</v>
      </c>
      <c r="I1845" s="8">
        <v>1</v>
      </c>
      <c r="J1845" s="8">
        <v>240</v>
      </c>
      <c r="K1845" s="7" t="s">
        <v>312</v>
      </c>
      <c r="L1845" s="8">
        <v>64</v>
      </c>
      <c r="M1845" s="7">
        <f>IF(INDEX([1]equip.xml!$B:$B,MATCH(D1845,[1]equip.xml!$A:$A,0))=0,0,N1845)</f>
        <v>0</v>
      </c>
      <c r="N1845" s="8">
        <f t="shared" si="2903"/>
        <v>130</v>
      </c>
    </row>
    <row r="1846" spans="1:14">
      <c r="A1846" s="8">
        <f t="shared" si="2900"/>
        <v>20019</v>
      </c>
      <c r="B1846" s="8">
        <v>40000</v>
      </c>
      <c r="C1846" s="8" t="s">
        <v>298</v>
      </c>
      <c r="D1846" s="7">
        <f t="shared" si="2902"/>
        <v>50702065</v>
      </c>
      <c r="E1846" s="8"/>
      <c r="F1846" s="8">
        <v>1</v>
      </c>
      <c r="G1846" s="7">
        <v>420000</v>
      </c>
      <c r="H1846" s="8" t="s">
        <v>299</v>
      </c>
      <c r="I1846" s="8">
        <v>1</v>
      </c>
      <c r="J1846" s="8">
        <v>240</v>
      </c>
      <c r="K1846" s="7" t="s">
        <v>312</v>
      </c>
      <c r="L1846" s="8">
        <v>64</v>
      </c>
      <c r="M1846" s="7">
        <f>IF(INDEX([1]equip.xml!$B:$B,MATCH(D1846,[1]equip.xml!$A:$A,0))=0,0,N1846)</f>
        <v>130</v>
      </c>
      <c r="N1846" s="8">
        <f t="shared" si="2903"/>
        <v>130</v>
      </c>
    </row>
    <row r="1847" spans="1:14">
      <c r="A1847" s="8">
        <f t="shared" si="2900"/>
        <v>20019</v>
      </c>
      <c r="B1847" s="8">
        <v>40000</v>
      </c>
      <c r="C1847" s="8" t="s">
        <v>298</v>
      </c>
      <c r="D1847" s="7">
        <f t="shared" si="2902"/>
        <v>50702066</v>
      </c>
      <c r="E1847" s="8"/>
      <c r="F1847" s="8">
        <v>1</v>
      </c>
      <c r="G1847" s="7">
        <v>438000</v>
      </c>
      <c r="H1847" s="8" t="s">
        <v>299</v>
      </c>
      <c r="I1847" s="8">
        <v>1</v>
      </c>
      <c r="J1847" s="8">
        <v>240</v>
      </c>
      <c r="K1847" s="7" t="s">
        <v>312</v>
      </c>
      <c r="L1847" s="8">
        <v>64</v>
      </c>
      <c r="M1847" s="7">
        <f>IF(INDEX([1]equip.xml!$B:$B,MATCH(D1847,[1]equip.xml!$A:$A,0))=0,0,N1847)</f>
        <v>0</v>
      </c>
      <c r="N1847" s="8">
        <f t="shared" si="2903"/>
        <v>130</v>
      </c>
    </row>
    <row r="1848" spans="1:14">
      <c r="A1848" s="8">
        <f t="shared" si="2900"/>
        <v>20019</v>
      </c>
      <c r="B1848" s="8">
        <v>40000</v>
      </c>
      <c r="C1848" s="8" t="s">
        <v>298</v>
      </c>
      <c r="D1848" s="7">
        <f t="shared" si="2902"/>
        <v>50703055</v>
      </c>
      <c r="E1848" s="8"/>
      <c r="F1848" s="8">
        <v>1</v>
      </c>
      <c r="G1848" s="7">
        <v>420000</v>
      </c>
      <c r="H1848" s="8" t="s">
        <v>299</v>
      </c>
      <c r="I1848" s="8">
        <v>1</v>
      </c>
      <c r="J1848" s="8">
        <v>240</v>
      </c>
      <c r="K1848" s="7" t="s">
        <v>312</v>
      </c>
      <c r="L1848" s="8">
        <v>64</v>
      </c>
      <c r="M1848" s="7">
        <f>IF(INDEX([1]equip.xml!$B:$B,MATCH(D1848,[1]equip.xml!$A:$A,0))=0,0,N1848)</f>
        <v>130</v>
      </c>
      <c r="N1848" s="8">
        <f t="shared" si="2903"/>
        <v>130</v>
      </c>
    </row>
    <row r="1849" spans="1:14">
      <c r="A1849" s="8">
        <f t="shared" si="2900"/>
        <v>20019</v>
      </c>
      <c r="B1849" s="8">
        <v>40000</v>
      </c>
      <c r="C1849" s="8" t="s">
        <v>298</v>
      </c>
      <c r="D1849" s="7">
        <f t="shared" si="2902"/>
        <v>50703056</v>
      </c>
      <c r="E1849" s="8"/>
      <c r="F1849" s="8">
        <v>1</v>
      </c>
      <c r="G1849" s="7">
        <v>438000</v>
      </c>
      <c r="H1849" s="8" t="s">
        <v>299</v>
      </c>
      <c r="I1849" s="8">
        <v>1</v>
      </c>
      <c r="J1849" s="8">
        <v>240</v>
      </c>
      <c r="K1849" s="7" t="s">
        <v>312</v>
      </c>
      <c r="L1849" s="8">
        <v>64</v>
      </c>
      <c r="M1849" s="7">
        <f>IF(INDEX([1]equip.xml!$B:$B,MATCH(D1849,[1]equip.xml!$A:$A,0))=0,0,N1849)</f>
        <v>0</v>
      </c>
      <c r="N1849" s="8">
        <f t="shared" si="2903"/>
        <v>130</v>
      </c>
    </row>
    <row r="1850" spans="1:14">
      <c r="A1850" s="8">
        <f t="shared" si="2900"/>
        <v>20019</v>
      </c>
      <c r="B1850" s="8">
        <v>40000</v>
      </c>
      <c r="C1850" s="8" t="s">
        <v>298</v>
      </c>
      <c r="D1850" s="7">
        <f t="shared" si="2902"/>
        <v>50703065</v>
      </c>
      <c r="E1850" s="8"/>
      <c r="F1850" s="8">
        <v>1</v>
      </c>
      <c r="G1850" s="7">
        <v>420000</v>
      </c>
      <c r="H1850" s="8" t="s">
        <v>299</v>
      </c>
      <c r="I1850" s="8">
        <v>1</v>
      </c>
      <c r="J1850" s="8">
        <v>240</v>
      </c>
      <c r="K1850" s="7" t="s">
        <v>312</v>
      </c>
      <c r="L1850" s="8">
        <v>64</v>
      </c>
      <c r="M1850" s="7">
        <f>IF(INDEX([1]equip.xml!$B:$B,MATCH(D1850,[1]equip.xml!$A:$A,0))=0,0,N1850)</f>
        <v>130</v>
      </c>
      <c r="N1850" s="8">
        <f t="shared" si="2903"/>
        <v>130</v>
      </c>
    </row>
    <row r="1851" spans="1:14">
      <c r="A1851" s="8">
        <f t="shared" si="2900"/>
        <v>20019</v>
      </c>
      <c r="B1851" s="8">
        <v>40000</v>
      </c>
      <c r="C1851" s="8" t="s">
        <v>298</v>
      </c>
      <c r="D1851" s="7">
        <f t="shared" si="2902"/>
        <v>50703066</v>
      </c>
      <c r="E1851" s="8"/>
      <c r="F1851" s="8">
        <v>1</v>
      </c>
      <c r="G1851" s="7">
        <v>438000</v>
      </c>
      <c r="H1851" s="8" t="s">
        <v>299</v>
      </c>
      <c r="I1851" s="8">
        <v>1</v>
      </c>
      <c r="J1851" s="8">
        <v>240</v>
      </c>
      <c r="K1851" s="7" t="s">
        <v>312</v>
      </c>
      <c r="L1851" s="8">
        <v>64</v>
      </c>
      <c r="M1851" s="7">
        <f>IF(INDEX([1]equip.xml!$B:$B,MATCH(D1851,[1]equip.xml!$A:$A,0))=0,0,N1851)</f>
        <v>0</v>
      </c>
      <c r="N1851" s="8">
        <f t="shared" si="2903"/>
        <v>130</v>
      </c>
    </row>
    <row r="1852" spans="1:14">
      <c r="A1852" s="8">
        <f t="shared" si="2900"/>
        <v>20019</v>
      </c>
      <c r="B1852" s="8">
        <v>40000</v>
      </c>
      <c r="C1852" s="8" t="s">
        <v>298</v>
      </c>
      <c r="D1852" s="7">
        <f t="shared" si="2902"/>
        <v>50700045</v>
      </c>
      <c r="E1852" s="8"/>
      <c r="F1852" s="8">
        <v>1</v>
      </c>
      <c r="G1852" s="7">
        <v>420000</v>
      </c>
      <c r="H1852" s="8" t="s">
        <v>299</v>
      </c>
      <c r="I1852" s="8">
        <v>1</v>
      </c>
      <c r="J1852" s="8">
        <v>240</v>
      </c>
      <c r="K1852" s="7" t="s">
        <v>312</v>
      </c>
      <c r="L1852" s="8">
        <v>64</v>
      </c>
      <c r="M1852" s="7">
        <f>IF(INDEX([1]equip.xml!$B:$B,MATCH(D1852,[1]equip.xml!$A:$A,0))=0,0,N1852)</f>
        <v>130</v>
      </c>
      <c r="N1852" s="8">
        <f t="shared" si="2903"/>
        <v>130</v>
      </c>
    </row>
    <row r="1853" spans="1:14">
      <c r="A1853" s="8">
        <f t="shared" si="2900"/>
        <v>20019</v>
      </c>
      <c r="B1853" s="8">
        <v>40000</v>
      </c>
      <c r="C1853" s="8" t="s">
        <v>298</v>
      </c>
      <c r="D1853" s="7">
        <f t="shared" si="2902"/>
        <v>50700046</v>
      </c>
      <c r="E1853" s="8"/>
      <c r="F1853" s="8">
        <v>1</v>
      </c>
      <c r="G1853" s="7">
        <v>438000</v>
      </c>
      <c r="H1853" s="8" t="s">
        <v>299</v>
      </c>
      <c r="I1853" s="8">
        <v>1</v>
      </c>
      <c r="J1853" s="8">
        <v>240</v>
      </c>
      <c r="K1853" s="7" t="s">
        <v>312</v>
      </c>
      <c r="L1853" s="8">
        <v>64</v>
      </c>
      <c r="M1853" s="7">
        <f>IF(INDEX([1]equip.xml!$B:$B,MATCH(D1853,[1]equip.xml!$A:$A,0))=0,0,N1853)</f>
        <v>0</v>
      </c>
      <c r="N1853" s="8">
        <f t="shared" si="2903"/>
        <v>130</v>
      </c>
    </row>
    <row r="1854" spans="1:14">
      <c r="A1854" s="8">
        <f t="shared" si="2900"/>
        <v>20019</v>
      </c>
      <c r="B1854" s="8">
        <v>40000</v>
      </c>
      <c r="C1854" s="8" t="s">
        <v>298</v>
      </c>
      <c r="D1854" s="7">
        <f t="shared" si="2902"/>
        <v>50700075</v>
      </c>
      <c r="E1854" s="8"/>
      <c r="F1854" s="8">
        <v>1</v>
      </c>
      <c r="G1854" s="7">
        <v>420000</v>
      </c>
      <c r="H1854" s="8" t="s">
        <v>299</v>
      </c>
      <c r="I1854" s="8">
        <v>1</v>
      </c>
      <c r="J1854" s="8">
        <v>240</v>
      </c>
      <c r="K1854" s="7" t="s">
        <v>312</v>
      </c>
      <c r="L1854" s="8">
        <v>64</v>
      </c>
      <c r="M1854" s="7">
        <f>IF(INDEX([1]equip.xml!$B:$B,MATCH(D1854,[1]equip.xml!$A:$A,0))=0,0,N1854)</f>
        <v>130</v>
      </c>
      <c r="N1854" s="8">
        <f t="shared" si="2903"/>
        <v>130</v>
      </c>
    </row>
    <row r="1855" spans="1:14">
      <c r="A1855" s="8">
        <f t="shared" ref="A1855:A1918" si="2904">A1327+10000</f>
        <v>20019</v>
      </c>
      <c r="B1855" s="8">
        <v>40000</v>
      </c>
      <c r="C1855" s="8" t="s">
        <v>298</v>
      </c>
      <c r="D1855" s="7">
        <f t="shared" si="2902"/>
        <v>50700076</v>
      </c>
      <c r="E1855" s="8"/>
      <c r="F1855" s="8">
        <v>1</v>
      </c>
      <c r="G1855" s="7">
        <v>438000</v>
      </c>
      <c r="H1855" s="8" t="s">
        <v>299</v>
      </c>
      <c r="I1855" s="8">
        <v>1</v>
      </c>
      <c r="J1855" s="8">
        <v>240</v>
      </c>
      <c r="K1855" s="7" t="s">
        <v>312</v>
      </c>
      <c r="L1855" s="8">
        <v>64</v>
      </c>
      <c r="M1855" s="7">
        <f>IF(INDEX([1]equip.xml!$B:$B,MATCH(D1855,[1]equip.xml!$A:$A,0))=0,0,N1855)</f>
        <v>0</v>
      </c>
      <c r="N1855" s="8">
        <f t="shared" si="2903"/>
        <v>130</v>
      </c>
    </row>
    <row r="1856" spans="1:14">
      <c r="A1856" s="8">
        <f t="shared" si="2904"/>
        <v>20019</v>
      </c>
      <c r="B1856" s="8">
        <v>40000</v>
      </c>
      <c r="C1856" s="8" t="s">
        <v>298</v>
      </c>
      <c r="D1856" s="7">
        <f t="shared" si="2902"/>
        <v>50750015</v>
      </c>
      <c r="E1856" s="8"/>
      <c r="F1856" s="8">
        <v>1</v>
      </c>
      <c r="G1856" s="7">
        <v>456000</v>
      </c>
      <c r="H1856" s="8" t="s">
        <v>299</v>
      </c>
      <c r="I1856" s="8">
        <v>1</v>
      </c>
      <c r="J1856" s="8">
        <v>240</v>
      </c>
      <c r="K1856" s="7" t="s">
        <v>312</v>
      </c>
      <c r="L1856" s="8">
        <v>64</v>
      </c>
      <c r="M1856" s="7">
        <f>IF(INDEX([1]equip.xml!$B:$B,MATCH(D1856,[1]equip.xml!$A:$A,0))=0,0,N1856)</f>
        <v>60</v>
      </c>
      <c r="N1856" s="8">
        <f t="shared" si="2903"/>
        <v>60</v>
      </c>
    </row>
    <row r="1857" spans="1:14">
      <c r="A1857" s="8">
        <f t="shared" si="2904"/>
        <v>20019</v>
      </c>
      <c r="B1857" s="8">
        <v>40000</v>
      </c>
      <c r="C1857" s="8" t="s">
        <v>298</v>
      </c>
      <c r="D1857" s="7">
        <f t="shared" si="2902"/>
        <v>50750025</v>
      </c>
      <c r="E1857" s="8"/>
      <c r="F1857" s="8">
        <v>1</v>
      </c>
      <c r="G1857" s="7">
        <v>456000</v>
      </c>
      <c r="H1857" s="8" t="s">
        <v>299</v>
      </c>
      <c r="I1857" s="8">
        <v>1</v>
      </c>
      <c r="J1857" s="8">
        <v>240</v>
      </c>
      <c r="K1857" s="7" t="s">
        <v>312</v>
      </c>
      <c r="L1857" s="8">
        <v>64</v>
      </c>
      <c r="M1857" s="7">
        <f>IF(INDEX([1]equip.xml!$B:$B,MATCH(D1857,[1]equip.xml!$A:$A,0))=0,0,N1857)</f>
        <v>60</v>
      </c>
      <c r="N1857" s="8">
        <f t="shared" si="2903"/>
        <v>60</v>
      </c>
    </row>
    <row r="1858" spans="1:14">
      <c r="A1858" s="8">
        <f t="shared" si="2904"/>
        <v>20019</v>
      </c>
      <c r="B1858" s="8">
        <v>40000</v>
      </c>
      <c r="C1858" s="8" t="s">
        <v>298</v>
      </c>
      <c r="D1858" s="7">
        <f t="shared" si="2902"/>
        <v>50750035</v>
      </c>
      <c r="E1858" s="8"/>
      <c r="F1858" s="8">
        <v>1</v>
      </c>
      <c r="G1858" s="7">
        <v>456000</v>
      </c>
      <c r="H1858" s="8" t="s">
        <v>299</v>
      </c>
      <c r="I1858" s="8">
        <v>1</v>
      </c>
      <c r="J1858" s="8">
        <v>240</v>
      </c>
      <c r="K1858" s="7" t="s">
        <v>312</v>
      </c>
      <c r="L1858" s="8">
        <v>64</v>
      </c>
      <c r="M1858" s="7">
        <f>IF(INDEX([1]equip.xml!$B:$B,MATCH(D1858,[1]equip.xml!$A:$A,0))=0,0,N1858)</f>
        <v>60</v>
      </c>
      <c r="N1858" s="8">
        <f t="shared" si="2903"/>
        <v>60</v>
      </c>
    </row>
    <row r="1859" spans="1:14">
      <c r="A1859" s="8">
        <f t="shared" si="2904"/>
        <v>20019</v>
      </c>
      <c r="B1859" s="8">
        <v>40000</v>
      </c>
      <c r="C1859" s="8" t="s">
        <v>298</v>
      </c>
      <c r="D1859" s="7">
        <f t="shared" si="2902"/>
        <v>50750085</v>
      </c>
      <c r="E1859" s="8"/>
      <c r="F1859" s="8">
        <v>1</v>
      </c>
      <c r="G1859" s="7">
        <v>456000</v>
      </c>
      <c r="H1859" s="8" t="s">
        <v>299</v>
      </c>
      <c r="I1859" s="8">
        <v>1</v>
      </c>
      <c r="J1859" s="8">
        <v>240</v>
      </c>
      <c r="K1859" s="7" t="s">
        <v>312</v>
      </c>
      <c r="L1859" s="8">
        <v>64</v>
      </c>
      <c r="M1859" s="7">
        <f>IF(INDEX([1]equip.xml!$B:$B,MATCH(D1859,[1]equip.xml!$A:$A,0))=0,0,N1859)</f>
        <v>60</v>
      </c>
      <c r="N1859" s="8">
        <f t="shared" si="2903"/>
        <v>60</v>
      </c>
    </row>
    <row r="1860" spans="1:14">
      <c r="A1860" s="8">
        <f t="shared" si="2904"/>
        <v>20019</v>
      </c>
      <c r="B1860" s="8">
        <v>40000</v>
      </c>
      <c r="C1860" s="8" t="s">
        <v>298</v>
      </c>
      <c r="D1860" s="7">
        <f t="shared" si="2902"/>
        <v>50750095</v>
      </c>
      <c r="E1860" s="8"/>
      <c r="F1860" s="8">
        <v>1</v>
      </c>
      <c r="G1860" s="7">
        <v>456000</v>
      </c>
      <c r="H1860" s="8" t="s">
        <v>299</v>
      </c>
      <c r="I1860" s="8">
        <v>1</v>
      </c>
      <c r="J1860" s="8">
        <v>240</v>
      </c>
      <c r="K1860" s="7" t="s">
        <v>312</v>
      </c>
      <c r="L1860" s="8">
        <v>64</v>
      </c>
      <c r="M1860" s="7">
        <f>IF(INDEX([1]equip.xml!$B:$B,MATCH(D1860,[1]equip.xml!$A:$A,0))=0,0,N1860)</f>
        <v>60</v>
      </c>
      <c r="N1860" s="8">
        <f t="shared" si="2903"/>
        <v>60</v>
      </c>
    </row>
    <row r="1861" spans="1:14">
      <c r="A1861" s="8">
        <f t="shared" si="2904"/>
        <v>20019</v>
      </c>
      <c r="B1861" s="8">
        <v>40000</v>
      </c>
      <c r="C1861" s="8" t="s">
        <v>298</v>
      </c>
      <c r="D1861" s="7">
        <f t="shared" si="2902"/>
        <v>50750105</v>
      </c>
      <c r="E1861" s="8"/>
      <c r="F1861" s="8">
        <v>1</v>
      </c>
      <c r="G1861" s="7">
        <v>456000</v>
      </c>
      <c r="H1861" s="8" t="s">
        <v>299</v>
      </c>
      <c r="I1861" s="8">
        <v>1</v>
      </c>
      <c r="J1861" s="8">
        <v>240</v>
      </c>
      <c r="K1861" s="7" t="s">
        <v>312</v>
      </c>
      <c r="L1861" s="8">
        <v>64</v>
      </c>
      <c r="M1861" s="7">
        <f>IF(INDEX([1]equip.xml!$B:$B,MATCH(D1861,[1]equip.xml!$A:$A,0))=0,0,N1861)</f>
        <v>60</v>
      </c>
      <c r="N1861" s="8">
        <f t="shared" si="2903"/>
        <v>60</v>
      </c>
    </row>
    <row r="1862" spans="1:14">
      <c r="A1862" s="8">
        <f t="shared" si="2904"/>
        <v>20019</v>
      </c>
      <c r="B1862" s="8">
        <v>40000</v>
      </c>
      <c r="C1862" s="8" t="s">
        <v>298</v>
      </c>
      <c r="D1862" s="7">
        <f t="shared" si="2902"/>
        <v>50751055</v>
      </c>
      <c r="E1862" s="8"/>
      <c r="F1862" s="8">
        <v>1</v>
      </c>
      <c r="G1862" s="7">
        <v>456000</v>
      </c>
      <c r="H1862" s="8" t="s">
        <v>299</v>
      </c>
      <c r="I1862" s="8">
        <v>1</v>
      </c>
      <c r="J1862" s="8">
        <v>240</v>
      </c>
      <c r="K1862" s="7" t="s">
        <v>312</v>
      </c>
      <c r="L1862" s="8">
        <v>64</v>
      </c>
      <c r="M1862" s="7">
        <f>IF(INDEX([1]equip.xml!$B:$B,MATCH(D1862,[1]equip.xml!$A:$A,0))=0,0,N1862)</f>
        <v>60</v>
      </c>
      <c r="N1862" s="8">
        <f t="shared" si="2903"/>
        <v>60</v>
      </c>
    </row>
    <row r="1863" spans="1:14">
      <c r="A1863" s="8">
        <f t="shared" si="2904"/>
        <v>20019</v>
      </c>
      <c r="B1863" s="8">
        <v>40000</v>
      </c>
      <c r="C1863" s="8" t="s">
        <v>298</v>
      </c>
      <c r="D1863" s="7">
        <f t="shared" si="2902"/>
        <v>50751056</v>
      </c>
      <c r="E1863" s="8"/>
      <c r="F1863" s="8">
        <v>1</v>
      </c>
      <c r="G1863" s="7">
        <v>474000</v>
      </c>
      <c r="H1863" s="8" t="s">
        <v>299</v>
      </c>
      <c r="I1863" s="8">
        <v>1</v>
      </c>
      <c r="J1863" s="8">
        <v>240</v>
      </c>
      <c r="K1863" s="7" t="s">
        <v>312</v>
      </c>
      <c r="L1863" s="8">
        <v>64</v>
      </c>
      <c r="M1863" s="7">
        <f>IF(INDEX([1]equip.xml!$B:$B,MATCH(D1863,[1]equip.xml!$A:$A,0))=0,0,N1863)</f>
        <v>60</v>
      </c>
      <c r="N1863" s="8">
        <f t="shared" si="2903"/>
        <v>60</v>
      </c>
    </row>
    <row r="1864" spans="1:14">
      <c r="A1864" s="8">
        <f t="shared" si="2904"/>
        <v>20019</v>
      </c>
      <c r="B1864" s="8">
        <v>40000</v>
      </c>
      <c r="C1864" s="8" t="s">
        <v>298</v>
      </c>
      <c r="D1864" s="7">
        <f t="shared" si="2902"/>
        <v>50751065</v>
      </c>
      <c r="E1864" s="8"/>
      <c r="F1864" s="8">
        <v>1</v>
      </c>
      <c r="G1864" s="7">
        <v>456000</v>
      </c>
      <c r="H1864" s="8" t="s">
        <v>299</v>
      </c>
      <c r="I1864" s="8">
        <v>1</v>
      </c>
      <c r="J1864" s="8">
        <v>240</v>
      </c>
      <c r="K1864" s="7" t="s">
        <v>312</v>
      </c>
      <c r="L1864" s="8">
        <v>64</v>
      </c>
      <c r="M1864" s="7">
        <f>IF(INDEX([1]equip.xml!$B:$B,MATCH(D1864,[1]equip.xml!$A:$A,0))=0,0,N1864)</f>
        <v>60</v>
      </c>
      <c r="N1864" s="8">
        <f t="shared" si="2903"/>
        <v>60</v>
      </c>
    </row>
    <row r="1865" spans="1:14">
      <c r="A1865" s="8">
        <f t="shared" si="2904"/>
        <v>20019</v>
      </c>
      <c r="B1865" s="8">
        <v>40000</v>
      </c>
      <c r="C1865" s="8" t="s">
        <v>298</v>
      </c>
      <c r="D1865" s="7">
        <f t="shared" si="2902"/>
        <v>50751066</v>
      </c>
      <c r="E1865" s="8"/>
      <c r="F1865" s="8">
        <v>1</v>
      </c>
      <c r="G1865" s="7">
        <v>474000</v>
      </c>
      <c r="H1865" s="8" t="s">
        <v>299</v>
      </c>
      <c r="I1865" s="8">
        <v>1</v>
      </c>
      <c r="J1865" s="8">
        <v>240</v>
      </c>
      <c r="K1865" s="7" t="s">
        <v>312</v>
      </c>
      <c r="L1865" s="8">
        <v>64</v>
      </c>
      <c r="M1865" s="7">
        <f>IF(INDEX([1]equip.xml!$B:$B,MATCH(D1865,[1]equip.xml!$A:$A,0))=0,0,N1865)</f>
        <v>60</v>
      </c>
      <c r="N1865" s="8">
        <f t="shared" si="2903"/>
        <v>60</v>
      </c>
    </row>
    <row r="1866" spans="1:14">
      <c r="A1866" s="8">
        <f t="shared" si="2904"/>
        <v>20019</v>
      </c>
      <c r="B1866" s="8">
        <v>40000</v>
      </c>
      <c r="C1866" s="8" t="s">
        <v>298</v>
      </c>
      <c r="D1866" s="7">
        <f t="shared" si="2902"/>
        <v>50752055</v>
      </c>
      <c r="E1866" s="8"/>
      <c r="F1866" s="8">
        <v>1</v>
      </c>
      <c r="G1866" s="7">
        <v>456000</v>
      </c>
      <c r="H1866" s="8" t="s">
        <v>299</v>
      </c>
      <c r="I1866" s="8">
        <v>1</v>
      </c>
      <c r="J1866" s="8">
        <v>240</v>
      </c>
      <c r="K1866" s="7" t="s">
        <v>312</v>
      </c>
      <c r="L1866" s="8">
        <v>64</v>
      </c>
      <c r="M1866" s="7">
        <f>IF(INDEX([1]equip.xml!$B:$B,MATCH(D1866,[1]equip.xml!$A:$A,0))=0,0,N1866)</f>
        <v>60</v>
      </c>
      <c r="N1866" s="8">
        <f t="shared" si="2903"/>
        <v>60</v>
      </c>
    </row>
    <row r="1867" spans="1:14">
      <c r="A1867" s="8">
        <f t="shared" si="2904"/>
        <v>20019</v>
      </c>
      <c r="B1867" s="8">
        <v>40000</v>
      </c>
      <c r="C1867" s="8" t="s">
        <v>298</v>
      </c>
      <c r="D1867" s="7">
        <f t="shared" si="2902"/>
        <v>50752056</v>
      </c>
      <c r="E1867" s="8"/>
      <c r="F1867" s="8">
        <v>1</v>
      </c>
      <c r="G1867" s="7">
        <v>474000</v>
      </c>
      <c r="H1867" s="8" t="s">
        <v>299</v>
      </c>
      <c r="I1867" s="8">
        <v>1</v>
      </c>
      <c r="J1867" s="8">
        <v>240</v>
      </c>
      <c r="K1867" s="7" t="s">
        <v>312</v>
      </c>
      <c r="L1867" s="8">
        <v>64</v>
      </c>
      <c r="M1867" s="7">
        <f>IF(INDEX([1]equip.xml!$B:$B,MATCH(D1867,[1]equip.xml!$A:$A,0))=0,0,N1867)</f>
        <v>60</v>
      </c>
      <c r="N1867" s="8">
        <f t="shared" si="2903"/>
        <v>60</v>
      </c>
    </row>
    <row r="1868" spans="1:14">
      <c r="A1868" s="8">
        <f t="shared" si="2904"/>
        <v>20019</v>
      </c>
      <c r="B1868" s="8">
        <v>40000</v>
      </c>
      <c r="C1868" s="8" t="s">
        <v>298</v>
      </c>
      <c r="D1868" s="7">
        <f t="shared" si="2902"/>
        <v>50752065</v>
      </c>
      <c r="E1868" s="8"/>
      <c r="F1868" s="8">
        <v>1</v>
      </c>
      <c r="G1868" s="7">
        <v>456000</v>
      </c>
      <c r="H1868" s="8" t="s">
        <v>299</v>
      </c>
      <c r="I1868" s="8">
        <v>1</v>
      </c>
      <c r="J1868" s="8">
        <v>240</v>
      </c>
      <c r="K1868" s="7" t="s">
        <v>312</v>
      </c>
      <c r="L1868" s="8">
        <v>64</v>
      </c>
      <c r="M1868" s="7">
        <f>IF(INDEX([1]equip.xml!$B:$B,MATCH(D1868,[1]equip.xml!$A:$A,0))=0,0,N1868)</f>
        <v>60</v>
      </c>
      <c r="N1868" s="8">
        <f t="shared" si="2903"/>
        <v>60</v>
      </c>
    </row>
    <row r="1869" spans="1:14">
      <c r="A1869" s="8">
        <f t="shared" si="2904"/>
        <v>20019</v>
      </c>
      <c r="B1869" s="8">
        <v>40000</v>
      </c>
      <c r="C1869" s="8" t="s">
        <v>298</v>
      </c>
      <c r="D1869" s="7">
        <f t="shared" si="2902"/>
        <v>50752066</v>
      </c>
      <c r="E1869" s="8"/>
      <c r="F1869" s="8">
        <v>1</v>
      </c>
      <c r="G1869" s="7">
        <v>474000</v>
      </c>
      <c r="H1869" s="8" t="s">
        <v>299</v>
      </c>
      <c r="I1869" s="8">
        <v>1</v>
      </c>
      <c r="J1869" s="8">
        <v>240</v>
      </c>
      <c r="K1869" s="7" t="s">
        <v>312</v>
      </c>
      <c r="L1869" s="8">
        <v>64</v>
      </c>
      <c r="M1869" s="7">
        <f>IF(INDEX([1]equip.xml!$B:$B,MATCH(D1869,[1]equip.xml!$A:$A,0))=0,0,N1869)</f>
        <v>60</v>
      </c>
      <c r="N1869" s="8">
        <f t="shared" si="2903"/>
        <v>60</v>
      </c>
    </row>
    <row r="1870" spans="1:14">
      <c r="A1870" s="8">
        <f t="shared" si="2904"/>
        <v>20019</v>
      </c>
      <c r="B1870" s="8">
        <v>40000</v>
      </c>
      <c r="C1870" s="8" t="s">
        <v>298</v>
      </c>
      <c r="D1870" s="7">
        <f t="shared" si="2902"/>
        <v>50753055</v>
      </c>
      <c r="E1870" s="8"/>
      <c r="F1870" s="8">
        <v>1</v>
      </c>
      <c r="G1870" s="7">
        <v>456000</v>
      </c>
      <c r="H1870" s="8" t="s">
        <v>299</v>
      </c>
      <c r="I1870" s="8">
        <v>1</v>
      </c>
      <c r="J1870" s="8">
        <v>240</v>
      </c>
      <c r="K1870" s="7" t="s">
        <v>312</v>
      </c>
      <c r="L1870" s="8">
        <v>64</v>
      </c>
      <c r="M1870" s="7">
        <f>IF(INDEX([1]equip.xml!$B:$B,MATCH(D1870,[1]equip.xml!$A:$A,0))=0,0,N1870)</f>
        <v>60</v>
      </c>
      <c r="N1870" s="8">
        <f t="shared" si="2903"/>
        <v>60</v>
      </c>
    </row>
    <row r="1871" spans="1:14">
      <c r="A1871" s="8">
        <f t="shared" si="2904"/>
        <v>20019</v>
      </c>
      <c r="B1871" s="8">
        <v>40000</v>
      </c>
      <c r="C1871" s="8" t="s">
        <v>298</v>
      </c>
      <c r="D1871" s="7">
        <f t="shared" si="2902"/>
        <v>50753056</v>
      </c>
      <c r="E1871" s="8"/>
      <c r="F1871" s="8">
        <v>1</v>
      </c>
      <c r="G1871" s="7">
        <v>474000</v>
      </c>
      <c r="H1871" s="8" t="s">
        <v>299</v>
      </c>
      <c r="I1871" s="8">
        <v>1</v>
      </c>
      <c r="J1871" s="8">
        <v>240</v>
      </c>
      <c r="K1871" s="7" t="s">
        <v>312</v>
      </c>
      <c r="L1871" s="8">
        <v>64</v>
      </c>
      <c r="M1871" s="7">
        <f>IF(INDEX([1]equip.xml!$B:$B,MATCH(D1871,[1]equip.xml!$A:$A,0))=0,0,N1871)</f>
        <v>60</v>
      </c>
      <c r="N1871" s="8">
        <f t="shared" si="2903"/>
        <v>60</v>
      </c>
    </row>
    <row r="1872" spans="1:14">
      <c r="A1872" s="8">
        <f t="shared" si="2904"/>
        <v>20019</v>
      </c>
      <c r="B1872" s="8">
        <v>40000</v>
      </c>
      <c r="C1872" s="8" t="s">
        <v>298</v>
      </c>
      <c r="D1872" s="7">
        <f t="shared" si="2902"/>
        <v>50753065</v>
      </c>
      <c r="E1872" s="8"/>
      <c r="F1872" s="8">
        <v>1</v>
      </c>
      <c r="G1872" s="7">
        <v>456000</v>
      </c>
      <c r="H1872" s="8" t="s">
        <v>299</v>
      </c>
      <c r="I1872" s="8">
        <v>1</v>
      </c>
      <c r="J1872" s="8">
        <v>240</v>
      </c>
      <c r="K1872" s="7" t="s">
        <v>312</v>
      </c>
      <c r="L1872" s="8">
        <v>64</v>
      </c>
      <c r="M1872" s="7">
        <f>IF(INDEX([1]equip.xml!$B:$B,MATCH(D1872,[1]equip.xml!$A:$A,0))=0,0,N1872)</f>
        <v>60</v>
      </c>
      <c r="N1872" s="8">
        <f t="shared" si="2903"/>
        <v>60</v>
      </c>
    </row>
    <row r="1873" spans="1:14">
      <c r="A1873" s="8">
        <f t="shared" si="2904"/>
        <v>20019</v>
      </c>
      <c r="B1873" s="8">
        <v>40000</v>
      </c>
      <c r="C1873" s="8" t="s">
        <v>298</v>
      </c>
      <c r="D1873" s="7">
        <f t="shared" si="2902"/>
        <v>50753066</v>
      </c>
      <c r="E1873" s="8"/>
      <c r="F1873" s="8">
        <v>1</v>
      </c>
      <c r="G1873" s="7">
        <v>474000</v>
      </c>
      <c r="H1873" s="8" t="s">
        <v>299</v>
      </c>
      <c r="I1873" s="8">
        <v>1</v>
      </c>
      <c r="J1873" s="8">
        <v>240</v>
      </c>
      <c r="K1873" s="7" t="s">
        <v>312</v>
      </c>
      <c r="L1873" s="8">
        <v>64</v>
      </c>
      <c r="M1873" s="7">
        <f>IF(INDEX([1]equip.xml!$B:$B,MATCH(D1873,[1]equip.xml!$A:$A,0))=0,0,N1873)</f>
        <v>60</v>
      </c>
      <c r="N1873" s="8">
        <f t="shared" si="2903"/>
        <v>60</v>
      </c>
    </row>
    <row r="1874" spans="1:14">
      <c r="A1874" s="8">
        <f t="shared" si="2904"/>
        <v>20019</v>
      </c>
      <c r="B1874" s="8">
        <v>40000</v>
      </c>
      <c r="C1874" s="8" t="s">
        <v>298</v>
      </c>
      <c r="D1874" s="7">
        <f t="shared" si="2902"/>
        <v>50750045</v>
      </c>
      <c r="E1874" s="8"/>
      <c r="F1874" s="8">
        <v>1</v>
      </c>
      <c r="G1874" s="7">
        <v>456000</v>
      </c>
      <c r="H1874" s="8" t="s">
        <v>299</v>
      </c>
      <c r="I1874" s="8">
        <v>1</v>
      </c>
      <c r="J1874" s="8">
        <v>240</v>
      </c>
      <c r="K1874" s="7" t="s">
        <v>312</v>
      </c>
      <c r="L1874" s="8">
        <v>64</v>
      </c>
      <c r="M1874" s="7">
        <f>IF(INDEX([1]equip.xml!$B:$B,MATCH(D1874,[1]equip.xml!$A:$A,0))=0,0,N1874)</f>
        <v>60</v>
      </c>
      <c r="N1874" s="8">
        <f t="shared" si="2903"/>
        <v>60</v>
      </c>
    </row>
    <row r="1875" spans="1:14">
      <c r="A1875" s="8">
        <f t="shared" si="2904"/>
        <v>20019</v>
      </c>
      <c r="B1875" s="8">
        <v>40000</v>
      </c>
      <c r="C1875" s="8" t="s">
        <v>298</v>
      </c>
      <c r="D1875" s="7">
        <f t="shared" si="2902"/>
        <v>50750046</v>
      </c>
      <c r="E1875" s="8"/>
      <c r="F1875" s="8">
        <v>1</v>
      </c>
      <c r="G1875" s="7">
        <v>474000</v>
      </c>
      <c r="H1875" s="8" t="s">
        <v>299</v>
      </c>
      <c r="I1875" s="8">
        <v>1</v>
      </c>
      <c r="J1875" s="8">
        <v>240</v>
      </c>
      <c r="K1875" s="7" t="s">
        <v>312</v>
      </c>
      <c r="L1875" s="8">
        <v>64</v>
      </c>
      <c r="M1875" s="7">
        <f>IF(INDEX([1]equip.xml!$B:$B,MATCH(D1875,[1]equip.xml!$A:$A,0))=0,0,N1875)</f>
        <v>60</v>
      </c>
      <c r="N1875" s="8">
        <f t="shared" si="2903"/>
        <v>60</v>
      </c>
    </row>
    <row r="1876" spans="1:14">
      <c r="A1876" s="8">
        <f t="shared" si="2904"/>
        <v>20019</v>
      </c>
      <c r="B1876" s="8">
        <v>40000</v>
      </c>
      <c r="C1876" s="8" t="s">
        <v>298</v>
      </c>
      <c r="D1876" s="7">
        <f t="shared" si="2902"/>
        <v>50750075</v>
      </c>
      <c r="E1876" s="8"/>
      <c r="F1876" s="8">
        <v>1</v>
      </c>
      <c r="G1876" s="7">
        <v>456000</v>
      </c>
      <c r="H1876" s="8" t="s">
        <v>299</v>
      </c>
      <c r="I1876" s="8">
        <v>1</v>
      </c>
      <c r="J1876" s="8">
        <v>240</v>
      </c>
      <c r="K1876" s="7" t="s">
        <v>312</v>
      </c>
      <c r="L1876" s="8">
        <v>64</v>
      </c>
      <c r="M1876" s="7">
        <f>IF(INDEX([1]equip.xml!$B:$B,MATCH(D1876,[1]equip.xml!$A:$A,0))=0,0,N1876)</f>
        <v>60</v>
      </c>
      <c r="N1876" s="8">
        <f t="shared" si="2903"/>
        <v>60</v>
      </c>
    </row>
    <row r="1877" spans="1:14">
      <c r="A1877" s="8">
        <f t="shared" si="2904"/>
        <v>20019</v>
      </c>
      <c r="B1877" s="8">
        <v>40000</v>
      </c>
      <c r="C1877" s="8" t="s">
        <v>298</v>
      </c>
      <c r="D1877" s="7">
        <f t="shared" si="2902"/>
        <v>50750076</v>
      </c>
      <c r="E1877" s="8"/>
      <c r="F1877" s="8">
        <v>1</v>
      </c>
      <c r="G1877" s="7">
        <v>474000</v>
      </c>
      <c r="H1877" s="8" t="s">
        <v>299</v>
      </c>
      <c r="I1877" s="8">
        <v>1</v>
      </c>
      <c r="J1877" s="8">
        <v>240</v>
      </c>
      <c r="K1877" s="7" t="s">
        <v>312</v>
      </c>
      <c r="L1877" s="8">
        <v>64</v>
      </c>
      <c r="M1877" s="7">
        <f>IF(INDEX([1]equip.xml!$B:$B,MATCH(D1877,[1]equip.xml!$A:$A,0))=0,0,N1877)</f>
        <v>60</v>
      </c>
      <c r="N1877" s="8">
        <f t="shared" si="2903"/>
        <v>60</v>
      </c>
    </row>
    <row r="1878" spans="1:14">
      <c r="A1878" s="8">
        <f t="shared" si="2904"/>
        <v>20020</v>
      </c>
      <c r="B1878" s="8">
        <v>40000</v>
      </c>
      <c r="C1878" s="8" t="s">
        <v>298</v>
      </c>
      <c r="D1878" s="8">
        <f>D1790+50000</f>
        <v>40750010</v>
      </c>
      <c r="E1878" s="8"/>
      <c r="F1878" s="8">
        <v>1</v>
      </c>
      <c r="G1878" s="7">
        <v>228000</v>
      </c>
      <c r="H1878" s="8" t="s">
        <v>299</v>
      </c>
      <c r="I1878" s="8">
        <v>6</v>
      </c>
      <c r="J1878" s="8">
        <v>50</v>
      </c>
      <c r="K1878" s="7" t="s">
        <v>312</v>
      </c>
      <c r="L1878" s="8">
        <v>68</v>
      </c>
      <c r="M1878" s="7">
        <f>IF(INDEX([1]equip.xml!$B:$B,MATCH(D1878,[1]equip.xml!$A:$A,0))=0,0,N1878)</f>
        <v>130</v>
      </c>
      <c r="N1878" s="8">
        <f t="shared" si="2903"/>
        <v>130</v>
      </c>
    </row>
    <row r="1879" spans="1:14">
      <c r="A1879" s="8">
        <f t="shared" si="2904"/>
        <v>20020</v>
      </c>
      <c r="B1879" s="8">
        <v>40000</v>
      </c>
      <c r="C1879" s="8" t="s">
        <v>298</v>
      </c>
      <c r="D1879" s="8">
        <f t="shared" ref="D1879:D1921" si="2905">D1791+50000</f>
        <v>40750020</v>
      </c>
      <c r="E1879" s="8"/>
      <c r="F1879" s="8">
        <v>1</v>
      </c>
      <c r="G1879" s="7">
        <v>228000</v>
      </c>
      <c r="H1879" s="8" t="s">
        <v>299</v>
      </c>
      <c r="I1879" s="8">
        <v>6</v>
      </c>
      <c r="J1879" s="8">
        <v>50</v>
      </c>
      <c r="K1879" s="7" t="s">
        <v>312</v>
      </c>
      <c r="L1879" s="8">
        <v>68</v>
      </c>
      <c r="M1879" s="7">
        <f>IF(INDEX([1]equip.xml!$B:$B,MATCH(D1879,[1]equip.xml!$A:$A,0))=0,0,N1879)</f>
        <v>130</v>
      </c>
      <c r="N1879" s="8">
        <f t="shared" si="2903"/>
        <v>130</v>
      </c>
    </row>
    <row r="1880" spans="1:14">
      <c r="A1880" s="8">
        <f t="shared" si="2904"/>
        <v>20020</v>
      </c>
      <c r="B1880" s="8">
        <v>40000</v>
      </c>
      <c r="C1880" s="8" t="s">
        <v>298</v>
      </c>
      <c r="D1880" s="8">
        <f t="shared" si="2905"/>
        <v>40750030</v>
      </c>
      <c r="E1880" s="8"/>
      <c r="F1880" s="8">
        <v>1</v>
      </c>
      <c r="G1880" s="7">
        <v>228000</v>
      </c>
      <c r="H1880" s="8" t="s">
        <v>299</v>
      </c>
      <c r="I1880" s="8">
        <v>6</v>
      </c>
      <c r="J1880" s="8">
        <v>50</v>
      </c>
      <c r="K1880" s="7" t="s">
        <v>312</v>
      </c>
      <c r="L1880" s="8">
        <v>68</v>
      </c>
      <c r="M1880" s="7">
        <f>IF(INDEX([1]equip.xml!$B:$B,MATCH(D1880,[1]equip.xml!$A:$A,0))=0,0,N1880)</f>
        <v>130</v>
      </c>
      <c r="N1880" s="8">
        <f t="shared" si="2903"/>
        <v>130</v>
      </c>
    </row>
    <row r="1881" spans="1:14">
      <c r="A1881" s="8">
        <f t="shared" si="2904"/>
        <v>20020</v>
      </c>
      <c r="B1881" s="8">
        <v>40000</v>
      </c>
      <c r="C1881" s="8" t="s">
        <v>298</v>
      </c>
      <c r="D1881" s="8">
        <f t="shared" si="2905"/>
        <v>40750080</v>
      </c>
      <c r="E1881" s="8"/>
      <c r="F1881" s="8">
        <v>1</v>
      </c>
      <c r="G1881" s="7">
        <v>228000</v>
      </c>
      <c r="H1881" s="8" t="s">
        <v>299</v>
      </c>
      <c r="I1881" s="8">
        <v>6</v>
      </c>
      <c r="J1881" s="8">
        <v>50</v>
      </c>
      <c r="K1881" s="7" t="s">
        <v>312</v>
      </c>
      <c r="L1881" s="8">
        <v>68</v>
      </c>
      <c r="M1881" s="7">
        <f>IF(INDEX([1]equip.xml!$B:$B,MATCH(D1881,[1]equip.xml!$A:$A,0))=0,0,N1881)</f>
        <v>130</v>
      </c>
      <c r="N1881" s="8">
        <f t="shared" si="2903"/>
        <v>130</v>
      </c>
    </row>
    <row r="1882" spans="1:14">
      <c r="A1882" s="8">
        <f t="shared" si="2904"/>
        <v>20020</v>
      </c>
      <c r="B1882" s="8">
        <v>40000</v>
      </c>
      <c r="C1882" s="8" t="s">
        <v>298</v>
      </c>
      <c r="D1882" s="8">
        <f t="shared" si="2905"/>
        <v>40750090</v>
      </c>
      <c r="E1882" s="8"/>
      <c r="F1882" s="8">
        <v>1</v>
      </c>
      <c r="G1882" s="7">
        <v>228000</v>
      </c>
      <c r="H1882" s="8" t="s">
        <v>299</v>
      </c>
      <c r="I1882" s="8">
        <v>6</v>
      </c>
      <c r="J1882" s="8">
        <v>50</v>
      </c>
      <c r="K1882" s="7" t="s">
        <v>312</v>
      </c>
      <c r="L1882" s="8">
        <v>68</v>
      </c>
      <c r="M1882" s="7">
        <f>IF(INDEX([1]equip.xml!$B:$B,MATCH(D1882,[1]equip.xml!$A:$A,0))=0,0,N1882)</f>
        <v>130</v>
      </c>
      <c r="N1882" s="8">
        <f t="shared" si="2903"/>
        <v>130</v>
      </c>
    </row>
    <row r="1883" spans="1:14">
      <c r="A1883" s="8">
        <f t="shared" si="2904"/>
        <v>20020</v>
      </c>
      <c r="B1883" s="8">
        <v>40000</v>
      </c>
      <c r="C1883" s="8" t="s">
        <v>298</v>
      </c>
      <c r="D1883" s="8">
        <f t="shared" si="2905"/>
        <v>40750100</v>
      </c>
      <c r="E1883" s="8"/>
      <c r="F1883" s="8">
        <v>1</v>
      </c>
      <c r="G1883" s="7">
        <v>228000</v>
      </c>
      <c r="H1883" s="8" t="s">
        <v>299</v>
      </c>
      <c r="I1883" s="8">
        <v>6</v>
      </c>
      <c r="J1883" s="8">
        <v>50</v>
      </c>
      <c r="K1883" s="7" t="s">
        <v>312</v>
      </c>
      <c r="L1883" s="8">
        <v>68</v>
      </c>
      <c r="M1883" s="7">
        <f>IF(INDEX([1]equip.xml!$B:$B,MATCH(D1883,[1]equip.xml!$A:$A,0))=0,0,N1883)</f>
        <v>130</v>
      </c>
      <c r="N1883" s="8">
        <f t="shared" si="2903"/>
        <v>130</v>
      </c>
    </row>
    <row r="1884" spans="1:14">
      <c r="A1884" s="8">
        <f t="shared" si="2904"/>
        <v>20020</v>
      </c>
      <c r="B1884" s="8">
        <v>40000</v>
      </c>
      <c r="C1884" s="8" t="s">
        <v>298</v>
      </c>
      <c r="D1884" s="8">
        <f t="shared" si="2905"/>
        <v>40751050</v>
      </c>
      <c r="E1884" s="8"/>
      <c r="F1884" s="8">
        <v>1</v>
      </c>
      <c r="G1884" s="7">
        <v>228000</v>
      </c>
      <c r="H1884" s="8" t="s">
        <v>299</v>
      </c>
      <c r="I1884" s="8">
        <v>6</v>
      </c>
      <c r="J1884" s="8">
        <v>50</v>
      </c>
      <c r="K1884" s="7" t="s">
        <v>312</v>
      </c>
      <c r="L1884" s="8">
        <v>68</v>
      </c>
      <c r="M1884" s="7">
        <f>IF(INDEX([1]equip.xml!$B:$B,MATCH(D1884,[1]equip.xml!$A:$A,0))=0,0,N1884)</f>
        <v>130</v>
      </c>
      <c r="N1884" s="8">
        <f t="shared" si="2903"/>
        <v>130</v>
      </c>
    </row>
    <row r="1885" spans="1:14">
      <c r="A1885" s="8">
        <f t="shared" si="2904"/>
        <v>20020</v>
      </c>
      <c r="B1885" s="8">
        <v>40000</v>
      </c>
      <c r="C1885" s="8" t="s">
        <v>298</v>
      </c>
      <c r="D1885" s="8">
        <f t="shared" si="2905"/>
        <v>40751051</v>
      </c>
      <c r="E1885" s="8"/>
      <c r="F1885" s="8">
        <v>1</v>
      </c>
      <c r="G1885" s="7">
        <v>237000</v>
      </c>
      <c r="H1885" s="8" t="s">
        <v>299</v>
      </c>
      <c r="I1885" s="8">
        <v>6</v>
      </c>
      <c r="J1885" s="8">
        <v>50</v>
      </c>
      <c r="K1885" s="7" t="s">
        <v>312</v>
      </c>
      <c r="L1885" s="8">
        <v>68</v>
      </c>
      <c r="M1885" s="7">
        <f>IF(INDEX([1]equip.xml!$B:$B,MATCH(D1885,[1]equip.xml!$A:$A,0))=0,0,N1885)</f>
        <v>130</v>
      </c>
      <c r="N1885" s="8">
        <f t="shared" si="2903"/>
        <v>130</v>
      </c>
    </row>
    <row r="1886" spans="1:14">
      <c r="A1886" s="8">
        <f t="shared" si="2904"/>
        <v>20020</v>
      </c>
      <c r="B1886" s="8">
        <v>40000</v>
      </c>
      <c r="C1886" s="8" t="s">
        <v>298</v>
      </c>
      <c r="D1886" s="8">
        <f t="shared" si="2905"/>
        <v>40751060</v>
      </c>
      <c r="E1886" s="8"/>
      <c r="F1886" s="8">
        <v>1</v>
      </c>
      <c r="G1886" s="7">
        <v>228000</v>
      </c>
      <c r="H1886" s="8" t="s">
        <v>299</v>
      </c>
      <c r="I1886" s="8">
        <v>6</v>
      </c>
      <c r="J1886" s="8">
        <v>50</v>
      </c>
      <c r="K1886" s="7" t="s">
        <v>312</v>
      </c>
      <c r="L1886" s="8">
        <v>68</v>
      </c>
      <c r="M1886" s="7">
        <f>IF(INDEX([1]equip.xml!$B:$B,MATCH(D1886,[1]equip.xml!$A:$A,0))=0,0,N1886)</f>
        <v>130</v>
      </c>
      <c r="N1886" s="8">
        <f t="shared" si="2903"/>
        <v>130</v>
      </c>
    </row>
    <row r="1887" spans="1:14">
      <c r="A1887" s="8">
        <f t="shared" si="2904"/>
        <v>20020</v>
      </c>
      <c r="B1887" s="8">
        <v>40000</v>
      </c>
      <c r="C1887" s="8" t="s">
        <v>298</v>
      </c>
      <c r="D1887" s="8">
        <f t="shared" si="2905"/>
        <v>40751061</v>
      </c>
      <c r="E1887" s="8"/>
      <c r="F1887" s="8">
        <v>1</v>
      </c>
      <c r="G1887" s="7">
        <v>237000</v>
      </c>
      <c r="H1887" s="8" t="s">
        <v>299</v>
      </c>
      <c r="I1887" s="8">
        <v>6</v>
      </c>
      <c r="J1887" s="8">
        <v>50</v>
      </c>
      <c r="K1887" s="7" t="s">
        <v>312</v>
      </c>
      <c r="L1887" s="8">
        <v>68</v>
      </c>
      <c r="M1887" s="7">
        <f>IF(INDEX([1]equip.xml!$B:$B,MATCH(D1887,[1]equip.xml!$A:$A,0))=0,0,N1887)</f>
        <v>130</v>
      </c>
      <c r="N1887" s="8">
        <f t="shared" si="2903"/>
        <v>130</v>
      </c>
    </row>
    <row r="1888" spans="1:14">
      <c r="A1888" s="8">
        <f t="shared" si="2904"/>
        <v>20020</v>
      </c>
      <c r="B1888" s="8">
        <v>40000</v>
      </c>
      <c r="C1888" s="8" t="s">
        <v>298</v>
      </c>
      <c r="D1888" s="8">
        <f t="shared" si="2905"/>
        <v>40752050</v>
      </c>
      <c r="E1888" s="8"/>
      <c r="F1888" s="8">
        <v>1</v>
      </c>
      <c r="G1888" s="7">
        <v>228000</v>
      </c>
      <c r="H1888" s="8" t="s">
        <v>299</v>
      </c>
      <c r="I1888" s="8">
        <v>6</v>
      </c>
      <c r="J1888" s="8">
        <v>50</v>
      </c>
      <c r="K1888" s="7" t="s">
        <v>312</v>
      </c>
      <c r="L1888" s="8">
        <v>68</v>
      </c>
      <c r="M1888" s="7">
        <f>IF(INDEX([1]equip.xml!$B:$B,MATCH(D1888,[1]equip.xml!$A:$A,0))=0,0,N1888)</f>
        <v>130</v>
      </c>
      <c r="N1888" s="8">
        <f t="shared" si="2903"/>
        <v>130</v>
      </c>
    </row>
    <row r="1889" spans="1:14">
      <c r="A1889" s="8">
        <f t="shared" si="2904"/>
        <v>20020</v>
      </c>
      <c r="B1889" s="8">
        <v>40000</v>
      </c>
      <c r="C1889" s="8" t="s">
        <v>298</v>
      </c>
      <c r="D1889" s="8">
        <f t="shared" si="2905"/>
        <v>40752051</v>
      </c>
      <c r="E1889" s="8"/>
      <c r="F1889" s="8">
        <v>1</v>
      </c>
      <c r="G1889" s="7">
        <v>237000</v>
      </c>
      <c r="H1889" s="8" t="s">
        <v>299</v>
      </c>
      <c r="I1889" s="8">
        <v>6</v>
      </c>
      <c r="J1889" s="8">
        <v>50</v>
      </c>
      <c r="K1889" s="7" t="s">
        <v>312</v>
      </c>
      <c r="L1889" s="8">
        <v>68</v>
      </c>
      <c r="M1889" s="7">
        <f>IF(INDEX([1]equip.xml!$B:$B,MATCH(D1889,[1]equip.xml!$A:$A,0))=0,0,N1889)</f>
        <v>130</v>
      </c>
      <c r="N1889" s="8">
        <f t="shared" si="2903"/>
        <v>130</v>
      </c>
    </row>
    <row r="1890" spans="1:14">
      <c r="A1890" s="8">
        <f t="shared" si="2904"/>
        <v>20020</v>
      </c>
      <c r="B1890" s="8">
        <v>40000</v>
      </c>
      <c r="C1890" s="8" t="s">
        <v>298</v>
      </c>
      <c r="D1890" s="8">
        <f t="shared" si="2905"/>
        <v>40752060</v>
      </c>
      <c r="E1890" s="8"/>
      <c r="F1890" s="8">
        <v>1</v>
      </c>
      <c r="G1890" s="7">
        <v>228000</v>
      </c>
      <c r="H1890" s="8" t="s">
        <v>299</v>
      </c>
      <c r="I1890" s="8">
        <v>6</v>
      </c>
      <c r="J1890" s="8">
        <v>50</v>
      </c>
      <c r="K1890" s="7" t="s">
        <v>312</v>
      </c>
      <c r="L1890" s="8">
        <v>68</v>
      </c>
      <c r="M1890" s="7">
        <f>IF(INDEX([1]equip.xml!$B:$B,MATCH(D1890,[1]equip.xml!$A:$A,0))=0,0,N1890)</f>
        <v>130</v>
      </c>
      <c r="N1890" s="8">
        <f t="shared" si="2903"/>
        <v>130</v>
      </c>
    </row>
    <row r="1891" spans="1:14">
      <c r="A1891" s="8">
        <f t="shared" si="2904"/>
        <v>20020</v>
      </c>
      <c r="B1891" s="8">
        <v>40000</v>
      </c>
      <c r="C1891" s="8" t="s">
        <v>298</v>
      </c>
      <c r="D1891" s="8">
        <f t="shared" si="2905"/>
        <v>40752061</v>
      </c>
      <c r="E1891" s="8"/>
      <c r="F1891" s="8">
        <v>1</v>
      </c>
      <c r="G1891" s="7">
        <v>237000</v>
      </c>
      <c r="H1891" s="8" t="s">
        <v>299</v>
      </c>
      <c r="I1891" s="8">
        <v>6</v>
      </c>
      <c r="J1891" s="8">
        <v>50</v>
      </c>
      <c r="K1891" s="7" t="s">
        <v>312</v>
      </c>
      <c r="L1891" s="8">
        <v>68</v>
      </c>
      <c r="M1891" s="7">
        <f>IF(INDEX([1]equip.xml!$B:$B,MATCH(D1891,[1]equip.xml!$A:$A,0))=0,0,N1891)</f>
        <v>130</v>
      </c>
      <c r="N1891" s="8">
        <f t="shared" si="2903"/>
        <v>130</v>
      </c>
    </row>
    <row r="1892" spans="1:14">
      <c r="A1892" s="8">
        <f t="shared" si="2904"/>
        <v>20020</v>
      </c>
      <c r="B1892" s="8">
        <v>40000</v>
      </c>
      <c r="C1892" s="8" t="s">
        <v>298</v>
      </c>
      <c r="D1892" s="8">
        <f t="shared" si="2905"/>
        <v>40753050</v>
      </c>
      <c r="E1892" s="8"/>
      <c r="F1892" s="8">
        <v>1</v>
      </c>
      <c r="G1892" s="7">
        <v>228000</v>
      </c>
      <c r="H1892" s="8" t="s">
        <v>299</v>
      </c>
      <c r="I1892" s="8">
        <v>6</v>
      </c>
      <c r="J1892" s="8">
        <v>50</v>
      </c>
      <c r="K1892" s="7" t="s">
        <v>312</v>
      </c>
      <c r="L1892" s="8">
        <v>68</v>
      </c>
      <c r="M1892" s="7">
        <f>IF(INDEX([1]equip.xml!$B:$B,MATCH(D1892,[1]equip.xml!$A:$A,0))=0,0,N1892)</f>
        <v>130</v>
      </c>
      <c r="N1892" s="8">
        <f t="shared" si="2903"/>
        <v>130</v>
      </c>
    </row>
    <row r="1893" spans="1:14">
      <c r="A1893" s="8">
        <f t="shared" si="2904"/>
        <v>20020</v>
      </c>
      <c r="B1893" s="8">
        <v>40000</v>
      </c>
      <c r="C1893" s="8" t="s">
        <v>298</v>
      </c>
      <c r="D1893" s="8">
        <f t="shared" si="2905"/>
        <v>40753051</v>
      </c>
      <c r="E1893" s="8"/>
      <c r="F1893" s="8">
        <v>1</v>
      </c>
      <c r="G1893" s="7">
        <v>237000</v>
      </c>
      <c r="H1893" s="8" t="s">
        <v>299</v>
      </c>
      <c r="I1893" s="8">
        <v>6</v>
      </c>
      <c r="J1893" s="8">
        <v>50</v>
      </c>
      <c r="K1893" s="7" t="s">
        <v>312</v>
      </c>
      <c r="L1893" s="8">
        <v>68</v>
      </c>
      <c r="M1893" s="7">
        <f>IF(INDEX([1]equip.xml!$B:$B,MATCH(D1893,[1]equip.xml!$A:$A,0))=0,0,N1893)</f>
        <v>130</v>
      </c>
      <c r="N1893" s="8">
        <f t="shared" si="2903"/>
        <v>130</v>
      </c>
    </row>
    <row r="1894" spans="1:14">
      <c r="A1894" s="8">
        <f t="shared" si="2904"/>
        <v>20020</v>
      </c>
      <c r="B1894" s="8">
        <v>40000</v>
      </c>
      <c r="C1894" s="8" t="s">
        <v>298</v>
      </c>
      <c r="D1894" s="8">
        <f t="shared" si="2905"/>
        <v>40753060</v>
      </c>
      <c r="E1894" s="8"/>
      <c r="F1894" s="8">
        <v>1</v>
      </c>
      <c r="G1894" s="7">
        <v>228000</v>
      </c>
      <c r="H1894" s="8" t="s">
        <v>299</v>
      </c>
      <c r="I1894" s="8">
        <v>6</v>
      </c>
      <c r="J1894" s="8">
        <v>50</v>
      </c>
      <c r="K1894" s="7" t="s">
        <v>312</v>
      </c>
      <c r="L1894" s="8">
        <v>68</v>
      </c>
      <c r="M1894" s="7">
        <f>IF(INDEX([1]equip.xml!$B:$B,MATCH(D1894,[1]equip.xml!$A:$A,0))=0,0,N1894)</f>
        <v>130</v>
      </c>
      <c r="N1894" s="8">
        <f t="shared" si="2903"/>
        <v>130</v>
      </c>
    </row>
    <row r="1895" spans="1:14">
      <c r="A1895" s="8">
        <f t="shared" si="2904"/>
        <v>20020</v>
      </c>
      <c r="B1895" s="8">
        <v>40000</v>
      </c>
      <c r="C1895" s="8" t="s">
        <v>298</v>
      </c>
      <c r="D1895" s="8">
        <f t="shared" si="2905"/>
        <v>40753061</v>
      </c>
      <c r="E1895" s="8"/>
      <c r="F1895" s="8">
        <v>1</v>
      </c>
      <c r="G1895" s="7">
        <v>237000</v>
      </c>
      <c r="H1895" s="8" t="s">
        <v>299</v>
      </c>
      <c r="I1895" s="8">
        <v>6</v>
      </c>
      <c r="J1895" s="8">
        <v>50</v>
      </c>
      <c r="K1895" s="7" t="s">
        <v>312</v>
      </c>
      <c r="L1895" s="8">
        <v>68</v>
      </c>
      <c r="M1895" s="7">
        <f>IF(INDEX([1]equip.xml!$B:$B,MATCH(D1895,[1]equip.xml!$A:$A,0))=0,0,N1895)</f>
        <v>130</v>
      </c>
      <c r="N1895" s="8">
        <f t="shared" si="2903"/>
        <v>130</v>
      </c>
    </row>
    <row r="1896" spans="1:14">
      <c r="A1896" s="8">
        <f t="shared" si="2904"/>
        <v>20020</v>
      </c>
      <c r="B1896" s="8">
        <v>40000</v>
      </c>
      <c r="C1896" s="8" t="s">
        <v>298</v>
      </c>
      <c r="D1896" s="8">
        <f t="shared" si="2905"/>
        <v>40750040</v>
      </c>
      <c r="E1896" s="8"/>
      <c r="F1896" s="8">
        <v>1</v>
      </c>
      <c r="G1896" s="7">
        <v>228000</v>
      </c>
      <c r="H1896" s="8" t="s">
        <v>299</v>
      </c>
      <c r="I1896" s="8">
        <v>6</v>
      </c>
      <c r="J1896" s="8">
        <v>50</v>
      </c>
      <c r="K1896" s="7" t="s">
        <v>312</v>
      </c>
      <c r="L1896" s="8">
        <v>68</v>
      </c>
      <c r="M1896" s="7">
        <f>IF(INDEX([1]equip.xml!$B:$B,MATCH(D1896,[1]equip.xml!$A:$A,0))=0,0,N1896)</f>
        <v>130</v>
      </c>
      <c r="N1896" s="8">
        <f t="shared" si="2903"/>
        <v>130</v>
      </c>
    </row>
    <row r="1897" spans="1:14">
      <c r="A1897" s="8">
        <f t="shared" si="2904"/>
        <v>20020</v>
      </c>
      <c r="B1897" s="8">
        <v>40000</v>
      </c>
      <c r="C1897" s="8" t="s">
        <v>298</v>
      </c>
      <c r="D1897" s="8">
        <f t="shared" si="2905"/>
        <v>40750041</v>
      </c>
      <c r="E1897" s="8"/>
      <c r="F1897" s="8">
        <v>1</v>
      </c>
      <c r="G1897" s="7">
        <v>237000</v>
      </c>
      <c r="H1897" s="8" t="s">
        <v>299</v>
      </c>
      <c r="I1897" s="8">
        <v>6</v>
      </c>
      <c r="J1897" s="8">
        <v>50</v>
      </c>
      <c r="K1897" s="7" t="s">
        <v>312</v>
      </c>
      <c r="L1897" s="8">
        <v>68</v>
      </c>
      <c r="M1897" s="7">
        <f>IF(INDEX([1]equip.xml!$B:$B,MATCH(D1897,[1]equip.xml!$A:$A,0))=0,0,N1897)</f>
        <v>130</v>
      </c>
      <c r="N1897" s="8">
        <f t="shared" si="2903"/>
        <v>130</v>
      </c>
    </row>
    <row r="1898" spans="1:14">
      <c r="A1898" s="8">
        <f t="shared" si="2904"/>
        <v>20020</v>
      </c>
      <c r="B1898" s="8">
        <v>40000</v>
      </c>
      <c r="C1898" s="8" t="s">
        <v>298</v>
      </c>
      <c r="D1898" s="8">
        <f t="shared" si="2905"/>
        <v>40750070</v>
      </c>
      <c r="E1898" s="8"/>
      <c r="F1898" s="8">
        <v>1</v>
      </c>
      <c r="G1898" s="7">
        <v>228000</v>
      </c>
      <c r="H1898" s="8" t="s">
        <v>299</v>
      </c>
      <c r="I1898" s="8">
        <v>6</v>
      </c>
      <c r="J1898" s="8">
        <v>50</v>
      </c>
      <c r="K1898" s="7" t="s">
        <v>312</v>
      </c>
      <c r="L1898" s="8">
        <v>68</v>
      </c>
      <c r="M1898" s="7">
        <f>IF(INDEX([1]equip.xml!$B:$B,MATCH(D1898,[1]equip.xml!$A:$A,0))=0,0,N1898)</f>
        <v>130</v>
      </c>
      <c r="N1898" s="8">
        <f t="shared" si="2903"/>
        <v>130</v>
      </c>
    </row>
    <row r="1899" spans="1:14">
      <c r="A1899" s="8">
        <f t="shared" si="2904"/>
        <v>20020</v>
      </c>
      <c r="B1899" s="8">
        <v>40000</v>
      </c>
      <c r="C1899" s="8" t="s">
        <v>298</v>
      </c>
      <c r="D1899" s="8">
        <f t="shared" si="2905"/>
        <v>40750071</v>
      </c>
      <c r="E1899" s="8"/>
      <c r="F1899" s="8">
        <v>1</v>
      </c>
      <c r="G1899" s="7">
        <v>237000</v>
      </c>
      <c r="H1899" s="8" t="s">
        <v>299</v>
      </c>
      <c r="I1899" s="8">
        <v>6</v>
      </c>
      <c r="J1899" s="8">
        <v>50</v>
      </c>
      <c r="K1899" s="7" t="s">
        <v>312</v>
      </c>
      <c r="L1899" s="8">
        <v>68</v>
      </c>
      <c r="M1899" s="7">
        <f>IF(INDEX([1]equip.xml!$B:$B,MATCH(D1899,[1]equip.xml!$A:$A,0))=0,0,N1899)</f>
        <v>130</v>
      </c>
      <c r="N1899" s="8">
        <f t="shared" ref="N1899:N1943" si="2906">N1855</f>
        <v>130</v>
      </c>
    </row>
    <row r="1900" spans="1:14">
      <c r="A1900" s="8">
        <f t="shared" si="2904"/>
        <v>20020</v>
      </c>
      <c r="B1900" s="8">
        <v>40000</v>
      </c>
      <c r="C1900" s="8" t="s">
        <v>298</v>
      </c>
      <c r="D1900" s="8">
        <f t="shared" si="2905"/>
        <v>40800010</v>
      </c>
      <c r="E1900" s="8"/>
      <c r="F1900" s="8">
        <v>1</v>
      </c>
      <c r="G1900" s="7">
        <v>246000</v>
      </c>
      <c r="H1900" s="8" t="s">
        <v>299</v>
      </c>
      <c r="I1900" s="8">
        <v>6</v>
      </c>
      <c r="J1900" s="8">
        <v>50</v>
      </c>
      <c r="K1900" s="7" t="s">
        <v>312</v>
      </c>
      <c r="L1900" s="8">
        <v>68</v>
      </c>
      <c r="M1900" s="7">
        <f>IF(INDEX([1]equip.xml!$B:$B,MATCH(D1900,[1]equip.xml!$A:$A,0))=0,0,N1900)</f>
        <v>30</v>
      </c>
      <c r="N1900" s="8">
        <v>30</v>
      </c>
    </row>
    <row r="1901" spans="1:14">
      <c r="A1901" s="8">
        <f t="shared" si="2904"/>
        <v>20020</v>
      </c>
      <c r="B1901" s="8">
        <v>40000</v>
      </c>
      <c r="C1901" s="8" t="s">
        <v>298</v>
      </c>
      <c r="D1901" s="8">
        <f t="shared" si="2905"/>
        <v>40800020</v>
      </c>
      <c r="E1901" s="8"/>
      <c r="F1901" s="8">
        <v>1</v>
      </c>
      <c r="G1901" s="7">
        <v>246000</v>
      </c>
      <c r="H1901" s="8" t="s">
        <v>299</v>
      </c>
      <c r="I1901" s="8">
        <v>6</v>
      </c>
      <c r="J1901" s="8">
        <v>50</v>
      </c>
      <c r="K1901" s="7" t="s">
        <v>312</v>
      </c>
      <c r="L1901" s="8">
        <v>68</v>
      </c>
      <c r="M1901" s="7">
        <f>IF(INDEX([1]equip.xml!$B:$B,MATCH(D1901,[1]equip.xml!$A:$A,0))=0,0,N1901)</f>
        <v>30</v>
      </c>
      <c r="N1901" s="8">
        <v>30</v>
      </c>
    </row>
    <row r="1902" spans="1:14">
      <c r="A1902" s="8">
        <f t="shared" si="2904"/>
        <v>20020</v>
      </c>
      <c r="B1902" s="8">
        <v>40000</v>
      </c>
      <c r="C1902" s="8" t="s">
        <v>298</v>
      </c>
      <c r="D1902" s="8">
        <f t="shared" si="2905"/>
        <v>40800030</v>
      </c>
      <c r="E1902" s="8"/>
      <c r="F1902" s="8">
        <v>1</v>
      </c>
      <c r="G1902" s="7">
        <v>246000</v>
      </c>
      <c r="H1902" s="8" t="s">
        <v>299</v>
      </c>
      <c r="I1902" s="8">
        <v>6</v>
      </c>
      <c r="J1902" s="8">
        <v>50</v>
      </c>
      <c r="K1902" s="7" t="s">
        <v>312</v>
      </c>
      <c r="L1902" s="8">
        <v>68</v>
      </c>
      <c r="M1902" s="7">
        <f>IF(INDEX([1]equip.xml!$B:$B,MATCH(D1902,[1]equip.xml!$A:$A,0))=0,0,N1902)</f>
        <v>30</v>
      </c>
      <c r="N1902" s="8">
        <v>30</v>
      </c>
    </row>
    <row r="1903" spans="1:14">
      <c r="A1903" s="8">
        <f t="shared" si="2904"/>
        <v>20020</v>
      </c>
      <c r="B1903" s="8">
        <v>40000</v>
      </c>
      <c r="C1903" s="8" t="s">
        <v>298</v>
      </c>
      <c r="D1903" s="8">
        <f t="shared" si="2905"/>
        <v>40800080</v>
      </c>
      <c r="E1903" s="8"/>
      <c r="F1903" s="8">
        <v>1</v>
      </c>
      <c r="G1903" s="7">
        <v>246000</v>
      </c>
      <c r="H1903" s="8" t="s">
        <v>299</v>
      </c>
      <c r="I1903" s="8">
        <v>6</v>
      </c>
      <c r="J1903" s="8">
        <v>50</v>
      </c>
      <c r="K1903" s="7" t="s">
        <v>312</v>
      </c>
      <c r="L1903" s="8">
        <v>68</v>
      </c>
      <c r="M1903" s="7">
        <f>IF(INDEX([1]equip.xml!$B:$B,MATCH(D1903,[1]equip.xml!$A:$A,0))=0,0,N1903)</f>
        <v>30</v>
      </c>
      <c r="N1903" s="8">
        <v>30</v>
      </c>
    </row>
    <row r="1904" spans="1:14">
      <c r="A1904" s="8">
        <f t="shared" si="2904"/>
        <v>20020</v>
      </c>
      <c r="B1904" s="8">
        <v>40000</v>
      </c>
      <c r="C1904" s="8" t="s">
        <v>298</v>
      </c>
      <c r="D1904" s="8">
        <f t="shared" si="2905"/>
        <v>40800090</v>
      </c>
      <c r="E1904" s="8"/>
      <c r="F1904" s="8">
        <v>1</v>
      </c>
      <c r="G1904" s="7">
        <v>246000</v>
      </c>
      <c r="H1904" s="8" t="s">
        <v>299</v>
      </c>
      <c r="I1904" s="8">
        <v>6</v>
      </c>
      <c r="J1904" s="8">
        <v>50</v>
      </c>
      <c r="K1904" s="7" t="s">
        <v>312</v>
      </c>
      <c r="L1904" s="8">
        <v>68</v>
      </c>
      <c r="M1904" s="7">
        <f>IF(INDEX([1]equip.xml!$B:$B,MATCH(D1904,[1]equip.xml!$A:$A,0))=0,0,N1904)</f>
        <v>30</v>
      </c>
      <c r="N1904" s="8">
        <v>30</v>
      </c>
    </row>
    <row r="1905" spans="1:14">
      <c r="A1905" s="8">
        <f t="shared" si="2904"/>
        <v>20020</v>
      </c>
      <c r="B1905" s="8">
        <v>40000</v>
      </c>
      <c r="C1905" s="8" t="s">
        <v>298</v>
      </c>
      <c r="D1905" s="8">
        <f t="shared" si="2905"/>
        <v>40800100</v>
      </c>
      <c r="E1905" s="8"/>
      <c r="F1905" s="8">
        <v>1</v>
      </c>
      <c r="G1905" s="7">
        <v>246000</v>
      </c>
      <c r="H1905" s="8" t="s">
        <v>299</v>
      </c>
      <c r="I1905" s="8">
        <v>6</v>
      </c>
      <c r="J1905" s="8">
        <v>50</v>
      </c>
      <c r="K1905" s="7" t="s">
        <v>312</v>
      </c>
      <c r="L1905" s="8">
        <v>68</v>
      </c>
      <c r="M1905" s="7">
        <f>IF(INDEX([1]equip.xml!$B:$B,MATCH(D1905,[1]equip.xml!$A:$A,0))=0,0,N1905)</f>
        <v>30</v>
      </c>
      <c r="N1905" s="8">
        <v>30</v>
      </c>
    </row>
    <row r="1906" spans="1:14">
      <c r="A1906" s="8">
        <f t="shared" si="2904"/>
        <v>20020</v>
      </c>
      <c r="B1906" s="8">
        <v>40000</v>
      </c>
      <c r="C1906" s="8" t="s">
        <v>298</v>
      </c>
      <c r="D1906" s="8">
        <f t="shared" si="2905"/>
        <v>40801050</v>
      </c>
      <c r="E1906" s="8"/>
      <c r="F1906" s="8">
        <v>1</v>
      </c>
      <c r="G1906" s="7">
        <v>246000</v>
      </c>
      <c r="H1906" s="8" t="s">
        <v>299</v>
      </c>
      <c r="I1906" s="8">
        <v>6</v>
      </c>
      <c r="J1906" s="8">
        <v>50</v>
      </c>
      <c r="K1906" s="7" t="s">
        <v>312</v>
      </c>
      <c r="L1906" s="8">
        <v>68</v>
      </c>
      <c r="M1906" s="7">
        <f>IF(INDEX([1]equip.xml!$B:$B,MATCH(D1906,[1]equip.xml!$A:$A,0))=0,0,N1906)</f>
        <v>30</v>
      </c>
      <c r="N1906" s="8">
        <v>30</v>
      </c>
    </row>
    <row r="1907" spans="1:14">
      <c r="A1907" s="8">
        <f t="shared" si="2904"/>
        <v>20020</v>
      </c>
      <c r="B1907" s="8">
        <v>40000</v>
      </c>
      <c r="C1907" s="8" t="s">
        <v>298</v>
      </c>
      <c r="D1907" s="8">
        <f t="shared" si="2905"/>
        <v>40801051</v>
      </c>
      <c r="E1907" s="8"/>
      <c r="F1907" s="8">
        <v>1</v>
      </c>
      <c r="G1907" s="7">
        <v>255000</v>
      </c>
      <c r="H1907" s="8" t="s">
        <v>299</v>
      </c>
      <c r="I1907" s="8">
        <v>6</v>
      </c>
      <c r="J1907" s="8">
        <v>50</v>
      </c>
      <c r="K1907" s="7" t="s">
        <v>312</v>
      </c>
      <c r="L1907" s="8">
        <v>68</v>
      </c>
      <c r="M1907" s="7">
        <f>IF(INDEX([1]equip.xml!$B:$B,MATCH(D1907,[1]equip.xml!$A:$A,0))=0,0,N1907)</f>
        <v>30</v>
      </c>
      <c r="N1907" s="8">
        <v>30</v>
      </c>
    </row>
    <row r="1908" spans="1:14">
      <c r="A1908" s="8">
        <f t="shared" si="2904"/>
        <v>20020</v>
      </c>
      <c r="B1908" s="8">
        <v>40000</v>
      </c>
      <c r="C1908" s="8" t="s">
        <v>298</v>
      </c>
      <c r="D1908" s="8">
        <f t="shared" si="2905"/>
        <v>40801060</v>
      </c>
      <c r="E1908" s="8"/>
      <c r="F1908" s="8">
        <v>1</v>
      </c>
      <c r="G1908" s="7">
        <v>246000</v>
      </c>
      <c r="H1908" s="8" t="s">
        <v>299</v>
      </c>
      <c r="I1908" s="8">
        <v>6</v>
      </c>
      <c r="J1908" s="8">
        <v>50</v>
      </c>
      <c r="K1908" s="7" t="s">
        <v>312</v>
      </c>
      <c r="L1908" s="8">
        <v>68</v>
      </c>
      <c r="M1908" s="7">
        <f>IF(INDEX([1]equip.xml!$B:$B,MATCH(D1908,[1]equip.xml!$A:$A,0))=0,0,N1908)</f>
        <v>30</v>
      </c>
      <c r="N1908" s="8">
        <v>30</v>
      </c>
    </row>
    <row r="1909" spans="1:14">
      <c r="A1909" s="8">
        <f t="shared" si="2904"/>
        <v>20020</v>
      </c>
      <c r="B1909" s="8">
        <v>40000</v>
      </c>
      <c r="C1909" s="8" t="s">
        <v>298</v>
      </c>
      <c r="D1909" s="8">
        <f t="shared" si="2905"/>
        <v>40801061</v>
      </c>
      <c r="E1909" s="8"/>
      <c r="F1909" s="8">
        <v>1</v>
      </c>
      <c r="G1909" s="7">
        <v>255000</v>
      </c>
      <c r="H1909" s="8" t="s">
        <v>299</v>
      </c>
      <c r="I1909" s="8">
        <v>6</v>
      </c>
      <c r="J1909" s="8">
        <v>50</v>
      </c>
      <c r="K1909" s="7" t="s">
        <v>312</v>
      </c>
      <c r="L1909" s="8">
        <v>68</v>
      </c>
      <c r="M1909" s="7">
        <f>IF(INDEX([1]equip.xml!$B:$B,MATCH(D1909,[1]equip.xml!$A:$A,0))=0,0,N1909)</f>
        <v>30</v>
      </c>
      <c r="N1909" s="8">
        <v>30</v>
      </c>
    </row>
    <row r="1910" spans="1:14">
      <c r="A1910" s="8">
        <f t="shared" si="2904"/>
        <v>20020</v>
      </c>
      <c r="B1910" s="8">
        <v>40000</v>
      </c>
      <c r="C1910" s="8" t="s">
        <v>298</v>
      </c>
      <c r="D1910" s="8">
        <f t="shared" si="2905"/>
        <v>40802050</v>
      </c>
      <c r="E1910" s="8"/>
      <c r="F1910" s="8">
        <v>1</v>
      </c>
      <c r="G1910" s="7">
        <v>246000</v>
      </c>
      <c r="H1910" s="8" t="s">
        <v>299</v>
      </c>
      <c r="I1910" s="8">
        <v>6</v>
      </c>
      <c r="J1910" s="8">
        <v>50</v>
      </c>
      <c r="K1910" s="7" t="s">
        <v>312</v>
      </c>
      <c r="L1910" s="8">
        <v>68</v>
      </c>
      <c r="M1910" s="7">
        <f>IF(INDEX([1]equip.xml!$B:$B,MATCH(D1910,[1]equip.xml!$A:$A,0))=0,0,N1910)</f>
        <v>30</v>
      </c>
      <c r="N1910" s="8">
        <v>30</v>
      </c>
    </row>
    <row r="1911" spans="1:14">
      <c r="A1911" s="8">
        <f t="shared" si="2904"/>
        <v>20020</v>
      </c>
      <c r="B1911" s="8">
        <v>40000</v>
      </c>
      <c r="C1911" s="8" t="s">
        <v>298</v>
      </c>
      <c r="D1911" s="8">
        <f t="shared" si="2905"/>
        <v>40802051</v>
      </c>
      <c r="E1911" s="8"/>
      <c r="F1911" s="8">
        <v>1</v>
      </c>
      <c r="G1911" s="7">
        <v>255000</v>
      </c>
      <c r="H1911" s="8" t="s">
        <v>299</v>
      </c>
      <c r="I1911" s="8">
        <v>6</v>
      </c>
      <c r="J1911" s="8">
        <v>50</v>
      </c>
      <c r="K1911" s="7" t="s">
        <v>312</v>
      </c>
      <c r="L1911" s="8">
        <v>68</v>
      </c>
      <c r="M1911" s="7">
        <f>IF(INDEX([1]equip.xml!$B:$B,MATCH(D1911,[1]equip.xml!$A:$A,0))=0,0,N1911)</f>
        <v>30</v>
      </c>
      <c r="N1911" s="8">
        <v>30</v>
      </c>
    </row>
    <row r="1912" spans="1:14">
      <c r="A1912" s="8">
        <f t="shared" si="2904"/>
        <v>20020</v>
      </c>
      <c r="B1912" s="8">
        <v>40000</v>
      </c>
      <c r="C1912" s="8" t="s">
        <v>298</v>
      </c>
      <c r="D1912" s="8">
        <f t="shared" si="2905"/>
        <v>40802060</v>
      </c>
      <c r="E1912" s="8"/>
      <c r="F1912" s="8">
        <v>1</v>
      </c>
      <c r="G1912" s="7">
        <v>246000</v>
      </c>
      <c r="H1912" s="8" t="s">
        <v>299</v>
      </c>
      <c r="I1912" s="8">
        <v>6</v>
      </c>
      <c r="J1912" s="8">
        <v>50</v>
      </c>
      <c r="K1912" s="7" t="s">
        <v>312</v>
      </c>
      <c r="L1912" s="8">
        <v>68</v>
      </c>
      <c r="M1912" s="7">
        <f>IF(INDEX([1]equip.xml!$B:$B,MATCH(D1912,[1]equip.xml!$A:$A,0))=0,0,N1912)</f>
        <v>30</v>
      </c>
      <c r="N1912" s="8">
        <v>30</v>
      </c>
    </row>
    <row r="1913" spans="1:14">
      <c r="A1913" s="8">
        <f t="shared" si="2904"/>
        <v>20020</v>
      </c>
      <c r="B1913" s="8">
        <v>40000</v>
      </c>
      <c r="C1913" s="8" t="s">
        <v>298</v>
      </c>
      <c r="D1913" s="8">
        <f t="shared" si="2905"/>
        <v>40802061</v>
      </c>
      <c r="E1913" s="8"/>
      <c r="F1913" s="8">
        <v>1</v>
      </c>
      <c r="G1913" s="7">
        <v>255000</v>
      </c>
      <c r="H1913" s="8" t="s">
        <v>299</v>
      </c>
      <c r="I1913" s="8">
        <v>6</v>
      </c>
      <c r="J1913" s="8">
        <v>50</v>
      </c>
      <c r="K1913" s="7" t="s">
        <v>312</v>
      </c>
      <c r="L1913" s="8">
        <v>68</v>
      </c>
      <c r="M1913" s="7">
        <f>IF(INDEX([1]equip.xml!$B:$B,MATCH(D1913,[1]equip.xml!$A:$A,0))=0,0,N1913)</f>
        <v>30</v>
      </c>
      <c r="N1913" s="8">
        <v>30</v>
      </c>
    </row>
    <row r="1914" spans="1:14">
      <c r="A1914" s="8">
        <f t="shared" si="2904"/>
        <v>20020</v>
      </c>
      <c r="B1914" s="8">
        <v>40000</v>
      </c>
      <c r="C1914" s="8" t="s">
        <v>298</v>
      </c>
      <c r="D1914" s="8">
        <f t="shared" si="2905"/>
        <v>40803050</v>
      </c>
      <c r="E1914" s="8"/>
      <c r="F1914" s="8">
        <v>1</v>
      </c>
      <c r="G1914" s="7">
        <v>246000</v>
      </c>
      <c r="H1914" s="8" t="s">
        <v>299</v>
      </c>
      <c r="I1914" s="8">
        <v>6</v>
      </c>
      <c r="J1914" s="8">
        <v>50</v>
      </c>
      <c r="K1914" s="7" t="s">
        <v>312</v>
      </c>
      <c r="L1914" s="8">
        <v>68</v>
      </c>
      <c r="M1914" s="7">
        <f>IF(INDEX([1]equip.xml!$B:$B,MATCH(D1914,[1]equip.xml!$A:$A,0))=0,0,N1914)</f>
        <v>30</v>
      </c>
      <c r="N1914" s="8">
        <v>30</v>
      </c>
    </row>
    <row r="1915" spans="1:14">
      <c r="A1915" s="8">
        <f t="shared" si="2904"/>
        <v>20020</v>
      </c>
      <c r="B1915" s="8">
        <v>40000</v>
      </c>
      <c r="C1915" s="8" t="s">
        <v>298</v>
      </c>
      <c r="D1915" s="8">
        <f t="shared" si="2905"/>
        <v>40803051</v>
      </c>
      <c r="E1915" s="8"/>
      <c r="F1915" s="8">
        <v>1</v>
      </c>
      <c r="G1915" s="7">
        <v>255000</v>
      </c>
      <c r="H1915" s="8" t="s">
        <v>299</v>
      </c>
      <c r="I1915" s="8">
        <v>6</v>
      </c>
      <c r="J1915" s="8">
        <v>50</v>
      </c>
      <c r="K1915" s="7" t="s">
        <v>312</v>
      </c>
      <c r="L1915" s="8">
        <v>68</v>
      </c>
      <c r="M1915" s="7">
        <f>IF(INDEX([1]equip.xml!$B:$B,MATCH(D1915,[1]equip.xml!$A:$A,0))=0,0,N1915)</f>
        <v>30</v>
      </c>
      <c r="N1915" s="8">
        <v>30</v>
      </c>
    </row>
    <row r="1916" spans="1:14">
      <c r="A1916" s="8">
        <f t="shared" si="2904"/>
        <v>20020</v>
      </c>
      <c r="B1916" s="8">
        <v>40000</v>
      </c>
      <c r="C1916" s="8" t="s">
        <v>298</v>
      </c>
      <c r="D1916" s="8">
        <f t="shared" si="2905"/>
        <v>40803060</v>
      </c>
      <c r="E1916" s="8"/>
      <c r="F1916" s="8">
        <v>1</v>
      </c>
      <c r="G1916" s="7">
        <v>246000</v>
      </c>
      <c r="H1916" s="8" t="s">
        <v>299</v>
      </c>
      <c r="I1916" s="8">
        <v>6</v>
      </c>
      <c r="J1916" s="8">
        <v>50</v>
      </c>
      <c r="K1916" s="7" t="s">
        <v>312</v>
      </c>
      <c r="L1916" s="8">
        <v>68</v>
      </c>
      <c r="M1916" s="7">
        <f>IF(INDEX([1]equip.xml!$B:$B,MATCH(D1916,[1]equip.xml!$A:$A,0))=0,0,N1916)</f>
        <v>30</v>
      </c>
      <c r="N1916" s="8">
        <v>30</v>
      </c>
    </row>
    <row r="1917" spans="1:14">
      <c r="A1917" s="8">
        <f t="shared" si="2904"/>
        <v>20020</v>
      </c>
      <c r="B1917" s="8">
        <v>40000</v>
      </c>
      <c r="C1917" s="8" t="s">
        <v>298</v>
      </c>
      <c r="D1917" s="8">
        <f t="shared" si="2905"/>
        <v>40803061</v>
      </c>
      <c r="E1917" s="8"/>
      <c r="F1917" s="8">
        <v>1</v>
      </c>
      <c r="G1917" s="7">
        <v>255000</v>
      </c>
      <c r="H1917" s="8" t="s">
        <v>299</v>
      </c>
      <c r="I1917" s="8">
        <v>6</v>
      </c>
      <c r="J1917" s="8">
        <v>50</v>
      </c>
      <c r="K1917" s="7" t="s">
        <v>312</v>
      </c>
      <c r="L1917" s="8">
        <v>68</v>
      </c>
      <c r="M1917" s="7">
        <f>IF(INDEX([1]equip.xml!$B:$B,MATCH(D1917,[1]equip.xml!$A:$A,0))=0,0,N1917)</f>
        <v>30</v>
      </c>
      <c r="N1917" s="8">
        <v>30</v>
      </c>
    </row>
    <row r="1918" spans="1:14">
      <c r="A1918" s="8">
        <f t="shared" si="2904"/>
        <v>20020</v>
      </c>
      <c r="B1918" s="8">
        <v>40000</v>
      </c>
      <c r="C1918" s="8" t="s">
        <v>298</v>
      </c>
      <c r="D1918" s="8">
        <f t="shared" si="2905"/>
        <v>40800040</v>
      </c>
      <c r="E1918" s="8"/>
      <c r="F1918" s="8">
        <v>1</v>
      </c>
      <c r="G1918" s="7">
        <v>246000</v>
      </c>
      <c r="H1918" s="8" t="s">
        <v>299</v>
      </c>
      <c r="I1918" s="8">
        <v>6</v>
      </c>
      <c r="J1918" s="8">
        <v>50</v>
      </c>
      <c r="K1918" s="7" t="s">
        <v>312</v>
      </c>
      <c r="L1918" s="8">
        <v>68</v>
      </c>
      <c r="M1918" s="7">
        <f>IF(INDEX([1]equip.xml!$B:$B,MATCH(D1918,[1]equip.xml!$A:$A,0))=0,0,N1918)</f>
        <v>30</v>
      </c>
      <c r="N1918" s="8">
        <v>30</v>
      </c>
    </row>
    <row r="1919" spans="1:14">
      <c r="A1919" s="8">
        <f t="shared" ref="A1919:A1982" si="2907">A1391+10000</f>
        <v>20020</v>
      </c>
      <c r="B1919" s="8">
        <v>40000</v>
      </c>
      <c r="C1919" s="8" t="s">
        <v>298</v>
      </c>
      <c r="D1919" s="8">
        <f t="shared" si="2905"/>
        <v>40800041</v>
      </c>
      <c r="E1919" s="8"/>
      <c r="F1919" s="8">
        <v>1</v>
      </c>
      <c r="G1919" s="7">
        <v>255000</v>
      </c>
      <c r="H1919" s="8" t="s">
        <v>299</v>
      </c>
      <c r="I1919" s="8">
        <v>6</v>
      </c>
      <c r="J1919" s="8">
        <v>50</v>
      </c>
      <c r="K1919" s="7" t="s">
        <v>312</v>
      </c>
      <c r="L1919" s="8">
        <v>68</v>
      </c>
      <c r="M1919" s="7">
        <f>IF(INDEX([1]equip.xml!$B:$B,MATCH(D1919,[1]equip.xml!$A:$A,0))=0,0,N1919)</f>
        <v>30</v>
      </c>
      <c r="N1919" s="8">
        <v>30</v>
      </c>
    </row>
    <row r="1920" spans="1:14">
      <c r="A1920" s="8">
        <f t="shared" si="2907"/>
        <v>20020</v>
      </c>
      <c r="B1920" s="8">
        <v>40000</v>
      </c>
      <c r="C1920" s="8" t="s">
        <v>298</v>
      </c>
      <c r="D1920" s="8">
        <f t="shared" si="2905"/>
        <v>40800070</v>
      </c>
      <c r="E1920" s="8"/>
      <c r="F1920" s="8">
        <v>1</v>
      </c>
      <c r="G1920" s="7">
        <v>246000</v>
      </c>
      <c r="H1920" s="8" t="s">
        <v>299</v>
      </c>
      <c r="I1920" s="8">
        <v>6</v>
      </c>
      <c r="J1920" s="8">
        <v>50</v>
      </c>
      <c r="K1920" s="7" t="s">
        <v>312</v>
      </c>
      <c r="L1920" s="8">
        <v>68</v>
      </c>
      <c r="M1920" s="7">
        <f>IF(INDEX([1]equip.xml!$B:$B,MATCH(D1920,[1]equip.xml!$A:$A,0))=0,0,N1920)</f>
        <v>30</v>
      </c>
      <c r="N1920" s="8">
        <v>30</v>
      </c>
    </row>
    <row r="1921" spans="1:14">
      <c r="A1921" s="8">
        <f t="shared" si="2907"/>
        <v>20020</v>
      </c>
      <c r="B1921" s="8">
        <v>40000</v>
      </c>
      <c r="C1921" s="8" t="s">
        <v>298</v>
      </c>
      <c r="D1921" s="8">
        <f t="shared" si="2905"/>
        <v>40800071</v>
      </c>
      <c r="E1921" s="8"/>
      <c r="F1921" s="8">
        <v>1</v>
      </c>
      <c r="G1921" s="7">
        <v>255000</v>
      </c>
      <c r="H1921" s="8" t="s">
        <v>299</v>
      </c>
      <c r="I1921" s="8">
        <v>6</v>
      </c>
      <c r="J1921" s="8">
        <v>50</v>
      </c>
      <c r="K1921" s="7" t="s">
        <v>312</v>
      </c>
      <c r="L1921" s="8">
        <v>68</v>
      </c>
      <c r="M1921" s="7">
        <f>IF(INDEX([1]equip.xml!$B:$B,MATCH(D1921,[1]equip.xml!$A:$A,0))=0,0,N1921)</f>
        <v>30</v>
      </c>
      <c r="N1921" s="8">
        <v>30</v>
      </c>
    </row>
    <row r="1922" spans="1:14">
      <c r="A1922" s="8">
        <f t="shared" si="2907"/>
        <v>20020</v>
      </c>
      <c r="B1922" s="8">
        <v>40000</v>
      </c>
      <c r="C1922" s="8" t="s">
        <v>298</v>
      </c>
      <c r="D1922" s="7">
        <f>D1878+10000005</f>
        <v>50750015</v>
      </c>
      <c r="E1922" s="8"/>
      <c r="F1922" s="8">
        <v>1</v>
      </c>
      <c r="G1922" s="7">
        <v>456000</v>
      </c>
      <c r="H1922" s="8" t="s">
        <v>299</v>
      </c>
      <c r="I1922" s="8">
        <v>1</v>
      </c>
      <c r="J1922" s="8">
        <v>240</v>
      </c>
      <c r="K1922" s="7" t="s">
        <v>312</v>
      </c>
      <c r="L1922" s="8">
        <v>68</v>
      </c>
      <c r="M1922" s="7">
        <f>IF(INDEX([1]equip.xml!$B:$B,MATCH(D1922,[1]equip.xml!$A:$A,0))=0,0,N1922)</f>
        <v>130</v>
      </c>
      <c r="N1922" s="8">
        <f t="shared" si="2906"/>
        <v>130</v>
      </c>
    </row>
    <row r="1923" spans="1:14">
      <c r="A1923" s="8">
        <f t="shared" si="2907"/>
        <v>20020</v>
      </c>
      <c r="B1923" s="8">
        <v>40000</v>
      </c>
      <c r="C1923" s="8" t="s">
        <v>298</v>
      </c>
      <c r="D1923" s="7">
        <f t="shared" ref="D1923:D1965" si="2908">D1879+10000005</f>
        <v>50750025</v>
      </c>
      <c r="E1923" s="8"/>
      <c r="F1923" s="8">
        <v>1</v>
      </c>
      <c r="G1923" s="7">
        <v>456000</v>
      </c>
      <c r="H1923" s="8" t="s">
        <v>299</v>
      </c>
      <c r="I1923" s="8">
        <v>1</v>
      </c>
      <c r="J1923" s="8">
        <v>240</v>
      </c>
      <c r="K1923" s="7" t="s">
        <v>312</v>
      </c>
      <c r="L1923" s="8">
        <v>68</v>
      </c>
      <c r="M1923" s="7">
        <f>IF(INDEX([1]equip.xml!$B:$B,MATCH(D1923,[1]equip.xml!$A:$A,0))=0,0,N1923)</f>
        <v>130</v>
      </c>
      <c r="N1923" s="8">
        <f t="shared" si="2906"/>
        <v>130</v>
      </c>
    </row>
    <row r="1924" spans="1:14">
      <c r="A1924" s="8">
        <f t="shared" si="2907"/>
        <v>20020</v>
      </c>
      <c r="B1924" s="8">
        <v>40000</v>
      </c>
      <c r="C1924" s="8" t="s">
        <v>298</v>
      </c>
      <c r="D1924" s="7">
        <f t="shared" si="2908"/>
        <v>50750035</v>
      </c>
      <c r="E1924" s="8"/>
      <c r="F1924" s="8">
        <v>1</v>
      </c>
      <c r="G1924" s="7">
        <v>456000</v>
      </c>
      <c r="H1924" s="8" t="s">
        <v>299</v>
      </c>
      <c r="I1924" s="8">
        <v>1</v>
      </c>
      <c r="J1924" s="8">
        <v>240</v>
      </c>
      <c r="K1924" s="7" t="s">
        <v>312</v>
      </c>
      <c r="L1924" s="8">
        <v>68</v>
      </c>
      <c r="M1924" s="7">
        <f>IF(INDEX([1]equip.xml!$B:$B,MATCH(D1924,[1]equip.xml!$A:$A,0))=0,0,N1924)</f>
        <v>130</v>
      </c>
      <c r="N1924" s="8">
        <f t="shared" si="2906"/>
        <v>130</v>
      </c>
    </row>
    <row r="1925" spans="1:14">
      <c r="A1925" s="8">
        <f t="shared" si="2907"/>
        <v>20020</v>
      </c>
      <c r="B1925" s="8">
        <v>40000</v>
      </c>
      <c r="C1925" s="8" t="s">
        <v>298</v>
      </c>
      <c r="D1925" s="7">
        <f t="shared" si="2908"/>
        <v>50750085</v>
      </c>
      <c r="E1925" s="8"/>
      <c r="F1925" s="8">
        <v>1</v>
      </c>
      <c r="G1925" s="7">
        <v>456000</v>
      </c>
      <c r="H1925" s="8" t="s">
        <v>299</v>
      </c>
      <c r="I1925" s="8">
        <v>1</v>
      </c>
      <c r="J1925" s="8">
        <v>240</v>
      </c>
      <c r="K1925" s="7" t="s">
        <v>312</v>
      </c>
      <c r="L1925" s="8">
        <v>68</v>
      </c>
      <c r="M1925" s="7">
        <f>IF(INDEX([1]equip.xml!$B:$B,MATCH(D1925,[1]equip.xml!$A:$A,0))=0,0,N1925)</f>
        <v>130</v>
      </c>
      <c r="N1925" s="8">
        <f t="shared" si="2906"/>
        <v>130</v>
      </c>
    </row>
    <row r="1926" spans="1:14">
      <c r="A1926" s="8">
        <f t="shared" si="2907"/>
        <v>20020</v>
      </c>
      <c r="B1926" s="8">
        <v>40000</v>
      </c>
      <c r="C1926" s="8" t="s">
        <v>298</v>
      </c>
      <c r="D1926" s="7">
        <f t="shared" si="2908"/>
        <v>50750095</v>
      </c>
      <c r="E1926" s="8"/>
      <c r="F1926" s="8">
        <v>1</v>
      </c>
      <c r="G1926" s="7">
        <v>456000</v>
      </c>
      <c r="H1926" s="8" t="s">
        <v>299</v>
      </c>
      <c r="I1926" s="8">
        <v>1</v>
      </c>
      <c r="J1926" s="8">
        <v>240</v>
      </c>
      <c r="K1926" s="7" t="s">
        <v>312</v>
      </c>
      <c r="L1926" s="8">
        <v>68</v>
      </c>
      <c r="M1926" s="7">
        <f>IF(INDEX([1]equip.xml!$B:$B,MATCH(D1926,[1]equip.xml!$A:$A,0))=0,0,N1926)</f>
        <v>130</v>
      </c>
      <c r="N1926" s="8">
        <f t="shared" si="2906"/>
        <v>130</v>
      </c>
    </row>
    <row r="1927" spans="1:14">
      <c r="A1927" s="8">
        <f t="shared" si="2907"/>
        <v>20020</v>
      </c>
      <c r="B1927" s="8">
        <v>40000</v>
      </c>
      <c r="C1927" s="8" t="s">
        <v>298</v>
      </c>
      <c r="D1927" s="7">
        <f t="shared" si="2908"/>
        <v>50750105</v>
      </c>
      <c r="E1927" s="8"/>
      <c r="F1927" s="8">
        <v>1</v>
      </c>
      <c r="G1927" s="7">
        <v>456000</v>
      </c>
      <c r="H1927" s="8" t="s">
        <v>299</v>
      </c>
      <c r="I1927" s="8">
        <v>1</v>
      </c>
      <c r="J1927" s="8">
        <v>240</v>
      </c>
      <c r="K1927" s="7" t="s">
        <v>312</v>
      </c>
      <c r="L1927" s="8">
        <v>68</v>
      </c>
      <c r="M1927" s="7">
        <f>IF(INDEX([1]equip.xml!$B:$B,MATCH(D1927,[1]equip.xml!$A:$A,0))=0,0,N1927)</f>
        <v>130</v>
      </c>
      <c r="N1927" s="8">
        <f t="shared" si="2906"/>
        <v>130</v>
      </c>
    </row>
    <row r="1928" spans="1:14">
      <c r="A1928" s="8">
        <f t="shared" si="2907"/>
        <v>20020</v>
      </c>
      <c r="B1928" s="8">
        <v>40000</v>
      </c>
      <c r="C1928" s="8" t="s">
        <v>298</v>
      </c>
      <c r="D1928" s="7">
        <f t="shared" si="2908"/>
        <v>50751055</v>
      </c>
      <c r="E1928" s="8"/>
      <c r="F1928" s="8">
        <v>1</v>
      </c>
      <c r="G1928" s="7">
        <v>456000</v>
      </c>
      <c r="H1928" s="8" t="s">
        <v>299</v>
      </c>
      <c r="I1928" s="8">
        <v>1</v>
      </c>
      <c r="J1928" s="8">
        <v>240</v>
      </c>
      <c r="K1928" s="7" t="s">
        <v>312</v>
      </c>
      <c r="L1928" s="8">
        <v>68</v>
      </c>
      <c r="M1928" s="7">
        <f>IF(INDEX([1]equip.xml!$B:$B,MATCH(D1928,[1]equip.xml!$A:$A,0))=0,0,N1928)</f>
        <v>130</v>
      </c>
      <c r="N1928" s="8">
        <f t="shared" si="2906"/>
        <v>130</v>
      </c>
    </row>
    <row r="1929" spans="1:14">
      <c r="A1929" s="8">
        <f t="shared" si="2907"/>
        <v>20020</v>
      </c>
      <c r="B1929" s="8">
        <v>40000</v>
      </c>
      <c r="C1929" s="8" t="s">
        <v>298</v>
      </c>
      <c r="D1929" s="7">
        <f t="shared" si="2908"/>
        <v>50751056</v>
      </c>
      <c r="E1929" s="8"/>
      <c r="F1929" s="8">
        <v>1</v>
      </c>
      <c r="G1929" s="7">
        <v>474000</v>
      </c>
      <c r="H1929" s="8" t="s">
        <v>299</v>
      </c>
      <c r="I1929" s="8">
        <v>1</v>
      </c>
      <c r="J1929" s="8">
        <v>240</v>
      </c>
      <c r="K1929" s="7" t="s">
        <v>312</v>
      </c>
      <c r="L1929" s="8">
        <v>68</v>
      </c>
      <c r="M1929" s="7">
        <f>IF(INDEX([1]equip.xml!$B:$B,MATCH(D1929,[1]equip.xml!$A:$A,0))=0,0,N1929)</f>
        <v>130</v>
      </c>
      <c r="N1929" s="8">
        <f t="shared" si="2906"/>
        <v>130</v>
      </c>
    </row>
    <row r="1930" spans="1:14">
      <c r="A1930" s="8">
        <f t="shared" si="2907"/>
        <v>20020</v>
      </c>
      <c r="B1930" s="8">
        <v>40000</v>
      </c>
      <c r="C1930" s="8" t="s">
        <v>298</v>
      </c>
      <c r="D1930" s="7">
        <f t="shared" si="2908"/>
        <v>50751065</v>
      </c>
      <c r="E1930" s="8"/>
      <c r="F1930" s="8">
        <v>1</v>
      </c>
      <c r="G1930" s="7">
        <v>456000</v>
      </c>
      <c r="H1930" s="8" t="s">
        <v>299</v>
      </c>
      <c r="I1930" s="8">
        <v>1</v>
      </c>
      <c r="J1930" s="8">
        <v>240</v>
      </c>
      <c r="K1930" s="7" t="s">
        <v>312</v>
      </c>
      <c r="L1930" s="8">
        <v>68</v>
      </c>
      <c r="M1930" s="7">
        <f>IF(INDEX([1]equip.xml!$B:$B,MATCH(D1930,[1]equip.xml!$A:$A,0))=0,0,N1930)</f>
        <v>130</v>
      </c>
      <c r="N1930" s="8">
        <f t="shared" si="2906"/>
        <v>130</v>
      </c>
    </row>
    <row r="1931" spans="1:14">
      <c r="A1931" s="8">
        <f t="shared" si="2907"/>
        <v>20020</v>
      </c>
      <c r="B1931" s="8">
        <v>40000</v>
      </c>
      <c r="C1931" s="8" t="s">
        <v>298</v>
      </c>
      <c r="D1931" s="7">
        <f t="shared" si="2908"/>
        <v>50751066</v>
      </c>
      <c r="E1931" s="8"/>
      <c r="F1931" s="8">
        <v>1</v>
      </c>
      <c r="G1931" s="7">
        <v>474000</v>
      </c>
      <c r="H1931" s="8" t="s">
        <v>299</v>
      </c>
      <c r="I1931" s="8">
        <v>1</v>
      </c>
      <c r="J1931" s="8">
        <v>240</v>
      </c>
      <c r="K1931" s="7" t="s">
        <v>312</v>
      </c>
      <c r="L1931" s="8">
        <v>68</v>
      </c>
      <c r="M1931" s="7">
        <f>IF(INDEX([1]equip.xml!$B:$B,MATCH(D1931,[1]equip.xml!$A:$A,0))=0,0,N1931)</f>
        <v>130</v>
      </c>
      <c r="N1931" s="8">
        <f t="shared" si="2906"/>
        <v>130</v>
      </c>
    </row>
    <row r="1932" spans="1:14">
      <c r="A1932" s="8">
        <f t="shared" si="2907"/>
        <v>20020</v>
      </c>
      <c r="B1932" s="8">
        <v>40000</v>
      </c>
      <c r="C1932" s="8" t="s">
        <v>298</v>
      </c>
      <c r="D1932" s="7">
        <f t="shared" si="2908"/>
        <v>50752055</v>
      </c>
      <c r="E1932" s="8"/>
      <c r="F1932" s="8">
        <v>1</v>
      </c>
      <c r="G1932" s="7">
        <v>456000</v>
      </c>
      <c r="H1932" s="8" t="s">
        <v>299</v>
      </c>
      <c r="I1932" s="8">
        <v>1</v>
      </c>
      <c r="J1932" s="8">
        <v>240</v>
      </c>
      <c r="K1932" s="7" t="s">
        <v>312</v>
      </c>
      <c r="L1932" s="8">
        <v>68</v>
      </c>
      <c r="M1932" s="7">
        <f>IF(INDEX([1]equip.xml!$B:$B,MATCH(D1932,[1]equip.xml!$A:$A,0))=0,0,N1932)</f>
        <v>130</v>
      </c>
      <c r="N1932" s="8">
        <f t="shared" si="2906"/>
        <v>130</v>
      </c>
    </row>
    <row r="1933" spans="1:14">
      <c r="A1933" s="8">
        <f t="shared" si="2907"/>
        <v>20020</v>
      </c>
      <c r="B1933" s="8">
        <v>40000</v>
      </c>
      <c r="C1933" s="8" t="s">
        <v>298</v>
      </c>
      <c r="D1933" s="7">
        <f t="shared" si="2908"/>
        <v>50752056</v>
      </c>
      <c r="E1933" s="8"/>
      <c r="F1933" s="8">
        <v>1</v>
      </c>
      <c r="G1933" s="7">
        <v>474000</v>
      </c>
      <c r="H1933" s="8" t="s">
        <v>299</v>
      </c>
      <c r="I1933" s="8">
        <v>1</v>
      </c>
      <c r="J1933" s="8">
        <v>240</v>
      </c>
      <c r="K1933" s="7" t="s">
        <v>312</v>
      </c>
      <c r="L1933" s="8">
        <v>68</v>
      </c>
      <c r="M1933" s="7">
        <f>IF(INDEX([1]equip.xml!$B:$B,MATCH(D1933,[1]equip.xml!$A:$A,0))=0,0,N1933)</f>
        <v>130</v>
      </c>
      <c r="N1933" s="8">
        <f t="shared" si="2906"/>
        <v>130</v>
      </c>
    </row>
    <row r="1934" spans="1:14">
      <c r="A1934" s="8">
        <f t="shared" si="2907"/>
        <v>20020</v>
      </c>
      <c r="B1934" s="8">
        <v>40000</v>
      </c>
      <c r="C1934" s="8" t="s">
        <v>298</v>
      </c>
      <c r="D1934" s="7">
        <f t="shared" si="2908"/>
        <v>50752065</v>
      </c>
      <c r="E1934" s="8"/>
      <c r="F1934" s="8">
        <v>1</v>
      </c>
      <c r="G1934" s="7">
        <v>456000</v>
      </c>
      <c r="H1934" s="8" t="s">
        <v>299</v>
      </c>
      <c r="I1934" s="8">
        <v>1</v>
      </c>
      <c r="J1934" s="8">
        <v>240</v>
      </c>
      <c r="K1934" s="7" t="s">
        <v>312</v>
      </c>
      <c r="L1934" s="8">
        <v>68</v>
      </c>
      <c r="M1934" s="7">
        <f>IF(INDEX([1]equip.xml!$B:$B,MATCH(D1934,[1]equip.xml!$A:$A,0))=0,0,N1934)</f>
        <v>130</v>
      </c>
      <c r="N1934" s="8">
        <f t="shared" si="2906"/>
        <v>130</v>
      </c>
    </row>
    <row r="1935" spans="1:14">
      <c r="A1935" s="8">
        <f t="shared" si="2907"/>
        <v>20020</v>
      </c>
      <c r="B1935" s="8">
        <v>40000</v>
      </c>
      <c r="C1935" s="8" t="s">
        <v>298</v>
      </c>
      <c r="D1935" s="7">
        <f t="shared" si="2908"/>
        <v>50752066</v>
      </c>
      <c r="E1935" s="8"/>
      <c r="F1935" s="8">
        <v>1</v>
      </c>
      <c r="G1935" s="7">
        <v>474000</v>
      </c>
      <c r="H1935" s="8" t="s">
        <v>299</v>
      </c>
      <c r="I1935" s="8">
        <v>1</v>
      </c>
      <c r="J1935" s="8">
        <v>240</v>
      </c>
      <c r="K1935" s="7" t="s">
        <v>312</v>
      </c>
      <c r="L1935" s="8">
        <v>68</v>
      </c>
      <c r="M1935" s="7">
        <f>IF(INDEX([1]equip.xml!$B:$B,MATCH(D1935,[1]equip.xml!$A:$A,0))=0,0,N1935)</f>
        <v>130</v>
      </c>
      <c r="N1935" s="8">
        <f t="shared" si="2906"/>
        <v>130</v>
      </c>
    </row>
    <row r="1936" spans="1:14">
      <c r="A1936" s="8">
        <f t="shared" si="2907"/>
        <v>20020</v>
      </c>
      <c r="B1936" s="8">
        <v>40000</v>
      </c>
      <c r="C1936" s="8" t="s">
        <v>298</v>
      </c>
      <c r="D1936" s="7">
        <f t="shared" si="2908"/>
        <v>50753055</v>
      </c>
      <c r="E1936" s="8"/>
      <c r="F1936" s="8">
        <v>1</v>
      </c>
      <c r="G1936" s="7">
        <v>456000</v>
      </c>
      <c r="H1936" s="8" t="s">
        <v>299</v>
      </c>
      <c r="I1936" s="8">
        <v>1</v>
      </c>
      <c r="J1936" s="8">
        <v>240</v>
      </c>
      <c r="K1936" s="7" t="s">
        <v>312</v>
      </c>
      <c r="L1936" s="8">
        <v>68</v>
      </c>
      <c r="M1936" s="7">
        <f>IF(INDEX([1]equip.xml!$B:$B,MATCH(D1936,[1]equip.xml!$A:$A,0))=0,0,N1936)</f>
        <v>130</v>
      </c>
      <c r="N1936" s="8">
        <f t="shared" si="2906"/>
        <v>130</v>
      </c>
    </row>
    <row r="1937" spans="1:14">
      <c r="A1937" s="8">
        <f t="shared" si="2907"/>
        <v>20020</v>
      </c>
      <c r="B1937" s="8">
        <v>40000</v>
      </c>
      <c r="C1937" s="8" t="s">
        <v>298</v>
      </c>
      <c r="D1937" s="7">
        <f t="shared" si="2908"/>
        <v>50753056</v>
      </c>
      <c r="E1937" s="8"/>
      <c r="F1937" s="8">
        <v>1</v>
      </c>
      <c r="G1937" s="7">
        <v>474000</v>
      </c>
      <c r="H1937" s="8" t="s">
        <v>299</v>
      </c>
      <c r="I1937" s="8">
        <v>1</v>
      </c>
      <c r="J1937" s="8">
        <v>240</v>
      </c>
      <c r="K1937" s="7" t="s">
        <v>312</v>
      </c>
      <c r="L1937" s="8">
        <v>68</v>
      </c>
      <c r="M1937" s="7">
        <f>IF(INDEX([1]equip.xml!$B:$B,MATCH(D1937,[1]equip.xml!$A:$A,0))=0,0,N1937)</f>
        <v>130</v>
      </c>
      <c r="N1937" s="8">
        <f t="shared" si="2906"/>
        <v>130</v>
      </c>
    </row>
    <row r="1938" spans="1:14">
      <c r="A1938" s="8">
        <f t="shared" si="2907"/>
        <v>20020</v>
      </c>
      <c r="B1938" s="8">
        <v>40000</v>
      </c>
      <c r="C1938" s="8" t="s">
        <v>298</v>
      </c>
      <c r="D1938" s="7">
        <f t="shared" si="2908"/>
        <v>50753065</v>
      </c>
      <c r="E1938" s="8"/>
      <c r="F1938" s="8">
        <v>1</v>
      </c>
      <c r="G1938" s="7">
        <v>456000</v>
      </c>
      <c r="H1938" s="8" t="s">
        <v>299</v>
      </c>
      <c r="I1938" s="8">
        <v>1</v>
      </c>
      <c r="J1938" s="8">
        <v>240</v>
      </c>
      <c r="K1938" s="7" t="s">
        <v>312</v>
      </c>
      <c r="L1938" s="8">
        <v>68</v>
      </c>
      <c r="M1938" s="7">
        <f>IF(INDEX([1]equip.xml!$B:$B,MATCH(D1938,[1]equip.xml!$A:$A,0))=0,0,N1938)</f>
        <v>130</v>
      </c>
      <c r="N1938" s="8">
        <f t="shared" si="2906"/>
        <v>130</v>
      </c>
    </row>
    <row r="1939" spans="1:14">
      <c r="A1939" s="8">
        <f t="shared" si="2907"/>
        <v>20020</v>
      </c>
      <c r="B1939" s="8">
        <v>40000</v>
      </c>
      <c r="C1939" s="8" t="s">
        <v>298</v>
      </c>
      <c r="D1939" s="7">
        <f t="shared" si="2908"/>
        <v>50753066</v>
      </c>
      <c r="E1939" s="8"/>
      <c r="F1939" s="8">
        <v>1</v>
      </c>
      <c r="G1939" s="7">
        <v>474000</v>
      </c>
      <c r="H1939" s="8" t="s">
        <v>299</v>
      </c>
      <c r="I1939" s="8">
        <v>1</v>
      </c>
      <c r="J1939" s="8">
        <v>240</v>
      </c>
      <c r="K1939" s="7" t="s">
        <v>312</v>
      </c>
      <c r="L1939" s="8">
        <v>68</v>
      </c>
      <c r="M1939" s="7">
        <f>IF(INDEX([1]equip.xml!$B:$B,MATCH(D1939,[1]equip.xml!$A:$A,0))=0,0,N1939)</f>
        <v>130</v>
      </c>
      <c r="N1939" s="8">
        <f t="shared" si="2906"/>
        <v>130</v>
      </c>
    </row>
    <row r="1940" spans="1:14">
      <c r="A1940" s="8">
        <f t="shared" si="2907"/>
        <v>20020</v>
      </c>
      <c r="B1940" s="8">
        <v>40000</v>
      </c>
      <c r="C1940" s="8" t="s">
        <v>298</v>
      </c>
      <c r="D1940" s="7">
        <f t="shared" si="2908"/>
        <v>50750045</v>
      </c>
      <c r="E1940" s="8"/>
      <c r="F1940" s="8">
        <v>1</v>
      </c>
      <c r="G1940" s="7">
        <v>456000</v>
      </c>
      <c r="H1940" s="8" t="s">
        <v>299</v>
      </c>
      <c r="I1940" s="8">
        <v>1</v>
      </c>
      <c r="J1940" s="8">
        <v>240</v>
      </c>
      <c r="K1940" s="7" t="s">
        <v>312</v>
      </c>
      <c r="L1940" s="8">
        <v>68</v>
      </c>
      <c r="M1940" s="7">
        <f>IF(INDEX([1]equip.xml!$B:$B,MATCH(D1940,[1]equip.xml!$A:$A,0))=0,0,N1940)</f>
        <v>130</v>
      </c>
      <c r="N1940" s="8">
        <f t="shared" si="2906"/>
        <v>130</v>
      </c>
    </row>
    <row r="1941" spans="1:14">
      <c r="A1941" s="8">
        <f t="shared" si="2907"/>
        <v>20020</v>
      </c>
      <c r="B1941" s="8">
        <v>40000</v>
      </c>
      <c r="C1941" s="8" t="s">
        <v>298</v>
      </c>
      <c r="D1941" s="7">
        <f t="shared" si="2908"/>
        <v>50750046</v>
      </c>
      <c r="E1941" s="8"/>
      <c r="F1941" s="8">
        <v>1</v>
      </c>
      <c r="G1941" s="7">
        <v>474000</v>
      </c>
      <c r="H1941" s="8" t="s">
        <v>299</v>
      </c>
      <c r="I1941" s="8">
        <v>1</v>
      </c>
      <c r="J1941" s="8">
        <v>240</v>
      </c>
      <c r="K1941" s="7" t="s">
        <v>312</v>
      </c>
      <c r="L1941" s="8">
        <v>68</v>
      </c>
      <c r="M1941" s="7">
        <f>IF(INDEX([1]equip.xml!$B:$B,MATCH(D1941,[1]equip.xml!$A:$A,0))=0,0,N1941)</f>
        <v>130</v>
      </c>
      <c r="N1941" s="8">
        <f t="shared" si="2906"/>
        <v>130</v>
      </c>
    </row>
    <row r="1942" spans="1:14">
      <c r="A1942" s="8">
        <f t="shared" si="2907"/>
        <v>20020</v>
      </c>
      <c r="B1942" s="8">
        <v>40000</v>
      </c>
      <c r="C1942" s="8" t="s">
        <v>298</v>
      </c>
      <c r="D1942" s="7">
        <f t="shared" si="2908"/>
        <v>50750075</v>
      </c>
      <c r="E1942" s="8"/>
      <c r="F1942" s="8">
        <v>1</v>
      </c>
      <c r="G1942" s="7">
        <v>456000</v>
      </c>
      <c r="H1942" s="8" t="s">
        <v>299</v>
      </c>
      <c r="I1942" s="8">
        <v>1</v>
      </c>
      <c r="J1942" s="8">
        <v>240</v>
      </c>
      <c r="K1942" s="7" t="s">
        <v>312</v>
      </c>
      <c r="L1942" s="8">
        <v>68</v>
      </c>
      <c r="M1942" s="7">
        <f>IF(INDEX([1]equip.xml!$B:$B,MATCH(D1942,[1]equip.xml!$A:$A,0))=0,0,N1942)</f>
        <v>130</v>
      </c>
      <c r="N1942" s="8">
        <f t="shared" si="2906"/>
        <v>130</v>
      </c>
    </row>
    <row r="1943" spans="1:14">
      <c r="A1943" s="8">
        <f t="shared" si="2907"/>
        <v>20020</v>
      </c>
      <c r="B1943" s="8">
        <v>40000</v>
      </c>
      <c r="C1943" s="8" t="s">
        <v>298</v>
      </c>
      <c r="D1943" s="7">
        <f t="shared" si="2908"/>
        <v>50750076</v>
      </c>
      <c r="E1943" s="8"/>
      <c r="F1943" s="8">
        <v>1</v>
      </c>
      <c r="G1943" s="7">
        <v>474000</v>
      </c>
      <c r="H1943" s="8" t="s">
        <v>299</v>
      </c>
      <c r="I1943" s="8">
        <v>1</v>
      </c>
      <c r="J1943" s="8">
        <v>240</v>
      </c>
      <c r="K1943" s="7" t="s">
        <v>312</v>
      </c>
      <c r="L1943" s="8">
        <v>68</v>
      </c>
      <c r="M1943" s="7">
        <f>IF(INDEX([1]equip.xml!$B:$B,MATCH(D1943,[1]equip.xml!$A:$A,0))=0,0,N1943)</f>
        <v>130</v>
      </c>
      <c r="N1943" s="8">
        <f t="shared" si="2906"/>
        <v>130</v>
      </c>
    </row>
    <row r="1944" spans="1:14">
      <c r="A1944" s="8">
        <f t="shared" si="2907"/>
        <v>20020</v>
      </c>
      <c r="B1944" s="8">
        <v>40000</v>
      </c>
      <c r="C1944" s="8" t="s">
        <v>298</v>
      </c>
      <c r="D1944" s="7">
        <f t="shared" si="2908"/>
        <v>50800015</v>
      </c>
      <c r="E1944" s="8"/>
      <c r="F1944" s="8">
        <v>1</v>
      </c>
      <c r="G1944" s="7">
        <v>492000</v>
      </c>
      <c r="H1944" s="8" t="s">
        <v>299</v>
      </c>
      <c r="I1944" s="8">
        <v>1</v>
      </c>
      <c r="J1944" s="8">
        <v>240</v>
      </c>
      <c r="K1944" s="7" t="s">
        <v>312</v>
      </c>
      <c r="L1944" s="8">
        <v>68</v>
      </c>
      <c r="M1944" s="7">
        <f>IF(INDEX([1]equip.xml!$B:$B,MATCH(D1944,[1]equip.xml!$A:$A,0))=0,0,N1944)</f>
        <v>30</v>
      </c>
      <c r="N1944" s="8">
        <v>30</v>
      </c>
    </row>
    <row r="1945" spans="1:14">
      <c r="A1945" s="8">
        <f t="shared" si="2907"/>
        <v>20020</v>
      </c>
      <c r="B1945" s="8">
        <v>40000</v>
      </c>
      <c r="C1945" s="8" t="s">
        <v>298</v>
      </c>
      <c r="D1945" s="7">
        <f t="shared" si="2908"/>
        <v>50800025</v>
      </c>
      <c r="E1945" s="8"/>
      <c r="F1945" s="8">
        <v>1</v>
      </c>
      <c r="G1945" s="7">
        <v>492000</v>
      </c>
      <c r="H1945" s="8" t="s">
        <v>299</v>
      </c>
      <c r="I1945" s="8">
        <v>1</v>
      </c>
      <c r="J1945" s="8">
        <v>240</v>
      </c>
      <c r="K1945" s="7" t="s">
        <v>312</v>
      </c>
      <c r="L1945" s="8">
        <v>68</v>
      </c>
      <c r="M1945" s="7">
        <f>IF(INDEX([1]equip.xml!$B:$B,MATCH(D1945,[1]equip.xml!$A:$A,0))=0,0,N1945)</f>
        <v>30</v>
      </c>
      <c r="N1945" s="8">
        <v>30</v>
      </c>
    </row>
    <row r="1946" spans="1:14">
      <c r="A1946" s="8">
        <f t="shared" si="2907"/>
        <v>20020</v>
      </c>
      <c r="B1946" s="8">
        <v>40000</v>
      </c>
      <c r="C1946" s="8" t="s">
        <v>298</v>
      </c>
      <c r="D1946" s="7">
        <f t="shared" si="2908"/>
        <v>50800035</v>
      </c>
      <c r="E1946" s="8"/>
      <c r="F1946" s="8">
        <v>1</v>
      </c>
      <c r="G1946" s="7">
        <v>492000</v>
      </c>
      <c r="H1946" s="8" t="s">
        <v>299</v>
      </c>
      <c r="I1946" s="8">
        <v>1</v>
      </c>
      <c r="J1946" s="8">
        <v>240</v>
      </c>
      <c r="K1946" s="7" t="s">
        <v>312</v>
      </c>
      <c r="L1946" s="8">
        <v>68</v>
      </c>
      <c r="M1946" s="7">
        <f>IF(INDEX([1]equip.xml!$B:$B,MATCH(D1946,[1]equip.xml!$A:$A,0))=0,0,N1946)</f>
        <v>30</v>
      </c>
      <c r="N1946" s="8">
        <v>30</v>
      </c>
    </row>
    <row r="1947" spans="1:14">
      <c r="A1947" s="8">
        <f t="shared" si="2907"/>
        <v>20020</v>
      </c>
      <c r="B1947" s="8">
        <v>40000</v>
      </c>
      <c r="C1947" s="8" t="s">
        <v>298</v>
      </c>
      <c r="D1947" s="7">
        <f t="shared" si="2908"/>
        <v>50800085</v>
      </c>
      <c r="E1947" s="8"/>
      <c r="F1947" s="8">
        <v>1</v>
      </c>
      <c r="G1947" s="7">
        <v>492000</v>
      </c>
      <c r="H1947" s="8" t="s">
        <v>299</v>
      </c>
      <c r="I1947" s="8">
        <v>1</v>
      </c>
      <c r="J1947" s="8">
        <v>240</v>
      </c>
      <c r="K1947" s="7" t="s">
        <v>312</v>
      </c>
      <c r="L1947" s="8">
        <v>68</v>
      </c>
      <c r="M1947" s="7">
        <f>IF(INDEX([1]equip.xml!$B:$B,MATCH(D1947,[1]equip.xml!$A:$A,0))=0,0,N1947)</f>
        <v>30</v>
      </c>
      <c r="N1947" s="8">
        <v>30</v>
      </c>
    </row>
    <row r="1948" spans="1:14">
      <c r="A1948" s="8">
        <f t="shared" si="2907"/>
        <v>20020</v>
      </c>
      <c r="B1948" s="8">
        <v>40000</v>
      </c>
      <c r="C1948" s="8" t="s">
        <v>298</v>
      </c>
      <c r="D1948" s="7">
        <f t="shared" si="2908"/>
        <v>50800095</v>
      </c>
      <c r="E1948" s="8"/>
      <c r="F1948" s="8">
        <v>1</v>
      </c>
      <c r="G1948" s="7">
        <v>492000</v>
      </c>
      <c r="H1948" s="8" t="s">
        <v>299</v>
      </c>
      <c r="I1948" s="8">
        <v>1</v>
      </c>
      <c r="J1948" s="8">
        <v>240</v>
      </c>
      <c r="K1948" s="7" t="s">
        <v>312</v>
      </c>
      <c r="L1948" s="8">
        <v>68</v>
      </c>
      <c r="M1948" s="7">
        <f>IF(INDEX([1]equip.xml!$B:$B,MATCH(D1948,[1]equip.xml!$A:$A,0))=0,0,N1948)</f>
        <v>30</v>
      </c>
      <c r="N1948" s="8">
        <v>30</v>
      </c>
    </row>
    <row r="1949" spans="1:14">
      <c r="A1949" s="8">
        <f t="shared" si="2907"/>
        <v>20020</v>
      </c>
      <c r="B1949" s="8">
        <v>40000</v>
      </c>
      <c r="C1949" s="8" t="s">
        <v>298</v>
      </c>
      <c r="D1949" s="7">
        <f t="shared" si="2908"/>
        <v>50800105</v>
      </c>
      <c r="E1949" s="8"/>
      <c r="F1949" s="8">
        <v>1</v>
      </c>
      <c r="G1949" s="7">
        <v>492000</v>
      </c>
      <c r="H1949" s="8" t="s">
        <v>299</v>
      </c>
      <c r="I1949" s="8">
        <v>1</v>
      </c>
      <c r="J1949" s="8">
        <v>240</v>
      </c>
      <c r="K1949" s="7" t="s">
        <v>312</v>
      </c>
      <c r="L1949" s="8">
        <v>68</v>
      </c>
      <c r="M1949" s="7">
        <f>IF(INDEX([1]equip.xml!$B:$B,MATCH(D1949,[1]equip.xml!$A:$A,0))=0,0,N1949)</f>
        <v>30</v>
      </c>
      <c r="N1949" s="8">
        <v>30</v>
      </c>
    </row>
    <row r="1950" spans="1:14">
      <c r="A1950" s="8">
        <f t="shared" si="2907"/>
        <v>20020</v>
      </c>
      <c r="B1950" s="8">
        <v>40000</v>
      </c>
      <c r="C1950" s="8" t="s">
        <v>298</v>
      </c>
      <c r="D1950" s="7">
        <f t="shared" si="2908"/>
        <v>50801055</v>
      </c>
      <c r="E1950" s="8"/>
      <c r="F1950" s="8">
        <v>1</v>
      </c>
      <c r="G1950" s="7">
        <v>492000</v>
      </c>
      <c r="H1950" s="8" t="s">
        <v>299</v>
      </c>
      <c r="I1950" s="8">
        <v>1</v>
      </c>
      <c r="J1950" s="8">
        <v>240</v>
      </c>
      <c r="K1950" s="7" t="s">
        <v>312</v>
      </c>
      <c r="L1950" s="8">
        <v>68</v>
      </c>
      <c r="M1950" s="7">
        <f>IF(INDEX([1]equip.xml!$B:$B,MATCH(D1950,[1]equip.xml!$A:$A,0))=0,0,N1950)</f>
        <v>30</v>
      </c>
      <c r="N1950" s="8">
        <v>30</v>
      </c>
    </row>
    <row r="1951" spans="1:14">
      <c r="A1951" s="8">
        <f t="shared" si="2907"/>
        <v>20020</v>
      </c>
      <c r="B1951" s="8">
        <v>40000</v>
      </c>
      <c r="C1951" s="8" t="s">
        <v>298</v>
      </c>
      <c r="D1951" s="7">
        <f t="shared" si="2908"/>
        <v>50801056</v>
      </c>
      <c r="E1951" s="8"/>
      <c r="F1951" s="8">
        <v>1</v>
      </c>
      <c r="G1951" s="7">
        <v>510000</v>
      </c>
      <c r="H1951" s="8" t="s">
        <v>299</v>
      </c>
      <c r="I1951" s="8">
        <v>1</v>
      </c>
      <c r="J1951" s="8">
        <v>240</v>
      </c>
      <c r="K1951" s="7" t="s">
        <v>312</v>
      </c>
      <c r="L1951" s="8">
        <v>68</v>
      </c>
      <c r="M1951" s="7">
        <f>IF(INDEX([1]equip.xml!$B:$B,MATCH(D1951,[1]equip.xml!$A:$A,0))=0,0,N1951)</f>
        <v>30</v>
      </c>
      <c r="N1951" s="8">
        <v>30</v>
      </c>
    </row>
    <row r="1952" spans="1:14">
      <c r="A1952" s="8">
        <f t="shared" si="2907"/>
        <v>20020</v>
      </c>
      <c r="B1952" s="8">
        <v>40000</v>
      </c>
      <c r="C1952" s="8" t="s">
        <v>298</v>
      </c>
      <c r="D1952" s="7">
        <f t="shared" si="2908"/>
        <v>50801065</v>
      </c>
      <c r="E1952" s="8"/>
      <c r="F1952" s="8">
        <v>1</v>
      </c>
      <c r="G1952" s="7">
        <v>492000</v>
      </c>
      <c r="H1952" s="8" t="s">
        <v>299</v>
      </c>
      <c r="I1952" s="8">
        <v>1</v>
      </c>
      <c r="J1952" s="8">
        <v>240</v>
      </c>
      <c r="K1952" s="7" t="s">
        <v>312</v>
      </c>
      <c r="L1952" s="8">
        <v>68</v>
      </c>
      <c r="M1952" s="7">
        <f>IF(INDEX([1]equip.xml!$B:$B,MATCH(D1952,[1]equip.xml!$A:$A,0))=0,0,N1952)</f>
        <v>30</v>
      </c>
      <c r="N1952" s="8">
        <v>30</v>
      </c>
    </row>
    <row r="1953" spans="1:14">
      <c r="A1953" s="8">
        <f t="shared" si="2907"/>
        <v>20020</v>
      </c>
      <c r="B1953" s="8">
        <v>40000</v>
      </c>
      <c r="C1953" s="8" t="s">
        <v>298</v>
      </c>
      <c r="D1953" s="7">
        <f t="shared" si="2908"/>
        <v>50801066</v>
      </c>
      <c r="E1953" s="8"/>
      <c r="F1953" s="8">
        <v>1</v>
      </c>
      <c r="G1953" s="7">
        <v>510000</v>
      </c>
      <c r="H1953" s="8" t="s">
        <v>299</v>
      </c>
      <c r="I1953" s="8">
        <v>1</v>
      </c>
      <c r="J1953" s="8">
        <v>240</v>
      </c>
      <c r="K1953" s="7" t="s">
        <v>312</v>
      </c>
      <c r="L1953" s="8">
        <v>68</v>
      </c>
      <c r="M1953" s="7">
        <f>IF(INDEX([1]equip.xml!$B:$B,MATCH(D1953,[1]equip.xml!$A:$A,0))=0,0,N1953)</f>
        <v>30</v>
      </c>
      <c r="N1953" s="8">
        <v>30</v>
      </c>
    </row>
    <row r="1954" spans="1:14">
      <c r="A1954" s="8">
        <f t="shared" si="2907"/>
        <v>20020</v>
      </c>
      <c r="B1954" s="8">
        <v>40000</v>
      </c>
      <c r="C1954" s="8" t="s">
        <v>298</v>
      </c>
      <c r="D1954" s="7">
        <f t="shared" si="2908"/>
        <v>50802055</v>
      </c>
      <c r="E1954" s="8"/>
      <c r="F1954" s="8">
        <v>1</v>
      </c>
      <c r="G1954" s="7">
        <v>492000</v>
      </c>
      <c r="H1954" s="8" t="s">
        <v>299</v>
      </c>
      <c r="I1954" s="8">
        <v>1</v>
      </c>
      <c r="J1954" s="8">
        <v>240</v>
      </c>
      <c r="K1954" s="7" t="s">
        <v>312</v>
      </c>
      <c r="L1954" s="8">
        <v>68</v>
      </c>
      <c r="M1954" s="7">
        <f>IF(INDEX([1]equip.xml!$B:$B,MATCH(D1954,[1]equip.xml!$A:$A,0))=0,0,N1954)</f>
        <v>30</v>
      </c>
      <c r="N1954" s="8">
        <v>30</v>
      </c>
    </row>
    <row r="1955" spans="1:14">
      <c r="A1955" s="8">
        <f t="shared" si="2907"/>
        <v>20020</v>
      </c>
      <c r="B1955" s="8">
        <v>40000</v>
      </c>
      <c r="C1955" s="8" t="s">
        <v>298</v>
      </c>
      <c r="D1955" s="7">
        <f t="shared" si="2908"/>
        <v>50802056</v>
      </c>
      <c r="E1955" s="8"/>
      <c r="F1955" s="8">
        <v>1</v>
      </c>
      <c r="G1955" s="7">
        <v>510000</v>
      </c>
      <c r="H1955" s="8" t="s">
        <v>299</v>
      </c>
      <c r="I1955" s="8">
        <v>1</v>
      </c>
      <c r="J1955" s="8">
        <v>240</v>
      </c>
      <c r="K1955" s="7" t="s">
        <v>312</v>
      </c>
      <c r="L1955" s="8">
        <v>68</v>
      </c>
      <c r="M1955" s="7">
        <f>IF(INDEX([1]equip.xml!$B:$B,MATCH(D1955,[1]equip.xml!$A:$A,0))=0,0,N1955)</f>
        <v>30</v>
      </c>
      <c r="N1955" s="8">
        <v>30</v>
      </c>
    </row>
    <row r="1956" spans="1:14">
      <c r="A1956" s="8">
        <f t="shared" si="2907"/>
        <v>20020</v>
      </c>
      <c r="B1956" s="8">
        <v>40000</v>
      </c>
      <c r="C1956" s="8" t="s">
        <v>298</v>
      </c>
      <c r="D1956" s="7">
        <f t="shared" si="2908"/>
        <v>50802065</v>
      </c>
      <c r="E1956" s="8"/>
      <c r="F1956" s="8">
        <v>1</v>
      </c>
      <c r="G1956" s="7">
        <v>492000</v>
      </c>
      <c r="H1956" s="8" t="s">
        <v>299</v>
      </c>
      <c r="I1956" s="8">
        <v>1</v>
      </c>
      <c r="J1956" s="8">
        <v>240</v>
      </c>
      <c r="K1956" s="7" t="s">
        <v>312</v>
      </c>
      <c r="L1956" s="8">
        <v>68</v>
      </c>
      <c r="M1956" s="7">
        <f>IF(INDEX([1]equip.xml!$B:$B,MATCH(D1956,[1]equip.xml!$A:$A,0))=0,0,N1956)</f>
        <v>30</v>
      </c>
      <c r="N1956" s="8">
        <v>30</v>
      </c>
    </row>
    <row r="1957" spans="1:14">
      <c r="A1957" s="8">
        <f t="shared" si="2907"/>
        <v>20020</v>
      </c>
      <c r="B1957" s="8">
        <v>40000</v>
      </c>
      <c r="C1957" s="8" t="s">
        <v>298</v>
      </c>
      <c r="D1957" s="7">
        <f t="shared" si="2908"/>
        <v>50802066</v>
      </c>
      <c r="E1957" s="8"/>
      <c r="F1957" s="8">
        <v>1</v>
      </c>
      <c r="G1957" s="7">
        <v>510000</v>
      </c>
      <c r="H1957" s="8" t="s">
        <v>299</v>
      </c>
      <c r="I1957" s="8">
        <v>1</v>
      </c>
      <c r="J1957" s="8">
        <v>240</v>
      </c>
      <c r="K1957" s="7" t="s">
        <v>312</v>
      </c>
      <c r="L1957" s="8">
        <v>68</v>
      </c>
      <c r="M1957" s="7">
        <f>IF(INDEX([1]equip.xml!$B:$B,MATCH(D1957,[1]equip.xml!$A:$A,0))=0,0,N1957)</f>
        <v>30</v>
      </c>
      <c r="N1957" s="8">
        <v>30</v>
      </c>
    </row>
    <row r="1958" spans="1:14">
      <c r="A1958" s="8">
        <f t="shared" si="2907"/>
        <v>20020</v>
      </c>
      <c r="B1958" s="8">
        <v>40000</v>
      </c>
      <c r="C1958" s="8" t="s">
        <v>298</v>
      </c>
      <c r="D1958" s="7">
        <f t="shared" si="2908"/>
        <v>50803055</v>
      </c>
      <c r="E1958" s="8"/>
      <c r="F1958" s="8">
        <v>1</v>
      </c>
      <c r="G1958" s="7">
        <v>492000</v>
      </c>
      <c r="H1958" s="8" t="s">
        <v>299</v>
      </c>
      <c r="I1958" s="8">
        <v>1</v>
      </c>
      <c r="J1958" s="8">
        <v>240</v>
      </c>
      <c r="K1958" s="7" t="s">
        <v>312</v>
      </c>
      <c r="L1958" s="8">
        <v>68</v>
      </c>
      <c r="M1958" s="7">
        <f>IF(INDEX([1]equip.xml!$B:$B,MATCH(D1958,[1]equip.xml!$A:$A,0))=0,0,N1958)</f>
        <v>30</v>
      </c>
      <c r="N1958" s="8">
        <v>30</v>
      </c>
    </row>
    <row r="1959" spans="1:14">
      <c r="A1959" s="8">
        <f t="shared" si="2907"/>
        <v>20020</v>
      </c>
      <c r="B1959" s="8">
        <v>40000</v>
      </c>
      <c r="C1959" s="8" t="s">
        <v>298</v>
      </c>
      <c r="D1959" s="7">
        <f t="shared" si="2908"/>
        <v>50803056</v>
      </c>
      <c r="E1959" s="8"/>
      <c r="F1959" s="8">
        <v>1</v>
      </c>
      <c r="G1959" s="7">
        <v>510000</v>
      </c>
      <c r="H1959" s="8" t="s">
        <v>299</v>
      </c>
      <c r="I1959" s="8">
        <v>1</v>
      </c>
      <c r="J1959" s="8">
        <v>240</v>
      </c>
      <c r="K1959" s="7" t="s">
        <v>312</v>
      </c>
      <c r="L1959" s="8">
        <v>68</v>
      </c>
      <c r="M1959" s="7">
        <f>IF(INDEX([1]equip.xml!$B:$B,MATCH(D1959,[1]equip.xml!$A:$A,0))=0,0,N1959)</f>
        <v>30</v>
      </c>
      <c r="N1959" s="8">
        <v>30</v>
      </c>
    </row>
    <row r="1960" spans="1:14">
      <c r="A1960" s="8">
        <f t="shared" si="2907"/>
        <v>20020</v>
      </c>
      <c r="B1960" s="8">
        <v>40000</v>
      </c>
      <c r="C1960" s="8" t="s">
        <v>298</v>
      </c>
      <c r="D1960" s="7">
        <f t="shared" si="2908"/>
        <v>50803065</v>
      </c>
      <c r="E1960" s="8"/>
      <c r="F1960" s="8">
        <v>1</v>
      </c>
      <c r="G1960" s="7">
        <v>492000</v>
      </c>
      <c r="H1960" s="8" t="s">
        <v>299</v>
      </c>
      <c r="I1960" s="8">
        <v>1</v>
      </c>
      <c r="J1960" s="8">
        <v>240</v>
      </c>
      <c r="K1960" s="7" t="s">
        <v>312</v>
      </c>
      <c r="L1960" s="8">
        <v>68</v>
      </c>
      <c r="M1960" s="7">
        <f>IF(INDEX([1]equip.xml!$B:$B,MATCH(D1960,[1]equip.xml!$A:$A,0))=0,0,N1960)</f>
        <v>30</v>
      </c>
      <c r="N1960" s="8">
        <v>30</v>
      </c>
    </row>
    <row r="1961" spans="1:14">
      <c r="A1961" s="8">
        <f t="shared" si="2907"/>
        <v>20020</v>
      </c>
      <c r="B1961" s="8">
        <v>40000</v>
      </c>
      <c r="C1961" s="8" t="s">
        <v>298</v>
      </c>
      <c r="D1961" s="7">
        <f t="shared" si="2908"/>
        <v>50803066</v>
      </c>
      <c r="E1961" s="8"/>
      <c r="F1961" s="8">
        <v>1</v>
      </c>
      <c r="G1961" s="7">
        <v>510000</v>
      </c>
      <c r="H1961" s="8" t="s">
        <v>299</v>
      </c>
      <c r="I1961" s="8">
        <v>1</v>
      </c>
      <c r="J1961" s="8">
        <v>240</v>
      </c>
      <c r="K1961" s="7" t="s">
        <v>312</v>
      </c>
      <c r="L1961" s="8">
        <v>68</v>
      </c>
      <c r="M1961" s="7">
        <f>IF(INDEX([1]equip.xml!$B:$B,MATCH(D1961,[1]equip.xml!$A:$A,0))=0,0,N1961)</f>
        <v>30</v>
      </c>
      <c r="N1961" s="8">
        <v>30</v>
      </c>
    </row>
    <row r="1962" spans="1:14">
      <c r="A1962" s="8">
        <f t="shared" si="2907"/>
        <v>20020</v>
      </c>
      <c r="B1962" s="8">
        <v>40000</v>
      </c>
      <c r="C1962" s="8" t="s">
        <v>298</v>
      </c>
      <c r="D1962" s="7">
        <f t="shared" si="2908"/>
        <v>50800045</v>
      </c>
      <c r="E1962" s="8"/>
      <c r="F1962" s="8">
        <v>1</v>
      </c>
      <c r="G1962" s="7">
        <v>492000</v>
      </c>
      <c r="H1962" s="8" t="s">
        <v>299</v>
      </c>
      <c r="I1962" s="8">
        <v>1</v>
      </c>
      <c r="J1962" s="8">
        <v>240</v>
      </c>
      <c r="K1962" s="7" t="s">
        <v>312</v>
      </c>
      <c r="L1962" s="8">
        <v>68</v>
      </c>
      <c r="M1962" s="7">
        <f>IF(INDEX([1]equip.xml!$B:$B,MATCH(D1962,[1]equip.xml!$A:$A,0))=0,0,N1962)</f>
        <v>30</v>
      </c>
      <c r="N1962" s="8">
        <v>30</v>
      </c>
    </row>
    <row r="1963" spans="1:14">
      <c r="A1963" s="8">
        <f t="shared" si="2907"/>
        <v>20020</v>
      </c>
      <c r="B1963" s="8">
        <v>40000</v>
      </c>
      <c r="C1963" s="8" t="s">
        <v>298</v>
      </c>
      <c r="D1963" s="7">
        <f t="shared" si="2908"/>
        <v>50800046</v>
      </c>
      <c r="E1963" s="8"/>
      <c r="F1963" s="8">
        <v>1</v>
      </c>
      <c r="G1963" s="7">
        <v>510000</v>
      </c>
      <c r="H1963" s="8" t="s">
        <v>299</v>
      </c>
      <c r="I1963" s="8">
        <v>1</v>
      </c>
      <c r="J1963" s="8">
        <v>240</v>
      </c>
      <c r="K1963" s="7" t="s">
        <v>312</v>
      </c>
      <c r="L1963" s="8">
        <v>68</v>
      </c>
      <c r="M1963" s="7">
        <f>IF(INDEX([1]equip.xml!$B:$B,MATCH(D1963,[1]equip.xml!$A:$A,0))=0,0,N1963)</f>
        <v>30</v>
      </c>
      <c r="N1963" s="8">
        <v>30</v>
      </c>
    </row>
    <row r="1964" spans="1:14">
      <c r="A1964" s="8">
        <f t="shared" si="2907"/>
        <v>20020</v>
      </c>
      <c r="B1964" s="8">
        <v>40000</v>
      </c>
      <c r="C1964" s="8" t="s">
        <v>298</v>
      </c>
      <c r="D1964" s="7">
        <f t="shared" si="2908"/>
        <v>50800075</v>
      </c>
      <c r="E1964" s="8"/>
      <c r="F1964" s="8">
        <v>1</v>
      </c>
      <c r="G1964" s="7">
        <v>492000</v>
      </c>
      <c r="H1964" s="8" t="s">
        <v>299</v>
      </c>
      <c r="I1964" s="8">
        <v>1</v>
      </c>
      <c r="J1964" s="8">
        <v>240</v>
      </c>
      <c r="K1964" s="7" t="s">
        <v>312</v>
      </c>
      <c r="L1964" s="8">
        <v>68</v>
      </c>
      <c r="M1964" s="7">
        <f>IF(INDEX([1]equip.xml!$B:$B,MATCH(D1964,[1]equip.xml!$A:$A,0))=0,0,N1964)</f>
        <v>30</v>
      </c>
      <c r="N1964" s="8">
        <v>30</v>
      </c>
    </row>
    <row r="1965" spans="1:14">
      <c r="A1965" s="8">
        <f t="shared" si="2907"/>
        <v>20020</v>
      </c>
      <c r="B1965" s="8">
        <v>40000</v>
      </c>
      <c r="C1965" s="8" t="s">
        <v>298</v>
      </c>
      <c r="D1965" s="7">
        <f t="shared" si="2908"/>
        <v>50800076</v>
      </c>
      <c r="E1965" s="8"/>
      <c r="F1965" s="8">
        <v>1</v>
      </c>
      <c r="G1965" s="7">
        <v>510000</v>
      </c>
      <c r="H1965" s="8" t="s">
        <v>299</v>
      </c>
      <c r="I1965" s="8">
        <v>1</v>
      </c>
      <c r="J1965" s="8">
        <v>240</v>
      </c>
      <c r="K1965" s="7" t="s">
        <v>312</v>
      </c>
      <c r="L1965" s="8">
        <v>68</v>
      </c>
      <c r="M1965" s="7">
        <f>IF(INDEX([1]equip.xml!$B:$B,MATCH(D1965,[1]equip.xml!$A:$A,0))=0,0,N1965)</f>
        <v>30</v>
      </c>
      <c r="N1965" s="8">
        <v>30</v>
      </c>
    </row>
    <row r="1966" spans="1:14">
      <c r="A1966" s="8">
        <f t="shared" si="2907"/>
        <v>20021</v>
      </c>
      <c r="B1966" s="8">
        <v>40000</v>
      </c>
      <c r="C1966" s="8" t="s">
        <v>298</v>
      </c>
      <c r="D1966" s="8">
        <f t="shared" ref="D1966:D2009" si="2909">D1878+50000</f>
        <v>40800010</v>
      </c>
      <c r="E1966" s="8"/>
      <c r="F1966" s="8">
        <v>1</v>
      </c>
      <c r="G1966" s="7">
        <v>246000</v>
      </c>
      <c r="H1966" s="8" t="s">
        <v>299</v>
      </c>
      <c r="I1966" s="8">
        <v>6</v>
      </c>
      <c r="J1966" s="8">
        <v>50</v>
      </c>
      <c r="K1966" s="7" t="s">
        <v>312</v>
      </c>
      <c r="L1966" s="8">
        <v>72</v>
      </c>
      <c r="M1966" s="7">
        <f>IF(INDEX([1]equip.xml!$B:$B,MATCH(D1966,[1]equip.xml!$A:$A,0))=0,0,N1966)</f>
        <v>130</v>
      </c>
      <c r="N1966" s="8">
        <f t="shared" ref="N1966:N2026" si="2910">N1922</f>
        <v>130</v>
      </c>
    </row>
    <row r="1967" spans="1:14">
      <c r="A1967" s="8">
        <f t="shared" si="2907"/>
        <v>20021</v>
      </c>
      <c r="B1967" s="8">
        <v>40000</v>
      </c>
      <c r="C1967" s="8" t="s">
        <v>298</v>
      </c>
      <c r="D1967" s="8">
        <f t="shared" si="2909"/>
        <v>40800020</v>
      </c>
      <c r="E1967" s="8"/>
      <c r="F1967" s="8">
        <v>1</v>
      </c>
      <c r="G1967" s="7">
        <v>246000</v>
      </c>
      <c r="H1967" s="8" t="s">
        <v>299</v>
      </c>
      <c r="I1967" s="8">
        <v>6</v>
      </c>
      <c r="J1967" s="8">
        <v>50</v>
      </c>
      <c r="K1967" s="7" t="s">
        <v>312</v>
      </c>
      <c r="L1967" s="8">
        <v>72</v>
      </c>
      <c r="M1967" s="7">
        <f>IF(INDEX([1]equip.xml!$B:$B,MATCH(D1967,[1]equip.xml!$A:$A,0))=0,0,N1967)</f>
        <v>130</v>
      </c>
      <c r="N1967" s="8">
        <f t="shared" si="2910"/>
        <v>130</v>
      </c>
    </row>
    <row r="1968" spans="1:14">
      <c r="A1968" s="8">
        <f t="shared" si="2907"/>
        <v>20021</v>
      </c>
      <c r="B1968" s="8">
        <v>40000</v>
      </c>
      <c r="C1968" s="8" t="s">
        <v>298</v>
      </c>
      <c r="D1968" s="8">
        <f t="shared" si="2909"/>
        <v>40800030</v>
      </c>
      <c r="E1968" s="8"/>
      <c r="F1968" s="8">
        <v>1</v>
      </c>
      <c r="G1968" s="7">
        <v>246000</v>
      </c>
      <c r="H1968" s="8" t="s">
        <v>299</v>
      </c>
      <c r="I1968" s="8">
        <v>6</v>
      </c>
      <c r="J1968" s="8">
        <v>50</v>
      </c>
      <c r="K1968" s="7" t="s">
        <v>312</v>
      </c>
      <c r="L1968" s="8">
        <v>72</v>
      </c>
      <c r="M1968" s="7">
        <f>IF(INDEX([1]equip.xml!$B:$B,MATCH(D1968,[1]equip.xml!$A:$A,0))=0,0,N1968)</f>
        <v>130</v>
      </c>
      <c r="N1968" s="8">
        <f t="shared" si="2910"/>
        <v>130</v>
      </c>
    </row>
    <row r="1969" spans="1:14">
      <c r="A1969" s="8">
        <f t="shared" si="2907"/>
        <v>20021</v>
      </c>
      <c r="B1969" s="8">
        <v>40000</v>
      </c>
      <c r="C1969" s="8" t="s">
        <v>298</v>
      </c>
      <c r="D1969" s="8">
        <f t="shared" si="2909"/>
        <v>40800080</v>
      </c>
      <c r="E1969" s="8"/>
      <c r="F1969" s="8">
        <v>1</v>
      </c>
      <c r="G1969" s="7">
        <v>246000</v>
      </c>
      <c r="H1969" s="8" t="s">
        <v>299</v>
      </c>
      <c r="I1969" s="8">
        <v>6</v>
      </c>
      <c r="J1969" s="8">
        <v>50</v>
      </c>
      <c r="K1969" s="7" t="s">
        <v>312</v>
      </c>
      <c r="L1969" s="8">
        <v>72</v>
      </c>
      <c r="M1969" s="7">
        <f>IF(INDEX([1]equip.xml!$B:$B,MATCH(D1969,[1]equip.xml!$A:$A,0))=0,0,N1969)</f>
        <v>130</v>
      </c>
      <c r="N1969" s="8">
        <f t="shared" si="2910"/>
        <v>130</v>
      </c>
    </row>
    <row r="1970" spans="1:14">
      <c r="A1970" s="8">
        <f t="shared" si="2907"/>
        <v>20021</v>
      </c>
      <c r="B1970" s="8">
        <v>40000</v>
      </c>
      <c r="C1970" s="8" t="s">
        <v>298</v>
      </c>
      <c r="D1970" s="8">
        <f t="shared" si="2909"/>
        <v>40800090</v>
      </c>
      <c r="E1970" s="8"/>
      <c r="F1970" s="8">
        <v>1</v>
      </c>
      <c r="G1970" s="7">
        <v>246000</v>
      </c>
      <c r="H1970" s="8" t="s">
        <v>299</v>
      </c>
      <c r="I1970" s="8">
        <v>6</v>
      </c>
      <c r="J1970" s="8">
        <v>50</v>
      </c>
      <c r="K1970" s="7" t="s">
        <v>312</v>
      </c>
      <c r="L1970" s="8">
        <v>72</v>
      </c>
      <c r="M1970" s="7">
        <f>IF(INDEX([1]equip.xml!$B:$B,MATCH(D1970,[1]equip.xml!$A:$A,0))=0,0,N1970)</f>
        <v>130</v>
      </c>
      <c r="N1970" s="8">
        <f t="shared" si="2910"/>
        <v>130</v>
      </c>
    </row>
    <row r="1971" spans="1:14">
      <c r="A1971" s="8">
        <f t="shared" si="2907"/>
        <v>20021</v>
      </c>
      <c r="B1971" s="8">
        <v>40000</v>
      </c>
      <c r="C1971" s="8" t="s">
        <v>298</v>
      </c>
      <c r="D1971" s="8">
        <f t="shared" si="2909"/>
        <v>40800100</v>
      </c>
      <c r="E1971" s="8"/>
      <c r="F1971" s="8">
        <v>1</v>
      </c>
      <c r="G1971" s="7">
        <v>246000</v>
      </c>
      <c r="H1971" s="8" t="s">
        <v>299</v>
      </c>
      <c r="I1971" s="8">
        <v>6</v>
      </c>
      <c r="J1971" s="8">
        <v>50</v>
      </c>
      <c r="K1971" s="7" t="s">
        <v>312</v>
      </c>
      <c r="L1971" s="8">
        <v>72</v>
      </c>
      <c r="M1971" s="7">
        <f>IF(INDEX([1]equip.xml!$B:$B,MATCH(D1971,[1]equip.xml!$A:$A,0))=0,0,N1971)</f>
        <v>130</v>
      </c>
      <c r="N1971" s="8">
        <f t="shared" si="2910"/>
        <v>130</v>
      </c>
    </row>
    <row r="1972" spans="1:14">
      <c r="A1972" s="8">
        <f t="shared" si="2907"/>
        <v>20021</v>
      </c>
      <c r="B1972" s="8">
        <v>40000</v>
      </c>
      <c r="C1972" s="8" t="s">
        <v>298</v>
      </c>
      <c r="D1972" s="8">
        <f t="shared" si="2909"/>
        <v>40801050</v>
      </c>
      <c r="E1972" s="8"/>
      <c r="F1972" s="8">
        <v>1</v>
      </c>
      <c r="G1972" s="7">
        <v>246000</v>
      </c>
      <c r="H1972" s="8" t="s">
        <v>299</v>
      </c>
      <c r="I1972" s="8">
        <v>6</v>
      </c>
      <c r="J1972" s="8">
        <v>50</v>
      </c>
      <c r="K1972" s="7" t="s">
        <v>312</v>
      </c>
      <c r="L1972" s="8">
        <v>72</v>
      </c>
      <c r="M1972" s="7">
        <f>IF(INDEX([1]equip.xml!$B:$B,MATCH(D1972,[1]equip.xml!$A:$A,0))=0,0,N1972)</f>
        <v>130</v>
      </c>
      <c r="N1972" s="8">
        <f t="shared" si="2910"/>
        <v>130</v>
      </c>
    </row>
    <row r="1973" spans="1:14">
      <c r="A1973" s="8">
        <f t="shared" si="2907"/>
        <v>20021</v>
      </c>
      <c r="B1973" s="8">
        <v>40000</v>
      </c>
      <c r="C1973" s="8" t="s">
        <v>298</v>
      </c>
      <c r="D1973" s="8">
        <f t="shared" si="2909"/>
        <v>40801051</v>
      </c>
      <c r="E1973" s="8"/>
      <c r="F1973" s="8">
        <v>1</v>
      </c>
      <c r="G1973" s="7">
        <v>255000</v>
      </c>
      <c r="H1973" s="8" t="s">
        <v>299</v>
      </c>
      <c r="I1973" s="8">
        <v>6</v>
      </c>
      <c r="J1973" s="8">
        <v>50</v>
      </c>
      <c r="K1973" s="7" t="s">
        <v>312</v>
      </c>
      <c r="L1973" s="8">
        <v>72</v>
      </c>
      <c r="M1973" s="7">
        <f>IF(INDEX([1]equip.xml!$B:$B,MATCH(D1973,[1]equip.xml!$A:$A,0))=0,0,N1973)</f>
        <v>130</v>
      </c>
      <c r="N1973" s="8">
        <f t="shared" si="2910"/>
        <v>130</v>
      </c>
    </row>
    <row r="1974" spans="1:14">
      <c r="A1974" s="8">
        <f t="shared" si="2907"/>
        <v>20021</v>
      </c>
      <c r="B1974" s="8">
        <v>40000</v>
      </c>
      <c r="C1974" s="8" t="s">
        <v>298</v>
      </c>
      <c r="D1974" s="8">
        <f t="shared" si="2909"/>
        <v>40801060</v>
      </c>
      <c r="E1974" s="8"/>
      <c r="F1974" s="8">
        <v>1</v>
      </c>
      <c r="G1974" s="7">
        <v>246000</v>
      </c>
      <c r="H1974" s="8" t="s">
        <v>299</v>
      </c>
      <c r="I1974" s="8">
        <v>6</v>
      </c>
      <c r="J1974" s="8">
        <v>50</v>
      </c>
      <c r="K1974" s="7" t="s">
        <v>312</v>
      </c>
      <c r="L1974" s="8">
        <v>72</v>
      </c>
      <c r="M1974" s="7">
        <f>IF(INDEX([1]equip.xml!$B:$B,MATCH(D1974,[1]equip.xml!$A:$A,0))=0,0,N1974)</f>
        <v>130</v>
      </c>
      <c r="N1974" s="8">
        <f t="shared" si="2910"/>
        <v>130</v>
      </c>
    </row>
    <row r="1975" spans="1:14">
      <c r="A1975" s="8">
        <f t="shared" si="2907"/>
        <v>20021</v>
      </c>
      <c r="B1975" s="8">
        <v>40000</v>
      </c>
      <c r="C1975" s="8" t="s">
        <v>298</v>
      </c>
      <c r="D1975" s="8">
        <f t="shared" si="2909"/>
        <v>40801061</v>
      </c>
      <c r="E1975" s="8"/>
      <c r="F1975" s="8">
        <v>1</v>
      </c>
      <c r="G1975" s="7">
        <v>255000</v>
      </c>
      <c r="H1975" s="8" t="s">
        <v>299</v>
      </c>
      <c r="I1975" s="8">
        <v>6</v>
      </c>
      <c r="J1975" s="8">
        <v>50</v>
      </c>
      <c r="K1975" s="7" t="s">
        <v>312</v>
      </c>
      <c r="L1975" s="8">
        <v>72</v>
      </c>
      <c r="M1975" s="7">
        <f>IF(INDEX([1]equip.xml!$B:$B,MATCH(D1975,[1]equip.xml!$A:$A,0))=0,0,N1975)</f>
        <v>130</v>
      </c>
      <c r="N1975" s="8">
        <f t="shared" si="2910"/>
        <v>130</v>
      </c>
    </row>
    <row r="1976" spans="1:14">
      <c r="A1976" s="8">
        <f t="shared" si="2907"/>
        <v>20021</v>
      </c>
      <c r="B1976" s="8">
        <v>40000</v>
      </c>
      <c r="C1976" s="8" t="s">
        <v>298</v>
      </c>
      <c r="D1976" s="8">
        <f t="shared" si="2909"/>
        <v>40802050</v>
      </c>
      <c r="E1976" s="8"/>
      <c r="F1976" s="8">
        <v>1</v>
      </c>
      <c r="G1976" s="7">
        <v>246000</v>
      </c>
      <c r="H1976" s="8" t="s">
        <v>299</v>
      </c>
      <c r="I1976" s="8">
        <v>6</v>
      </c>
      <c r="J1976" s="8">
        <v>50</v>
      </c>
      <c r="K1976" s="7" t="s">
        <v>312</v>
      </c>
      <c r="L1976" s="8">
        <v>72</v>
      </c>
      <c r="M1976" s="7">
        <f>IF(INDEX([1]equip.xml!$B:$B,MATCH(D1976,[1]equip.xml!$A:$A,0))=0,0,N1976)</f>
        <v>130</v>
      </c>
      <c r="N1976" s="8">
        <f t="shared" si="2910"/>
        <v>130</v>
      </c>
    </row>
    <row r="1977" spans="1:14">
      <c r="A1977" s="8">
        <f t="shared" si="2907"/>
        <v>20021</v>
      </c>
      <c r="B1977" s="8">
        <v>40000</v>
      </c>
      <c r="C1977" s="8" t="s">
        <v>298</v>
      </c>
      <c r="D1977" s="8">
        <f t="shared" si="2909"/>
        <v>40802051</v>
      </c>
      <c r="E1977" s="8"/>
      <c r="F1977" s="8">
        <v>1</v>
      </c>
      <c r="G1977" s="7">
        <v>255000</v>
      </c>
      <c r="H1977" s="8" t="s">
        <v>299</v>
      </c>
      <c r="I1977" s="8">
        <v>6</v>
      </c>
      <c r="J1977" s="8">
        <v>50</v>
      </c>
      <c r="K1977" s="7" t="s">
        <v>312</v>
      </c>
      <c r="L1977" s="8">
        <v>72</v>
      </c>
      <c r="M1977" s="7">
        <f>IF(INDEX([1]equip.xml!$B:$B,MATCH(D1977,[1]equip.xml!$A:$A,0))=0,0,N1977)</f>
        <v>130</v>
      </c>
      <c r="N1977" s="8">
        <f t="shared" si="2910"/>
        <v>130</v>
      </c>
    </row>
    <row r="1978" spans="1:14">
      <c r="A1978" s="8">
        <f t="shared" si="2907"/>
        <v>20021</v>
      </c>
      <c r="B1978" s="8">
        <v>40000</v>
      </c>
      <c r="C1978" s="8" t="s">
        <v>298</v>
      </c>
      <c r="D1978" s="8">
        <f t="shared" si="2909"/>
        <v>40802060</v>
      </c>
      <c r="E1978" s="8"/>
      <c r="F1978" s="8">
        <v>1</v>
      </c>
      <c r="G1978" s="7">
        <v>246000</v>
      </c>
      <c r="H1978" s="8" t="s">
        <v>299</v>
      </c>
      <c r="I1978" s="8">
        <v>6</v>
      </c>
      <c r="J1978" s="8">
        <v>50</v>
      </c>
      <c r="K1978" s="7" t="s">
        <v>312</v>
      </c>
      <c r="L1978" s="8">
        <v>72</v>
      </c>
      <c r="M1978" s="7">
        <f>IF(INDEX([1]equip.xml!$B:$B,MATCH(D1978,[1]equip.xml!$A:$A,0))=0,0,N1978)</f>
        <v>130</v>
      </c>
      <c r="N1978" s="8">
        <f t="shared" si="2910"/>
        <v>130</v>
      </c>
    </row>
    <row r="1979" spans="1:14">
      <c r="A1979" s="8">
        <f t="shared" si="2907"/>
        <v>20021</v>
      </c>
      <c r="B1979" s="8">
        <v>40000</v>
      </c>
      <c r="C1979" s="8" t="s">
        <v>298</v>
      </c>
      <c r="D1979" s="8">
        <f t="shared" si="2909"/>
        <v>40802061</v>
      </c>
      <c r="E1979" s="8"/>
      <c r="F1979" s="8">
        <v>1</v>
      </c>
      <c r="G1979" s="7">
        <v>255000</v>
      </c>
      <c r="H1979" s="8" t="s">
        <v>299</v>
      </c>
      <c r="I1979" s="8">
        <v>6</v>
      </c>
      <c r="J1979" s="8">
        <v>50</v>
      </c>
      <c r="K1979" s="7" t="s">
        <v>312</v>
      </c>
      <c r="L1979" s="8">
        <v>72</v>
      </c>
      <c r="M1979" s="7">
        <f>IF(INDEX([1]equip.xml!$B:$B,MATCH(D1979,[1]equip.xml!$A:$A,0))=0,0,N1979)</f>
        <v>130</v>
      </c>
      <c r="N1979" s="8">
        <f t="shared" si="2910"/>
        <v>130</v>
      </c>
    </row>
    <row r="1980" spans="1:14">
      <c r="A1980" s="8">
        <f t="shared" si="2907"/>
        <v>20021</v>
      </c>
      <c r="B1980" s="8">
        <v>40000</v>
      </c>
      <c r="C1980" s="8" t="s">
        <v>298</v>
      </c>
      <c r="D1980" s="8">
        <f t="shared" si="2909"/>
        <v>40803050</v>
      </c>
      <c r="E1980" s="8"/>
      <c r="F1980" s="8">
        <v>1</v>
      </c>
      <c r="G1980" s="7">
        <v>246000</v>
      </c>
      <c r="H1980" s="8" t="s">
        <v>299</v>
      </c>
      <c r="I1980" s="8">
        <v>6</v>
      </c>
      <c r="J1980" s="8">
        <v>50</v>
      </c>
      <c r="K1980" s="7" t="s">
        <v>312</v>
      </c>
      <c r="L1980" s="8">
        <v>72</v>
      </c>
      <c r="M1980" s="7">
        <f>IF(INDEX([1]equip.xml!$B:$B,MATCH(D1980,[1]equip.xml!$A:$A,0))=0,0,N1980)</f>
        <v>130</v>
      </c>
      <c r="N1980" s="8">
        <f t="shared" si="2910"/>
        <v>130</v>
      </c>
    </row>
    <row r="1981" spans="1:14">
      <c r="A1981" s="8">
        <f t="shared" si="2907"/>
        <v>20021</v>
      </c>
      <c r="B1981" s="8">
        <v>40000</v>
      </c>
      <c r="C1981" s="8" t="s">
        <v>298</v>
      </c>
      <c r="D1981" s="8">
        <f t="shared" si="2909"/>
        <v>40803051</v>
      </c>
      <c r="E1981" s="8"/>
      <c r="F1981" s="8">
        <v>1</v>
      </c>
      <c r="G1981" s="7">
        <v>255000</v>
      </c>
      <c r="H1981" s="8" t="s">
        <v>299</v>
      </c>
      <c r="I1981" s="8">
        <v>6</v>
      </c>
      <c r="J1981" s="8">
        <v>50</v>
      </c>
      <c r="K1981" s="7" t="s">
        <v>312</v>
      </c>
      <c r="L1981" s="8">
        <v>72</v>
      </c>
      <c r="M1981" s="7">
        <f>IF(INDEX([1]equip.xml!$B:$B,MATCH(D1981,[1]equip.xml!$A:$A,0))=0,0,N1981)</f>
        <v>130</v>
      </c>
      <c r="N1981" s="8">
        <f t="shared" si="2910"/>
        <v>130</v>
      </c>
    </row>
    <row r="1982" spans="1:14">
      <c r="A1982" s="8">
        <f t="shared" si="2907"/>
        <v>20021</v>
      </c>
      <c r="B1982" s="8">
        <v>40000</v>
      </c>
      <c r="C1982" s="8" t="s">
        <v>298</v>
      </c>
      <c r="D1982" s="8">
        <f t="shared" si="2909"/>
        <v>40803060</v>
      </c>
      <c r="E1982" s="8"/>
      <c r="F1982" s="8">
        <v>1</v>
      </c>
      <c r="G1982" s="7">
        <v>246000</v>
      </c>
      <c r="H1982" s="8" t="s">
        <v>299</v>
      </c>
      <c r="I1982" s="8">
        <v>6</v>
      </c>
      <c r="J1982" s="8">
        <v>50</v>
      </c>
      <c r="K1982" s="7" t="s">
        <v>312</v>
      </c>
      <c r="L1982" s="8">
        <v>72</v>
      </c>
      <c r="M1982" s="7">
        <f>IF(INDEX([1]equip.xml!$B:$B,MATCH(D1982,[1]equip.xml!$A:$A,0))=0,0,N1982)</f>
        <v>130</v>
      </c>
      <c r="N1982" s="8">
        <f t="shared" si="2910"/>
        <v>130</v>
      </c>
    </row>
    <row r="1983" spans="1:14">
      <c r="A1983" s="8">
        <f t="shared" ref="A1983:A2046" si="2911">A1455+10000</f>
        <v>20021</v>
      </c>
      <c r="B1983" s="8">
        <v>40000</v>
      </c>
      <c r="C1983" s="8" t="s">
        <v>298</v>
      </c>
      <c r="D1983" s="8">
        <f t="shared" si="2909"/>
        <v>40803061</v>
      </c>
      <c r="E1983" s="8"/>
      <c r="F1983" s="8">
        <v>1</v>
      </c>
      <c r="G1983" s="7">
        <v>255000</v>
      </c>
      <c r="H1983" s="8" t="s">
        <v>299</v>
      </c>
      <c r="I1983" s="8">
        <v>6</v>
      </c>
      <c r="J1983" s="8">
        <v>50</v>
      </c>
      <c r="K1983" s="7" t="s">
        <v>312</v>
      </c>
      <c r="L1983" s="8">
        <v>72</v>
      </c>
      <c r="M1983" s="7">
        <f>IF(INDEX([1]equip.xml!$B:$B,MATCH(D1983,[1]equip.xml!$A:$A,0))=0,0,N1983)</f>
        <v>130</v>
      </c>
      <c r="N1983" s="8">
        <f t="shared" si="2910"/>
        <v>130</v>
      </c>
    </row>
    <row r="1984" spans="1:14">
      <c r="A1984" s="8">
        <f t="shared" si="2911"/>
        <v>20021</v>
      </c>
      <c r="B1984" s="8">
        <v>40000</v>
      </c>
      <c r="C1984" s="8" t="s">
        <v>298</v>
      </c>
      <c r="D1984" s="8">
        <f t="shared" si="2909"/>
        <v>40800040</v>
      </c>
      <c r="E1984" s="8"/>
      <c r="F1984" s="8">
        <v>1</v>
      </c>
      <c r="G1984" s="7">
        <v>246000</v>
      </c>
      <c r="H1984" s="8" t="s">
        <v>299</v>
      </c>
      <c r="I1984" s="8">
        <v>6</v>
      </c>
      <c r="J1984" s="8">
        <v>50</v>
      </c>
      <c r="K1984" s="7" t="s">
        <v>312</v>
      </c>
      <c r="L1984" s="8">
        <v>72</v>
      </c>
      <c r="M1984" s="7">
        <f>IF(INDEX([1]equip.xml!$B:$B,MATCH(D1984,[1]equip.xml!$A:$A,0))=0,0,N1984)</f>
        <v>130</v>
      </c>
      <c r="N1984" s="8">
        <f t="shared" si="2910"/>
        <v>130</v>
      </c>
    </row>
    <row r="1985" spans="1:14">
      <c r="A1985" s="8">
        <f t="shared" si="2911"/>
        <v>20021</v>
      </c>
      <c r="B1985" s="8">
        <v>40000</v>
      </c>
      <c r="C1985" s="8" t="s">
        <v>298</v>
      </c>
      <c r="D1985" s="8">
        <f t="shared" si="2909"/>
        <v>40800041</v>
      </c>
      <c r="E1985" s="8"/>
      <c r="F1985" s="8">
        <v>1</v>
      </c>
      <c r="G1985" s="7">
        <v>255000</v>
      </c>
      <c r="H1985" s="8" t="s">
        <v>299</v>
      </c>
      <c r="I1985" s="8">
        <v>6</v>
      </c>
      <c r="J1985" s="8">
        <v>50</v>
      </c>
      <c r="K1985" s="7" t="s">
        <v>312</v>
      </c>
      <c r="L1985" s="8">
        <v>72</v>
      </c>
      <c r="M1985" s="7">
        <f>IF(INDEX([1]equip.xml!$B:$B,MATCH(D1985,[1]equip.xml!$A:$A,0))=0,0,N1985)</f>
        <v>130</v>
      </c>
      <c r="N1985" s="8">
        <f t="shared" si="2910"/>
        <v>130</v>
      </c>
    </row>
    <row r="1986" spans="1:14">
      <c r="A1986" s="8">
        <f t="shared" si="2911"/>
        <v>20021</v>
      </c>
      <c r="B1986" s="8">
        <v>40000</v>
      </c>
      <c r="C1986" s="8" t="s">
        <v>298</v>
      </c>
      <c r="D1986" s="8">
        <f t="shared" si="2909"/>
        <v>40800070</v>
      </c>
      <c r="E1986" s="8"/>
      <c r="F1986" s="8">
        <v>1</v>
      </c>
      <c r="G1986" s="7">
        <v>246000</v>
      </c>
      <c r="H1986" s="8" t="s">
        <v>299</v>
      </c>
      <c r="I1986" s="8">
        <v>6</v>
      </c>
      <c r="J1986" s="8">
        <v>50</v>
      </c>
      <c r="K1986" s="7" t="s">
        <v>312</v>
      </c>
      <c r="L1986" s="8">
        <v>72</v>
      </c>
      <c r="M1986" s="7">
        <f>IF(INDEX([1]equip.xml!$B:$B,MATCH(D1986,[1]equip.xml!$A:$A,0))=0,0,N1986)</f>
        <v>130</v>
      </c>
      <c r="N1986" s="8">
        <f t="shared" si="2910"/>
        <v>130</v>
      </c>
    </row>
    <row r="1987" spans="1:14">
      <c r="A1987" s="8">
        <f t="shared" si="2911"/>
        <v>20021</v>
      </c>
      <c r="B1987" s="8">
        <v>40000</v>
      </c>
      <c r="C1987" s="8" t="s">
        <v>298</v>
      </c>
      <c r="D1987" s="8">
        <f t="shared" si="2909"/>
        <v>40800071</v>
      </c>
      <c r="E1987" s="8"/>
      <c r="F1987" s="8">
        <v>1</v>
      </c>
      <c r="G1987" s="7">
        <v>255000</v>
      </c>
      <c r="H1987" s="8" t="s">
        <v>299</v>
      </c>
      <c r="I1987" s="8">
        <v>6</v>
      </c>
      <c r="J1987" s="8">
        <v>50</v>
      </c>
      <c r="K1987" s="7" t="s">
        <v>312</v>
      </c>
      <c r="L1987" s="8">
        <v>72</v>
      </c>
      <c r="M1987" s="7">
        <f>IF(INDEX([1]equip.xml!$B:$B,MATCH(D1987,[1]equip.xml!$A:$A,0))=0,0,N1987)</f>
        <v>130</v>
      </c>
      <c r="N1987" s="8">
        <f t="shared" si="2910"/>
        <v>130</v>
      </c>
    </row>
    <row r="1988" spans="1:14">
      <c r="A1988" s="8">
        <f t="shared" si="2911"/>
        <v>20021</v>
      </c>
      <c r="B1988" s="8">
        <v>40000</v>
      </c>
      <c r="C1988" s="8" t="s">
        <v>298</v>
      </c>
      <c r="D1988" s="8">
        <f t="shared" si="2909"/>
        <v>40850010</v>
      </c>
      <c r="E1988" s="8"/>
      <c r="F1988" s="8">
        <v>1</v>
      </c>
      <c r="G1988" s="7">
        <v>264000</v>
      </c>
      <c r="H1988" s="8" t="s">
        <v>299</v>
      </c>
      <c r="I1988" s="8">
        <v>6</v>
      </c>
      <c r="J1988" s="8">
        <v>50</v>
      </c>
      <c r="K1988" s="7" t="s">
        <v>312</v>
      </c>
      <c r="L1988" s="8">
        <v>72</v>
      </c>
      <c r="M1988" s="7">
        <f>IF(INDEX([1]equip.xml!$B:$B,MATCH(D1988,[1]equip.xml!$A:$A,0))=0,0,N1988)</f>
        <v>15</v>
      </c>
      <c r="N1988" s="8">
        <v>15</v>
      </c>
    </row>
    <row r="1989" spans="1:14">
      <c r="A1989" s="8">
        <f t="shared" si="2911"/>
        <v>20021</v>
      </c>
      <c r="B1989" s="8">
        <v>40000</v>
      </c>
      <c r="C1989" s="8" t="s">
        <v>298</v>
      </c>
      <c r="D1989" s="8">
        <f t="shared" si="2909"/>
        <v>40850020</v>
      </c>
      <c r="E1989" s="8"/>
      <c r="F1989" s="8">
        <v>1</v>
      </c>
      <c r="G1989" s="7">
        <v>264000</v>
      </c>
      <c r="H1989" s="8" t="s">
        <v>299</v>
      </c>
      <c r="I1989" s="8">
        <v>6</v>
      </c>
      <c r="J1989" s="8">
        <v>50</v>
      </c>
      <c r="K1989" s="7" t="s">
        <v>312</v>
      </c>
      <c r="L1989" s="8">
        <v>72</v>
      </c>
      <c r="M1989" s="7">
        <f>IF(INDEX([1]equip.xml!$B:$B,MATCH(D1989,[1]equip.xml!$A:$A,0))=0,0,N1989)</f>
        <v>15</v>
      </c>
      <c r="N1989" s="8">
        <v>15</v>
      </c>
    </row>
    <row r="1990" spans="1:14">
      <c r="A1990" s="8">
        <f t="shared" si="2911"/>
        <v>20021</v>
      </c>
      <c r="B1990" s="8">
        <v>40000</v>
      </c>
      <c r="C1990" s="8" t="s">
        <v>298</v>
      </c>
      <c r="D1990" s="8">
        <f t="shared" si="2909"/>
        <v>40850030</v>
      </c>
      <c r="E1990" s="8"/>
      <c r="F1990" s="8">
        <v>1</v>
      </c>
      <c r="G1990" s="7">
        <v>264000</v>
      </c>
      <c r="H1990" s="8" t="s">
        <v>299</v>
      </c>
      <c r="I1990" s="8">
        <v>6</v>
      </c>
      <c r="J1990" s="8">
        <v>50</v>
      </c>
      <c r="K1990" s="7" t="s">
        <v>312</v>
      </c>
      <c r="L1990" s="8">
        <v>72</v>
      </c>
      <c r="M1990" s="7">
        <f>IF(INDEX([1]equip.xml!$B:$B,MATCH(D1990,[1]equip.xml!$A:$A,0))=0,0,N1990)</f>
        <v>15</v>
      </c>
      <c r="N1990" s="8">
        <v>15</v>
      </c>
    </row>
    <row r="1991" spans="1:14">
      <c r="A1991" s="8">
        <f t="shared" si="2911"/>
        <v>20021</v>
      </c>
      <c r="B1991" s="8">
        <v>40000</v>
      </c>
      <c r="C1991" s="8" t="s">
        <v>298</v>
      </c>
      <c r="D1991" s="8">
        <f t="shared" si="2909"/>
        <v>40850080</v>
      </c>
      <c r="E1991" s="8"/>
      <c r="F1991" s="8">
        <v>1</v>
      </c>
      <c r="G1991" s="7">
        <v>264000</v>
      </c>
      <c r="H1991" s="8" t="s">
        <v>299</v>
      </c>
      <c r="I1991" s="8">
        <v>6</v>
      </c>
      <c r="J1991" s="8">
        <v>50</v>
      </c>
      <c r="K1991" s="7" t="s">
        <v>312</v>
      </c>
      <c r="L1991" s="8">
        <v>72</v>
      </c>
      <c r="M1991" s="7">
        <f>IF(INDEX([1]equip.xml!$B:$B,MATCH(D1991,[1]equip.xml!$A:$A,0))=0,0,N1991)</f>
        <v>15</v>
      </c>
      <c r="N1991" s="8">
        <v>15</v>
      </c>
    </row>
    <row r="1992" spans="1:14">
      <c r="A1992" s="8">
        <f t="shared" si="2911"/>
        <v>20021</v>
      </c>
      <c r="B1992" s="8">
        <v>40000</v>
      </c>
      <c r="C1992" s="8" t="s">
        <v>298</v>
      </c>
      <c r="D1992" s="8">
        <f t="shared" si="2909"/>
        <v>40850090</v>
      </c>
      <c r="E1992" s="8"/>
      <c r="F1992" s="8">
        <v>1</v>
      </c>
      <c r="G1992" s="7">
        <v>264000</v>
      </c>
      <c r="H1992" s="8" t="s">
        <v>299</v>
      </c>
      <c r="I1992" s="8">
        <v>6</v>
      </c>
      <c r="J1992" s="8">
        <v>50</v>
      </c>
      <c r="K1992" s="7" t="s">
        <v>312</v>
      </c>
      <c r="L1992" s="8">
        <v>72</v>
      </c>
      <c r="M1992" s="7">
        <f>IF(INDEX([1]equip.xml!$B:$B,MATCH(D1992,[1]equip.xml!$A:$A,0))=0,0,N1992)</f>
        <v>15</v>
      </c>
      <c r="N1992" s="8">
        <v>15</v>
      </c>
    </row>
    <row r="1993" spans="1:14">
      <c r="A1993" s="8">
        <f t="shared" si="2911"/>
        <v>20021</v>
      </c>
      <c r="B1993" s="8">
        <v>40000</v>
      </c>
      <c r="C1993" s="8" t="s">
        <v>298</v>
      </c>
      <c r="D1993" s="8">
        <f t="shared" si="2909"/>
        <v>40850100</v>
      </c>
      <c r="E1993" s="8"/>
      <c r="F1993" s="8">
        <v>1</v>
      </c>
      <c r="G1993" s="7">
        <v>264000</v>
      </c>
      <c r="H1993" s="8" t="s">
        <v>299</v>
      </c>
      <c r="I1993" s="8">
        <v>6</v>
      </c>
      <c r="J1993" s="8">
        <v>50</v>
      </c>
      <c r="K1993" s="7" t="s">
        <v>312</v>
      </c>
      <c r="L1993" s="8">
        <v>72</v>
      </c>
      <c r="M1993" s="7">
        <f>IF(INDEX([1]equip.xml!$B:$B,MATCH(D1993,[1]equip.xml!$A:$A,0))=0,0,N1993)</f>
        <v>15</v>
      </c>
      <c r="N1993" s="8">
        <v>15</v>
      </c>
    </row>
    <row r="1994" spans="1:14">
      <c r="A1994" s="8">
        <f t="shared" si="2911"/>
        <v>20021</v>
      </c>
      <c r="B1994" s="8">
        <v>40000</v>
      </c>
      <c r="C1994" s="8" t="s">
        <v>298</v>
      </c>
      <c r="D1994" s="8">
        <f t="shared" si="2909"/>
        <v>40851050</v>
      </c>
      <c r="E1994" s="8"/>
      <c r="F1994" s="8">
        <v>1</v>
      </c>
      <c r="G1994" s="7">
        <v>264000</v>
      </c>
      <c r="H1994" s="8" t="s">
        <v>299</v>
      </c>
      <c r="I1994" s="8">
        <v>6</v>
      </c>
      <c r="J1994" s="8">
        <v>50</v>
      </c>
      <c r="K1994" s="7" t="s">
        <v>312</v>
      </c>
      <c r="L1994" s="8">
        <v>72</v>
      </c>
      <c r="M1994" s="7">
        <f>IF(INDEX([1]equip.xml!$B:$B,MATCH(D1994,[1]equip.xml!$A:$A,0))=0,0,N1994)</f>
        <v>15</v>
      </c>
      <c r="N1994" s="8">
        <v>15</v>
      </c>
    </row>
    <row r="1995" spans="1:14">
      <c r="A1995" s="8">
        <f t="shared" si="2911"/>
        <v>20021</v>
      </c>
      <c r="B1995" s="8">
        <v>40000</v>
      </c>
      <c r="C1995" s="8" t="s">
        <v>298</v>
      </c>
      <c r="D1995" s="8">
        <f t="shared" si="2909"/>
        <v>40851051</v>
      </c>
      <c r="E1995" s="8"/>
      <c r="F1995" s="8">
        <v>1</v>
      </c>
      <c r="G1995" s="7">
        <v>273000</v>
      </c>
      <c r="H1995" s="8" t="s">
        <v>299</v>
      </c>
      <c r="I1995" s="8">
        <v>6</v>
      </c>
      <c r="J1995" s="8">
        <v>50</v>
      </c>
      <c r="K1995" s="7" t="s">
        <v>312</v>
      </c>
      <c r="L1995" s="8">
        <v>72</v>
      </c>
      <c r="M1995" s="7">
        <f>IF(INDEX([1]equip.xml!$B:$B,MATCH(D1995,[1]equip.xml!$A:$A,0))=0,0,N1995)</f>
        <v>15</v>
      </c>
      <c r="N1995" s="8">
        <v>15</v>
      </c>
    </row>
    <row r="1996" spans="1:14">
      <c r="A1996" s="8">
        <f t="shared" si="2911"/>
        <v>20021</v>
      </c>
      <c r="B1996" s="8">
        <v>40000</v>
      </c>
      <c r="C1996" s="8" t="s">
        <v>298</v>
      </c>
      <c r="D1996" s="8">
        <f t="shared" si="2909"/>
        <v>40851060</v>
      </c>
      <c r="E1996" s="8"/>
      <c r="F1996" s="8">
        <v>1</v>
      </c>
      <c r="G1996" s="7">
        <v>264000</v>
      </c>
      <c r="H1996" s="8" t="s">
        <v>299</v>
      </c>
      <c r="I1996" s="8">
        <v>6</v>
      </c>
      <c r="J1996" s="8">
        <v>50</v>
      </c>
      <c r="K1996" s="7" t="s">
        <v>312</v>
      </c>
      <c r="L1996" s="8">
        <v>72</v>
      </c>
      <c r="M1996" s="7">
        <f>IF(INDEX([1]equip.xml!$B:$B,MATCH(D1996,[1]equip.xml!$A:$A,0))=0,0,N1996)</f>
        <v>15</v>
      </c>
      <c r="N1996" s="8">
        <v>15</v>
      </c>
    </row>
    <row r="1997" spans="1:14">
      <c r="A1997" s="8">
        <f t="shared" si="2911"/>
        <v>20021</v>
      </c>
      <c r="B1997" s="8">
        <v>40000</v>
      </c>
      <c r="C1997" s="8" t="s">
        <v>298</v>
      </c>
      <c r="D1997" s="8">
        <f t="shared" si="2909"/>
        <v>40851061</v>
      </c>
      <c r="E1997" s="8"/>
      <c r="F1997" s="8">
        <v>1</v>
      </c>
      <c r="G1997" s="7">
        <v>273000</v>
      </c>
      <c r="H1997" s="8" t="s">
        <v>299</v>
      </c>
      <c r="I1997" s="8">
        <v>6</v>
      </c>
      <c r="J1997" s="8">
        <v>50</v>
      </c>
      <c r="K1997" s="7" t="s">
        <v>312</v>
      </c>
      <c r="L1997" s="8">
        <v>72</v>
      </c>
      <c r="M1997" s="7">
        <f>IF(INDEX([1]equip.xml!$B:$B,MATCH(D1997,[1]equip.xml!$A:$A,0))=0,0,N1997)</f>
        <v>15</v>
      </c>
      <c r="N1997" s="8">
        <v>15</v>
      </c>
    </row>
    <row r="1998" spans="1:14">
      <c r="A1998" s="8">
        <f t="shared" si="2911"/>
        <v>20021</v>
      </c>
      <c r="B1998" s="8">
        <v>40000</v>
      </c>
      <c r="C1998" s="8" t="s">
        <v>298</v>
      </c>
      <c r="D1998" s="8">
        <f t="shared" si="2909"/>
        <v>40852050</v>
      </c>
      <c r="E1998" s="8"/>
      <c r="F1998" s="8">
        <v>1</v>
      </c>
      <c r="G1998" s="7">
        <v>264000</v>
      </c>
      <c r="H1998" s="8" t="s">
        <v>299</v>
      </c>
      <c r="I1998" s="8">
        <v>6</v>
      </c>
      <c r="J1998" s="8">
        <v>50</v>
      </c>
      <c r="K1998" s="7" t="s">
        <v>312</v>
      </c>
      <c r="L1998" s="8">
        <v>72</v>
      </c>
      <c r="M1998" s="7">
        <f>IF(INDEX([1]equip.xml!$B:$B,MATCH(D1998,[1]equip.xml!$A:$A,0))=0,0,N1998)</f>
        <v>15</v>
      </c>
      <c r="N1998" s="8">
        <v>15</v>
      </c>
    </row>
    <row r="1999" spans="1:14">
      <c r="A1999" s="8">
        <f t="shared" si="2911"/>
        <v>20021</v>
      </c>
      <c r="B1999" s="8">
        <v>40000</v>
      </c>
      <c r="C1999" s="8" t="s">
        <v>298</v>
      </c>
      <c r="D1999" s="8">
        <f t="shared" si="2909"/>
        <v>40852051</v>
      </c>
      <c r="E1999" s="8"/>
      <c r="F1999" s="8">
        <v>1</v>
      </c>
      <c r="G1999" s="7">
        <v>273000</v>
      </c>
      <c r="H1999" s="8" t="s">
        <v>299</v>
      </c>
      <c r="I1999" s="8">
        <v>6</v>
      </c>
      <c r="J1999" s="8">
        <v>50</v>
      </c>
      <c r="K1999" s="7" t="s">
        <v>312</v>
      </c>
      <c r="L1999" s="8">
        <v>72</v>
      </c>
      <c r="M1999" s="7">
        <f>IF(INDEX([1]equip.xml!$B:$B,MATCH(D1999,[1]equip.xml!$A:$A,0))=0,0,N1999)</f>
        <v>15</v>
      </c>
      <c r="N1999" s="8">
        <v>15</v>
      </c>
    </row>
    <row r="2000" spans="1:14">
      <c r="A2000" s="8">
        <f t="shared" si="2911"/>
        <v>20021</v>
      </c>
      <c r="B2000" s="8">
        <v>40000</v>
      </c>
      <c r="C2000" s="8" t="s">
        <v>298</v>
      </c>
      <c r="D2000" s="8">
        <f t="shared" si="2909"/>
        <v>40852060</v>
      </c>
      <c r="E2000" s="8"/>
      <c r="F2000" s="8">
        <v>1</v>
      </c>
      <c r="G2000" s="7">
        <v>264000</v>
      </c>
      <c r="H2000" s="8" t="s">
        <v>299</v>
      </c>
      <c r="I2000" s="8">
        <v>6</v>
      </c>
      <c r="J2000" s="8">
        <v>50</v>
      </c>
      <c r="K2000" s="7" t="s">
        <v>312</v>
      </c>
      <c r="L2000" s="8">
        <v>72</v>
      </c>
      <c r="M2000" s="7">
        <f>IF(INDEX([1]equip.xml!$B:$B,MATCH(D2000,[1]equip.xml!$A:$A,0))=0,0,N2000)</f>
        <v>15</v>
      </c>
      <c r="N2000" s="8">
        <v>15</v>
      </c>
    </row>
    <row r="2001" spans="1:14">
      <c r="A2001" s="8">
        <f t="shared" si="2911"/>
        <v>20021</v>
      </c>
      <c r="B2001" s="8">
        <v>40000</v>
      </c>
      <c r="C2001" s="8" t="s">
        <v>298</v>
      </c>
      <c r="D2001" s="8">
        <f t="shared" si="2909"/>
        <v>40852061</v>
      </c>
      <c r="E2001" s="8"/>
      <c r="F2001" s="8">
        <v>1</v>
      </c>
      <c r="G2001" s="7">
        <v>273000</v>
      </c>
      <c r="H2001" s="8" t="s">
        <v>299</v>
      </c>
      <c r="I2001" s="8">
        <v>6</v>
      </c>
      <c r="J2001" s="8">
        <v>50</v>
      </c>
      <c r="K2001" s="7" t="s">
        <v>312</v>
      </c>
      <c r="L2001" s="8">
        <v>72</v>
      </c>
      <c r="M2001" s="7">
        <f>IF(INDEX([1]equip.xml!$B:$B,MATCH(D2001,[1]equip.xml!$A:$A,0))=0,0,N2001)</f>
        <v>15</v>
      </c>
      <c r="N2001" s="8">
        <v>15</v>
      </c>
    </row>
    <row r="2002" spans="1:14">
      <c r="A2002" s="8">
        <f t="shared" si="2911"/>
        <v>20021</v>
      </c>
      <c r="B2002" s="8">
        <v>40000</v>
      </c>
      <c r="C2002" s="8" t="s">
        <v>298</v>
      </c>
      <c r="D2002" s="8">
        <f t="shared" si="2909"/>
        <v>40853050</v>
      </c>
      <c r="E2002" s="8"/>
      <c r="F2002" s="8">
        <v>1</v>
      </c>
      <c r="G2002" s="7">
        <v>264000</v>
      </c>
      <c r="H2002" s="8" t="s">
        <v>299</v>
      </c>
      <c r="I2002" s="8">
        <v>6</v>
      </c>
      <c r="J2002" s="8">
        <v>50</v>
      </c>
      <c r="K2002" s="7" t="s">
        <v>312</v>
      </c>
      <c r="L2002" s="8">
        <v>72</v>
      </c>
      <c r="M2002" s="7">
        <f>IF(INDEX([1]equip.xml!$B:$B,MATCH(D2002,[1]equip.xml!$A:$A,0))=0,0,N2002)</f>
        <v>15</v>
      </c>
      <c r="N2002" s="8">
        <v>15</v>
      </c>
    </row>
    <row r="2003" spans="1:14">
      <c r="A2003" s="8">
        <f t="shared" si="2911"/>
        <v>20021</v>
      </c>
      <c r="B2003" s="8">
        <v>40000</v>
      </c>
      <c r="C2003" s="8" t="s">
        <v>298</v>
      </c>
      <c r="D2003" s="8">
        <f t="shared" si="2909"/>
        <v>40853051</v>
      </c>
      <c r="E2003" s="8"/>
      <c r="F2003" s="8">
        <v>1</v>
      </c>
      <c r="G2003" s="7">
        <v>273000</v>
      </c>
      <c r="H2003" s="8" t="s">
        <v>299</v>
      </c>
      <c r="I2003" s="8">
        <v>6</v>
      </c>
      <c r="J2003" s="8">
        <v>50</v>
      </c>
      <c r="K2003" s="7" t="s">
        <v>312</v>
      </c>
      <c r="L2003" s="8">
        <v>72</v>
      </c>
      <c r="M2003" s="7">
        <f>IF(INDEX([1]equip.xml!$B:$B,MATCH(D2003,[1]equip.xml!$A:$A,0))=0,0,N2003)</f>
        <v>15</v>
      </c>
      <c r="N2003" s="8">
        <v>15</v>
      </c>
    </row>
    <row r="2004" spans="1:14">
      <c r="A2004" s="8">
        <f t="shared" si="2911"/>
        <v>20021</v>
      </c>
      <c r="B2004" s="8">
        <v>40000</v>
      </c>
      <c r="C2004" s="8" t="s">
        <v>298</v>
      </c>
      <c r="D2004" s="8">
        <f t="shared" si="2909"/>
        <v>40853060</v>
      </c>
      <c r="E2004" s="8"/>
      <c r="F2004" s="8">
        <v>1</v>
      </c>
      <c r="G2004" s="7">
        <v>264000</v>
      </c>
      <c r="H2004" s="8" t="s">
        <v>299</v>
      </c>
      <c r="I2004" s="8">
        <v>6</v>
      </c>
      <c r="J2004" s="8">
        <v>50</v>
      </c>
      <c r="K2004" s="7" t="s">
        <v>312</v>
      </c>
      <c r="L2004" s="8">
        <v>72</v>
      </c>
      <c r="M2004" s="7">
        <f>IF(INDEX([1]equip.xml!$B:$B,MATCH(D2004,[1]equip.xml!$A:$A,0))=0,0,N2004)</f>
        <v>15</v>
      </c>
      <c r="N2004" s="8">
        <v>15</v>
      </c>
    </row>
    <row r="2005" spans="1:14">
      <c r="A2005" s="8">
        <f t="shared" si="2911"/>
        <v>20021</v>
      </c>
      <c r="B2005" s="8">
        <v>40000</v>
      </c>
      <c r="C2005" s="8" t="s">
        <v>298</v>
      </c>
      <c r="D2005" s="8">
        <f t="shared" si="2909"/>
        <v>40853061</v>
      </c>
      <c r="E2005" s="8"/>
      <c r="F2005" s="8">
        <v>1</v>
      </c>
      <c r="G2005" s="7">
        <v>273000</v>
      </c>
      <c r="H2005" s="8" t="s">
        <v>299</v>
      </c>
      <c r="I2005" s="8">
        <v>6</v>
      </c>
      <c r="J2005" s="8">
        <v>50</v>
      </c>
      <c r="K2005" s="7" t="s">
        <v>312</v>
      </c>
      <c r="L2005" s="8">
        <v>72</v>
      </c>
      <c r="M2005" s="7">
        <f>IF(INDEX([1]equip.xml!$B:$B,MATCH(D2005,[1]equip.xml!$A:$A,0))=0,0,N2005)</f>
        <v>15</v>
      </c>
      <c r="N2005" s="8">
        <v>15</v>
      </c>
    </row>
    <row r="2006" spans="1:14">
      <c r="A2006" s="8">
        <f t="shared" si="2911"/>
        <v>20021</v>
      </c>
      <c r="B2006" s="8">
        <v>40000</v>
      </c>
      <c r="C2006" s="8" t="s">
        <v>298</v>
      </c>
      <c r="D2006" s="8">
        <f t="shared" si="2909"/>
        <v>40850040</v>
      </c>
      <c r="E2006" s="8"/>
      <c r="F2006" s="8">
        <v>1</v>
      </c>
      <c r="G2006" s="7">
        <v>264000</v>
      </c>
      <c r="H2006" s="8" t="s">
        <v>299</v>
      </c>
      <c r="I2006" s="8">
        <v>6</v>
      </c>
      <c r="J2006" s="8">
        <v>50</v>
      </c>
      <c r="K2006" s="7" t="s">
        <v>312</v>
      </c>
      <c r="L2006" s="8">
        <v>72</v>
      </c>
      <c r="M2006" s="7">
        <f>IF(INDEX([1]equip.xml!$B:$B,MATCH(D2006,[1]equip.xml!$A:$A,0))=0,0,N2006)</f>
        <v>15</v>
      </c>
      <c r="N2006" s="8">
        <v>15</v>
      </c>
    </row>
    <row r="2007" spans="1:14">
      <c r="A2007" s="8">
        <f t="shared" si="2911"/>
        <v>20021</v>
      </c>
      <c r="B2007" s="8">
        <v>40000</v>
      </c>
      <c r="C2007" s="8" t="s">
        <v>298</v>
      </c>
      <c r="D2007" s="8">
        <f t="shared" si="2909"/>
        <v>40850041</v>
      </c>
      <c r="E2007" s="8"/>
      <c r="F2007" s="8">
        <v>1</v>
      </c>
      <c r="G2007" s="7">
        <v>273000</v>
      </c>
      <c r="H2007" s="8" t="s">
        <v>299</v>
      </c>
      <c r="I2007" s="8">
        <v>6</v>
      </c>
      <c r="J2007" s="8">
        <v>50</v>
      </c>
      <c r="K2007" s="7" t="s">
        <v>312</v>
      </c>
      <c r="L2007" s="8">
        <v>72</v>
      </c>
      <c r="M2007" s="7">
        <f>IF(INDEX([1]equip.xml!$B:$B,MATCH(D2007,[1]equip.xml!$A:$A,0))=0,0,N2007)</f>
        <v>15</v>
      </c>
      <c r="N2007" s="8">
        <v>15</v>
      </c>
    </row>
    <row r="2008" spans="1:14">
      <c r="A2008" s="8">
        <f t="shared" si="2911"/>
        <v>20021</v>
      </c>
      <c r="B2008" s="8">
        <v>40000</v>
      </c>
      <c r="C2008" s="8" t="s">
        <v>298</v>
      </c>
      <c r="D2008" s="8">
        <f t="shared" si="2909"/>
        <v>40850070</v>
      </c>
      <c r="E2008" s="8"/>
      <c r="F2008" s="8">
        <v>1</v>
      </c>
      <c r="G2008" s="7">
        <v>264000</v>
      </c>
      <c r="H2008" s="8" t="s">
        <v>299</v>
      </c>
      <c r="I2008" s="8">
        <v>6</v>
      </c>
      <c r="J2008" s="8">
        <v>50</v>
      </c>
      <c r="K2008" s="7" t="s">
        <v>312</v>
      </c>
      <c r="L2008" s="8">
        <v>72</v>
      </c>
      <c r="M2008" s="7">
        <f>IF(INDEX([1]equip.xml!$B:$B,MATCH(D2008,[1]equip.xml!$A:$A,0))=0,0,N2008)</f>
        <v>15</v>
      </c>
      <c r="N2008" s="8">
        <v>15</v>
      </c>
    </row>
    <row r="2009" spans="1:14">
      <c r="A2009" s="8">
        <f t="shared" si="2911"/>
        <v>20021</v>
      </c>
      <c r="B2009" s="8">
        <v>40000</v>
      </c>
      <c r="C2009" s="8" t="s">
        <v>298</v>
      </c>
      <c r="D2009" s="8">
        <f t="shared" si="2909"/>
        <v>40850071</v>
      </c>
      <c r="E2009" s="8"/>
      <c r="F2009" s="8">
        <v>1</v>
      </c>
      <c r="G2009" s="7">
        <v>273000</v>
      </c>
      <c r="H2009" s="8" t="s">
        <v>299</v>
      </c>
      <c r="I2009" s="8">
        <v>6</v>
      </c>
      <c r="J2009" s="8">
        <v>50</v>
      </c>
      <c r="K2009" s="7" t="s">
        <v>312</v>
      </c>
      <c r="L2009" s="8">
        <v>72</v>
      </c>
      <c r="M2009" s="7">
        <f>IF(INDEX([1]equip.xml!$B:$B,MATCH(D2009,[1]equip.xml!$A:$A,0))=0,0,N2009)</f>
        <v>15</v>
      </c>
      <c r="N2009" s="8">
        <v>15</v>
      </c>
    </row>
    <row r="2010" spans="1:14">
      <c r="A2010" s="8">
        <f t="shared" si="2911"/>
        <v>20021</v>
      </c>
      <c r="B2010" s="8">
        <v>40000</v>
      </c>
      <c r="C2010" s="8" t="s">
        <v>298</v>
      </c>
      <c r="D2010" s="7">
        <f>D1966+10000005</f>
        <v>50800015</v>
      </c>
      <c r="E2010" s="8"/>
      <c r="F2010" s="8">
        <v>1</v>
      </c>
      <c r="G2010" s="7">
        <v>492000</v>
      </c>
      <c r="H2010" s="8" t="s">
        <v>299</v>
      </c>
      <c r="I2010" s="8">
        <v>1</v>
      </c>
      <c r="J2010" s="8">
        <v>240</v>
      </c>
      <c r="K2010" s="7" t="s">
        <v>312</v>
      </c>
      <c r="L2010" s="8">
        <v>72</v>
      </c>
      <c r="M2010" s="7">
        <f>IF(INDEX([1]equip.xml!$B:$B,MATCH(D2010,[1]equip.xml!$A:$A,0))=0,0,N2010)</f>
        <v>130</v>
      </c>
      <c r="N2010" s="8">
        <f t="shared" si="2910"/>
        <v>130</v>
      </c>
    </row>
    <row r="2011" spans="1:14">
      <c r="A2011" s="8">
        <f t="shared" si="2911"/>
        <v>20021</v>
      </c>
      <c r="B2011" s="8">
        <v>40000</v>
      </c>
      <c r="C2011" s="8" t="s">
        <v>298</v>
      </c>
      <c r="D2011" s="7">
        <f t="shared" ref="D2011:D2053" si="2912">D1967+10000005</f>
        <v>50800025</v>
      </c>
      <c r="E2011" s="8"/>
      <c r="F2011" s="8">
        <v>1</v>
      </c>
      <c r="G2011" s="7">
        <v>492000</v>
      </c>
      <c r="H2011" s="8" t="s">
        <v>299</v>
      </c>
      <c r="I2011" s="8">
        <v>1</v>
      </c>
      <c r="J2011" s="8">
        <v>240</v>
      </c>
      <c r="K2011" s="7" t="s">
        <v>312</v>
      </c>
      <c r="L2011" s="8">
        <v>72</v>
      </c>
      <c r="M2011" s="7">
        <f>IF(INDEX([1]equip.xml!$B:$B,MATCH(D2011,[1]equip.xml!$A:$A,0))=0,0,N2011)</f>
        <v>130</v>
      </c>
      <c r="N2011" s="8">
        <f t="shared" si="2910"/>
        <v>130</v>
      </c>
    </row>
    <row r="2012" spans="1:14">
      <c r="A2012" s="8">
        <f t="shared" si="2911"/>
        <v>20021</v>
      </c>
      <c r="B2012" s="8">
        <v>40000</v>
      </c>
      <c r="C2012" s="8" t="s">
        <v>298</v>
      </c>
      <c r="D2012" s="7">
        <f t="shared" si="2912"/>
        <v>50800035</v>
      </c>
      <c r="E2012" s="8"/>
      <c r="F2012" s="8">
        <v>1</v>
      </c>
      <c r="G2012" s="7">
        <v>492000</v>
      </c>
      <c r="H2012" s="8" t="s">
        <v>299</v>
      </c>
      <c r="I2012" s="8">
        <v>1</v>
      </c>
      <c r="J2012" s="8">
        <v>240</v>
      </c>
      <c r="K2012" s="7" t="s">
        <v>312</v>
      </c>
      <c r="L2012" s="8">
        <v>72</v>
      </c>
      <c r="M2012" s="7">
        <f>IF(INDEX([1]equip.xml!$B:$B,MATCH(D2012,[1]equip.xml!$A:$A,0))=0,0,N2012)</f>
        <v>130</v>
      </c>
      <c r="N2012" s="8">
        <f t="shared" si="2910"/>
        <v>130</v>
      </c>
    </row>
    <row r="2013" spans="1:14">
      <c r="A2013" s="8">
        <f t="shared" si="2911"/>
        <v>20021</v>
      </c>
      <c r="B2013" s="8">
        <v>40000</v>
      </c>
      <c r="C2013" s="8" t="s">
        <v>298</v>
      </c>
      <c r="D2013" s="7">
        <f t="shared" si="2912"/>
        <v>50800085</v>
      </c>
      <c r="E2013" s="8"/>
      <c r="F2013" s="8">
        <v>1</v>
      </c>
      <c r="G2013" s="7">
        <v>492000</v>
      </c>
      <c r="H2013" s="8" t="s">
        <v>299</v>
      </c>
      <c r="I2013" s="8">
        <v>1</v>
      </c>
      <c r="J2013" s="8">
        <v>240</v>
      </c>
      <c r="K2013" s="7" t="s">
        <v>312</v>
      </c>
      <c r="L2013" s="8">
        <v>72</v>
      </c>
      <c r="M2013" s="7">
        <f>IF(INDEX([1]equip.xml!$B:$B,MATCH(D2013,[1]equip.xml!$A:$A,0))=0,0,N2013)</f>
        <v>130</v>
      </c>
      <c r="N2013" s="8">
        <f t="shared" si="2910"/>
        <v>130</v>
      </c>
    </row>
    <row r="2014" spans="1:14">
      <c r="A2014" s="8">
        <f t="shared" si="2911"/>
        <v>20021</v>
      </c>
      <c r="B2014" s="8">
        <v>40000</v>
      </c>
      <c r="C2014" s="8" t="s">
        <v>298</v>
      </c>
      <c r="D2014" s="7">
        <f t="shared" si="2912"/>
        <v>50800095</v>
      </c>
      <c r="E2014" s="8"/>
      <c r="F2014" s="8">
        <v>1</v>
      </c>
      <c r="G2014" s="7">
        <v>492000</v>
      </c>
      <c r="H2014" s="8" t="s">
        <v>299</v>
      </c>
      <c r="I2014" s="8">
        <v>1</v>
      </c>
      <c r="J2014" s="8">
        <v>240</v>
      </c>
      <c r="K2014" s="7" t="s">
        <v>312</v>
      </c>
      <c r="L2014" s="8">
        <v>72</v>
      </c>
      <c r="M2014" s="7">
        <f>IF(INDEX([1]equip.xml!$B:$B,MATCH(D2014,[1]equip.xml!$A:$A,0))=0,0,N2014)</f>
        <v>130</v>
      </c>
      <c r="N2014" s="8">
        <f t="shared" si="2910"/>
        <v>130</v>
      </c>
    </row>
    <row r="2015" spans="1:14">
      <c r="A2015" s="8">
        <f t="shared" si="2911"/>
        <v>20021</v>
      </c>
      <c r="B2015" s="8">
        <v>40000</v>
      </c>
      <c r="C2015" s="8" t="s">
        <v>298</v>
      </c>
      <c r="D2015" s="7">
        <f t="shared" si="2912"/>
        <v>50800105</v>
      </c>
      <c r="E2015" s="8"/>
      <c r="F2015" s="8">
        <v>1</v>
      </c>
      <c r="G2015" s="7">
        <v>492000</v>
      </c>
      <c r="H2015" s="8" t="s">
        <v>299</v>
      </c>
      <c r="I2015" s="8">
        <v>1</v>
      </c>
      <c r="J2015" s="8">
        <v>240</v>
      </c>
      <c r="K2015" s="7" t="s">
        <v>312</v>
      </c>
      <c r="L2015" s="8">
        <v>72</v>
      </c>
      <c r="M2015" s="7">
        <f>IF(INDEX([1]equip.xml!$B:$B,MATCH(D2015,[1]equip.xml!$A:$A,0))=0,0,N2015)</f>
        <v>130</v>
      </c>
      <c r="N2015" s="8">
        <f t="shared" si="2910"/>
        <v>130</v>
      </c>
    </row>
    <row r="2016" spans="1:14">
      <c r="A2016" s="8">
        <f t="shared" si="2911"/>
        <v>20021</v>
      </c>
      <c r="B2016" s="8">
        <v>40000</v>
      </c>
      <c r="C2016" s="8" t="s">
        <v>298</v>
      </c>
      <c r="D2016" s="7">
        <f t="shared" si="2912"/>
        <v>50801055</v>
      </c>
      <c r="E2016" s="8"/>
      <c r="F2016" s="8">
        <v>1</v>
      </c>
      <c r="G2016" s="7">
        <v>492000</v>
      </c>
      <c r="H2016" s="8" t="s">
        <v>299</v>
      </c>
      <c r="I2016" s="8">
        <v>1</v>
      </c>
      <c r="J2016" s="8">
        <v>240</v>
      </c>
      <c r="K2016" s="7" t="s">
        <v>312</v>
      </c>
      <c r="L2016" s="8">
        <v>72</v>
      </c>
      <c r="M2016" s="7">
        <f>IF(INDEX([1]equip.xml!$B:$B,MATCH(D2016,[1]equip.xml!$A:$A,0))=0,0,N2016)</f>
        <v>130</v>
      </c>
      <c r="N2016" s="8">
        <f t="shared" si="2910"/>
        <v>130</v>
      </c>
    </row>
    <row r="2017" spans="1:14">
      <c r="A2017" s="8">
        <f t="shared" si="2911"/>
        <v>20021</v>
      </c>
      <c r="B2017" s="8">
        <v>40000</v>
      </c>
      <c r="C2017" s="8" t="s">
        <v>298</v>
      </c>
      <c r="D2017" s="7">
        <f t="shared" si="2912"/>
        <v>50801056</v>
      </c>
      <c r="E2017" s="8"/>
      <c r="F2017" s="8">
        <v>1</v>
      </c>
      <c r="G2017" s="7">
        <v>510000</v>
      </c>
      <c r="H2017" s="8" t="s">
        <v>299</v>
      </c>
      <c r="I2017" s="8">
        <v>1</v>
      </c>
      <c r="J2017" s="8">
        <v>240</v>
      </c>
      <c r="K2017" s="7" t="s">
        <v>312</v>
      </c>
      <c r="L2017" s="8">
        <v>72</v>
      </c>
      <c r="M2017" s="7">
        <f>IF(INDEX([1]equip.xml!$B:$B,MATCH(D2017,[1]equip.xml!$A:$A,0))=0,0,N2017)</f>
        <v>130</v>
      </c>
      <c r="N2017" s="8">
        <f t="shared" si="2910"/>
        <v>130</v>
      </c>
    </row>
    <row r="2018" spans="1:14">
      <c r="A2018" s="8">
        <f t="shared" si="2911"/>
        <v>20021</v>
      </c>
      <c r="B2018" s="8">
        <v>40000</v>
      </c>
      <c r="C2018" s="8" t="s">
        <v>298</v>
      </c>
      <c r="D2018" s="7">
        <f t="shared" si="2912"/>
        <v>50801065</v>
      </c>
      <c r="E2018" s="8"/>
      <c r="F2018" s="8">
        <v>1</v>
      </c>
      <c r="G2018" s="7">
        <v>492000</v>
      </c>
      <c r="H2018" s="8" t="s">
        <v>299</v>
      </c>
      <c r="I2018" s="8">
        <v>1</v>
      </c>
      <c r="J2018" s="8">
        <v>240</v>
      </c>
      <c r="K2018" s="7" t="s">
        <v>312</v>
      </c>
      <c r="L2018" s="8">
        <v>72</v>
      </c>
      <c r="M2018" s="7">
        <f>IF(INDEX([1]equip.xml!$B:$B,MATCH(D2018,[1]equip.xml!$A:$A,0))=0,0,N2018)</f>
        <v>130</v>
      </c>
      <c r="N2018" s="8">
        <f t="shared" si="2910"/>
        <v>130</v>
      </c>
    </row>
    <row r="2019" spans="1:14">
      <c r="A2019" s="8">
        <f t="shared" si="2911"/>
        <v>20021</v>
      </c>
      <c r="B2019" s="8">
        <v>40000</v>
      </c>
      <c r="C2019" s="8" t="s">
        <v>298</v>
      </c>
      <c r="D2019" s="7">
        <f t="shared" si="2912"/>
        <v>50801066</v>
      </c>
      <c r="E2019" s="8"/>
      <c r="F2019" s="8">
        <v>1</v>
      </c>
      <c r="G2019" s="7">
        <v>510000</v>
      </c>
      <c r="H2019" s="8" t="s">
        <v>299</v>
      </c>
      <c r="I2019" s="8">
        <v>1</v>
      </c>
      <c r="J2019" s="8">
        <v>240</v>
      </c>
      <c r="K2019" s="7" t="s">
        <v>312</v>
      </c>
      <c r="L2019" s="8">
        <v>72</v>
      </c>
      <c r="M2019" s="7">
        <f>IF(INDEX([1]equip.xml!$B:$B,MATCH(D2019,[1]equip.xml!$A:$A,0))=0,0,N2019)</f>
        <v>130</v>
      </c>
      <c r="N2019" s="8">
        <f t="shared" si="2910"/>
        <v>130</v>
      </c>
    </row>
    <row r="2020" spans="1:14">
      <c r="A2020" s="8">
        <f t="shared" si="2911"/>
        <v>20021</v>
      </c>
      <c r="B2020" s="8">
        <v>40000</v>
      </c>
      <c r="C2020" s="8" t="s">
        <v>298</v>
      </c>
      <c r="D2020" s="7">
        <f t="shared" si="2912"/>
        <v>50802055</v>
      </c>
      <c r="E2020" s="8"/>
      <c r="F2020" s="8">
        <v>1</v>
      </c>
      <c r="G2020" s="7">
        <v>492000</v>
      </c>
      <c r="H2020" s="8" t="s">
        <v>299</v>
      </c>
      <c r="I2020" s="8">
        <v>1</v>
      </c>
      <c r="J2020" s="8">
        <v>240</v>
      </c>
      <c r="K2020" s="7" t="s">
        <v>312</v>
      </c>
      <c r="L2020" s="8">
        <v>72</v>
      </c>
      <c r="M2020" s="7">
        <f>IF(INDEX([1]equip.xml!$B:$B,MATCH(D2020,[1]equip.xml!$A:$A,0))=0,0,N2020)</f>
        <v>130</v>
      </c>
      <c r="N2020" s="8">
        <f t="shared" si="2910"/>
        <v>130</v>
      </c>
    </row>
    <row r="2021" spans="1:14">
      <c r="A2021" s="8">
        <f t="shared" si="2911"/>
        <v>20021</v>
      </c>
      <c r="B2021" s="8">
        <v>40000</v>
      </c>
      <c r="C2021" s="8" t="s">
        <v>298</v>
      </c>
      <c r="D2021" s="7">
        <f t="shared" si="2912"/>
        <v>50802056</v>
      </c>
      <c r="E2021" s="8"/>
      <c r="F2021" s="8">
        <v>1</v>
      </c>
      <c r="G2021" s="7">
        <v>510000</v>
      </c>
      <c r="H2021" s="8" t="s">
        <v>299</v>
      </c>
      <c r="I2021" s="8">
        <v>1</v>
      </c>
      <c r="J2021" s="8">
        <v>240</v>
      </c>
      <c r="K2021" s="7" t="s">
        <v>312</v>
      </c>
      <c r="L2021" s="8">
        <v>72</v>
      </c>
      <c r="M2021" s="7">
        <f>IF(INDEX([1]equip.xml!$B:$B,MATCH(D2021,[1]equip.xml!$A:$A,0))=0,0,N2021)</f>
        <v>130</v>
      </c>
      <c r="N2021" s="8">
        <f t="shared" si="2910"/>
        <v>130</v>
      </c>
    </row>
    <row r="2022" spans="1:14">
      <c r="A2022" s="8">
        <f t="shared" si="2911"/>
        <v>20021</v>
      </c>
      <c r="B2022" s="8">
        <v>40000</v>
      </c>
      <c r="C2022" s="8" t="s">
        <v>298</v>
      </c>
      <c r="D2022" s="7">
        <f t="shared" si="2912"/>
        <v>50802065</v>
      </c>
      <c r="E2022" s="8"/>
      <c r="F2022" s="8">
        <v>1</v>
      </c>
      <c r="G2022" s="7">
        <v>492000</v>
      </c>
      <c r="H2022" s="8" t="s">
        <v>299</v>
      </c>
      <c r="I2022" s="8">
        <v>1</v>
      </c>
      <c r="J2022" s="8">
        <v>240</v>
      </c>
      <c r="K2022" s="7" t="s">
        <v>312</v>
      </c>
      <c r="L2022" s="8">
        <v>72</v>
      </c>
      <c r="M2022" s="7">
        <f>IF(INDEX([1]equip.xml!$B:$B,MATCH(D2022,[1]equip.xml!$A:$A,0))=0,0,N2022)</f>
        <v>130</v>
      </c>
      <c r="N2022" s="8">
        <f t="shared" si="2910"/>
        <v>130</v>
      </c>
    </row>
    <row r="2023" spans="1:14">
      <c r="A2023" s="8">
        <f t="shared" si="2911"/>
        <v>20021</v>
      </c>
      <c r="B2023" s="8">
        <v>40000</v>
      </c>
      <c r="C2023" s="8" t="s">
        <v>298</v>
      </c>
      <c r="D2023" s="7">
        <f t="shared" si="2912"/>
        <v>50802066</v>
      </c>
      <c r="E2023" s="8"/>
      <c r="F2023" s="8">
        <v>1</v>
      </c>
      <c r="G2023" s="7">
        <v>510000</v>
      </c>
      <c r="H2023" s="8" t="s">
        <v>299</v>
      </c>
      <c r="I2023" s="8">
        <v>1</v>
      </c>
      <c r="J2023" s="8">
        <v>240</v>
      </c>
      <c r="K2023" s="7" t="s">
        <v>312</v>
      </c>
      <c r="L2023" s="8">
        <v>72</v>
      </c>
      <c r="M2023" s="7">
        <f>IF(INDEX([1]equip.xml!$B:$B,MATCH(D2023,[1]equip.xml!$A:$A,0))=0,0,N2023)</f>
        <v>130</v>
      </c>
      <c r="N2023" s="8">
        <f t="shared" si="2910"/>
        <v>130</v>
      </c>
    </row>
    <row r="2024" spans="1:14">
      <c r="A2024" s="8">
        <f t="shared" si="2911"/>
        <v>20021</v>
      </c>
      <c r="B2024" s="8">
        <v>40000</v>
      </c>
      <c r="C2024" s="8" t="s">
        <v>298</v>
      </c>
      <c r="D2024" s="7">
        <f t="shared" si="2912"/>
        <v>50803055</v>
      </c>
      <c r="E2024" s="8"/>
      <c r="F2024" s="8">
        <v>1</v>
      </c>
      <c r="G2024" s="7">
        <v>492000</v>
      </c>
      <c r="H2024" s="8" t="s">
        <v>299</v>
      </c>
      <c r="I2024" s="8">
        <v>1</v>
      </c>
      <c r="J2024" s="8">
        <v>240</v>
      </c>
      <c r="K2024" s="7" t="s">
        <v>312</v>
      </c>
      <c r="L2024" s="8">
        <v>72</v>
      </c>
      <c r="M2024" s="7">
        <f>IF(INDEX([1]equip.xml!$B:$B,MATCH(D2024,[1]equip.xml!$A:$A,0))=0,0,N2024)</f>
        <v>130</v>
      </c>
      <c r="N2024" s="8">
        <f t="shared" si="2910"/>
        <v>130</v>
      </c>
    </row>
    <row r="2025" spans="1:14">
      <c r="A2025" s="8">
        <f t="shared" si="2911"/>
        <v>20021</v>
      </c>
      <c r="B2025" s="8">
        <v>40000</v>
      </c>
      <c r="C2025" s="8" t="s">
        <v>298</v>
      </c>
      <c r="D2025" s="7">
        <f t="shared" si="2912"/>
        <v>50803056</v>
      </c>
      <c r="E2025" s="8"/>
      <c r="F2025" s="8">
        <v>1</v>
      </c>
      <c r="G2025" s="7">
        <v>510000</v>
      </c>
      <c r="H2025" s="8" t="s">
        <v>299</v>
      </c>
      <c r="I2025" s="8">
        <v>1</v>
      </c>
      <c r="J2025" s="8">
        <v>240</v>
      </c>
      <c r="K2025" s="7" t="s">
        <v>312</v>
      </c>
      <c r="L2025" s="8">
        <v>72</v>
      </c>
      <c r="M2025" s="7">
        <f>IF(INDEX([1]equip.xml!$B:$B,MATCH(D2025,[1]equip.xml!$A:$A,0))=0,0,N2025)</f>
        <v>130</v>
      </c>
      <c r="N2025" s="8">
        <f t="shared" si="2910"/>
        <v>130</v>
      </c>
    </row>
    <row r="2026" spans="1:14">
      <c r="A2026" s="8">
        <f t="shared" si="2911"/>
        <v>20021</v>
      </c>
      <c r="B2026" s="8">
        <v>40000</v>
      </c>
      <c r="C2026" s="8" t="s">
        <v>298</v>
      </c>
      <c r="D2026" s="7">
        <f t="shared" si="2912"/>
        <v>50803065</v>
      </c>
      <c r="E2026" s="8"/>
      <c r="F2026" s="8">
        <v>1</v>
      </c>
      <c r="G2026" s="7">
        <v>492000</v>
      </c>
      <c r="H2026" s="8" t="s">
        <v>299</v>
      </c>
      <c r="I2026" s="8">
        <v>1</v>
      </c>
      <c r="J2026" s="8">
        <v>240</v>
      </c>
      <c r="K2026" s="7" t="s">
        <v>312</v>
      </c>
      <c r="L2026" s="8">
        <v>72</v>
      </c>
      <c r="M2026" s="7">
        <f>IF(INDEX([1]equip.xml!$B:$B,MATCH(D2026,[1]equip.xml!$A:$A,0))=0,0,N2026)</f>
        <v>130</v>
      </c>
      <c r="N2026" s="8">
        <f t="shared" si="2910"/>
        <v>130</v>
      </c>
    </row>
    <row r="2027" spans="1:14">
      <c r="A2027" s="8">
        <f t="shared" si="2911"/>
        <v>20021</v>
      </c>
      <c r="B2027" s="8">
        <v>40000</v>
      </c>
      <c r="C2027" s="8" t="s">
        <v>298</v>
      </c>
      <c r="D2027" s="7">
        <f t="shared" si="2912"/>
        <v>50803066</v>
      </c>
      <c r="E2027" s="8"/>
      <c r="F2027" s="8">
        <v>1</v>
      </c>
      <c r="G2027" s="7">
        <v>510000</v>
      </c>
      <c r="H2027" s="8" t="s">
        <v>299</v>
      </c>
      <c r="I2027" s="8">
        <v>1</v>
      </c>
      <c r="J2027" s="8">
        <v>240</v>
      </c>
      <c r="K2027" s="7" t="s">
        <v>312</v>
      </c>
      <c r="L2027" s="8">
        <v>72</v>
      </c>
      <c r="M2027" s="7">
        <f>IF(INDEX([1]equip.xml!$B:$B,MATCH(D2027,[1]equip.xml!$A:$A,0))=0,0,N2027)</f>
        <v>130</v>
      </c>
      <c r="N2027" s="8">
        <f t="shared" ref="N2027:N2075" si="2913">N1983</f>
        <v>130</v>
      </c>
    </row>
    <row r="2028" spans="1:14">
      <c r="A2028" s="8">
        <f t="shared" si="2911"/>
        <v>20021</v>
      </c>
      <c r="B2028" s="8">
        <v>40000</v>
      </c>
      <c r="C2028" s="8" t="s">
        <v>298</v>
      </c>
      <c r="D2028" s="7">
        <f t="shared" si="2912"/>
        <v>50800045</v>
      </c>
      <c r="E2028" s="8"/>
      <c r="F2028" s="8">
        <v>1</v>
      </c>
      <c r="G2028" s="7">
        <v>492000</v>
      </c>
      <c r="H2028" s="8" t="s">
        <v>299</v>
      </c>
      <c r="I2028" s="8">
        <v>1</v>
      </c>
      <c r="J2028" s="8">
        <v>240</v>
      </c>
      <c r="K2028" s="7" t="s">
        <v>312</v>
      </c>
      <c r="L2028" s="8">
        <v>72</v>
      </c>
      <c r="M2028" s="7">
        <f>IF(INDEX([1]equip.xml!$B:$B,MATCH(D2028,[1]equip.xml!$A:$A,0))=0,0,N2028)</f>
        <v>130</v>
      </c>
      <c r="N2028" s="8">
        <f t="shared" si="2913"/>
        <v>130</v>
      </c>
    </row>
    <row r="2029" spans="1:14">
      <c r="A2029" s="8">
        <f t="shared" si="2911"/>
        <v>20021</v>
      </c>
      <c r="B2029" s="8">
        <v>40000</v>
      </c>
      <c r="C2029" s="8" t="s">
        <v>298</v>
      </c>
      <c r="D2029" s="7">
        <f t="shared" si="2912"/>
        <v>50800046</v>
      </c>
      <c r="E2029" s="8"/>
      <c r="F2029" s="8">
        <v>1</v>
      </c>
      <c r="G2029" s="7">
        <v>510000</v>
      </c>
      <c r="H2029" s="8" t="s">
        <v>299</v>
      </c>
      <c r="I2029" s="8">
        <v>1</v>
      </c>
      <c r="J2029" s="8">
        <v>240</v>
      </c>
      <c r="K2029" s="7" t="s">
        <v>312</v>
      </c>
      <c r="L2029" s="8">
        <v>72</v>
      </c>
      <c r="M2029" s="7">
        <f>IF(INDEX([1]equip.xml!$B:$B,MATCH(D2029,[1]equip.xml!$A:$A,0))=0,0,N2029)</f>
        <v>130</v>
      </c>
      <c r="N2029" s="8">
        <f t="shared" si="2913"/>
        <v>130</v>
      </c>
    </row>
    <row r="2030" spans="1:14">
      <c r="A2030" s="8">
        <f t="shared" si="2911"/>
        <v>20021</v>
      </c>
      <c r="B2030" s="8">
        <v>40000</v>
      </c>
      <c r="C2030" s="8" t="s">
        <v>298</v>
      </c>
      <c r="D2030" s="7">
        <f t="shared" si="2912"/>
        <v>50800075</v>
      </c>
      <c r="E2030" s="8"/>
      <c r="F2030" s="8">
        <v>1</v>
      </c>
      <c r="G2030" s="7">
        <v>492000</v>
      </c>
      <c r="H2030" s="8" t="s">
        <v>299</v>
      </c>
      <c r="I2030" s="8">
        <v>1</v>
      </c>
      <c r="J2030" s="8">
        <v>240</v>
      </c>
      <c r="K2030" s="7" t="s">
        <v>312</v>
      </c>
      <c r="L2030" s="8">
        <v>72</v>
      </c>
      <c r="M2030" s="7">
        <f>IF(INDEX([1]equip.xml!$B:$B,MATCH(D2030,[1]equip.xml!$A:$A,0))=0,0,N2030)</f>
        <v>130</v>
      </c>
      <c r="N2030" s="8">
        <f t="shared" si="2913"/>
        <v>130</v>
      </c>
    </row>
    <row r="2031" spans="1:14">
      <c r="A2031" s="8">
        <f t="shared" si="2911"/>
        <v>20021</v>
      </c>
      <c r="B2031" s="8">
        <v>40000</v>
      </c>
      <c r="C2031" s="8" t="s">
        <v>298</v>
      </c>
      <c r="D2031" s="7">
        <f t="shared" si="2912"/>
        <v>50800076</v>
      </c>
      <c r="E2031" s="8"/>
      <c r="F2031" s="8">
        <v>1</v>
      </c>
      <c r="G2031" s="7">
        <v>510000</v>
      </c>
      <c r="H2031" s="8" t="s">
        <v>299</v>
      </c>
      <c r="I2031" s="8">
        <v>1</v>
      </c>
      <c r="J2031" s="8">
        <v>240</v>
      </c>
      <c r="K2031" s="7" t="s">
        <v>312</v>
      </c>
      <c r="L2031" s="8">
        <v>72</v>
      </c>
      <c r="M2031" s="7">
        <f>IF(INDEX([1]equip.xml!$B:$B,MATCH(D2031,[1]equip.xml!$A:$A,0))=0,0,N2031)</f>
        <v>130</v>
      </c>
      <c r="N2031" s="8">
        <f t="shared" si="2913"/>
        <v>130</v>
      </c>
    </row>
    <row r="2032" spans="1:14">
      <c r="A2032" s="8">
        <f t="shared" si="2911"/>
        <v>20021</v>
      </c>
      <c r="B2032" s="8">
        <v>40000</v>
      </c>
      <c r="C2032" s="8" t="s">
        <v>298</v>
      </c>
      <c r="D2032" s="7">
        <f t="shared" si="2912"/>
        <v>50850015</v>
      </c>
      <c r="E2032" s="8"/>
      <c r="F2032" s="8">
        <v>1</v>
      </c>
      <c r="G2032" s="7">
        <v>528000</v>
      </c>
      <c r="H2032" s="8" t="s">
        <v>299</v>
      </c>
      <c r="I2032" s="8">
        <v>1</v>
      </c>
      <c r="J2032" s="8">
        <v>240</v>
      </c>
      <c r="K2032" s="7" t="s">
        <v>312</v>
      </c>
      <c r="L2032" s="8">
        <v>72</v>
      </c>
      <c r="M2032" s="7">
        <f>IF(INDEX([1]equip.xml!$B:$B,MATCH(D2032,[1]equip.xml!$A:$A,0))=0,0,N2032)</f>
        <v>15</v>
      </c>
      <c r="N2032" s="8">
        <v>15</v>
      </c>
    </row>
    <row r="2033" spans="1:14">
      <c r="A2033" s="8">
        <f t="shared" si="2911"/>
        <v>20021</v>
      </c>
      <c r="B2033" s="8">
        <v>40000</v>
      </c>
      <c r="C2033" s="8" t="s">
        <v>298</v>
      </c>
      <c r="D2033" s="7">
        <f t="shared" si="2912"/>
        <v>50850025</v>
      </c>
      <c r="E2033" s="8"/>
      <c r="F2033" s="8">
        <v>1</v>
      </c>
      <c r="G2033" s="7">
        <v>528000</v>
      </c>
      <c r="H2033" s="8" t="s">
        <v>299</v>
      </c>
      <c r="I2033" s="8">
        <v>1</v>
      </c>
      <c r="J2033" s="8">
        <v>240</v>
      </c>
      <c r="K2033" s="7" t="s">
        <v>312</v>
      </c>
      <c r="L2033" s="8">
        <v>72</v>
      </c>
      <c r="M2033" s="7">
        <f>IF(INDEX([1]equip.xml!$B:$B,MATCH(D2033,[1]equip.xml!$A:$A,0))=0,0,N2033)</f>
        <v>15</v>
      </c>
      <c r="N2033" s="8">
        <v>15</v>
      </c>
    </row>
    <row r="2034" spans="1:14">
      <c r="A2034" s="8">
        <f t="shared" si="2911"/>
        <v>20021</v>
      </c>
      <c r="B2034" s="8">
        <v>40000</v>
      </c>
      <c r="C2034" s="8" t="s">
        <v>298</v>
      </c>
      <c r="D2034" s="7">
        <f t="shared" si="2912"/>
        <v>50850035</v>
      </c>
      <c r="E2034" s="8"/>
      <c r="F2034" s="8">
        <v>1</v>
      </c>
      <c r="G2034" s="7">
        <v>528000</v>
      </c>
      <c r="H2034" s="8" t="s">
        <v>299</v>
      </c>
      <c r="I2034" s="8">
        <v>1</v>
      </c>
      <c r="J2034" s="8">
        <v>240</v>
      </c>
      <c r="K2034" s="7" t="s">
        <v>312</v>
      </c>
      <c r="L2034" s="8">
        <v>72</v>
      </c>
      <c r="M2034" s="7">
        <f>IF(INDEX([1]equip.xml!$B:$B,MATCH(D2034,[1]equip.xml!$A:$A,0))=0,0,N2034)</f>
        <v>15</v>
      </c>
      <c r="N2034" s="8">
        <v>15</v>
      </c>
    </row>
    <row r="2035" spans="1:14">
      <c r="A2035" s="8">
        <f t="shared" si="2911"/>
        <v>20021</v>
      </c>
      <c r="B2035" s="8">
        <v>40000</v>
      </c>
      <c r="C2035" s="8" t="s">
        <v>298</v>
      </c>
      <c r="D2035" s="7">
        <f t="shared" si="2912"/>
        <v>50850085</v>
      </c>
      <c r="E2035" s="8"/>
      <c r="F2035" s="8">
        <v>1</v>
      </c>
      <c r="G2035" s="7">
        <v>528000</v>
      </c>
      <c r="H2035" s="8" t="s">
        <v>299</v>
      </c>
      <c r="I2035" s="8">
        <v>1</v>
      </c>
      <c r="J2035" s="8">
        <v>240</v>
      </c>
      <c r="K2035" s="7" t="s">
        <v>312</v>
      </c>
      <c r="L2035" s="8">
        <v>72</v>
      </c>
      <c r="M2035" s="7">
        <f>IF(INDEX([1]equip.xml!$B:$B,MATCH(D2035,[1]equip.xml!$A:$A,0))=0,0,N2035)</f>
        <v>15</v>
      </c>
      <c r="N2035" s="8">
        <v>15</v>
      </c>
    </row>
    <row r="2036" spans="1:14">
      <c r="A2036" s="8">
        <f t="shared" si="2911"/>
        <v>20021</v>
      </c>
      <c r="B2036" s="8">
        <v>40000</v>
      </c>
      <c r="C2036" s="8" t="s">
        <v>298</v>
      </c>
      <c r="D2036" s="7">
        <f t="shared" si="2912"/>
        <v>50850095</v>
      </c>
      <c r="E2036" s="8"/>
      <c r="F2036" s="8">
        <v>1</v>
      </c>
      <c r="G2036" s="7">
        <v>528000</v>
      </c>
      <c r="H2036" s="8" t="s">
        <v>299</v>
      </c>
      <c r="I2036" s="8">
        <v>1</v>
      </c>
      <c r="J2036" s="8">
        <v>240</v>
      </c>
      <c r="K2036" s="7" t="s">
        <v>312</v>
      </c>
      <c r="L2036" s="8">
        <v>72</v>
      </c>
      <c r="M2036" s="7">
        <f>IF(INDEX([1]equip.xml!$B:$B,MATCH(D2036,[1]equip.xml!$A:$A,0))=0,0,N2036)</f>
        <v>15</v>
      </c>
      <c r="N2036" s="8">
        <v>15</v>
      </c>
    </row>
    <row r="2037" spans="1:14">
      <c r="A2037" s="8">
        <f t="shared" si="2911"/>
        <v>20021</v>
      </c>
      <c r="B2037" s="8">
        <v>40000</v>
      </c>
      <c r="C2037" s="8" t="s">
        <v>298</v>
      </c>
      <c r="D2037" s="7">
        <f t="shared" si="2912"/>
        <v>50850105</v>
      </c>
      <c r="E2037" s="8"/>
      <c r="F2037" s="8">
        <v>1</v>
      </c>
      <c r="G2037" s="7">
        <v>528000</v>
      </c>
      <c r="H2037" s="8" t="s">
        <v>299</v>
      </c>
      <c r="I2037" s="8">
        <v>1</v>
      </c>
      <c r="J2037" s="8">
        <v>240</v>
      </c>
      <c r="K2037" s="7" t="s">
        <v>312</v>
      </c>
      <c r="L2037" s="8">
        <v>72</v>
      </c>
      <c r="M2037" s="7">
        <f>IF(INDEX([1]equip.xml!$B:$B,MATCH(D2037,[1]equip.xml!$A:$A,0))=0,0,N2037)</f>
        <v>15</v>
      </c>
      <c r="N2037" s="8">
        <v>15</v>
      </c>
    </row>
    <row r="2038" spans="1:14">
      <c r="A2038" s="8">
        <f t="shared" si="2911"/>
        <v>20021</v>
      </c>
      <c r="B2038" s="8">
        <v>40000</v>
      </c>
      <c r="C2038" s="8" t="s">
        <v>298</v>
      </c>
      <c r="D2038" s="7">
        <f t="shared" si="2912"/>
        <v>50851055</v>
      </c>
      <c r="E2038" s="8"/>
      <c r="F2038" s="8">
        <v>1</v>
      </c>
      <c r="G2038" s="7">
        <v>528000</v>
      </c>
      <c r="H2038" s="8" t="s">
        <v>299</v>
      </c>
      <c r="I2038" s="8">
        <v>1</v>
      </c>
      <c r="J2038" s="8">
        <v>240</v>
      </c>
      <c r="K2038" s="7" t="s">
        <v>312</v>
      </c>
      <c r="L2038" s="8">
        <v>72</v>
      </c>
      <c r="M2038" s="7">
        <f>IF(INDEX([1]equip.xml!$B:$B,MATCH(D2038,[1]equip.xml!$A:$A,0))=0,0,N2038)</f>
        <v>15</v>
      </c>
      <c r="N2038" s="8">
        <v>15</v>
      </c>
    </row>
    <row r="2039" spans="1:14">
      <c r="A2039" s="8">
        <f t="shared" si="2911"/>
        <v>20021</v>
      </c>
      <c r="B2039" s="8">
        <v>40000</v>
      </c>
      <c r="C2039" s="8" t="s">
        <v>298</v>
      </c>
      <c r="D2039" s="7">
        <f t="shared" si="2912"/>
        <v>50851056</v>
      </c>
      <c r="E2039" s="8"/>
      <c r="F2039" s="8">
        <v>1</v>
      </c>
      <c r="G2039" s="7">
        <v>546000</v>
      </c>
      <c r="H2039" s="8" t="s">
        <v>299</v>
      </c>
      <c r="I2039" s="8">
        <v>1</v>
      </c>
      <c r="J2039" s="8">
        <v>240</v>
      </c>
      <c r="K2039" s="7" t="s">
        <v>312</v>
      </c>
      <c r="L2039" s="8">
        <v>72</v>
      </c>
      <c r="M2039" s="7">
        <f>IF(INDEX([1]equip.xml!$B:$B,MATCH(D2039,[1]equip.xml!$A:$A,0))=0,0,N2039)</f>
        <v>15</v>
      </c>
      <c r="N2039" s="8">
        <v>15</v>
      </c>
    </row>
    <row r="2040" spans="1:14">
      <c r="A2040" s="8">
        <f t="shared" si="2911"/>
        <v>20021</v>
      </c>
      <c r="B2040" s="8">
        <v>40000</v>
      </c>
      <c r="C2040" s="8" t="s">
        <v>298</v>
      </c>
      <c r="D2040" s="7">
        <f t="shared" si="2912"/>
        <v>50851065</v>
      </c>
      <c r="E2040" s="8"/>
      <c r="F2040" s="8">
        <v>1</v>
      </c>
      <c r="G2040" s="7">
        <v>528000</v>
      </c>
      <c r="H2040" s="8" t="s">
        <v>299</v>
      </c>
      <c r="I2040" s="8">
        <v>1</v>
      </c>
      <c r="J2040" s="8">
        <v>240</v>
      </c>
      <c r="K2040" s="7" t="s">
        <v>312</v>
      </c>
      <c r="L2040" s="8">
        <v>72</v>
      </c>
      <c r="M2040" s="7">
        <f>IF(INDEX([1]equip.xml!$B:$B,MATCH(D2040,[1]equip.xml!$A:$A,0))=0,0,N2040)</f>
        <v>15</v>
      </c>
      <c r="N2040" s="8">
        <v>15</v>
      </c>
    </row>
    <row r="2041" spans="1:14">
      <c r="A2041" s="8">
        <f t="shared" si="2911"/>
        <v>20021</v>
      </c>
      <c r="B2041" s="8">
        <v>40000</v>
      </c>
      <c r="C2041" s="8" t="s">
        <v>298</v>
      </c>
      <c r="D2041" s="7">
        <f t="shared" si="2912"/>
        <v>50851066</v>
      </c>
      <c r="E2041" s="8"/>
      <c r="F2041" s="8">
        <v>1</v>
      </c>
      <c r="G2041" s="7">
        <v>546000</v>
      </c>
      <c r="H2041" s="8" t="s">
        <v>299</v>
      </c>
      <c r="I2041" s="8">
        <v>1</v>
      </c>
      <c r="J2041" s="8">
        <v>240</v>
      </c>
      <c r="K2041" s="7" t="s">
        <v>312</v>
      </c>
      <c r="L2041" s="8">
        <v>72</v>
      </c>
      <c r="M2041" s="7">
        <f>IF(INDEX([1]equip.xml!$B:$B,MATCH(D2041,[1]equip.xml!$A:$A,0))=0,0,N2041)</f>
        <v>15</v>
      </c>
      <c r="N2041" s="8">
        <v>15</v>
      </c>
    </row>
    <row r="2042" spans="1:14">
      <c r="A2042" s="8">
        <f t="shared" si="2911"/>
        <v>20021</v>
      </c>
      <c r="B2042" s="8">
        <v>40000</v>
      </c>
      <c r="C2042" s="8" t="s">
        <v>298</v>
      </c>
      <c r="D2042" s="7">
        <f t="shared" si="2912"/>
        <v>50852055</v>
      </c>
      <c r="E2042" s="8"/>
      <c r="F2042" s="8">
        <v>1</v>
      </c>
      <c r="G2042" s="7">
        <v>528000</v>
      </c>
      <c r="H2042" s="8" t="s">
        <v>299</v>
      </c>
      <c r="I2042" s="8">
        <v>1</v>
      </c>
      <c r="J2042" s="8">
        <v>240</v>
      </c>
      <c r="K2042" s="7" t="s">
        <v>312</v>
      </c>
      <c r="L2042" s="8">
        <v>72</v>
      </c>
      <c r="M2042" s="7">
        <f>IF(INDEX([1]equip.xml!$B:$B,MATCH(D2042,[1]equip.xml!$A:$A,0))=0,0,N2042)</f>
        <v>15</v>
      </c>
      <c r="N2042" s="8">
        <v>15</v>
      </c>
    </row>
    <row r="2043" spans="1:14">
      <c r="A2043" s="8">
        <f t="shared" si="2911"/>
        <v>20021</v>
      </c>
      <c r="B2043" s="8">
        <v>40000</v>
      </c>
      <c r="C2043" s="8" t="s">
        <v>298</v>
      </c>
      <c r="D2043" s="7">
        <f t="shared" si="2912"/>
        <v>50852056</v>
      </c>
      <c r="E2043" s="8"/>
      <c r="F2043" s="8">
        <v>1</v>
      </c>
      <c r="G2043" s="7">
        <v>546000</v>
      </c>
      <c r="H2043" s="8" t="s">
        <v>299</v>
      </c>
      <c r="I2043" s="8">
        <v>1</v>
      </c>
      <c r="J2043" s="8">
        <v>240</v>
      </c>
      <c r="K2043" s="7" t="s">
        <v>312</v>
      </c>
      <c r="L2043" s="8">
        <v>72</v>
      </c>
      <c r="M2043" s="7">
        <f>IF(INDEX([1]equip.xml!$B:$B,MATCH(D2043,[1]equip.xml!$A:$A,0))=0,0,N2043)</f>
        <v>15</v>
      </c>
      <c r="N2043" s="8">
        <v>15</v>
      </c>
    </row>
    <row r="2044" spans="1:14">
      <c r="A2044" s="8">
        <f t="shared" si="2911"/>
        <v>20021</v>
      </c>
      <c r="B2044" s="8">
        <v>40000</v>
      </c>
      <c r="C2044" s="8" t="s">
        <v>298</v>
      </c>
      <c r="D2044" s="7">
        <f t="shared" si="2912"/>
        <v>50852065</v>
      </c>
      <c r="E2044" s="8"/>
      <c r="F2044" s="8">
        <v>1</v>
      </c>
      <c r="G2044" s="7">
        <v>528000</v>
      </c>
      <c r="H2044" s="8" t="s">
        <v>299</v>
      </c>
      <c r="I2044" s="8">
        <v>1</v>
      </c>
      <c r="J2044" s="8">
        <v>240</v>
      </c>
      <c r="K2044" s="7" t="s">
        <v>312</v>
      </c>
      <c r="L2044" s="8">
        <v>72</v>
      </c>
      <c r="M2044" s="7">
        <f>IF(INDEX([1]equip.xml!$B:$B,MATCH(D2044,[1]equip.xml!$A:$A,0))=0,0,N2044)</f>
        <v>15</v>
      </c>
      <c r="N2044" s="8">
        <v>15</v>
      </c>
    </row>
    <row r="2045" spans="1:14">
      <c r="A2045" s="8">
        <f t="shared" si="2911"/>
        <v>20021</v>
      </c>
      <c r="B2045" s="8">
        <v>40000</v>
      </c>
      <c r="C2045" s="8" t="s">
        <v>298</v>
      </c>
      <c r="D2045" s="7">
        <f t="shared" si="2912"/>
        <v>50852066</v>
      </c>
      <c r="E2045" s="8"/>
      <c r="F2045" s="8">
        <v>1</v>
      </c>
      <c r="G2045" s="7">
        <v>546000</v>
      </c>
      <c r="H2045" s="8" t="s">
        <v>299</v>
      </c>
      <c r="I2045" s="8">
        <v>1</v>
      </c>
      <c r="J2045" s="8">
        <v>240</v>
      </c>
      <c r="K2045" s="7" t="s">
        <v>312</v>
      </c>
      <c r="L2045" s="8">
        <v>72</v>
      </c>
      <c r="M2045" s="7">
        <f>IF(INDEX([1]equip.xml!$B:$B,MATCH(D2045,[1]equip.xml!$A:$A,0))=0,0,N2045)</f>
        <v>15</v>
      </c>
      <c r="N2045" s="8">
        <v>15</v>
      </c>
    </row>
    <row r="2046" spans="1:14">
      <c r="A2046" s="8">
        <f t="shared" si="2911"/>
        <v>20021</v>
      </c>
      <c r="B2046" s="8">
        <v>40000</v>
      </c>
      <c r="C2046" s="8" t="s">
        <v>298</v>
      </c>
      <c r="D2046" s="7">
        <f t="shared" si="2912"/>
        <v>50853055</v>
      </c>
      <c r="E2046" s="8"/>
      <c r="F2046" s="8">
        <v>1</v>
      </c>
      <c r="G2046" s="7">
        <v>528000</v>
      </c>
      <c r="H2046" s="8" t="s">
        <v>299</v>
      </c>
      <c r="I2046" s="8">
        <v>1</v>
      </c>
      <c r="J2046" s="8">
        <v>240</v>
      </c>
      <c r="K2046" s="7" t="s">
        <v>312</v>
      </c>
      <c r="L2046" s="8">
        <v>72</v>
      </c>
      <c r="M2046" s="7">
        <f>IF(INDEX([1]equip.xml!$B:$B,MATCH(D2046,[1]equip.xml!$A:$A,0))=0,0,N2046)</f>
        <v>15</v>
      </c>
      <c r="N2046" s="8">
        <v>15</v>
      </c>
    </row>
    <row r="2047" spans="1:14">
      <c r="A2047" s="8">
        <f t="shared" ref="A2047:A2110" si="2914">A1519+10000</f>
        <v>20021</v>
      </c>
      <c r="B2047" s="8">
        <v>40000</v>
      </c>
      <c r="C2047" s="8" t="s">
        <v>298</v>
      </c>
      <c r="D2047" s="7">
        <f t="shared" si="2912"/>
        <v>50853056</v>
      </c>
      <c r="E2047" s="8"/>
      <c r="F2047" s="8">
        <v>1</v>
      </c>
      <c r="G2047" s="7">
        <v>546000</v>
      </c>
      <c r="H2047" s="8" t="s">
        <v>299</v>
      </c>
      <c r="I2047" s="8">
        <v>1</v>
      </c>
      <c r="J2047" s="8">
        <v>240</v>
      </c>
      <c r="K2047" s="7" t="s">
        <v>312</v>
      </c>
      <c r="L2047" s="8">
        <v>72</v>
      </c>
      <c r="M2047" s="7">
        <f>IF(INDEX([1]equip.xml!$B:$B,MATCH(D2047,[1]equip.xml!$A:$A,0))=0,0,N2047)</f>
        <v>15</v>
      </c>
      <c r="N2047" s="8">
        <v>15</v>
      </c>
    </row>
    <row r="2048" spans="1:14">
      <c r="A2048" s="8">
        <f t="shared" si="2914"/>
        <v>20021</v>
      </c>
      <c r="B2048" s="8">
        <v>40000</v>
      </c>
      <c r="C2048" s="8" t="s">
        <v>298</v>
      </c>
      <c r="D2048" s="7">
        <f t="shared" si="2912"/>
        <v>50853065</v>
      </c>
      <c r="E2048" s="8"/>
      <c r="F2048" s="8">
        <v>1</v>
      </c>
      <c r="G2048" s="7">
        <v>528000</v>
      </c>
      <c r="H2048" s="8" t="s">
        <v>299</v>
      </c>
      <c r="I2048" s="8">
        <v>1</v>
      </c>
      <c r="J2048" s="8">
        <v>240</v>
      </c>
      <c r="K2048" s="7" t="s">
        <v>312</v>
      </c>
      <c r="L2048" s="8">
        <v>72</v>
      </c>
      <c r="M2048" s="7">
        <f>IF(INDEX([1]equip.xml!$B:$B,MATCH(D2048,[1]equip.xml!$A:$A,0))=0,0,N2048)</f>
        <v>15</v>
      </c>
      <c r="N2048" s="8">
        <v>15</v>
      </c>
    </row>
    <row r="2049" spans="1:14">
      <c r="A2049" s="8">
        <f t="shared" si="2914"/>
        <v>20021</v>
      </c>
      <c r="B2049" s="8">
        <v>40000</v>
      </c>
      <c r="C2049" s="8" t="s">
        <v>298</v>
      </c>
      <c r="D2049" s="7">
        <f t="shared" si="2912"/>
        <v>50853066</v>
      </c>
      <c r="E2049" s="8"/>
      <c r="F2049" s="8">
        <v>1</v>
      </c>
      <c r="G2049" s="7">
        <v>546000</v>
      </c>
      <c r="H2049" s="8" t="s">
        <v>299</v>
      </c>
      <c r="I2049" s="8">
        <v>1</v>
      </c>
      <c r="J2049" s="8">
        <v>240</v>
      </c>
      <c r="K2049" s="7" t="s">
        <v>312</v>
      </c>
      <c r="L2049" s="8">
        <v>72</v>
      </c>
      <c r="M2049" s="7">
        <f>IF(INDEX([1]equip.xml!$B:$B,MATCH(D2049,[1]equip.xml!$A:$A,0))=0,0,N2049)</f>
        <v>15</v>
      </c>
      <c r="N2049" s="8">
        <v>15</v>
      </c>
    </row>
    <row r="2050" spans="1:14">
      <c r="A2050" s="8">
        <f t="shared" si="2914"/>
        <v>20021</v>
      </c>
      <c r="B2050" s="8">
        <v>40000</v>
      </c>
      <c r="C2050" s="8" t="s">
        <v>298</v>
      </c>
      <c r="D2050" s="7">
        <f t="shared" si="2912"/>
        <v>50850045</v>
      </c>
      <c r="E2050" s="8"/>
      <c r="F2050" s="8">
        <v>1</v>
      </c>
      <c r="G2050" s="7">
        <v>528000</v>
      </c>
      <c r="H2050" s="8" t="s">
        <v>299</v>
      </c>
      <c r="I2050" s="8">
        <v>1</v>
      </c>
      <c r="J2050" s="8">
        <v>240</v>
      </c>
      <c r="K2050" s="7" t="s">
        <v>312</v>
      </c>
      <c r="L2050" s="8">
        <v>72</v>
      </c>
      <c r="M2050" s="7">
        <f>IF(INDEX([1]equip.xml!$B:$B,MATCH(D2050,[1]equip.xml!$A:$A,0))=0,0,N2050)</f>
        <v>15</v>
      </c>
      <c r="N2050" s="8">
        <v>15</v>
      </c>
    </row>
    <row r="2051" spans="1:14">
      <c r="A2051" s="8">
        <f t="shared" si="2914"/>
        <v>20021</v>
      </c>
      <c r="B2051" s="8">
        <v>40000</v>
      </c>
      <c r="C2051" s="8" t="s">
        <v>298</v>
      </c>
      <c r="D2051" s="7">
        <f t="shared" si="2912"/>
        <v>50850046</v>
      </c>
      <c r="E2051" s="8"/>
      <c r="F2051" s="8">
        <v>1</v>
      </c>
      <c r="G2051" s="7">
        <v>546000</v>
      </c>
      <c r="H2051" s="8" t="s">
        <v>299</v>
      </c>
      <c r="I2051" s="8">
        <v>1</v>
      </c>
      <c r="J2051" s="8">
        <v>240</v>
      </c>
      <c r="K2051" s="7" t="s">
        <v>312</v>
      </c>
      <c r="L2051" s="8">
        <v>72</v>
      </c>
      <c r="M2051" s="7">
        <f>IF(INDEX([1]equip.xml!$B:$B,MATCH(D2051,[1]equip.xml!$A:$A,0))=0,0,N2051)</f>
        <v>15</v>
      </c>
      <c r="N2051" s="8">
        <v>15</v>
      </c>
    </row>
    <row r="2052" spans="1:14">
      <c r="A2052" s="8">
        <f t="shared" si="2914"/>
        <v>20021</v>
      </c>
      <c r="B2052" s="8">
        <v>40000</v>
      </c>
      <c r="C2052" s="8" t="s">
        <v>298</v>
      </c>
      <c r="D2052" s="7">
        <f t="shared" si="2912"/>
        <v>50850075</v>
      </c>
      <c r="E2052" s="8"/>
      <c r="F2052" s="8">
        <v>1</v>
      </c>
      <c r="G2052" s="7">
        <v>528000</v>
      </c>
      <c r="H2052" s="8" t="s">
        <v>299</v>
      </c>
      <c r="I2052" s="8">
        <v>1</v>
      </c>
      <c r="J2052" s="8">
        <v>240</v>
      </c>
      <c r="K2052" s="7" t="s">
        <v>312</v>
      </c>
      <c r="L2052" s="8">
        <v>72</v>
      </c>
      <c r="M2052" s="7">
        <f>IF(INDEX([1]equip.xml!$B:$B,MATCH(D2052,[1]equip.xml!$A:$A,0))=0,0,N2052)</f>
        <v>15</v>
      </c>
      <c r="N2052" s="8">
        <v>15</v>
      </c>
    </row>
    <row r="2053" spans="1:14">
      <c r="A2053" s="8">
        <f t="shared" si="2914"/>
        <v>20021</v>
      </c>
      <c r="B2053" s="8">
        <v>40000</v>
      </c>
      <c r="C2053" s="8" t="s">
        <v>298</v>
      </c>
      <c r="D2053" s="7">
        <f t="shared" si="2912"/>
        <v>50850076</v>
      </c>
      <c r="E2053" s="8"/>
      <c r="F2053" s="8">
        <v>1</v>
      </c>
      <c r="G2053" s="7">
        <v>546000</v>
      </c>
      <c r="H2053" s="8" t="s">
        <v>299</v>
      </c>
      <c r="I2053" s="8">
        <v>1</v>
      </c>
      <c r="J2053" s="8">
        <v>240</v>
      </c>
      <c r="K2053" s="7" t="s">
        <v>312</v>
      </c>
      <c r="L2053" s="8">
        <v>72</v>
      </c>
      <c r="M2053" s="7">
        <f>IF(INDEX([1]equip.xml!$B:$B,MATCH(D2053,[1]equip.xml!$A:$A,0))=0,0,N2053)</f>
        <v>15</v>
      </c>
      <c r="N2053" s="8">
        <v>15</v>
      </c>
    </row>
    <row r="2054" spans="1:14">
      <c r="A2054" s="8">
        <f t="shared" si="2914"/>
        <v>20022</v>
      </c>
      <c r="B2054" s="8">
        <v>40000</v>
      </c>
      <c r="C2054" s="8" t="s">
        <v>298</v>
      </c>
      <c r="D2054" s="8">
        <f t="shared" ref="D2054:D2097" si="2915">D1966+50000</f>
        <v>40850010</v>
      </c>
      <c r="E2054" s="8"/>
      <c r="F2054" s="8">
        <v>1</v>
      </c>
      <c r="G2054" s="7">
        <v>264000</v>
      </c>
      <c r="H2054" s="8" t="s">
        <v>299</v>
      </c>
      <c r="I2054" s="8">
        <v>6</v>
      </c>
      <c r="J2054" s="8">
        <v>50</v>
      </c>
      <c r="K2054" s="7" t="s">
        <v>312</v>
      </c>
      <c r="L2054" s="8">
        <v>76</v>
      </c>
      <c r="M2054" s="7">
        <f>IF(INDEX([1]equip.xml!$B:$B,MATCH(D2054,[1]equip.xml!$A:$A,0))=0,0,N2054)</f>
        <v>130</v>
      </c>
      <c r="N2054" s="8">
        <f t="shared" si="2913"/>
        <v>130</v>
      </c>
    </row>
    <row r="2055" spans="1:14">
      <c r="A2055" s="8">
        <f t="shared" si="2914"/>
        <v>20022</v>
      </c>
      <c r="B2055" s="8">
        <v>40000</v>
      </c>
      <c r="C2055" s="8" t="s">
        <v>298</v>
      </c>
      <c r="D2055" s="8">
        <f t="shared" si="2915"/>
        <v>40850020</v>
      </c>
      <c r="E2055" s="8"/>
      <c r="F2055" s="8">
        <v>1</v>
      </c>
      <c r="G2055" s="7">
        <v>264000</v>
      </c>
      <c r="H2055" s="8" t="s">
        <v>299</v>
      </c>
      <c r="I2055" s="8">
        <v>6</v>
      </c>
      <c r="J2055" s="8">
        <v>50</v>
      </c>
      <c r="K2055" s="7" t="s">
        <v>312</v>
      </c>
      <c r="L2055" s="8">
        <v>76</v>
      </c>
      <c r="M2055" s="7">
        <f>IF(INDEX([1]equip.xml!$B:$B,MATCH(D2055,[1]equip.xml!$A:$A,0))=0,0,N2055)</f>
        <v>130</v>
      </c>
      <c r="N2055" s="8">
        <f t="shared" si="2913"/>
        <v>130</v>
      </c>
    </row>
    <row r="2056" spans="1:14">
      <c r="A2056" s="8">
        <f t="shared" si="2914"/>
        <v>20022</v>
      </c>
      <c r="B2056" s="8">
        <v>40000</v>
      </c>
      <c r="C2056" s="8" t="s">
        <v>298</v>
      </c>
      <c r="D2056" s="8">
        <f t="shared" si="2915"/>
        <v>40850030</v>
      </c>
      <c r="E2056" s="8"/>
      <c r="F2056" s="8">
        <v>1</v>
      </c>
      <c r="G2056" s="7">
        <v>264000</v>
      </c>
      <c r="H2056" s="8" t="s">
        <v>299</v>
      </c>
      <c r="I2056" s="8">
        <v>6</v>
      </c>
      <c r="J2056" s="8">
        <v>50</v>
      </c>
      <c r="K2056" s="7" t="s">
        <v>312</v>
      </c>
      <c r="L2056" s="8">
        <v>76</v>
      </c>
      <c r="M2056" s="7">
        <f>IF(INDEX([1]equip.xml!$B:$B,MATCH(D2056,[1]equip.xml!$A:$A,0))=0,0,N2056)</f>
        <v>130</v>
      </c>
      <c r="N2056" s="8">
        <f t="shared" si="2913"/>
        <v>130</v>
      </c>
    </row>
    <row r="2057" spans="1:14">
      <c r="A2057" s="8">
        <f t="shared" si="2914"/>
        <v>20022</v>
      </c>
      <c r="B2057" s="8">
        <v>40000</v>
      </c>
      <c r="C2057" s="8" t="s">
        <v>298</v>
      </c>
      <c r="D2057" s="8">
        <f t="shared" si="2915"/>
        <v>40850080</v>
      </c>
      <c r="E2057" s="8"/>
      <c r="F2057" s="8">
        <v>1</v>
      </c>
      <c r="G2057" s="7">
        <v>264000</v>
      </c>
      <c r="H2057" s="8" t="s">
        <v>299</v>
      </c>
      <c r="I2057" s="8">
        <v>6</v>
      </c>
      <c r="J2057" s="8">
        <v>50</v>
      </c>
      <c r="K2057" s="7" t="s">
        <v>312</v>
      </c>
      <c r="L2057" s="8">
        <v>76</v>
      </c>
      <c r="M2057" s="7">
        <f>IF(INDEX([1]equip.xml!$B:$B,MATCH(D2057,[1]equip.xml!$A:$A,0))=0,0,N2057)</f>
        <v>130</v>
      </c>
      <c r="N2057" s="8">
        <f t="shared" si="2913"/>
        <v>130</v>
      </c>
    </row>
    <row r="2058" spans="1:14">
      <c r="A2058" s="8">
        <f t="shared" si="2914"/>
        <v>20022</v>
      </c>
      <c r="B2058" s="8">
        <v>40000</v>
      </c>
      <c r="C2058" s="8" t="s">
        <v>298</v>
      </c>
      <c r="D2058" s="8">
        <f t="shared" si="2915"/>
        <v>40850090</v>
      </c>
      <c r="E2058" s="8"/>
      <c r="F2058" s="8">
        <v>1</v>
      </c>
      <c r="G2058" s="7">
        <v>264000</v>
      </c>
      <c r="H2058" s="8" t="s">
        <v>299</v>
      </c>
      <c r="I2058" s="8">
        <v>6</v>
      </c>
      <c r="J2058" s="8">
        <v>50</v>
      </c>
      <c r="K2058" s="7" t="s">
        <v>312</v>
      </c>
      <c r="L2058" s="8">
        <v>76</v>
      </c>
      <c r="M2058" s="7">
        <f>IF(INDEX([1]equip.xml!$B:$B,MATCH(D2058,[1]equip.xml!$A:$A,0))=0,0,N2058)</f>
        <v>130</v>
      </c>
      <c r="N2058" s="8">
        <f t="shared" si="2913"/>
        <v>130</v>
      </c>
    </row>
    <row r="2059" spans="1:14">
      <c r="A2059" s="8">
        <f t="shared" si="2914"/>
        <v>20022</v>
      </c>
      <c r="B2059" s="8">
        <v>40000</v>
      </c>
      <c r="C2059" s="8" t="s">
        <v>298</v>
      </c>
      <c r="D2059" s="8">
        <f t="shared" si="2915"/>
        <v>40850100</v>
      </c>
      <c r="E2059" s="8"/>
      <c r="F2059" s="8">
        <v>1</v>
      </c>
      <c r="G2059" s="7">
        <v>264000</v>
      </c>
      <c r="H2059" s="8" t="s">
        <v>299</v>
      </c>
      <c r="I2059" s="8">
        <v>6</v>
      </c>
      <c r="J2059" s="8">
        <v>50</v>
      </c>
      <c r="K2059" s="7" t="s">
        <v>312</v>
      </c>
      <c r="L2059" s="8">
        <v>76</v>
      </c>
      <c r="M2059" s="7">
        <f>IF(INDEX([1]equip.xml!$B:$B,MATCH(D2059,[1]equip.xml!$A:$A,0))=0,0,N2059)</f>
        <v>130</v>
      </c>
      <c r="N2059" s="8">
        <f t="shared" si="2913"/>
        <v>130</v>
      </c>
    </row>
    <row r="2060" spans="1:14">
      <c r="A2060" s="8">
        <f t="shared" si="2914"/>
        <v>20022</v>
      </c>
      <c r="B2060" s="8">
        <v>40000</v>
      </c>
      <c r="C2060" s="8" t="s">
        <v>298</v>
      </c>
      <c r="D2060" s="8">
        <f t="shared" si="2915"/>
        <v>40851050</v>
      </c>
      <c r="E2060" s="8"/>
      <c r="F2060" s="8">
        <v>1</v>
      </c>
      <c r="G2060" s="7">
        <v>264000</v>
      </c>
      <c r="H2060" s="8" t="s">
        <v>299</v>
      </c>
      <c r="I2060" s="8">
        <v>6</v>
      </c>
      <c r="J2060" s="8">
        <v>50</v>
      </c>
      <c r="K2060" s="7" t="s">
        <v>312</v>
      </c>
      <c r="L2060" s="8">
        <v>76</v>
      </c>
      <c r="M2060" s="7">
        <f>IF(INDEX([1]equip.xml!$B:$B,MATCH(D2060,[1]equip.xml!$A:$A,0))=0,0,N2060)</f>
        <v>130</v>
      </c>
      <c r="N2060" s="8">
        <f t="shared" si="2913"/>
        <v>130</v>
      </c>
    </row>
    <row r="2061" spans="1:14">
      <c r="A2061" s="8">
        <f t="shared" si="2914"/>
        <v>20022</v>
      </c>
      <c r="B2061" s="8">
        <v>40000</v>
      </c>
      <c r="C2061" s="8" t="s">
        <v>298</v>
      </c>
      <c r="D2061" s="8">
        <f t="shared" si="2915"/>
        <v>40851051</v>
      </c>
      <c r="E2061" s="8"/>
      <c r="F2061" s="8">
        <v>1</v>
      </c>
      <c r="G2061" s="7">
        <v>273000</v>
      </c>
      <c r="H2061" s="8" t="s">
        <v>299</v>
      </c>
      <c r="I2061" s="8">
        <v>6</v>
      </c>
      <c r="J2061" s="8">
        <v>50</v>
      </c>
      <c r="K2061" s="7" t="s">
        <v>312</v>
      </c>
      <c r="L2061" s="8">
        <v>76</v>
      </c>
      <c r="M2061" s="7">
        <f>IF(INDEX([1]equip.xml!$B:$B,MATCH(D2061,[1]equip.xml!$A:$A,0))=0,0,N2061)</f>
        <v>130</v>
      </c>
      <c r="N2061" s="8">
        <f t="shared" si="2913"/>
        <v>130</v>
      </c>
    </row>
    <row r="2062" spans="1:14">
      <c r="A2062" s="8">
        <f t="shared" si="2914"/>
        <v>20022</v>
      </c>
      <c r="B2062" s="8">
        <v>40000</v>
      </c>
      <c r="C2062" s="8" t="s">
        <v>298</v>
      </c>
      <c r="D2062" s="8">
        <f t="shared" si="2915"/>
        <v>40851060</v>
      </c>
      <c r="E2062" s="8"/>
      <c r="F2062" s="8">
        <v>1</v>
      </c>
      <c r="G2062" s="7">
        <v>264000</v>
      </c>
      <c r="H2062" s="8" t="s">
        <v>299</v>
      </c>
      <c r="I2062" s="8">
        <v>6</v>
      </c>
      <c r="J2062" s="8">
        <v>50</v>
      </c>
      <c r="K2062" s="7" t="s">
        <v>312</v>
      </c>
      <c r="L2062" s="8">
        <v>76</v>
      </c>
      <c r="M2062" s="7">
        <f>IF(INDEX([1]equip.xml!$B:$B,MATCH(D2062,[1]equip.xml!$A:$A,0))=0,0,N2062)</f>
        <v>130</v>
      </c>
      <c r="N2062" s="8">
        <f t="shared" si="2913"/>
        <v>130</v>
      </c>
    </row>
    <row r="2063" spans="1:14">
      <c r="A2063" s="8">
        <f t="shared" si="2914"/>
        <v>20022</v>
      </c>
      <c r="B2063" s="8">
        <v>40000</v>
      </c>
      <c r="C2063" s="8" t="s">
        <v>298</v>
      </c>
      <c r="D2063" s="8">
        <f t="shared" si="2915"/>
        <v>40851061</v>
      </c>
      <c r="E2063" s="8"/>
      <c r="F2063" s="8">
        <v>1</v>
      </c>
      <c r="G2063" s="7">
        <v>273000</v>
      </c>
      <c r="H2063" s="8" t="s">
        <v>299</v>
      </c>
      <c r="I2063" s="8">
        <v>6</v>
      </c>
      <c r="J2063" s="8">
        <v>50</v>
      </c>
      <c r="K2063" s="7" t="s">
        <v>312</v>
      </c>
      <c r="L2063" s="8">
        <v>76</v>
      </c>
      <c r="M2063" s="7">
        <f>IF(INDEX([1]equip.xml!$B:$B,MATCH(D2063,[1]equip.xml!$A:$A,0))=0,0,N2063)</f>
        <v>130</v>
      </c>
      <c r="N2063" s="8">
        <f t="shared" si="2913"/>
        <v>130</v>
      </c>
    </row>
    <row r="2064" spans="1:14">
      <c r="A2064" s="8">
        <f t="shared" si="2914"/>
        <v>20022</v>
      </c>
      <c r="B2064" s="8">
        <v>40000</v>
      </c>
      <c r="C2064" s="8" t="s">
        <v>298</v>
      </c>
      <c r="D2064" s="8">
        <f t="shared" si="2915"/>
        <v>40852050</v>
      </c>
      <c r="E2064" s="8"/>
      <c r="F2064" s="8">
        <v>1</v>
      </c>
      <c r="G2064" s="7">
        <v>264000</v>
      </c>
      <c r="H2064" s="8" t="s">
        <v>299</v>
      </c>
      <c r="I2064" s="8">
        <v>6</v>
      </c>
      <c r="J2064" s="8">
        <v>50</v>
      </c>
      <c r="K2064" s="7" t="s">
        <v>312</v>
      </c>
      <c r="L2064" s="8">
        <v>76</v>
      </c>
      <c r="M2064" s="7">
        <f>IF(INDEX([1]equip.xml!$B:$B,MATCH(D2064,[1]equip.xml!$A:$A,0))=0,0,N2064)</f>
        <v>130</v>
      </c>
      <c r="N2064" s="8">
        <f t="shared" si="2913"/>
        <v>130</v>
      </c>
    </row>
    <row r="2065" spans="1:14">
      <c r="A2065" s="8">
        <f t="shared" si="2914"/>
        <v>20022</v>
      </c>
      <c r="B2065" s="8">
        <v>40000</v>
      </c>
      <c r="C2065" s="8" t="s">
        <v>298</v>
      </c>
      <c r="D2065" s="8">
        <f t="shared" si="2915"/>
        <v>40852051</v>
      </c>
      <c r="E2065" s="8"/>
      <c r="F2065" s="8">
        <v>1</v>
      </c>
      <c r="G2065" s="7">
        <v>273000</v>
      </c>
      <c r="H2065" s="8" t="s">
        <v>299</v>
      </c>
      <c r="I2065" s="8">
        <v>6</v>
      </c>
      <c r="J2065" s="8">
        <v>50</v>
      </c>
      <c r="K2065" s="7" t="s">
        <v>312</v>
      </c>
      <c r="L2065" s="8">
        <v>76</v>
      </c>
      <c r="M2065" s="7">
        <f>IF(INDEX([1]equip.xml!$B:$B,MATCH(D2065,[1]equip.xml!$A:$A,0))=0,0,N2065)</f>
        <v>130</v>
      </c>
      <c r="N2065" s="8">
        <f t="shared" si="2913"/>
        <v>130</v>
      </c>
    </row>
    <row r="2066" spans="1:14">
      <c r="A2066" s="8">
        <f t="shared" si="2914"/>
        <v>20022</v>
      </c>
      <c r="B2066" s="8">
        <v>40000</v>
      </c>
      <c r="C2066" s="8" t="s">
        <v>298</v>
      </c>
      <c r="D2066" s="8">
        <f t="shared" si="2915"/>
        <v>40852060</v>
      </c>
      <c r="E2066" s="8"/>
      <c r="F2066" s="8">
        <v>1</v>
      </c>
      <c r="G2066" s="7">
        <v>264000</v>
      </c>
      <c r="H2066" s="8" t="s">
        <v>299</v>
      </c>
      <c r="I2066" s="8">
        <v>6</v>
      </c>
      <c r="J2066" s="8">
        <v>50</v>
      </c>
      <c r="K2066" s="7" t="s">
        <v>312</v>
      </c>
      <c r="L2066" s="8">
        <v>76</v>
      </c>
      <c r="M2066" s="7">
        <f>IF(INDEX([1]equip.xml!$B:$B,MATCH(D2066,[1]equip.xml!$A:$A,0))=0,0,N2066)</f>
        <v>130</v>
      </c>
      <c r="N2066" s="8">
        <f t="shared" si="2913"/>
        <v>130</v>
      </c>
    </row>
    <row r="2067" spans="1:14">
      <c r="A2067" s="8">
        <f t="shared" si="2914"/>
        <v>20022</v>
      </c>
      <c r="B2067" s="8">
        <v>40000</v>
      </c>
      <c r="C2067" s="8" t="s">
        <v>298</v>
      </c>
      <c r="D2067" s="8">
        <f t="shared" si="2915"/>
        <v>40852061</v>
      </c>
      <c r="E2067" s="8"/>
      <c r="F2067" s="8">
        <v>1</v>
      </c>
      <c r="G2067" s="7">
        <v>273000</v>
      </c>
      <c r="H2067" s="8" t="s">
        <v>299</v>
      </c>
      <c r="I2067" s="8">
        <v>6</v>
      </c>
      <c r="J2067" s="8">
        <v>50</v>
      </c>
      <c r="K2067" s="7" t="s">
        <v>312</v>
      </c>
      <c r="L2067" s="8">
        <v>76</v>
      </c>
      <c r="M2067" s="7">
        <f>IF(INDEX([1]equip.xml!$B:$B,MATCH(D2067,[1]equip.xml!$A:$A,0))=0,0,N2067)</f>
        <v>130</v>
      </c>
      <c r="N2067" s="8">
        <f t="shared" si="2913"/>
        <v>130</v>
      </c>
    </row>
    <row r="2068" spans="1:14">
      <c r="A2068" s="8">
        <f t="shared" si="2914"/>
        <v>20022</v>
      </c>
      <c r="B2068" s="8">
        <v>40000</v>
      </c>
      <c r="C2068" s="8" t="s">
        <v>298</v>
      </c>
      <c r="D2068" s="8">
        <f t="shared" si="2915"/>
        <v>40853050</v>
      </c>
      <c r="E2068" s="8"/>
      <c r="F2068" s="8">
        <v>1</v>
      </c>
      <c r="G2068" s="7">
        <v>264000</v>
      </c>
      <c r="H2068" s="8" t="s">
        <v>299</v>
      </c>
      <c r="I2068" s="8">
        <v>6</v>
      </c>
      <c r="J2068" s="8">
        <v>50</v>
      </c>
      <c r="K2068" s="7" t="s">
        <v>312</v>
      </c>
      <c r="L2068" s="8">
        <v>76</v>
      </c>
      <c r="M2068" s="7">
        <f>IF(INDEX([1]equip.xml!$B:$B,MATCH(D2068,[1]equip.xml!$A:$A,0))=0,0,N2068)</f>
        <v>130</v>
      </c>
      <c r="N2068" s="8">
        <f t="shared" si="2913"/>
        <v>130</v>
      </c>
    </row>
    <row r="2069" spans="1:14">
      <c r="A2069" s="8">
        <f t="shared" si="2914"/>
        <v>20022</v>
      </c>
      <c r="B2069" s="8">
        <v>40000</v>
      </c>
      <c r="C2069" s="8" t="s">
        <v>298</v>
      </c>
      <c r="D2069" s="8">
        <f t="shared" si="2915"/>
        <v>40853051</v>
      </c>
      <c r="E2069" s="8"/>
      <c r="F2069" s="8">
        <v>1</v>
      </c>
      <c r="G2069" s="7">
        <v>273000</v>
      </c>
      <c r="H2069" s="8" t="s">
        <v>299</v>
      </c>
      <c r="I2069" s="8">
        <v>6</v>
      </c>
      <c r="J2069" s="8">
        <v>50</v>
      </c>
      <c r="K2069" s="7" t="s">
        <v>312</v>
      </c>
      <c r="L2069" s="8">
        <v>76</v>
      </c>
      <c r="M2069" s="7">
        <f>IF(INDEX([1]equip.xml!$B:$B,MATCH(D2069,[1]equip.xml!$A:$A,0))=0,0,N2069)</f>
        <v>130</v>
      </c>
      <c r="N2069" s="8">
        <f t="shared" si="2913"/>
        <v>130</v>
      </c>
    </row>
    <row r="2070" spans="1:14">
      <c r="A2070" s="8">
        <f t="shared" si="2914"/>
        <v>20022</v>
      </c>
      <c r="B2070" s="8">
        <v>40000</v>
      </c>
      <c r="C2070" s="8" t="s">
        <v>298</v>
      </c>
      <c r="D2070" s="8">
        <f t="shared" si="2915"/>
        <v>40853060</v>
      </c>
      <c r="E2070" s="8"/>
      <c r="F2070" s="8">
        <v>1</v>
      </c>
      <c r="G2070" s="7">
        <v>264000</v>
      </c>
      <c r="H2070" s="8" t="s">
        <v>299</v>
      </c>
      <c r="I2070" s="8">
        <v>6</v>
      </c>
      <c r="J2070" s="8">
        <v>50</v>
      </c>
      <c r="K2070" s="7" t="s">
        <v>312</v>
      </c>
      <c r="L2070" s="8">
        <v>76</v>
      </c>
      <c r="M2070" s="7">
        <f>IF(INDEX([1]equip.xml!$B:$B,MATCH(D2070,[1]equip.xml!$A:$A,0))=0,0,N2070)</f>
        <v>130</v>
      </c>
      <c r="N2070" s="8">
        <f t="shared" si="2913"/>
        <v>130</v>
      </c>
    </row>
    <row r="2071" spans="1:14">
      <c r="A2071" s="8">
        <f t="shared" si="2914"/>
        <v>20022</v>
      </c>
      <c r="B2071" s="8">
        <v>40000</v>
      </c>
      <c r="C2071" s="8" t="s">
        <v>298</v>
      </c>
      <c r="D2071" s="8">
        <f t="shared" si="2915"/>
        <v>40853061</v>
      </c>
      <c r="E2071" s="8"/>
      <c r="F2071" s="8">
        <v>1</v>
      </c>
      <c r="G2071" s="7">
        <v>273000</v>
      </c>
      <c r="H2071" s="8" t="s">
        <v>299</v>
      </c>
      <c r="I2071" s="8">
        <v>6</v>
      </c>
      <c r="J2071" s="8">
        <v>50</v>
      </c>
      <c r="K2071" s="7" t="s">
        <v>312</v>
      </c>
      <c r="L2071" s="8">
        <v>76</v>
      </c>
      <c r="M2071" s="7">
        <f>IF(INDEX([1]equip.xml!$B:$B,MATCH(D2071,[1]equip.xml!$A:$A,0))=0,0,N2071)</f>
        <v>130</v>
      </c>
      <c r="N2071" s="8">
        <f t="shared" si="2913"/>
        <v>130</v>
      </c>
    </row>
    <row r="2072" spans="1:14">
      <c r="A2072" s="8">
        <f t="shared" si="2914"/>
        <v>20022</v>
      </c>
      <c r="B2072" s="8">
        <v>40000</v>
      </c>
      <c r="C2072" s="8" t="s">
        <v>298</v>
      </c>
      <c r="D2072" s="8">
        <f t="shared" si="2915"/>
        <v>40850040</v>
      </c>
      <c r="E2072" s="8"/>
      <c r="F2072" s="8">
        <v>1</v>
      </c>
      <c r="G2072" s="7">
        <v>264000</v>
      </c>
      <c r="H2072" s="8" t="s">
        <v>299</v>
      </c>
      <c r="I2072" s="8">
        <v>6</v>
      </c>
      <c r="J2072" s="8">
        <v>50</v>
      </c>
      <c r="K2072" s="7" t="s">
        <v>312</v>
      </c>
      <c r="L2072" s="8">
        <v>76</v>
      </c>
      <c r="M2072" s="7">
        <f>IF(INDEX([1]equip.xml!$B:$B,MATCH(D2072,[1]equip.xml!$A:$A,0))=0,0,N2072)</f>
        <v>130</v>
      </c>
      <c r="N2072" s="8">
        <f t="shared" si="2913"/>
        <v>130</v>
      </c>
    </row>
    <row r="2073" spans="1:14">
      <c r="A2073" s="8">
        <f t="shared" si="2914"/>
        <v>20022</v>
      </c>
      <c r="B2073" s="8">
        <v>40000</v>
      </c>
      <c r="C2073" s="8" t="s">
        <v>298</v>
      </c>
      <c r="D2073" s="8">
        <f t="shared" si="2915"/>
        <v>40850041</v>
      </c>
      <c r="E2073" s="8"/>
      <c r="F2073" s="8">
        <v>1</v>
      </c>
      <c r="G2073" s="7">
        <v>273000</v>
      </c>
      <c r="H2073" s="8" t="s">
        <v>299</v>
      </c>
      <c r="I2073" s="8">
        <v>6</v>
      </c>
      <c r="J2073" s="8">
        <v>50</v>
      </c>
      <c r="K2073" s="7" t="s">
        <v>312</v>
      </c>
      <c r="L2073" s="8">
        <v>76</v>
      </c>
      <c r="M2073" s="7">
        <f>IF(INDEX([1]equip.xml!$B:$B,MATCH(D2073,[1]equip.xml!$A:$A,0))=0,0,N2073)</f>
        <v>130</v>
      </c>
      <c r="N2073" s="8">
        <f t="shared" si="2913"/>
        <v>130</v>
      </c>
    </row>
    <row r="2074" spans="1:14">
      <c r="A2074" s="8">
        <f t="shared" si="2914"/>
        <v>20022</v>
      </c>
      <c r="B2074" s="8">
        <v>40000</v>
      </c>
      <c r="C2074" s="8" t="s">
        <v>298</v>
      </c>
      <c r="D2074" s="8">
        <f t="shared" si="2915"/>
        <v>40850070</v>
      </c>
      <c r="E2074" s="8"/>
      <c r="F2074" s="8">
        <v>1</v>
      </c>
      <c r="G2074" s="7">
        <v>264000</v>
      </c>
      <c r="H2074" s="8" t="s">
        <v>299</v>
      </c>
      <c r="I2074" s="8">
        <v>6</v>
      </c>
      <c r="J2074" s="8">
        <v>50</v>
      </c>
      <c r="K2074" s="7" t="s">
        <v>312</v>
      </c>
      <c r="L2074" s="8">
        <v>76</v>
      </c>
      <c r="M2074" s="7">
        <f>IF(INDEX([1]equip.xml!$B:$B,MATCH(D2074,[1]equip.xml!$A:$A,0))=0,0,N2074)</f>
        <v>130</v>
      </c>
      <c r="N2074" s="8">
        <f t="shared" si="2913"/>
        <v>130</v>
      </c>
    </row>
    <row r="2075" spans="1:14">
      <c r="A2075" s="8">
        <f t="shared" si="2914"/>
        <v>20022</v>
      </c>
      <c r="B2075" s="8">
        <v>40000</v>
      </c>
      <c r="C2075" s="8" t="s">
        <v>298</v>
      </c>
      <c r="D2075" s="8">
        <f t="shared" si="2915"/>
        <v>40850071</v>
      </c>
      <c r="E2075" s="8"/>
      <c r="F2075" s="8">
        <v>1</v>
      </c>
      <c r="G2075" s="7">
        <v>273000</v>
      </c>
      <c r="H2075" s="8" t="s">
        <v>299</v>
      </c>
      <c r="I2075" s="8">
        <v>6</v>
      </c>
      <c r="J2075" s="8">
        <v>50</v>
      </c>
      <c r="K2075" s="7" t="s">
        <v>312</v>
      </c>
      <c r="L2075" s="8">
        <v>76</v>
      </c>
      <c r="M2075" s="7">
        <f>IF(INDEX([1]equip.xml!$B:$B,MATCH(D2075,[1]equip.xml!$A:$A,0))=0,0,N2075)</f>
        <v>130</v>
      </c>
      <c r="N2075" s="8">
        <f t="shared" si="2913"/>
        <v>130</v>
      </c>
    </row>
    <row r="2076" spans="1:14">
      <c r="A2076" s="8">
        <f t="shared" si="2914"/>
        <v>20022</v>
      </c>
      <c r="B2076" s="8">
        <v>40000</v>
      </c>
      <c r="C2076" s="8" t="s">
        <v>298</v>
      </c>
      <c r="D2076" s="8">
        <f t="shared" si="2915"/>
        <v>40900010</v>
      </c>
      <c r="E2076" s="8"/>
      <c r="F2076" s="8">
        <v>1</v>
      </c>
      <c r="G2076" s="7">
        <v>282000</v>
      </c>
      <c r="H2076" s="8" t="s">
        <v>299</v>
      </c>
      <c r="I2076" s="8">
        <v>6</v>
      </c>
      <c r="J2076" s="8">
        <v>50</v>
      </c>
      <c r="K2076" s="7" t="s">
        <v>312</v>
      </c>
      <c r="L2076" s="8">
        <v>76</v>
      </c>
      <c r="M2076" s="7">
        <f>IF(INDEX([1]equip.xml!$B:$B,MATCH(D2076,[1]equip.xml!$A:$A,0))=0,0,N2076)</f>
        <v>7</v>
      </c>
      <c r="N2076" s="8">
        <v>7</v>
      </c>
    </row>
    <row r="2077" spans="1:14">
      <c r="A2077" s="8">
        <f t="shared" si="2914"/>
        <v>20022</v>
      </c>
      <c r="B2077" s="8">
        <v>40000</v>
      </c>
      <c r="C2077" s="8" t="s">
        <v>298</v>
      </c>
      <c r="D2077" s="8">
        <f t="shared" si="2915"/>
        <v>40900020</v>
      </c>
      <c r="E2077" s="8"/>
      <c r="F2077" s="8">
        <v>1</v>
      </c>
      <c r="G2077" s="7">
        <v>282000</v>
      </c>
      <c r="H2077" s="8" t="s">
        <v>299</v>
      </c>
      <c r="I2077" s="8">
        <v>6</v>
      </c>
      <c r="J2077" s="8">
        <v>50</v>
      </c>
      <c r="K2077" s="7" t="s">
        <v>312</v>
      </c>
      <c r="L2077" s="8">
        <v>76</v>
      </c>
      <c r="M2077" s="7">
        <f>IF(INDEX([1]equip.xml!$B:$B,MATCH(D2077,[1]equip.xml!$A:$A,0))=0,0,N2077)</f>
        <v>7</v>
      </c>
      <c r="N2077" s="8">
        <v>7</v>
      </c>
    </row>
    <row r="2078" spans="1:14">
      <c r="A2078" s="8">
        <f t="shared" si="2914"/>
        <v>20022</v>
      </c>
      <c r="B2078" s="8">
        <v>40000</v>
      </c>
      <c r="C2078" s="8" t="s">
        <v>298</v>
      </c>
      <c r="D2078" s="8">
        <f t="shared" si="2915"/>
        <v>40900030</v>
      </c>
      <c r="E2078" s="8"/>
      <c r="F2078" s="8">
        <v>1</v>
      </c>
      <c r="G2078" s="7">
        <v>282000</v>
      </c>
      <c r="H2078" s="8" t="s">
        <v>299</v>
      </c>
      <c r="I2078" s="8">
        <v>6</v>
      </c>
      <c r="J2078" s="8">
        <v>50</v>
      </c>
      <c r="K2078" s="7" t="s">
        <v>312</v>
      </c>
      <c r="L2078" s="8">
        <v>76</v>
      </c>
      <c r="M2078" s="7">
        <f>IF(INDEX([1]equip.xml!$B:$B,MATCH(D2078,[1]equip.xml!$A:$A,0))=0,0,N2078)</f>
        <v>7</v>
      </c>
      <c r="N2078" s="8">
        <v>7</v>
      </c>
    </row>
    <row r="2079" spans="1:14">
      <c r="A2079" s="8">
        <f t="shared" si="2914"/>
        <v>20022</v>
      </c>
      <c r="B2079" s="8">
        <v>40000</v>
      </c>
      <c r="C2079" s="8" t="s">
        <v>298</v>
      </c>
      <c r="D2079" s="8">
        <f t="shared" si="2915"/>
        <v>40900080</v>
      </c>
      <c r="E2079" s="8"/>
      <c r="F2079" s="8">
        <v>1</v>
      </c>
      <c r="G2079" s="7">
        <v>282000</v>
      </c>
      <c r="H2079" s="8" t="s">
        <v>299</v>
      </c>
      <c r="I2079" s="8">
        <v>6</v>
      </c>
      <c r="J2079" s="8">
        <v>50</v>
      </c>
      <c r="K2079" s="7" t="s">
        <v>312</v>
      </c>
      <c r="L2079" s="8">
        <v>76</v>
      </c>
      <c r="M2079" s="7">
        <f>IF(INDEX([1]equip.xml!$B:$B,MATCH(D2079,[1]equip.xml!$A:$A,0))=0,0,N2079)</f>
        <v>7</v>
      </c>
      <c r="N2079" s="8">
        <v>7</v>
      </c>
    </row>
    <row r="2080" spans="1:14">
      <c r="A2080" s="8">
        <f t="shared" si="2914"/>
        <v>20022</v>
      </c>
      <c r="B2080" s="8">
        <v>40000</v>
      </c>
      <c r="C2080" s="8" t="s">
        <v>298</v>
      </c>
      <c r="D2080" s="8">
        <f t="shared" si="2915"/>
        <v>40900090</v>
      </c>
      <c r="E2080" s="8"/>
      <c r="F2080" s="8">
        <v>1</v>
      </c>
      <c r="G2080" s="7">
        <v>282000</v>
      </c>
      <c r="H2080" s="8" t="s">
        <v>299</v>
      </c>
      <c r="I2080" s="8">
        <v>6</v>
      </c>
      <c r="J2080" s="8">
        <v>50</v>
      </c>
      <c r="K2080" s="7" t="s">
        <v>312</v>
      </c>
      <c r="L2080" s="8">
        <v>76</v>
      </c>
      <c r="M2080" s="7">
        <f>IF(INDEX([1]equip.xml!$B:$B,MATCH(D2080,[1]equip.xml!$A:$A,0))=0,0,N2080)</f>
        <v>7</v>
      </c>
      <c r="N2080" s="8">
        <v>7</v>
      </c>
    </row>
    <row r="2081" spans="1:14">
      <c r="A2081" s="8">
        <f t="shared" si="2914"/>
        <v>20022</v>
      </c>
      <c r="B2081" s="8">
        <v>40000</v>
      </c>
      <c r="C2081" s="8" t="s">
        <v>298</v>
      </c>
      <c r="D2081" s="8">
        <f t="shared" si="2915"/>
        <v>40900100</v>
      </c>
      <c r="E2081" s="8"/>
      <c r="F2081" s="8">
        <v>1</v>
      </c>
      <c r="G2081" s="7">
        <v>282000</v>
      </c>
      <c r="H2081" s="8" t="s">
        <v>299</v>
      </c>
      <c r="I2081" s="8">
        <v>6</v>
      </c>
      <c r="J2081" s="8">
        <v>50</v>
      </c>
      <c r="K2081" s="7" t="s">
        <v>312</v>
      </c>
      <c r="L2081" s="8">
        <v>76</v>
      </c>
      <c r="M2081" s="7">
        <f>IF(INDEX([1]equip.xml!$B:$B,MATCH(D2081,[1]equip.xml!$A:$A,0))=0,0,N2081)</f>
        <v>7</v>
      </c>
      <c r="N2081" s="8">
        <v>7</v>
      </c>
    </row>
    <row r="2082" spans="1:14">
      <c r="A2082" s="8">
        <f t="shared" si="2914"/>
        <v>20022</v>
      </c>
      <c r="B2082" s="8">
        <v>40000</v>
      </c>
      <c r="C2082" s="8" t="s">
        <v>298</v>
      </c>
      <c r="D2082" s="8">
        <f t="shared" si="2915"/>
        <v>40901050</v>
      </c>
      <c r="E2082" s="8"/>
      <c r="F2082" s="8">
        <v>1</v>
      </c>
      <c r="G2082" s="7">
        <v>282000</v>
      </c>
      <c r="H2082" s="8" t="s">
        <v>299</v>
      </c>
      <c r="I2082" s="8">
        <v>6</v>
      </c>
      <c r="J2082" s="8">
        <v>50</v>
      </c>
      <c r="K2082" s="7" t="s">
        <v>312</v>
      </c>
      <c r="L2082" s="8">
        <v>76</v>
      </c>
      <c r="M2082" s="7">
        <f>IF(INDEX([1]equip.xml!$B:$B,MATCH(D2082,[1]equip.xml!$A:$A,0))=0,0,N2082)</f>
        <v>7</v>
      </c>
      <c r="N2082" s="8">
        <v>7</v>
      </c>
    </row>
    <row r="2083" spans="1:14">
      <c r="A2083" s="8">
        <f t="shared" si="2914"/>
        <v>20022</v>
      </c>
      <c r="B2083" s="8">
        <v>40000</v>
      </c>
      <c r="C2083" s="8" t="s">
        <v>298</v>
      </c>
      <c r="D2083" s="8">
        <f t="shared" si="2915"/>
        <v>40901051</v>
      </c>
      <c r="E2083" s="8"/>
      <c r="F2083" s="8">
        <v>1</v>
      </c>
      <c r="G2083" s="7">
        <v>291000</v>
      </c>
      <c r="H2083" s="8" t="s">
        <v>299</v>
      </c>
      <c r="I2083" s="8">
        <v>6</v>
      </c>
      <c r="J2083" s="8">
        <v>50</v>
      </c>
      <c r="K2083" s="7" t="s">
        <v>312</v>
      </c>
      <c r="L2083" s="8">
        <v>76</v>
      </c>
      <c r="M2083" s="7">
        <f>IF(INDEX([1]equip.xml!$B:$B,MATCH(D2083,[1]equip.xml!$A:$A,0))=0,0,N2083)</f>
        <v>7</v>
      </c>
      <c r="N2083" s="8">
        <v>7</v>
      </c>
    </row>
    <row r="2084" spans="1:14">
      <c r="A2084" s="8">
        <f t="shared" si="2914"/>
        <v>20022</v>
      </c>
      <c r="B2084" s="8">
        <v>40000</v>
      </c>
      <c r="C2084" s="8" t="s">
        <v>298</v>
      </c>
      <c r="D2084" s="8">
        <f t="shared" si="2915"/>
        <v>40901060</v>
      </c>
      <c r="E2084" s="8"/>
      <c r="F2084" s="8">
        <v>1</v>
      </c>
      <c r="G2084" s="7">
        <v>282000</v>
      </c>
      <c r="H2084" s="8" t="s">
        <v>299</v>
      </c>
      <c r="I2084" s="8">
        <v>6</v>
      </c>
      <c r="J2084" s="8">
        <v>50</v>
      </c>
      <c r="K2084" s="7" t="s">
        <v>312</v>
      </c>
      <c r="L2084" s="8">
        <v>76</v>
      </c>
      <c r="M2084" s="7">
        <f>IF(INDEX([1]equip.xml!$B:$B,MATCH(D2084,[1]equip.xml!$A:$A,0))=0,0,N2084)</f>
        <v>7</v>
      </c>
      <c r="N2084" s="8">
        <v>7</v>
      </c>
    </row>
    <row r="2085" spans="1:14">
      <c r="A2085" s="8">
        <f t="shared" si="2914"/>
        <v>20022</v>
      </c>
      <c r="B2085" s="8">
        <v>40000</v>
      </c>
      <c r="C2085" s="8" t="s">
        <v>298</v>
      </c>
      <c r="D2085" s="8">
        <f t="shared" si="2915"/>
        <v>40901061</v>
      </c>
      <c r="E2085" s="8"/>
      <c r="F2085" s="8">
        <v>1</v>
      </c>
      <c r="G2085" s="7">
        <v>291000</v>
      </c>
      <c r="H2085" s="8" t="s">
        <v>299</v>
      </c>
      <c r="I2085" s="8">
        <v>6</v>
      </c>
      <c r="J2085" s="8">
        <v>50</v>
      </c>
      <c r="K2085" s="7" t="s">
        <v>312</v>
      </c>
      <c r="L2085" s="8">
        <v>76</v>
      </c>
      <c r="M2085" s="7">
        <f>IF(INDEX([1]equip.xml!$B:$B,MATCH(D2085,[1]equip.xml!$A:$A,0))=0,0,N2085)</f>
        <v>7</v>
      </c>
      <c r="N2085" s="8">
        <v>7</v>
      </c>
    </row>
    <row r="2086" spans="1:14">
      <c r="A2086" s="8">
        <f t="shared" si="2914"/>
        <v>20022</v>
      </c>
      <c r="B2086" s="8">
        <v>40000</v>
      </c>
      <c r="C2086" s="8" t="s">
        <v>298</v>
      </c>
      <c r="D2086" s="8">
        <f t="shared" si="2915"/>
        <v>40902050</v>
      </c>
      <c r="E2086" s="8"/>
      <c r="F2086" s="8">
        <v>1</v>
      </c>
      <c r="G2086" s="7">
        <v>282000</v>
      </c>
      <c r="H2086" s="8" t="s">
        <v>299</v>
      </c>
      <c r="I2086" s="8">
        <v>6</v>
      </c>
      <c r="J2086" s="8">
        <v>50</v>
      </c>
      <c r="K2086" s="7" t="s">
        <v>312</v>
      </c>
      <c r="L2086" s="8">
        <v>76</v>
      </c>
      <c r="M2086" s="7">
        <f>IF(INDEX([1]equip.xml!$B:$B,MATCH(D2086,[1]equip.xml!$A:$A,0))=0,0,N2086)</f>
        <v>7</v>
      </c>
      <c r="N2086" s="8">
        <v>7</v>
      </c>
    </row>
    <row r="2087" spans="1:14">
      <c r="A2087" s="8">
        <f t="shared" si="2914"/>
        <v>20022</v>
      </c>
      <c r="B2087" s="8">
        <v>40000</v>
      </c>
      <c r="C2087" s="8" t="s">
        <v>298</v>
      </c>
      <c r="D2087" s="8">
        <f t="shared" si="2915"/>
        <v>40902051</v>
      </c>
      <c r="E2087" s="8"/>
      <c r="F2087" s="8">
        <v>1</v>
      </c>
      <c r="G2087" s="7">
        <v>291000</v>
      </c>
      <c r="H2087" s="8" t="s">
        <v>299</v>
      </c>
      <c r="I2087" s="8">
        <v>6</v>
      </c>
      <c r="J2087" s="8">
        <v>50</v>
      </c>
      <c r="K2087" s="7" t="s">
        <v>312</v>
      </c>
      <c r="L2087" s="8">
        <v>76</v>
      </c>
      <c r="M2087" s="7">
        <f>IF(INDEX([1]equip.xml!$B:$B,MATCH(D2087,[1]equip.xml!$A:$A,0))=0,0,N2087)</f>
        <v>7</v>
      </c>
      <c r="N2087" s="8">
        <v>7</v>
      </c>
    </row>
    <row r="2088" spans="1:14">
      <c r="A2088" s="8">
        <f t="shared" si="2914"/>
        <v>20022</v>
      </c>
      <c r="B2088" s="8">
        <v>40000</v>
      </c>
      <c r="C2088" s="8" t="s">
        <v>298</v>
      </c>
      <c r="D2088" s="8">
        <f t="shared" si="2915"/>
        <v>40902060</v>
      </c>
      <c r="E2088" s="8"/>
      <c r="F2088" s="8">
        <v>1</v>
      </c>
      <c r="G2088" s="7">
        <v>282000</v>
      </c>
      <c r="H2088" s="8" t="s">
        <v>299</v>
      </c>
      <c r="I2088" s="8">
        <v>6</v>
      </c>
      <c r="J2088" s="8">
        <v>50</v>
      </c>
      <c r="K2088" s="7" t="s">
        <v>312</v>
      </c>
      <c r="L2088" s="8">
        <v>76</v>
      </c>
      <c r="M2088" s="7">
        <f>IF(INDEX([1]equip.xml!$B:$B,MATCH(D2088,[1]equip.xml!$A:$A,0))=0,0,N2088)</f>
        <v>7</v>
      </c>
      <c r="N2088" s="8">
        <v>7</v>
      </c>
    </row>
    <row r="2089" spans="1:14">
      <c r="A2089" s="8">
        <f t="shared" si="2914"/>
        <v>20022</v>
      </c>
      <c r="B2089" s="8">
        <v>40000</v>
      </c>
      <c r="C2089" s="8" t="s">
        <v>298</v>
      </c>
      <c r="D2089" s="8">
        <f t="shared" si="2915"/>
        <v>40902061</v>
      </c>
      <c r="E2089" s="8"/>
      <c r="F2089" s="8">
        <v>1</v>
      </c>
      <c r="G2089" s="7">
        <v>291000</v>
      </c>
      <c r="H2089" s="8" t="s">
        <v>299</v>
      </c>
      <c r="I2089" s="8">
        <v>6</v>
      </c>
      <c r="J2089" s="8">
        <v>50</v>
      </c>
      <c r="K2089" s="7" t="s">
        <v>312</v>
      </c>
      <c r="L2089" s="8">
        <v>76</v>
      </c>
      <c r="M2089" s="7">
        <f>IF(INDEX([1]equip.xml!$B:$B,MATCH(D2089,[1]equip.xml!$A:$A,0))=0,0,N2089)</f>
        <v>7</v>
      </c>
      <c r="N2089" s="8">
        <v>7</v>
      </c>
    </row>
    <row r="2090" spans="1:14">
      <c r="A2090" s="8">
        <f t="shared" si="2914"/>
        <v>20022</v>
      </c>
      <c r="B2090" s="8">
        <v>40000</v>
      </c>
      <c r="C2090" s="8" t="s">
        <v>298</v>
      </c>
      <c r="D2090" s="8">
        <f t="shared" si="2915"/>
        <v>40903050</v>
      </c>
      <c r="E2090" s="8"/>
      <c r="F2090" s="8">
        <v>1</v>
      </c>
      <c r="G2090" s="7">
        <v>282000</v>
      </c>
      <c r="H2090" s="8" t="s">
        <v>299</v>
      </c>
      <c r="I2090" s="8">
        <v>6</v>
      </c>
      <c r="J2090" s="8">
        <v>50</v>
      </c>
      <c r="K2090" s="7" t="s">
        <v>312</v>
      </c>
      <c r="L2090" s="8">
        <v>76</v>
      </c>
      <c r="M2090" s="7">
        <f>IF(INDEX([1]equip.xml!$B:$B,MATCH(D2090,[1]equip.xml!$A:$A,0))=0,0,N2090)</f>
        <v>7</v>
      </c>
      <c r="N2090" s="8">
        <v>7</v>
      </c>
    </row>
    <row r="2091" spans="1:14">
      <c r="A2091" s="8">
        <f t="shared" si="2914"/>
        <v>20022</v>
      </c>
      <c r="B2091" s="8">
        <v>40000</v>
      </c>
      <c r="C2091" s="8" t="s">
        <v>298</v>
      </c>
      <c r="D2091" s="8">
        <f t="shared" si="2915"/>
        <v>40903051</v>
      </c>
      <c r="E2091" s="8"/>
      <c r="F2091" s="8">
        <v>1</v>
      </c>
      <c r="G2091" s="7">
        <v>291000</v>
      </c>
      <c r="H2091" s="8" t="s">
        <v>299</v>
      </c>
      <c r="I2091" s="8">
        <v>6</v>
      </c>
      <c r="J2091" s="8">
        <v>50</v>
      </c>
      <c r="K2091" s="7" t="s">
        <v>312</v>
      </c>
      <c r="L2091" s="8">
        <v>76</v>
      </c>
      <c r="M2091" s="7">
        <f>IF(INDEX([1]equip.xml!$B:$B,MATCH(D2091,[1]equip.xml!$A:$A,0))=0,0,N2091)</f>
        <v>7</v>
      </c>
      <c r="N2091" s="8">
        <v>7</v>
      </c>
    </row>
    <row r="2092" spans="1:14">
      <c r="A2092" s="8">
        <f t="shared" si="2914"/>
        <v>20022</v>
      </c>
      <c r="B2092" s="8">
        <v>40000</v>
      </c>
      <c r="C2092" s="8" t="s">
        <v>298</v>
      </c>
      <c r="D2092" s="8">
        <f t="shared" si="2915"/>
        <v>40903060</v>
      </c>
      <c r="E2092" s="8"/>
      <c r="F2092" s="8">
        <v>1</v>
      </c>
      <c r="G2092" s="7">
        <v>282000</v>
      </c>
      <c r="H2092" s="8" t="s">
        <v>299</v>
      </c>
      <c r="I2092" s="8">
        <v>6</v>
      </c>
      <c r="J2092" s="8">
        <v>50</v>
      </c>
      <c r="K2092" s="7" t="s">
        <v>312</v>
      </c>
      <c r="L2092" s="8">
        <v>76</v>
      </c>
      <c r="M2092" s="7">
        <f>IF(INDEX([1]equip.xml!$B:$B,MATCH(D2092,[1]equip.xml!$A:$A,0))=0,0,N2092)</f>
        <v>7</v>
      </c>
      <c r="N2092" s="8">
        <v>7</v>
      </c>
    </row>
    <row r="2093" spans="1:14">
      <c r="A2093" s="8">
        <f t="shared" si="2914"/>
        <v>20022</v>
      </c>
      <c r="B2093" s="8">
        <v>40000</v>
      </c>
      <c r="C2093" s="8" t="s">
        <v>298</v>
      </c>
      <c r="D2093" s="8">
        <f t="shared" si="2915"/>
        <v>40903061</v>
      </c>
      <c r="E2093" s="8"/>
      <c r="F2093" s="8">
        <v>1</v>
      </c>
      <c r="G2093" s="7">
        <v>291000</v>
      </c>
      <c r="H2093" s="8" t="s">
        <v>299</v>
      </c>
      <c r="I2093" s="8">
        <v>6</v>
      </c>
      <c r="J2093" s="8">
        <v>50</v>
      </c>
      <c r="K2093" s="7" t="s">
        <v>312</v>
      </c>
      <c r="L2093" s="8">
        <v>76</v>
      </c>
      <c r="M2093" s="7">
        <f>IF(INDEX([1]equip.xml!$B:$B,MATCH(D2093,[1]equip.xml!$A:$A,0))=0,0,N2093)</f>
        <v>7</v>
      </c>
      <c r="N2093" s="8">
        <v>7</v>
      </c>
    </row>
    <row r="2094" spans="1:14">
      <c r="A2094" s="8">
        <f t="shared" si="2914"/>
        <v>20022</v>
      </c>
      <c r="B2094" s="8">
        <v>40000</v>
      </c>
      <c r="C2094" s="8" t="s">
        <v>298</v>
      </c>
      <c r="D2094" s="8">
        <f t="shared" si="2915"/>
        <v>40900040</v>
      </c>
      <c r="E2094" s="8"/>
      <c r="F2094" s="8">
        <v>1</v>
      </c>
      <c r="G2094" s="7">
        <v>282000</v>
      </c>
      <c r="H2094" s="8" t="s">
        <v>299</v>
      </c>
      <c r="I2094" s="8">
        <v>6</v>
      </c>
      <c r="J2094" s="8">
        <v>50</v>
      </c>
      <c r="K2094" s="7" t="s">
        <v>312</v>
      </c>
      <c r="L2094" s="8">
        <v>76</v>
      </c>
      <c r="M2094" s="7">
        <f>IF(INDEX([1]equip.xml!$B:$B,MATCH(D2094,[1]equip.xml!$A:$A,0))=0,0,N2094)</f>
        <v>7</v>
      </c>
      <c r="N2094" s="8">
        <v>7</v>
      </c>
    </row>
    <row r="2095" spans="1:14">
      <c r="A2095" s="8">
        <f t="shared" si="2914"/>
        <v>20022</v>
      </c>
      <c r="B2095" s="8">
        <v>40000</v>
      </c>
      <c r="C2095" s="8" t="s">
        <v>298</v>
      </c>
      <c r="D2095" s="8">
        <f t="shared" si="2915"/>
        <v>40900041</v>
      </c>
      <c r="E2095" s="8"/>
      <c r="F2095" s="8">
        <v>1</v>
      </c>
      <c r="G2095" s="7">
        <v>291000</v>
      </c>
      <c r="H2095" s="8" t="s">
        <v>299</v>
      </c>
      <c r="I2095" s="8">
        <v>6</v>
      </c>
      <c r="J2095" s="8">
        <v>50</v>
      </c>
      <c r="K2095" s="7" t="s">
        <v>312</v>
      </c>
      <c r="L2095" s="8">
        <v>76</v>
      </c>
      <c r="M2095" s="7">
        <f>IF(INDEX([1]equip.xml!$B:$B,MATCH(D2095,[1]equip.xml!$A:$A,0))=0,0,N2095)</f>
        <v>7</v>
      </c>
      <c r="N2095" s="8">
        <v>7</v>
      </c>
    </row>
    <row r="2096" spans="1:14">
      <c r="A2096" s="8">
        <f t="shared" si="2914"/>
        <v>20022</v>
      </c>
      <c r="B2096" s="8">
        <v>40000</v>
      </c>
      <c r="C2096" s="8" t="s">
        <v>298</v>
      </c>
      <c r="D2096" s="8">
        <f t="shared" si="2915"/>
        <v>40900070</v>
      </c>
      <c r="E2096" s="8"/>
      <c r="F2096" s="8">
        <v>1</v>
      </c>
      <c r="G2096" s="7">
        <v>282000</v>
      </c>
      <c r="H2096" s="8" t="s">
        <v>299</v>
      </c>
      <c r="I2096" s="8">
        <v>6</v>
      </c>
      <c r="J2096" s="8">
        <v>50</v>
      </c>
      <c r="K2096" s="7" t="s">
        <v>312</v>
      </c>
      <c r="L2096" s="8">
        <v>76</v>
      </c>
      <c r="M2096" s="7">
        <f>IF(INDEX([1]equip.xml!$B:$B,MATCH(D2096,[1]equip.xml!$A:$A,0))=0,0,N2096)</f>
        <v>7</v>
      </c>
      <c r="N2096" s="8">
        <v>7</v>
      </c>
    </row>
    <row r="2097" spans="1:14">
      <c r="A2097" s="8">
        <f t="shared" si="2914"/>
        <v>20022</v>
      </c>
      <c r="B2097" s="8">
        <v>40000</v>
      </c>
      <c r="C2097" s="8" t="s">
        <v>298</v>
      </c>
      <c r="D2097" s="8">
        <f t="shared" si="2915"/>
        <v>40900071</v>
      </c>
      <c r="E2097" s="8"/>
      <c r="F2097" s="8">
        <v>1</v>
      </c>
      <c r="G2097" s="7">
        <v>291000</v>
      </c>
      <c r="H2097" s="8" t="s">
        <v>299</v>
      </c>
      <c r="I2097" s="8">
        <v>6</v>
      </c>
      <c r="J2097" s="8">
        <v>50</v>
      </c>
      <c r="K2097" s="7" t="s">
        <v>312</v>
      </c>
      <c r="L2097" s="8">
        <v>76</v>
      </c>
      <c r="M2097" s="7">
        <f>IF(INDEX([1]equip.xml!$B:$B,MATCH(D2097,[1]equip.xml!$A:$A,0))=0,0,N2097)</f>
        <v>7</v>
      </c>
      <c r="N2097" s="8">
        <v>7</v>
      </c>
    </row>
    <row r="2098" spans="1:14">
      <c r="A2098" s="8">
        <f t="shared" si="2914"/>
        <v>20022</v>
      </c>
      <c r="B2098" s="8">
        <v>40000</v>
      </c>
      <c r="C2098" s="8" t="s">
        <v>298</v>
      </c>
      <c r="D2098" s="7">
        <f>D2054+10000005</f>
        <v>50850015</v>
      </c>
      <c r="E2098" s="8"/>
      <c r="F2098" s="8">
        <v>1</v>
      </c>
      <c r="G2098" s="7">
        <v>528000</v>
      </c>
      <c r="H2098" s="8" t="s">
        <v>299</v>
      </c>
      <c r="I2098" s="8">
        <v>1</v>
      </c>
      <c r="J2098" s="8">
        <v>240</v>
      </c>
      <c r="K2098" s="7" t="s">
        <v>312</v>
      </c>
      <c r="L2098" s="8">
        <v>76</v>
      </c>
      <c r="M2098" s="7">
        <f>IF(INDEX([1]equip.xml!$B:$B,MATCH(D2098,[1]equip.xml!$A:$A,0))=0,0,N2098)</f>
        <v>130</v>
      </c>
      <c r="N2098" s="8">
        <f t="shared" ref="N2098:N2154" si="2916">N2054</f>
        <v>130</v>
      </c>
    </row>
    <row r="2099" spans="1:14">
      <c r="A2099" s="8">
        <f t="shared" si="2914"/>
        <v>20022</v>
      </c>
      <c r="B2099" s="8">
        <v>40000</v>
      </c>
      <c r="C2099" s="8" t="s">
        <v>298</v>
      </c>
      <c r="D2099" s="7">
        <f t="shared" ref="D2099:D2141" si="2917">D2055+10000005</f>
        <v>50850025</v>
      </c>
      <c r="E2099" s="8"/>
      <c r="F2099" s="8">
        <v>1</v>
      </c>
      <c r="G2099" s="7">
        <v>528000</v>
      </c>
      <c r="H2099" s="8" t="s">
        <v>299</v>
      </c>
      <c r="I2099" s="8">
        <v>1</v>
      </c>
      <c r="J2099" s="8">
        <v>240</v>
      </c>
      <c r="K2099" s="7" t="s">
        <v>312</v>
      </c>
      <c r="L2099" s="8">
        <v>76</v>
      </c>
      <c r="M2099" s="7">
        <f>IF(INDEX([1]equip.xml!$B:$B,MATCH(D2099,[1]equip.xml!$A:$A,0))=0,0,N2099)</f>
        <v>130</v>
      </c>
      <c r="N2099" s="8">
        <f t="shared" si="2916"/>
        <v>130</v>
      </c>
    </row>
    <row r="2100" spans="1:14">
      <c r="A2100" s="8">
        <f t="shared" si="2914"/>
        <v>20022</v>
      </c>
      <c r="B2100" s="8">
        <v>40000</v>
      </c>
      <c r="C2100" s="8" t="s">
        <v>298</v>
      </c>
      <c r="D2100" s="7">
        <f t="shared" si="2917"/>
        <v>50850035</v>
      </c>
      <c r="E2100" s="8"/>
      <c r="F2100" s="8">
        <v>1</v>
      </c>
      <c r="G2100" s="7">
        <v>528000</v>
      </c>
      <c r="H2100" s="8" t="s">
        <v>299</v>
      </c>
      <c r="I2100" s="8">
        <v>1</v>
      </c>
      <c r="J2100" s="8">
        <v>240</v>
      </c>
      <c r="K2100" s="7" t="s">
        <v>312</v>
      </c>
      <c r="L2100" s="8">
        <v>76</v>
      </c>
      <c r="M2100" s="7">
        <f>IF(INDEX([1]equip.xml!$B:$B,MATCH(D2100,[1]equip.xml!$A:$A,0))=0,0,N2100)</f>
        <v>130</v>
      </c>
      <c r="N2100" s="8">
        <f t="shared" si="2916"/>
        <v>130</v>
      </c>
    </row>
    <row r="2101" spans="1:14">
      <c r="A2101" s="8">
        <f t="shared" si="2914"/>
        <v>20022</v>
      </c>
      <c r="B2101" s="8">
        <v>40000</v>
      </c>
      <c r="C2101" s="8" t="s">
        <v>298</v>
      </c>
      <c r="D2101" s="7">
        <f t="shared" si="2917"/>
        <v>50850085</v>
      </c>
      <c r="E2101" s="8"/>
      <c r="F2101" s="8">
        <v>1</v>
      </c>
      <c r="G2101" s="7">
        <v>528000</v>
      </c>
      <c r="H2101" s="8" t="s">
        <v>299</v>
      </c>
      <c r="I2101" s="8">
        <v>1</v>
      </c>
      <c r="J2101" s="8">
        <v>240</v>
      </c>
      <c r="K2101" s="7" t="s">
        <v>312</v>
      </c>
      <c r="L2101" s="8">
        <v>76</v>
      </c>
      <c r="M2101" s="7">
        <f>IF(INDEX([1]equip.xml!$B:$B,MATCH(D2101,[1]equip.xml!$A:$A,0))=0,0,N2101)</f>
        <v>130</v>
      </c>
      <c r="N2101" s="8">
        <f t="shared" si="2916"/>
        <v>130</v>
      </c>
    </row>
    <row r="2102" spans="1:14">
      <c r="A2102" s="8">
        <f t="shared" si="2914"/>
        <v>20022</v>
      </c>
      <c r="B2102" s="8">
        <v>40000</v>
      </c>
      <c r="C2102" s="8" t="s">
        <v>298</v>
      </c>
      <c r="D2102" s="7">
        <f t="shared" si="2917"/>
        <v>50850095</v>
      </c>
      <c r="E2102" s="8"/>
      <c r="F2102" s="8">
        <v>1</v>
      </c>
      <c r="G2102" s="7">
        <v>528000</v>
      </c>
      <c r="H2102" s="8" t="s">
        <v>299</v>
      </c>
      <c r="I2102" s="8">
        <v>1</v>
      </c>
      <c r="J2102" s="8">
        <v>240</v>
      </c>
      <c r="K2102" s="7" t="s">
        <v>312</v>
      </c>
      <c r="L2102" s="8">
        <v>76</v>
      </c>
      <c r="M2102" s="7">
        <f>IF(INDEX([1]equip.xml!$B:$B,MATCH(D2102,[1]equip.xml!$A:$A,0))=0,0,N2102)</f>
        <v>130</v>
      </c>
      <c r="N2102" s="8">
        <f t="shared" si="2916"/>
        <v>130</v>
      </c>
    </row>
    <row r="2103" spans="1:14">
      <c r="A2103" s="8">
        <f t="shared" si="2914"/>
        <v>20022</v>
      </c>
      <c r="B2103" s="8">
        <v>40000</v>
      </c>
      <c r="C2103" s="8" t="s">
        <v>298</v>
      </c>
      <c r="D2103" s="7">
        <f t="shared" si="2917"/>
        <v>50850105</v>
      </c>
      <c r="E2103" s="8"/>
      <c r="F2103" s="8">
        <v>1</v>
      </c>
      <c r="G2103" s="7">
        <v>528000</v>
      </c>
      <c r="H2103" s="8" t="s">
        <v>299</v>
      </c>
      <c r="I2103" s="8">
        <v>1</v>
      </c>
      <c r="J2103" s="8">
        <v>240</v>
      </c>
      <c r="K2103" s="7" t="s">
        <v>312</v>
      </c>
      <c r="L2103" s="8">
        <v>76</v>
      </c>
      <c r="M2103" s="7">
        <f>IF(INDEX([1]equip.xml!$B:$B,MATCH(D2103,[1]equip.xml!$A:$A,0))=0,0,N2103)</f>
        <v>130</v>
      </c>
      <c r="N2103" s="8">
        <f t="shared" si="2916"/>
        <v>130</v>
      </c>
    </row>
    <row r="2104" spans="1:14">
      <c r="A2104" s="8">
        <f t="shared" si="2914"/>
        <v>20022</v>
      </c>
      <c r="B2104" s="8">
        <v>40000</v>
      </c>
      <c r="C2104" s="8" t="s">
        <v>298</v>
      </c>
      <c r="D2104" s="7">
        <f t="shared" si="2917"/>
        <v>50851055</v>
      </c>
      <c r="E2104" s="8"/>
      <c r="F2104" s="8">
        <v>1</v>
      </c>
      <c r="G2104" s="7">
        <v>528000</v>
      </c>
      <c r="H2104" s="8" t="s">
        <v>299</v>
      </c>
      <c r="I2104" s="8">
        <v>1</v>
      </c>
      <c r="J2104" s="8">
        <v>240</v>
      </c>
      <c r="K2104" s="7" t="s">
        <v>312</v>
      </c>
      <c r="L2104" s="8">
        <v>76</v>
      </c>
      <c r="M2104" s="7">
        <f>IF(INDEX([1]equip.xml!$B:$B,MATCH(D2104,[1]equip.xml!$A:$A,0))=0,0,N2104)</f>
        <v>130</v>
      </c>
      <c r="N2104" s="8">
        <f t="shared" si="2916"/>
        <v>130</v>
      </c>
    </row>
    <row r="2105" spans="1:14">
      <c r="A2105" s="8">
        <f t="shared" si="2914"/>
        <v>20022</v>
      </c>
      <c r="B2105" s="8">
        <v>40000</v>
      </c>
      <c r="C2105" s="8" t="s">
        <v>298</v>
      </c>
      <c r="D2105" s="7">
        <f t="shared" si="2917"/>
        <v>50851056</v>
      </c>
      <c r="E2105" s="8"/>
      <c r="F2105" s="8">
        <v>1</v>
      </c>
      <c r="G2105" s="7">
        <v>546000</v>
      </c>
      <c r="H2105" s="8" t="s">
        <v>299</v>
      </c>
      <c r="I2105" s="8">
        <v>1</v>
      </c>
      <c r="J2105" s="8">
        <v>240</v>
      </c>
      <c r="K2105" s="7" t="s">
        <v>312</v>
      </c>
      <c r="L2105" s="8">
        <v>76</v>
      </c>
      <c r="M2105" s="7">
        <f>IF(INDEX([1]equip.xml!$B:$B,MATCH(D2105,[1]equip.xml!$A:$A,0))=0,0,N2105)</f>
        <v>130</v>
      </c>
      <c r="N2105" s="8">
        <f t="shared" si="2916"/>
        <v>130</v>
      </c>
    </row>
    <row r="2106" spans="1:14">
      <c r="A2106" s="8">
        <f t="shared" si="2914"/>
        <v>20022</v>
      </c>
      <c r="B2106" s="8">
        <v>40000</v>
      </c>
      <c r="C2106" s="8" t="s">
        <v>298</v>
      </c>
      <c r="D2106" s="7">
        <f t="shared" si="2917"/>
        <v>50851065</v>
      </c>
      <c r="E2106" s="8"/>
      <c r="F2106" s="8">
        <v>1</v>
      </c>
      <c r="G2106" s="7">
        <v>528000</v>
      </c>
      <c r="H2106" s="8" t="s">
        <v>299</v>
      </c>
      <c r="I2106" s="8">
        <v>1</v>
      </c>
      <c r="J2106" s="8">
        <v>240</v>
      </c>
      <c r="K2106" s="7" t="s">
        <v>312</v>
      </c>
      <c r="L2106" s="8">
        <v>76</v>
      </c>
      <c r="M2106" s="7">
        <f>IF(INDEX([1]equip.xml!$B:$B,MATCH(D2106,[1]equip.xml!$A:$A,0))=0,0,N2106)</f>
        <v>130</v>
      </c>
      <c r="N2106" s="8">
        <f t="shared" si="2916"/>
        <v>130</v>
      </c>
    </row>
    <row r="2107" spans="1:14">
      <c r="A2107" s="8">
        <f t="shared" si="2914"/>
        <v>20022</v>
      </c>
      <c r="B2107" s="8">
        <v>40000</v>
      </c>
      <c r="C2107" s="8" t="s">
        <v>298</v>
      </c>
      <c r="D2107" s="7">
        <f t="shared" si="2917"/>
        <v>50851066</v>
      </c>
      <c r="E2107" s="8"/>
      <c r="F2107" s="8">
        <v>1</v>
      </c>
      <c r="G2107" s="7">
        <v>546000</v>
      </c>
      <c r="H2107" s="8" t="s">
        <v>299</v>
      </c>
      <c r="I2107" s="8">
        <v>1</v>
      </c>
      <c r="J2107" s="8">
        <v>240</v>
      </c>
      <c r="K2107" s="7" t="s">
        <v>312</v>
      </c>
      <c r="L2107" s="8">
        <v>76</v>
      </c>
      <c r="M2107" s="7">
        <f>IF(INDEX([1]equip.xml!$B:$B,MATCH(D2107,[1]equip.xml!$A:$A,0))=0,0,N2107)</f>
        <v>130</v>
      </c>
      <c r="N2107" s="8">
        <f t="shared" si="2916"/>
        <v>130</v>
      </c>
    </row>
    <row r="2108" spans="1:14">
      <c r="A2108" s="8">
        <f t="shared" si="2914"/>
        <v>20022</v>
      </c>
      <c r="B2108" s="8">
        <v>40000</v>
      </c>
      <c r="C2108" s="8" t="s">
        <v>298</v>
      </c>
      <c r="D2108" s="7">
        <f t="shared" si="2917"/>
        <v>50852055</v>
      </c>
      <c r="E2108" s="8"/>
      <c r="F2108" s="8">
        <v>1</v>
      </c>
      <c r="G2108" s="7">
        <v>528000</v>
      </c>
      <c r="H2108" s="8" t="s">
        <v>299</v>
      </c>
      <c r="I2108" s="8">
        <v>1</v>
      </c>
      <c r="J2108" s="8">
        <v>240</v>
      </c>
      <c r="K2108" s="7" t="s">
        <v>312</v>
      </c>
      <c r="L2108" s="8">
        <v>76</v>
      </c>
      <c r="M2108" s="7">
        <f>IF(INDEX([1]equip.xml!$B:$B,MATCH(D2108,[1]equip.xml!$A:$A,0))=0,0,N2108)</f>
        <v>130</v>
      </c>
      <c r="N2108" s="8">
        <f t="shared" si="2916"/>
        <v>130</v>
      </c>
    </row>
    <row r="2109" spans="1:14">
      <c r="A2109" s="8">
        <f t="shared" si="2914"/>
        <v>20022</v>
      </c>
      <c r="B2109" s="8">
        <v>40000</v>
      </c>
      <c r="C2109" s="8" t="s">
        <v>298</v>
      </c>
      <c r="D2109" s="7">
        <f t="shared" si="2917"/>
        <v>50852056</v>
      </c>
      <c r="E2109" s="8"/>
      <c r="F2109" s="8">
        <v>1</v>
      </c>
      <c r="G2109" s="7">
        <v>546000</v>
      </c>
      <c r="H2109" s="8" t="s">
        <v>299</v>
      </c>
      <c r="I2109" s="8">
        <v>1</v>
      </c>
      <c r="J2109" s="8">
        <v>240</v>
      </c>
      <c r="K2109" s="7" t="s">
        <v>312</v>
      </c>
      <c r="L2109" s="8">
        <v>76</v>
      </c>
      <c r="M2109" s="7">
        <f>IF(INDEX([1]equip.xml!$B:$B,MATCH(D2109,[1]equip.xml!$A:$A,0))=0,0,N2109)</f>
        <v>130</v>
      </c>
      <c r="N2109" s="8">
        <f t="shared" si="2916"/>
        <v>130</v>
      </c>
    </row>
    <row r="2110" spans="1:14">
      <c r="A2110" s="8">
        <f t="shared" si="2914"/>
        <v>20022</v>
      </c>
      <c r="B2110" s="8">
        <v>40000</v>
      </c>
      <c r="C2110" s="8" t="s">
        <v>298</v>
      </c>
      <c r="D2110" s="7">
        <f t="shared" si="2917"/>
        <v>50852065</v>
      </c>
      <c r="E2110" s="8"/>
      <c r="F2110" s="8">
        <v>1</v>
      </c>
      <c r="G2110" s="7">
        <v>528000</v>
      </c>
      <c r="H2110" s="8" t="s">
        <v>299</v>
      </c>
      <c r="I2110" s="8">
        <v>1</v>
      </c>
      <c r="J2110" s="8">
        <v>240</v>
      </c>
      <c r="K2110" s="7" t="s">
        <v>312</v>
      </c>
      <c r="L2110" s="8">
        <v>76</v>
      </c>
      <c r="M2110" s="7">
        <f>IF(INDEX([1]equip.xml!$B:$B,MATCH(D2110,[1]equip.xml!$A:$A,0))=0,0,N2110)</f>
        <v>130</v>
      </c>
      <c r="N2110" s="8">
        <f t="shared" si="2916"/>
        <v>130</v>
      </c>
    </row>
    <row r="2111" spans="1:14">
      <c r="A2111" s="8">
        <f t="shared" ref="A2111:A2174" si="2918">A1583+10000</f>
        <v>20022</v>
      </c>
      <c r="B2111" s="8">
        <v>40000</v>
      </c>
      <c r="C2111" s="8" t="s">
        <v>298</v>
      </c>
      <c r="D2111" s="7">
        <f t="shared" si="2917"/>
        <v>50852066</v>
      </c>
      <c r="E2111" s="8"/>
      <c r="F2111" s="8">
        <v>1</v>
      </c>
      <c r="G2111" s="7">
        <v>546000</v>
      </c>
      <c r="H2111" s="8" t="s">
        <v>299</v>
      </c>
      <c r="I2111" s="8">
        <v>1</v>
      </c>
      <c r="J2111" s="8">
        <v>240</v>
      </c>
      <c r="K2111" s="7" t="s">
        <v>312</v>
      </c>
      <c r="L2111" s="8">
        <v>76</v>
      </c>
      <c r="M2111" s="7">
        <f>IF(INDEX([1]equip.xml!$B:$B,MATCH(D2111,[1]equip.xml!$A:$A,0))=0,0,N2111)</f>
        <v>130</v>
      </c>
      <c r="N2111" s="8">
        <f t="shared" si="2916"/>
        <v>130</v>
      </c>
    </row>
    <row r="2112" spans="1:14">
      <c r="A2112" s="8">
        <f t="shared" si="2918"/>
        <v>20022</v>
      </c>
      <c r="B2112" s="8">
        <v>40000</v>
      </c>
      <c r="C2112" s="8" t="s">
        <v>298</v>
      </c>
      <c r="D2112" s="7">
        <f t="shared" si="2917"/>
        <v>50853055</v>
      </c>
      <c r="E2112" s="8"/>
      <c r="F2112" s="8">
        <v>1</v>
      </c>
      <c r="G2112" s="7">
        <v>528000</v>
      </c>
      <c r="H2112" s="8" t="s">
        <v>299</v>
      </c>
      <c r="I2112" s="8">
        <v>1</v>
      </c>
      <c r="J2112" s="8">
        <v>240</v>
      </c>
      <c r="K2112" s="7" t="s">
        <v>312</v>
      </c>
      <c r="L2112" s="8">
        <v>76</v>
      </c>
      <c r="M2112" s="7">
        <f>IF(INDEX([1]equip.xml!$B:$B,MATCH(D2112,[1]equip.xml!$A:$A,0))=0,0,N2112)</f>
        <v>130</v>
      </c>
      <c r="N2112" s="8">
        <f t="shared" si="2916"/>
        <v>130</v>
      </c>
    </row>
    <row r="2113" spans="1:14">
      <c r="A2113" s="8">
        <f t="shared" si="2918"/>
        <v>20022</v>
      </c>
      <c r="B2113" s="8">
        <v>40000</v>
      </c>
      <c r="C2113" s="8" t="s">
        <v>298</v>
      </c>
      <c r="D2113" s="7">
        <f t="shared" si="2917"/>
        <v>50853056</v>
      </c>
      <c r="E2113" s="8"/>
      <c r="F2113" s="8">
        <v>1</v>
      </c>
      <c r="G2113" s="7">
        <v>546000</v>
      </c>
      <c r="H2113" s="8" t="s">
        <v>299</v>
      </c>
      <c r="I2113" s="8">
        <v>1</v>
      </c>
      <c r="J2113" s="8">
        <v>240</v>
      </c>
      <c r="K2113" s="7" t="s">
        <v>312</v>
      </c>
      <c r="L2113" s="8">
        <v>76</v>
      </c>
      <c r="M2113" s="7">
        <f>IF(INDEX([1]equip.xml!$B:$B,MATCH(D2113,[1]equip.xml!$A:$A,0))=0,0,N2113)</f>
        <v>130</v>
      </c>
      <c r="N2113" s="8">
        <f t="shared" si="2916"/>
        <v>130</v>
      </c>
    </row>
    <row r="2114" spans="1:14">
      <c r="A2114" s="8">
        <f t="shared" si="2918"/>
        <v>20022</v>
      </c>
      <c r="B2114" s="8">
        <v>40000</v>
      </c>
      <c r="C2114" s="8" t="s">
        <v>298</v>
      </c>
      <c r="D2114" s="7">
        <f t="shared" si="2917"/>
        <v>50853065</v>
      </c>
      <c r="E2114" s="8"/>
      <c r="F2114" s="8">
        <v>1</v>
      </c>
      <c r="G2114" s="7">
        <v>528000</v>
      </c>
      <c r="H2114" s="8" t="s">
        <v>299</v>
      </c>
      <c r="I2114" s="8">
        <v>1</v>
      </c>
      <c r="J2114" s="8">
        <v>240</v>
      </c>
      <c r="K2114" s="7" t="s">
        <v>312</v>
      </c>
      <c r="L2114" s="8">
        <v>76</v>
      </c>
      <c r="M2114" s="7">
        <f>IF(INDEX([1]equip.xml!$B:$B,MATCH(D2114,[1]equip.xml!$A:$A,0))=0,0,N2114)</f>
        <v>130</v>
      </c>
      <c r="N2114" s="8">
        <f t="shared" si="2916"/>
        <v>130</v>
      </c>
    </row>
    <row r="2115" spans="1:14">
      <c r="A2115" s="8">
        <f t="shared" si="2918"/>
        <v>20022</v>
      </c>
      <c r="B2115" s="8">
        <v>40000</v>
      </c>
      <c r="C2115" s="8" t="s">
        <v>298</v>
      </c>
      <c r="D2115" s="7">
        <f t="shared" si="2917"/>
        <v>50853066</v>
      </c>
      <c r="E2115" s="8"/>
      <c r="F2115" s="8">
        <v>1</v>
      </c>
      <c r="G2115" s="7">
        <v>546000</v>
      </c>
      <c r="H2115" s="8" t="s">
        <v>299</v>
      </c>
      <c r="I2115" s="8">
        <v>1</v>
      </c>
      <c r="J2115" s="8">
        <v>240</v>
      </c>
      <c r="K2115" s="7" t="s">
        <v>312</v>
      </c>
      <c r="L2115" s="8">
        <v>76</v>
      </c>
      <c r="M2115" s="7">
        <f>IF(INDEX([1]equip.xml!$B:$B,MATCH(D2115,[1]equip.xml!$A:$A,0))=0,0,N2115)</f>
        <v>130</v>
      </c>
      <c r="N2115" s="8">
        <f t="shared" si="2916"/>
        <v>130</v>
      </c>
    </row>
    <row r="2116" spans="1:14">
      <c r="A2116" s="8">
        <f t="shared" si="2918"/>
        <v>20022</v>
      </c>
      <c r="B2116" s="8">
        <v>40000</v>
      </c>
      <c r="C2116" s="8" t="s">
        <v>298</v>
      </c>
      <c r="D2116" s="7">
        <f t="shared" si="2917"/>
        <v>50850045</v>
      </c>
      <c r="E2116" s="8"/>
      <c r="F2116" s="8">
        <v>1</v>
      </c>
      <c r="G2116" s="7">
        <v>528000</v>
      </c>
      <c r="H2116" s="8" t="s">
        <v>299</v>
      </c>
      <c r="I2116" s="8">
        <v>1</v>
      </c>
      <c r="J2116" s="8">
        <v>240</v>
      </c>
      <c r="K2116" s="7" t="s">
        <v>312</v>
      </c>
      <c r="L2116" s="8">
        <v>76</v>
      </c>
      <c r="M2116" s="7">
        <f>IF(INDEX([1]equip.xml!$B:$B,MATCH(D2116,[1]equip.xml!$A:$A,0))=0,0,N2116)</f>
        <v>130</v>
      </c>
      <c r="N2116" s="8">
        <f t="shared" si="2916"/>
        <v>130</v>
      </c>
    </row>
    <row r="2117" spans="1:14">
      <c r="A2117" s="8">
        <f t="shared" si="2918"/>
        <v>20022</v>
      </c>
      <c r="B2117" s="8">
        <v>40000</v>
      </c>
      <c r="C2117" s="8" t="s">
        <v>298</v>
      </c>
      <c r="D2117" s="7">
        <f t="shared" si="2917"/>
        <v>50850046</v>
      </c>
      <c r="E2117" s="8"/>
      <c r="F2117" s="8">
        <v>1</v>
      </c>
      <c r="G2117" s="7">
        <v>546000</v>
      </c>
      <c r="H2117" s="8" t="s">
        <v>299</v>
      </c>
      <c r="I2117" s="8">
        <v>1</v>
      </c>
      <c r="J2117" s="8">
        <v>240</v>
      </c>
      <c r="K2117" s="7" t="s">
        <v>312</v>
      </c>
      <c r="L2117" s="8">
        <v>76</v>
      </c>
      <c r="M2117" s="7">
        <f>IF(INDEX([1]equip.xml!$B:$B,MATCH(D2117,[1]equip.xml!$A:$A,0))=0,0,N2117)</f>
        <v>130</v>
      </c>
      <c r="N2117" s="8">
        <f t="shared" si="2916"/>
        <v>130</v>
      </c>
    </row>
    <row r="2118" spans="1:14">
      <c r="A2118" s="8">
        <f t="shared" si="2918"/>
        <v>20022</v>
      </c>
      <c r="B2118" s="8">
        <v>40000</v>
      </c>
      <c r="C2118" s="8" t="s">
        <v>298</v>
      </c>
      <c r="D2118" s="7">
        <f t="shared" si="2917"/>
        <v>50850075</v>
      </c>
      <c r="E2118" s="8"/>
      <c r="F2118" s="8">
        <v>1</v>
      </c>
      <c r="G2118" s="7">
        <v>528000</v>
      </c>
      <c r="H2118" s="8" t="s">
        <v>299</v>
      </c>
      <c r="I2118" s="8">
        <v>1</v>
      </c>
      <c r="J2118" s="8">
        <v>240</v>
      </c>
      <c r="K2118" s="7" t="s">
        <v>312</v>
      </c>
      <c r="L2118" s="8">
        <v>76</v>
      </c>
      <c r="M2118" s="7">
        <f>IF(INDEX([1]equip.xml!$B:$B,MATCH(D2118,[1]equip.xml!$A:$A,0))=0,0,N2118)</f>
        <v>130</v>
      </c>
      <c r="N2118" s="8">
        <f t="shared" si="2916"/>
        <v>130</v>
      </c>
    </row>
    <row r="2119" spans="1:14">
      <c r="A2119" s="8">
        <f t="shared" si="2918"/>
        <v>20022</v>
      </c>
      <c r="B2119" s="8">
        <v>40000</v>
      </c>
      <c r="C2119" s="8" t="s">
        <v>298</v>
      </c>
      <c r="D2119" s="7">
        <f t="shared" si="2917"/>
        <v>50850076</v>
      </c>
      <c r="E2119" s="8"/>
      <c r="F2119" s="8">
        <v>1</v>
      </c>
      <c r="G2119" s="7">
        <v>546000</v>
      </c>
      <c r="H2119" s="8" t="s">
        <v>299</v>
      </c>
      <c r="I2119" s="8">
        <v>1</v>
      </c>
      <c r="J2119" s="8">
        <v>240</v>
      </c>
      <c r="K2119" s="7" t="s">
        <v>312</v>
      </c>
      <c r="L2119" s="8">
        <v>76</v>
      </c>
      <c r="M2119" s="7">
        <f>IF(INDEX([1]equip.xml!$B:$B,MATCH(D2119,[1]equip.xml!$A:$A,0))=0,0,N2119)</f>
        <v>130</v>
      </c>
      <c r="N2119" s="8">
        <f t="shared" si="2916"/>
        <v>130</v>
      </c>
    </row>
    <row r="2120" spans="1:14">
      <c r="A2120" s="8">
        <f t="shared" si="2918"/>
        <v>20022</v>
      </c>
      <c r="B2120" s="8">
        <v>40000</v>
      </c>
      <c r="C2120" s="8" t="s">
        <v>298</v>
      </c>
      <c r="D2120" s="7">
        <f t="shared" si="2917"/>
        <v>50900015</v>
      </c>
      <c r="E2120" s="8"/>
      <c r="F2120" s="8">
        <v>1</v>
      </c>
      <c r="G2120" s="7">
        <v>564000</v>
      </c>
      <c r="H2120" s="8" t="s">
        <v>299</v>
      </c>
      <c r="I2120" s="8">
        <v>1</v>
      </c>
      <c r="J2120" s="8">
        <v>240</v>
      </c>
      <c r="K2120" s="7" t="s">
        <v>312</v>
      </c>
      <c r="L2120" s="8">
        <v>76</v>
      </c>
      <c r="M2120" s="7">
        <f>IF(INDEX([1]equip.xml!$B:$B,MATCH(D2120,[1]equip.xml!$A:$A,0))=0,0,N2120)</f>
        <v>7</v>
      </c>
      <c r="N2120" s="8">
        <f t="shared" si="2916"/>
        <v>7</v>
      </c>
    </row>
    <row r="2121" spans="1:14">
      <c r="A2121" s="8">
        <f t="shared" si="2918"/>
        <v>20022</v>
      </c>
      <c r="B2121" s="8">
        <v>40000</v>
      </c>
      <c r="C2121" s="8" t="s">
        <v>298</v>
      </c>
      <c r="D2121" s="7">
        <f t="shared" si="2917"/>
        <v>50900025</v>
      </c>
      <c r="E2121" s="8"/>
      <c r="F2121" s="8">
        <v>1</v>
      </c>
      <c r="G2121" s="7">
        <v>564000</v>
      </c>
      <c r="H2121" s="8" t="s">
        <v>299</v>
      </c>
      <c r="I2121" s="8">
        <v>1</v>
      </c>
      <c r="J2121" s="8">
        <v>240</v>
      </c>
      <c r="K2121" s="7" t="s">
        <v>312</v>
      </c>
      <c r="L2121" s="8">
        <v>76</v>
      </c>
      <c r="M2121" s="7">
        <f>IF(INDEX([1]equip.xml!$B:$B,MATCH(D2121,[1]equip.xml!$A:$A,0))=0,0,N2121)</f>
        <v>7</v>
      </c>
      <c r="N2121" s="8">
        <f t="shared" si="2916"/>
        <v>7</v>
      </c>
    </row>
    <row r="2122" spans="1:14">
      <c r="A2122" s="8">
        <f t="shared" si="2918"/>
        <v>20022</v>
      </c>
      <c r="B2122" s="8">
        <v>40000</v>
      </c>
      <c r="C2122" s="8" t="s">
        <v>298</v>
      </c>
      <c r="D2122" s="7">
        <f t="shared" si="2917"/>
        <v>50900035</v>
      </c>
      <c r="E2122" s="8"/>
      <c r="F2122" s="8">
        <v>1</v>
      </c>
      <c r="G2122" s="7">
        <v>564000</v>
      </c>
      <c r="H2122" s="8" t="s">
        <v>299</v>
      </c>
      <c r="I2122" s="8">
        <v>1</v>
      </c>
      <c r="J2122" s="8">
        <v>240</v>
      </c>
      <c r="K2122" s="7" t="s">
        <v>312</v>
      </c>
      <c r="L2122" s="8">
        <v>76</v>
      </c>
      <c r="M2122" s="7">
        <f>IF(INDEX([1]equip.xml!$B:$B,MATCH(D2122,[1]equip.xml!$A:$A,0))=0,0,N2122)</f>
        <v>7</v>
      </c>
      <c r="N2122" s="8">
        <f t="shared" si="2916"/>
        <v>7</v>
      </c>
    </row>
    <row r="2123" spans="1:14">
      <c r="A2123" s="8">
        <f t="shared" si="2918"/>
        <v>20022</v>
      </c>
      <c r="B2123" s="8">
        <v>40000</v>
      </c>
      <c r="C2123" s="8" t="s">
        <v>298</v>
      </c>
      <c r="D2123" s="7">
        <f t="shared" si="2917"/>
        <v>50900085</v>
      </c>
      <c r="E2123" s="8"/>
      <c r="F2123" s="8">
        <v>1</v>
      </c>
      <c r="G2123" s="7">
        <v>564000</v>
      </c>
      <c r="H2123" s="8" t="s">
        <v>299</v>
      </c>
      <c r="I2123" s="8">
        <v>1</v>
      </c>
      <c r="J2123" s="8">
        <v>240</v>
      </c>
      <c r="K2123" s="7" t="s">
        <v>312</v>
      </c>
      <c r="L2123" s="8">
        <v>76</v>
      </c>
      <c r="M2123" s="7">
        <f>IF(INDEX([1]equip.xml!$B:$B,MATCH(D2123,[1]equip.xml!$A:$A,0))=0,0,N2123)</f>
        <v>7</v>
      </c>
      <c r="N2123" s="8">
        <f t="shared" si="2916"/>
        <v>7</v>
      </c>
    </row>
    <row r="2124" spans="1:14">
      <c r="A2124" s="8">
        <f t="shared" si="2918"/>
        <v>20022</v>
      </c>
      <c r="B2124" s="8">
        <v>40000</v>
      </c>
      <c r="C2124" s="8" t="s">
        <v>298</v>
      </c>
      <c r="D2124" s="7">
        <f t="shared" si="2917"/>
        <v>50900095</v>
      </c>
      <c r="E2124" s="8"/>
      <c r="F2124" s="8">
        <v>1</v>
      </c>
      <c r="G2124" s="7">
        <v>564000</v>
      </c>
      <c r="H2124" s="8" t="s">
        <v>299</v>
      </c>
      <c r="I2124" s="8">
        <v>1</v>
      </c>
      <c r="J2124" s="8">
        <v>240</v>
      </c>
      <c r="K2124" s="7" t="s">
        <v>312</v>
      </c>
      <c r="L2124" s="8">
        <v>76</v>
      </c>
      <c r="M2124" s="7">
        <f>IF(INDEX([1]equip.xml!$B:$B,MATCH(D2124,[1]equip.xml!$A:$A,0))=0,0,N2124)</f>
        <v>7</v>
      </c>
      <c r="N2124" s="8">
        <f t="shared" si="2916"/>
        <v>7</v>
      </c>
    </row>
    <row r="2125" spans="1:14">
      <c r="A2125" s="8">
        <f t="shared" si="2918"/>
        <v>20022</v>
      </c>
      <c r="B2125" s="8">
        <v>40000</v>
      </c>
      <c r="C2125" s="8" t="s">
        <v>298</v>
      </c>
      <c r="D2125" s="7">
        <f t="shared" si="2917"/>
        <v>50900105</v>
      </c>
      <c r="E2125" s="8"/>
      <c r="F2125" s="8">
        <v>1</v>
      </c>
      <c r="G2125" s="7">
        <v>564000</v>
      </c>
      <c r="H2125" s="8" t="s">
        <v>299</v>
      </c>
      <c r="I2125" s="8">
        <v>1</v>
      </c>
      <c r="J2125" s="8">
        <v>240</v>
      </c>
      <c r="K2125" s="7" t="s">
        <v>312</v>
      </c>
      <c r="L2125" s="8">
        <v>76</v>
      </c>
      <c r="M2125" s="7">
        <f>IF(INDEX([1]equip.xml!$B:$B,MATCH(D2125,[1]equip.xml!$A:$A,0))=0,0,N2125)</f>
        <v>7</v>
      </c>
      <c r="N2125" s="8">
        <f t="shared" si="2916"/>
        <v>7</v>
      </c>
    </row>
    <row r="2126" spans="1:14">
      <c r="A2126" s="8">
        <f t="shared" si="2918"/>
        <v>20022</v>
      </c>
      <c r="B2126" s="8">
        <v>40000</v>
      </c>
      <c r="C2126" s="8" t="s">
        <v>298</v>
      </c>
      <c r="D2126" s="7">
        <f t="shared" si="2917"/>
        <v>50901055</v>
      </c>
      <c r="E2126" s="8"/>
      <c r="F2126" s="8">
        <v>1</v>
      </c>
      <c r="G2126" s="7">
        <v>564000</v>
      </c>
      <c r="H2126" s="8" t="s">
        <v>299</v>
      </c>
      <c r="I2126" s="8">
        <v>1</v>
      </c>
      <c r="J2126" s="8">
        <v>240</v>
      </c>
      <c r="K2126" s="7" t="s">
        <v>312</v>
      </c>
      <c r="L2126" s="8">
        <v>76</v>
      </c>
      <c r="M2126" s="7">
        <f>IF(INDEX([1]equip.xml!$B:$B,MATCH(D2126,[1]equip.xml!$A:$A,0))=0,0,N2126)</f>
        <v>7</v>
      </c>
      <c r="N2126" s="8">
        <f t="shared" si="2916"/>
        <v>7</v>
      </c>
    </row>
    <row r="2127" spans="1:14">
      <c r="A2127" s="8">
        <f t="shared" si="2918"/>
        <v>20022</v>
      </c>
      <c r="B2127" s="8">
        <v>40000</v>
      </c>
      <c r="C2127" s="8" t="s">
        <v>298</v>
      </c>
      <c r="D2127" s="7">
        <f t="shared" si="2917"/>
        <v>50901056</v>
      </c>
      <c r="E2127" s="8"/>
      <c r="F2127" s="8">
        <v>1</v>
      </c>
      <c r="G2127" s="7">
        <v>582000</v>
      </c>
      <c r="H2127" s="8" t="s">
        <v>299</v>
      </c>
      <c r="I2127" s="8">
        <v>1</v>
      </c>
      <c r="J2127" s="8">
        <v>240</v>
      </c>
      <c r="K2127" s="7" t="s">
        <v>312</v>
      </c>
      <c r="L2127" s="8">
        <v>76</v>
      </c>
      <c r="M2127" s="7">
        <f>IF(INDEX([1]equip.xml!$B:$B,MATCH(D2127,[1]equip.xml!$A:$A,0))=0,0,N2127)</f>
        <v>7</v>
      </c>
      <c r="N2127" s="8">
        <f t="shared" si="2916"/>
        <v>7</v>
      </c>
    </row>
    <row r="2128" spans="1:14">
      <c r="A2128" s="8">
        <f t="shared" si="2918"/>
        <v>20022</v>
      </c>
      <c r="B2128" s="8">
        <v>40000</v>
      </c>
      <c r="C2128" s="8" t="s">
        <v>298</v>
      </c>
      <c r="D2128" s="7">
        <f t="shared" si="2917"/>
        <v>50901065</v>
      </c>
      <c r="E2128" s="8"/>
      <c r="F2128" s="8">
        <v>1</v>
      </c>
      <c r="G2128" s="7">
        <v>564000</v>
      </c>
      <c r="H2128" s="8" t="s">
        <v>299</v>
      </c>
      <c r="I2128" s="8">
        <v>1</v>
      </c>
      <c r="J2128" s="8">
        <v>240</v>
      </c>
      <c r="K2128" s="7" t="s">
        <v>312</v>
      </c>
      <c r="L2128" s="8">
        <v>76</v>
      </c>
      <c r="M2128" s="7">
        <f>IF(INDEX([1]equip.xml!$B:$B,MATCH(D2128,[1]equip.xml!$A:$A,0))=0,0,N2128)</f>
        <v>7</v>
      </c>
      <c r="N2128" s="8">
        <f t="shared" si="2916"/>
        <v>7</v>
      </c>
    </row>
    <row r="2129" spans="1:14">
      <c r="A2129" s="8">
        <f t="shared" si="2918"/>
        <v>20022</v>
      </c>
      <c r="B2129" s="8">
        <v>40000</v>
      </c>
      <c r="C2129" s="8" t="s">
        <v>298</v>
      </c>
      <c r="D2129" s="7">
        <f t="shared" si="2917"/>
        <v>50901066</v>
      </c>
      <c r="E2129" s="8"/>
      <c r="F2129" s="8">
        <v>1</v>
      </c>
      <c r="G2129" s="7">
        <v>582000</v>
      </c>
      <c r="H2129" s="8" t="s">
        <v>299</v>
      </c>
      <c r="I2129" s="8">
        <v>1</v>
      </c>
      <c r="J2129" s="8">
        <v>240</v>
      </c>
      <c r="K2129" s="7" t="s">
        <v>312</v>
      </c>
      <c r="L2129" s="8">
        <v>76</v>
      </c>
      <c r="M2129" s="7">
        <f>IF(INDEX([1]equip.xml!$B:$B,MATCH(D2129,[1]equip.xml!$A:$A,0))=0,0,N2129)</f>
        <v>7</v>
      </c>
      <c r="N2129" s="8">
        <f t="shared" si="2916"/>
        <v>7</v>
      </c>
    </row>
    <row r="2130" spans="1:14">
      <c r="A2130" s="8">
        <f t="shared" si="2918"/>
        <v>20022</v>
      </c>
      <c r="B2130" s="8">
        <v>40000</v>
      </c>
      <c r="C2130" s="8" t="s">
        <v>298</v>
      </c>
      <c r="D2130" s="7">
        <f t="shared" si="2917"/>
        <v>50902055</v>
      </c>
      <c r="E2130" s="8"/>
      <c r="F2130" s="8">
        <v>1</v>
      </c>
      <c r="G2130" s="7">
        <v>564000</v>
      </c>
      <c r="H2130" s="8" t="s">
        <v>299</v>
      </c>
      <c r="I2130" s="8">
        <v>1</v>
      </c>
      <c r="J2130" s="8">
        <v>240</v>
      </c>
      <c r="K2130" s="7" t="s">
        <v>312</v>
      </c>
      <c r="L2130" s="8">
        <v>76</v>
      </c>
      <c r="M2130" s="7">
        <f>IF(INDEX([1]equip.xml!$B:$B,MATCH(D2130,[1]equip.xml!$A:$A,0))=0,0,N2130)</f>
        <v>7</v>
      </c>
      <c r="N2130" s="8">
        <f t="shared" si="2916"/>
        <v>7</v>
      </c>
    </row>
    <row r="2131" spans="1:14">
      <c r="A2131" s="8">
        <f t="shared" si="2918"/>
        <v>20022</v>
      </c>
      <c r="B2131" s="8">
        <v>40000</v>
      </c>
      <c r="C2131" s="8" t="s">
        <v>298</v>
      </c>
      <c r="D2131" s="7">
        <f t="shared" si="2917"/>
        <v>50902056</v>
      </c>
      <c r="E2131" s="8"/>
      <c r="F2131" s="8">
        <v>1</v>
      </c>
      <c r="G2131" s="7">
        <v>582000</v>
      </c>
      <c r="H2131" s="8" t="s">
        <v>299</v>
      </c>
      <c r="I2131" s="8">
        <v>1</v>
      </c>
      <c r="J2131" s="8">
        <v>240</v>
      </c>
      <c r="K2131" s="7" t="s">
        <v>312</v>
      </c>
      <c r="L2131" s="8">
        <v>76</v>
      </c>
      <c r="M2131" s="7">
        <f>IF(INDEX([1]equip.xml!$B:$B,MATCH(D2131,[1]equip.xml!$A:$A,0))=0,0,N2131)</f>
        <v>7</v>
      </c>
      <c r="N2131" s="8">
        <f t="shared" si="2916"/>
        <v>7</v>
      </c>
    </row>
    <row r="2132" spans="1:14">
      <c r="A2132" s="8">
        <f t="shared" si="2918"/>
        <v>20022</v>
      </c>
      <c r="B2132" s="8">
        <v>40000</v>
      </c>
      <c r="C2132" s="8" t="s">
        <v>298</v>
      </c>
      <c r="D2132" s="7">
        <f t="shared" si="2917"/>
        <v>50902065</v>
      </c>
      <c r="E2132" s="8"/>
      <c r="F2132" s="8">
        <v>1</v>
      </c>
      <c r="G2132" s="7">
        <v>564000</v>
      </c>
      <c r="H2132" s="8" t="s">
        <v>299</v>
      </c>
      <c r="I2132" s="8">
        <v>1</v>
      </c>
      <c r="J2132" s="8">
        <v>240</v>
      </c>
      <c r="K2132" s="7" t="s">
        <v>312</v>
      </c>
      <c r="L2132" s="8">
        <v>76</v>
      </c>
      <c r="M2132" s="7">
        <f>IF(INDEX([1]equip.xml!$B:$B,MATCH(D2132,[1]equip.xml!$A:$A,0))=0,0,N2132)</f>
        <v>7</v>
      </c>
      <c r="N2132" s="8">
        <f t="shared" si="2916"/>
        <v>7</v>
      </c>
    </row>
    <row r="2133" spans="1:14">
      <c r="A2133" s="8">
        <f t="shared" si="2918"/>
        <v>20022</v>
      </c>
      <c r="B2133" s="8">
        <v>40000</v>
      </c>
      <c r="C2133" s="8" t="s">
        <v>298</v>
      </c>
      <c r="D2133" s="7">
        <f t="shared" si="2917"/>
        <v>50902066</v>
      </c>
      <c r="E2133" s="8"/>
      <c r="F2133" s="8">
        <v>1</v>
      </c>
      <c r="G2133" s="7">
        <v>582000</v>
      </c>
      <c r="H2133" s="8" t="s">
        <v>299</v>
      </c>
      <c r="I2133" s="8">
        <v>1</v>
      </c>
      <c r="J2133" s="8">
        <v>240</v>
      </c>
      <c r="K2133" s="7" t="s">
        <v>312</v>
      </c>
      <c r="L2133" s="8">
        <v>76</v>
      </c>
      <c r="M2133" s="7">
        <f>IF(INDEX([1]equip.xml!$B:$B,MATCH(D2133,[1]equip.xml!$A:$A,0))=0,0,N2133)</f>
        <v>7</v>
      </c>
      <c r="N2133" s="8">
        <f t="shared" si="2916"/>
        <v>7</v>
      </c>
    </row>
    <row r="2134" spans="1:14">
      <c r="A2134" s="8">
        <f t="shared" si="2918"/>
        <v>20022</v>
      </c>
      <c r="B2134" s="8">
        <v>40000</v>
      </c>
      <c r="C2134" s="8" t="s">
        <v>298</v>
      </c>
      <c r="D2134" s="7">
        <f t="shared" si="2917"/>
        <v>50903055</v>
      </c>
      <c r="E2134" s="8"/>
      <c r="F2134" s="8">
        <v>1</v>
      </c>
      <c r="G2134" s="7">
        <v>564000</v>
      </c>
      <c r="H2134" s="8" t="s">
        <v>299</v>
      </c>
      <c r="I2134" s="8">
        <v>1</v>
      </c>
      <c r="J2134" s="8">
        <v>240</v>
      </c>
      <c r="K2134" s="7" t="s">
        <v>312</v>
      </c>
      <c r="L2134" s="8">
        <v>76</v>
      </c>
      <c r="M2134" s="7">
        <f>IF(INDEX([1]equip.xml!$B:$B,MATCH(D2134,[1]equip.xml!$A:$A,0))=0,0,N2134)</f>
        <v>7</v>
      </c>
      <c r="N2134" s="8">
        <f t="shared" si="2916"/>
        <v>7</v>
      </c>
    </row>
    <row r="2135" spans="1:14">
      <c r="A2135" s="8">
        <f t="shared" si="2918"/>
        <v>20022</v>
      </c>
      <c r="B2135" s="8">
        <v>40000</v>
      </c>
      <c r="C2135" s="8" t="s">
        <v>298</v>
      </c>
      <c r="D2135" s="7">
        <f t="shared" si="2917"/>
        <v>50903056</v>
      </c>
      <c r="E2135" s="8"/>
      <c r="F2135" s="8">
        <v>1</v>
      </c>
      <c r="G2135" s="7">
        <v>582000</v>
      </c>
      <c r="H2135" s="8" t="s">
        <v>299</v>
      </c>
      <c r="I2135" s="8">
        <v>1</v>
      </c>
      <c r="J2135" s="8">
        <v>240</v>
      </c>
      <c r="K2135" s="7" t="s">
        <v>312</v>
      </c>
      <c r="L2135" s="8">
        <v>76</v>
      </c>
      <c r="M2135" s="7">
        <f>IF(INDEX([1]equip.xml!$B:$B,MATCH(D2135,[1]equip.xml!$A:$A,0))=0,0,N2135)</f>
        <v>7</v>
      </c>
      <c r="N2135" s="8">
        <f t="shared" si="2916"/>
        <v>7</v>
      </c>
    </row>
    <row r="2136" spans="1:14">
      <c r="A2136" s="8">
        <f t="shared" si="2918"/>
        <v>20022</v>
      </c>
      <c r="B2136" s="8">
        <v>40000</v>
      </c>
      <c r="C2136" s="8" t="s">
        <v>298</v>
      </c>
      <c r="D2136" s="7">
        <f t="shared" si="2917"/>
        <v>50903065</v>
      </c>
      <c r="E2136" s="8"/>
      <c r="F2136" s="8">
        <v>1</v>
      </c>
      <c r="G2136" s="7">
        <v>564000</v>
      </c>
      <c r="H2136" s="8" t="s">
        <v>299</v>
      </c>
      <c r="I2136" s="8">
        <v>1</v>
      </c>
      <c r="J2136" s="8">
        <v>240</v>
      </c>
      <c r="K2136" s="7" t="s">
        <v>312</v>
      </c>
      <c r="L2136" s="8">
        <v>76</v>
      </c>
      <c r="M2136" s="7">
        <f>IF(INDEX([1]equip.xml!$B:$B,MATCH(D2136,[1]equip.xml!$A:$A,0))=0,0,N2136)</f>
        <v>7</v>
      </c>
      <c r="N2136" s="8">
        <f t="shared" si="2916"/>
        <v>7</v>
      </c>
    </row>
    <row r="2137" spans="1:14">
      <c r="A2137" s="8">
        <f t="shared" si="2918"/>
        <v>20022</v>
      </c>
      <c r="B2137" s="8">
        <v>40000</v>
      </c>
      <c r="C2137" s="8" t="s">
        <v>298</v>
      </c>
      <c r="D2137" s="7">
        <f t="shared" si="2917"/>
        <v>50903066</v>
      </c>
      <c r="E2137" s="8"/>
      <c r="F2137" s="8">
        <v>1</v>
      </c>
      <c r="G2137" s="7">
        <v>582000</v>
      </c>
      <c r="H2137" s="8" t="s">
        <v>299</v>
      </c>
      <c r="I2137" s="8">
        <v>1</v>
      </c>
      <c r="J2137" s="8">
        <v>240</v>
      </c>
      <c r="K2137" s="7" t="s">
        <v>312</v>
      </c>
      <c r="L2137" s="8">
        <v>76</v>
      </c>
      <c r="M2137" s="7">
        <f>IF(INDEX([1]equip.xml!$B:$B,MATCH(D2137,[1]equip.xml!$A:$A,0))=0,0,N2137)</f>
        <v>7</v>
      </c>
      <c r="N2137" s="8">
        <f t="shared" si="2916"/>
        <v>7</v>
      </c>
    </row>
    <row r="2138" spans="1:14">
      <c r="A2138" s="8">
        <f t="shared" si="2918"/>
        <v>20022</v>
      </c>
      <c r="B2138" s="8">
        <v>40000</v>
      </c>
      <c r="C2138" s="8" t="s">
        <v>298</v>
      </c>
      <c r="D2138" s="7">
        <f t="shared" si="2917"/>
        <v>50900045</v>
      </c>
      <c r="E2138" s="8"/>
      <c r="F2138" s="8">
        <v>1</v>
      </c>
      <c r="G2138" s="7">
        <v>564000</v>
      </c>
      <c r="H2138" s="8" t="s">
        <v>299</v>
      </c>
      <c r="I2138" s="8">
        <v>1</v>
      </c>
      <c r="J2138" s="8">
        <v>240</v>
      </c>
      <c r="K2138" s="7" t="s">
        <v>312</v>
      </c>
      <c r="L2138" s="8">
        <v>76</v>
      </c>
      <c r="M2138" s="7">
        <f>IF(INDEX([1]equip.xml!$B:$B,MATCH(D2138,[1]equip.xml!$A:$A,0))=0,0,N2138)</f>
        <v>7</v>
      </c>
      <c r="N2138" s="8">
        <f t="shared" si="2916"/>
        <v>7</v>
      </c>
    </row>
    <row r="2139" spans="1:14">
      <c r="A2139" s="8">
        <f t="shared" si="2918"/>
        <v>20022</v>
      </c>
      <c r="B2139" s="8">
        <v>40000</v>
      </c>
      <c r="C2139" s="8" t="s">
        <v>298</v>
      </c>
      <c r="D2139" s="7">
        <f t="shared" si="2917"/>
        <v>50900046</v>
      </c>
      <c r="E2139" s="8"/>
      <c r="F2139" s="8">
        <v>1</v>
      </c>
      <c r="G2139" s="7">
        <v>582000</v>
      </c>
      <c r="H2139" s="8" t="s">
        <v>299</v>
      </c>
      <c r="I2139" s="8">
        <v>1</v>
      </c>
      <c r="J2139" s="8">
        <v>240</v>
      </c>
      <c r="K2139" s="7" t="s">
        <v>312</v>
      </c>
      <c r="L2139" s="8">
        <v>76</v>
      </c>
      <c r="M2139" s="7">
        <f>IF(INDEX([1]equip.xml!$B:$B,MATCH(D2139,[1]equip.xml!$A:$A,0))=0,0,N2139)</f>
        <v>7</v>
      </c>
      <c r="N2139" s="8">
        <f t="shared" si="2916"/>
        <v>7</v>
      </c>
    </row>
    <row r="2140" spans="1:14">
      <c r="A2140" s="8">
        <f t="shared" si="2918"/>
        <v>20022</v>
      </c>
      <c r="B2140" s="8">
        <v>40000</v>
      </c>
      <c r="C2140" s="8" t="s">
        <v>298</v>
      </c>
      <c r="D2140" s="7">
        <f t="shared" si="2917"/>
        <v>50900075</v>
      </c>
      <c r="E2140" s="8"/>
      <c r="F2140" s="8">
        <v>1</v>
      </c>
      <c r="G2140" s="7">
        <v>564000</v>
      </c>
      <c r="H2140" s="8" t="s">
        <v>299</v>
      </c>
      <c r="I2140" s="8">
        <v>1</v>
      </c>
      <c r="J2140" s="8">
        <v>240</v>
      </c>
      <c r="K2140" s="7" t="s">
        <v>312</v>
      </c>
      <c r="L2140" s="8">
        <v>76</v>
      </c>
      <c r="M2140" s="7">
        <f>IF(INDEX([1]equip.xml!$B:$B,MATCH(D2140,[1]equip.xml!$A:$A,0))=0,0,N2140)</f>
        <v>7</v>
      </c>
      <c r="N2140" s="8">
        <f t="shared" si="2916"/>
        <v>7</v>
      </c>
    </row>
    <row r="2141" spans="1:14">
      <c r="A2141" s="8">
        <f t="shared" si="2918"/>
        <v>20022</v>
      </c>
      <c r="B2141" s="8">
        <v>40000</v>
      </c>
      <c r="C2141" s="8" t="s">
        <v>298</v>
      </c>
      <c r="D2141" s="7">
        <f t="shared" si="2917"/>
        <v>50900076</v>
      </c>
      <c r="E2141" s="8"/>
      <c r="F2141" s="8">
        <v>1</v>
      </c>
      <c r="G2141" s="7">
        <v>582000</v>
      </c>
      <c r="H2141" s="8" t="s">
        <v>299</v>
      </c>
      <c r="I2141" s="8">
        <v>1</v>
      </c>
      <c r="J2141" s="8">
        <v>240</v>
      </c>
      <c r="K2141" s="7" t="s">
        <v>312</v>
      </c>
      <c r="L2141" s="8">
        <v>76</v>
      </c>
      <c r="M2141" s="7">
        <f>IF(INDEX([1]equip.xml!$B:$B,MATCH(D2141,[1]equip.xml!$A:$A,0))=0,0,N2141)</f>
        <v>7</v>
      </c>
      <c r="N2141" s="8">
        <f t="shared" si="2916"/>
        <v>7</v>
      </c>
    </row>
    <row r="2142" spans="1:14">
      <c r="A2142" s="8">
        <f t="shared" si="2918"/>
        <v>20023</v>
      </c>
      <c r="B2142" s="8">
        <v>40000</v>
      </c>
      <c r="C2142" s="8" t="s">
        <v>298</v>
      </c>
      <c r="D2142" s="8">
        <f t="shared" ref="D2142:D2185" si="2919">D2054+50000</f>
        <v>40900010</v>
      </c>
      <c r="E2142" s="8"/>
      <c r="F2142" s="8">
        <v>1</v>
      </c>
      <c r="G2142" s="7">
        <v>282000</v>
      </c>
      <c r="H2142" s="8" t="s">
        <v>299</v>
      </c>
      <c r="I2142" s="8">
        <v>6</v>
      </c>
      <c r="J2142" s="8">
        <v>50</v>
      </c>
      <c r="K2142" s="7" t="s">
        <v>312</v>
      </c>
      <c r="L2142" s="8">
        <v>76</v>
      </c>
      <c r="M2142" s="7">
        <f>IF(INDEX([1]equip.xml!$B:$B,MATCH(D2142,[1]equip.xml!$A:$A,0))=0,0,N2142)</f>
        <v>130</v>
      </c>
      <c r="N2142" s="8">
        <f t="shared" si="2916"/>
        <v>130</v>
      </c>
    </row>
    <row r="2143" spans="1:14">
      <c r="A2143" s="8">
        <f t="shared" si="2918"/>
        <v>20023</v>
      </c>
      <c r="B2143" s="8">
        <v>40000</v>
      </c>
      <c r="C2143" s="8" t="s">
        <v>298</v>
      </c>
      <c r="D2143" s="8">
        <f t="shared" si="2919"/>
        <v>40900020</v>
      </c>
      <c r="E2143" s="8"/>
      <c r="F2143" s="8">
        <v>1</v>
      </c>
      <c r="G2143" s="7">
        <v>282000</v>
      </c>
      <c r="H2143" s="8" t="s">
        <v>299</v>
      </c>
      <c r="I2143" s="8">
        <v>6</v>
      </c>
      <c r="J2143" s="8">
        <v>50</v>
      </c>
      <c r="K2143" s="7" t="s">
        <v>312</v>
      </c>
      <c r="L2143" s="8">
        <v>76</v>
      </c>
      <c r="M2143" s="7">
        <f>IF(INDEX([1]equip.xml!$B:$B,MATCH(D2143,[1]equip.xml!$A:$A,0))=0,0,N2143)</f>
        <v>130</v>
      </c>
      <c r="N2143" s="8">
        <f t="shared" si="2916"/>
        <v>130</v>
      </c>
    </row>
    <row r="2144" spans="1:14">
      <c r="A2144" s="8">
        <f t="shared" si="2918"/>
        <v>20023</v>
      </c>
      <c r="B2144" s="8">
        <v>40000</v>
      </c>
      <c r="C2144" s="8" t="s">
        <v>298</v>
      </c>
      <c r="D2144" s="8">
        <f t="shared" si="2919"/>
        <v>40900030</v>
      </c>
      <c r="E2144" s="8"/>
      <c r="F2144" s="8">
        <v>1</v>
      </c>
      <c r="G2144" s="7">
        <v>282000</v>
      </c>
      <c r="H2144" s="8" t="s">
        <v>299</v>
      </c>
      <c r="I2144" s="8">
        <v>6</v>
      </c>
      <c r="J2144" s="8">
        <v>50</v>
      </c>
      <c r="K2144" s="7" t="s">
        <v>312</v>
      </c>
      <c r="L2144" s="8">
        <v>76</v>
      </c>
      <c r="M2144" s="7">
        <f>IF(INDEX([1]equip.xml!$B:$B,MATCH(D2144,[1]equip.xml!$A:$A,0))=0,0,N2144)</f>
        <v>130</v>
      </c>
      <c r="N2144" s="8">
        <f t="shared" si="2916"/>
        <v>130</v>
      </c>
    </row>
    <row r="2145" spans="1:14">
      <c r="A2145" s="8">
        <f t="shared" si="2918"/>
        <v>20023</v>
      </c>
      <c r="B2145" s="8">
        <v>40000</v>
      </c>
      <c r="C2145" s="8" t="s">
        <v>298</v>
      </c>
      <c r="D2145" s="8">
        <f t="shared" si="2919"/>
        <v>40900080</v>
      </c>
      <c r="E2145" s="8"/>
      <c r="F2145" s="8">
        <v>1</v>
      </c>
      <c r="G2145" s="7">
        <v>282000</v>
      </c>
      <c r="H2145" s="8" t="s">
        <v>299</v>
      </c>
      <c r="I2145" s="8">
        <v>6</v>
      </c>
      <c r="J2145" s="8">
        <v>50</v>
      </c>
      <c r="K2145" s="7" t="s">
        <v>312</v>
      </c>
      <c r="L2145" s="8">
        <v>76</v>
      </c>
      <c r="M2145" s="7">
        <f>IF(INDEX([1]equip.xml!$B:$B,MATCH(D2145,[1]equip.xml!$A:$A,0))=0,0,N2145)</f>
        <v>130</v>
      </c>
      <c r="N2145" s="8">
        <f t="shared" si="2916"/>
        <v>130</v>
      </c>
    </row>
    <row r="2146" spans="1:14">
      <c r="A2146" s="8">
        <f t="shared" si="2918"/>
        <v>20023</v>
      </c>
      <c r="B2146" s="8">
        <v>40000</v>
      </c>
      <c r="C2146" s="8" t="s">
        <v>298</v>
      </c>
      <c r="D2146" s="8">
        <f t="shared" si="2919"/>
        <v>40900090</v>
      </c>
      <c r="E2146" s="8"/>
      <c r="F2146" s="8">
        <v>1</v>
      </c>
      <c r="G2146" s="7">
        <v>282000</v>
      </c>
      <c r="H2146" s="8" t="s">
        <v>299</v>
      </c>
      <c r="I2146" s="8">
        <v>6</v>
      </c>
      <c r="J2146" s="8">
        <v>50</v>
      </c>
      <c r="K2146" s="7" t="s">
        <v>312</v>
      </c>
      <c r="L2146" s="8">
        <v>76</v>
      </c>
      <c r="M2146" s="7">
        <f>IF(INDEX([1]equip.xml!$B:$B,MATCH(D2146,[1]equip.xml!$A:$A,0))=0,0,N2146)</f>
        <v>130</v>
      </c>
      <c r="N2146" s="8">
        <f t="shared" si="2916"/>
        <v>130</v>
      </c>
    </row>
    <row r="2147" spans="1:14">
      <c r="A2147" s="8">
        <f t="shared" si="2918"/>
        <v>20023</v>
      </c>
      <c r="B2147" s="8">
        <v>40000</v>
      </c>
      <c r="C2147" s="8" t="s">
        <v>298</v>
      </c>
      <c r="D2147" s="8">
        <f t="shared" si="2919"/>
        <v>40900100</v>
      </c>
      <c r="E2147" s="8"/>
      <c r="F2147" s="8">
        <v>1</v>
      </c>
      <c r="G2147" s="7">
        <v>282000</v>
      </c>
      <c r="H2147" s="8" t="s">
        <v>299</v>
      </c>
      <c r="I2147" s="8">
        <v>6</v>
      </c>
      <c r="J2147" s="8">
        <v>50</v>
      </c>
      <c r="K2147" s="7" t="s">
        <v>312</v>
      </c>
      <c r="L2147" s="8">
        <v>76</v>
      </c>
      <c r="M2147" s="7">
        <f>IF(INDEX([1]equip.xml!$B:$B,MATCH(D2147,[1]equip.xml!$A:$A,0))=0,0,N2147)</f>
        <v>130</v>
      </c>
      <c r="N2147" s="8">
        <f t="shared" si="2916"/>
        <v>130</v>
      </c>
    </row>
    <row r="2148" spans="1:14">
      <c r="A2148" s="8">
        <f t="shared" si="2918"/>
        <v>20023</v>
      </c>
      <c r="B2148" s="8">
        <v>40000</v>
      </c>
      <c r="C2148" s="8" t="s">
        <v>298</v>
      </c>
      <c r="D2148" s="8">
        <f t="shared" si="2919"/>
        <v>40901050</v>
      </c>
      <c r="E2148" s="8"/>
      <c r="F2148" s="8">
        <v>1</v>
      </c>
      <c r="G2148" s="7">
        <v>282000</v>
      </c>
      <c r="H2148" s="8" t="s">
        <v>299</v>
      </c>
      <c r="I2148" s="8">
        <v>6</v>
      </c>
      <c r="J2148" s="8">
        <v>50</v>
      </c>
      <c r="K2148" s="7" t="s">
        <v>312</v>
      </c>
      <c r="L2148" s="8">
        <v>76</v>
      </c>
      <c r="M2148" s="7">
        <f>IF(INDEX([1]equip.xml!$B:$B,MATCH(D2148,[1]equip.xml!$A:$A,0))=0,0,N2148)</f>
        <v>130</v>
      </c>
      <c r="N2148" s="8">
        <f t="shared" si="2916"/>
        <v>130</v>
      </c>
    </row>
    <row r="2149" spans="1:14">
      <c r="A2149" s="8">
        <f t="shared" si="2918"/>
        <v>20023</v>
      </c>
      <c r="B2149" s="8">
        <v>40000</v>
      </c>
      <c r="C2149" s="8" t="s">
        <v>298</v>
      </c>
      <c r="D2149" s="8">
        <f t="shared" si="2919"/>
        <v>40901051</v>
      </c>
      <c r="E2149" s="8"/>
      <c r="F2149" s="8">
        <v>1</v>
      </c>
      <c r="G2149" s="7">
        <v>291000</v>
      </c>
      <c r="H2149" s="8" t="s">
        <v>299</v>
      </c>
      <c r="I2149" s="8">
        <v>6</v>
      </c>
      <c r="J2149" s="8">
        <v>50</v>
      </c>
      <c r="K2149" s="7" t="s">
        <v>312</v>
      </c>
      <c r="L2149" s="8">
        <v>76</v>
      </c>
      <c r="M2149" s="7">
        <f>IF(INDEX([1]equip.xml!$B:$B,MATCH(D2149,[1]equip.xml!$A:$A,0))=0,0,N2149)</f>
        <v>130</v>
      </c>
      <c r="N2149" s="8">
        <f t="shared" si="2916"/>
        <v>130</v>
      </c>
    </row>
    <row r="2150" spans="1:14">
      <c r="A2150" s="8">
        <f t="shared" si="2918"/>
        <v>20023</v>
      </c>
      <c r="B2150" s="8">
        <v>40000</v>
      </c>
      <c r="C2150" s="8" t="s">
        <v>298</v>
      </c>
      <c r="D2150" s="8">
        <f t="shared" si="2919"/>
        <v>40901060</v>
      </c>
      <c r="E2150" s="8"/>
      <c r="F2150" s="8">
        <v>1</v>
      </c>
      <c r="G2150" s="7">
        <v>282000</v>
      </c>
      <c r="H2150" s="8" t="s">
        <v>299</v>
      </c>
      <c r="I2150" s="8">
        <v>6</v>
      </c>
      <c r="J2150" s="8">
        <v>50</v>
      </c>
      <c r="K2150" s="7" t="s">
        <v>312</v>
      </c>
      <c r="L2150" s="8">
        <v>76</v>
      </c>
      <c r="M2150" s="7">
        <f>IF(INDEX([1]equip.xml!$B:$B,MATCH(D2150,[1]equip.xml!$A:$A,0))=0,0,N2150)</f>
        <v>130</v>
      </c>
      <c r="N2150" s="8">
        <f t="shared" si="2916"/>
        <v>130</v>
      </c>
    </row>
    <row r="2151" spans="1:14">
      <c r="A2151" s="8">
        <f t="shared" si="2918"/>
        <v>20023</v>
      </c>
      <c r="B2151" s="8">
        <v>40000</v>
      </c>
      <c r="C2151" s="8" t="s">
        <v>298</v>
      </c>
      <c r="D2151" s="8">
        <f t="shared" si="2919"/>
        <v>40901061</v>
      </c>
      <c r="E2151" s="8"/>
      <c r="F2151" s="8">
        <v>1</v>
      </c>
      <c r="G2151" s="7">
        <v>291000</v>
      </c>
      <c r="H2151" s="8" t="s">
        <v>299</v>
      </c>
      <c r="I2151" s="8">
        <v>6</v>
      </c>
      <c r="J2151" s="8">
        <v>50</v>
      </c>
      <c r="K2151" s="7" t="s">
        <v>312</v>
      </c>
      <c r="L2151" s="8">
        <v>76</v>
      </c>
      <c r="M2151" s="7">
        <f>IF(INDEX([1]equip.xml!$B:$B,MATCH(D2151,[1]equip.xml!$A:$A,0))=0,0,N2151)</f>
        <v>130</v>
      </c>
      <c r="N2151" s="8">
        <f t="shared" si="2916"/>
        <v>130</v>
      </c>
    </row>
    <row r="2152" spans="1:14">
      <c r="A2152" s="8">
        <f t="shared" si="2918"/>
        <v>20023</v>
      </c>
      <c r="B2152" s="8">
        <v>40000</v>
      </c>
      <c r="C2152" s="8" t="s">
        <v>298</v>
      </c>
      <c r="D2152" s="8">
        <f t="shared" si="2919"/>
        <v>40902050</v>
      </c>
      <c r="E2152" s="8"/>
      <c r="F2152" s="8">
        <v>1</v>
      </c>
      <c r="G2152" s="7">
        <v>282000</v>
      </c>
      <c r="H2152" s="8" t="s">
        <v>299</v>
      </c>
      <c r="I2152" s="8">
        <v>6</v>
      </c>
      <c r="J2152" s="8">
        <v>50</v>
      </c>
      <c r="K2152" s="7" t="s">
        <v>312</v>
      </c>
      <c r="L2152" s="8">
        <v>76</v>
      </c>
      <c r="M2152" s="7">
        <f>IF(INDEX([1]equip.xml!$B:$B,MATCH(D2152,[1]equip.xml!$A:$A,0))=0,0,N2152)</f>
        <v>130</v>
      </c>
      <c r="N2152" s="8">
        <f t="shared" si="2916"/>
        <v>130</v>
      </c>
    </row>
    <row r="2153" spans="1:14">
      <c r="A2153" s="8">
        <f t="shared" si="2918"/>
        <v>20023</v>
      </c>
      <c r="B2153" s="8">
        <v>40000</v>
      </c>
      <c r="C2153" s="8" t="s">
        <v>298</v>
      </c>
      <c r="D2153" s="8">
        <f t="shared" si="2919"/>
        <v>40902051</v>
      </c>
      <c r="E2153" s="8"/>
      <c r="F2153" s="8">
        <v>1</v>
      </c>
      <c r="G2153" s="7">
        <v>291000</v>
      </c>
      <c r="H2153" s="8" t="s">
        <v>299</v>
      </c>
      <c r="I2153" s="8">
        <v>6</v>
      </c>
      <c r="J2153" s="8">
        <v>50</v>
      </c>
      <c r="K2153" s="7" t="s">
        <v>312</v>
      </c>
      <c r="L2153" s="8">
        <v>76</v>
      </c>
      <c r="M2153" s="7">
        <f>IF(INDEX([1]equip.xml!$B:$B,MATCH(D2153,[1]equip.xml!$A:$A,0))=0,0,N2153)</f>
        <v>130</v>
      </c>
      <c r="N2153" s="8">
        <f t="shared" si="2916"/>
        <v>130</v>
      </c>
    </row>
    <row r="2154" spans="1:14">
      <c r="A2154" s="8">
        <f t="shared" si="2918"/>
        <v>20023</v>
      </c>
      <c r="B2154" s="8">
        <v>40000</v>
      </c>
      <c r="C2154" s="8" t="s">
        <v>298</v>
      </c>
      <c r="D2154" s="8">
        <f t="shared" si="2919"/>
        <v>40902060</v>
      </c>
      <c r="E2154" s="8"/>
      <c r="F2154" s="8">
        <v>1</v>
      </c>
      <c r="G2154" s="7">
        <v>282000</v>
      </c>
      <c r="H2154" s="8" t="s">
        <v>299</v>
      </c>
      <c r="I2154" s="8">
        <v>6</v>
      </c>
      <c r="J2154" s="8">
        <v>50</v>
      </c>
      <c r="K2154" s="7" t="s">
        <v>312</v>
      </c>
      <c r="L2154" s="8">
        <v>76</v>
      </c>
      <c r="M2154" s="7">
        <f>IF(INDEX([1]equip.xml!$B:$B,MATCH(D2154,[1]equip.xml!$A:$A,0))=0,0,N2154)</f>
        <v>130</v>
      </c>
      <c r="N2154" s="8">
        <f t="shared" si="2916"/>
        <v>130</v>
      </c>
    </row>
    <row r="2155" spans="1:14">
      <c r="A2155" s="8">
        <f t="shared" si="2918"/>
        <v>20023</v>
      </c>
      <c r="B2155" s="8">
        <v>40000</v>
      </c>
      <c r="C2155" s="8" t="s">
        <v>298</v>
      </c>
      <c r="D2155" s="8">
        <f t="shared" si="2919"/>
        <v>40902061</v>
      </c>
      <c r="E2155" s="8"/>
      <c r="F2155" s="8">
        <v>1</v>
      </c>
      <c r="G2155" s="7">
        <v>291000</v>
      </c>
      <c r="H2155" s="8" t="s">
        <v>299</v>
      </c>
      <c r="I2155" s="8">
        <v>6</v>
      </c>
      <c r="J2155" s="8">
        <v>50</v>
      </c>
      <c r="K2155" s="7" t="s">
        <v>312</v>
      </c>
      <c r="L2155" s="8">
        <v>76</v>
      </c>
      <c r="M2155" s="7">
        <f>IF(INDEX([1]equip.xml!$B:$B,MATCH(D2155,[1]equip.xml!$A:$A,0))=0,0,N2155)</f>
        <v>130</v>
      </c>
      <c r="N2155" s="8">
        <f t="shared" ref="N2155:N2218" si="2920">N2111</f>
        <v>130</v>
      </c>
    </row>
    <row r="2156" spans="1:14">
      <c r="A2156" s="8">
        <f t="shared" si="2918"/>
        <v>20023</v>
      </c>
      <c r="B2156" s="8">
        <v>40000</v>
      </c>
      <c r="C2156" s="8" t="s">
        <v>298</v>
      </c>
      <c r="D2156" s="8">
        <f t="shared" si="2919"/>
        <v>40903050</v>
      </c>
      <c r="E2156" s="8"/>
      <c r="F2156" s="8">
        <v>1</v>
      </c>
      <c r="G2156" s="7">
        <v>282000</v>
      </c>
      <c r="H2156" s="8" t="s">
        <v>299</v>
      </c>
      <c r="I2156" s="8">
        <v>6</v>
      </c>
      <c r="J2156" s="8">
        <v>50</v>
      </c>
      <c r="K2156" s="7" t="s">
        <v>312</v>
      </c>
      <c r="L2156" s="8">
        <v>76</v>
      </c>
      <c r="M2156" s="7">
        <f>IF(INDEX([1]equip.xml!$B:$B,MATCH(D2156,[1]equip.xml!$A:$A,0))=0,0,N2156)</f>
        <v>130</v>
      </c>
      <c r="N2156" s="8">
        <f t="shared" si="2920"/>
        <v>130</v>
      </c>
    </row>
    <row r="2157" spans="1:14">
      <c r="A2157" s="8">
        <f t="shared" si="2918"/>
        <v>20023</v>
      </c>
      <c r="B2157" s="8">
        <v>40000</v>
      </c>
      <c r="C2157" s="8" t="s">
        <v>298</v>
      </c>
      <c r="D2157" s="8">
        <f t="shared" si="2919"/>
        <v>40903051</v>
      </c>
      <c r="E2157" s="8"/>
      <c r="F2157" s="8">
        <v>1</v>
      </c>
      <c r="G2157" s="7">
        <v>291000</v>
      </c>
      <c r="H2157" s="8" t="s">
        <v>299</v>
      </c>
      <c r="I2157" s="8">
        <v>6</v>
      </c>
      <c r="J2157" s="8">
        <v>50</v>
      </c>
      <c r="K2157" s="7" t="s">
        <v>312</v>
      </c>
      <c r="L2157" s="8">
        <v>76</v>
      </c>
      <c r="M2157" s="7">
        <f>IF(INDEX([1]equip.xml!$B:$B,MATCH(D2157,[1]equip.xml!$A:$A,0))=0,0,N2157)</f>
        <v>130</v>
      </c>
      <c r="N2157" s="8">
        <f t="shared" si="2920"/>
        <v>130</v>
      </c>
    </row>
    <row r="2158" spans="1:14">
      <c r="A2158" s="8">
        <f t="shared" si="2918"/>
        <v>20023</v>
      </c>
      <c r="B2158" s="8">
        <v>40000</v>
      </c>
      <c r="C2158" s="8" t="s">
        <v>298</v>
      </c>
      <c r="D2158" s="8">
        <f t="shared" si="2919"/>
        <v>40903060</v>
      </c>
      <c r="E2158" s="8"/>
      <c r="F2158" s="8">
        <v>1</v>
      </c>
      <c r="G2158" s="7">
        <v>282000</v>
      </c>
      <c r="H2158" s="8" t="s">
        <v>299</v>
      </c>
      <c r="I2158" s="8">
        <v>6</v>
      </c>
      <c r="J2158" s="8">
        <v>50</v>
      </c>
      <c r="K2158" s="7" t="s">
        <v>312</v>
      </c>
      <c r="L2158" s="8">
        <v>76</v>
      </c>
      <c r="M2158" s="7">
        <f>IF(INDEX([1]equip.xml!$B:$B,MATCH(D2158,[1]equip.xml!$A:$A,0))=0,0,N2158)</f>
        <v>130</v>
      </c>
      <c r="N2158" s="8">
        <f t="shared" si="2920"/>
        <v>130</v>
      </c>
    </row>
    <row r="2159" spans="1:14">
      <c r="A2159" s="8">
        <f t="shared" si="2918"/>
        <v>20023</v>
      </c>
      <c r="B2159" s="8">
        <v>40000</v>
      </c>
      <c r="C2159" s="8" t="s">
        <v>298</v>
      </c>
      <c r="D2159" s="8">
        <f t="shared" si="2919"/>
        <v>40903061</v>
      </c>
      <c r="E2159" s="8"/>
      <c r="F2159" s="8">
        <v>1</v>
      </c>
      <c r="G2159" s="7">
        <v>291000</v>
      </c>
      <c r="H2159" s="8" t="s">
        <v>299</v>
      </c>
      <c r="I2159" s="8">
        <v>6</v>
      </c>
      <c r="J2159" s="8">
        <v>50</v>
      </c>
      <c r="K2159" s="7" t="s">
        <v>312</v>
      </c>
      <c r="L2159" s="8">
        <v>76</v>
      </c>
      <c r="M2159" s="7">
        <f>IF(INDEX([1]equip.xml!$B:$B,MATCH(D2159,[1]equip.xml!$A:$A,0))=0,0,N2159)</f>
        <v>130</v>
      </c>
      <c r="N2159" s="8">
        <f t="shared" si="2920"/>
        <v>130</v>
      </c>
    </row>
    <row r="2160" spans="1:14">
      <c r="A2160" s="8">
        <f t="shared" si="2918"/>
        <v>20023</v>
      </c>
      <c r="B2160" s="8">
        <v>40000</v>
      </c>
      <c r="C2160" s="8" t="s">
        <v>298</v>
      </c>
      <c r="D2160" s="8">
        <f t="shared" si="2919"/>
        <v>40900040</v>
      </c>
      <c r="E2160" s="8"/>
      <c r="F2160" s="8">
        <v>1</v>
      </c>
      <c r="G2160" s="7">
        <v>282000</v>
      </c>
      <c r="H2160" s="8" t="s">
        <v>299</v>
      </c>
      <c r="I2160" s="8">
        <v>6</v>
      </c>
      <c r="J2160" s="8">
        <v>50</v>
      </c>
      <c r="K2160" s="7" t="s">
        <v>312</v>
      </c>
      <c r="L2160" s="8">
        <v>76</v>
      </c>
      <c r="M2160" s="7">
        <f>IF(INDEX([1]equip.xml!$B:$B,MATCH(D2160,[1]equip.xml!$A:$A,0))=0,0,N2160)</f>
        <v>130</v>
      </c>
      <c r="N2160" s="8">
        <f t="shared" si="2920"/>
        <v>130</v>
      </c>
    </row>
    <row r="2161" spans="1:14">
      <c r="A2161" s="8">
        <f t="shared" si="2918"/>
        <v>20023</v>
      </c>
      <c r="B2161" s="8">
        <v>40000</v>
      </c>
      <c r="C2161" s="8" t="s">
        <v>298</v>
      </c>
      <c r="D2161" s="8">
        <f t="shared" si="2919"/>
        <v>40900041</v>
      </c>
      <c r="E2161" s="8"/>
      <c r="F2161" s="8">
        <v>1</v>
      </c>
      <c r="G2161" s="7">
        <v>291000</v>
      </c>
      <c r="H2161" s="8" t="s">
        <v>299</v>
      </c>
      <c r="I2161" s="8">
        <v>6</v>
      </c>
      <c r="J2161" s="8">
        <v>50</v>
      </c>
      <c r="K2161" s="7" t="s">
        <v>312</v>
      </c>
      <c r="L2161" s="8">
        <v>76</v>
      </c>
      <c r="M2161" s="7">
        <f>IF(INDEX([1]equip.xml!$B:$B,MATCH(D2161,[1]equip.xml!$A:$A,0))=0,0,N2161)</f>
        <v>130</v>
      </c>
      <c r="N2161" s="8">
        <f t="shared" si="2920"/>
        <v>130</v>
      </c>
    </row>
    <row r="2162" spans="1:14">
      <c r="A2162" s="8">
        <f t="shared" si="2918"/>
        <v>20023</v>
      </c>
      <c r="B2162" s="8">
        <v>40000</v>
      </c>
      <c r="C2162" s="8" t="s">
        <v>298</v>
      </c>
      <c r="D2162" s="8">
        <f t="shared" si="2919"/>
        <v>40900070</v>
      </c>
      <c r="E2162" s="8"/>
      <c r="F2162" s="8">
        <v>1</v>
      </c>
      <c r="G2162" s="7">
        <v>282000</v>
      </c>
      <c r="H2162" s="8" t="s">
        <v>299</v>
      </c>
      <c r="I2162" s="8">
        <v>6</v>
      </c>
      <c r="J2162" s="8">
        <v>50</v>
      </c>
      <c r="K2162" s="7" t="s">
        <v>312</v>
      </c>
      <c r="L2162" s="8">
        <v>76</v>
      </c>
      <c r="M2162" s="7">
        <f>IF(INDEX([1]equip.xml!$B:$B,MATCH(D2162,[1]equip.xml!$A:$A,0))=0,0,N2162)</f>
        <v>130</v>
      </c>
      <c r="N2162" s="8">
        <f t="shared" si="2920"/>
        <v>130</v>
      </c>
    </row>
    <row r="2163" spans="1:14">
      <c r="A2163" s="8">
        <f t="shared" si="2918"/>
        <v>20023</v>
      </c>
      <c r="B2163" s="8">
        <v>40000</v>
      </c>
      <c r="C2163" s="8" t="s">
        <v>298</v>
      </c>
      <c r="D2163" s="8">
        <f t="shared" si="2919"/>
        <v>40900071</v>
      </c>
      <c r="E2163" s="8"/>
      <c r="F2163" s="8">
        <v>1</v>
      </c>
      <c r="G2163" s="7">
        <v>291000</v>
      </c>
      <c r="H2163" s="8" t="s">
        <v>299</v>
      </c>
      <c r="I2163" s="8">
        <v>6</v>
      </c>
      <c r="J2163" s="8">
        <v>50</v>
      </c>
      <c r="K2163" s="7" t="s">
        <v>312</v>
      </c>
      <c r="L2163" s="8">
        <v>76</v>
      </c>
      <c r="M2163" s="7">
        <f>IF(INDEX([1]equip.xml!$B:$B,MATCH(D2163,[1]equip.xml!$A:$A,0))=0,0,N2163)</f>
        <v>130</v>
      </c>
      <c r="N2163" s="8">
        <f t="shared" si="2920"/>
        <v>130</v>
      </c>
    </row>
    <row r="2164" spans="1:14">
      <c r="A2164" s="8">
        <f t="shared" si="2918"/>
        <v>20023</v>
      </c>
      <c r="B2164" s="8">
        <v>40000</v>
      </c>
      <c r="C2164" s="8" t="s">
        <v>298</v>
      </c>
      <c r="D2164" s="8">
        <f t="shared" si="2919"/>
        <v>40950010</v>
      </c>
      <c r="E2164" s="8"/>
      <c r="F2164" s="8">
        <v>1</v>
      </c>
      <c r="G2164" s="7">
        <v>300000</v>
      </c>
      <c r="H2164" s="8" t="s">
        <v>299</v>
      </c>
      <c r="I2164" s="8">
        <v>6</v>
      </c>
      <c r="J2164" s="8">
        <v>50</v>
      </c>
      <c r="K2164" s="7" t="s">
        <v>312</v>
      </c>
      <c r="L2164" s="8">
        <v>76</v>
      </c>
      <c r="M2164" s="7">
        <f>IF(INDEX([1]equip.xml!$B:$B,MATCH(D2164,[1]equip.xml!$A:$A,0))=0,0,N2164)</f>
        <v>3</v>
      </c>
      <c r="N2164" s="8">
        <v>3</v>
      </c>
    </row>
    <row r="2165" spans="1:14">
      <c r="A2165" s="8">
        <f t="shared" si="2918"/>
        <v>20023</v>
      </c>
      <c r="B2165" s="8">
        <v>40000</v>
      </c>
      <c r="C2165" s="8" t="s">
        <v>298</v>
      </c>
      <c r="D2165" s="8">
        <f t="shared" si="2919"/>
        <v>40950020</v>
      </c>
      <c r="E2165" s="8"/>
      <c r="F2165" s="8">
        <v>1</v>
      </c>
      <c r="G2165" s="7">
        <v>300000</v>
      </c>
      <c r="H2165" s="8" t="s">
        <v>299</v>
      </c>
      <c r="I2165" s="8">
        <v>6</v>
      </c>
      <c r="J2165" s="8">
        <v>50</v>
      </c>
      <c r="K2165" s="7" t="s">
        <v>312</v>
      </c>
      <c r="L2165" s="8">
        <v>76</v>
      </c>
      <c r="M2165" s="7">
        <f>IF(INDEX([1]equip.xml!$B:$B,MATCH(D2165,[1]equip.xml!$A:$A,0))=0,0,N2165)</f>
        <v>3</v>
      </c>
      <c r="N2165" s="8">
        <v>3</v>
      </c>
    </row>
    <row r="2166" spans="1:14">
      <c r="A2166" s="8">
        <f t="shared" si="2918"/>
        <v>20023</v>
      </c>
      <c r="B2166" s="8">
        <v>40000</v>
      </c>
      <c r="C2166" s="8" t="s">
        <v>298</v>
      </c>
      <c r="D2166" s="8">
        <f t="shared" si="2919"/>
        <v>40950030</v>
      </c>
      <c r="E2166" s="8"/>
      <c r="F2166" s="8">
        <v>1</v>
      </c>
      <c r="G2166" s="7">
        <v>300000</v>
      </c>
      <c r="H2166" s="8" t="s">
        <v>299</v>
      </c>
      <c r="I2166" s="8">
        <v>6</v>
      </c>
      <c r="J2166" s="8">
        <v>50</v>
      </c>
      <c r="K2166" s="7" t="s">
        <v>312</v>
      </c>
      <c r="L2166" s="8">
        <v>76</v>
      </c>
      <c r="M2166" s="7">
        <f>IF(INDEX([1]equip.xml!$B:$B,MATCH(D2166,[1]equip.xml!$A:$A,0))=0,0,N2166)</f>
        <v>3</v>
      </c>
      <c r="N2166" s="8">
        <v>3</v>
      </c>
    </row>
    <row r="2167" spans="1:14">
      <c r="A2167" s="8">
        <f t="shared" si="2918"/>
        <v>20023</v>
      </c>
      <c r="B2167" s="8">
        <v>40000</v>
      </c>
      <c r="C2167" s="8" t="s">
        <v>298</v>
      </c>
      <c r="D2167" s="8">
        <f t="shared" si="2919"/>
        <v>40950080</v>
      </c>
      <c r="E2167" s="8"/>
      <c r="F2167" s="8">
        <v>1</v>
      </c>
      <c r="G2167" s="7">
        <v>300000</v>
      </c>
      <c r="H2167" s="8" t="s">
        <v>299</v>
      </c>
      <c r="I2167" s="8">
        <v>6</v>
      </c>
      <c r="J2167" s="8">
        <v>50</v>
      </c>
      <c r="K2167" s="7" t="s">
        <v>312</v>
      </c>
      <c r="L2167" s="8">
        <v>76</v>
      </c>
      <c r="M2167" s="7">
        <f>IF(INDEX([1]equip.xml!$B:$B,MATCH(D2167,[1]equip.xml!$A:$A,0))=0,0,N2167)</f>
        <v>3</v>
      </c>
      <c r="N2167" s="8">
        <v>3</v>
      </c>
    </row>
    <row r="2168" spans="1:14">
      <c r="A2168" s="8">
        <f t="shared" si="2918"/>
        <v>20023</v>
      </c>
      <c r="B2168" s="8">
        <v>40000</v>
      </c>
      <c r="C2168" s="8" t="s">
        <v>298</v>
      </c>
      <c r="D2168" s="8">
        <f t="shared" si="2919"/>
        <v>40950090</v>
      </c>
      <c r="E2168" s="8"/>
      <c r="F2168" s="8">
        <v>1</v>
      </c>
      <c r="G2168" s="7">
        <v>300000</v>
      </c>
      <c r="H2168" s="8" t="s">
        <v>299</v>
      </c>
      <c r="I2168" s="8">
        <v>6</v>
      </c>
      <c r="J2168" s="8">
        <v>50</v>
      </c>
      <c r="K2168" s="7" t="s">
        <v>312</v>
      </c>
      <c r="L2168" s="8">
        <v>76</v>
      </c>
      <c r="M2168" s="7">
        <f>IF(INDEX([1]equip.xml!$B:$B,MATCH(D2168,[1]equip.xml!$A:$A,0))=0,0,N2168)</f>
        <v>3</v>
      </c>
      <c r="N2168" s="8">
        <v>3</v>
      </c>
    </row>
    <row r="2169" spans="1:14">
      <c r="A2169" s="8">
        <f t="shared" si="2918"/>
        <v>20023</v>
      </c>
      <c r="B2169" s="8">
        <v>40000</v>
      </c>
      <c r="C2169" s="8" t="s">
        <v>298</v>
      </c>
      <c r="D2169" s="8">
        <f t="shared" si="2919"/>
        <v>40950100</v>
      </c>
      <c r="E2169" s="8"/>
      <c r="F2169" s="8">
        <v>1</v>
      </c>
      <c r="G2169" s="7">
        <v>300000</v>
      </c>
      <c r="H2169" s="8" t="s">
        <v>299</v>
      </c>
      <c r="I2169" s="8">
        <v>6</v>
      </c>
      <c r="J2169" s="8">
        <v>50</v>
      </c>
      <c r="K2169" s="7" t="s">
        <v>312</v>
      </c>
      <c r="L2169" s="8">
        <v>76</v>
      </c>
      <c r="M2169" s="7">
        <f>IF(INDEX([1]equip.xml!$B:$B,MATCH(D2169,[1]equip.xml!$A:$A,0))=0,0,N2169)</f>
        <v>3</v>
      </c>
      <c r="N2169" s="8">
        <v>3</v>
      </c>
    </row>
    <row r="2170" spans="1:14">
      <c r="A2170" s="8">
        <f t="shared" si="2918"/>
        <v>20023</v>
      </c>
      <c r="B2170" s="8">
        <v>40000</v>
      </c>
      <c r="C2170" s="8" t="s">
        <v>298</v>
      </c>
      <c r="D2170" s="8">
        <f t="shared" si="2919"/>
        <v>40951050</v>
      </c>
      <c r="E2170" s="8"/>
      <c r="F2170" s="8">
        <v>1</v>
      </c>
      <c r="G2170" s="7">
        <v>300000</v>
      </c>
      <c r="H2170" s="8" t="s">
        <v>299</v>
      </c>
      <c r="I2170" s="8">
        <v>6</v>
      </c>
      <c r="J2170" s="8">
        <v>50</v>
      </c>
      <c r="K2170" s="7" t="s">
        <v>312</v>
      </c>
      <c r="L2170" s="8">
        <v>76</v>
      </c>
      <c r="M2170" s="7">
        <f>IF(INDEX([1]equip.xml!$B:$B,MATCH(D2170,[1]equip.xml!$A:$A,0))=0,0,N2170)</f>
        <v>3</v>
      </c>
      <c r="N2170" s="8">
        <v>3</v>
      </c>
    </row>
    <row r="2171" spans="1:14">
      <c r="A2171" s="8">
        <f t="shared" si="2918"/>
        <v>20023</v>
      </c>
      <c r="B2171" s="8">
        <v>40000</v>
      </c>
      <c r="C2171" s="8" t="s">
        <v>298</v>
      </c>
      <c r="D2171" s="8">
        <f t="shared" si="2919"/>
        <v>40951051</v>
      </c>
      <c r="E2171" s="8"/>
      <c r="F2171" s="8">
        <v>1</v>
      </c>
      <c r="G2171" s="7">
        <v>309000</v>
      </c>
      <c r="H2171" s="8" t="s">
        <v>299</v>
      </c>
      <c r="I2171" s="8">
        <v>6</v>
      </c>
      <c r="J2171" s="8">
        <v>50</v>
      </c>
      <c r="K2171" s="7" t="s">
        <v>312</v>
      </c>
      <c r="L2171" s="8">
        <v>76</v>
      </c>
      <c r="M2171" s="7">
        <f>IF(INDEX([1]equip.xml!$B:$B,MATCH(D2171,[1]equip.xml!$A:$A,0))=0,0,N2171)</f>
        <v>3</v>
      </c>
      <c r="N2171" s="8">
        <v>3</v>
      </c>
    </row>
    <row r="2172" spans="1:14">
      <c r="A2172" s="8">
        <f t="shared" si="2918"/>
        <v>20023</v>
      </c>
      <c r="B2172" s="8">
        <v>40000</v>
      </c>
      <c r="C2172" s="8" t="s">
        <v>298</v>
      </c>
      <c r="D2172" s="8">
        <f t="shared" si="2919"/>
        <v>40951060</v>
      </c>
      <c r="E2172" s="8"/>
      <c r="F2172" s="8">
        <v>1</v>
      </c>
      <c r="G2172" s="7">
        <v>300000</v>
      </c>
      <c r="H2172" s="8" t="s">
        <v>299</v>
      </c>
      <c r="I2172" s="8">
        <v>6</v>
      </c>
      <c r="J2172" s="8">
        <v>50</v>
      </c>
      <c r="K2172" s="7" t="s">
        <v>312</v>
      </c>
      <c r="L2172" s="8">
        <v>76</v>
      </c>
      <c r="M2172" s="7">
        <f>IF(INDEX([1]equip.xml!$B:$B,MATCH(D2172,[1]equip.xml!$A:$A,0))=0,0,N2172)</f>
        <v>3</v>
      </c>
      <c r="N2172" s="8">
        <v>3</v>
      </c>
    </row>
    <row r="2173" spans="1:14">
      <c r="A2173" s="8">
        <f t="shared" si="2918"/>
        <v>20023</v>
      </c>
      <c r="B2173" s="8">
        <v>40000</v>
      </c>
      <c r="C2173" s="8" t="s">
        <v>298</v>
      </c>
      <c r="D2173" s="8">
        <f t="shared" si="2919"/>
        <v>40951061</v>
      </c>
      <c r="E2173" s="8"/>
      <c r="F2173" s="8">
        <v>1</v>
      </c>
      <c r="G2173" s="7">
        <v>309000</v>
      </c>
      <c r="H2173" s="8" t="s">
        <v>299</v>
      </c>
      <c r="I2173" s="8">
        <v>6</v>
      </c>
      <c r="J2173" s="8">
        <v>50</v>
      </c>
      <c r="K2173" s="7" t="s">
        <v>312</v>
      </c>
      <c r="L2173" s="8">
        <v>76</v>
      </c>
      <c r="M2173" s="7">
        <f>IF(INDEX([1]equip.xml!$B:$B,MATCH(D2173,[1]equip.xml!$A:$A,0))=0,0,N2173)</f>
        <v>3</v>
      </c>
      <c r="N2173" s="8">
        <v>3</v>
      </c>
    </row>
    <row r="2174" spans="1:14">
      <c r="A2174" s="8">
        <f t="shared" si="2918"/>
        <v>20023</v>
      </c>
      <c r="B2174" s="8">
        <v>40000</v>
      </c>
      <c r="C2174" s="8" t="s">
        <v>298</v>
      </c>
      <c r="D2174" s="8">
        <f t="shared" si="2919"/>
        <v>40952050</v>
      </c>
      <c r="E2174" s="8"/>
      <c r="F2174" s="8">
        <v>1</v>
      </c>
      <c r="G2174" s="7">
        <v>300000</v>
      </c>
      <c r="H2174" s="8" t="s">
        <v>299</v>
      </c>
      <c r="I2174" s="8">
        <v>6</v>
      </c>
      <c r="J2174" s="8">
        <v>50</v>
      </c>
      <c r="K2174" s="7" t="s">
        <v>312</v>
      </c>
      <c r="L2174" s="8">
        <v>76</v>
      </c>
      <c r="M2174" s="7">
        <f>IF(INDEX([1]equip.xml!$B:$B,MATCH(D2174,[1]equip.xml!$A:$A,0))=0,0,N2174)</f>
        <v>3</v>
      </c>
      <c r="N2174" s="8">
        <v>3</v>
      </c>
    </row>
    <row r="2175" spans="1:14">
      <c r="A2175" s="8">
        <f t="shared" ref="A2175" si="2921">A1647+10000</f>
        <v>20023</v>
      </c>
      <c r="B2175" s="8">
        <v>40000</v>
      </c>
      <c r="C2175" s="8" t="s">
        <v>298</v>
      </c>
      <c r="D2175" s="8">
        <f t="shared" si="2919"/>
        <v>40952051</v>
      </c>
      <c r="E2175" s="8"/>
      <c r="F2175" s="8">
        <v>1</v>
      </c>
      <c r="G2175" s="7">
        <v>309000</v>
      </c>
      <c r="H2175" s="8" t="s">
        <v>299</v>
      </c>
      <c r="I2175" s="8">
        <v>6</v>
      </c>
      <c r="J2175" s="8">
        <v>50</v>
      </c>
      <c r="K2175" s="7" t="s">
        <v>312</v>
      </c>
      <c r="L2175" s="8">
        <v>76</v>
      </c>
      <c r="M2175" s="7">
        <f>IF(INDEX([1]equip.xml!$B:$B,MATCH(D2175,[1]equip.xml!$A:$A,0))=0,0,N2175)</f>
        <v>3</v>
      </c>
      <c r="N2175" s="8">
        <v>3</v>
      </c>
    </row>
    <row r="2176" spans="1:14">
      <c r="A2176" s="8">
        <f>A1648+10000</f>
        <v>20023</v>
      </c>
      <c r="B2176" s="8">
        <v>40000</v>
      </c>
      <c r="C2176" s="8" t="s">
        <v>298</v>
      </c>
      <c r="D2176" s="8">
        <f t="shared" si="2919"/>
        <v>40952060</v>
      </c>
      <c r="E2176" s="8"/>
      <c r="F2176" s="8">
        <v>1</v>
      </c>
      <c r="G2176" s="7">
        <v>300000</v>
      </c>
      <c r="H2176" s="8" t="s">
        <v>299</v>
      </c>
      <c r="I2176" s="8">
        <v>6</v>
      </c>
      <c r="J2176" s="8">
        <v>50</v>
      </c>
      <c r="K2176" s="7" t="s">
        <v>312</v>
      </c>
      <c r="L2176" s="8">
        <v>76</v>
      </c>
      <c r="M2176" s="7">
        <f>IF(INDEX([1]equip.xml!$B:$B,MATCH(D2176,[1]equip.xml!$A:$A,0))=0,0,N2176)</f>
        <v>3</v>
      </c>
      <c r="N2176" s="8">
        <v>3</v>
      </c>
    </row>
    <row r="2177" spans="1:14">
      <c r="A2177" s="8">
        <f t="shared" ref="A2177:A2190" si="2922">A1649+10000</f>
        <v>20023</v>
      </c>
      <c r="B2177" s="8">
        <v>40000</v>
      </c>
      <c r="C2177" s="8" t="s">
        <v>298</v>
      </c>
      <c r="D2177" s="8">
        <f t="shared" si="2919"/>
        <v>40952061</v>
      </c>
      <c r="E2177" s="8"/>
      <c r="F2177" s="8">
        <v>1</v>
      </c>
      <c r="G2177" s="7">
        <v>309000</v>
      </c>
      <c r="H2177" s="8" t="s">
        <v>299</v>
      </c>
      <c r="I2177" s="8">
        <v>6</v>
      </c>
      <c r="J2177" s="8">
        <v>50</v>
      </c>
      <c r="K2177" s="7" t="s">
        <v>312</v>
      </c>
      <c r="L2177" s="8">
        <v>76</v>
      </c>
      <c r="M2177" s="7">
        <f>IF(INDEX([1]equip.xml!$B:$B,MATCH(D2177,[1]equip.xml!$A:$A,0))=0,0,N2177)</f>
        <v>3</v>
      </c>
      <c r="N2177" s="8">
        <v>3</v>
      </c>
    </row>
    <row r="2178" spans="1:14">
      <c r="A2178" s="8">
        <f t="shared" si="2922"/>
        <v>20023</v>
      </c>
      <c r="B2178" s="8">
        <v>40000</v>
      </c>
      <c r="C2178" s="8" t="s">
        <v>298</v>
      </c>
      <c r="D2178" s="8">
        <f t="shared" si="2919"/>
        <v>40953050</v>
      </c>
      <c r="E2178" s="8"/>
      <c r="F2178" s="8">
        <v>1</v>
      </c>
      <c r="G2178" s="7">
        <v>300000</v>
      </c>
      <c r="H2178" s="8" t="s">
        <v>299</v>
      </c>
      <c r="I2178" s="8">
        <v>6</v>
      </c>
      <c r="J2178" s="8">
        <v>50</v>
      </c>
      <c r="K2178" s="7" t="s">
        <v>312</v>
      </c>
      <c r="L2178" s="8">
        <v>76</v>
      </c>
      <c r="M2178" s="7">
        <f>IF(INDEX([1]equip.xml!$B:$B,MATCH(D2178,[1]equip.xml!$A:$A,0))=0,0,N2178)</f>
        <v>3</v>
      </c>
      <c r="N2178" s="8">
        <v>3</v>
      </c>
    </row>
    <row r="2179" spans="1:14">
      <c r="A2179" s="8">
        <f t="shared" si="2922"/>
        <v>20023</v>
      </c>
      <c r="B2179" s="8">
        <v>40000</v>
      </c>
      <c r="C2179" s="8" t="s">
        <v>298</v>
      </c>
      <c r="D2179" s="8">
        <f t="shared" si="2919"/>
        <v>40953051</v>
      </c>
      <c r="E2179" s="8"/>
      <c r="F2179" s="8">
        <v>1</v>
      </c>
      <c r="G2179" s="7">
        <v>309000</v>
      </c>
      <c r="H2179" s="8" t="s">
        <v>299</v>
      </c>
      <c r="I2179" s="8">
        <v>6</v>
      </c>
      <c r="J2179" s="8">
        <v>50</v>
      </c>
      <c r="K2179" s="7" t="s">
        <v>312</v>
      </c>
      <c r="L2179" s="8">
        <v>76</v>
      </c>
      <c r="M2179" s="7">
        <f>IF(INDEX([1]equip.xml!$B:$B,MATCH(D2179,[1]equip.xml!$A:$A,0))=0,0,N2179)</f>
        <v>3</v>
      </c>
      <c r="N2179" s="8">
        <v>3</v>
      </c>
    </row>
    <row r="2180" spans="1:14">
      <c r="A2180" s="8">
        <f t="shared" si="2922"/>
        <v>20023</v>
      </c>
      <c r="B2180" s="8">
        <v>40000</v>
      </c>
      <c r="C2180" s="8" t="s">
        <v>298</v>
      </c>
      <c r="D2180" s="8">
        <f t="shared" si="2919"/>
        <v>40953060</v>
      </c>
      <c r="E2180" s="8"/>
      <c r="F2180" s="8">
        <v>1</v>
      </c>
      <c r="G2180" s="7">
        <v>300000</v>
      </c>
      <c r="H2180" s="8" t="s">
        <v>299</v>
      </c>
      <c r="I2180" s="8">
        <v>6</v>
      </c>
      <c r="J2180" s="8">
        <v>50</v>
      </c>
      <c r="K2180" s="7" t="s">
        <v>312</v>
      </c>
      <c r="L2180" s="8">
        <v>76</v>
      </c>
      <c r="M2180" s="7">
        <f>IF(INDEX([1]equip.xml!$B:$B,MATCH(D2180,[1]equip.xml!$A:$A,0))=0,0,N2180)</f>
        <v>3</v>
      </c>
      <c r="N2180" s="8">
        <v>3</v>
      </c>
    </row>
    <row r="2181" spans="1:14">
      <c r="A2181" s="8">
        <f t="shared" si="2922"/>
        <v>20023</v>
      </c>
      <c r="B2181" s="8">
        <v>40000</v>
      </c>
      <c r="C2181" s="8" t="s">
        <v>298</v>
      </c>
      <c r="D2181" s="8">
        <f t="shared" si="2919"/>
        <v>40953061</v>
      </c>
      <c r="E2181" s="8"/>
      <c r="F2181" s="8">
        <v>1</v>
      </c>
      <c r="G2181" s="7">
        <v>309000</v>
      </c>
      <c r="H2181" s="8" t="s">
        <v>299</v>
      </c>
      <c r="I2181" s="8">
        <v>6</v>
      </c>
      <c r="J2181" s="8">
        <v>50</v>
      </c>
      <c r="K2181" s="7" t="s">
        <v>312</v>
      </c>
      <c r="L2181" s="8">
        <v>76</v>
      </c>
      <c r="M2181" s="7">
        <f>IF(INDEX([1]equip.xml!$B:$B,MATCH(D2181,[1]equip.xml!$A:$A,0))=0,0,N2181)</f>
        <v>3</v>
      </c>
      <c r="N2181" s="8">
        <v>3</v>
      </c>
    </row>
    <row r="2182" spans="1:14">
      <c r="A2182" s="8">
        <f t="shared" si="2922"/>
        <v>20023</v>
      </c>
      <c r="B2182" s="8">
        <v>40000</v>
      </c>
      <c r="C2182" s="8" t="s">
        <v>298</v>
      </c>
      <c r="D2182" s="8">
        <f t="shared" si="2919"/>
        <v>40950040</v>
      </c>
      <c r="E2182" s="8"/>
      <c r="F2182" s="8">
        <v>1</v>
      </c>
      <c r="G2182" s="7">
        <v>300000</v>
      </c>
      <c r="H2182" s="8" t="s">
        <v>299</v>
      </c>
      <c r="I2182" s="8">
        <v>6</v>
      </c>
      <c r="J2182" s="8">
        <v>50</v>
      </c>
      <c r="K2182" s="7" t="s">
        <v>312</v>
      </c>
      <c r="L2182" s="8">
        <v>76</v>
      </c>
      <c r="M2182" s="7">
        <f>IF(INDEX([1]equip.xml!$B:$B,MATCH(D2182,[1]equip.xml!$A:$A,0))=0,0,N2182)</f>
        <v>3</v>
      </c>
      <c r="N2182" s="8">
        <v>3</v>
      </c>
    </row>
    <row r="2183" spans="1:14">
      <c r="A2183" s="8">
        <f t="shared" si="2922"/>
        <v>20023</v>
      </c>
      <c r="B2183" s="8">
        <v>40000</v>
      </c>
      <c r="C2183" s="8" t="s">
        <v>298</v>
      </c>
      <c r="D2183" s="8">
        <f t="shared" si="2919"/>
        <v>40950041</v>
      </c>
      <c r="E2183" s="8"/>
      <c r="F2183" s="8">
        <v>1</v>
      </c>
      <c r="G2183" s="7">
        <v>309000</v>
      </c>
      <c r="H2183" s="8" t="s">
        <v>299</v>
      </c>
      <c r="I2183" s="8">
        <v>6</v>
      </c>
      <c r="J2183" s="8">
        <v>50</v>
      </c>
      <c r="K2183" s="7" t="s">
        <v>312</v>
      </c>
      <c r="L2183" s="8">
        <v>76</v>
      </c>
      <c r="M2183" s="7">
        <f>IF(INDEX([1]equip.xml!$B:$B,MATCH(D2183,[1]equip.xml!$A:$A,0))=0,0,N2183)</f>
        <v>3</v>
      </c>
      <c r="N2183" s="8">
        <v>3</v>
      </c>
    </row>
    <row r="2184" spans="1:14">
      <c r="A2184" s="8">
        <f t="shared" si="2922"/>
        <v>20023</v>
      </c>
      <c r="B2184" s="8">
        <v>40000</v>
      </c>
      <c r="C2184" s="8" t="s">
        <v>298</v>
      </c>
      <c r="D2184" s="8">
        <f t="shared" si="2919"/>
        <v>40950070</v>
      </c>
      <c r="E2184" s="8"/>
      <c r="F2184" s="8">
        <v>1</v>
      </c>
      <c r="G2184" s="7">
        <v>300000</v>
      </c>
      <c r="H2184" s="8" t="s">
        <v>299</v>
      </c>
      <c r="I2184" s="8">
        <v>6</v>
      </c>
      <c r="J2184" s="8">
        <v>50</v>
      </c>
      <c r="K2184" s="7" t="s">
        <v>312</v>
      </c>
      <c r="L2184" s="8">
        <v>76</v>
      </c>
      <c r="M2184" s="7">
        <f>IF(INDEX([1]equip.xml!$B:$B,MATCH(D2184,[1]equip.xml!$A:$A,0))=0,0,N2184)</f>
        <v>3</v>
      </c>
      <c r="N2184" s="8">
        <v>3</v>
      </c>
    </row>
    <row r="2185" spans="1:14">
      <c r="A2185" s="8">
        <f t="shared" si="2922"/>
        <v>20023</v>
      </c>
      <c r="B2185" s="8">
        <v>40000</v>
      </c>
      <c r="C2185" s="8" t="s">
        <v>298</v>
      </c>
      <c r="D2185" s="8">
        <f t="shared" si="2919"/>
        <v>40950071</v>
      </c>
      <c r="E2185" s="8"/>
      <c r="F2185" s="8">
        <v>1</v>
      </c>
      <c r="G2185" s="7">
        <v>309000</v>
      </c>
      <c r="H2185" s="8" t="s">
        <v>299</v>
      </c>
      <c r="I2185" s="8">
        <v>6</v>
      </c>
      <c r="J2185" s="8">
        <v>50</v>
      </c>
      <c r="K2185" s="7" t="s">
        <v>312</v>
      </c>
      <c r="L2185" s="8">
        <v>76</v>
      </c>
      <c r="M2185" s="7">
        <f>IF(INDEX([1]equip.xml!$B:$B,MATCH(D2185,[1]equip.xml!$A:$A,0))=0,0,N2185)</f>
        <v>3</v>
      </c>
      <c r="N2185" s="8">
        <v>3</v>
      </c>
    </row>
    <row r="2186" spans="1:14">
      <c r="A2186" s="8">
        <f t="shared" si="2922"/>
        <v>20023</v>
      </c>
      <c r="B2186" s="8">
        <v>40000</v>
      </c>
      <c r="C2186" s="8" t="s">
        <v>298</v>
      </c>
      <c r="D2186" s="7">
        <f>D2142+10000005</f>
        <v>50900015</v>
      </c>
      <c r="E2186" s="8"/>
      <c r="F2186" s="8">
        <v>1</v>
      </c>
      <c r="G2186" s="7">
        <v>564000</v>
      </c>
      <c r="H2186" s="8" t="s">
        <v>299</v>
      </c>
      <c r="I2186" s="8">
        <v>1</v>
      </c>
      <c r="J2186" s="8">
        <v>240</v>
      </c>
      <c r="K2186" s="7" t="s">
        <v>312</v>
      </c>
      <c r="L2186" s="8">
        <v>76</v>
      </c>
      <c r="M2186" s="7">
        <f>IF(INDEX([1]equip.xml!$B:$B,MATCH(D2186,[1]equip.xml!$A:$A,0))=0,0,N2186)</f>
        <v>130</v>
      </c>
      <c r="N2186" s="8">
        <f t="shared" si="2920"/>
        <v>130</v>
      </c>
    </row>
    <row r="2187" spans="1:14">
      <c r="A2187" s="8">
        <f t="shared" si="2922"/>
        <v>20023</v>
      </c>
      <c r="B2187" s="8">
        <v>40000</v>
      </c>
      <c r="C2187" s="8" t="s">
        <v>298</v>
      </c>
      <c r="D2187" s="7">
        <f t="shared" ref="D2187:D2229" si="2923">D2143+10000005</f>
        <v>50900025</v>
      </c>
      <c r="E2187" s="8"/>
      <c r="F2187" s="8">
        <v>1</v>
      </c>
      <c r="G2187" s="7">
        <v>564000</v>
      </c>
      <c r="H2187" s="8" t="s">
        <v>299</v>
      </c>
      <c r="I2187" s="8">
        <v>1</v>
      </c>
      <c r="J2187" s="8">
        <v>240</v>
      </c>
      <c r="K2187" s="7" t="s">
        <v>312</v>
      </c>
      <c r="L2187" s="8">
        <v>76</v>
      </c>
      <c r="M2187" s="7">
        <f>IF(INDEX([1]equip.xml!$B:$B,MATCH(D2187,[1]equip.xml!$A:$A,0))=0,0,N2187)</f>
        <v>130</v>
      </c>
      <c r="N2187" s="8">
        <f t="shared" si="2920"/>
        <v>130</v>
      </c>
    </row>
    <row r="2188" spans="1:14">
      <c r="A2188" s="8">
        <f t="shared" si="2922"/>
        <v>20023</v>
      </c>
      <c r="B2188" s="8">
        <v>40000</v>
      </c>
      <c r="C2188" s="8" t="s">
        <v>298</v>
      </c>
      <c r="D2188" s="7">
        <f t="shared" si="2923"/>
        <v>50900035</v>
      </c>
      <c r="E2188" s="8"/>
      <c r="F2188" s="8">
        <v>1</v>
      </c>
      <c r="G2188" s="7">
        <v>564000</v>
      </c>
      <c r="H2188" s="8" t="s">
        <v>299</v>
      </c>
      <c r="I2188" s="8">
        <v>1</v>
      </c>
      <c r="J2188" s="8">
        <v>240</v>
      </c>
      <c r="K2188" s="7" t="s">
        <v>312</v>
      </c>
      <c r="L2188" s="8">
        <v>76</v>
      </c>
      <c r="M2188" s="7">
        <f>IF(INDEX([1]equip.xml!$B:$B,MATCH(D2188,[1]equip.xml!$A:$A,0))=0,0,N2188)</f>
        <v>130</v>
      </c>
      <c r="N2188" s="8">
        <f t="shared" si="2920"/>
        <v>130</v>
      </c>
    </row>
    <row r="2189" spans="1:14">
      <c r="A2189" s="8">
        <f>A1661+10000</f>
        <v>20023</v>
      </c>
      <c r="B2189" s="8">
        <v>40000</v>
      </c>
      <c r="C2189" s="8" t="s">
        <v>298</v>
      </c>
      <c r="D2189" s="7">
        <f t="shared" si="2923"/>
        <v>50900085</v>
      </c>
      <c r="E2189" s="8"/>
      <c r="F2189" s="8">
        <v>1</v>
      </c>
      <c r="G2189" s="7">
        <v>564000</v>
      </c>
      <c r="H2189" s="8" t="s">
        <v>299</v>
      </c>
      <c r="I2189" s="8">
        <v>1</v>
      </c>
      <c r="J2189" s="8">
        <v>240</v>
      </c>
      <c r="K2189" s="7" t="s">
        <v>312</v>
      </c>
      <c r="L2189" s="8">
        <v>76</v>
      </c>
      <c r="M2189" s="7">
        <f>IF(INDEX([1]equip.xml!$B:$B,MATCH(D2189,[1]equip.xml!$A:$A,0))=0,0,N2189)</f>
        <v>130</v>
      </c>
      <c r="N2189" s="8">
        <f t="shared" si="2920"/>
        <v>130</v>
      </c>
    </row>
    <row r="2190" spans="1:14">
      <c r="A2190" s="8">
        <f t="shared" si="2922"/>
        <v>20023</v>
      </c>
      <c r="B2190" s="8">
        <v>40000</v>
      </c>
      <c r="C2190" s="8" t="s">
        <v>298</v>
      </c>
      <c r="D2190" s="7">
        <f t="shared" si="2923"/>
        <v>50900095</v>
      </c>
      <c r="E2190" s="8"/>
      <c r="F2190" s="8">
        <v>1</v>
      </c>
      <c r="G2190" s="7">
        <v>564000</v>
      </c>
      <c r="H2190" s="8" t="s">
        <v>299</v>
      </c>
      <c r="I2190" s="8">
        <v>1</v>
      </c>
      <c r="J2190" s="8">
        <v>240</v>
      </c>
      <c r="K2190" s="7" t="s">
        <v>312</v>
      </c>
      <c r="L2190" s="8">
        <v>76</v>
      </c>
      <c r="M2190" s="7">
        <f>IF(INDEX([1]equip.xml!$B:$B,MATCH(D2190,[1]equip.xml!$A:$A,0))=0,0,N2190)</f>
        <v>130</v>
      </c>
      <c r="N2190" s="8">
        <f t="shared" si="2920"/>
        <v>130</v>
      </c>
    </row>
    <row r="2191" spans="1:14">
      <c r="A2191" s="8">
        <f>A1663+10000</f>
        <v>20023</v>
      </c>
      <c r="B2191" s="8">
        <v>40000</v>
      </c>
      <c r="C2191" s="8" t="s">
        <v>298</v>
      </c>
      <c r="D2191" s="7">
        <f t="shared" si="2923"/>
        <v>50900105</v>
      </c>
      <c r="E2191" s="8"/>
      <c r="F2191" s="8">
        <v>1</v>
      </c>
      <c r="G2191" s="7">
        <v>564000</v>
      </c>
      <c r="H2191" s="8" t="s">
        <v>299</v>
      </c>
      <c r="I2191" s="8">
        <v>1</v>
      </c>
      <c r="J2191" s="8">
        <v>240</v>
      </c>
      <c r="K2191" s="7" t="s">
        <v>312</v>
      </c>
      <c r="L2191" s="8">
        <v>76</v>
      </c>
      <c r="M2191" s="7">
        <f>IF(INDEX([1]equip.xml!$B:$B,MATCH(D2191,[1]equip.xml!$A:$A,0))=0,0,N2191)</f>
        <v>130</v>
      </c>
      <c r="N2191" s="8">
        <f t="shared" si="2920"/>
        <v>130</v>
      </c>
    </row>
    <row r="2192" spans="1:14">
      <c r="A2192" s="8">
        <f t="shared" ref="A2192:A2239" si="2924">A1664+10000</f>
        <v>20023</v>
      </c>
      <c r="B2192" s="8">
        <v>40000</v>
      </c>
      <c r="C2192" s="8" t="s">
        <v>298</v>
      </c>
      <c r="D2192" s="7">
        <f t="shared" si="2923"/>
        <v>50901055</v>
      </c>
      <c r="E2192" s="8"/>
      <c r="F2192" s="8">
        <v>1</v>
      </c>
      <c r="G2192" s="7">
        <v>564000</v>
      </c>
      <c r="H2192" s="8" t="s">
        <v>299</v>
      </c>
      <c r="I2192" s="8">
        <v>1</v>
      </c>
      <c r="J2192" s="8">
        <v>240</v>
      </c>
      <c r="K2192" s="7" t="s">
        <v>312</v>
      </c>
      <c r="L2192" s="8">
        <v>76</v>
      </c>
      <c r="M2192" s="7">
        <f>IF(INDEX([1]equip.xml!$B:$B,MATCH(D2192,[1]equip.xml!$A:$A,0))=0,0,N2192)</f>
        <v>130</v>
      </c>
      <c r="N2192" s="8">
        <f t="shared" si="2920"/>
        <v>130</v>
      </c>
    </row>
    <row r="2193" spans="1:14">
      <c r="A2193" s="8">
        <f t="shared" si="2924"/>
        <v>20023</v>
      </c>
      <c r="B2193" s="8">
        <v>40000</v>
      </c>
      <c r="C2193" s="8" t="s">
        <v>298</v>
      </c>
      <c r="D2193" s="7">
        <f t="shared" si="2923"/>
        <v>50901056</v>
      </c>
      <c r="E2193" s="8"/>
      <c r="F2193" s="8">
        <v>1</v>
      </c>
      <c r="G2193" s="7">
        <v>582000</v>
      </c>
      <c r="H2193" s="8" t="s">
        <v>299</v>
      </c>
      <c r="I2193" s="8">
        <v>1</v>
      </c>
      <c r="J2193" s="8">
        <v>240</v>
      </c>
      <c r="K2193" s="7" t="s">
        <v>312</v>
      </c>
      <c r="L2193" s="8">
        <v>76</v>
      </c>
      <c r="M2193" s="7">
        <f>IF(INDEX([1]equip.xml!$B:$B,MATCH(D2193,[1]equip.xml!$A:$A,0))=0,0,N2193)</f>
        <v>130</v>
      </c>
      <c r="N2193" s="8">
        <f t="shared" si="2920"/>
        <v>130</v>
      </c>
    </row>
    <row r="2194" spans="1:14">
      <c r="A2194" s="8">
        <f t="shared" si="2924"/>
        <v>20023</v>
      </c>
      <c r="B2194" s="8">
        <v>40000</v>
      </c>
      <c r="C2194" s="8" t="s">
        <v>298</v>
      </c>
      <c r="D2194" s="7">
        <f t="shared" si="2923"/>
        <v>50901065</v>
      </c>
      <c r="E2194" s="8"/>
      <c r="F2194" s="8">
        <v>1</v>
      </c>
      <c r="G2194" s="7">
        <v>564000</v>
      </c>
      <c r="H2194" s="8" t="s">
        <v>299</v>
      </c>
      <c r="I2194" s="8">
        <v>1</v>
      </c>
      <c r="J2194" s="8">
        <v>240</v>
      </c>
      <c r="K2194" s="7" t="s">
        <v>312</v>
      </c>
      <c r="L2194" s="8">
        <v>76</v>
      </c>
      <c r="M2194" s="7">
        <f>IF(INDEX([1]equip.xml!$B:$B,MATCH(D2194,[1]equip.xml!$A:$A,0))=0,0,N2194)</f>
        <v>130</v>
      </c>
      <c r="N2194" s="8">
        <f t="shared" si="2920"/>
        <v>130</v>
      </c>
    </row>
    <row r="2195" spans="1:14">
      <c r="A2195" s="8">
        <f t="shared" si="2924"/>
        <v>20023</v>
      </c>
      <c r="B2195" s="8">
        <v>40000</v>
      </c>
      <c r="C2195" s="8" t="s">
        <v>298</v>
      </c>
      <c r="D2195" s="7">
        <f t="shared" si="2923"/>
        <v>50901066</v>
      </c>
      <c r="E2195" s="8"/>
      <c r="F2195" s="8">
        <v>1</v>
      </c>
      <c r="G2195" s="7">
        <v>582000</v>
      </c>
      <c r="H2195" s="8" t="s">
        <v>299</v>
      </c>
      <c r="I2195" s="8">
        <v>1</v>
      </c>
      <c r="J2195" s="8">
        <v>240</v>
      </c>
      <c r="K2195" s="7" t="s">
        <v>312</v>
      </c>
      <c r="L2195" s="8">
        <v>76</v>
      </c>
      <c r="M2195" s="7">
        <f>IF(INDEX([1]equip.xml!$B:$B,MATCH(D2195,[1]equip.xml!$A:$A,0))=0,0,N2195)</f>
        <v>130</v>
      </c>
      <c r="N2195" s="8">
        <f t="shared" si="2920"/>
        <v>130</v>
      </c>
    </row>
    <row r="2196" spans="1:14">
      <c r="A2196" s="8">
        <f t="shared" si="2924"/>
        <v>20023</v>
      </c>
      <c r="B2196" s="8">
        <v>40000</v>
      </c>
      <c r="C2196" s="8" t="s">
        <v>298</v>
      </c>
      <c r="D2196" s="7">
        <f t="shared" si="2923"/>
        <v>50902055</v>
      </c>
      <c r="E2196" s="8"/>
      <c r="F2196" s="8">
        <v>1</v>
      </c>
      <c r="G2196" s="7">
        <v>564000</v>
      </c>
      <c r="H2196" s="8" t="s">
        <v>299</v>
      </c>
      <c r="I2196" s="8">
        <v>1</v>
      </c>
      <c r="J2196" s="8">
        <v>240</v>
      </c>
      <c r="K2196" s="7" t="s">
        <v>312</v>
      </c>
      <c r="L2196" s="8">
        <v>76</v>
      </c>
      <c r="M2196" s="7">
        <f>IF(INDEX([1]equip.xml!$B:$B,MATCH(D2196,[1]equip.xml!$A:$A,0))=0,0,N2196)</f>
        <v>130</v>
      </c>
      <c r="N2196" s="8">
        <f t="shared" si="2920"/>
        <v>130</v>
      </c>
    </row>
    <row r="2197" spans="1:14">
      <c r="A2197" s="8">
        <f t="shared" si="2924"/>
        <v>20023</v>
      </c>
      <c r="B2197" s="8">
        <v>40000</v>
      </c>
      <c r="C2197" s="8" t="s">
        <v>298</v>
      </c>
      <c r="D2197" s="7">
        <f t="shared" si="2923"/>
        <v>50902056</v>
      </c>
      <c r="E2197" s="8"/>
      <c r="F2197" s="8">
        <v>1</v>
      </c>
      <c r="G2197" s="7">
        <v>582000</v>
      </c>
      <c r="H2197" s="8" t="s">
        <v>299</v>
      </c>
      <c r="I2197" s="8">
        <v>1</v>
      </c>
      <c r="J2197" s="8">
        <v>240</v>
      </c>
      <c r="K2197" s="7" t="s">
        <v>312</v>
      </c>
      <c r="L2197" s="8">
        <v>76</v>
      </c>
      <c r="M2197" s="7">
        <f>IF(INDEX([1]equip.xml!$B:$B,MATCH(D2197,[1]equip.xml!$A:$A,0))=0,0,N2197)</f>
        <v>130</v>
      </c>
      <c r="N2197" s="8">
        <f t="shared" si="2920"/>
        <v>130</v>
      </c>
    </row>
    <row r="2198" spans="1:14">
      <c r="A2198" s="8">
        <f t="shared" si="2924"/>
        <v>20023</v>
      </c>
      <c r="B2198" s="8">
        <v>40000</v>
      </c>
      <c r="C2198" s="8" t="s">
        <v>298</v>
      </c>
      <c r="D2198" s="7">
        <f t="shared" si="2923"/>
        <v>50902065</v>
      </c>
      <c r="E2198" s="8"/>
      <c r="F2198" s="8">
        <v>1</v>
      </c>
      <c r="G2198" s="7">
        <v>564000</v>
      </c>
      <c r="H2198" s="8" t="s">
        <v>299</v>
      </c>
      <c r="I2198" s="8">
        <v>1</v>
      </c>
      <c r="J2198" s="8">
        <v>240</v>
      </c>
      <c r="K2198" s="7" t="s">
        <v>312</v>
      </c>
      <c r="L2198" s="8">
        <v>76</v>
      </c>
      <c r="M2198" s="7">
        <f>IF(INDEX([1]equip.xml!$B:$B,MATCH(D2198,[1]equip.xml!$A:$A,0))=0,0,N2198)</f>
        <v>130</v>
      </c>
      <c r="N2198" s="8">
        <f t="shared" si="2920"/>
        <v>130</v>
      </c>
    </row>
    <row r="2199" spans="1:14">
      <c r="A2199" s="8">
        <f t="shared" si="2924"/>
        <v>20023</v>
      </c>
      <c r="B2199" s="8">
        <v>40000</v>
      </c>
      <c r="C2199" s="8" t="s">
        <v>298</v>
      </c>
      <c r="D2199" s="7">
        <f t="shared" si="2923"/>
        <v>50902066</v>
      </c>
      <c r="E2199" s="8"/>
      <c r="F2199" s="8">
        <v>1</v>
      </c>
      <c r="G2199" s="7">
        <v>582000</v>
      </c>
      <c r="H2199" s="8" t="s">
        <v>299</v>
      </c>
      <c r="I2199" s="8">
        <v>1</v>
      </c>
      <c r="J2199" s="8">
        <v>240</v>
      </c>
      <c r="K2199" s="7" t="s">
        <v>312</v>
      </c>
      <c r="L2199" s="8">
        <v>76</v>
      </c>
      <c r="M2199" s="7">
        <f>IF(INDEX([1]equip.xml!$B:$B,MATCH(D2199,[1]equip.xml!$A:$A,0))=0,0,N2199)</f>
        <v>130</v>
      </c>
      <c r="N2199" s="8">
        <f t="shared" si="2920"/>
        <v>130</v>
      </c>
    </row>
    <row r="2200" spans="1:14">
      <c r="A2200" s="8">
        <f t="shared" si="2924"/>
        <v>20023</v>
      </c>
      <c r="B2200" s="8">
        <v>40000</v>
      </c>
      <c r="C2200" s="8" t="s">
        <v>298</v>
      </c>
      <c r="D2200" s="7">
        <f t="shared" si="2923"/>
        <v>50903055</v>
      </c>
      <c r="E2200" s="8"/>
      <c r="F2200" s="8">
        <v>1</v>
      </c>
      <c r="G2200" s="7">
        <v>564000</v>
      </c>
      <c r="H2200" s="8" t="s">
        <v>299</v>
      </c>
      <c r="I2200" s="8">
        <v>1</v>
      </c>
      <c r="J2200" s="8">
        <v>240</v>
      </c>
      <c r="K2200" s="7" t="s">
        <v>312</v>
      </c>
      <c r="L2200" s="8">
        <v>76</v>
      </c>
      <c r="M2200" s="7">
        <f>IF(INDEX([1]equip.xml!$B:$B,MATCH(D2200,[1]equip.xml!$A:$A,0))=0,0,N2200)</f>
        <v>130</v>
      </c>
      <c r="N2200" s="8">
        <f t="shared" si="2920"/>
        <v>130</v>
      </c>
    </row>
    <row r="2201" spans="1:14">
      <c r="A2201" s="8">
        <f t="shared" si="2924"/>
        <v>20023</v>
      </c>
      <c r="B2201" s="8">
        <v>40000</v>
      </c>
      <c r="C2201" s="8" t="s">
        <v>298</v>
      </c>
      <c r="D2201" s="7">
        <f t="shared" si="2923"/>
        <v>50903056</v>
      </c>
      <c r="E2201" s="8"/>
      <c r="F2201" s="8">
        <v>1</v>
      </c>
      <c r="G2201" s="7">
        <v>582000</v>
      </c>
      <c r="H2201" s="8" t="s">
        <v>299</v>
      </c>
      <c r="I2201" s="8">
        <v>1</v>
      </c>
      <c r="J2201" s="8">
        <v>240</v>
      </c>
      <c r="K2201" s="7" t="s">
        <v>312</v>
      </c>
      <c r="L2201" s="8">
        <v>76</v>
      </c>
      <c r="M2201" s="7">
        <f>IF(INDEX([1]equip.xml!$B:$B,MATCH(D2201,[1]equip.xml!$A:$A,0))=0,0,N2201)</f>
        <v>130</v>
      </c>
      <c r="N2201" s="8">
        <f t="shared" si="2920"/>
        <v>130</v>
      </c>
    </row>
    <row r="2202" spans="1:14">
      <c r="A2202" s="8">
        <f t="shared" si="2924"/>
        <v>20023</v>
      </c>
      <c r="B2202" s="8">
        <v>40000</v>
      </c>
      <c r="C2202" s="8" t="s">
        <v>298</v>
      </c>
      <c r="D2202" s="7">
        <f t="shared" si="2923"/>
        <v>50903065</v>
      </c>
      <c r="E2202" s="8"/>
      <c r="F2202" s="8">
        <v>1</v>
      </c>
      <c r="G2202" s="7">
        <v>564000</v>
      </c>
      <c r="H2202" s="8" t="s">
        <v>299</v>
      </c>
      <c r="I2202" s="8">
        <v>1</v>
      </c>
      <c r="J2202" s="8">
        <v>240</v>
      </c>
      <c r="K2202" s="7" t="s">
        <v>312</v>
      </c>
      <c r="L2202" s="8">
        <v>76</v>
      </c>
      <c r="M2202" s="7">
        <f>IF(INDEX([1]equip.xml!$B:$B,MATCH(D2202,[1]equip.xml!$A:$A,0))=0,0,N2202)</f>
        <v>130</v>
      </c>
      <c r="N2202" s="8">
        <f t="shared" si="2920"/>
        <v>130</v>
      </c>
    </row>
    <row r="2203" spans="1:14">
      <c r="A2203" s="8">
        <f t="shared" si="2924"/>
        <v>20023</v>
      </c>
      <c r="B2203" s="8">
        <v>40000</v>
      </c>
      <c r="C2203" s="8" t="s">
        <v>298</v>
      </c>
      <c r="D2203" s="7">
        <f t="shared" si="2923"/>
        <v>50903066</v>
      </c>
      <c r="E2203" s="8"/>
      <c r="F2203" s="8">
        <v>1</v>
      </c>
      <c r="G2203" s="7">
        <v>582000</v>
      </c>
      <c r="H2203" s="8" t="s">
        <v>299</v>
      </c>
      <c r="I2203" s="8">
        <v>1</v>
      </c>
      <c r="J2203" s="8">
        <v>240</v>
      </c>
      <c r="K2203" s="7" t="s">
        <v>312</v>
      </c>
      <c r="L2203" s="8">
        <v>76</v>
      </c>
      <c r="M2203" s="7">
        <f>IF(INDEX([1]equip.xml!$B:$B,MATCH(D2203,[1]equip.xml!$A:$A,0))=0,0,N2203)</f>
        <v>130</v>
      </c>
      <c r="N2203" s="8">
        <f t="shared" si="2920"/>
        <v>130</v>
      </c>
    </row>
    <row r="2204" spans="1:14">
      <c r="A2204" s="8">
        <f>A1676+10000</f>
        <v>20023</v>
      </c>
      <c r="B2204" s="8">
        <v>40000</v>
      </c>
      <c r="C2204" s="8" t="s">
        <v>298</v>
      </c>
      <c r="D2204" s="7">
        <f t="shared" si="2923"/>
        <v>50900045</v>
      </c>
      <c r="E2204" s="8"/>
      <c r="F2204" s="8">
        <v>1</v>
      </c>
      <c r="G2204" s="7">
        <v>564000</v>
      </c>
      <c r="H2204" s="8" t="s">
        <v>299</v>
      </c>
      <c r="I2204" s="8">
        <v>1</v>
      </c>
      <c r="J2204" s="8">
        <v>240</v>
      </c>
      <c r="K2204" s="7" t="s">
        <v>312</v>
      </c>
      <c r="L2204" s="8">
        <v>76</v>
      </c>
      <c r="M2204" s="7">
        <f>IF(INDEX([1]equip.xml!$B:$B,MATCH(D2204,[1]equip.xml!$A:$A,0))=0,0,N2204)</f>
        <v>130</v>
      </c>
      <c r="N2204" s="8">
        <f t="shared" si="2920"/>
        <v>130</v>
      </c>
    </row>
    <row r="2205" spans="1:14">
      <c r="A2205" s="8">
        <f t="shared" si="2924"/>
        <v>20023</v>
      </c>
      <c r="B2205" s="8">
        <v>40000</v>
      </c>
      <c r="C2205" s="8" t="s">
        <v>298</v>
      </c>
      <c r="D2205" s="7">
        <f t="shared" si="2923"/>
        <v>50900046</v>
      </c>
      <c r="E2205" s="8"/>
      <c r="F2205" s="8">
        <v>1</v>
      </c>
      <c r="G2205" s="7">
        <v>582000</v>
      </c>
      <c r="H2205" s="8" t="s">
        <v>299</v>
      </c>
      <c r="I2205" s="8">
        <v>1</v>
      </c>
      <c r="J2205" s="8">
        <v>240</v>
      </c>
      <c r="K2205" s="7" t="s">
        <v>312</v>
      </c>
      <c r="L2205" s="8">
        <v>76</v>
      </c>
      <c r="M2205" s="7">
        <f>IF(INDEX([1]equip.xml!$B:$B,MATCH(D2205,[1]equip.xml!$A:$A,0))=0,0,N2205)</f>
        <v>130</v>
      </c>
      <c r="N2205" s="8">
        <f t="shared" si="2920"/>
        <v>130</v>
      </c>
    </row>
    <row r="2206" spans="1:14">
      <c r="A2206" s="8">
        <f t="shared" si="2924"/>
        <v>20023</v>
      </c>
      <c r="B2206" s="8">
        <v>40000</v>
      </c>
      <c r="C2206" s="8" t="s">
        <v>298</v>
      </c>
      <c r="D2206" s="7">
        <f t="shared" si="2923"/>
        <v>50900075</v>
      </c>
      <c r="E2206" s="8"/>
      <c r="F2206" s="8">
        <v>1</v>
      </c>
      <c r="G2206" s="7">
        <v>564000</v>
      </c>
      <c r="H2206" s="8" t="s">
        <v>299</v>
      </c>
      <c r="I2206" s="8">
        <v>1</v>
      </c>
      <c r="J2206" s="8">
        <v>240</v>
      </c>
      <c r="K2206" s="7" t="s">
        <v>312</v>
      </c>
      <c r="L2206" s="8">
        <v>76</v>
      </c>
      <c r="M2206" s="7">
        <f>IF(INDEX([1]equip.xml!$B:$B,MATCH(D2206,[1]equip.xml!$A:$A,0))=0,0,N2206)</f>
        <v>130</v>
      </c>
      <c r="N2206" s="8">
        <f t="shared" si="2920"/>
        <v>130</v>
      </c>
    </row>
    <row r="2207" spans="1:14">
      <c r="A2207" s="8">
        <f t="shared" si="2924"/>
        <v>20023</v>
      </c>
      <c r="B2207" s="8">
        <v>40000</v>
      </c>
      <c r="C2207" s="8" t="s">
        <v>298</v>
      </c>
      <c r="D2207" s="7">
        <f t="shared" si="2923"/>
        <v>50900076</v>
      </c>
      <c r="E2207" s="8"/>
      <c r="F2207" s="8">
        <v>1</v>
      </c>
      <c r="G2207" s="7">
        <v>582000</v>
      </c>
      <c r="H2207" s="8" t="s">
        <v>299</v>
      </c>
      <c r="I2207" s="8">
        <v>1</v>
      </c>
      <c r="J2207" s="8">
        <v>240</v>
      </c>
      <c r="K2207" s="7" t="s">
        <v>312</v>
      </c>
      <c r="L2207" s="8">
        <v>76</v>
      </c>
      <c r="M2207" s="7">
        <f>IF(INDEX([1]equip.xml!$B:$B,MATCH(D2207,[1]equip.xml!$A:$A,0))=0,0,N2207)</f>
        <v>130</v>
      </c>
      <c r="N2207" s="8">
        <f t="shared" si="2920"/>
        <v>130</v>
      </c>
    </row>
    <row r="2208" spans="1:14">
      <c r="A2208" s="8">
        <f t="shared" si="2924"/>
        <v>20023</v>
      </c>
      <c r="B2208" s="8">
        <v>40000</v>
      </c>
      <c r="C2208" s="8" t="s">
        <v>298</v>
      </c>
      <c r="D2208" s="7">
        <f t="shared" si="2923"/>
        <v>50950015</v>
      </c>
      <c r="E2208" s="8"/>
      <c r="F2208" s="8">
        <v>1</v>
      </c>
      <c r="G2208" s="7">
        <v>600000</v>
      </c>
      <c r="H2208" s="8" t="s">
        <v>299</v>
      </c>
      <c r="I2208" s="8">
        <v>1</v>
      </c>
      <c r="J2208" s="8">
        <v>240</v>
      </c>
      <c r="K2208" s="7" t="s">
        <v>312</v>
      </c>
      <c r="L2208" s="8">
        <v>76</v>
      </c>
      <c r="M2208" s="7">
        <f>IF(INDEX([1]equip.xml!$B:$B,MATCH(D2208,[1]equip.xml!$A:$A,0))=0,0,N2208)</f>
        <v>3</v>
      </c>
      <c r="N2208" s="8">
        <f t="shared" si="2920"/>
        <v>3</v>
      </c>
    </row>
    <row r="2209" spans="1:14">
      <c r="A2209" s="8">
        <f t="shared" si="2924"/>
        <v>20023</v>
      </c>
      <c r="B2209" s="8">
        <v>40000</v>
      </c>
      <c r="C2209" s="8" t="s">
        <v>298</v>
      </c>
      <c r="D2209" s="7">
        <f t="shared" si="2923"/>
        <v>50950025</v>
      </c>
      <c r="E2209" s="8"/>
      <c r="F2209" s="8">
        <v>1</v>
      </c>
      <c r="G2209" s="7">
        <v>600000</v>
      </c>
      <c r="H2209" s="8" t="s">
        <v>299</v>
      </c>
      <c r="I2209" s="8">
        <v>1</v>
      </c>
      <c r="J2209" s="8">
        <v>240</v>
      </c>
      <c r="K2209" s="7" t="s">
        <v>312</v>
      </c>
      <c r="L2209" s="8">
        <v>76</v>
      </c>
      <c r="M2209" s="7">
        <f>IF(INDEX([1]equip.xml!$B:$B,MATCH(D2209,[1]equip.xml!$A:$A,0))=0,0,N2209)</f>
        <v>3</v>
      </c>
      <c r="N2209" s="8">
        <f t="shared" si="2920"/>
        <v>3</v>
      </c>
    </row>
    <row r="2210" spans="1:14">
      <c r="A2210" s="8">
        <f t="shared" si="2924"/>
        <v>20023</v>
      </c>
      <c r="B2210" s="8">
        <v>40000</v>
      </c>
      <c r="C2210" s="8" t="s">
        <v>298</v>
      </c>
      <c r="D2210" s="7">
        <f t="shared" si="2923"/>
        <v>50950035</v>
      </c>
      <c r="E2210" s="8"/>
      <c r="F2210" s="8">
        <v>1</v>
      </c>
      <c r="G2210" s="7">
        <v>600000</v>
      </c>
      <c r="H2210" s="8" t="s">
        <v>299</v>
      </c>
      <c r="I2210" s="8">
        <v>1</v>
      </c>
      <c r="J2210" s="8">
        <v>240</v>
      </c>
      <c r="K2210" s="7" t="s">
        <v>312</v>
      </c>
      <c r="L2210" s="8">
        <v>76</v>
      </c>
      <c r="M2210" s="7">
        <f>IF(INDEX([1]equip.xml!$B:$B,MATCH(D2210,[1]equip.xml!$A:$A,0))=0,0,N2210)</f>
        <v>3</v>
      </c>
      <c r="N2210" s="8">
        <f t="shared" si="2920"/>
        <v>3</v>
      </c>
    </row>
    <row r="2211" spans="1:14">
      <c r="A2211" s="8">
        <f t="shared" si="2924"/>
        <v>20023</v>
      </c>
      <c r="B2211" s="8">
        <v>40000</v>
      </c>
      <c r="C2211" s="8" t="s">
        <v>298</v>
      </c>
      <c r="D2211" s="7">
        <f t="shared" si="2923"/>
        <v>50950085</v>
      </c>
      <c r="E2211" s="8"/>
      <c r="F2211" s="8">
        <v>1</v>
      </c>
      <c r="G2211" s="7">
        <v>600000</v>
      </c>
      <c r="H2211" s="8" t="s">
        <v>299</v>
      </c>
      <c r="I2211" s="8">
        <v>1</v>
      </c>
      <c r="J2211" s="8">
        <v>240</v>
      </c>
      <c r="K2211" s="7" t="s">
        <v>312</v>
      </c>
      <c r="L2211" s="8">
        <v>76</v>
      </c>
      <c r="M2211" s="7">
        <f>IF(INDEX([1]equip.xml!$B:$B,MATCH(D2211,[1]equip.xml!$A:$A,0))=0,0,N2211)</f>
        <v>3</v>
      </c>
      <c r="N2211" s="8">
        <f t="shared" si="2920"/>
        <v>3</v>
      </c>
    </row>
    <row r="2212" spans="1:14">
      <c r="A2212" s="8">
        <f t="shared" si="2924"/>
        <v>20023</v>
      </c>
      <c r="B2212" s="8">
        <v>40000</v>
      </c>
      <c r="C2212" s="8" t="s">
        <v>298</v>
      </c>
      <c r="D2212" s="7">
        <f t="shared" si="2923"/>
        <v>50950095</v>
      </c>
      <c r="E2212" s="8"/>
      <c r="F2212" s="8">
        <v>1</v>
      </c>
      <c r="G2212" s="7">
        <v>600000</v>
      </c>
      <c r="H2212" s="8" t="s">
        <v>299</v>
      </c>
      <c r="I2212" s="8">
        <v>1</v>
      </c>
      <c r="J2212" s="8">
        <v>240</v>
      </c>
      <c r="K2212" s="7" t="s">
        <v>312</v>
      </c>
      <c r="L2212" s="8">
        <v>76</v>
      </c>
      <c r="M2212" s="7">
        <f>IF(INDEX([1]equip.xml!$B:$B,MATCH(D2212,[1]equip.xml!$A:$A,0))=0,0,N2212)</f>
        <v>3</v>
      </c>
      <c r="N2212" s="8">
        <f t="shared" si="2920"/>
        <v>3</v>
      </c>
    </row>
    <row r="2213" spans="1:14">
      <c r="A2213" s="8">
        <f t="shared" si="2924"/>
        <v>20023</v>
      </c>
      <c r="B2213" s="8">
        <v>40000</v>
      </c>
      <c r="C2213" s="8" t="s">
        <v>298</v>
      </c>
      <c r="D2213" s="7">
        <f t="shared" si="2923"/>
        <v>50950105</v>
      </c>
      <c r="E2213" s="8"/>
      <c r="F2213" s="8">
        <v>1</v>
      </c>
      <c r="G2213" s="7">
        <v>600000</v>
      </c>
      <c r="H2213" s="8" t="s">
        <v>299</v>
      </c>
      <c r="I2213" s="8">
        <v>1</v>
      </c>
      <c r="J2213" s="8">
        <v>240</v>
      </c>
      <c r="K2213" s="7" t="s">
        <v>312</v>
      </c>
      <c r="L2213" s="8">
        <v>76</v>
      </c>
      <c r="M2213" s="7">
        <f>IF(INDEX([1]equip.xml!$B:$B,MATCH(D2213,[1]equip.xml!$A:$A,0))=0,0,N2213)</f>
        <v>3</v>
      </c>
      <c r="N2213" s="8">
        <f t="shared" si="2920"/>
        <v>3</v>
      </c>
    </row>
    <row r="2214" spans="1:14">
      <c r="A2214" s="8">
        <f t="shared" si="2924"/>
        <v>20023</v>
      </c>
      <c r="B2214" s="8">
        <v>40000</v>
      </c>
      <c r="C2214" s="8" t="s">
        <v>298</v>
      </c>
      <c r="D2214" s="7">
        <f t="shared" si="2923"/>
        <v>50951055</v>
      </c>
      <c r="E2214" s="8"/>
      <c r="F2214" s="8">
        <v>1</v>
      </c>
      <c r="G2214" s="7">
        <v>600000</v>
      </c>
      <c r="H2214" s="8" t="s">
        <v>299</v>
      </c>
      <c r="I2214" s="8">
        <v>1</v>
      </c>
      <c r="J2214" s="8">
        <v>240</v>
      </c>
      <c r="K2214" s="7" t="s">
        <v>312</v>
      </c>
      <c r="L2214" s="8">
        <v>76</v>
      </c>
      <c r="M2214" s="7">
        <f>IF(INDEX([1]equip.xml!$B:$B,MATCH(D2214,[1]equip.xml!$A:$A,0))=0,0,N2214)</f>
        <v>3</v>
      </c>
      <c r="N2214" s="8">
        <f t="shared" si="2920"/>
        <v>3</v>
      </c>
    </row>
    <row r="2215" spans="1:14">
      <c r="A2215" s="8">
        <f t="shared" si="2924"/>
        <v>20023</v>
      </c>
      <c r="B2215" s="8">
        <v>40000</v>
      </c>
      <c r="C2215" s="8" t="s">
        <v>298</v>
      </c>
      <c r="D2215" s="7">
        <f t="shared" si="2923"/>
        <v>50951056</v>
      </c>
      <c r="E2215" s="8"/>
      <c r="F2215" s="8">
        <v>1</v>
      </c>
      <c r="G2215" s="7">
        <v>618000</v>
      </c>
      <c r="H2215" s="8" t="s">
        <v>299</v>
      </c>
      <c r="I2215" s="8">
        <v>1</v>
      </c>
      <c r="J2215" s="8">
        <v>240</v>
      </c>
      <c r="K2215" s="7" t="s">
        <v>312</v>
      </c>
      <c r="L2215" s="8">
        <v>76</v>
      </c>
      <c r="M2215" s="7">
        <f>IF(INDEX([1]equip.xml!$B:$B,MATCH(D2215,[1]equip.xml!$A:$A,0))=0,0,N2215)</f>
        <v>3</v>
      </c>
      <c r="N2215" s="8">
        <f t="shared" si="2920"/>
        <v>3</v>
      </c>
    </row>
    <row r="2216" spans="1:14">
      <c r="A2216" s="8">
        <f t="shared" si="2924"/>
        <v>20023</v>
      </c>
      <c r="B2216" s="8">
        <v>40000</v>
      </c>
      <c r="C2216" s="8" t="s">
        <v>298</v>
      </c>
      <c r="D2216" s="7">
        <f t="shared" si="2923"/>
        <v>50951065</v>
      </c>
      <c r="E2216" s="8"/>
      <c r="F2216" s="8">
        <v>1</v>
      </c>
      <c r="G2216" s="7">
        <v>600000</v>
      </c>
      <c r="H2216" s="8" t="s">
        <v>299</v>
      </c>
      <c r="I2216" s="8">
        <v>1</v>
      </c>
      <c r="J2216" s="8">
        <v>240</v>
      </c>
      <c r="K2216" s="7" t="s">
        <v>312</v>
      </c>
      <c r="L2216" s="8">
        <v>76</v>
      </c>
      <c r="M2216" s="7">
        <f>IF(INDEX([1]equip.xml!$B:$B,MATCH(D2216,[1]equip.xml!$A:$A,0))=0,0,N2216)</f>
        <v>3</v>
      </c>
      <c r="N2216" s="8">
        <f t="shared" si="2920"/>
        <v>3</v>
      </c>
    </row>
    <row r="2217" spans="1:14">
      <c r="A2217" s="8">
        <f t="shared" si="2924"/>
        <v>20023</v>
      </c>
      <c r="B2217" s="8">
        <v>40000</v>
      </c>
      <c r="C2217" s="8" t="s">
        <v>298</v>
      </c>
      <c r="D2217" s="7">
        <f t="shared" si="2923"/>
        <v>50951066</v>
      </c>
      <c r="E2217" s="8"/>
      <c r="F2217" s="8">
        <v>1</v>
      </c>
      <c r="G2217" s="7">
        <v>618000</v>
      </c>
      <c r="H2217" s="8" t="s">
        <v>299</v>
      </c>
      <c r="I2217" s="8">
        <v>1</v>
      </c>
      <c r="J2217" s="8">
        <v>240</v>
      </c>
      <c r="K2217" s="7" t="s">
        <v>312</v>
      </c>
      <c r="L2217" s="8">
        <v>76</v>
      </c>
      <c r="M2217" s="7">
        <f>IF(INDEX([1]equip.xml!$B:$B,MATCH(D2217,[1]equip.xml!$A:$A,0))=0,0,N2217)</f>
        <v>3</v>
      </c>
      <c r="N2217" s="8">
        <f t="shared" si="2920"/>
        <v>3</v>
      </c>
    </row>
    <row r="2218" spans="1:14">
      <c r="A2218" s="8">
        <f t="shared" si="2924"/>
        <v>20023</v>
      </c>
      <c r="B2218" s="8">
        <v>40000</v>
      </c>
      <c r="C2218" s="8" t="s">
        <v>298</v>
      </c>
      <c r="D2218" s="7">
        <f t="shared" si="2923"/>
        <v>50952055</v>
      </c>
      <c r="E2218" s="8"/>
      <c r="F2218" s="8">
        <v>1</v>
      </c>
      <c r="G2218" s="7">
        <v>600000</v>
      </c>
      <c r="H2218" s="8" t="s">
        <v>299</v>
      </c>
      <c r="I2218" s="8">
        <v>1</v>
      </c>
      <c r="J2218" s="8">
        <v>240</v>
      </c>
      <c r="K2218" s="7" t="s">
        <v>312</v>
      </c>
      <c r="L2218" s="8">
        <v>76</v>
      </c>
      <c r="M2218" s="7">
        <f>IF(INDEX([1]equip.xml!$B:$B,MATCH(D2218,[1]equip.xml!$A:$A,0))=0,0,N2218)</f>
        <v>3</v>
      </c>
      <c r="N2218" s="8">
        <f t="shared" si="2920"/>
        <v>3</v>
      </c>
    </row>
    <row r="2219" spans="1:14">
      <c r="A2219" s="8">
        <f t="shared" si="2924"/>
        <v>20023</v>
      </c>
      <c r="B2219" s="8">
        <v>40000</v>
      </c>
      <c r="C2219" s="8" t="s">
        <v>298</v>
      </c>
      <c r="D2219" s="7">
        <f t="shared" si="2923"/>
        <v>50952056</v>
      </c>
      <c r="E2219" s="8"/>
      <c r="F2219" s="8">
        <v>1</v>
      </c>
      <c r="G2219" s="7">
        <v>618000</v>
      </c>
      <c r="H2219" s="8" t="s">
        <v>299</v>
      </c>
      <c r="I2219" s="8">
        <v>1</v>
      </c>
      <c r="J2219" s="8">
        <v>240</v>
      </c>
      <c r="K2219" s="7" t="s">
        <v>312</v>
      </c>
      <c r="L2219" s="8">
        <v>76</v>
      </c>
      <c r="M2219" s="7">
        <f>IF(INDEX([1]equip.xml!$B:$B,MATCH(D2219,[1]equip.xml!$A:$A,0))=0,0,N2219)</f>
        <v>3</v>
      </c>
      <c r="N2219" s="8">
        <f t="shared" ref="N2219:N2282" si="2925">N2175</f>
        <v>3</v>
      </c>
    </row>
    <row r="2220" spans="1:14">
      <c r="A2220" s="8">
        <f t="shared" si="2924"/>
        <v>20023</v>
      </c>
      <c r="B2220" s="8">
        <v>40000</v>
      </c>
      <c r="C2220" s="8" t="s">
        <v>298</v>
      </c>
      <c r="D2220" s="7">
        <f t="shared" si="2923"/>
        <v>50952065</v>
      </c>
      <c r="E2220" s="8"/>
      <c r="F2220" s="8">
        <v>1</v>
      </c>
      <c r="G2220" s="7">
        <v>600000</v>
      </c>
      <c r="H2220" s="8" t="s">
        <v>299</v>
      </c>
      <c r="I2220" s="8">
        <v>1</v>
      </c>
      <c r="J2220" s="8">
        <v>240</v>
      </c>
      <c r="K2220" s="7" t="s">
        <v>312</v>
      </c>
      <c r="L2220" s="8">
        <v>76</v>
      </c>
      <c r="M2220" s="7">
        <f>IF(INDEX([1]equip.xml!$B:$B,MATCH(D2220,[1]equip.xml!$A:$A,0))=0,0,N2220)</f>
        <v>3</v>
      </c>
      <c r="N2220" s="8">
        <f t="shared" si="2925"/>
        <v>3</v>
      </c>
    </row>
    <row r="2221" spans="1:14">
      <c r="A2221" s="8">
        <f t="shared" si="2924"/>
        <v>20023</v>
      </c>
      <c r="B2221" s="8">
        <v>40000</v>
      </c>
      <c r="C2221" s="8" t="s">
        <v>298</v>
      </c>
      <c r="D2221" s="7">
        <f t="shared" si="2923"/>
        <v>50952066</v>
      </c>
      <c r="E2221" s="8"/>
      <c r="F2221" s="8">
        <v>1</v>
      </c>
      <c r="G2221" s="7">
        <v>618000</v>
      </c>
      <c r="H2221" s="8" t="s">
        <v>299</v>
      </c>
      <c r="I2221" s="8">
        <v>1</v>
      </c>
      <c r="J2221" s="8">
        <v>240</v>
      </c>
      <c r="K2221" s="7" t="s">
        <v>312</v>
      </c>
      <c r="L2221" s="8">
        <v>76</v>
      </c>
      <c r="M2221" s="7">
        <f>IF(INDEX([1]equip.xml!$B:$B,MATCH(D2221,[1]equip.xml!$A:$A,0))=0,0,N2221)</f>
        <v>3</v>
      </c>
      <c r="N2221" s="8">
        <f t="shared" si="2925"/>
        <v>3</v>
      </c>
    </row>
    <row r="2222" spans="1:14">
      <c r="A2222" s="8">
        <f t="shared" si="2924"/>
        <v>20023</v>
      </c>
      <c r="B2222" s="8">
        <v>40000</v>
      </c>
      <c r="C2222" s="8" t="s">
        <v>298</v>
      </c>
      <c r="D2222" s="7">
        <f t="shared" si="2923"/>
        <v>50953055</v>
      </c>
      <c r="E2222" s="8"/>
      <c r="F2222" s="8">
        <v>1</v>
      </c>
      <c r="G2222" s="7">
        <v>600000</v>
      </c>
      <c r="H2222" s="8" t="s">
        <v>299</v>
      </c>
      <c r="I2222" s="8">
        <v>1</v>
      </c>
      <c r="J2222" s="8">
        <v>240</v>
      </c>
      <c r="K2222" s="7" t="s">
        <v>312</v>
      </c>
      <c r="L2222" s="8">
        <v>76</v>
      </c>
      <c r="M2222" s="7">
        <f>IF(INDEX([1]equip.xml!$B:$B,MATCH(D2222,[1]equip.xml!$A:$A,0))=0,0,N2222)</f>
        <v>3</v>
      </c>
      <c r="N2222" s="8">
        <f t="shared" si="2925"/>
        <v>3</v>
      </c>
    </row>
    <row r="2223" spans="1:14">
      <c r="A2223" s="8">
        <f t="shared" si="2924"/>
        <v>20023</v>
      </c>
      <c r="B2223" s="8">
        <v>40000</v>
      </c>
      <c r="C2223" s="8" t="s">
        <v>298</v>
      </c>
      <c r="D2223" s="7">
        <f t="shared" si="2923"/>
        <v>50953056</v>
      </c>
      <c r="E2223" s="8"/>
      <c r="F2223" s="8">
        <v>1</v>
      </c>
      <c r="G2223" s="7">
        <v>618000</v>
      </c>
      <c r="H2223" s="8" t="s">
        <v>299</v>
      </c>
      <c r="I2223" s="8">
        <v>1</v>
      </c>
      <c r="J2223" s="8">
        <v>240</v>
      </c>
      <c r="K2223" s="7" t="s">
        <v>312</v>
      </c>
      <c r="L2223" s="8">
        <v>76</v>
      </c>
      <c r="M2223" s="7">
        <f>IF(INDEX([1]equip.xml!$B:$B,MATCH(D2223,[1]equip.xml!$A:$A,0))=0,0,N2223)</f>
        <v>3</v>
      </c>
      <c r="N2223" s="8">
        <f t="shared" si="2925"/>
        <v>3</v>
      </c>
    </row>
    <row r="2224" spans="1:14">
      <c r="A2224" s="8">
        <f t="shared" si="2924"/>
        <v>20023</v>
      </c>
      <c r="B2224" s="8">
        <v>40000</v>
      </c>
      <c r="C2224" s="8" t="s">
        <v>298</v>
      </c>
      <c r="D2224" s="7">
        <f t="shared" si="2923"/>
        <v>50953065</v>
      </c>
      <c r="E2224" s="8"/>
      <c r="F2224" s="8">
        <v>1</v>
      </c>
      <c r="G2224" s="7">
        <v>600000</v>
      </c>
      <c r="H2224" s="8" t="s">
        <v>299</v>
      </c>
      <c r="I2224" s="8">
        <v>1</v>
      </c>
      <c r="J2224" s="8">
        <v>240</v>
      </c>
      <c r="K2224" s="7" t="s">
        <v>312</v>
      </c>
      <c r="L2224" s="8">
        <v>76</v>
      </c>
      <c r="M2224" s="7">
        <f>IF(INDEX([1]equip.xml!$B:$B,MATCH(D2224,[1]equip.xml!$A:$A,0))=0,0,N2224)</f>
        <v>3</v>
      </c>
      <c r="N2224" s="8">
        <f t="shared" si="2925"/>
        <v>3</v>
      </c>
    </row>
    <row r="2225" spans="1:14">
      <c r="A2225" s="8">
        <f t="shared" si="2924"/>
        <v>20023</v>
      </c>
      <c r="B2225" s="8">
        <v>40000</v>
      </c>
      <c r="C2225" s="8" t="s">
        <v>298</v>
      </c>
      <c r="D2225" s="7">
        <f t="shared" si="2923"/>
        <v>50953066</v>
      </c>
      <c r="E2225" s="8"/>
      <c r="F2225" s="8">
        <v>1</v>
      </c>
      <c r="G2225" s="7">
        <v>618000</v>
      </c>
      <c r="H2225" s="8" t="s">
        <v>299</v>
      </c>
      <c r="I2225" s="8">
        <v>1</v>
      </c>
      <c r="J2225" s="8">
        <v>240</v>
      </c>
      <c r="K2225" s="7" t="s">
        <v>312</v>
      </c>
      <c r="L2225" s="8">
        <v>76</v>
      </c>
      <c r="M2225" s="7">
        <f>IF(INDEX([1]equip.xml!$B:$B,MATCH(D2225,[1]equip.xml!$A:$A,0))=0,0,N2225)</f>
        <v>3</v>
      </c>
      <c r="N2225" s="8">
        <f t="shared" si="2925"/>
        <v>3</v>
      </c>
    </row>
    <row r="2226" spans="1:14">
      <c r="A2226" s="8">
        <f t="shared" si="2924"/>
        <v>20023</v>
      </c>
      <c r="B2226" s="8">
        <v>40000</v>
      </c>
      <c r="C2226" s="8" t="s">
        <v>298</v>
      </c>
      <c r="D2226" s="7">
        <f t="shared" si="2923"/>
        <v>50950045</v>
      </c>
      <c r="E2226" s="8"/>
      <c r="F2226" s="8">
        <v>1</v>
      </c>
      <c r="G2226" s="7">
        <v>600000</v>
      </c>
      <c r="H2226" s="8" t="s">
        <v>299</v>
      </c>
      <c r="I2226" s="8">
        <v>1</v>
      </c>
      <c r="J2226" s="8">
        <v>240</v>
      </c>
      <c r="K2226" s="7" t="s">
        <v>312</v>
      </c>
      <c r="L2226" s="8">
        <v>76</v>
      </c>
      <c r="M2226" s="7">
        <f>IF(INDEX([1]equip.xml!$B:$B,MATCH(D2226,[1]equip.xml!$A:$A,0))=0,0,N2226)</f>
        <v>3</v>
      </c>
      <c r="N2226" s="8">
        <f t="shared" si="2925"/>
        <v>3</v>
      </c>
    </row>
    <row r="2227" spans="1:14">
      <c r="A2227" s="8">
        <f t="shared" si="2924"/>
        <v>20023</v>
      </c>
      <c r="B2227" s="8">
        <v>40000</v>
      </c>
      <c r="C2227" s="8" t="s">
        <v>298</v>
      </c>
      <c r="D2227" s="7">
        <f t="shared" si="2923"/>
        <v>50950046</v>
      </c>
      <c r="E2227" s="8"/>
      <c r="F2227" s="8">
        <v>1</v>
      </c>
      <c r="G2227" s="7">
        <v>618000</v>
      </c>
      <c r="H2227" s="8" t="s">
        <v>299</v>
      </c>
      <c r="I2227" s="8">
        <v>1</v>
      </c>
      <c r="J2227" s="8">
        <v>240</v>
      </c>
      <c r="K2227" s="7" t="s">
        <v>312</v>
      </c>
      <c r="L2227" s="8">
        <v>76</v>
      </c>
      <c r="M2227" s="7">
        <f>IF(INDEX([1]equip.xml!$B:$B,MATCH(D2227,[1]equip.xml!$A:$A,0))=0,0,N2227)</f>
        <v>3</v>
      </c>
      <c r="N2227" s="8">
        <f t="shared" si="2925"/>
        <v>3</v>
      </c>
    </row>
    <row r="2228" spans="1:14">
      <c r="A2228" s="8">
        <f t="shared" si="2924"/>
        <v>20023</v>
      </c>
      <c r="B2228" s="8">
        <v>40000</v>
      </c>
      <c r="C2228" s="8" t="s">
        <v>298</v>
      </c>
      <c r="D2228" s="7">
        <f t="shared" si="2923"/>
        <v>50950075</v>
      </c>
      <c r="E2228" s="8"/>
      <c r="F2228" s="8">
        <v>1</v>
      </c>
      <c r="G2228" s="7">
        <v>600000</v>
      </c>
      <c r="H2228" s="8" t="s">
        <v>299</v>
      </c>
      <c r="I2228" s="8">
        <v>1</v>
      </c>
      <c r="J2228" s="8">
        <v>240</v>
      </c>
      <c r="K2228" s="7" t="s">
        <v>312</v>
      </c>
      <c r="L2228" s="8">
        <v>76</v>
      </c>
      <c r="M2228" s="7">
        <f>IF(INDEX([1]equip.xml!$B:$B,MATCH(D2228,[1]equip.xml!$A:$A,0))=0,0,N2228)</f>
        <v>3</v>
      </c>
      <c r="N2228" s="8">
        <f t="shared" si="2925"/>
        <v>3</v>
      </c>
    </row>
    <row r="2229" spans="1:14">
      <c r="A2229" s="8">
        <f t="shared" si="2924"/>
        <v>20023</v>
      </c>
      <c r="B2229" s="8">
        <v>40000</v>
      </c>
      <c r="C2229" s="8" t="s">
        <v>298</v>
      </c>
      <c r="D2229" s="7">
        <f t="shared" si="2923"/>
        <v>50950076</v>
      </c>
      <c r="E2229" s="8"/>
      <c r="F2229" s="8">
        <v>1</v>
      </c>
      <c r="G2229" s="7">
        <v>618000</v>
      </c>
      <c r="H2229" s="8" t="s">
        <v>299</v>
      </c>
      <c r="I2229" s="8">
        <v>1</v>
      </c>
      <c r="J2229" s="8">
        <v>240</v>
      </c>
      <c r="K2229" s="7" t="s">
        <v>312</v>
      </c>
      <c r="L2229" s="8">
        <v>76</v>
      </c>
      <c r="M2229" s="7">
        <f>IF(INDEX([1]equip.xml!$B:$B,MATCH(D2229,[1]equip.xml!$A:$A,0))=0,0,N2229)</f>
        <v>3</v>
      </c>
      <c r="N2229" s="8">
        <f t="shared" si="2925"/>
        <v>3</v>
      </c>
    </row>
    <row r="2230" spans="1:14">
      <c r="A2230" s="8">
        <f t="shared" si="2924"/>
        <v>20024</v>
      </c>
      <c r="B2230" s="8">
        <v>40000</v>
      </c>
      <c r="C2230" s="8" t="s">
        <v>298</v>
      </c>
      <c r="D2230" s="8">
        <f t="shared" ref="D2230:D2273" si="2926">D2142+50000</f>
        <v>40950010</v>
      </c>
      <c r="E2230" s="8"/>
      <c r="F2230" s="8">
        <v>1</v>
      </c>
      <c r="G2230" s="7">
        <v>300000</v>
      </c>
      <c r="H2230" s="8" t="s">
        <v>299</v>
      </c>
      <c r="I2230" s="8">
        <v>6</v>
      </c>
      <c r="J2230" s="8">
        <v>50</v>
      </c>
      <c r="K2230" s="7" t="s">
        <v>312</v>
      </c>
      <c r="L2230" s="8">
        <v>80</v>
      </c>
      <c r="M2230" s="7">
        <f>IF(INDEX([1]equip.xml!$B:$B,MATCH(D2230,[1]equip.xml!$A:$A,0))=0,0,N2230)</f>
        <v>130</v>
      </c>
      <c r="N2230" s="8">
        <f t="shared" si="2925"/>
        <v>130</v>
      </c>
    </row>
    <row r="2231" spans="1:14">
      <c r="A2231" s="8">
        <f t="shared" si="2924"/>
        <v>20024</v>
      </c>
      <c r="B2231" s="8">
        <v>40000</v>
      </c>
      <c r="C2231" s="8" t="s">
        <v>298</v>
      </c>
      <c r="D2231" s="8">
        <f t="shared" si="2926"/>
        <v>40950020</v>
      </c>
      <c r="E2231" s="8"/>
      <c r="F2231" s="8">
        <v>1</v>
      </c>
      <c r="G2231" s="7">
        <v>300000</v>
      </c>
      <c r="H2231" s="8" t="s">
        <v>299</v>
      </c>
      <c r="I2231" s="8">
        <v>6</v>
      </c>
      <c r="J2231" s="8">
        <v>50</v>
      </c>
      <c r="K2231" s="7" t="s">
        <v>312</v>
      </c>
      <c r="L2231" s="8">
        <v>80</v>
      </c>
      <c r="M2231" s="7">
        <f>IF(INDEX([1]equip.xml!$B:$B,MATCH(D2231,[1]equip.xml!$A:$A,0))=0,0,N2231)</f>
        <v>130</v>
      </c>
      <c r="N2231" s="8">
        <f t="shared" si="2925"/>
        <v>130</v>
      </c>
    </row>
    <row r="2232" spans="1:14">
      <c r="A2232" s="8">
        <f t="shared" si="2924"/>
        <v>20024</v>
      </c>
      <c r="B2232" s="8">
        <v>40000</v>
      </c>
      <c r="C2232" s="8" t="s">
        <v>298</v>
      </c>
      <c r="D2232" s="8">
        <f t="shared" si="2926"/>
        <v>40950030</v>
      </c>
      <c r="E2232" s="8"/>
      <c r="F2232" s="8">
        <v>1</v>
      </c>
      <c r="G2232" s="7">
        <v>300000</v>
      </c>
      <c r="H2232" s="8" t="s">
        <v>299</v>
      </c>
      <c r="I2232" s="8">
        <v>6</v>
      </c>
      <c r="J2232" s="8">
        <v>50</v>
      </c>
      <c r="K2232" s="7" t="s">
        <v>312</v>
      </c>
      <c r="L2232" s="8">
        <v>80</v>
      </c>
      <c r="M2232" s="7">
        <f>IF(INDEX([1]equip.xml!$B:$B,MATCH(D2232,[1]equip.xml!$A:$A,0))=0,0,N2232)</f>
        <v>130</v>
      </c>
      <c r="N2232" s="8">
        <f t="shared" si="2925"/>
        <v>130</v>
      </c>
    </row>
    <row r="2233" spans="1:14">
      <c r="A2233" s="8">
        <f t="shared" si="2924"/>
        <v>20024</v>
      </c>
      <c r="B2233" s="8">
        <v>40000</v>
      </c>
      <c r="C2233" s="8" t="s">
        <v>298</v>
      </c>
      <c r="D2233" s="8">
        <f t="shared" si="2926"/>
        <v>40950080</v>
      </c>
      <c r="E2233" s="8"/>
      <c r="F2233" s="8">
        <v>1</v>
      </c>
      <c r="G2233" s="7">
        <v>300000</v>
      </c>
      <c r="H2233" s="8" t="s">
        <v>299</v>
      </c>
      <c r="I2233" s="8">
        <v>6</v>
      </c>
      <c r="J2233" s="8">
        <v>50</v>
      </c>
      <c r="K2233" s="7" t="s">
        <v>312</v>
      </c>
      <c r="L2233" s="8">
        <v>80</v>
      </c>
      <c r="M2233" s="7">
        <f>IF(INDEX([1]equip.xml!$B:$B,MATCH(D2233,[1]equip.xml!$A:$A,0))=0,0,N2233)</f>
        <v>130</v>
      </c>
      <c r="N2233" s="8">
        <f t="shared" si="2925"/>
        <v>130</v>
      </c>
    </row>
    <row r="2234" spans="1:14">
      <c r="A2234" s="8">
        <f t="shared" si="2924"/>
        <v>20024</v>
      </c>
      <c r="B2234" s="8">
        <v>40000</v>
      </c>
      <c r="C2234" s="8" t="s">
        <v>298</v>
      </c>
      <c r="D2234" s="8">
        <f t="shared" si="2926"/>
        <v>40950090</v>
      </c>
      <c r="E2234" s="8"/>
      <c r="F2234" s="8">
        <v>1</v>
      </c>
      <c r="G2234" s="7">
        <v>300000</v>
      </c>
      <c r="H2234" s="8" t="s">
        <v>299</v>
      </c>
      <c r="I2234" s="8">
        <v>6</v>
      </c>
      <c r="J2234" s="8">
        <v>50</v>
      </c>
      <c r="K2234" s="7" t="s">
        <v>312</v>
      </c>
      <c r="L2234" s="8">
        <v>80</v>
      </c>
      <c r="M2234" s="7">
        <f>IF(INDEX([1]equip.xml!$B:$B,MATCH(D2234,[1]equip.xml!$A:$A,0))=0,0,N2234)</f>
        <v>130</v>
      </c>
      <c r="N2234" s="8">
        <f t="shared" si="2925"/>
        <v>130</v>
      </c>
    </row>
    <row r="2235" spans="1:14">
      <c r="A2235" s="8">
        <f t="shared" si="2924"/>
        <v>20024</v>
      </c>
      <c r="B2235" s="8">
        <v>40000</v>
      </c>
      <c r="C2235" s="8" t="s">
        <v>298</v>
      </c>
      <c r="D2235" s="8">
        <f t="shared" si="2926"/>
        <v>40950100</v>
      </c>
      <c r="E2235" s="8"/>
      <c r="F2235" s="8">
        <v>1</v>
      </c>
      <c r="G2235" s="7">
        <v>300000</v>
      </c>
      <c r="H2235" s="8" t="s">
        <v>299</v>
      </c>
      <c r="I2235" s="8">
        <v>6</v>
      </c>
      <c r="J2235" s="8">
        <v>50</v>
      </c>
      <c r="K2235" s="7" t="s">
        <v>312</v>
      </c>
      <c r="L2235" s="8">
        <v>80</v>
      </c>
      <c r="M2235" s="7">
        <f>IF(INDEX([1]equip.xml!$B:$B,MATCH(D2235,[1]equip.xml!$A:$A,0))=0,0,N2235)</f>
        <v>130</v>
      </c>
      <c r="N2235" s="8">
        <f t="shared" si="2925"/>
        <v>130</v>
      </c>
    </row>
    <row r="2236" spans="1:14">
      <c r="A2236" s="8">
        <f t="shared" si="2924"/>
        <v>20024</v>
      </c>
      <c r="B2236" s="8">
        <v>40000</v>
      </c>
      <c r="C2236" s="8" t="s">
        <v>298</v>
      </c>
      <c r="D2236" s="8">
        <f t="shared" si="2926"/>
        <v>40951050</v>
      </c>
      <c r="E2236" s="8"/>
      <c r="F2236" s="8">
        <v>1</v>
      </c>
      <c r="G2236" s="7">
        <v>300000</v>
      </c>
      <c r="H2236" s="8" t="s">
        <v>299</v>
      </c>
      <c r="I2236" s="8">
        <v>6</v>
      </c>
      <c r="J2236" s="8">
        <v>50</v>
      </c>
      <c r="K2236" s="7" t="s">
        <v>312</v>
      </c>
      <c r="L2236" s="8">
        <v>80</v>
      </c>
      <c r="M2236" s="7">
        <f>IF(INDEX([1]equip.xml!$B:$B,MATCH(D2236,[1]equip.xml!$A:$A,0))=0,0,N2236)</f>
        <v>130</v>
      </c>
      <c r="N2236" s="8">
        <f t="shared" si="2925"/>
        <v>130</v>
      </c>
    </row>
    <row r="2237" spans="1:14">
      <c r="A2237" s="8">
        <f t="shared" si="2924"/>
        <v>20024</v>
      </c>
      <c r="B2237" s="8">
        <v>40000</v>
      </c>
      <c r="C2237" s="8" t="s">
        <v>298</v>
      </c>
      <c r="D2237" s="8">
        <f t="shared" si="2926"/>
        <v>40951051</v>
      </c>
      <c r="E2237" s="8"/>
      <c r="F2237" s="8">
        <v>1</v>
      </c>
      <c r="G2237" s="7">
        <v>309000</v>
      </c>
      <c r="H2237" s="8" t="s">
        <v>299</v>
      </c>
      <c r="I2237" s="8">
        <v>6</v>
      </c>
      <c r="J2237" s="8">
        <v>50</v>
      </c>
      <c r="K2237" s="7" t="s">
        <v>312</v>
      </c>
      <c r="L2237" s="8">
        <v>80</v>
      </c>
      <c r="M2237" s="7">
        <f>IF(INDEX([1]equip.xml!$B:$B,MATCH(D2237,[1]equip.xml!$A:$A,0))=0,0,N2237)</f>
        <v>130</v>
      </c>
      <c r="N2237" s="8">
        <f t="shared" si="2925"/>
        <v>130</v>
      </c>
    </row>
    <row r="2238" spans="1:14">
      <c r="A2238" s="8">
        <f t="shared" si="2924"/>
        <v>20024</v>
      </c>
      <c r="B2238" s="8">
        <v>40000</v>
      </c>
      <c r="C2238" s="8" t="s">
        <v>298</v>
      </c>
      <c r="D2238" s="8">
        <f t="shared" si="2926"/>
        <v>40951060</v>
      </c>
      <c r="E2238" s="8"/>
      <c r="F2238" s="8">
        <v>1</v>
      </c>
      <c r="G2238" s="7">
        <v>300000</v>
      </c>
      <c r="H2238" s="8" t="s">
        <v>299</v>
      </c>
      <c r="I2238" s="8">
        <v>6</v>
      </c>
      <c r="J2238" s="8">
        <v>50</v>
      </c>
      <c r="K2238" s="7" t="s">
        <v>312</v>
      </c>
      <c r="L2238" s="8">
        <v>80</v>
      </c>
      <c r="M2238" s="7">
        <f>IF(INDEX([1]equip.xml!$B:$B,MATCH(D2238,[1]equip.xml!$A:$A,0))=0,0,N2238)</f>
        <v>130</v>
      </c>
      <c r="N2238" s="8">
        <f t="shared" si="2925"/>
        <v>130</v>
      </c>
    </row>
    <row r="2239" spans="1:14">
      <c r="A2239" s="8">
        <f t="shared" si="2924"/>
        <v>20024</v>
      </c>
      <c r="B2239" s="8">
        <v>40000</v>
      </c>
      <c r="C2239" s="8" t="s">
        <v>298</v>
      </c>
      <c r="D2239" s="8">
        <f t="shared" si="2926"/>
        <v>40951061</v>
      </c>
      <c r="E2239" s="8"/>
      <c r="F2239" s="8">
        <v>1</v>
      </c>
      <c r="G2239" s="7">
        <v>309000</v>
      </c>
      <c r="H2239" s="8" t="s">
        <v>299</v>
      </c>
      <c r="I2239" s="8">
        <v>6</v>
      </c>
      <c r="J2239" s="8">
        <v>50</v>
      </c>
      <c r="K2239" s="7" t="s">
        <v>312</v>
      </c>
      <c r="L2239" s="8">
        <v>80</v>
      </c>
      <c r="M2239" s="7">
        <f>IF(INDEX([1]equip.xml!$B:$B,MATCH(D2239,[1]equip.xml!$A:$A,0))=0,0,N2239)</f>
        <v>130</v>
      </c>
      <c r="N2239" s="8">
        <f t="shared" si="2925"/>
        <v>130</v>
      </c>
    </row>
    <row r="2240" spans="1:14">
      <c r="A2240" s="8">
        <f>A1712+10000</f>
        <v>20024</v>
      </c>
      <c r="B2240" s="8">
        <v>40000</v>
      </c>
      <c r="C2240" s="8" t="s">
        <v>298</v>
      </c>
      <c r="D2240" s="8">
        <f t="shared" si="2926"/>
        <v>40952050</v>
      </c>
      <c r="E2240" s="8"/>
      <c r="F2240" s="8">
        <v>1</v>
      </c>
      <c r="G2240" s="7">
        <v>300000</v>
      </c>
      <c r="H2240" s="8" t="s">
        <v>299</v>
      </c>
      <c r="I2240" s="8">
        <v>6</v>
      </c>
      <c r="J2240" s="8">
        <v>50</v>
      </c>
      <c r="K2240" s="7" t="s">
        <v>312</v>
      </c>
      <c r="L2240" s="8">
        <v>80</v>
      </c>
      <c r="M2240" s="7">
        <f>IF(INDEX([1]equip.xml!$B:$B,MATCH(D2240,[1]equip.xml!$A:$A,0))=0,0,N2240)</f>
        <v>130</v>
      </c>
      <c r="N2240" s="8">
        <f t="shared" si="2925"/>
        <v>130</v>
      </c>
    </row>
    <row r="2241" spans="1:14">
      <c r="A2241" s="8">
        <f t="shared" ref="A2241:A2304" si="2927">A1713+10000</f>
        <v>20024</v>
      </c>
      <c r="B2241" s="8">
        <v>40000</v>
      </c>
      <c r="C2241" s="8" t="s">
        <v>298</v>
      </c>
      <c r="D2241" s="8">
        <f t="shared" si="2926"/>
        <v>40952051</v>
      </c>
      <c r="E2241" s="8"/>
      <c r="F2241" s="8">
        <v>1</v>
      </c>
      <c r="G2241" s="7">
        <v>309000</v>
      </c>
      <c r="H2241" s="8" t="s">
        <v>299</v>
      </c>
      <c r="I2241" s="8">
        <v>6</v>
      </c>
      <c r="J2241" s="8">
        <v>50</v>
      </c>
      <c r="K2241" s="7" t="s">
        <v>312</v>
      </c>
      <c r="L2241" s="8">
        <v>80</v>
      </c>
      <c r="M2241" s="7">
        <f>IF(INDEX([1]equip.xml!$B:$B,MATCH(D2241,[1]equip.xml!$A:$A,0))=0,0,N2241)</f>
        <v>130</v>
      </c>
      <c r="N2241" s="8">
        <f t="shared" si="2925"/>
        <v>130</v>
      </c>
    </row>
    <row r="2242" spans="1:14">
      <c r="A2242" s="8">
        <f t="shared" si="2927"/>
        <v>20024</v>
      </c>
      <c r="B2242" s="8">
        <v>40000</v>
      </c>
      <c r="C2242" s="8" t="s">
        <v>298</v>
      </c>
      <c r="D2242" s="8">
        <f t="shared" si="2926"/>
        <v>40952060</v>
      </c>
      <c r="E2242" s="8"/>
      <c r="F2242" s="8">
        <v>1</v>
      </c>
      <c r="G2242" s="7">
        <v>300000</v>
      </c>
      <c r="H2242" s="8" t="s">
        <v>299</v>
      </c>
      <c r="I2242" s="8">
        <v>6</v>
      </c>
      <c r="J2242" s="8">
        <v>50</v>
      </c>
      <c r="K2242" s="7" t="s">
        <v>312</v>
      </c>
      <c r="L2242" s="8">
        <v>80</v>
      </c>
      <c r="M2242" s="7">
        <f>IF(INDEX([1]equip.xml!$B:$B,MATCH(D2242,[1]equip.xml!$A:$A,0))=0,0,N2242)</f>
        <v>130</v>
      </c>
      <c r="N2242" s="8">
        <f t="shared" si="2925"/>
        <v>130</v>
      </c>
    </row>
    <row r="2243" spans="1:14">
      <c r="A2243" s="8">
        <f t="shared" si="2927"/>
        <v>20024</v>
      </c>
      <c r="B2243" s="8">
        <v>40000</v>
      </c>
      <c r="C2243" s="8" t="s">
        <v>298</v>
      </c>
      <c r="D2243" s="8">
        <f t="shared" si="2926"/>
        <v>40952061</v>
      </c>
      <c r="E2243" s="8"/>
      <c r="F2243" s="8">
        <v>1</v>
      </c>
      <c r="G2243" s="7">
        <v>309000</v>
      </c>
      <c r="H2243" s="8" t="s">
        <v>299</v>
      </c>
      <c r="I2243" s="8">
        <v>6</v>
      </c>
      <c r="J2243" s="8">
        <v>50</v>
      </c>
      <c r="K2243" s="7" t="s">
        <v>312</v>
      </c>
      <c r="L2243" s="8">
        <v>80</v>
      </c>
      <c r="M2243" s="7">
        <f>IF(INDEX([1]equip.xml!$B:$B,MATCH(D2243,[1]equip.xml!$A:$A,0))=0,0,N2243)</f>
        <v>130</v>
      </c>
      <c r="N2243" s="8">
        <f t="shared" si="2925"/>
        <v>130</v>
      </c>
    </row>
    <row r="2244" spans="1:14">
      <c r="A2244" s="8">
        <f t="shared" si="2927"/>
        <v>20024</v>
      </c>
      <c r="B2244" s="8">
        <v>40000</v>
      </c>
      <c r="C2244" s="8" t="s">
        <v>298</v>
      </c>
      <c r="D2244" s="8">
        <f t="shared" si="2926"/>
        <v>40953050</v>
      </c>
      <c r="E2244" s="8"/>
      <c r="F2244" s="8">
        <v>1</v>
      </c>
      <c r="G2244" s="7">
        <v>300000</v>
      </c>
      <c r="H2244" s="8" t="s">
        <v>299</v>
      </c>
      <c r="I2244" s="8">
        <v>6</v>
      </c>
      <c r="J2244" s="8">
        <v>50</v>
      </c>
      <c r="K2244" s="7" t="s">
        <v>312</v>
      </c>
      <c r="L2244" s="8">
        <v>80</v>
      </c>
      <c r="M2244" s="7">
        <f>IF(INDEX([1]equip.xml!$B:$B,MATCH(D2244,[1]equip.xml!$A:$A,0))=0,0,N2244)</f>
        <v>130</v>
      </c>
      <c r="N2244" s="8">
        <f t="shared" si="2925"/>
        <v>130</v>
      </c>
    </row>
    <row r="2245" spans="1:14">
      <c r="A2245" s="8">
        <f t="shared" si="2927"/>
        <v>20024</v>
      </c>
      <c r="B2245" s="8">
        <v>40000</v>
      </c>
      <c r="C2245" s="8" t="s">
        <v>298</v>
      </c>
      <c r="D2245" s="8">
        <f t="shared" si="2926"/>
        <v>40953051</v>
      </c>
      <c r="E2245" s="8"/>
      <c r="F2245" s="8">
        <v>1</v>
      </c>
      <c r="G2245" s="7">
        <v>309000</v>
      </c>
      <c r="H2245" s="8" t="s">
        <v>299</v>
      </c>
      <c r="I2245" s="8">
        <v>6</v>
      </c>
      <c r="J2245" s="8">
        <v>50</v>
      </c>
      <c r="K2245" s="7" t="s">
        <v>312</v>
      </c>
      <c r="L2245" s="8">
        <v>80</v>
      </c>
      <c r="M2245" s="7">
        <f>IF(INDEX([1]equip.xml!$B:$B,MATCH(D2245,[1]equip.xml!$A:$A,0))=0,0,N2245)</f>
        <v>130</v>
      </c>
      <c r="N2245" s="8">
        <f t="shared" si="2925"/>
        <v>130</v>
      </c>
    </row>
    <row r="2246" spans="1:14">
      <c r="A2246" s="8">
        <f t="shared" si="2927"/>
        <v>20024</v>
      </c>
      <c r="B2246" s="8">
        <v>40000</v>
      </c>
      <c r="C2246" s="8" t="s">
        <v>298</v>
      </c>
      <c r="D2246" s="8">
        <f t="shared" si="2926"/>
        <v>40953060</v>
      </c>
      <c r="E2246" s="8"/>
      <c r="F2246" s="8">
        <v>1</v>
      </c>
      <c r="G2246" s="7">
        <v>300000</v>
      </c>
      <c r="H2246" s="8" t="s">
        <v>299</v>
      </c>
      <c r="I2246" s="8">
        <v>6</v>
      </c>
      <c r="J2246" s="8">
        <v>50</v>
      </c>
      <c r="K2246" s="7" t="s">
        <v>312</v>
      </c>
      <c r="L2246" s="8">
        <v>80</v>
      </c>
      <c r="M2246" s="7">
        <f>IF(INDEX([1]equip.xml!$B:$B,MATCH(D2246,[1]equip.xml!$A:$A,0))=0,0,N2246)</f>
        <v>130</v>
      </c>
      <c r="N2246" s="8">
        <f t="shared" si="2925"/>
        <v>130</v>
      </c>
    </row>
    <row r="2247" spans="1:14">
      <c r="A2247" s="8">
        <f t="shared" si="2927"/>
        <v>20024</v>
      </c>
      <c r="B2247" s="8">
        <v>40000</v>
      </c>
      <c r="C2247" s="8" t="s">
        <v>298</v>
      </c>
      <c r="D2247" s="8">
        <f t="shared" si="2926"/>
        <v>40953061</v>
      </c>
      <c r="E2247" s="8"/>
      <c r="F2247" s="8">
        <v>1</v>
      </c>
      <c r="G2247" s="7">
        <v>309000</v>
      </c>
      <c r="H2247" s="8" t="s">
        <v>299</v>
      </c>
      <c r="I2247" s="8">
        <v>6</v>
      </c>
      <c r="J2247" s="8">
        <v>50</v>
      </c>
      <c r="K2247" s="7" t="s">
        <v>312</v>
      </c>
      <c r="L2247" s="8">
        <v>80</v>
      </c>
      <c r="M2247" s="7">
        <f>IF(INDEX([1]equip.xml!$B:$B,MATCH(D2247,[1]equip.xml!$A:$A,0))=0,0,N2247)</f>
        <v>130</v>
      </c>
      <c r="N2247" s="8">
        <f t="shared" si="2925"/>
        <v>130</v>
      </c>
    </row>
    <row r="2248" spans="1:14">
      <c r="A2248" s="8">
        <f t="shared" si="2927"/>
        <v>20024</v>
      </c>
      <c r="B2248" s="8">
        <v>40000</v>
      </c>
      <c r="C2248" s="8" t="s">
        <v>298</v>
      </c>
      <c r="D2248" s="8">
        <f t="shared" si="2926"/>
        <v>40950040</v>
      </c>
      <c r="E2248" s="8"/>
      <c r="F2248" s="8">
        <v>1</v>
      </c>
      <c r="G2248" s="7">
        <v>300000</v>
      </c>
      <c r="H2248" s="8" t="s">
        <v>299</v>
      </c>
      <c r="I2248" s="8">
        <v>6</v>
      </c>
      <c r="J2248" s="8">
        <v>50</v>
      </c>
      <c r="K2248" s="7" t="s">
        <v>312</v>
      </c>
      <c r="L2248" s="8">
        <v>80</v>
      </c>
      <c r="M2248" s="7">
        <f>IF(INDEX([1]equip.xml!$B:$B,MATCH(D2248,[1]equip.xml!$A:$A,0))=0,0,N2248)</f>
        <v>130</v>
      </c>
      <c r="N2248" s="8">
        <f t="shared" si="2925"/>
        <v>130</v>
      </c>
    </row>
    <row r="2249" spans="1:14">
      <c r="A2249" s="8">
        <f t="shared" si="2927"/>
        <v>20024</v>
      </c>
      <c r="B2249" s="8">
        <v>40000</v>
      </c>
      <c r="C2249" s="8" t="s">
        <v>298</v>
      </c>
      <c r="D2249" s="8">
        <f t="shared" si="2926"/>
        <v>40950041</v>
      </c>
      <c r="E2249" s="8"/>
      <c r="F2249" s="8">
        <v>1</v>
      </c>
      <c r="G2249" s="7">
        <v>309000</v>
      </c>
      <c r="H2249" s="8" t="s">
        <v>299</v>
      </c>
      <c r="I2249" s="8">
        <v>6</v>
      </c>
      <c r="J2249" s="8">
        <v>50</v>
      </c>
      <c r="K2249" s="7" t="s">
        <v>312</v>
      </c>
      <c r="L2249" s="8">
        <v>80</v>
      </c>
      <c r="M2249" s="7">
        <f>IF(INDEX([1]equip.xml!$B:$B,MATCH(D2249,[1]equip.xml!$A:$A,0))=0,0,N2249)</f>
        <v>130</v>
      </c>
      <c r="N2249" s="8">
        <f t="shared" si="2925"/>
        <v>130</v>
      </c>
    </row>
    <row r="2250" spans="1:14">
      <c r="A2250" s="8">
        <f t="shared" si="2927"/>
        <v>20024</v>
      </c>
      <c r="B2250" s="8">
        <v>40000</v>
      </c>
      <c r="C2250" s="8" t="s">
        <v>298</v>
      </c>
      <c r="D2250" s="8">
        <f t="shared" si="2926"/>
        <v>40950070</v>
      </c>
      <c r="E2250" s="8"/>
      <c r="F2250" s="8">
        <v>1</v>
      </c>
      <c r="G2250" s="7">
        <v>300000</v>
      </c>
      <c r="H2250" s="8" t="s">
        <v>299</v>
      </c>
      <c r="I2250" s="8">
        <v>6</v>
      </c>
      <c r="J2250" s="8">
        <v>50</v>
      </c>
      <c r="K2250" s="7" t="s">
        <v>312</v>
      </c>
      <c r="L2250" s="8">
        <v>80</v>
      </c>
      <c r="M2250" s="7">
        <f>IF(INDEX([1]equip.xml!$B:$B,MATCH(D2250,[1]equip.xml!$A:$A,0))=0,0,N2250)</f>
        <v>130</v>
      </c>
      <c r="N2250" s="8">
        <f t="shared" si="2925"/>
        <v>130</v>
      </c>
    </row>
    <row r="2251" spans="1:14">
      <c r="A2251" s="8">
        <f t="shared" si="2927"/>
        <v>20024</v>
      </c>
      <c r="B2251" s="8">
        <v>40000</v>
      </c>
      <c r="C2251" s="8" t="s">
        <v>298</v>
      </c>
      <c r="D2251" s="8">
        <f t="shared" si="2926"/>
        <v>40950071</v>
      </c>
      <c r="E2251" s="8"/>
      <c r="F2251" s="8">
        <v>1</v>
      </c>
      <c r="G2251" s="7">
        <v>309000</v>
      </c>
      <c r="H2251" s="8" t="s">
        <v>299</v>
      </c>
      <c r="I2251" s="8">
        <v>6</v>
      </c>
      <c r="J2251" s="8">
        <v>50</v>
      </c>
      <c r="K2251" s="7" t="s">
        <v>312</v>
      </c>
      <c r="L2251" s="8">
        <v>80</v>
      </c>
      <c r="M2251" s="7">
        <f>IF(INDEX([1]equip.xml!$B:$B,MATCH(D2251,[1]equip.xml!$A:$A,0))=0,0,N2251)</f>
        <v>130</v>
      </c>
      <c r="N2251" s="8">
        <f t="shared" si="2925"/>
        <v>130</v>
      </c>
    </row>
    <row r="2252" spans="1:14">
      <c r="A2252" s="8">
        <f t="shared" si="2927"/>
        <v>20024</v>
      </c>
      <c r="B2252" s="8">
        <v>40000</v>
      </c>
      <c r="C2252" s="8" t="s">
        <v>298</v>
      </c>
      <c r="D2252" s="8">
        <f t="shared" si="2926"/>
        <v>41000010</v>
      </c>
      <c r="E2252" s="8"/>
      <c r="F2252" s="8">
        <v>1</v>
      </c>
      <c r="G2252" s="7">
        <v>318000</v>
      </c>
      <c r="H2252" s="8" t="s">
        <v>299</v>
      </c>
      <c r="I2252" s="8">
        <v>6</v>
      </c>
      <c r="J2252" s="8">
        <v>50</v>
      </c>
      <c r="K2252" s="7" t="s">
        <v>312</v>
      </c>
      <c r="L2252" s="8">
        <v>80</v>
      </c>
      <c r="M2252" s="7">
        <f>IF(INDEX([1]equip.xml!$B:$B,MATCH(D2252,[1]equip.xml!$A:$A,0))=0,0,N2252)</f>
        <v>1</v>
      </c>
      <c r="N2252" s="8">
        <v>1</v>
      </c>
    </row>
    <row r="2253" spans="1:14">
      <c r="A2253" s="8">
        <f>A1725+10000</f>
        <v>20024</v>
      </c>
      <c r="B2253" s="8">
        <v>40000</v>
      </c>
      <c r="C2253" s="8" t="s">
        <v>298</v>
      </c>
      <c r="D2253" s="8">
        <f t="shared" si="2926"/>
        <v>41000020</v>
      </c>
      <c r="E2253" s="8"/>
      <c r="F2253" s="8">
        <v>1</v>
      </c>
      <c r="G2253" s="7">
        <v>318000</v>
      </c>
      <c r="H2253" s="8" t="s">
        <v>299</v>
      </c>
      <c r="I2253" s="8">
        <v>6</v>
      </c>
      <c r="J2253" s="8">
        <v>50</v>
      </c>
      <c r="K2253" s="7" t="s">
        <v>312</v>
      </c>
      <c r="L2253" s="8">
        <v>80</v>
      </c>
      <c r="M2253" s="7">
        <f>IF(INDEX([1]equip.xml!$B:$B,MATCH(D2253,[1]equip.xml!$A:$A,0))=0,0,N2253)</f>
        <v>1</v>
      </c>
      <c r="N2253" s="8">
        <v>1</v>
      </c>
    </row>
    <row r="2254" spans="1:14">
      <c r="A2254" s="8">
        <f t="shared" si="2927"/>
        <v>20024</v>
      </c>
      <c r="B2254" s="8">
        <v>40000</v>
      </c>
      <c r="C2254" s="8" t="s">
        <v>298</v>
      </c>
      <c r="D2254" s="8">
        <f t="shared" si="2926"/>
        <v>41000030</v>
      </c>
      <c r="E2254" s="8"/>
      <c r="F2254" s="8">
        <v>1</v>
      </c>
      <c r="G2254" s="7">
        <v>318000</v>
      </c>
      <c r="H2254" s="8" t="s">
        <v>299</v>
      </c>
      <c r="I2254" s="8">
        <v>6</v>
      </c>
      <c r="J2254" s="8">
        <v>50</v>
      </c>
      <c r="K2254" s="7" t="s">
        <v>312</v>
      </c>
      <c r="L2254" s="8">
        <v>80</v>
      </c>
      <c r="M2254" s="7">
        <f>IF(INDEX([1]equip.xml!$B:$B,MATCH(D2254,[1]equip.xml!$A:$A,0))=0,0,N2254)</f>
        <v>1</v>
      </c>
      <c r="N2254" s="8">
        <v>1</v>
      </c>
    </row>
    <row r="2255" spans="1:14">
      <c r="A2255" s="8">
        <f t="shared" si="2927"/>
        <v>20024</v>
      </c>
      <c r="B2255" s="8">
        <v>40000</v>
      </c>
      <c r="C2255" s="8" t="s">
        <v>298</v>
      </c>
      <c r="D2255" s="8">
        <f t="shared" si="2926"/>
        <v>41000080</v>
      </c>
      <c r="E2255" s="8"/>
      <c r="F2255" s="8">
        <v>1</v>
      </c>
      <c r="G2255" s="7">
        <v>318000</v>
      </c>
      <c r="H2255" s="8" t="s">
        <v>299</v>
      </c>
      <c r="I2255" s="8">
        <v>6</v>
      </c>
      <c r="J2255" s="8">
        <v>50</v>
      </c>
      <c r="K2255" s="7" t="s">
        <v>312</v>
      </c>
      <c r="L2255" s="8">
        <v>80</v>
      </c>
      <c r="M2255" s="7">
        <f>IF(INDEX([1]equip.xml!$B:$B,MATCH(D2255,[1]equip.xml!$A:$A,0))=0,0,N2255)</f>
        <v>1</v>
      </c>
      <c r="N2255" s="8">
        <v>1</v>
      </c>
    </row>
    <row r="2256" spans="1:14">
      <c r="A2256" s="8">
        <f t="shared" si="2927"/>
        <v>20024</v>
      </c>
      <c r="B2256" s="8">
        <v>40000</v>
      </c>
      <c r="C2256" s="8" t="s">
        <v>298</v>
      </c>
      <c r="D2256" s="8">
        <f t="shared" si="2926"/>
        <v>41000090</v>
      </c>
      <c r="E2256" s="8"/>
      <c r="F2256" s="8">
        <v>1</v>
      </c>
      <c r="G2256" s="7">
        <v>318000</v>
      </c>
      <c r="H2256" s="8" t="s">
        <v>299</v>
      </c>
      <c r="I2256" s="8">
        <v>6</v>
      </c>
      <c r="J2256" s="8">
        <v>50</v>
      </c>
      <c r="K2256" s="7" t="s">
        <v>312</v>
      </c>
      <c r="L2256" s="8">
        <v>80</v>
      </c>
      <c r="M2256" s="7">
        <f>IF(INDEX([1]equip.xml!$B:$B,MATCH(D2256,[1]equip.xml!$A:$A,0))=0,0,N2256)</f>
        <v>1</v>
      </c>
      <c r="N2256" s="8">
        <v>1</v>
      </c>
    </row>
    <row r="2257" spans="1:14">
      <c r="A2257" s="8">
        <f t="shared" si="2927"/>
        <v>20024</v>
      </c>
      <c r="B2257" s="8">
        <v>40000</v>
      </c>
      <c r="C2257" s="8" t="s">
        <v>298</v>
      </c>
      <c r="D2257" s="8">
        <f t="shared" si="2926"/>
        <v>41000100</v>
      </c>
      <c r="E2257" s="8"/>
      <c r="F2257" s="8">
        <v>1</v>
      </c>
      <c r="G2257" s="7">
        <v>318000</v>
      </c>
      <c r="H2257" s="8" t="s">
        <v>299</v>
      </c>
      <c r="I2257" s="8">
        <v>6</v>
      </c>
      <c r="J2257" s="8">
        <v>50</v>
      </c>
      <c r="K2257" s="7" t="s">
        <v>312</v>
      </c>
      <c r="L2257" s="8">
        <v>80</v>
      </c>
      <c r="M2257" s="7">
        <f>IF(INDEX([1]equip.xml!$B:$B,MATCH(D2257,[1]equip.xml!$A:$A,0))=0,0,N2257)</f>
        <v>1</v>
      </c>
      <c r="N2257" s="8">
        <v>1</v>
      </c>
    </row>
    <row r="2258" spans="1:14">
      <c r="A2258" s="8">
        <f t="shared" si="2927"/>
        <v>20024</v>
      </c>
      <c r="B2258" s="8">
        <v>40000</v>
      </c>
      <c r="C2258" s="8" t="s">
        <v>298</v>
      </c>
      <c r="D2258" s="8">
        <f t="shared" si="2926"/>
        <v>41001050</v>
      </c>
      <c r="E2258" s="8"/>
      <c r="F2258" s="8">
        <v>1</v>
      </c>
      <c r="G2258" s="7">
        <v>318000</v>
      </c>
      <c r="H2258" s="8" t="s">
        <v>299</v>
      </c>
      <c r="I2258" s="8">
        <v>6</v>
      </c>
      <c r="J2258" s="8">
        <v>50</v>
      </c>
      <c r="K2258" s="7" t="s">
        <v>312</v>
      </c>
      <c r="L2258" s="8">
        <v>80</v>
      </c>
      <c r="M2258" s="7">
        <f>IF(INDEX([1]equip.xml!$B:$B,MATCH(D2258,[1]equip.xml!$A:$A,0))=0,0,N2258)</f>
        <v>1</v>
      </c>
      <c r="N2258" s="8">
        <v>1</v>
      </c>
    </row>
    <row r="2259" spans="1:14">
      <c r="A2259" s="8">
        <f t="shared" si="2927"/>
        <v>20024</v>
      </c>
      <c r="B2259" s="8">
        <v>40000</v>
      </c>
      <c r="C2259" s="8" t="s">
        <v>298</v>
      </c>
      <c r="D2259" s="8">
        <f t="shared" si="2926"/>
        <v>41001051</v>
      </c>
      <c r="E2259" s="8"/>
      <c r="F2259" s="8">
        <v>1</v>
      </c>
      <c r="G2259" s="7">
        <v>327000</v>
      </c>
      <c r="H2259" s="8" t="s">
        <v>299</v>
      </c>
      <c r="I2259" s="8">
        <v>6</v>
      </c>
      <c r="J2259" s="8">
        <v>50</v>
      </c>
      <c r="K2259" s="7" t="s">
        <v>312</v>
      </c>
      <c r="L2259" s="8">
        <v>80</v>
      </c>
      <c r="M2259" s="7">
        <f>IF(INDEX([1]equip.xml!$B:$B,MATCH(D2259,[1]equip.xml!$A:$A,0))=0,0,N2259)</f>
        <v>0</v>
      </c>
      <c r="N2259" s="8">
        <v>1</v>
      </c>
    </row>
    <row r="2260" spans="1:14">
      <c r="A2260" s="8">
        <f t="shared" si="2927"/>
        <v>20024</v>
      </c>
      <c r="B2260" s="8">
        <v>40000</v>
      </c>
      <c r="C2260" s="8" t="s">
        <v>298</v>
      </c>
      <c r="D2260" s="8">
        <f t="shared" si="2926"/>
        <v>41001060</v>
      </c>
      <c r="E2260" s="8"/>
      <c r="F2260" s="8">
        <v>1</v>
      </c>
      <c r="G2260" s="7">
        <v>318000</v>
      </c>
      <c r="H2260" s="8" t="s">
        <v>299</v>
      </c>
      <c r="I2260" s="8">
        <v>6</v>
      </c>
      <c r="J2260" s="8">
        <v>50</v>
      </c>
      <c r="K2260" s="7" t="s">
        <v>312</v>
      </c>
      <c r="L2260" s="8">
        <v>80</v>
      </c>
      <c r="M2260" s="7">
        <f>IF(INDEX([1]equip.xml!$B:$B,MATCH(D2260,[1]equip.xml!$A:$A,0))=0,0,N2260)</f>
        <v>1</v>
      </c>
      <c r="N2260" s="8">
        <v>1</v>
      </c>
    </row>
    <row r="2261" spans="1:14">
      <c r="A2261" s="8">
        <f t="shared" si="2927"/>
        <v>20024</v>
      </c>
      <c r="B2261" s="8">
        <v>40000</v>
      </c>
      <c r="C2261" s="8" t="s">
        <v>298</v>
      </c>
      <c r="D2261" s="8">
        <f t="shared" si="2926"/>
        <v>41001061</v>
      </c>
      <c r="E2261" s="8"/>
      <c r="F2261" s="8">
        <v>1</v>
      </c>
      <c r="G2261" s="7">
        <v>327000</v>
      </c>
      <c r="H2261" s="8" t="s">
        <v>299</v>
      </c>
      <c r="I2261" s="8">
        <v>6</v>
      </c>
      <c r="J2261" s="8">
        <v>50</v>
      </c>
      <c r="K2261" s="7" t="s">
        <v>312</v>
      </c>
      <c r="L2261" s="8">
        <v>80</v>
      </c>
      <c r="M2261" s="7">
        <f>IF(INDEX([1]equip.xml!$B:$B,MATCH(D2261,[1]equip.xml!$A:$A,0))=0,0,N2261)</f>
        <v>0</v>
      </c>
      <c r="N2261" s="8">
        <v>1</v>
      </c>
    </row>
    <row r="2262" spans="1:14">
      <c r="A2262" s="8">
        <f t="shared" si="2927"/>
        <v>20024</v>
      </c>
      <c r="B2262" s="8">
        <v>40000</v>
      </c>
      <c r="C2262" s="8" t="s">
        <v>298</v>
      </c>
      <c r="D2262" s="8">
        <f t="shared" si="2926"/>
        <v>41002050</v>
      </c>
      <c r="E2262" s="8"/>
      <c r="F2262" s="8">
        <v>1</v>
      </c>
      <c r="G2262" s="7">
        <v>318000</v>
      </c>
      <c r="H2262" s="8" t="s">
        <v>299</v>
      </c>
      <c r="I2262" s="8">
        <v>6</v>
      </c>
      <c r="J2262" s="8">
        <v>50</v>
      </c>
      <c r="K2262" s="7" t="s">
        <v>312</v>
      </c>
      <c r="L2262" s="8">
        <v>80</v>
      </c>
      <c r="M2262" s="7">
        <f>IF(INDEX([1]equip.xml!$B:$B,MATCH(D2262,[1]equip.xml!$A:$A,0))=0,0,N2262)</f>
        <v>1</v>
      </c>
      <c r="N2262" s="8">
        <v>1</v>
      </c>
    </row>
    <row r="2263" spans="1:14">
      <c r="A2263" s="8">
        <f t="shared" si="2927"/>
        <v>20024</v>
      </c>
      <c r="B2263" s="8">
        <v>40000</v>
      </c>
      <c r="C2263" s="8" t="s">
        <v>298</v>
      </c>
      <c r="D2263" s="8">
        <f t="shared" si="2926"/>
        <v>41002051</v>
      </c>
      <c r="E2263" s="8"/>
      <c r="F2263" s="8">
        <v>1</v>
      </c>
      <c r="G2263" s="7">
        <v>327000</v>
      </c>
      <c r="H2263" s="8" t="s">
        <v>299</v>
      </c>
      <c r="I2263" s="8">
        <v>6</v>
      </c>
      <c r="J2263" s="8">
        <v>50</v>
      </c>
      <c r="K2263" s="7" t="s">
        <v>312</v>
      </c>
      <c r="L2263" s="8">
        <v>80</v>
      </c>
      <c r="M2263" s="7">
        <f>IF(INDEX([1]equip.xml!$B:$B,MATCH(D2263,[1]equip.xml!$A:$A,0))=0,0,N2263)</f>
        <v>0</v>
      </c>
      <c r="N2263" s="8">
        <v>1</v>
      </c>
    </row>
    <row r="2264" spans="1:14">
      <c r="A2264" s="8">
        <f t="shared" si="2927"/>
        <v>20024</v>
      </c>
      <c r="B2264" s="8">
        <v>40000</v>
      </c>
      <c r="C2264" s="8" t="s">
        <v>298</v>
      </c>
      <c r="D2264" s="8">
        <f t="shared" si="2926"/>
        <v>41002060</v>
      </c>
      <c r="E2264" s="8"/>
      <c r="F2264" s="8">
        <v>1</v>
      </c>
      <c r="G2264" s="7">
        <v>318000</v>
      </c>
      <c r="H2264" s="8" t="s">
        <v>299</v>
      </c>
      <c r="I2264" s="8">
        <v>6</v>
      </c>
      <c r="J2264" s="8">
        <v>50</v>
      </c>
      <c r="K2264" s="7" t="s">
        <v>312</v>
      </c>
      <c r="L2264" s="8">
        <v>80</v>
      </c>
      <c r="M2264" s="7">
        <f>IF(INDEX([1]equip.xml!$B:$B,MATCH(D2264,[1]equip.xml!$A:$A,0))=0,0,N2264)</f>
        <v>1</v>
      </c>
      <c r="N2264" s="8">
        <v>1</v>
      </c>
    </row>
    <row r="2265" spans="1:14">
      <c r="A2265" s="8">
        <f t="shared" si="2927"/>
        <v>20024</v>
      </c>
      <c r="B2265" s="8">
        <v>40000</v>
      </c>
      <c r="C2265" s="8" t="s">
        <v>298</v>
      </c>
      <c r="D2265" s="8">
        <f t="shared" si="2926"/>
        <v>41002061</v>
      </c>
      <c r="E2265" s="8"/>
      <c r="F2265" s="8">
        <v>1</v>
      </c>
      <c r="G2265" s="7">
        <v>327000</v>
      </c>
      <c r="H2265" s="8" t="s">
        <v>299</v>
      </c>
      <c r="I2265" s="8">
        <v>6</v>
      </c>
      <c r="J2265" s="8">
        <v>50</v>
      </c>
      <c r="K2265" s="7" t="s">
        <v>312</v>
      </c>
      <c r="L2265" s="8">
        <v>80</v>
      </c>
      <c r="M2265" s="7">
        <f>IF(INDEX([1]equip.xml!$B:$B,MATCH(D2265,[1]equip.xml!$A:$A,0))=0,0,N2265)</f>
        <v>0</v>
      </c>
      <c r="N2265" s="8">
        <v>1</v>
      </c>
    </row>
    <row r="2266" spans="1:14">
      <c r="A2266" s="8">
        <f t="shared" si="2927"/>
        <v>20024</v>
      </c>
      <c r="B2266" s="8">
        <v>40000</v>
      </c>
      <c r="C2266" s="8" t="s">
        <v>298</v>
      </c>
      <c r="D2266" s="8">
        <f t="shared" si="2926"/>
        <v>41003050</v>
      </c>
      <c r="E2266" s="8"/>
      <c r="F2266" s="8">
        <v>1</v>
      </c>
      <c r="G2266" s="7">
        <v>318000</v>
      </c>
      <c r="H2266" s="8" t="s">
        <v>299</v>
      </c>
      <c r="I2266" s="8">
        <v>6</v>
      </c>
      <c r="J2266" s="8">
        <v>50</v>
      </c>
      <c r="K2266" s="7" t="s">
        <v>312</v>
      </c>
      <c r="L2266" s="8">
        <v>80</v>
      </c>
      <c r="M2266" s="7">
        <f>IF(INDEX([1]equip.xml!$B:$B,MATCH(D2266,[1]equip.xml!$A:$A,0))=0,0,N2266)</f>
        <v>1</v>
      </c>
      <c r="N2266" s="8">
        <v>1</v>
      </c>
    </row>
    <row r="2267" spans="1:14">
      <c r="A2267" s="8">
        <f t="shared" si="2927"/>
        <v>20024</v>
      </c>
      <c r="B2267" s="8">
        <v>40000</v>
      </c>
      <c r="C2267" s="8" t="s">
        <v>298</v>
      </c>
      <c r="D2267" s="8">
        <f t="shared" si="2926"/>
        <v>41003051</v>
      </c>
      <c r="E2267" s="8"/>
      <c r="F2267" s="8">
        <v>1</v>
      </c>
      <c r="G2267" s="7">
        <v>327000</v>
      </c>
      <c r="H2267" s="8" t="s">
        <v>299</v>
      </c>
      <c r="I2267" s="8">
        <v>6</v>
      </c>
      <c r="J2267" s="8">
        <v>50</v>
      </c>
      <c r="K2267" s="7" t="s">
        <v>312</v>
      </c>
      <c r="L2267" s="8">
        <v>80</v>
      </c>
      <c r="M2267" s="7">
        <f>IF(INDEX([1]equip.xml!$B:$B,MATCH(D2267,[1]equip.xml!$A:$A,0))=0,0,N2267)</f>
        <v>0</v>
      </c>
      <c r="N2267" s="8">
        <v>1</v>
      </c>
    </row>
    <row r="2268" spans="1:14">
      <c r="A2268" s="8">
        <f t="shared" si="2927"/>
        <v>20024</v>
      </c>
      <c r="B2268" s="8">
        <v>40000</v>
      </c>
      <c r="C2268" s="8" t="s">
        <v>298</v>
      </c>
      <c r="D2268" s="8">
        <f t="shared" si="2926"/>
        <v>41003060</v>
      </c>
      <c r="E2268" s="8"/>
      <c r="F2268" s="8">
        <v>1</v>
      </c>
      <c r="G2268" s="7">
        <v>318000</v>
      </c>
      <c r="H2268" s="8" t="s">
        <v>299</v>
      </c>
      <c r="I2268" s="8">
        <v>6</v>
      </c>
      <c r="J2268" s="8">
        <v>50</v>
      </c>
      <c r="K2268" s="7" t="s">
        <v>312</v>
      </c>
      <c r="L2268" s="8">
        <v>80</v>
      </c>
      <c r="M2268" s="7">
        <f>IF(INDEX([1]equip.xml!$B:$B,MATCH(D2268,[1]equip.xml!$A:$A,0))=0,0,N2268)</f>
        <v>1</v>
      </c>
      <c r="N2268" s="8">
        <v>1</v>
      </c>
    </row>
    <row r="2269" spans="1:14">
      <c r="A2269" s="8">
        <f t="shared" si="2927"/>
        <v>20024</v>
      </c>
      <c r="B2269" s="8">
        <v>40000</v>
      </c>
      <c r="C2269" s="8" t="s">
        <v>298</v>
      </c>
      <c r="D2269" s="8">
        <f t="shared" si="2926"/>
        <v>41003061</v>
      </c>
      <c r="E2269" s="8"/>
      <c r="F2269" s="8">
        <v>1</v>
      </c>
      <c r="G2269" s="7">
        <v>327000</v>
      </c>
      <c r="H2269" s="8" t="s">
        <v>299</v>
      </c>
      <c r="I2269" s="8">
        <v>6</v>
      </c>
      <c r="J2269" s="8">
        <v>50</v>
      </c>
      <c r="K2269" s="7" t="s">
        <v>312</v>
      </c>
      <c r="L2269" s="8">
        <v>80</v>
      </c>
      <c r="M2269" s="7">
        <f>IF(INDEX([1]equip.xml!$B:$B,MATCH(D2269,[1]equip.xml!$A:$A,0))=0,0,N2269)</f>
        <v>0</v>
      </c>
      <c r="N2269" s="8">
        <v>1</v>
      </c>
    </row>
    <row r="2270" spans="1:14">
      <c r="A2270" s="8">
        <f t="shared" si="2927"/>
        <v>20024</v>
      </c>
      <c r="B2270" s="8">
        <v>40000</v>
      </c>
      <c r="C2270" s="8" t="s">
        <v>298</v>
      </c>
      <c r="D2270" s="8">
        <f t="shared" si="2926"/>
        <v>41000040</v>
      </c>
      <c r="E2270" s="8"/>
      <c r="F2270" s="8">
        <v>1</v>
      </c>
      <c r="G2270" s="7">
        <v>318000</v>
      </c>
      <c r="H2270" s="8" t="s">
        <v>299</v>
      </c>
      <c r="I2270" s="8">
        <v>6</v>
      </c>
      <c r="J2270" s="8">
        <v>50</v>
      </c>
      <c r="K2270" s="7" t="s">
        <v>312</v>
      </c>
      <c r="L2270" s="8">
        <v>80</v>
      </c>
      <c r="M2270" s="7">
        <f>IF(INDEX([1]equip.xml!$B:$B,MATCH(D2270,[1]equip.xml!$A:$A,0))=0,0,N2270)</f>
        <v>1</v>
      </c>
      <c r="N2270" s="8">
        <v>1</v>
      </c>
    </row>
    <row r="2271" spans="1:14">
      <c r="A2271" s="8">
        <f t="shared" si="2927"/>
        <v>20024</v>
      </c>
      <c r="B2271" s="8">
        <v>40000</v>
      </c>
      <c r="C2271" s="8" t="s">
        <v>298</v>
      </c>
      <c r="D2271" s="8">
        <f t="shared" si="2926"/>
        <v>41000041</v>
      </c>
      <c r="E2271" s="8"/>
      <c r="F2271" s="8">
        <v>1</v>
      </c>
      <c r="G2271" s="7">
        <v>327000</v>
      </c>
      <c r="H2271" s="8" t="s">
        <v>299</v>
      </c>
      <c r="I2271" s="8">
        <v>6</v>
      </c>
      <c r="J2271" s="8">
        <v>50</v>
      </c>
      <c r="K2271" s="7" t="s">
        <v>312</v>
      </c>
      <c r="L2271" s="8">
        <v>80</v>
      </c>
      <c r="M2271" s="7">
        <f>IF(INDEX([1]equip.xml!$B:$B,MATCH(D2271,[1]equip.xml!$A:$A,0))=0,0,N2271)</f>
        <v>1</v>
      </c>
      <c r="N2271" s="8">
        <v>1</v>
      </c>
    </row>
    <row r="2272" spans="1:14">
      <c r="A2272" s="8">
        <f t="shared" si="2927"/>
        <v>20024</v>
      </c>
      <c r="B2272" s="8">
        <v>40000</v>
      </c>
      <c r="C2272" s="8" t="s">
        <v>298</v>
      </c>
      <c r="D2272" s="8">
        <f t="shared" si="2926"/>
        <v>41000070</v>
      </c>
      <c r="E2272" s="8"/>
      <c r="F2272" s="8">
        <v>1</v>
      </c>
      <c r="G2272" s="7">
        <v>318000</v>
      </c>
      <c r="H2272" s="8" t="s">
        <v>299</v>
      </c>
      <c r="I2272" s="8">
        <v>6</v>
      </c>
      <c r="J2272" s="8">
        <v>50</v>
      </c>
      <c r="K2272" s="7" t="s">
        <v>312</v>
      </c>
      <c r="L2272" s="8">
        <v>80</v>
      </c>
      <c r="M2272" s="7">
        <f>IF(INDEX([1]equip.xml!$B:$B,MATCH(D2272,[1]equip.xml!$A:$A,0))=0,0,N2272)</f>
        <v>1</v>
      </c>
      <c r="N2272" s="8">
        <v>1</v>
      </c>
    </row>
    <row r="2273" spans="1:14">
      <c r="A2273" s="8">
        <f t="shared" si="2927"/>
        <v>20024</v>
      </c>
      <c r="B2273" s="8">
        <v>40000</v>
      </c>
      <c r="C2273" s="8" t="s">
        <v>298</v>
      </c>
      <c r="D2273" s="8">
        <f t="shared" si="2926"/>
        <v>41000071</v>
      </c>
      <c r="E2273" s="8"/>
      <c r="F2273" s="8">
        <v>1</v>
      </c>
      <c r="G2273" s="7">
        <v>327000</v>
      </c>
      <c r="H2273" s="8" t="s">
        <v>299</v>
      </c>
      <c r="I2273" s="8">
        <v>6</v>
      </c>
      <c r="J2273" s="8">
        <v>50</v>
      </c>
      <c r="K2273" s="7" t="s">
        <v>312</v>
      </c>
      <c r="L2273" s="8">
        <v>80</v>
      </c>
      <c r="M2273" s="7">
        <f>IF(INDEX([1]equip.xml!$B:$B,MATCH(D2273,[1]equip.xml!$A:$A,0))=0,0,N2273)</f>
        <v>1</v>
      </c>
      <c r="N2273" s="8">
        <v>1</v>
      </c>
    </row>
    <row r="2274" spans="1:14">
      <c r="A2274" s="8">
        <f t="shared" si="2927"/>
        <v>20024</v>
      </c>
      <c r="B2274" s="8">
        <v>40000</v>
      </c>
      <c r="C2274" s="8" t="s">
        <v>298</v>
      </c>
      <c r="D2274" s="7">
        <f>D2230+10000005</f>
        <v>50950015</v>
      </c>
      <c r="E2274" s="8"/>
      <c r="F2274" s="8">
        <v>1</v>
      </c>
      <c r="G2274" s="7">
        <v>600000</v>
      </c>
      <c r="H2274" s="8" t="s">
        <v>299</v>
      </c>
      <c r="I2274" s="8">
        <v>1</v>
      </c>
      <c r="J2274" s="8">
        <v>240</v>
      </c>
      <c r="K2274" s="7" t="s">
        <v>312</v>
      </c>
      <c r="L2274" s="8">
        <v>80</v>
      </c>
      <c r="M2274" s="7">
        <f>IF(INDEX([1]equip.xml!$B:$B,MATCH(D2274,[1]equip.xml!$A:$A,0))=0,0,N2274)</f>
        <v>130</v>
      </c>
      <c r="N2274" s="8">
        <f t="shared" si="2925"/>
        <v>130</v>
      </c>
    </row>
    <row r="2275" spans="1:14">
      <c r="A2275" s="8">
        <f t="shared" si="2927"/>
        <v>20024</v>
      </c>
      <c r="B2275" s="8">
        <v>40000</v>
      </c>
      <c r="C2275" s="8" t="s">
        <v>298</v>
      </c>
      <c r="D2275" s="7">
        <f t="shared" ref="D2275:D2317" si="2928">D2231+10000005</f>
        <v>50950025</v>
      </c>
      <c r="E2275" s="8"/>
      <c r="F2275" s="8">
        <v>1</v>
      </c>
      <c r="G2275" s="7">
        <v>600000</v>
      </c>
      <c r="H2275" s="8" t="s">
        <v>299</v>
      </c>
      <c r="I2275" s="8">
        <v>1</v>
      </c>
      <c r="J2275" s="8">
        <v>240</v>
      </c>
      <c r="K2275" s="7" t="s">
        <v>312</v>
      </c>
      <c r="L2275" s="8">
        <v>80</v>
      </c>
      <c r="M2275" s="7">
        <f>IF(INDEX([1]equip.xml!$B:$B,MATCH(D2275,[1]equip.xml!$A:$A,0))=0,0,N2275)</f>
        <v>130</v>
      </c>
      <c r="N2275" s="8">
        <f t="shared" si="2925"/>
        <v>130</v>
      </c>
    </row>
    <row r="2276" spans="1:14">
      <c r="A2276" s="8">
        <f t="shared" si="2927"/>
        <v>20024</v>
      </c>
      <c r="B2276" s="8">
        <v>40000</v>
      </c>
      <c r="C2276" s="8" t="s">
        <v>298</v>
      </c>
      <c r="D2276" s="7">
        <f t="shared" si="2928"/>
        <v>50950035</v>
      </c>
      <c r="E2276" s="8"/>
      <c r="F2276" s="8">
        <v>1</v>
      </c>
      <c r="G2276" s="7">
        <v>600000</v>
      </c>
      <c r="H2276" s="8" t="s">
        <v>299</v>
      </c>
      <c r="I2276" s="8">
        <v>1</v>
      </c>
      <c r="J2276" s="8">
        <v>240</v>
      </c>
      <c r="K2276" s="7" t="s">
        <v>312</v>
      </c>
      <c r="L2276" s="8">
        <v>80</v>
      </c>
      <c r="M2276" s="7">
        <f>IF(INDEX([1]equip.xml!$B:$B,MATCH(D2276,[1]equip.xml!$A:$A,0))=0,0,N2276)</f>
        <v>130</v>
      </c>
      <c r="N2276" s="8">
        <f t="shared" si="2925"/>
        <v>130</v>
      </c>
    </row>
    <row r="2277" spans="1:14">
      <c r="A2277" s="8">
        <f t="shared" si="2927"/>
        <v>20024</v>
      </c>
      <c r="B2277" s="8">
        <v>40000</v>
      </c>
      <c r="C2277" s="8" t="s">
        <v>298</v>
      </c>
      <c r="D2277" s="7">
        <f t="shared" si="2928"/>
        <v>50950085</v>
      </c>
      <c r="E2277" s="8"/>
      <c r="F2277" s="8">
        <v>1</v>
      </c>
      <c r="G2277" s="7">
        <v>600000</v>
      </c>
      <c r="H2277" s="8" t="s">
        <v>299</v>
      </c>
      <c r="I2277" s="8">
        <v>1</v>
      </c>
      <c r="J2277" s="8">
        <v>240</v>
      </c>
      <c r="K2277" s="7" t="s">
        <v>312</v>
      </c>
      <c r="L2277" s="8">
        <v>80</v>
      </c>
      <c r="M2277" s="7">
        <f>IF(INDEX([1]equip.xml!$B:$B,MATCH(D2277,[1]equip.xml!$A:$A,0))=0,0,N2277)</f>
        <v>130</v>
      </c>
      <c r="N2277" s="8">
        <f t="shared" si="2925"/>
        <v>130</v>
      </c>
    </row>
    <row r="2278" spans="1:14">
      <c r="A2278" s="8">
        <f t="shared" si="2927"/>
        <v>20024</v>
      </c>
      <c r="B2278" s="8">
        <v>40000</v>
      </c>
      <c r="C2278" s="8" t="s">
        <v>298</v>
      </c>
      <c r="D2278" s="7">
        <f t="shared" si="2928"/>
        <v>50950095</v>
      </c>
      <c r="E2278" s="8"/>
      <c r="F2278" s="8">
        <v>1</v>
      </c>
      <c r="G2278" s="7">
        <v>600000</v>
      </c>
      <c r="H2278" s="8" t="s">
        <v>299</v>
      </c>
      <c r="I2278" s="8">
        <v>1</v>
      </c>
      <c r="J2278" s="8">
        <v>240</v>
      </c>
      <c r="K2278" s="7" t="s">
        <v>312</v>
      </c>
      <c r="L2278" s="8">
        <v>80</v>
      </c>
      <c r="M2278" s="7">
        <f>IF(INDEX([1]equip.xml!$B:$B,MATCH(D2278,[1]equip.xml!$A:$A,0))=0,0,N2278)</f>
        <v>130</v>
      </c>
      <c r="N2278" s="8">
        <f t="shared" si="2925"/>
        <v>130</v>
      </c>
    </row>
    <row r="2279" spans="1:14">
      <c r="A2279" s="8">
        <f t="shared" si="2927"/>
        <v>20024</v>
      </c>
      <c r="B2279" s="8">
        <v>40000</v>
      </c>
      <c r="C2279" s="8" t="s">
        <v>298</v>
      </c>
      <c r="D2279" s="7">
        <f t="shared" si="2928"/>
        <v>50950105</v>
      </c>
      <c r="E2279" s="8"/>
      <c r="F2279" s="8">
        <v>1</v>
      </c>
      <c r="G2279" s="7">
        <v>600000</v>
      </c>
      <c r="H2279" s="8" t="s">
        <v>299</v>
      </c>
      <c r="I2279" s="8">
        <v>1</v>
      </c>
      <c r="J2279" s="8">
        <v>240</v>
      </c>
      <c r="K2279" s="7" t="s">
        <v>312</v>
      </c>
      <c r="L2279" s="8">
        <v>80</v>
      </c>
      <c r="M2279" s="7">
        <f>IF(INDEX([1]equip.xml!$B:$B,MATCH(D2279,[1]equip.xml!$A:$A,0))=0,0,N2279)</f>
        <v>130</v>
      </c>
      <c r="N2279" s="8">
        <f t="shared" si="2925"/>
        <v>130</v>
      </c>
    </row>
    <row r="2280" spans="1:14">
      <c r="A2280" s="8">
        <f t="shared" si="2927"/>
        <v>20024</v>
      </c>
      <c r="B2280" s="8">
        <v>40000</v>
      </c>
      <c r="C2280" s="8" t="s">
        <v>298</v>
      </c>
      <c r="D2280" s="7">
        <f t="shared" si="2928"/>
        <v>50951055</v>
      </c>
      <c r="E2280" s="8"/>
      <c r="F2280" s="8">
        <v>1</v>
      </c>
      <c r="G2280" s="7">
        <v>600000</v>
      </c>
      <c r="H2280" s="8" t="s">
        <v>299</v>
      </c>
      <c r="I2280" s="8">
        <v>1</v>
      </c>
      <c r="J2280" s="8">
        <v>240</v>
      </c>
      <c r="K2280" s="7" t="s">
        <v>312</v>
      </c>
      <c r="L2280" s="8">
        <v>80</v>
      </c>
      <c r="M2280" s="7">
        <f>IF(INDEX([1]equip.xml!$B:$B,MATCH(D2280,[1]equip.xml!$A:$A,0))=0,0,N2280)</f>
        <v>130</v>
      </c>
      <c r="N2280" s="8">
        <f t="shared" si="2925"/>
        <v>130</v>
      </c>
    </row>
    <row r="2281" spans="1:14">
      <c r="A2281" s="8">
        <f t="shared" si="2927"/>
        <v>20024</v>
      </c>
      <c r="B2281" s="8">
        <v>40000</v>
      </c>
      <c r="C2281" s="8" t="s">
        <v>298</v>
      </c>
      <c r="D2281" s="7">
        <f t="shared" si="2928"/>
        <v>50951056</v>
      </c>
      <c r="E2281" s="8"/>
      <c r="F2281" s="8">
        <v>1</v>
      </c>
      <c r="G2281" s="7">
        <v>618000</v>
      </c>
      <c r="H2281" s="8" t="s">
        <v>299</v>
      </c>
      <c r="I2281" s="8">
        <v>1</v>
      </c>
      <c r="J2281" s="8">
        <v>240</v>
      </c>
      <c r="K2281" s="7" t="s">
        <v>312</v>
      </c>
      <c r="L2281" s="8">
        <v>80</v>
      </c>
      <c r="M2281" s="7">
        <f>IF(INDEX([1]equip.xml!$B:$B,MATCH(D2281,[1]equip.xml!$A:$A,0))=0,0,N2281)</f>
        <v>130</v>
      </c>
      <c r="N2281" s="8">
        <f t="shared" si="2925"/>
        <v>130</v>
      </c>
    </row>
    <row r="2282" spans="1:14">
      <c r="A2282" s="8">
        <f t="shared" si="2927"/>
        <v>20024</v>
      </c>
      <c r="B2282" s="8">
        <v>40000</v>
      </c>
      <c r="C2282" s="8" t="s">
        <v>298</v>
      </c>
      <c r="D2282" s="7">
        <f t="shared" si="2928"/>
        <v>50951065</v>
      </c>
      <c r="E2282" s="8"/>
      <c r="F2282" s="8">
        <v>1</v>
      </c>
      <c r="G2282" s="7">
        <v>600000</v>
      </c>
      <c r="H2282" s="8" t="s">
        <v>299</v>
      </c>
      <c r="I2282" s="8">
        <v>1</v>
      </c>
      <c r="J2282" s="8">
        <v>240</v>
      </c>
      <c r="K2282" s="7" t="s">
        <v>312</v>
      </c>
      <c r="L2282" s="8">
        <v>80</v>
      </c>
      <c r="M2282" s="7">
        <f>IF(INDEX([1]equip.xml!$B:$B,MATCH(D2282,[1]equip.xml!$A:$A,0))=0,0,N2282)</f>
        <v>130</v>
      </c>
      <c r="N2282" s="8">
        <f t="shared" si="2925"/>
        <v>130</v>
      </c>
    </row>
    <row r="2283" spans="1:14">
      <c r="A2283" s="8">
        <f t="shared" si="2927"/>
        <v>20024</v>
      </c>
      <c r="B2283" s="8">
        <v>40000</v>
      </c>
      <c r="C2283" s="8" t="s">
        <v>298</v>
      </c>
      <c r="D2283" s="7">
        <f t="shared" si="2928"/>
        <v>50951066</v>
      </c>
      <c r="E2283" s="8"/>
      <c r="F2283" s="8">
        <v>1</v>
      </c>
      <c r="G2283" s="7">
        <v>618000</v>
      </c>
      <c r="H2283" s="8" t="s">
        <v>299</v>
      </c>
      <c r="I2283" s="8">
        <v>1</v>
      </c>
      <c r="J2283" s="8">
        <v>240</v>
      </c>
      <c r="K2283" s="7" t="s">
        <v>312</v>
      </c>
      <c r="L2283" s="8">
        <v>80</v>
      </c>
      <c r="M2283" s="7">
        <f>IF(INDEX([1]equip.xml!$B:$B,MATCH(D2283,[1]equip.xml!$A:$A,0))=0,0,N2283)</f>
        <v>130</v>
      </c>
      <c r="N2283" s="8">
        <f t="shared" ref="N2283:N2317" si="2929">N2239</f>
        <v>130</v>
      </c>
    </row>
    <row r="2284" spans="1:14">
      <c r="A2284" s="8">
        <f t="shared" si="2927"/>
        <v>20024</v>
      </c>
      <c r="B2284" s="8">
        <v>40000</v>
      </c>
      <c r="C2284" s="8" t="s">
        <v>298</v>
      </c>
      <c r="D2284" s="7">
        <f t="shared" si="2928"/>
        <v>50952055</v>
      </c>
      <c r="E2284" s="8"/>
      <c r="F2284" s="8">
        <v>1</v>
      </c>
      <c r="G2284" s="7">
        <v>600000</v>
      </c>
      <c r="H2284" s="8" t="s">
        <v>299</v>
      </c>
      <c r="I2284" s="8">
        <v>1</v>
      </c>
      <c r="J2284" s="8">
        <v>240</v>
      </c>
      <c r="K2284" s="7" t="s">
        <v>312</v>
      </c>
      <c r="L2284" s="8">
        <v>80</v>
      </c>
      <c r="M2284" s="7">
        <f>IF(INDEX([1]equip.xml!$B:$B,MATCH(D2284,[1]equip.xml!$A:$A,0))=0,0,N2284)</f>
        <v>130</v>
      </c>
      <c r="N2284" s="8">
        <f t="shared" si="2929"/>
        <v>130</v>
      </c>
    </row>
    <row r="2285" spans="1:14">
      <c r="A2285" s="8">
        <f t="shared" si="2927"/>
        <v>20024</v>
      </c>
      <c r="B2285" s="8">
        <v>40000</v>
      </c>
      <c r="C2285" s="8" t="s">
        <v>298</v>
      </c>
      <c r="D2285" s="7">
        <f t="shared" si="2928"/>
        <v>50952056</v>
      </c>
      <c r="E2285" s="8"/>
      <c r="F2285" s="8">
        <v>1</v>
      </c>
      <c r="G2285" s="7">
        <v>618000</v>
      </c>
      <c r="H2285" s="8" t="s">
        <v>299</v>
      </c>
      <c r="I2285" s="8">
        <v>1</v>
      </c>
      <c r="J2285" s="8">
        <v>240</v>
      </c>
      <c r="K2285" s="7" t="s">
        <v>312</v>
      </c>
      <c r="L2285" s="8">
        <v>80</v>
      </c>
      <c r="M2285" s="7">
        <f>IF(INDEX([1]equip.xml!$B:$B,MATCH(D2285,[1]equip.xml!$A:$A,0))=0,0,N2285)</f>
        <v>130</v>
      </c>
      <c r="N2285" s="8">
        <f t="shared" si="2929"/>
        <v>130</v>
      </c>
    </row>
    <row r="2286" spans="1:14">
      <c r="A2286" s="8">
        <f t="shared" si="2927"/>
        <v>20024</v>
      </c>
      <c r="B2286" s="8">
        <v>40000</v>
      </c>
      <c r="C2286" s="8" t="s">
        <v>298</v>
      </c>
      <c r="D2286" s="7">
        <f t="shared" si="2928"/>
        <v>50952065</v>
      </c>
      <c r="E2286" s="8"/>
      <c r="F2286" s="8">
        <v>1</v>
      </c>
      <c r="G2286" s="7">
        <v>600000</v>
      </c>
      <c r="H2286" s="8" t="s">
        <v>299</v>
      </c>
      <c r="I2286" s="8">
        <v>1</v>
      </c>
      <c r="J2286" s="8">
        <v>240</v>
      </c>
      <c r="K2286" s="7" t="s">
        <v>312</v>
      </c>
      <c r="L2286" s="8">
        <v>80</v>
      </c>
      <c r="M2286" s="7">
        <f>IF(INDEX([1]equip.xml!$B:$B,MATCH(D2286,[1]equip.xml!$A:$A,0))=0,0,N2286)</f>
        <v>130</v>
      </c>
      <c r="N2286" s="8">
        <f t="shared" si="2929"/>
        <v>130</v>
      </c>
    </row>
    <row r="2287" spans="1:14">
      <c r="A2287" s="8">
        <f t="shared" si="2927"/>
        <v>20024</v>
      </c>
      <c r="B2287" s="8">
        <v>40000</v>
      </c>
      <c r="C2287" s="8" t="s">
        <v>298</v>
      </c>
      <c r="D2287" s="7">
        <f t="shared" si="2928"/>
        <v>50952066</v>
      </c>
      <c r="E2287" s="8"/>
      <c r="F2287" s="8">
        <v>1</v>
      </c>
      <c r="G2287" s="7">
        <v>618000</v>
      </c>
      <c r="H2287" s="8" t="s">
        <v>299</v>
      </c>
      <c r="I2287" s="8">
        <v>1</v>
      </c>
      <c r="J2287" s="8">
        <v>240</v>
      </c>
      <c r="K2287" s="7" t="s">
        <v>312</v>
      </c>
      <c r="L2287" s="8">
        <v>80</v>
      </c>
      <c r="M2287" s="7">
        <f>IF(INDEX([1]equip.xml!$B:$B,MATCH(D2287,[1]equip.xml!$A:$A,0))=0,0,N2287)</f>
        <v>130</v>
      </c>
      <c r="N2287" s="8">
        <f t="shared" si="2929"/>
        <v>130</v>
      </c>
    </row>
    <row r="2288" spans="1:14">
      <c r="A2288" s="8">
        <f t="shared" si="2927"/>
        <v>20024</v>
      </c>
      <c r="B2288" s="8">
        <v>40000</v>
      </c>
      <c r="C2288" s="8" t="s">
        <v>298</v>
      </c>
      <c r="D2288" s="7">
        <f t="shared" si="2928"/>
        <v>50953055</v>
      </c>
      <c r="E2288" s="8"/>
      <c r="F2288" s="8">
        <v>1</v>
      </c>
      <c r="G2288" s="7">
        <v>600000</v>
      </c>
      <c r="H2288" s="8" t="s">
        <v>299</v>
      </c>
      <c r="I2288" s="8">
        <v>1</v>
      </c>
      <c r="J2288" s="8">
        <v>240</v>
      </c>
      <c r="K2288" s="7" t="s">
        <v>312</v>
      </c>
      <c r="L2288" s="8">
        <v>80</v>
      </c>
      <c r="M2288" s="7">
        <f>IF(INDEX([1]equip.xml!$B:$B,MATCH(D2288,[1]equip.xml!$A:$A,0))=0,0,N2288)</f>
        <v>130</v>
      </c>
      <c r="N2288" s="8">
        <f t="shared" si="2929"/>
        <v>130</v>
      </c>
    </row>
    <row r="2289" spans="1:14">
      <c r="A2289" s="8">
        <f t="shared" si="2927"/>
        <v>20024</v>
      </c>
      <c r="B2289" s="8">
        <v>40000</v>
      </c>
      <c r="C2289" s="8" t="s">
        <v>298</v>
      </c>
      <c r="D2289" s="7">
        <f t="shared" si="2928"/>
        <v>50953056</v>
      </c>
      <c r="E2289" s="8"/>
      <c r="F2289" s="8">
        <v>1</v>
      </c>
      <c r="G2289" s="7">
        <v>618000</v>
      </c>
      <c r="H2289" s="8" t="s">
        <v>299</v>
      </c>
      <c r="I2289" s="8">
        <v>1</v>
      </c>
      <c r="J2289" s="8">
        <v>240</v>
      </c>
      <c r="K2289" s="7" t="s">
        <v>312</v>
      </c>
      <c r="L2289" s="8">
        <v>80</v>
      </c>
      <c r="M2289" s="7">
        <f>IF(INDEX([1]equip.xml!$B:$B,MATCH(D2289,[1]equip.xml!$A:$A,0))=0,0,N2289)</f>
        <v>130</v>
      </c>
      <c r="N2289" s="8">
        <f t="shared" si="2929"/>
        <v>130</v>
      </c>
    </row>
    <row r="2290" spans="1:14">
      <c r="A2290" s="8">
        <f t="shared" si="2927"/>
        <v>20024</v>
      </c>
      <c r="B2290" s="8">
        <v>40000</v>
      </c>
      <c r="C2290" s="8" t="s">
        <v>298</v>
      </c>
      <c r="D2290" s="7">
        <f t="shared" si="2928"/>
        <v>50953065</v>
      </c>
      <c r="E2290" s="8"/>
      <c r="F2290" s="8">
        <v>1</v>
      </c>
      <c r="G2290" s="7">
        <v>600000</v>
      </c>
      <c r="H2290" s="8" t="s">
        <v>299</v>
      </c>
      <c r="I2290" s="8">
        <v>1</v>
      </c>
      <c r="J2290" s="8">
        <v>240</v>
      </c>
      <c r="K2290" s="7" t="s">
        <v>312</v>
      </c>
      <c r="L2290" s="8">
        <v>80</v>
      </c>
      <c r="M2290" s="7">
        <f>IF(INDEX([1]equip.xml!$B:$B,MATCH(D2290,[1]equip.xml!$A:$A,0))=0,0,N2290)</f>
        <v>130</v>
      </c>
      <c r="N2290" s="8">
        <f t="shared" si="2929"/>
        <v>130</v>
      </c>
    </row>
    <row r="2291" spans="1:14">
      <c r="A2291" s="8">
        <f t="shared" si="2927"/>
        <v>20024</v>
      </c>
      <c r="B2291" s="8">
        <v>40000</v>
      </c>
      <c r="C2291" s="8" t="s">
        <v>298</v>
      </c>
      <c r="D2291" s="7">
        <f t="shared" si="2928"/>
        <v>50953066</v>
      </c>
      <c r="E2291" s="8"/>
      <c r="F2291" s="8">
        <v>1</v>
      </c>
      <c r="G2291" s="7">
        <v>618000</v>
      </c>
      <c r="H2291" s="8" t="s">
        <v>299</v>
      </c>
      <c r="I2291" s="8">
        <v>1</v>
      </c>
      <c r="J2291" s="8">
        <v>240</v>
      </c>
      <c r="K2291" s="7" t="s">
        <v>312</v>
      </c>
      <c r="L2291" s="8">
        <v>80</v>
      </c>
      <c r="M2291" s="7">
        <f>IF(INDEX([1]equip.xml!$B:$B,MATCH(D2291,[1]equip.xml!$A:$A,0))=0,0,N2291)</f>
        <v>130</v>
      </c>
      <c r="N2291" s="8">
        <f t="shared" si="2929"/>
        <v>130</v>
      </c>
    </row>
    <row r="2292" spans="1:14">
      <c r="A2292" s="8">
        <f t="shared" si="2927"/>
        <v>20024</v>
      </c>
      <c r="B2292" s="8">
        <v>40000</v>
      </c>
      <c r="C2292" s="8" t="s">
        <v>298</v>
      </c>
      <c r="D2292" s="7">
        <f t="shared" si="2928"/>
        <v>50950045</v>
      </c>
      <c r="E2292" s="8"/>
      <c r="F2292" s="8">
        <v>1</v>
      </c>
      <c r="G2292" s="7">
        <v>600000</v>
      </c>
      <c r="H2292" s="8" t="s">
        <v>299</v>
      </c>
      <c r="I2292" s="8">
        <v>1</v>
      </c>
      <c r="J2292" s="8">
        <v>240</v>
      </c>
      <c r="K2292" s="7" t="s">
        <v>312</v>
      </c>
      <c r="L2292" s="8">
        <v>80</v>
      </c>
      <c r="M2292" s="7">
        <f>IF(INDEX([1]equip.xml!$B:$B,MATCH(D2292,[1]equip.xml!$A:$A,0))=0,0,N2292)</f>
        <v>130</v>
      </c>
      <c r="N2292" s="8">
        <f t="shared" si="2929"/>
        <v>130</v>
      </c>
    </row>
    <row r="2293" spans="1:14">
      <c r="A2293" s="8">
        <f t="shared" si="2927"/>
        <v>20024</v>
      </c>
      <c r="B2293" s="8">
        <v>40000</v>
      </c>
      <c r="C2293" s="8" t="s">
        <v>298</v>
      </c>
      <c r="D2293" s="7">
        <f t="shared" si="2928"/>
        <v>50950046</v>
      </c>
      <c r="E2293" s="8"/>
      <c r="F2293" s="8">
        <v>1</v>
      </c>
      <c r="G2293" s="7">
        <v>618000</v>
      </c>
      <c r="H2293" s="8" t="s">
        <v>299</v>
      </c>
      <c r="I2293" s="8">
        <v>1</v>
      </c>
      <c r="J2293" s="8">
        <v>240</v>
      </c>
      <c r="K2293" s="7" t="s">
        <v>312</v>
      </c>
      <c r="L2293" s="8">
        <v>80</v>
      </c>
      <c r="M2293" s="7">
        <f>IF(INDEX([1]equip.xml!$B:$B,MATCH(D2293,[1]equip.xml!$A:$A,0))=0,0,N2293)</f>
        <v>130</v>
      </c>
      <c r="N2293" s="8">
        <f t="shared" si="2929"/>
        <v>130</v>
      </c>
    </row>
    <row r="2294" spans="1:14">
      <c r="A2294" s="8">
        <f t="shared" si="2927"/>
        <v>20024</v>
      </c>
      <c r="B2294" s="8">
        <v>40000</v>
      </c>
      <c r="C2294" s="8" t="s">
        <v>298</v>
      </c>
      <c r="D2294" s="7">
        <f t="shared" si="2928"/>
        <v>50950075</v>
      </c>
      <c r="E2294" s="8"/>
      <c r="F2294" s="8">
        <v>1</v>
      </c>
      <c r="G2294" s="7">
        <v>600000</v>
      </c>
      <c r="H2294" s="8" t="s">
        <v>299</v>
      </c>
      <c r="I2294" s="8">
        <v>1</v>
      </c>
      <c r="J2294" s="8">
        <v>240</v>
      </c>
      <c r="K2294" s="7" t="s">
        <v>312</v>
      </c>
      <c r="L2294" s="8">
        <v>80</v>
      </c>
      <c r="M2294" s="7">
        <f>IF(INDEX([1]equip.xml!$B:$B,MATCH(D2294,[1]equip.xml!$A:$A,0))=0,0,N2294)</f>
        <v>130</v>
      </c>
      <c r="N2294" s="8">
        <f t="shared" si="2929"/>
        <v>130</v>
      </c>
    </row>
    <row r="2295" spans="1:14">
      <c r="A2295" s="8">
        <f t="shared" si="2927"/>
        <v>20024</v>
      </c>
      <c r="B2295" s="8">
        <v>40000</v>
      </c>
      <c r="C2295" s="8" t="s">
        <v>298</v>
      </c>
      <c r="D2295" s="7">
        <f t="shared" si="2928"/>
        <v>50950076</v>
      </c>
      <c r="E2295" s="8"/>
      <c r="F2295" s="8">
        <v>1</v>
      </c>
      <c r="G2295" s="7">
        <v>618000</v>
      </c>
      <c r="H2295" s="8" t="s">
        <v>299</v>
      </c>
      <c r="I2295" s="8">
        <v>1</v>
      </c>
      <c r="J2295" s="8">
        <v>240</v>
      </c>
      <c r="K2295" s="7" t="s">
        <v>312</v>
      </c>
      <c r="L2295" s="8">
        <v>80</v>
      </c>
      <c r="M2295" s="7">
        <f>IF(INDEX([1]equip.xml!$B:$B,MATCH(D2295,[1]equip.xml!$A:$A,0))=0,0,N2295)</f>
        <v>130</v>
      </c>
      <c r="N2295" s="8">
        <f t="shared" si="2929"/>
        <v>130</v>
      </c>
    </row>
    <row r="2296" spans="1:14">
      <c r="A2296" s="8">
        <f t="shared" si="2927"/>
        <v>20024</v>
      </c>
      <c r="B2296" s="8">
        <v>40000</v>
      </c>
      <c r="C2296" s="8" t="s">
        <v>298</v>
      </c>
      <c r="D2296" s="7">
        <f t="shared" si="2928"/>
        <v>51000015</v>
      </c>
      <c r="E2296" s="8"/>
      <c r="F2296" s="8">
        <v>1</v>
      </c>
      <c r="G2296" s="7">
        <v>636000</v>
      </c>
      <c r="H2296" s="8" t="s">
        <v>299</v>
      </c>
      <c r="I2296" s="8">
        <v>1</v>
      </c>
      <c r="J2296" s="8">
        <v>240</v>
      </c>
      <c r="K2296" s="7" t="s">
        <v>312</v>
      </c>
      <c r="L2296" s="8">
        <v>80</v>
      </c>
      <c r="M2296" s="7">
        <f>IF(INDEX([1]equip.xml!$B:$B,MATCH(D2296,[1]equip.xml!$A:$A,0))=0,0,N2296)</f>
        <v>1</v>
      </c>
      <c r="N2296" s="8">
        <f t="shared" si="2929"/>
        <v>1</v>
      </c>
    </row>
    <row r="2297" spans="1:14">
      <c r="A2297" s="8">
        <f t="shared" si="2927"/>
        <v>20024</v>
      </c>
      <c r="B2297" s="8">
        <v>40000</v>
      </c>
      <c r="C2297" s="8" t="s">
        <v>298</v>
      </c>
      <c r="D2297" s="7">
        <f t="shared" si="2928"/>
        <v>51000025</v>
      </c>
      <c r="E2297" s="8"/>
      <c r="F2297" s="8">
        <v>1</v>
      </c>
      <c r="G2297" s="7">
        <v>636000</v>
      </c>
      <c r="H2297" s="8" t="s">
        <v>299</v>
      </c>
      <c r="I2297" s="8">
        <v>1</v>
      </c>
      <c r="J2297" s="8">
        <v>240</v>
      </c>
      <c r="K2297" s="7" t="s">
        <v>312</v>
      </c>
      <c r="L2297" s="8">
        <v>80</v>
      </c>
      <c r="M2297" s="7">
        <f>IF(INDEX([1]equip.xml!$B:$B,MATCH(D2297,[1]equip.xml!$A:$A,0))=0,0,N2297)</f>
        <v>1</v>
      </c>
      <c r="N2297" s="8">
        <f t="shared" si="2929"/>
        <v>1</v>
      </c>
    </row>
    <row r="2298" spans="1:14">
      <c r="A2298" s="8">
        <f t="shared" si="2927"/>
        <v>20024</v>
      </c>
      <c r="B2298" s="8">
        <v>40000</v>
      </c>
      <c r="C2298" s="8" t="s">
        <v>298</v>
      </c>
      <c r="D2298" s="7">
        <f t="shared" si="2928"/>
        <v>51000035</v>
      </c>
      <c r="E2298" s="8"/>
      <c r="F2298" s="8">
        <v>1</v>
      </c>
      <c r="G2298" s="7">
        <v>636000</v>
      </c>
      <c r="H2298" s="8" t="s">
        <v>299</v>
      </c>
      <c r="I2298" s="8">
        <v>1</v>
      </c>
      <c r="J2298" s="8">
        <v>240</v>
      </c>
      <c r="K2298" s="7" t="s">
        <v>312</v>
      </c>
      <c r="L2298" s="8">
        <v>80</v>
      </c>
      <c r="M2298" s="7">
        <f>IF(INDEX([1]equip.xml!$B:$B,MATCH(D2298,[1]equip.xml!$A:$A,0))=0,0,N2298)</f>
        <v>1</v>
      </c>
      <c r="N2298" s="8">
        <f t="shared" si="2929"/>
        <v>1</v>
      </c>
    </row>
    <row r="2299" spans="1:14">
      <c r="A2299" s="8">
        <f t="shared" si="2927"/>
        <v>20024</v>
      </c>
      <c r="B2299" s="8">
        <v>40000</v>
      </c>
      <c r="C2299" s="8" t="s">
        <v>298</v>
      </c>
      <c r="D2299" s="7">
        <f t="shared" si="2928"/>
        <v>51000085</v>
      </c>
      <c r="E2299" s="8"/>
      <c r="F2299" s="8">
        <v>1</v>
      </c>
      <c r="G2299" s="7">
        <v>636000</v>
      </c>
      <c r="H2299" s="8" t="s">
        <v>299</v>
      </c>
      <c r="I2299" s="8">
        <v>1</v>
      </c>
      <c r="J2299" s="8">
        <v>240</v>
      </c>
      <c r="K2299" s="7" t="s">
        <v>312</v>
      </c>
      <c r="L2299" s="8">
        <v>80</v>
      </c>
      <c r="M2299" s="7">
        <f>IF(INDEX([1]equip.xml!$B:$B,MATCH(D2299,[1]equip.xml!$A:$A,0))=0,0,N2299)</f>
        <v>1</v>
      </c>
      <c r="N2299" s="8">
        <f t="shared" si="2929"/>
        <v>1</v>
      </c>
    </row>
    <row r="2300" spans="1:14">
      <c r="A2300" s="8">
        <f t="shared" si="2927"/>
        <v>20024</v>
      </c>
      <c r="B2300" s="8">
        <v>40000</v>
      </c>
      <c r="C2300" s="8" t="s">
        <v>298</v>
      </c>
      <c r="D2300" s="7">
        <f t="shared" si="2928"/>
        <v>51000095</v>
      </c>
      <c r="E2300" s="8"/>
      <c r="F2300" s="8">
        <v>1</v>
      </c>
      <c r="G2300" s="7">
        <v>636000</v>
      </c>
      <c r="H2300" s="8" t="s">
        <v>299</v>
      </c>
      <c r="I2300" s="8">
        <v>1</v>
      </c>
      <c r="J2300" s="8">
        <v>240</v>
      </c>
      <c r="K2300" s="7" t="s">
        <v>312</v>
      </c>
      <c r="L2300" s="8">
        <v>80</v>
      </c>
      <c r="M2300" s="7">
        <f>IF(INDEX([1]equip.xml!$B:$B,MATCH(D2300,[1]equip.xml!$A:$A,0))=0,0,N2300)</f>
        <v>1</v>
      </c>
      <c r="N2300" s="8">
        <f t="shared" si="2929"/>
        <v>1</v>
      </c>
    </row>
    <row r="2301" spans="1:14">
      <c r="A2301" s="8">
        <f t="shared" si="2927"/>
        <v>20024</v>
      </c>
      <c r="B2301" s="8">
        <v>40000</v>
      </c>
      <c r="C2301" s="8" t="s">
        <v>298</v>
      </c>
      <c r="D2301" s="7">
        <f t="shared" si="2928"/>
        <v>51000105</v>
      </c>
      <c r="E2301" s="8"/>
      <c r="F2301" s="8">
        <v>1</v>
      </c>
      <c r="G2301" s="7">
        <v>636000</v>
      </c>
      <c r="H2301" s="8" t="s">
        <v>299</v>
      </c>
      <c r="I2301" s="8">
        <v>1</v>
      </c>
      <c r="J2301" s="8">
        <v>240</v>
      </c>
      <c r="K2301" s="7" t="s">
        <v>312</v>
      </c>
      <c r="L2301" s="8">
        <v>80</v>
      </c>
      <c r="M2301" s="7">
        <f>IF(INDEX([1]equip.xml!$B:$B,MATCH(D2301,[1]equip.xml!$A:$A,0))=0,0,N2301)</f>
        <v>1</v>
      </c>
      <c r="N2301" s="8">
        <f t="shared" si="2929"/>
        <v>1</v>
      </c>
    </row>
    <row r="2302" spans="1:14">
      <c r="A2302" s="8">
        <f t="shared" si="2927"/>
        <v>20024</v>
      </c>
      <c r="B2302" s="8">
        <v>40000</v>
      </c>
      <c r="C2302" s="8" t="s">
        <v>298</v>
      </c>
      <c r="D2302" s="7">
        <f t="shared" si="2928"/>
        <v>51001055</v>
      </c>
      <c r="E2302" s="8"/>
      <c r="F2302" s="8">
        <v>1</v>
      </c>
      <c r="G2302" s="7">
        <v>636000</v>
      </c>
      <c r="H2302" s="8" t="s">
        <v>299</v>
      </c>
      <c r="I2302" s="8">
        <v>1</v>
      </c>
      <c r="J2302" s="8">
        <v>240</v>
      </c>
      <c r="K2302" s="7" t="s">
        <v>312</v>
      </c>
      <c r="L2302" s="8">
        <v>80</v>
      </c>
      <c r="M2302" s="7">
        <f>IF(INDEX([1]equip.xml!$B:$B,MATCH(D2302,[1]equip.xml!$A:$A,0))=0,0,N2302)</f>
        <v>1</v>
      </c>
      <c r="N2302" s="8">
        <f t="shared" si="2929"/>
        <v>1</v>
      </c>
    </row>
    <row r="2303" spans="1:14">
      <c r="A2303" s="8">
        <f t="shared" si="2927"/>
        <v>20024</v>
      </c>
      <c r="B2303" s="8">
        <v>40000</v>
      </c>
      <c r="C2303" s="8" t="s">
        <v>298</v>
      </c>
      <c r="D2303" s="7">
        <f t="shared" si="2928"/>
        <v>51001056</v>
      </c>
      <c r="E2303" s="8"/>
      <c r="F2303" s="8">
        <v>1</v>
      </c>
      <c r="G2303" s="7">
        <v>654000</v>
      </c>
      <c r="H2303" s="8" t="s">
        <v>299</v>
      </c>
      <c r="I2303" s="8">
        <v>1</v>
      </c>
      <c r="J2303" s="8">
        <v>240</v>
      </c>
      <c r="K2303" s="7" t="s">
        <v>312</v>
      </c>
      <c r="L2303" s="8">
        <v>80</v>
      </c>
      <c r="M2303" s="7">
        <f>IF(INDEX([1]equip.xml!$B:$B,MATCH(D2303,[1]equip.xml!$A:$A,0))=0,0,N2303)</f>
        <v>0</v>
      </c>
      <c r="N2303" s="8">
        <f t="shared" si="2929"/>
        <v>1</v>
      </c>
    </row>
    <row r="2304" spans="1:14">
      <c r="A2304" s="8">
        <f t="shared" si="2927"/>
        <v>20024</v>
      </c>
      <c r="B2304" s="8">
        <v>40000</v>
      </c>
      <c r="C2304" s="8" t="s">
        <v>298</v>
      </c>
      <c r="D2304" s="7">
        <f t="shared" si="2928"/>
        <v>51001065</v>
      </c>
      <c r="E2304" s="8"/>
      <c r="F2304" s="8">
        <v>1</v>
      </c>
      <c r="G2304" s="7">
        <v>636000</v>
      </c>
      <c r="H2304" s="8" t="s">
        <v>299</v>
      </c>
      <c r="I2304" s="8">
        <v>1</v>
      </c>
      <c r="J2304" s="8">
        <v>240</v>
      </c>
      <c r="K2304" s="7" t="s">
        <v>312</v>
      </c>
      <c r="L2304" s="8">
        <v>80</v>
      </c>
      <c r="M2304" s="7">
        <f>IF(INDEX([1]equip.xml!$B:$B,MATCH(D2304,[1]equip.xml!$A:$A,0))=0,0,N2304)</f>
        <v>1</v>
      </c>
      <c r="N2304" s="8">
        <f t="shared" si="2929"/>
        <v>1</v>
      </c>
    </row>
    <row r="2305" spans="1:14">
      <c r="A2305" s="8">
        <f t="shared" ref="A2305:A2335" si="2930">A1777+10000</f>
        <v>20024</v>
      </c>
      <c r="B2305" s="8">
        <v>40000</v>
      </c>
      <c r="C2305" s="8" t="s">
        <v>298</v>
      </c>
      <c r="D2305" s="7">
        <f t="shared" si="2928"/>
        <v>51001066</v>
      </c>
      <c r="E2305" s="8"/>
      <c r="F2305" s="8">
        <v>1</v>
      </c>
      <c r="G2305" s="7">
        <v>654000</v>
      </c>
      <c r="H2305" s="8" t="s">
        <v>299</v>
      </c>
      <c r="I2305" s="8">
        <v>1</v>
      </c>
      <c r="J2305" s="8">
        <v>240</v>
      </c>
      <c r="K2305" s="7" t="s">
        <v>312</v>
      </c>
      <c r="L2305" s="8">
        <v>80</v>
      </c>
      <c r="M2305" s="7">
        <f>IF(INDEX([1]equip.xml!$B:$B,MATCH(D2305,[1]equip.xml!$A:$A,0))=0,0,N2305)</f>
        <v>0</v>
      </c>
      <c r="N2305" s="8">
        <f t="shared" si="2929"/>
        <v>1</v>
      </c>
    </row>
    <row r="2306" spans="1:14">
      <c r="A2306" s="8">
        <f t="shared" si="2930"/>
        <v>20024</v>
      </c>
      <c r="B2306" s="8">
        <v>40000</v>
      </c>
      <c r="C2306" s="8" t="s">
        <v>298</v>
      </c>
      <c r="D2306" s="7">
        <f t="shared" si="2928"/>
        <v>51002055</v>
      </c>
      <c r="E2306" s="8"/>
      <c r="F2306" s="8">
        <v>1</v>
      </c>
      <c r="G2306" s="7">
        <v>636000</v>
      </c>
      <c r="H2306" s="8" t="s">
        <v>299</v>
      </c>
      <c r="I2306" s="8">
        <v>1</v>
      </c>
      <c r="J2306" s="8">
        <v>240</v>
      </c>
      <c r="K2306" s="7" t="s">
        <v>312</v>
      </c>
      <c r="L2306" s="8">
        <v>80</v>
      </c>
      <c r="M2306" s="7">
        <f>IF(INDEX([1]equip.xml!$B:$B,MATCH(D2306,[1]equip.xml!$A:$A,0))=0,0,N2306)</f>
        <v>1</v>
      </c>
      <c r="N2306" s="8">
        <f t="shared" si="2929"/>
        <v>1</v>
      </c>
    </row>
    <row r="2307" spans="1:14">
      <c r="A2307" s="8">
        <f t="shared" si="2930"/>
        <v>20024</v>
      </c>
      <c r="B2307" s="8">
        <v>40000</v>
      </c>
      <c r="C2307" s="8" t="s">
        <v>298</v>
      </c>
      <c r="D2307" s="7">
        <f t="shared" si="2928"/>
        <v>51002056</v>
      </c>
      <c r="E2307" s="8"/>
      <c r="F2307" s="8">
        <v>1</v>
      </c>
      <c r="G2307" s="7">
        <v>654000</v>
      </c>
      <c r="H2307" s="8" t="s">
        <v>299</v>
      </c>
      <c r="I2307" s="8">
        <v>1</v>
      </c>
      <c r="J2307" s="8">
        <v>240</v>
      </c>
      <c r="K2307" s="7" t="s">
        <v>312</v>
      </c>
      <c r="L2307" s="8">
        <v>80</v>
      </c>
      <c r="M2307" s="7">
        <f>IF(INDEX([1]equip.xml!$B:$B,MATCH(D2307,[1]equip.xml!$A:$A,0))=0,0,N2307)</f>
        <v>0</v>
      </c>
      <c r="N2307" s="8">
        <f t="shared" si="2929"/>
        <v>1</v>
      </c>
    </row>
    <row r="2308" spans="1:14">
      <c r="A2308" s="8">
        <f t="shared" si="2930"/>
        <v>20024</v>
      </c>
      <c r="B2308" s="8">
        <v>40000</v>
      </c>
      <c r="C2308" s="8" t="s">
        <v>298</v>
      </c>
      <c r="D2308" s="7">
        <f t="shared" si="2928"/>
        <v>51002065</v>
      </c>
      <c r="E2308" s="8"/>
      <c r="F2308" s="8">
        <v>1</v>
      </c>
      <c r="G2308" s="7">
        <v>636000</v>
      </c>
      <c r="H2308" s="8" t="s">
        <v>299</v>
      </c>
      <c r="I2308" s="8">
        <v>1</v>
      </c>
      <c r="J2308" s="8">
        <v>240</v>
      </c>
      <c r="K2308" s="7" t="s">
        <v>312</v>
      </c>
      <c r="L2308" s="8">
        <v>80</v>
      </c>
      <c r="M2308" s="7">
        <f>IF(INDEX([1]equip.xml!$B:$B,MATCH(D2308,[1]equip.xml!$A:$A,0))=0,0,N2308)</f>
        <v>1</v>
      </c>
      <c r="N2308" s="8">
        <f t="shared" si="2929"/>
        <v>1</v>
      </c>
    </row>
    <row r="2309" spans="1:14">
      <c r="A2309" s="8">
        <f t="shared" si="2930"/>
        <v>20024</v>
      </c>
      <c r="B2309" s="8">
        <v>40000</v>
      </c>
      <c r="C2309" s="8" t="s">
        <v>298</v>
      </c>
      <c r="D2309" s="7">
        <f t="shared" si="2928"/>
        <v>51002066</v>
      </c>
      <c r="E2309" s="8"/>
      <c r="F2309" s="8">
        <v>1</v>
      </c>
      <c r="G2309" s="7">
        <v>654000</v>
      </c>
      <c r="H2309" s="8" t="s">
        <v>299</v>
      </c>
      <c r="I2309" s="8">
        <v>1</v>
      </c>
      <c r="J2309" s="8">
        <v>240</v>
      </c>
      <c r="K2309" s="7" t="s">
        <v>312</v>
      </c>
      <c r="L2309" s="8">
        <v>80</v>
      </c>
      <c r="M2309" s="7">
        <f>IF(INDEX([1]equip.xml!$B:$B,MATCH(D2309,[1]equip.xml!$A:$A,0))=0,0,N2309)</f>
        <v>0</v>
      </c>
      <c r="N2309" s="8">
        <f t="shared" si="2929"/>
        <v>1</v>
      </c>
    </row>
    <row r="2310" spans="1:14">
      <c r="A2310" s="8">
        <f t="shared" si="2930"/>
        <v>20024</v>
      </c>
      <c r="B2310" s="8">
        <v>40000</v>
      </c>
      <c r="C2310" s="8" t="s">
        <v>298</v>
      </c>
      <c r="D2310" s="7">
        <f t="shared" si="2928"/>
        <v>51003055</v>
      </c>
      <c r="E2310" s="8"/>
      <c r="F2310" s="8">
        <v>1</v>
      </c>
      <c r="G2310" s="7">
        <v>636000</v>
      </c>
      <c r="H2310" s="8" t="s">
        <v>299</v>
      </c>
      <c r="I2310" s="8">
        <v>1</v>
      </c>
      <c r="J2310" s="8">
        <v>240</v>
      </c>
      <c r="K2310" s="7" t="s">
        <v>312</v>
      </c>
      <c r="L2310" s="8">
        <v>80</v>
      </c>
      <c r="M2310" s="7">
        <f>IF(INDEX([1]equip.xml!$B:$B,MATCH(D2310,[1]equip.xml!$A:$A,0))=0,0,N2310)</f>
        <v>1</v>
      </c>
      <c r="N2310" s="8">
        <f t="shared" si="2929"/>
        <v>1</v>
      </c>
    </row>
    <row r="2311" spans="1:14">
      <c r="A2311" s="8">
        <f t="shared" si="2930"/>
        <v>20024</v>
      </c>
      <c r="B2311" s="8">
        <v>40000</v>
      </c>
      <c r="C2311" s="8" t="s">
        <v>298</v>
      </c>
      <c r="D2311" s="7">
        <f t="shared" si="2928"/>
        <v>51003056</v>
      </c>
      <c r="E2311" s="8"/>
      <c r="F2311" s="8">
        <v>1</v>
      </c>
      <c r="G2311" s="7">
        <v>654000</v>
      </c>
      <c r="H2311" s="8" t="s">
        <v>299</v>
      </c>
      <c r="I2311" s="8">
        <v>1</v>
      </c>
      <c r="J2311" s="8">
        <v>240</v>
      </c>
      <c r="K2311" s="7" t="s">
        <v>312</v>
      </c>
      <c r="L2311" s="8">
        <v>80</v>
      </c>
      <c r="M2311" s="7">
        <f>IF(INDEX([1]equip.xml!$B:$B,MATCH(D2311,[1]equip.xml!$A:$A,0))=0,0,N2311)</f>
        <v>0</v>
      </c>
      <c r="N2311" s="8">
        <f t="shared" si="2929"/>
        <v>1</v>
      </c>
    </row>
    <row r="2312" spans="1:14">
      <c r="A2312" s="8">
        <f t="shared" si="2930"/>
        <v>20024</v>
      </c>
      <c r="B2312" s="8">
        <v>40000</v>
      </c>
      <c r="C2312" s="8" t="s">
        <v>298</v>
      </c>
      <c r="D2312" s="7">
        <f t="shared" si="2928"/>
        <v>51003065</v>
      </c>
      <c r="E2312" s="8"/>
      <c r="F2312" s="8">
        <v>1</v>
      </c>
      <c r="G2312" s="7">
        <v>636000</v>
      </c>
      <c r="H2312" s="8" t="s">
        <v>299</v>
      </c>
      <c r="I2312" s="8">
        <v>1</v>
      </c>
      <c r="J2312" s="8">
        <v>240</v>
      </c>
      <c r="K2312" s="7" t="s">
        <v>312</v>
      </c>
      <c r="L2312" s="8">
        <v>80</v>
      </c>
      <c r="M2312" s="7">
        <f>IF(INDEX([1]equip.xml!$B:$B,MATCH(D2312,[1]equip.xml!$A:$A,0))=0,0,N2312)</f>
        <v>1</v>
      </c>
      <c r="N2312" s="8">
        <f t="shared" si="2929"/>
        <v>1</v>
      </c>
    </row>
    <row r="2313" spans="1:14">
      <c r="A2313" s="8">
        <f t="shared" si="2930"/>
        <v>20024</v>
      </c>
      <c r="B2313" s="8">
        <v>40000</v>
      </c>
      <c r="C2313" s="8" t="s">
        <v>298</v>
      </c>
      <c r="D2313" s="7">
        <f t="shared" si="2928"/>
        <v>51003066</v>
      </c>
      <c r="E2313" s="8"/>
      <c r="F2313" s="8">
        <v>1</v>
      </c>
      <c r="G2313" s="7">
        <v>654000</v>
      </c>
      <c r="H2313" s="8" t="s">
        <v>299</v>
      </c>
      <c r="I2313" s="8">
        <v>1</v>
      </c>
      <c r="J2313" s="8">
        <v>240</v>
      </c>
      <c r="K2313" s="7" t="s">
        <v>312</v>
      </c>
      <c r="L2313" s="8">
        <v>80</v>
      </c>
      <c r="M2313" s="7">
        <f>IF(INDEX([1]equip.xml!$B:$B,MATCH(D2313,[1]equip.xml!$A:$A,0))=0,0,N2313)</f>
        <v>0</v>
      </c>
      <c r="N2313" s="8">
        <f t="shared" si="2929"/>
        <v>1</v>
      </c>
    </row>
    <row r="2314" spans="1:14">
      <c r="A2314" s="8">
        <f t="shared" si="2930"/>
        <v>20024</v>
      </c>
      <c r="B2314" s="8">
        <v>40000</v>
      </c>
      <c r="C2314" s="8" t="s">
        <v>298</v>
      </c>
      <c r="D2314" s="7">
        <f t="shared" si="2928"/>
        <v>51000045</v>
      </c>
      <c r="E2314" s="8"/>
      <c r="F2314" s="8">
        <v>1</v>
      </c>
      <c r="G2314" s="7">
        <v>636000</v>
      </c>
      <c r="H2314" s="8" t="s">
        <v>299</v>
      </c>
      <c r="I2314" s="8">
        <v>1</v>
      </c>
      <c r="J2314" s="8">
        <v>240</v>
      </c>
      <c r="K2314" s="7" t="s">
        <v>312</v>
      </c>
      <c r="L2314" s="8">
        <v>80</v>
      </c>
      <c r="M2314" s="7">
        <f>IF(INDEX([1]equip.xml!$B:$B,MATCH(D2314,[1]equip.xml!$A:$A,0))=0,0,N2314)</f>
        <v>1</v>
      </c>
      <c r="N2314" s="8">
        <f t="shared" si="2929"/>
        <v>1</v>
      </c>
    </row>
    <row r="2315" spans="1:14">
      <c r="A2315" s="8">
        <f t="shared" si="2930"/>
        <v>20024</v>
      </c>
      <c r="B2315" s="8">
        <v>40000</v>
      </c>
      <c r="C2315" s="8" t="s">
        <v>298</v>
      </c>
      <c r="D2315" s="7">
        <f t="shared" si="2928"/>
        <v>51000046</v>
      </c>
      <c r="E2315" s="8"/>
      <c r="F2315" s="8">
        <v>1</v>
      </c>
      <c r="G2315" s="7">
        <v>654000</v>
      </c>
      <c r="H2315" s="8" t="s">
        <v>299</v>
      </c>
      <c r="I2315" s="8">
        <v>1</v>
      </c>
      <c r="J2315" s="8">
        <v>240</v>
      </c>
      <c r="K2315" s="7" t="s">
        <v>312</v>
      </c>
      <c r="L2315" s="8">
        <v>80</v>
      </c>
      <c r="M2315" s="7">
        <f>IF(INDEX([1]equip.xml!$B:$B,MATCH(D2315,[1]equip.xml!$A:$A,0))=0,0,N2315)</f>
        <v>1</v>
      </c>
      <c r="N2315" s="8">
        <f t="shared" si="2929"/>
        <v>1</v>
      </c>
    </row>
    <row r="2316" spans="1:14">
      <c r="A2316" s="8">
        <f t="shared" si="2930"/>
        <v>20024</v>
      </c>
      <c r="B2316" s="8">
        <v>40000</v>
      </c>
      <c r="C2316" s="8" t="s">
        <v>298</v>
      </c>
      <c r="D2316" s="7">
        <f t="shared" si="2928"/>
        <v>51000075</v>
      </c>
      <c r="E2316" s="8"/>
      <c r="F2316" s="8">
        <v>1</v>
      </c>
      <c r="G2316" s="7">
        <v>636000</v>
      </c>
      <c r="H2316" s="8" t="s">
        <v>299</v>
      </c>
      <c r="I2316" s="8">
        <v>1</v>
      </c>
      <c r="J2316" s="8">
        <v>240</v>
      </c>
      <c r="K2316" s="7" t="s">
        <v>312</v>
      </c>
      <c r="L2316" s="8">
        <v>80</v>
      </c>
      <c r="M2316" s="7">
        <f>IF(INDEX([1]equip.xml!$B:$B,MATCH(D2316,[1]equip.xml!$A:$A,0))=0,0,N2316)</f>
        <v>1</v>
      </c>
      <c r="N2316" s="8">
        <f t="shared" si="2929"/>
        <v>1</v>
      </c>
    </row>
    <row r="2317" spans="1:14">
      <c r="A2317" s="8">
        <f t="shared" si="2930"/>
        <v>20024</v>
      </c>
      <c r="B2317" s="8">
        <v>40000</v>
      </c>
      <c r="C2317" s="8" t="s">
        <v>298</v>
      </c>
      <c r="D2317" s="7">
        <f t="shared" si="2928"/>
        <v>51000076</v>
      </c>
      <c r="E2317" s="8"/>
      <c r="F2317" s="8">
        <v>1</v>
      </c>
      <c r="G2317" s="7">
        <v>654000</v>
      </c>
      <c r="H2317" s="8" t="s">
        <v>299</v>
      </c>
      <c r="I2317" s="8">
        <v>1</v>
      </c>
      <c r="J2317" s="8">
        <v>240</v>
      </c>
      <c r="K2317" s="7" t="s">
        <v>312</v>
      </c>
      <c r="L2317" s="8">
        <v>80</v>
      </c>
      <c r="M2317" s="7">
        <f>IF(INDEX([1]equip.xml!$B:$B,MATCH(D2317,[1]equip.xml!$A:$A,0))=0,0,N2317)</f>
        <v>1</v>
      </c>
      <c r="N2317" s="8">
        <f t="shared" si="2929"/>
        <v>1</v>
      </c>
    </row>
    <row r="2318" spans="1:14">
      <c r="A2318" s="8">
        <f t="shared" si="2930"/>
        <v>30019</v>
      </c>
      <c r="B2318" s="8">
        <v>40000</v>
      </c>
      <c r="C2318" s="8" t="s">
        <v>298</v>
      </c>
      <c r="D2318" s="8">
        <v>40700010</v>
      </c>
      <c r="E2318" s="8"/>
      <c r="F2318" s="8">
        <v>1</v>
      </c>
      <c r="G2318" s="7">
        <v>210000</v>
      </c>
      <c r="H2318" s="8" t="s">
        <v>299</v>
      </c>
      <c r="I2318" s="8">
        <v>6</v>
      </c>
      <c r="J2318" s="8">
        <v>50</v>
      </c>
      <c r="K2318" s="7" t="s">
        <v>312</v>
      </c>
      <c r="L2318" s="8">
        <v>84</v>
      </c>
      <c r="M2318" s="7">
        <f>IF(INDEX([1]equip.xml!$B:$B,MATCH(D2318&amp;"",[1]equip.xml!$A:$A,0))=0,0,N2318)</f>
        <v>100</v>
      </c>
      <c r="N2318" s="8">
        <v>100</v>
      </c>
    </row>
    <row r="2319" spans="1:14">
      <c r="A2319" s="8">
        <f t="shared" si="2930"/>
        <v>30019</v>
      </c>
      <c r="B2319" s="8">
        <v>40000</v>
      </c>
      <c r="C2319" s="8" t="s">
        <v>298</v>
      </c>
      <c r="D2319" s="8">
        <v>40700020</v>
      </c>
      <c r="E2319" s="8"/>
      <c r="F2319" s="8">
        <v>1</v>
      </c>
      <c r="G2319" s="7">
        <v>210000</v>
      </c>
      <c r="H2319" s="8" t="s">
        <v>299</v>
      </c>
      <c r="I2319" s="8">
        <v>6</v>
      </c>
      <c r="J2319" s="8">
        <v>50</v>
      </c>
      <c r="K2319" s="7" t="s">
        <v>312</v>
      </c>
      <c r="L2319" s="8">
        <v>84</v>
      </c>
      <c r="M2319" s="7">
        <f>IF(INDEX([1]equip.xml!$B:$B,MATCH(D2319&amp;"",[1]equip.xml!$A:$A,0))=0,0,N2319)</f>
        <v>100</v>
      </c>
      <c r="N2319" s="8">
        <v>100</v>
      </c>
    </row>
    <row r="2320" spans="1:14">
      <c r="A2320" s="8">
        <f t="shared" si="2930"/>
        <v>30019</v>
      </c>
      <c r="B2320" s="8">
        <v>40000</v>
      </c>
      <c r="C2320" s="8" t="s">
        <v>298</v>
      </c>
      <c r="D2320" s="8">
        <v>40700030</v>
      </c>
      <c r="E2320" s="8"/>
      <c r="F2320" s="8">
        <v>1</v>
      </c>
      <c r="G2320" s="7">
        <v>210000</v>
      </c>
      <c r="H2320" s="8" t="s">
        <v>299</v>
      </c>
      <c r="I2320" s="8">
        <v>6</v>
      </c>
      <c r="J2320" s="8">
        <v>50</v>
      </c>
      <c r="K2320" s="7" t="s">
        <v>312</v>
      </c>
      <c r="L2320" s="8">
        <v>84</v>
      </c>
      <c r="M2320" s="7">
        <f>IF(INDEX([1]equip.xml!$B:$B,MATCH(D2320&amp;"",[1]equip.xml!$A:$A,0))=0,0,N2320)</f>
        <v>100</v>
      </c>
      <c r="N2320" s="8">
        <v>100</v>
      </c>
    </row>
    <row r="2321" spans="1:14">
      <c r="A2321" s="8">
        <f t="shared" si="2930"/>
        <v>30019</v>
      </c>
      <c r="B2321" s="8">
        <v>40000</v>
      </c>
      <c r="C2321" s="8" t="s">
        <v>298</v>
      </c>
      <c r="D2321" s="8">
        <v>40700080</v>
      </c>
      <c r="E2321" s="8"/>
      <c r="F2321" s="8">
        <v>1</v>
      </c>
      <c r="G2321" s="7">
        <v>210000</v>
      </c>
      <c r="H2321" s="8" t="s">
        <v>299</v>
      </c>
      <c r="I2321" s="8">
        <v>6</v>
      </c>
      <c r="J2321" s="8">
        <v>50</v>
      </c>
      <c r="K2321" s="7" t="s">
        <v>312</v>
      </c>
      <c r="L2321" s="8">
        <v>84</v>
      </c>
      <c r="M2321" s="7">
        <f>IF(INDEX([1]equip.xml!$B:$B,MATCH(D2321&amp;"",[1]equip.xml!$A:$A,0))=0,0,N2321)</f>
        <v>100</v>
      </c>
      <c r="N2321" s="8">
        <v>100</v>
      </c>
    </row>
    <row r="2322" spans="1:14">
      <c r="A2322" s="8">
        <f t="shared" si="2930"/>
        <v>30019</v>
      </c>
      <c r="B2322" s="8">
        <v>40000</v>
      </c>
      <c r="C2322" s="8" t="s">
        <v>298</v>
      </c>
      <c r="D2322" s="8">
        <v>40700090</v>
      </c>
      <c r="E2322" s="8"/>
      <c r="F2322" s="8">
        <v>1</v>
      </c>
      <c r="G2322" s="7">
        <v>210000</v>
      </c>
      <c r="H2322" s="8" t="s">
        <v>299</v>
      </c>
      <c r="I2322" s="8">
        <v>6</v>
      </c>
      <c r="J2322" s="8">
        <v>50</v>
      </c>
      <c r="K2322" s="7" t="s">
        <v>312</v>
      </c>
      <c r="L2322" s="8">
        <v>84</v>
      </c>
      <c r="M2322" s="7">
        <f>IF(INDEX([1]equip.xml!$B:$B,MATCH(D2322&amp;"",[1]equip.xml!$A:$A,0))=0,0,N2322)</f>
        <v>100</v>
      </c>
      <c r="N2322" s="8">
        <v>100</v>
      </c>
    </row>
    <row r="2323" spans="1:14">
      <c r="A2323" s="8">
        <f t="shared" si="2930"/>
        <v>30019</v>
      </c>
      <c r="B2323" s="8">
        <v>40000</v>
      </c>
      <c r="C2323" s="8" t="s">
        <v>298</v>
      </c>
      <c r="D2323" s="8">
        <v>40700100</v>
      </c>
      <c r="E2323" s="8"/>
      <c r="F2323" s="8">
        <v>1</v>
      </c>
      <c r="G2323" s="7">
        <v>210000</v>
      </c>
      <c r="H2323" s="8" t="s">
        <v>299</v>
      </c>
      <c r="I2323" s="8">
        <v>6</v>
      </c>
      <c r="J2323" s="8">
        <v>50</v>
      </c>
      <c r="K2323" s="7" t="s">
        <v>312</v>
      </c>
      <c r="L2323" s="8">
        <v>84</v>
      </c>
      <c r="M2323" s="7">
        <f>IF(INDEX([1]equip.xml!$B:$B,MATCH(D2323&amp;"",[1]equip.xml!$A:$A,0))=0,0,N2323)</f>
        <v>100</v>
      </c>
      <c r="N2323" s="8">
        <v>100</v>
      </c>
    </row>
    <row r="2324" spans="1:14">
      <c r="A2324" s="8">
        <f t="shared" si="2930"/>
        <v>30019</v>
      </c>
      <c r="B2324" s="8">
        <v>40000</v>
      </c>
      <c r="C2324" s="8" t="s">
        <v>298</v>
      </c>
      <c r="D2324" s="8">
        <v>40701050</v>
      </c>
      <c r="E2324" s="8"/>
      <c r="F2324" s="8">
        <v>1</v>
      </c>
      <c r="G2324" s="7">
        <v>210000</v>
      </c>
      <c r="H2324" s="8" t="s">
        <v>299</v>
      </c>
      <c r="I2324" s="8">
        <v>6</v>
      </c>
      <c r="J2324" s="8">
        <v>50</v>
      </c>
      <c r="K2324" s="7" t="s">
        <v>312</v>
      </c>
      <c r="L2324" s="8">
        <v>84</v>
      </c>
      <c r="M2324" s="7">
        <f>IF(INDEX([1]equip.xml!$B:$B,MATCH(D2324&amp;"",[1]equip.xml!$A:$A,0))=0,0,N2324)</f>
        <v>100</v>
      </c>
      <c r="N2324" s="8">
        <v>100</v>
      </c>
    </row>
    <row r="2325" spans="1:14">
      <c r="A2325" s="8">
        <f t="shared" si="2930"/>
        <v>30019</v>
      </c>
      <c r="B2325" s="8">
        <v>40000</v>
      </c>
      <c r="C2325" s="8" t="s">
        <v>298</v>
      </c>
      <c r="D2325" s="8">
        <v>40701051</v>
      </c>
      <c r="E2325" s="8"/>
      <c r="F2325" s="8">
        <v>1</v>
      </c>
      <c r="G2325" s="7">
        <v>219000</v>
      </c>
      <c r="H2325" s="8" t="s">
        <v>299</v>
      </c>
      <c r="I2325" s="8">
        <v>6</v>
      </c>
      <c r="J2325" s="8">
        <v>50</v>
      </c>
      <c r="K2325" s="7" t="s">
        <v>312</v>
      </c>
      <c r="L2325" s="8">
        <v>84</v>
      </c>
      <c r="M2325" s="7">
        <f>IF(INDEX([1]equip.xml!$B:$B,MATCH(D2325&amp;"",[1]equip.xml!$A:$A,0))=0,0,N2325)</f>
        <v>0</v>
      </c>
      <c r="N2325" s="8">
        <v>100</v>
      </c>
    </row>
    <row r="2326" spans="1:14">
      <c r="A2326" s="8">
        <f t="shared" si="2930"/>
        <v>30019</v>
      </c>
      <c r="B2326" s="8">
        <v>40000</v>
      </c>
      <c r="C2326" s="8" t="s">
        <v>298</v>
      </c>
      <c r="D2326" s="8">
        <v>40701060</v>
      </c>
      <c r="E2326" s="8"/>
      <c r="F2326" s="8">
        <v>1</v>
      </c>
      <c r="G2326" s="7">
        <v>210000</v>
      </c>
      <c r="H2326" s="8" t="s">
        <v>299</v>
      </c>
      <c r="I2326" s="8">
        <v>6</v>
      </c>
      <c r="J2326" s="8">
        <v>50</v>
      </c>
      <c r="K2326" s="7" t="s">
        <v>312</v>
      </c>
      <c r="L2326" s="8">
        <v>84</v>
      </c>
      <c r="M2326" s="7">
        <f>IF(INDEX([1]equip.xml!$B:$B,MATCH(D2326&amp;"",[1]equip.xml!$A:$A,0))=0,0,N2326)</f>
        <v>100</v>
      </c>
      <c r="N2326" s="8">
        <v>100</v>
      </c>
    </row>
    <row r="2327" spans="1:14">
      <c r="A2327" s="8">
        <f t="shared" si="2930"/>
        <v>30019</v>
      </c>
      <c r="B2327" s="8">
        <v>40000</v>
      </c>
      <c r="C2327" s="8" t="s">
        <v>298</v>
      </c>
      <c r="D2327" s="8">
        <v>40701061</v>
      </c>
      <c r="E2327" s="8"/>
      <c r="F2327" s="8">
        <v>1</v>
      </c>
      <c r="G2327" s="7">
        <v>219000</v>
      </c>
      <c r="H2327" s="8" t="s">
        <v>299</v>
      </c>
      <c r="I2327" s="8">
        <v>6</v>
      </c>
      <c r="J2327" s="8">
        <v>50</v>
      </c>
      <c r="K2327" s="7" t="s">
        <v>312</v>
      </c>
      <c r="L2327" s="8">
        <v>84</v>
      </c>
      <c r="M2327" s="7">
        <f>IF(INDEX([1]equip.xml!$B:$B,MATCH(D2327&amp;"",[1]equip.xml!$A:$A,0))=0,0,N2327)</f>
        <v>0</v>
      </c>
      <c r="N2327" s="8">
        <v>100</v>
      </c>
    </row>
    <row r="2328" spans="1:14">
      <c r="A2328" s="8">
        <f t="shared" si="2930"/>
        <v>30019</v>
      </c>
      <c r="B2328" s="8">
        <v>40000</v>
      </c>
      <c r="C2328" s="8" t="s">
        <v>298</v>
      </c>
      <c r="D2328" s="8">
        <v>40702050</v>
      </c>
      <c r="E2328" s="8"/>
      <c r="F2328" s="8">
        <v>1</v>
      </c>
      <c r="G2328" s="7">
        <v>210000</v>
      </c>
      <c r="H2328" s="8" t="s">
        <v>299</v>
      </c>
      <c r="I2328" s="8">
        <v>6</v>
      </c>
      <c r="J2328" s="8">
        <v>50</v>
      </c>
      <c r="K2328" s="7" t="s">
        <v>312</v>
      </c>
      <c r="L2328" s="8">
        <v>84</v>
      </c>
      <c r="M2328" s="7">
        <f>IF(INDEX([1]equip.xml!$B:$B,MATCH(D2328&amp;"",[1]equip.xml!$A:$A,0))=0,0,N2328)</f>
        <v>100</v>
      </c>
      <c r="N2328" s="8">
        <v>100</v>
      </c>
    </row>
    <row r="2329" spans="1:14">
      <c r="A2329" s="8">
        <f t="shared" si="2930"/>
        <v>30019</v>
      </c>
      <c r="B2329" s="8">
        <v>40000</v>
      </c>
      <c r="C2329" s="8" t="s">
        <v>298</v>
      </c>
      <c r="D2329" s="8">
        <v>40702051</v>
      </c>
      <c r="E2329" s="8"/>
      <c r="F2329" s="8">
        <v>1</v>
      </c>
      <c r="G2329" s="7">
        <v>219000</v>
      </c>
      <c r="H2329" s="8" t="s">
        <v>299</v>
      </c>
      <c r="I2329" s="8">
        <v>6</v>
      </c>
      <c r="J2329" s="8">
        <v>50</v>
      </c>
      <c r="K2329" s="7" t="s">
        <v>312</v>
      </c>
      <c r="L2329" s="8">
        <v>84</v>
      </c>
      <c r="M2329" s="7">
        <f>IF(INDEX([1]equip.xml!$B:$B,MATCH(D2329&amp;"",[1]equip.xml!$A:$A,0))=0,0,N2329)</f>
        <v>0</v>
      </c>
      <c r="N2329" s="8">
        <v>100</v>
      </c>
    </row>
    <row r="2330" spans="1:14">
      <c r="A2330" s="8">
        <f t="shared" si="2930"/>
        <v>30019</v>
      </c>
      <c r="B2330" s="8">
        <v>40000</v>
      </c>
      <c r="C2330" s="8" t="s">
        <v>298</v>
      </c>
      <c r="D2330" s="8">
        <v>40702060</v>
      </c>
      <c r="E2330" s="8"/>
      <c r="F2330" s="8">
        <v>1</v>
      </c>
      <c r="G2330" s="7">
        <v>210000</v>
      </c>
      <c r="H2330" s="8" t="s">
        <v>299</v>
      </c>
      <c r="I2330" s="8">
        <v>6</v>
      </c>
      <c r="J2330" s="8">
        <v>50</v>
      </c>
      <c r="K2330" s="7" t="s">
        <v>312</v>
      </c>
      <c r="L2330" s="8">
        <v>84</v>
      </c>
      <c r="M2330" s="7">
        <f>IF(INDEX([1]equip.xml!$B:$B,MATCH(D2330&amp;"",[1]equip.xml!$A:$A,0))=0,0,N2330)</f>
        <v>100</v>
      </c>
      <c r="N2330" s="8">
        <v>100</v>
      </c>
    </row>
    <row r="2331" spans="1:14">
      <c r="A2331" s="8">
        <f t="shared" si="2930"/>
        <v>30019</v>
      </c>
      <c r="B2331" s="8">
        <v>40000</v>
      </c>
      <c r="C2331" s="8" t="s">
        <v>298</v>
      </c>
      <c r="D2331" s="8">
        <v>40702061</v>
      </c>
      <c r="E2331" s="8"/>
      <c r="F2331" s="8">
        <v>1</v>
      </c>
      <c r="G2331" s="7">
        <v>219000</v>
      </c>
      <c r="H2331" s="8" t="s">
        <v>299</v>
      </c>
      <c r="I2331" s="8">
        <v>6</v>
      </c>
      <c r="J2331" s="8">
        <v>50</v>
      </c>
      <c r="K2331" s="7" t="s">
        <v>312</v>
      </c>
      <c r="L2331" s="8">
        <v>84</v>
      </c>
      <c r="M2331" s="7">
        <f>IF(INDEX([1]equip.xml!$B:$B,MATCH(D2331&amp;"",[1]equip.xml!$A:$A,0))=0,0,N2331)</f>
        <v>0</v>
      </c>
      <c r="N2331" s="8">
        <v>100</v>
      </c>
    </row>
    <row r="2332" spans="1:14">
      <c r="A2332" s="8">
        <f t="shared" si="2930"/>
        <v>30019</v>
      </c>
      <c r="B2332" s="8">
        <v>40000</v>
      </c>
      <c r="C2332" s="8" t="s">
        <v>298</v>
      </c>
      <c r="D2332" s="8">
        <v>40703050</v>
      </c>
      <c r="E2332" s="8"/>
      <c r="F2332" s="8">
        <v>1</v>
      </c>
      <c r="G2332" s="7">
        <v>210000</v>
      </c>
      <c r="H2332" s="8" t="s">
        <v>299</v>
      </c>
      <c r="I2332" s="8">
        <v>6</v>
      </c>
      <c r="J2332" s="8">
        <v>50</v>
      </c>
      <c r="K2332" s="7" t="s">
        <v>312</v>
      </c>
      <c r="L2332" s="8">
        <v>84</v>
      </c>
      <c r="M2332" s="7">
        <f>IF(INDEX([1]equip.xml!$B:$B,MATCH(D2332&amp;"",[1]equip.xml!$A:$A,0))=0,0,N2332)</f>
        <v>100</v>
      </c>
      <c r="N2332" s="8">
        <v>100</v>
      </c>
    </row>
    <row r="2333" spans="1:14">
      <c r="A2333" s="8">
        <f t="shared" si="2930"/>
        <v>30019</v>
      </c>
      <c r="B2333" s="8">
        <v>40000</v>
      </c>
      <c r="C2333" s="8" t="s">
        <v>298</v>
      </c>
      <c r="D2333" s="8">
        <v>40703051</v>
      </c>
      <c r="E2333" s="8"/>
      <c r="F2333" s="8">
        <v>1</v>
      </c>
      <c r="G2333" s="7">
        <v>219000</v>
      </c>
      <c r="H2333" s="8" t="s">
        <v>299</v>
      </c>
      <c r="I2333" s="8">
        <v>6</v>
      </c>
      <c r="J2333" s="8">
        <v>50</v>
      </c>
      <c r="K2333" s="7" t="s">
        <v>312</v>
      </c>
      <c r="L2333" s="8">
        <v>84</v>
      </c>
      <c r="M2333" s="7">
        <f>IF(INDEX([1]equip.xml!$B:$B,MATCH(D2333&amp;"",[1]equip.xml!$A:$A,0))=0,0,N2333)</f>
        <v>0</v>
      </c>
      <c r="N2333" s="8">
        <v>100</v>
      </c>
    </row>
    <row r="2334" spans="1:14">
      <c r="A2334" s="8">
        <f t="shared" si="2930"/>
        <v>30019</v>
      </c>
      <c r="B2334" s="8">
        <v>40000</v>
      </c>
      <c r="C2334" s="8" t="s">
        <v>298</v>
      </c>
      <c r="D2334" s="8">
        <v>40703060</v>
      </c>
      <c r="E2334" s="8"/>
      <c r="F2334" s="8">
        <v>1</v>
      </c>
      <c r="G2334" s="7">
        <v>210000</v>
      </c>
      <c r="H2334" s="8" t="s">
        <v>299</v>
      </c>
      <c r="I2334" s="8">
        <v>6</v>
      </c>
      <c r="J2334" s="8">
        <v>50</v>
      </c>
      <c r="K2334" s="7" t="s">
        <v>312</v>
      </c>
      <c r="L2334" s="8">
        <v>84</v>
      </c>
      <c r="M2334" s="7">
        <f>IF(INDEX([1]equip.xml!$B:$B,MATCH(D2334&amp;"",[1]equip.xml!$A:$A,0))=0,0,N2334)</f>
        <v>100</v>
      </c>
      <c r="N2334" s="8">
        <v>100</v>
      </c>
    </row>
    <row r="2335" spans="1:14">
      <c r="A2335" s="8">
        <f t="shared" si="2930"/>
        <v>30019</v>
      </c>
      <c r="B2335" s="8">
        <v>40000</v>
      </c>
      <c r="C2335" s="8" t="s">
        <v>298</v>
      </c>
      <c r="D2335" s="8">
        <v>40703061</v>
      </c>
      <c r="E2335" s="8"/>
      <c r="F2335" s="8">
        <v>1</v>
      </c>
      <c r="G2335" s="7">
        <v>219000</v>
      </c>
      <c r="H2335" s="8" t="s">
        <v>299</v>
      </c>
      <c r="I2335" s="8">
        <v>6</v>
      </c>
      <c r="J2335" s="8">
        <v>50</v>
      </c>
      <c r="K2335" s="7" t="s">
        <v>312</v>
      </c>
      <c r="L2335" s="8">
        <v>84</v>
      </c>
      <c r="M2335" s="7">
        <f>IF(INDEX([1]equip.xml!$B:$B,MATCH(D2335&amp;"",[1]equip.xml!$A:$A,0))=0,0,N2335)</f>
        <v>0</v>
      </c>
      <c r="N2335" s="8">
        <v>100</v>
      </c>
    </row>
    <row r="2336" spans="1:14">
      <c r="A2336" s="8">
        <f>A1808+10000</f>
        <v>30019</v>
      </c>
      <c r="B2336" s="8">
        <v>40000</v>
      </c>
      <c r="C2336" s="8" t="s">
        <v>298</v>
      </c>
      <c r="D2336" s="8">
        <v>40700040</v>
      </c>
      <c r="E2336" s="8"/>
      <c r="F2336" s="8">
        <v>1</v>
      </c>
      <c r="G2336" s="7">
        <v>210000</v>
      </c>
      <c r="H2336" s="8" t="s">
        <v>299</v>
      </c>
      <c r="I2336" s="8">
        <v>6</v>
      </c>
      <c r="J2336" s="8">
        <v>50</v>
      </c>
      <c r="K2336" s="7" t="s">
        <v>312</v>
      </c>
      <c r="L2336" s="8">
        <v>84</v>
      </c>
      <c r="M2336" s="7">
        <f>IF(INDEX([1]equip.xml!$B:$B,MATCH(D2336&amp;"",[1]equip.xml!$A:$A,0))=0,0,N2336)</f>
        <v>100</v>
      </c>
      <c r="N2336" s="8">
        <v>100</v>
      </c>
    </row>
    <row r="2337" spans="1:14">
      <c r="A2337" s="8">
        <f t="shared" ref="A2337:A2400" si="2931">A1809+10000</f>
        <v>30019</v>
      </c>
      <c r="B2337" s="8">
        <v>40000</v>
      </c>
      <c r="C2337" s="8" t="s">
        <v>298</v>
      </c>
      <c r="D2337" s="8">
        <v>40700041</v>
      </c>
      <c r="E2337" s="8"/>
      <c r="F2337" s="8">
        <v>1</v>
      </c>
      <c r="G2337" s="7">
        <v>219000</v>
      </c>
      <c r="H2337" s="8" t="s">
        <v>299</v>
      </c>
      <c r="I2337" s="8">
        <v>6</v>
      </c>
      <c r="J2337" s="8">
        <v>50</v>
      </c>
      <c r="K2337" s="7" t="s">
        <v>312</v>
      </c>
      <c r="L2337" s="8">
        <v>84</v>
      </c>
      <c r="M2337" s="7">
        <f>IF(INDEX([1]equip.xml!$B:$B,MATCH(D2337&amp;"",[1]equip.xml!$A:$A,0))=0,0,N2337)</f>
        <v>0</v>
      </c>
      <c r="N2337" s="8">
        <v>100</v>
      </c>
    </row>
    <row r="2338" spans="1:14">
      <c r="A2338" s="8">
        <f t="shared" si="2931"/>
        <v>30019</v>
      </c>
      <c r="B2338" s="8">
        <v>40000</v>
      </c>
      <c r="C2338" s="8" t="s">
        <v>298</v>
      </c>
      <c r="D2338" s="8">
        <v>40700070</v>
      </c>
      <c r="E2338" s="8"/>
      <c r="F2338" s="8">
        <v>1</v>
      </c>
      <c r="G2338" s="7">
        <v>210000</v>
      </c>
      <c r="H2338" s="8" t="s">
        <v>299</v>
      </c>
      <c r="I2338" s="8">
        <v>6</v>
      </c>
      <c r="J2338" s="8">
        <v>50</v>
      </c>
      <c r="K2338" s="7" t="s">
        <v>312</v>
      </c>
      <c r="L2338" s="8">
        <v>84</v>
      </c>
      <c r="M2338" s="7">
        <f>IF(INDEX([1]equip.xml!$B:$B,MATCH(D2338&amp;"",[1]equip.xml!$A:$A,0))=0,0,N2338)</f>
        <v>100</v>
      </c>
      <c r="N2338" s="8">
        <v>100</v>
      </c>
    </row>
    <row r="2339" spans="1:14">
      <c r="A2339" s="8">
        <f t="shared" si="2931"/>
        <v>30019</v>
      </c>
      <c r="B2339" s="8">
        <v>40000</v>
      </c>
      <c r="C2339" s="8" t="s">
        <v>298</v>
      </c>
      <c r="D2339" s="8">
        <v>40700071</v>
      </c>
      <c r="E2339" s="8"/>
      <c r="F2339" s="8">
        <v>1</v>
      </c>
      <c r="G2339" s="7">
        <v>219000</v>
      </c>
      <c r="H2339" s="8" t="s">
        <v>299</v>
      </c>
      <c r="I2339" s="8">
        <v>6</v>
      </c>
      <c r="J2339" s="8">
        <v>50</v>
      </c>
      <c r="K2339" s="7" t="s">
        <v>312</v>
      </c>
      <c r="L2339" s="8">
        <v>84</v>
      </c>
      <c r="M2339" s="7">
        <f>IF(INDEX([1]equip.xml!$B:$B,MATCH(D2339&amp;"",[1]equip.xml!$A:$A,0))=0,0,N2339)</f>
        <v>0</v>
      </c>
      <c r="N2339" s="8">
        <v>100</v>
      </c>
    </row>
    <row r="2340" spans="1:14">
      <c r="A2340" s="8">
        <f t="shared" si="2931"/>
        <v>30019</v>
      </c>
      <c r="B2340" s="8">
        <v>40000</v>
      </c>
      <c r="C2340" s="8" t="s">
        <v>298</v>
      </c>
      <c r="D2340" s="8">
        <f>D2318+50000</f>
        <v>40750010</v>
      </c>
      <c r="E2340" s="8"/>
      <c r="F2340" s="8">
        <v>1</v>
      </c>
      <c r="G2340" s="7">
        <v>228000</v>
      </c>
      <c r="H2340" s="8" t="s">
        <v>299</v>
      </c>
      <c r="I2340" s="8">
        <v>6</v>
      </c>
      <c r="J2340" s="8">
        <v>50</v>
      </c>
      <c r="K2340" s="7" t="s">
        <v>312</v>
      </c>
      <c r="L2340" s="8">
        <v>84</v>
      </c>
      <c r="M2340" s="7">
        <f>IF(INDEX([1]equip.xml!$B:$B,MATCH(D2340,[1]equip.xml!$A:$A,0))=0,0,N2340)</f>
        <v>70</v>
      </c>
      <c r="N2340" s="8">
        <v>70</v>
      </c>
    </row>
    <row r="2341" spans="1:14">
      <c r="A2341" s="8">
        <f t="shared" si="2931"/>
        <v>30019</v>
      </c>
      <c r="B2341" s="8">
        <v>40000</v>
      </c>
      <c r="C2341" s="8" t="s">
        <v>298</v>
      </c>
      <c r="D2341" s="8">
        <f t="shared" ref="D2341:D2361" si="2932">D2319+50000</f>
        <v>40750020</v>
      </c>
      <c r="E2341" s="8"/>
      <c r="F2341" s="8">
        <v>1</v>
      </c>
      <c r="G2341" s="7">
        <v>228000</v>
      </c>
      <c r="H2341" s="8" t="s">
        <v>299</v>
      </c>
      <c r="I2341" s="8">
        <v>6</v>
      </c>
      <c r="J2341" s="8">
        <v>50</v>
      </c>
      <c r="K2341" s="7" t="s">
        <v>312</v>
      </c>
      <c r="L2341" s="8">
        <v>84</v>
      </c>
      <c r="M2341" s="7">
        <f>IF(INDEX([1]equip.xml!$B:$B,MATCH(D2341,[1]equip.xml!$A:$A,0))=0,0,N2341)</f>
        <v>70</v>
      </c>
      <c r="N2341" s="8">
        <v>70</v>
      </c>
    </row>
    <row r="2342" spans="1:14">
      <c r="A2342" s="8">
        <f t="shared" si="2931"/>
        <v>30019</v>
      </c>
      <c r="B2342" s="8">
        <v>40000</v>
      </c>
      <c r="C2342" s="8" t="s">
        <v>298</v>
      </c>
      <c r="D2342" s="8">
        <f t="shared" si="2932"/>
        <v>40750030</v>
      </c>
      <c r="E2342" s="8"/>
      <c r="F2342" s="8">
        <v>1</v>
      </c>
      <c r="G2342" s="7">
        <v>228000</v>
      </c>
      <c r="H2342" s="8" t="s">
        <v>299</v>
      </c>
      <c r="I2342" s="8">
        <v>6</v>
      </c>
      <c r="J2342" s="8">
        <v>50</v>
      </c>
      <c r="K2342" s="7" t="s">
        <v>312</v>
      </c>
      <c r="L2342" s="8">
        <v>84</v>
      </c>
      <c r="M2342" s="7">
        <f>IF(INDEX([1]equip.xml!$B:$B,MATCH(D2342,[1]equip.xml!$A:$A,0))=0,0,N2342)</f>
        <v>70</v>
      </c>
      <c r="N2342" s="8">
        <v>70</v>
      </c>
    </row>
    <row r="2343" spans="1:14">
      <c r="A2343" s="8">
        <f t="shared" si="2931"/>
        <v>30019</v>
      </c>
      <c r="B2343" s="8">
        <v>40000</v>
      </c>
      <c r="C2343" s="8" t="s">
        <v>298</v>
      </c>
      <c r="D2343" s="8">
        <f t="shared" si="2932"/>
        <v>40750080</v>
      </c>
      <c r="E2343" s="8"/>
      <c r="F2343" s="8">
        <v>1</v>
      </c>
      <c r="G2343" s="7">
        <v>228000</v>
      </c>
      <c r="H2343" s="8" t="s">
        <v>299</v>
      </c>
      <c r="I2343" s="8">
        <v>6</v>
      </c>
      <c r="J2343" s="8">
        <v>50</v>
      </c>
      <c r="K2343" s="7" t="s">
        <v>312</v>
      </c>
      <c r="L2343" s="8">
        <v>84</v>
      </c>
      <c r="M2343" s="7">
        <f>IF(INDEX([1]equip.xml!$B:$B,MATCH(D2343,[1]equip.xml!$A:$A,0))=0,0,N2343)</f>
        <v>70</v>
      </c>
      <c r="N2343" s="8">
        <v>70</v>
      </c>
    </row>
    <row r="2344" spans="1:14">
      <c r="A2344" s="8">
        <f t="shared" si="2931"/>
        <v>30019</v>
      </c>
      <c r="B2344" s="8">
        <v>40000</v>
      </c>
      <c r="C2344" s="8" t="s">
        <v>298</v>
      </c>
      <c r="D2344" s="8">
        <f t="shared" si="2932"/>
        <v>40750090</v>
      </c>
      <c r="E2344" s="8"/>
      <c r="F2344" s="8">
        <v>1</v>
      </c>
      <c r="G2344" s="7">
        <v>228000</v>
      </c>
      <c r="H2344" s="8" t="s">
        <v>299</v>
      </c>
      <c r="I2344" s="8">
        <v>6</v>
      </c>
      <c r="J2344" s="8">
        <v>50</v>
      </c>
      <c r="K2344" s="7" t="s">
        <v>312</v>
      </c>
      <c r="L2344" s="8">
        <v>84</v>
      </c>
      <c r="M2344" s="7">
        <f>IF(INDEX([1]equip.xml!$B:$B,MATCH(D2344,[1]equip.xml!$A:$A,0))=0,0,N2344)</f>
        <v>70</v>
      </c>
      <c r="N2344" s="8">
        <v>70</v>
      </c>
    </row>
    <row r="2345" spans="1:14">
      <c r="A2345" s="8">
        <f t="shared" si="2931"/>
        <v>30019</v>
      </c>
      <c r="B2345" s="8">
        <v>40000</v>
      </c>
      <c r="C2345" s="8" t="s">
        <v>298</v>
      </c>
      <c r="D2345" s="8">
        <f t="shared" si="2932"/>
        <v>40750100</v>
      </c>
      <c r="E2345" s="8"/>
      <c r="F2345" s="8">
        <v>1</v>
      </c>
      <c r="G2345" s="7">
        <v>228000</v>
      </c>
      <c r="H2345" s="8" t="s">
        <v>299</v>
      </c>
      <c r="I2345" s="8">
        <v>6</v>
      </c>
      <c r="J2345" s="8">
        <v>50</v>
      </c>
      <c r="K2345" s="7" t="s">
        <v>312</v>
      </c>
      <c r="L2345" s="8">
        <v>84</v>
      </c>
      <c r="M2345" s="7">
        <f>IF(INDEX([1]equip.xml!$B:$B,MATCH(D2345,[1]equip.xml!$A:$A,0))=0,0,N2345)</f>
        <v>70</v>
      </c>
      <c r="N2345" s="8">
        <v>70</v>
      </c>
    </row>
    <row r="2346" spans="1:14">
      <c r="A2346" s="8">
        <f t="shared" si="2931"/>
        <v>30019</v>
      </c>
      <c r="B2346" s="8">
        <v>40000</v>
      </c>
      <c r="C2346" s="8" t="s">
        <v>298</v>
      </c>
      <c r="D2346" s="8">
        <f t="shared" si="2932"/>
        <v>40751050</v>
      </c>
      <c r="E2346" s="8"/>
      <c r="F2346" s="8">
        <v>1</v>
      </c>
      <c r="G2346" s="7">
        <v>228000</v>
      </c>
      <c r="H2346" s="8" t="s">
        <v>299</v>
      </c>
      <c r="I2346" s="8">
        <v>6</v>
      </c>
      <c r="J2346" s="8">
        <v>50</v>
      </c>
      <c r="K2346" s="7" t="s">
        <v>312</v>
      </c>
      <c r="L2346" s="8">
        <v>84</v>
      </c>
      <c r="M2346" s="7">
        <f>IF(INDEX([1]equip.xml!$B:$B,MATCH(D2346,[1]equip.xml!$A:$A,0))=0,0,N2346)</f>
        <v>70</v>
      </c>
      <c r="N2346" s="8">
        <v>70</v>
      </c>
    </row>
    <row r="2347" spans="1:14">
      <c r="A2347" s="8">
        <f t="shared" si="2931"/>
        <v>30019</v>
      </c>
      <c r="B2347" s="8">
        <v>40000</v>
      </c>
      <c r="C2347" s="8" t="s">
        <v>298</v>
      </c>
      <c r="D2347" s="8">
        <f t="shared" si="2932"/>
        <v>40751051</v>
      </c>
      <c r="E2347" s="8"/>
      <c r="F2347" s="8">
        <v>1</v>
      </c>
      <c r="G2347" s="7">
        <v>237000</v>
      </c>
      <c r="H2347" s="8" t="s">
        <v>299</v>
      </c>
      <c r="I2347" s="8">
        <v>6</v>
      </c>
      <c r="J2347" s="8">
        <v>50</v>
      </c>
      <c r="K2347" s="7" t="s">
        <v>312</v>
      </c>
      <c r="L2347" s="8">
        <v>84</v>
      </c>
      <c r="M2347" s="7">
        <f>IF(INDEX([1]equip.xml!$B:$B,MATCH(D2347,[1]equip.xml!$A:$A,0))=0,0,N2347)</f>
        <v>70</v>
      </c>
      <c r="N2347" s="8">
        <v>70</v>
      </c>
    </row>
    <row r="2348" spans="1:14">
      <c r="A2348" s="8">
        <f t="shared" si="2931"/>
        <v>30019</v>
      </c>
      <c r="B2348" s="8">
        <v>40000</v>
      </c>
      <c r="C2348" s="8" t="s">
        <v>298</v>
      </c>
      <c r="D2348" s="8">
        <f t="shared" si="2932"/>
        <v>40751060</v>
      </c>
      <c r="E2348" s="8"/>
      <c r="F2348" s="8">
        <v>1</v>
      </c>
      <c r="G2348" s="7">
        <v>228000</v>
      </c>
      <c r="H2348" s="8" t="s">
        <v>299</v>
      </c>
      <c r="I2348" s="8">
        <v>6</v>
      </c>
      <c r="J2348" s="8">
        <v>50</v>
      </c>
      <c r="K2348" s="7" t="s">
        <v>312</v>
      </c>
      <c r="L2348" s="8">
        <v>84</v>
      </c>
      <c r="M2348" s="7">
        <f>IF(INDEX([1]equip.xml!$B:$B,MATCH(D2348,[1]equip.xml!$A:$A,0))=0,0,N2348)</f>
        <v>70</v>
      </c>
      <c r="N2348" s="8">
        <v>70</v>
      </c>
    </row>
    <row r="2349" spans="1:14">
      <c r="A2349" s="8">
        <f>A1821+10000</f>
        <v>30019</v>
      </c>
      <c r="B2349" s="8">
        <v>40000</v>
      </c>
      <c r="C2349" s="8" t="s">
        <v>298</v>
      </c>
      <c r="D2349" s="8">
        <f t="shared" si="2932"/>
        <v>40751061</v>
      </c>
      <c r="E2349" s="8"/>
      <c r="F2349" s="8">
        <v>1</v>
      </c>
      <c r="G2349" s="7">
        <v>237000</v>
      </c>
      <c r="H2349" s="8" t="s">
        <v>299</v>
      </c>
      <c r="I2349" s="8">
        <v>6</v>
      </c>
      <c r="J2349" s="8">
        <v>50</v>
      </c>
      <c r="K2349" s="7" t="s">
        <v>312</v>
      </c>
      <c r="L2349" s="8">
        <v>84</v>
      </c>
      <c r="M2349" s="7">
        <f>IF(INDEX([1]equip.xml!$B:$B,MATCH(D2349,[1]equip.xml!$A:$A,0))=0,0,N2349)</f>
        <v>70</v>
      </c>
      <c r="N2349" s="8">
        <v>70</v>
      </c>
    </row>
    <row r="2350" spans="1:14">
      <c r="A2350" s="8">
        <f t="shared" si="2931"/>
        <v>30019</v>
      </c>
      <c r="B2350" s="8">
        <v>40000</v>
      </c>
      <c r="C2350" s="8" t="s">
        <v>298</v>
      </c>
      <c r="D2350" s="8">
        <f t="shared" si="2932"/>
        <v>40752050</v>
      </c>
      <c r="E2350" s="8"/>
      <c r="F2350" s="8">
        <v>1</v>
      </c>
      <c r="G2350" s="7">
        <v>228000</v>
      </c>
      <c r="H2350" s="8" t="s">
        <v>299</v>
      </c>
      <c r="I2350" s="8">
        <v>6</v>
      </c>
      <c r="J2350" s="8">
        <v>50</v>
      </c>
      <c r="K2350" s="7" t="s">
        <v>312</v>
      </c>
      <c r="L2350" s="8">
        <v>84</v>
      </c>
      <c r="M2350" s="7">
        <f>IF(INDEX([1]equip.xml!$B:$B,MATCH(D2350,[1]equip.xml!$A:$A,0))=0,0,N2350)</f>
        <v>70</v>
      </c>
      <c r="N2350" s="8">
        <v>70</v>
      </c>
    </row>
    <row r="2351" spans="1:14">
      <c r="A2351" s="8">
        <f t="shared" si="2931"/>
        <v>30019</v>
      </c>
      <c r="B2351" s="8">
        <v>40000</v>
      </c>
      <c r="C2351" s="8" t="s">
        <v>298</v>
      </c>
      <c r="D2351" s="8">
        <f t="shared" si="2932"/>
        <v>40752051</v>
      </c>
      <c r="E2351" s="8"/>
      <c r="F2351" s="8">
        <v>1</v>
      </c>
      <c r="G2351" s="7">
        <v>237000</v>
      </c>
      <c r="H2351" s="8" t="s">
        <v>299</v>
      </c>
      <c r="I2351" s="8">
        <v>6</v>
      </c>
      <c r="J2351" s="8">
        <v>50</v>
      </c>
      <c r="K2351" s="7" t="s">
        <v>312</v>
      </c>
      <c r="L2351" s="8">
        <v>84</v>
      </c>
      <c r="M2351" s="7">
        <f>IF(INDEX([1]equip.xml!$B:$B,MATCH(D2351,[1]equip.xml!$A:$A,0))=0,0,N2351)</f>
        <v>70</v>
      </c>
      <c r="N2351" s="8">
        <v>70</v>
      </c>
    </row>
    <row r="2352" spans="1:14">
      <c r="A2352" s="8">
        <f t="shared" si="2931"/>
        <v>30019</v>
      </c>
      <c r="B2352" s="8">
        <v>40000</v>
      </c>
      <c r="C2352" s="8" t="s">
        <v>298</v>
      </c>
      <c r="D2352" s="8">
        <f t="shared" si="2932"/>
        <v>40752060</v>
      </c>
      <c r="E2352" s="8"/>
      <c r="F2352" s="8">
        <v>1</v>
      </c>
      <c r="G2352" s="7">
        <v>228000</v>
      </c>
      <c r="H2352" s="8" t="s">
        <v>299</v>
      </c>
      <c r="I2352" s="8">
        <v>6</v>
      </c>
      <c r="J2352" s="8">
        <v>50</v>
      </c>
      <c r="K2352" s="7" t="s">
        <v>312</v>
      </c>
      <c r="L2352" s="8">
        <v>84</v>
      </c>
      <c r="M2352" s="7">
        <f>IF(INDEX([1]equip.xml!$B:$B,MATCH(D2352,[1]equip.xml!$A:$A,0))=0,0,N2352)</f>
        <v>70</v>
      </c>
      <c r="N2352" s="8">
        <v>70</v>
      </c>
    </row>
    <row r="2353" spans="1:14">
      <c r="A2353" s="8">
        <f t="shared" si="2931"/>
        <v>30019</v>
      </c>
      <c r="B2353" s="8">
        <v>40000</v>
      </c>
      <c r="C2353" s="8" t="s">
        <v>298</v>
      </c>
      <c r="D2353" s="8">
        <f t="shared" si="2932"/>
        <v>40752061</v>
      </c>
      <c r="E2353" s="8"/>
      <c r="F2353" s="8">
        <v>1</v>
      </c>
      <c r="G2353" s="7">
        <v>237000</v>
      </c>
      <c r="H2353" s="8" t="s">
        <v>299</v>
      </c>
      <c r="I2353" s="8">
        <v>6</v>
      </c>
      <c r="J2353" s="8">
        <v>50</v>
      </c>
      <c r="K2353" s="7" t="s">
        <v>312</v>
      </c>
      <c r="L2353" s="8">
        <v>84</v>
      </c>
      <c r="M2353" s="7">
        <f>IF(INDEX([1]equip.xml!$B:$B,MATCH(D2353,[1]equip.xml!$A:$A,0))=0,0,N2353)</f>
        <v>70</v>
      </c>
      <c r="N2353" s="8">
        <v>70</v>
      </c>
    </row>
    <row r="2354" spans="1:14">
      <c r="A2354" s="8">
        <f t="shared" si="2931"/>
        <v>30019</v>
      </c>
      <c r="B2354" s="8">
        <v>40000</v>
      </c>
      <c r="C2354" s="8" t="s">
        <v>298</v>
      </c>
      <c r="D2354" s="8">
        <f t="shared" si="2932"/>
        <v>40753050</v>
      </c>
      <c r="E2354" s="8"/>
      <c r="F2354" s="8">
        <v>1</v>
      </c>
      <c r="G2354" s="7">
        <v>228000</v>
      </c>
      <c r="H2354" s="8" t="s">
        <v>299</v>
      </c>
      <c r="I2354" s="8">
        <v>6</v>
      </c>
      <c r="J2354" s="8">
        <v>50</v>
      </c>
      <c r="K2354" s="7" t="s">
        <v>312</v>
      </c>
      <c r="L2354" s="8">
        <v>84</v>
      </c>
      <c r="M2354" s="7">
        <f>IF(INDEX([1]equip.xml!$B:$B,MATCH(D2354,[1]equip.xml!$A:$A,0))=0,0,N2354)</f>
        <v>70</v>
      </c>
      <c r="N2354" s="8">
        <v>70</v>
      </c>
    </row>
    <row r="2355" spans="1:14">
      <c r="A2355" s="8">
        <f t="shared" si="2931"/>
        <v>30019</v>
      </c>
      <c r="B2355" s="8">
        <v>40000</v>
      </c>
      <c r="C2355" s="8" t="s">
        <v>298</v>
      </c>
      <c r="D2355" s="8">
        <f>D2333+50000</f>
        <v>40753051</v>
      </c>
      <c r="E2355" s="8"/>
      <c r="F2355" s="8">
        <v>1</v>
      </c>
      <c r="G2355" s="7">
        <v>237000</v>
      </c>
      <c r="H2355" s="8" t="s">
        <v>299</v>
      </c>
      <c r="I2355" s="8">
        <v>6</v>
      </c>
      <c r="J2355" s="8">
        <v>50</v>
      </c>
      <c r="K2355" s="7" t="s">
        <v>312</v>
      </c>
      <c r="L2355" s="8">
        <v>84</v>
      </c>
      <c r="M2355" s="7">
        <f>IF(INDEX([1]equip.xml!$B:$B,MATCH(D2355,[1]equip.xml!$A:$A,0))=0,0,N2355)</f>
        <v>70</v>
      </c>
      <c r="N2355" s="8">
        <v>70</v>
      </c>
    </row>
    <row r="2356" spans="1:14">
      <c r="A2356" s="8">
        <f t="shared" si="2931"/>
        <v>30019</v>
      </c>
      <c r="B2356" s="8">
        <v>40000</v>
      </c>
      <c r="C2356" s="8" t="s">
        <v>298</v>
      </c>
      <c r="D2356" s="8">
        <f t="shared" si="2932"/>
        <v>40753060</v>
      </c>
      <c r="E2356" s="8"/>
      <c r="F2356" s="8">
        <v>1</v>
      </c>
      <c r="G2356" s="7">
        <v>228000</v>
      </c>
      <c r="H2356" s="8" t="s">
        <v>299</v>
      </c>
      <c r="I2356" s="8">
        <v>6</v>
      </c>
      <c r="J2356" s="8">
        <v>50</v>
      </c>
      <c r="K2356" s="7" t="s">
        <v>312</v>
      </c>
      <c r="L2356" s="8">
        <v>84</v>
      </c>
      <c r="M2356" s="7">
        <f>IF(INDEX([1]equip.xml!$B:$B,MATCH(D2356,[1]equip.xml!$A:$A,0))=0,0,N2356)</f>
        <v>70</v>
      </c>
      <c r="N2356" s="8">
        <v>70</v>
      </c>
    </row>
    <row r="2357" spans="1:14">
      <c r="A2357" s="8">
        <f t="shared" si="2931"/>
        <v>30019</v>
      </c>
      <c r="B2357" s="8">
        <v>40000</v>
      </c>
      <c r="C2357" s="8" t="s">
        <v>298</v>
      </c>
      <c r="D2357" s="8">
        <f t="shared" si="2932"/>
        <v>40753061</v>
      </c>
      <c r="E2357" s="8"/>
      <c r="F2357" s="8">
        <v>1</v>
      </c>
      <c r="G2357" s="7">
        <v>237000</v>
      </c>
      <c r="H2357" s="8" t="s">
        <v>299</v>
      </c>
      <c r="I2357" s="8">
        <v>6</v>
      </c>
      <c r="J2357" s="8">
        <v>50</v>
      </c>
      <c r="K2357" s="7" t="s">
        <v>312</v>
      </c>
      <c r="L2357" s="8">
        <v>84</v>
      </c>
      <c r="M2357" s="7">
        <f>IF(INDEX([1]equip.xml!$B:$B,MATCH(D2357,[1]equip.xml!$A:$A,0))=0,0,N2357)</f>
        <v>70</v>
      </c>
      <c r="N2357" s="8">
        <v>70</v>
      </c>
    </row>
    <row r="2358" spans="1:14">
      <c r="A2358" s="8">
        <f t="shared" si="2931"/>
        <v>30019</v>
      </c>
      <c r="B2358" s="8">
        <v>40000</v>
      </c>
      <c r="C2358" s="8" t="s">
        <v>298</v>
      </c>
      <c r="D2358" s="8">
        <f t="shared" si="2932"/>
        <v>40750040</v>
      </c>
      <c r="E2358" s="8"/>
      <c r="F2358" s="8">
        <v>1</v>
      </c>
      <c r="G2358" s="7">
        <v>228000</v>
      </c>
      <c r="H2358" s="8" t="s">
        <v>299</v>
      </c>
      <c r="I2358" s="8">
        <v>6</v>
      </c>
      <c r="J2358" s="8">
        <v>50</v>
      </c>
      <c r="K2358" s="7" t="s">
        <v>312</v>
      </c>
      <c r="L2358" s="8">
        <v>84</v>
      </c>
      <c r="M2358" s="7">
        <f>IF(INDEX([1]equip.xml!$B:$B,MATCH(D2358,[1]equip.xml!$A:$A,0))=0,0,N2358)</f>
        <v>70</v>
      </c>
      <c r="N2358" s="8">
        <v>70</v>
      </c>
    </row>
    <row r="2359" spans="1:14">
      <c r="A2359" s="8">
        <f t="shared" si="2931"/>
        <v>30019</v>
      </c>
      <c r="B2359" s="8">
        <v>40000</v>
      </c>
      <c r="C2359" s="8" t="s">
        <v>298</v>
      </c>
      <c r="D2359" s="8">
        <f>D2337+50000</f>
        <v>40750041</v>
      </c>
      <c r="E2359" s="8"/>
      <c r="F2359" s="8">
        <v>1</v>
      </c>
      <c r="G2359" s="7">
        <v>237000</v>
      </c>
      <c r="H2359" s="8" t="s">
        <v>299</v>
      </c>
      <c r="I2359" s="8">
        <v>6</v>
      </c>
      <c r="J2359" s="8">
        <v>50</v>
      </c>
      <c r="K2359" s="7" t="s">
        <v>312</v>
      </c>
      <c r="L2359" s="8">
        <v>84</v>
      </c>
      <c r="M2359" s="7">
        <f>IF(INDEX([1]equip.xml!$B:$B,MATCH(D2359,[1]equip.xml!$A:$A,0))=0,0,N2359)</f>
        <v>70</v>
      </c>
      <c r="N2359" s="8">
        <v>70</v>
      </c>
    </row>
    <row r="2360" spans="1:14">
      <c r="A2360" s="8">
        <f t="shared" si="2931"/>
        <v>30019</v>
      </c>
      <c r="B2360" s="8">
        <v>40000</v>
      </c>
      <c r="C2360" s="8" t="s">
        <v>298</v>
      </c>
      <c r="D2360" s="8">
        <f t="shared" si="2932"/>
        <v>40750070</v>
      </c>
      <c r="E2360" s="8"/>
      <c r="F2360" s="8">
        <v>1</v>
      </c>
      <c r="G2360" s="7">
        <v>228000</v>
      </c>
      <c r="H2360" s="8" t="s">
        <v>299</v>
      </c>
      <c r="I2360" s="8">
        <v>6</v>
      </c>
      <c r="J2360" s="8">
        <v>50</v>
      </c>
      <c r="K2360" s="7" t="s">
        <v>312</v>
      </c>
      <c r="L2360" s="8">
        <v>84</v>
      </c>
      <c r="M2360" s="7">
        <f>IF(INDEX([1]equip.xml!$B:$B,MATCH(D2360,[1]equip.xml!$A:$A,0))=0,0,N2360)</f>
        <v>70</v>
      </c>
      <c r="N2360" s="8">
        <v>70</v>
      </c>
    </row>
    <row r="2361" spans="1:14">
      <c r="A2361" s="8">
        <f t="shared" si="2931"/>
        <v>30019</v>
      </c>
      <c r="B2361" s="8">
        <v>40000</v>
      </c>
      <c r="C2361" s="8" t="s">
        <v>298</v>
      </c>
      <c r="D2361" s="8">
        <f t="shared" si="2932"/>
        <v>40750071</v>
      </c>
      <c r="E2361" s="8"/>
      <c r="F2361" s="8">
        <v>1</v>
      </c>
      <c r="G2361" s="7">
        <v>237000</v>
      </c>
      <c r="H2361" s="8" t="s">
        <v>299</v>
      </c>
      <c r="I2361" s="8">
        <v>6</v>
      </c>
      <c r="J2361" s="8">
        <v>50</v>
      </c>
      <c r="K2361" s="7" t="s">
        <v>312</v>
      </c>
      <c r="L2361" s="8">
        <v>84</v>
      </c>
      <c r="M2361" s="7">
        <f>IF(INDEX([1]equip.xml!$B:$B,MATCH(D2361,[1]equip.xml!$A:$A,0))=0,0,N2361)</f>
        <v>70</v>
      </c>
      <c r="N2361" s="8">
        <v>70</v>
      </c>
    </row>
    <row r="2362" spans="1:14">
      <c r="A2362" s="8">
        <f t="shared" si="2931"/>
        <v>30019</v>
      </c>
      <c r="B2362" s="8">
        <v>40000</v>
      </c>
      <c r="C2362" s="8" t="s">
        <v>298</v>
      </c>
      <c r="D2362" s="7">
        <f>D2318+10000005</f>
        <v>50700015</v>
      </c>
      <c r="E2362" s="8"/>
      <c r="F2362" s="8">
        <v>1</v>
      </c>
      <c r="G2362" s="7">
        <v>420000</v>
      </c>
      <c r="H2362" s="8" t="s">
        <v>299</v>
      </c>
      <c r="I2362" s="8">
        <v>1</v>
      </c>
      <c r="J2362" s="8">
        <v>240</v>
      </c>
      <c r="K2362" s="7" t="s">
        <v>312</v>
      </c>
      <c r="L2362" s="8">
        <v>84</v>
      </c>
      <c r="M2362" s="7">
        <f>IF(INDEX([1]equip.xml!$B:$B,MATCH(D2362,[1]equip.xml!$A:$A,0))=0,0,N2362)</f>
        <v>200</v>
      </c>
      <c r="N2362" s="8">
        <f>N2318*2</f>
        <v>200</v>
      </c>
    </row>
    <row r="2363" spans="1:14">
      <c r="A2363" s="8">
        <f t="shared" si="2931"/>
        <v>30019</v>
      </c>
      <c r="B2363" s="8">
        <v>40000</v>
      </c>
      <c r="C2363" s="8" t="s">
        <v>298</v>
      </c>
      <c r="D2363" s="7">
        <f t="shared" ref="D2363:D2405" si="2933">D2319+10000005</f>
        <v>50700025</v>
      </c>
      <c r="E2363" s="8"/>
      <c r="F2363" s="8">
        <v>1</v>
      </c>
      <c r="G2363" s="7">
        <v>420000</v>
      </c>
      <c r="H2363" s="8" t="s">
        <v>299</v>
      </c>
      <c r="I2363" s="8">
        <v>1</v>
      </c>
      <c r="J2363" s="8">
        <v>240</v>
      </c>
      <c r="K2363" s="7" t="s">
        <v>312</v>
      </c>
      <c r="L2363" s="8">
        <v>84</v>
      </c>
      <c r="M2363" s="7">
        <f>IF(INDEX([1]equip.xml!$B:$B,MATCH(D2363,[1]equip.xml!$A:$A,0))=0,0,N2363)</f>
        <v>200</v>
      </c>
      <c r="N2363" s="8">
        <f t="shared" ref="N2363:N2405" si="2934">N2319*2</f>
        <v>200</v>
      </c>
    </row>
    <row r="2364" spans="1:14">
      <c r="A2364" s="8">
        <f t="shared" si="2931"/>
        <v>30019</v>
      </c>
      <c r="B2364" s="8">
        <v>40000</v>
      </c>
      <c r="C2364" s="8" t="s">
        <v>298</v>
      </c>
      <c r="D2364" s="7">
        <f t="shared" si="2933"/>
        <v>50700035</v>
      </c>
      <c r="E2364" s="8"/>
      <c r="F2364" s="8">
        <v>1</v>
      </c>
      <c r="G2364" s="7">
        <v>420000</v>
      </c>
      <c r="H2364" s="8" t="s">
        <v>299</v>
      </c>
      <c r="I2364" s="8">
        <v>1</v>
      </c>
      <c r="J2364" s="8">
        <v>240</v>
      </c>
      <c r="K2364" s="7" t="s">
        <v>312</v>
      </c>
      <c r="L2364" s="8">
        <v>84</v>
      </c>
      <c r="M2364" s="7">
        <f>IF(INDEX([1]equip.xml!$B:$B,MATCH(D2364,[1]equip.xml!$A:$A,0))=0,0,N2364)</f>
        <v>200</v>
      </c>
      <c r="N2364" s="8">
        <f t="shared" si="2934"/>
        <v>200</v>
      </c>
    </row>
    <row r="2365" spans="1:14">
      <c r="A2365" s="8">
        <f t="shared" si="2931"/>
        <v>30019</v>
      </c>
      <c r="B2365" s="8">
        <v>40000</v>
      </c>
      <c r="C2365" s="8" t="s">
        <v>298</v>
      </c>
      <c r="D2365" s="7">
        <f t="shared" si="2933"/>
        <v>50700085</v>
      </c>
      <c r="E2365" s="8"/>
      <c r="F2365" s="8">
        <v>1</v>
      </c>
      <c r="G2365" s="7">
        <v>420000</v>
      </c>
      <c r="H2365" s="8" t="s">
        <v>299</v>
      </c>
      <c r="I2365" s="8">
        <v>1</v>
      </c>
      <c r="J2365" s="8">
        <v>240</v>
      </c>
      <c r="K2365" s="7" t="s">
        <v>312</v>
      </c>
      <c r="L2365" s="8">
        <v>84</v>
      </c>
      <c r="M2365" s="7">
        <f>IF(INDEX([1]equip.xml!$B:$B,MATCH(D2365,[1]equip.xml!$A:$A,0))=0,0,N2365)</f>
        <v>200</v>
      </c>
      <c r="N2365" s="8">
        <f t="shared" si="2934"/>
        <v>200</v>
      </c>
    </row>
    <row r="2366" spans="1:14">
      <c r="A2366" s="8">
        <f t="shared" si="2931"/>
        <v>30019</v>
      </c>
      <c r="B2366" s="8">
        <v>40000</v>
      </c>
      <c r="C2366" s="8" t="s">
        <v>298</v>
      </c>
      <c r="D2366" s="7">
        <f t="shared" si="2933"/>
        <v>50700095</v>
      </c>
      <c r="E2366" s="8"/>
      <c r="F2366" s="8">
        <v>1</v>
      </c>
      <c r="G2366" s="7">
        <v>420000</v>
      </c>
      <c r="H2366" s="8" t="s">
        <v>299</v>
      </c>
      <c r="I2366" s="8">
        <v>1</v>
      </c>
      <c r="J2366" s="8">
        <v>240</v>
      </c>
      <c r="K2366" s="7" t="s">
        <v>312</v>
      </c>
      <c r="L2366" s="8">
        <v>84</v>
      </c>
      <c r="M2366" s="7">
        <f>IF(INDEX([1]equip.xml!$B:$B,MATCH(D2366,[1]equip.xml!$A:$A,0))=0,0,N2366)</f>
        <v>200</v>
      </c>
      <c r="N2366" s="8">
        <f t="shared" si="2934"/>
        <v>200</v>
      </c>
    </row>
    <row r="2367" spans="1:14">
      <c r="A2367" s="8">
        <f t="shared" si="2931"/>
        <v>30019</v>
      </c>
      <c r="B2367" s="8">
        <v>40000</v>
      </c>
      <c r="C2367" s="8" t="s">
        <v>298</v>
      </c>
      <c r="D2367" s="7">
        <f t="shared" si="2933"/>
        <v>50700105</v>
      </c>
      <c r="E2367" s="8"/>
      <c r="F2367" s="8">
        <v>1</v>
      </c>
      <c r="G2367" s="7">
        <v>420000</v>
      </c>
      <c r="H2367" s="8" t="s">
        <v>299</v>
      </c>
      <c r="I2367" s="8">
        <v>1</v>
      </c>
      <c r="J2367" s="8">
        <v>240</v>
      </c>
      <c r="K2367" s="7" t="s">
        <v>312</v>
      </c>
      <c r="L2367" s="8">
        <v>84</v>
      </c>
      <c r="M2367" s="7">
        <f>IF(INDEX([1]equip.xml!$B:$B,MATCH(D2367,[1]equip.xml!$A:$A,0))=0,0,N2367)</f>
        <v>200</v>
      </c>
      <c r="N2367" s="8">
        <f t="shared" si="2934"/>
        <v>200</v>
      </c>
    </row>
    <row r="2368" spans="1:14">
      <c r="A2368" s="8">
        <f t="shared" si="2931"/>
        <v>30019</v>
      </c>
      <c r="B2368" s="8">
        <v>40000</v>
      </c>
      <c r="C2368" s="8" t="s">
        <v>298</v>
      </c>
      <c r="D2368" s="7">
        <f t="shared" si="2933"/>
        <v>50701055</v>
      </c>
      <c r="E2368" s="8"/>
      <c r="F2368" s="8">
        <v>1</v>
      </c>
      <c r="G2368" s="7">
        <v>420000</v>
      </c>
      <c r="H2368" s="8" t="s">
        <v>299</v>
      </c>
      <c r="I2368" s="8">
        <v>1</v>
      </c>
      <c r="J2368" s="8">
        <v>240</v>
      </c>
      <c r="K2368" s="7" t="s">
        <v>312</v>
      </c>
      <c r="L2368" s="8">
        <v>84</v>
      </c>
      <c r="M2368" s="7">
        <f>IF(INDEX([1]equip.xml!$B:$B,MATCH(D2368,[1]equip.xml!$A:$A,0))=0,0,N2368)</f>
        <v>200</v>
      </c>
      <c r="N2368" s="8">
        <f t="shared" si="2934"/>
        <v>200</v>
      </c>
    </row>
    <row r="2369" spans="1:14">
      <c r="A2369" s="8">
        <f t="shared" si="2931"/>
        <v>30019</v>
      </c>
      <c r="B2369" s="8">
        <v>40000</v>
      </c>
      <c r="C2369" s="8" t="s">
        <v>298</v>
      </c>
      <c r="D2369" s="7">
        <f t="shared" si="2933"/>
        <v>50701056</v>
      </c>
      <c r="E2369" s="8"/>
      <c r="F2369" s="8">
        <v>1</v>
      </c>
      <c r="G2369" s="7">
        <v>438000</v>
      </c>
      <c r="H2369" s="8" t="s">
        <v>299</v>
      </c>
      <c r="I2369" s="8">
        <v>1</v>
      </c>
      <c r="J2369" s="8">
        <v>240</v>
      </c>
      <c r="K2369" s="7" t="s">
        <v>312</v>
      </c>
      <c r="L2369" s="8">
        <v>84</v>
      </c>
      <c r="M2369" s="7">
        <f>IF(INDEX([1]equip.xml!$B:$B,MATCH(D2369,[1]equip.xml!$A:$A,0))=0,0,N2369)</f>
        <v>0</v>
      </c>
      <c r="N2369" s="8">
        <f t="shared" si="2934"/>
        <v>200</v>
      </c>
    </row>
    <row r="2370" spans="1:14">
      <c r="A2370" s="8">
        <f t="shared" si="2931"/>
        <v>30019</v>
      </c>
      <c r="B2370" s="8">
        <v>40000</v>
      </c>
      <c r="C2370" s="8" t="s">
        <v>298</v>
      </c>
      <c r="D2370" s="7">
        <f t="shared" si="2933"/>
        <v>50701065</v>
      </c>
      <c r="E2370" s="8"/>
      <c r="F2370" s="8">
        <v>1</v>
      </c>
      <c r="G2370" s="7">
        <v>420000</v>
      </c>
      <c r="H2370" s="8" t="s">
        <v>299</v>
      </c>
      <c r="I2370" s="8">
        <v>1</v>
      </c>
      <c r="J2370" s="8">
        <v>240</v>
      </c>
      <c r="K2370" s="7" t="s">
        <v>312</v>
      </c>
      <c r="L2370" s="8">
        <v>84</v>
      </c>
      <c r="M2370" s="7">
        <f>IF(INDEX([1]equip.xml!$B:$B,MATCH(D2370,[1]equip.xml!$A:$A,0))=0,0,N2370)</f>
        <v>200</v>
      </c>
      <c r="N2370" s="8">
        <f t="shared" si="2934"/>
        <v>200</v>
      </c>
    </row>
    <row r="2371" spans="1:14">
      <c r="A2371" s="8">
        <f t="shared" si="2931"/>
        <v>30019</v>
      </c>
      <c r="B2371" s="8">
        <v>40000</v>
      </c>
      <c r="C2371" s="8" t="s">
        <v>298</v>
      </c>
      <c r="D2371" s="7">
        <f t="shared" si="2933"/>
        <v>50701066</v>
      </c>
      <c r="E2371" s="8"/>
      <c r="F2371" s="8">
        <v>1</v>
      </c>
      <c r="G2371" s="7">
        <v>438000</v>
      </c>
      <c r="H2371" s="8" t="s">
        <v>299</v>
      </c>
      <c r="I2371" s="8">
        <v>1</v>
      </c>
      <c r="J2371" s="8">
        <v>240</v>
      </c>
      <c r="K2371" s="7" t="s">
        <v>312</v>
      </c>
      <c r="L2371" s="8">
        <v>84</v>
      </c>
      <c r="M2371" s="7">
        <f>IF(INDEX([1]equip.xml!$B:$B,MATCH(D2371,[1]equip.xml!$A:$A,0))=0,0,N2371)</f>
        <v>0</v>
      </c>
      <c r="N2371" s="8">
        <f t="shared" si="2934"/>
        <v>200</v>
      </c>
    </row>
    <row r="2372" spans="1:14">
      <c r="A2372" s="8">
        <f t="shared" si="2931"/>
        <v>30019</v>
      </c>
      <c r="B2372" s="8">
        <v>40000</v>
      </c>
      <c r="C2372" s="8" t="s">
        <v>298</v>
      </c>
      <c r="D2372" s="7">
        <f t="shared" si="2933"/>
        <v>50702055</v>
      </c>
      <c r="E2372" s="8"/>
      <c r="F2372" s="8">
        <v>1</v>
      </c>
      <c r="G2372" s="7">
        <v>420000</v>
      </c>
      <c r="H2372" s="8" t="s">
        <v>299</v>
      </c>
      <c r="I2372" s="8">
        <v>1</v>
      </c>
      <c r="J2372" s="8">
        <v>240</v>
      </c>
      <c r="K2372" s="7" t="s">
        <v>312</v>
      </c>
      <c r="L2372" s="8">
        <v>84</v>
      </c>
      <c r="M2372" s="7">
        <f>IF(INDEX([1]equip.xml!$B:$B,MATCH(D2372,[1]equip.xml!$A:$A,0))=0,0,N2372)</f>
        <v>200</v>
      </c>
      <c r="N2372" s="8">
        <f t="shared" si="2934"/>
        <v>200</v>
      </c>
    </row>
    <row r="2373" spans="1:14">
      <c r="A2373" s="8">
        <f t="shared" si="2931"/>
        <v>30019</v>
      </c>
      <c r="B2373" s="8">
        <v>40000</v>
      </c>
      <c r="C2373" s="8" t="s">
        <v>298</v>
      </c>
      <c r="D2373" s="7">
        <f t="shared" si="2933"/>
        <v>50702056</v>
      </c>
      <c r="E2373" s="8"/>
      <c r="F2373" s="8">
        <v>1</v>
      </c>
      <c r="G2373" s="7">
        <v>438000</v>
      </c>
      <c r="H2373" s="8" t="s">
        <v>299</v>
      </c>
      <c r="I2373" s="8">
        <v>1</v>
      </c>
      <c r="J2373" s="8">
        <v>240</v>
      </c>
      <c r="K2373" s="7" t="s">
        <v>312</v>
      </c>
      <c r="L2373" s="8">
        <v>84</v>
      </c>
      <c r="M2373" s="7">
        <f>IF(INDEX([1]equip.xml!$B:$B,MATCH(D2373,[1]equip.xml!$A:$A,0))=0,0,N2373)</f>
        <v>0</v>
      </c>
      <c r="N2373" s="8">
        <f t="shared" si="2934"/>
        <v>200</v>
      </c>
    </row>
    <row r="2374" spans="1:14">
      <c r="A2374" s="8">
        <f t="shared" si="2931"/>
        <v>30019</v>
      </c>
      <c r="B2374" s="8">
        <v>40000</v>
      </c>
      <c r="C2374" s="8" t="s">
        <v>298</v>
      </c>
      <c r="D2374" s="7">
        <f t="shared" si="2933"/>
        <v>50702065</v>
      </c>
      <c r="E2374" s="8"/>
      <c r="F2374" s="8">
        <v>1</v>
      </c>
      <c r="G2374" s="7">
        <v>420000</v>
      </c>
      <c r="H2374" s="8" t="s">
        <v>299</v>
      </c>
      <c r="I2374" s="8">
        <v>1</v>
      </c>
      <c r="J2374" s="8">
        <v>240</v>
      </c>
      <c r="K2374" s="7" t="s">
        <v>312</v>
      </c>
      <c r="L2374" s="8">
        <v>84</v>
      </c>
      <c r="M2374" s="7">
        <f>IF(INDEX([1]equip.xml!$B:$B,MATCH(D2374,[1]equip.xml!$A:$A,0))=0,0,N2374)</f>
        <v>200</v>
      </c>
      <c r="N2374" s="8">
        <f t="shared" si="2934"/>
        <v>200</v>
      </c>
    </row>
    <row r="2375" spans="1:14">
      <c r="A2375" s="8">
        <f t="shared" si="2931"/>
        <v>30019</v>
      </c>
      <c r="B2375" s="8">
        <v>40000</v>
      </c>
      <c r="C2375" s="8" t="s">
        <v>298</v>
      </c>
      <c r="D2375" s="7">
        <f t="shared" si="2933"/>
        <v>50702066</v>
      </c>
      <c r="E2375" s="8"/>
      <c r="F2375" s="8">
        <v>1</v>
      </c>
      <c r="G2375" s="7">
        <v>438000</v>
      </c>
      <c r="H2375" s="8" t="s">
        <v>299</v>
      </c>
      <c r="I2375" s="8">
        <v>1</v>
      </c>
      <c r="J2375" s="8">
        <v>240</v>
      </c>
      <c r="K2375" s="7" t="s">
        <v>312</v>
      </c>
      <c r="L2375" s="8">
        <v>84</v>
      </c>
      <c r="M2375" s="7">
        <f>IF(INDEX([1]equip.xml!$B:$B,MATCH(D2375,[1]equip.xml!$A:$A,0))=0,0,N2375)</f>
        <v>0</v>
      </c>
      <c r="N2375" s="8">
        <f t="shared" si="2934"/>
        <v>200</v>
      </c>
    </row>
    <row r="2376" spans="1:14">
      <c r="A2376" s="8">
        <f t="shared" si="2931"/>
        <v>30019</v>
      </c>
      <c r="B2376" s="8">
        <v>40000</v>
      </c>
      <c r="C2376" s="8" t="s">
        <v>298</v>
      </c>
      <c r="D2376" s="7">
        <f t="shared" si="2933"/>
        <v>50703055</v>
      </c>
      <c r="E2376" s="8"/>
      <c r="F2376" s="8">
        <v>1</v>
      </c>
      <c r="G2376" s="7">
        <v>420000</v>
      </c>
      <c r="H2376" s="8" t="s">
        <v>299</v>
      </c>
      <c r="I2376" s="8">
        <v>1</v>
      </c>
      <c r="J2376" s="8">
        <v>240</v>
      </c>
      <c r="K2376" s="7" t="s">
        <v>312</v>
      </c>
      <c r="L2376" s="8">
        <v>84</v>
      </c>
      <c r="M2376" s="7">
        <f>IF(INDEX([1]equip.xml!$B:$B,MATCH(D2376,[1]equip.xml!$A:$A,0))=0,0,N2376)</f>
        <v>200</v>
      </c>
      <c r="N2376" s="8">
        <f t="shared" si="2934"/>
        <v>200</v>
      </c>
    </row>
    <row r="2377" spans="1:14">
      <c r="A2377" s="8">
        <f t="shared" si="2931"/>
        <v>30019</v>
      </c>
      <c r="B2377" s="8">
        <v>40000</v>
      </c>
      <c r="C2377" s="8" t="s">
        <v>298</v>
      </c>
      <c r="D2377" s="7">
        <f t="shared" si="2933"/>
        <v>50703056</v>
      </c>
      <c r="E2377" s="8"/>
      <c r="F2377" s="8">
        <v>1</v>
      </c>
      <c r="G2377" s="7">
        <v>438000</v>
      </c>
      <c r="H2377" s="8" t="s">
        <v>299</v>
      </c>
      <c r="I2377" s="8">
        <v>1</v>
      </c>
      <c r="J2377" s="8">
        <v>240</v>
      </c>
      <c r="K2377" s="7" t="s">
        <v>312</v>
      </c>
      <c r="L2377" s="8">
        <v>84</v>
      </c>
      <c r="M2377" s="7">
        <f>IF(INDEX([1]equip.xml!$B:$B,MATCH(D2377,[1]equip.xml!$A:$A,0))=0,0,N2377)</f>
        <v>0</v>
      </c>
      <c r="N2377" s="8">
        <f t="shared" si="2934"/>
        <v>200</v>
      </c>
    </row>
    <row r="2378" spans="1:14">
      <c r="A2378" s="8">
        <f t="shared" si="2931"/>
        <v>30019</v>
      </c>
      <c r="B2378" s="8">
        <v>40000</v>
      </c>
      <c r="C2378" s="8" t="s">
        <v>298</v>
      </c>
      <c r="D2378" s="7">
        <f t="shared" si="2933"/>
        <v>50703065</v>
      </c>
      <c r="E2378" s="8"/>
      <c r="F2378" s="8">
        <v>1</v>
      </c>
      <c r="G2378" s="7">
        <v>420000</v>
      </c>
      <c r="H2378" s="8" t="s">
        <v>299</v>
      </c>
      <c r="I2378" s="8">
        <v>1</v>
      </c>
      <c r="J2378" s="8">
        <v>240</v>
      </c>
      <c r="K2378" s="7" t="s">
        <v>312</v>
      </c>
      <c r="L2378" s="8">
        <v>84</v>
      </c>
      <c r="M2378" s="7">
        <f>IF(INDEX([1]equip.xml!$B:$B,MATCH(D2378,[1]equip.xml!$A:$A,0))=0,0,N2378)</f>
        <v>200</v>
      </c>
      <c r="N2378" s="8">
        <f t="shared" si="2934"/>
        <v>200</v>
      </c>
    </row>
    <row r="2379" spans="1:14">
      <c r="A2379" s="8">
        <f t="shared" si="2931"/>
        <v>30019</v>
      </c>
      <c r="B2379" s="8">
        <v>40000</v>
      </c>
      <c r="C2379" s="8" t="s">
        <v>298</v>
      </c>
      <c r="D2379" s="7">
        <f t="shared" si="2933"/>
        <v>50703066</v>
      </c>
      <c r="E2379" s="8"/>
      <c r="F2379" s="8">
        <v>1</v>
      </c>
      <c r="G2379" s="7">
        <v>438000</v>
      </c>
      <c r="H2379" s="8" t="s">
        <v>299</v>
      </c>
      <c r="I2379" s="8">
        <v>1</v>
      </c>
      <c r="J2379" s="8">
        <v>240</v>
      </c>
      <c r="K2379" s="7" t="s">
        <v>312</v>
      </c>
      <c r="L2379" s="8">
        <v>84</v>
      </c>
      <c r="M2379" s="7">
        <f>IF(INDEX([1]equip.xml!$B:$B,MATCH(D2379,[1]equip.xml!$A:$A,0))=0,0,N2379)</f>
        <v>0</v>
      </c>
      <c r="N2379" s="8">
        <f t="shared" si="2934"/>
        <v>200</v>
      </c>
    </row>
    <row r="2380" spans="1:14">
      <c r="A2380" s="8">
        <f t="shared" si="2931"/>
        <v>30019</v>
      </c>
      <c r="B2380" s="8">
        <v>40000</v>
      </c>
      <c r="C2380" s="8" t="s">
        <v>298</v>
      </c>
      <c r="D2380" s="7">
        <f t="shared" si="2933"/>
        <v>50700045</v>
      </c>
      <c r="E2380" s="8"/>
      <c r="F2380" s="8">
        <v>1</v>
      </c>
      <c r="G2380" s="7">
        <v>420000</v>
      </c>
      <c r="H2380" s="8" t="s">
        <v>299</v>
      </c>
      <c r="I2380" s="8">
        <v>1</v>
      </c>
      <c r="J2380" s="8">
        <v>240</v>
      </c>
      <c r="K2380" s="7" t="s">
        <v>312</v>
      </c>
      <c r="L2380" s="8">
        <v>84</v>
      </c>
      <c r="M2380" s="7">
        <f>IF(INDEX([1]equip.xml!$B:$B,MATCH(D2380,[1]equip.xml!$A:$A,0))=0,0,N2380)</f>
        <v>200</v>
      </c>
      <c r="N2380" s="8">
        <f t="shared" si="2934"/>
        <v>200</v>
      </c>
    </row>
    <row r="2381" spans="1:14">
      <c r="A2381" s="8">
        <f t="shared" si="2931"/>
        <v>30019</v>
      </c>
      <c r="B2381" s="8">
        <v>40000</v>
      </c>
      <c r="C2381" s="8" t="s">
        <v>298</v>
      </c>
      <c r="D2381" s="7">
        <f t="shared" si="2933"/>
        <v>50700046</v>
      </c>
      <c r="E2381" s="8"/>
      <c r="F2381" s="8">
        <v>1</v>
      </c>
      <c r="G2381" s="7">
        <v>438000</v>
      </c>
      <c r="H2381" s="8" t="s">
        <v>299</v>
      </c>
      <c r="I2381" s="8">
        <v>1</v>
      </c>
      <c r="J2381" s="8">
        <v>240</v>
      </c>
      <c r="K2381" s="7" t="s">
        <v>312</v>
      </c>
      <c r="L2381" s="8">
        <v>84</v>
      </c>
      <c r="M2381" s="7">
        <f>IF(INDEX([1]equip.xml!$B:$B,MATCH(D2381,[1]equip.xml!$A:$A,0))=0,0,N2381)</f>
        <v>0</v>
      </c>
      <c r="N2381" s="8">
        <f t="shared" si="2934"/>
        <v>200</v>
      </c>
    </row>
    <row r="2382" spans="1:14">
      <c r="A2382" s="8">
        <f t="shared" si="2931"/>
        <v>30019</v>
      </c>
      <c r="B2382" s="8">
        <v>40000</v>
      </c>
      <c r="C2382" s="8" t="s">
        <v>298</v>
      </c>
      <c r="D2382" s="7">
        <f t="shared" si="2933"/>
        <v>50700075</v>
      </c>
      <c r="E2382" s="8"/>
      <c r="F2382" s="8">
        <v>1</v>
      </c>
      <c r="G2382" s="7">
        <v>420000</v>
      </c>
      <c r="H2382" s="8" t="s">
        <v>299</v>
      </c>
      <c r="I2382" s="8">
        <v>1</v>
      </c>
      <c r="J2382" s="8">
        <v>240</v>
      </c>
      <c r="K2382" s="7" t="s">
        <v>312</v>
      </c>
      <c r="L2382" s="8">
        <v>84</v>
      </c>
      <c r="M2382" s="7">
        <f>IF(INDEX([1]equip.xml!$B:$B,MATCH(D2382,[1]equip.xml!$A:$A,0))=0,0,N2382)</f>
        <v>200</v>
      </c>
      <c r="N2382" s="8">
        <f t="shared" si="2934"/>
        <v>200</v>
      </c>
    </row>
    <row r="2383" spans="1:14">
      <c r="A2383" s="8">
        <f t="shared" si="2931"/>
        <v>30019</v>
      </c>
      <c r="B2383" s="8">
        <v>40000</v>
      </c>
      <c r="C2383" s="8" t="s">
        <v>298</v>
      </c>
      <c r="D2383" s="7">
        <f t="shared" si="2933"/>
        <v>50700076</v>
      </c>
      <c r="E2383" s="8"/>
      <c r="F2383" s="8">
        <v>1</v>
      </c>
      <c r="G2383" s="7">
        <v>438000</v>
      </c>
      <c r="H2383" s="8" t="s">
        <v>299</v>
      </c>
      <c r="I2383" s="8">
        <v>1</v>
      </c>
      <c r="J2383" s="8">
        <v>240</v>
      </c>
      <c r="K2383" s="7" t="s">
        <v>312</v>
      </c>
      <c r="L2383" s="8">
        <v>84</v>
      </c>
      <c r="M2383" s="7">
        <f>IF(INDEX([1]equip.xml!$B:$B,MATCH(D2383,[1]equip.xml!$A:$A,0))=0,0,N2383)</f>
        <v>0</v>
      </c>
      <c r="N2383" s="8">
        <f t="shared" si="2934"/>
        <v>200</v>
      </c>
    </row>
    <row r="2384" spans="1:14">
      <c r="A2384" s="8">
        <f t="shared" si="2931"/>
        <v>30019</v>
      </c>
      <c r="B2384" s="8">
        <v>40000</v>
      </c>
      <c r="C2384" s="8" t="s">
        <v>298</v>
      </c>
      <c r="D2384" s="7">
        <f t="shared" si="2933"/>
        <v>50750015</v>
      </c>
      <c r="E2384" s="8"/>
      <c r="F2384" s="8">
        <v>1</v>
      </c>
      <c r="G2384" s="7">
        <v>456000</v>
      </c>
      <c r="H2384" s="8" t="s">
        <v>299</v>
      </c>
      <c r="I2384" s="8">
        <v>1</v>
      </c>
      <c r="J2384" s="8">
        <v>240</v>
      </c>
      <c r="K2384" s="7" t="s">
        <v>312</v>
      </c>
      <c r="L2384" s="8">
        <v>84</v>
      </c>
      <c r="M2384" s="7">
        <f>IF(INDEX([1]equip.xml!$B:$B,MATCH(D2384,[1]equip.xml!$A:$A,0))=0,0,N2384)</f>
        <v>140</v>
      </c>
      <c r="N2384" s="8">
        <f t="shared" si="2934"/>
        <v>140</v>
      </c>
    </row>
    <row r="2385" spans="1:14">
      <c r="A2385" s="8">
        <f t="shared" si="2931"/>
        <v>30019</v>
      </c>
      <c r="B2385" s="8">
        <v>40000</v>
      </c>
      <c r="C2385" s="8" t="s">
        <v>298</v>
      </c>
      <c r="D2385" s="7">
        <f t="shared" si="2933"/>
        <v>50750025</v>
      </c>
      <c r="E2385" s="8"/>
      <c r="F2385" s="8">
        <v>1</v>
      </c>
      <c r="G2385" s="7">
        <v>456000</v>
      </c>
      <c r="H2385" s="8" t="s">
        <v>299</v>
      </c>
      <c r="I2385" s="8">
        <v>1</v>
      </c>
      <c r="J2385" s="8">
        <v>240</v>
      </c>
      <c r="K2385" s="7" t="s">
        <v>312</v>
      </c>
      <c r="L2385" s="8">
        <v>84</v>
      </c>
      <c r="M2385" s="7">
        <f>IF(INDEX([1]equip.xml!$B:$B,MATCH(D2385,[1]equip.xml!$A:$A,0))=0,0,N2385)</f>
        <v>140</v>
      </c>
      <c r="N2385" s="8">
        <f t="shared" si="2934"/>
        <v>140</v>
      </c>
    </row>
    <row r="2386" spans="1:14">
      <c r="A2386" s="8">
        <f t="shared" si="2931"/>
        <v>30019</v>
      </c>
      <c r="B2386" s="8">
        <v>40000</v>
      </c>
      <c r="C2386" s="8" t="s">
        <v>298</v>
      </c>
      <c r="D2386" s="7">
        <f t="shared" si="2933"/>
        <v>50750035</v>
      </c>
      <c r="E2386" s="8"/>
      <c r="F2386" s="8">
        <v>1</v>
      </c>
      <c r="G2386" s="7">
        <v>456000</v>
      </c>
      <c r="H2386" s="8" t="s">
        <v>299</v>
      </c>
      <c r="I2386" s="8">
        <v>1</v>
      </c>
      <c r="J2386" s="8">
        <v>240</v>
      </c>
      <c r="K2386" s="7" t="s">
        <v>312</v>
      </c>
      <c r="L2386" s="8">
        <v>84</v>
      </c>
      <c r="M2386" s="7">
        <f>IF(INDEX([1]equip.xml!$B:$B,MATCH(D2386,[1]equip.xml!$A:$A,0))=0,0,N2386)</f>
        <v>140</v>
      </c>
      <c r="N2386" s="8">
        <f t="shared" si="2934"/>
        <v>140</v>
      </c>
    </row>
    <row r="2387" spans="1:14">
      <c r="A2387" s="8">
        <f t="shared" si="2931"/>
        <v>30019</v>
      </c>
      <c r="B2387" s="8">
        <v>40000</v>
      </c>
      <c r="C2387" s="8" t="s">
        <v>298</v>
      </c>
      <c r="D2387" s="7">
        <f t="shared" si="2933"/>
        <v>50750085</v>
      </c>
      <c r="E2387" s="8"/>
      <c r="F2387" s="8">
        <v>1</v>
      </c>
      <c r="G2387" s="7">
        <v>456000</v>
      </c>
      <c r="H2387" s="8" t="s">
        <v>299</v>
      </c>
      <c r="I2387" s="8">
        <v>1</v>
      </c>
      <c r="J2387" s="8">
        <v>240</v>
      </c>
      <c r="K2387" s="7" t="s">
        <v>312</v>
      </c>
      <c r="L2387" s="8">
        <v>84</v>
      </c>
      <c r="M2387" s="7">
        <f>IF(INDEX([1]equip.xml!$B:$B,MATCH(D2387,[1]equip.xml!$A:$A,0))=0,0,N2387)</f>
        <v>140</v>
      </c>
      <c r="N2387" s="8">
        <f t="shared" si="2934"/>
        <v>140</v>
      </c>
    </row>
    <row r="2388" spans="1:14">
      <c r="A2388" s="8">
        <f t="shared" si="2931"/>
        <v>30019</v>
      </c>
      <c r="B2388" s="8">
        <v>40000</v>
      </c>
      <c r="C2388" s="8" t="s">
        <v>298</v>
      </c>
      <c r="D2388" s="7">
        <f t="shared" si="2933"/>
        <v>50750095</v>
      </c>
      <c r="E2388" s="8"/>
      <c r="F2388" s="8">
        <v>1</v>
      </c>
      <c r="G2388" s="7">
        <v>456000</v>
      </c>
      <c r="H2388" s="8" t="s">
        <v>299</v>
      </c>
      <c r="I2388" s="8">
        <v>1</v>
      </c>
      <c r="J2388" s="8">
        <v>240</v>
      </c>
      <c r="K2388" s="7" t="s">
        <v>312</v>
      </c>
      <c r="L2388" s="8">
        <v>84</v>
      </c>
      <c r="M2388" s="7">
        <f>IF(INDEX([1]equip.xml!$B:$B,MATCH(D2388,[1]equip.xml!$A:$A,0))=0,0,N2388)</f>
        <v>140</v>
      </c>
      <c r="N2388" s="8">
        <f t="shared" si="2934"/>
        <v>140</v>
      </c>
    </row>
    <row r="2389" spans="1:14">
      <c r="A2389" s="8">
        <f t="shared" si="2931"/>
        <v>30019</v>
      </c>
      <c r="B2389" s="8">
        <v>40000</v>
      </c>
      <c r="C2389" s="8" t="s">
        <v>298</v>
      </c>
      <c r="D2389" s="7">
        <f t="shared" si="2933"/>
        <v>50750105</v>
      </c>
      <c r="E2389" s="8"/>
      <c r="F2389" s="8">
        <v>1</v>
      </c>
      <c r="G2389" s="7">
        <v>456000</v>
      </c>
      <c r="H2389" s="8" t="s">
        <v>299</v>
      </c>
      <c r="I2389" s="8">
        <v>1</v>
      </c>
      <c r="J2389" s="8">
        <v>240</v>
      </c>
      <c r="K2389" s="7" t="s">
        <v>312</v>
      </c>
      <c r="L2389" s="8">
        <v>84</v>
      </c>
      <c r="M2389" s="7">
        <f>IF(INDEX([1]equip.xml!$B:$B,MATCH(D2389,[1]equip.xml!$A:$A,0))=0,0,N2389)</f>
        <v>140</v>
      </c>
      <c r="N2389" s="8">
        <f t="shared" si="2934"/>
        <v>140</v>
      </c>
    </row>
    <row r="2390" spans="1:14">
      <c r="A2390" s="8">
        <f t="shared" si="2931"/>
        <v>30019</v>
      </c>
      <c r="B2390" s="8">
        <v>40000</v>
      </c>
      <c r="C2390" s="8" t="s">
        <v>298</v>
      </c>
      <c r="D2390" s="7">
        <f t="shared" si="2933"/>
        <v>50751055</v>
      </c>
      <c r="E2390" s="8"/>
      <c r="F2390" s="8">
        <v>1</v>
      </c>
      <c r="G2390" s="7">
        <v>456000</v>
      </c>
      <c r="H2390" s="8" t="s">
        <v>299</v>
      </c>
      <c r="I2390" s="8">
        <v>1</v>
      </c>
      <c r="J2390" s="8">
        <v>240</v>
      </c>
      <c r="K2390" s="7" t="s">
        <v>312</v>
      </c>
      <c r="L2390" s="8">
        <v>84</v>
      </c>
      <c r="M2390" s="7">
        <f>IF(INDEX([1]equip.xml!$B:$B,MATCH(D2390,[1]equip.xml!$A:$A,0))=0,0,N2390)</f>
        <v>140</v>
      </c>
      <c r="N2390" s="8">
        <f t="shared" si="2934"/>
        <v>140</v>
      </c>
    </row>
    <row r="2391" spans="1:14">
      <c r="A2391" s="8">
        <f t="shared" si="2931"/>
        <v>30019</v>
      </c>
      <c r="B2391" s="8">
        <v>40000</v>
      </c>
      <c r="C2391" s="8" t="s">
        <v>298</v>
      </c>
      <c r="D2391" s="7">
        <f t="shared" si="2933"/>
        <v>50751056</v>
      </c>
      <c r="E2391" s="8"/>
      <c r="F2391" s="8">
        <v>1</v>
      </c>
      <c r="G2391" s="7">
        <v>474000</v>
      </c>
      <c r="H2391" s="8" t="s">
        <v>299</v>
      </c>
      <c r="I2391" s="8">
        <v>1</v>
      </c>
      <c r="J2391" s="8">
        <v>240</v>
      </c>
      <c r="K2391" s="7" t="s">
        <v>312</v>
      </c>
      <c r="L2391" s="8">
        <v>84</v>
      </c>
      <c r="M2391" s="7">
        <f>IF(INDEX([1]equip.xml!$B:$B,MATCH(D2391,[1]equip.xml!$A:$A,0))=0,0,N2391)</f>
        <v>140</v>
      </c>
      <c r="N2391" s="8">
        <f t="shared" si="2934"/>
        <v>140</v>
      </c>
    </row>
    <row r="2392" spans="1:14">
      <c r="A2392" s="8">
        <f t="shared" si="2931"/>
        <v>30019</v>
      </c>
      <c r="B2392" s="8">
        <v>40000</v>
      </c>
      <c r="C2392" s="8" t="s">
        <v>298</v>
      </c>
      <c r="D2392" s="7">
        <f t="shared" si="2933"/>
        <v>50751065</v>
      </c>
      <c r="E2392" s="8"/>
      <c r="F2392" s="8">
        <v>1</v>
      </c>
      <c r="G2392" s="7">
        <v>456000</v>
      </c>
      <c r="H2392" s="8" t="s">
        <v>299</v>
      </c>
      <c r="I2392" s="8">
        <v>1</v>
      </c>
      <c r="J2392" s="8">
        <v>240</v>
      </c>
      <c r="K2392" s="7" t="s">
        <v>312</v>
      </c>
      <c r="L2392" s="8">
        <v>84</v>
      </c>
      <c r="M2392" s="7">
        <f>IF(INDEX([1]equip.xml!$B:$B,MATCH(D2392,[1]equip.xml!$A:$A,0))=0,0,N2392)</f>
        <v>140</v>
      </c>
      <c r="N2392" s="8">
        <f t="shared" si="2934"/>
        <v>140</v>
      </c>
    </row>
    <row r="2393" spans="1:14">
      <c r="A2393" s="8">
        <f t="shared" si="2931"/>
        <v>30019</v>
      </c>
      <c r="B2393" s="8">
        <v>40000</v>
      </c>
      <c r="C2393" s="8" t="s">
        <v>298</v>
      </c>
      <c r="D2393" s="7">
        <f t="shared" si="2933"/>
        <v>50751066</v>
      </c>
      <c r="E2393" s="8"/>
      <c r="F2393" s="8">
        <v>1</v>
      </c>
      <c r="G2393" s="7">
        <v>474000</v>
      </c>
      <c r="H2393" s="8" t="s">
        <v>299</v>
      </c>
      <c r="I2393" s="8">
        <v>1</v>
      </c>
      <c r="J2393" s="8">
        <v>240</v>
      </c>
      <c r="K2393" s="7" t="s">
        <v>312</v>
      </c>
      <c r="L2393" s="8">
        <v>84</v>
      </c>
      <c r="M2393" s="7">
        <f>IF(INDEX([1]equip.xml!$B:$B,MATCH(D2393,[1]equip.xml!$A:$A,0))=0,0,N2393)</f>
        <v>140</v>
      </c>
      <c r="N2393" s="8">
        <f t="shared" si="2934"/>
        <v>140</v>
      </c>
    </row>
    <row r="2394" spans="1:14">
      <c r="A2394" s="8">
        <f t="shared" si="2931"/>
        <v>30019</v>
      </c>
      <c r="B2394" s="8">
        <v>40000</v>
      </c>
      <c r="C2394" s="8" t="s">
        <v>298</v>
      </c>
      <c r="D2394" s="7">
        <f t="shared" si="2933"/>
        <v>50752055</v>
      </c>
      <c r="E2394" s="8"/>
      <c r="F2394" s="8">
        <v>1</v>
      </c>
      <c r="G2394" s="7">
        <v>456000</v>
      </c>
      <c r="H2394" s="8" t="s">
        <v>299</v>
      </c>
      <c r="I2394" s="8">
        <v>1</v>
      </c>
      <c r="J2394" s="8">
        <v>240</v>
      </c>
      <c r="K2394" s="7" t="s">
        <v>312</v>
      </c>
      <c r="L2394" s="8">
        <v>84</v>
      </c>
      <c r="M2394" s="7">
        <f>IF(INDEX([1]equip.xml!$B:$B,MATCH(D2394,[1]equip.xml!$A:$A,0))=0,0,N2394)</f>
        <v>140</v>
      </c>
      <c r="N2394" s="8">
        <f t="shared" si="2934"/>
        <v>140</v>
      </c>
    </row>
    <row r="2395" spans="1:14">
      <c r="A2395" s="8">
        <f t="shared" si="2931"/>
        <v>30019</v>
      </c>
      <c r="B2395" s="8">
        <v>40000</v>
      </c>
      <c r="C2395" s="8" t="s">
        <v>298</v>
      </c>
      <c r="D2395" s="7">
        <f t="shared" si="2933"/>
        <v>50752056</v>
      </c>
      <c r="E2395" s="8"/>
      <c r="F2395" s="8">
        <v>1</v>
      </c>
      <c r="G2395" s="7">
        <v>474000</v>
      </c>
      <c r="H2395" s="8" t="s">
        <v>299</v>
      </c>
      <c r="I2395" s="8">
        <v>1</v>
      </c>
      <c r="J2395" s="8">
        <v>240</v>
      </c>
      <c r="K2395" s="7" t="s">
        <v>312</v>
      </c>
      <c r="L2395" s="8">
        <v>84</v>
      </c>
      <c r="M2395" s="7">
        <f>IF(INDEX([1]equip.xml!$B:$B,MATCH(D2395,[1]equip.xml!$A:$A,0))=0,0,N2395)</f>
        <v>140</v>
      </c>
      <c r="N2395" s="8">
        <f t="shared" si="2934"/>
        <v>140</v>
      </c>
    </row>
    <row r="2396" spans="1:14">
      <c r="A2396" s="8">
        <f t="shared" si="2931"/>
        <v>30019</v>
      </c>
      <c r="B2396" s="8">
        <v>40000</v>
      </c>
      <c r="C2396" s="8" t="s">
        <v>298</v>
      </c>
      <c r="D2396" s="7">
        <f t="shared" si="2933"/>
        <v>50752065</v>
      </c>
      <c r="E2396" s="8"/>
      <c r="F2396" s="8">
        <v>1</v>
      </c>
      <c r="G2396" s="7">
        <v>456000</v>
      </c>
      <c r="H2396" s="8" t="s">
        <v>299</v>
      </c>
      <c r="I2396" s="8">
        <v>1</v>
      </c>
      <c r="J2396" s="8">
        <v>240</v>
      </c>
      <c r="K2396" s="7" t="s">
        <v>312</v>
      </c>
      <c r="L2396" s="8">
        <v>84</v>
      </c>
      <c r="M2396" s="7">
        <f>IF(INDEX([1]equip.xml!$B:$B,MATCH(D2396,[1]equip.xml!$A:$A,0))=0,0,N2396)</f>
        <v>140</v>
      </c>
      <c r="N2396" s="8">
        <f t="shared" si="2934"/>
        <v>140</v>
      </c>
    </row>
    <row r="2397" spans="1:14">
      <c r="A2397" s="8">
        <f t="shared" si="2931"/>
        <v>30019</v>
      </c>
      <c r="B2397" s="8">
        <v>40000</v>
      </c>
      <c r="C2397" s="8" t="s">
        <v>298</v>
      </c>
      <c r="D2397" s="7">
        <f t="shared" si="2933"/>
        <v>50752066</v>
      </c>
      <c r="E2397" s="8"/>
      <c r="F2397" s="8">
        <v>1</v>
      </c>
      <c r="G2397" s="7">
        <v>474000</v>
      </c>
      <c r="H2397" s="8" t="s">
        <v>299</v>
      </c>
      <c r="I2397" s="8">
        <v>1</v>
      </c>
      <c r="J2397" s="8">
        <v>240</v>
      </c>
      <c r="K2397" s="7" t="s">
        <v>312</v>
      </c>
      <c r="L2397" s="8">
        <v>84</v>
      </c>
      <c r="M2397" s="7">
        <f>IF(INDEX([1]equip.xml!$B:$B,MATCH(D2397,[1]equip.xml!$A:$A,0))=0,0,N2397)</f>
        <v>140</v>
      </c>
      <c r="N2397" s="8">
        <f t="shared" si="2934"/>
        <v>140</v>
      </c>
    </row>
    <row r="2398" spans="1:14">
      <c r="A2398" s="8">
        <f t="shared" si="2931"/>
        <v>30019</v>
      </c>
      <c r="B2398" s="8">
        <v>40000</v>
      </c>
      <c r="C2398" s="8" t="s">
        <v>298</v>
      </c>
      <c r="D2398" s="7">
        <f t="shared" si="2933"/>
        <v>50753055</v>
      </c>
      <c r="E2398" s="8"/>
      <c r="F2398" s="8">
        <v>1</v>
      </c>
      <c r="G2398" s="7">
        <v>456000</v>
      </c>
      <c r="H2398" s="8" t="s">
        <v>299</v>
      </c>
      <c r="I2398" s="8">
        <v>1</v>
      </c>
      <c r="J2398" s="8">
        <v>240</v>
      </c>
      <c r="K2398" s="7" t="s">
        <v>312</v>
      </c>
      <c r="L2398" s="8">
        <v>84</v>
      </c>
      <c r="M2398" s="7">
        <f>IF(INDEX([1]equip.xml!$B:$B,MATCH(D2398,[1]equip.xml!$A:$A,0))=0,0,N2398)</f>
        <v>140</v>
      </c>
      <c r="N2398" s="8">
        <f t="shared" si="2934"/>
        <v>140</v>
      </c>
    </row>
    <row r="2399" spans="1:14">
      <c r="A2399" s="8">
        <f t="shared" si="2931"/>
        <v>30019</v>
      </c>
      <c r="B2399" s="8">
        <v>40000</v>
      </c>
      <c r="C2399" s="8" t="s">
        <v>298</v>
      </c>
      <c r="D2399" s="7">
        <f t="shared" si="2933"/>
        <v>50753056</v>
      </c>
      <c r="E2399" s="8"/>
      <c r="F2399" s="8">
        <v>1</v>
      </c>
      <c r="G2399" s="7">
        <v>474000</v>
      </c>
      <c r="H2399" s="8" t="s">
        <v>299</v>
      </c>
      <c r="I2399" s="8">
        <v>1</v>
      </c>
      <c r="J2399" s="8">
        <v>240</v>
      </c>
      <c r="K2399" s="7" t="s">
        <v>312</v>
      </c>
      <c r="L2399" s="8">
        <v>84</v>
      </c>
      <c r="M2399" s="7">
        <f>IF(INDEX([1]equip.xml!$B:$B,MATCH(D2399,[1]equip.xml!$A:$A,0))=0,0,N2399)</f>
        <v>140</v>
      </c>
      <c r="N2399" s="8">
        <f t="shared" si="2934"/>
        <v>140</v>
      </c>
    </row>
    <row r="2400" spans="1:14">
      <c r="A2400" s="8">
        <f t="shared" si="2931"/>
        <v>30019</v>
      </c>
      <c r="B2400" s="8">
        <v>40000</v>
      </c>
      <c r="C2400" s="8" t="s">
        <v>298</v>
      </c>
      <c r="D2400" s="7">
        <f t="shared" si="2933"/>
        <v>50753065</v>
      </c>
      <c r="E2400" s="8"/>
      <c r="F2400" s="8">
        <v>1</v>
      </c>
      <c r="G2400" s="7">
        <v>456000</v>
      </c>
      <c r="H2400" s="8" t="s">
        <v>299</v>
      </c>
      <c r="I2400" s="8">
        <v>1</v>
      </c>
      <c r="J2400" s="8">
        <v>240</v>
      </c>
      <c r="K2400" s="7" t="s">
        <v>312</v>
      </c>
      <c r="L2400" s="8">
        <v>84</v>
      </c>
      <c r="M2400" s="7">
        <f>IF(INDEX([1]equip.xml!$B:$B,MATCH(D2400,[1]equip.xml!$A:$A,0))=0,0,N2400)</f>
        <v>140</v>
      </c>
      <c r="N2400" s="8">
        <f t="shared" si="2934"/>
        <v>140</v>
      </c>
    </row>
    <row r="2401" spans="1:14">
      <c r="A2401" s="8">
        <f t="shared" ref="A2401:A2464" si="2935">A1873+10000</f>
        <v>30019</v>
      </c>
      <c r="B2401" s="8">
        <v>40000</v>
      </c>
      <c r="C2401" s="8" t="s">
        <v>298</v>
      </c>
      <c r="D2401" s="7">
        <f t="shared" si="2933"/>
        <v>50753066</v>
      </c>
      <c r="E2401" s="8"/>
      <c r="F2401" s="8">
        <v>1</v>
      </c>
      <c r="G2401" s="7">
        <v>474000</v>
      </c>
      <c r="H2401" s="8" t="s">
        <v>299</v>
      </c>
      <c r="I2401" s="8">
        <v>1</v>
      </c>
      <c r="J2401" s="8">
        <v>240</v>
      </c>
      <c r="K2401" s="7" t="s">
        <v>312</v>
      </c>
      <c r="L2401" s="8">
        <v>84</v>
      </c>
      <c r="M2401" s="7">
        <f>IF(INDEX([1]equip.xml!$B:$B,MATCH(D2401,[1]equip.xml!$A:$A,0))=0,0,N2401)</f>
        <v>140</v>
      </c>
      <c r="N2401" s="8">
        <f t="shared" si="2934"/>
        <v>140</v>
      </c>
    </row>
    <row r="2402" spans="1:14">
      <c r="A2402" s="8">
        <f t="shared" si="2935"/>
        <v>30019</v>
      </c>
      <c r="B2402" s="8">
        <v>40000</v>
      </c>
      <c r="C2402" s="8" t="s">
        <v>298</v>
      </c>
      <c r="D2402" s="7">
        <f t="shared" si="2933"/>
        <v>50750045</v>
      </c>
      <c r="E2402" s="8"/>
      <c r="F2402" s="8">
        <v>1</v>
      </c>
      <c r="G2402" s="7">
        <v>456000</v>
      </c>
      <c r="H2402" s="8" t="s">
        <v>299</v>
      </c>
      <c r="I2402" s="8">
        <v>1</v>
      </c>
      <c r="J2402" s="8">
        <v>240</v>
      </c>
      <c r="K2402" s="7" t="s">
        <v>312</v>
      </c>
      <c r="L2402" s="8">
        <v>84</v>
      </c>
      <c r="M2402" s="7">
        <f>IF(INDEX([1]equip.xml!$B:$B,MATCH(D2402,[1]equip.xml!$A:$A,0))=0,0,N2402)</f>
        <v>140</v>
      </c>
      <c r="N2402" s="8">
        <f t="shared" si="2934"/>
        <v>140</v>
      </c>
    </row>
    <row r="2403" spans="1:14">
      <c r="A2403" s="8">
        <f t="shared" si="2935"/>
        <v>30019</v>
      </c>
      <c r="B2403" s="8">
        <v>40000</v>
      </c>
      <c r="C2403" s="8" t="s">
        <v>298</v>
      </c>
      <c r="D2403" s="7">
        <f t="shared" si="2933"/>
        <v>50750046</v>
      </c>
      <c r="E2403" s="8"/>
      <c r="F2403" s="8">
        <v>1</v>
      </c>
      <c r="G2403" s="7">
        <v>474000</v>
      </c>
      <c r="H2403" s="8" t="s">
        <v>299</v>
      </c>
      <c r="I2403" s="8">
        <v>1</v>
      </c>
      <c r="J2403" s="8">
        <v>240</v>
      </c>
      <c r="K2403" s="7" t="s">
        <v>312</v>
      </c>
      <c r="L2403" s="8">
        <v>84</v>
      </c>
      <c r="M2403" s="7">
        <f>IF(INDEX([1]equip.xml!$B:$B,MATCH(D2403,[1]equip.xml!$A:$A,0))=0,0,N2403)</f>
        <v>140</v>
      </c>
      <c r="N2403" s="8">
        <f t="shared" si="2934"/>
        <v>140</v>
      </c>
    </row>
    <row r="2404" spans="1:14">
      <c r="A2404" s="8">
        <f t="shared" si="2935"/>
        <v>30019</v>
      </c>
      <c r="B2404" s="8">
        <v>40000</v>
      </c>
      <c r="C2404" s="8" t="s">
        <v>298</v>
      </c>
      <c r="D2404" s="7">
        <f t="shared" si="2933"/>
        <v>50750075</v>
      </c>
      <c r="E2404" s="8"/>
      <c r="F2404" s="8">
        <v>1</v>
      </c>
      <c r="G2404" s="7">
        <v>456000</v>
      </c>
      <c r="H2404" s="8" t="s">
        <v>299</v>
      </c>
      <c r="I2404" s="8">
        <v>1</v>
      </c>
      <c r="J2404" s="8">
        <v>240</v>
      </c>
      <c r="K2404" s="7" t="s">
        <v>312</v>
      </c>
      <c r="L2404" s="8">
        <v>84</v>
      </c>
      <c r="M2404" s="7">
        <f>IF(INDEX([1]equip.xml!$B:$B,MATCH(D2404,[1]equip.xml!$A:$A,0))=0,0,N2404)</f>
        <v>140</v>
      </c>
      <c r="N2404" s="8">
        <f t="shared" si="2934"/>
        <v>140</v>
      </c>
    </row>
    <row r="2405" spans="1:14">
      <c r="A2405" s="8">
        <f t="shared" si="2935"/>
        <v>30019</v>
      </c>
      <c r="B2405" s="8">
        <v>40000</v>
      </c>
      <c r="C2405" s="8" t="s">
        <v>298</v>
      </c>
      <c r="D2405" s="7">
        <f t="shared" si="2933"/>
        <v>50750076</v>
      </c>
      <c r="E2405" s="8"/>
      <c r="F2405" s="8">
        <v>1</v>
      </c>
      <c r="G2405" s="7">
        <v>474000</v>
      </c>
      <c r="H2405" s="8" t="s">
        <v>299</v>
      </c>
      <c r="I2405" s="8">
        <v>1</v>
      </c>
      <c r="J2405" s="8">
        <v>240</v>
      </c>
      <c r="K2405" s="7" t="s">
        <v>312</v>
      </c>
      <c r="L2405" s="8">
        <v>84</v>
      </c>
      <c r="M2405" s="7">
        <f>IF(INDEX([1]equip.xml!$B:$B,MATCH(D2405,[1]equip.xml!$A:$A,0))=0,0,N2405)</f>
        <v>140</v>
      </c>
      <c r="N2405" s="8">
        <f t="shared" si="2934"/>
        <v>140</v>
      </c>
    </row>
    <row r="2406" spans="1:14">
      <c r="A2406" s="8">
        <f t="shared" si="2935"/>
        <v>30020</v>
      </c>
      <c r="B2406" s="8">
        <v>40000</v>
      </c>
      <c r="C2406" s="8" t="s">
        <v>298</v>
      </c>
      <c r="D2406" s="8">
        <f>D2318+50000</f>
        <v>40750010</v>
      </c>
      <c r="E2406" s="8"/>
      <c r="F2406" s="8">
        <v>1</v>
      </c>
      <c r="G2406" s="7">
        <v>228000</v>
      </c>
      <c r="H2406" s="8" t="s">
        <v>299</v>
      </c>
      <c r="I2406" s="8">
        <v>6</v>
      </c>
      <c r="J2406" s="8">
        <v>50</v>
      </c>
      <c r="K2406" s="7" t="s">
        <v>312</v>
      </c>
      <c r="L2406" s="8">
        <v>88</v>
      </c>
      <c r="M2406" s="7">
        <f>IF(INDEX([1]equip.xml!$B:$B,MATCH(D2406,[1]equip.xml!$A:$A,0))=0,0,N2406)</f>
        <v>100</v>
      </c>
      <c r="N2406" s="8">
        <f>N2318</f>
        <v>100</v>
      </c>
    </row>
    <row r="2407" spans="1:14">
      <c r="A2407" s="8">
        <f t="shared" si="2935"/>
        <v>30020</v>
      </c>
      <c r="B2407" s="8">
        <v>40000</v>
      </c>
      <c r="C2407" s="8" t="s">
        <v>298</v>
      </c>
      <c r="D2407" s="8">
        <f t="shared" ref="D2407:D2449" si="2936">D2319+50000</f>
        <v>40750020</v>
      </c>
      <c r="E2407" s="8"/>
      <c r="F2407" s="8">
        <v>1</v>
      </c>
      <c r="G2407" s="7">
        <v>228000</v>
      </c>
      <c r="H2407" s="8" t="s">
        <v>299</v>
      </c>
      <c r="I2407" s="8">
        <v>6</v>
      </c>
      <c r="J2407" s="8">
        <v>50</v>
      </c>
      <c r="K2407" s="7" t="s">
        <v>312</v>
      </c>
      <c r="L2407" s="8">
        <v>88</v>
      </c>
      <c r="M2407" s="7">
        <f>IF(INDEX([1]equip.xml!$B:$B,MATCH(D2407,[1]equip.xml!$A:$A,0))=0,0,N2407)</f>
        <v>100</v>
      </c>
      <c r="N2407" s="8">
        <f t="shared" ref="N2407:N2427" si="2937">N2319</f>
        <v>100</v>
      </c>
    </row>
    <row r="2408" spans="1:14">
      <c r="A2408" s="8">
        <f t="shared" si="2935"/>
        <v>30020</v>
      </c>
      <c r="B2408" s="8">
        <v>40000</v>
      </c>
      <c r="C2408" s="8" t="s">
        <v>298</v>
      </c>
      <c r="D2408" s="8">
        <f t="shared" si="2936"/>
        <v>40750030</v>
      </c>
      <c r="E2408" s="8"/>
      <c r="F2408" s="8">
        <v>1</v>
      </c>
      <c r="G2408" s="7">
        <v>228000</v>
      </c>
      <c r="H2408" s="8" t="s">
        <v>299</v>
      </c>
      <c r="I2408" s="8">
        <v>6</v>
      </c>
      <c r="J2408" s="8">
        <v>50</v>
      </c>
      <c r="K2408" s="7" t="s">
        <v>312</v>
      </c>
      <c r="L2408" s="8">
        <v>88</v>
      </c>
      <c r="M2408" s="7">
        <f>IF(INDEX([1]equip.xml!$B:$B,MATCH(D2408,[1]equip.xml!$A:$A,0))=0,0,N2408)</f>
        <v>100</v>
      </c>
      <c r="N2408" s="8">
        <f t="shared" si="2937"/>
        <v>100</v>
      </c>
    </row>
    <row r="2409" spans="1:14">
      <c r="A2409" s="8">
        <f t="shared" si="2935"/>
        <v>30020</v>
      </c>
      <c r="B2409" s="8">
        <v>40000</v>
      </c>
      <c r="C2409" s="8" t="s">
        <v>298</v>
      </c>
      <c r="D2409" s="8">
        <f t="shared" si="2936"/>
        <v>40750080</v>
      </c>
      <c r="E2409" s="8"/>
      <c r="F2409" s="8">
        <v>1</v>
      </c>
      <c r="G2409" s="7">
        <v>228000</v>
      </c>
      <c r="H2409" s="8" t="s">
        <v>299</v>
      </c>
      <c r="I2409" s="8">
        <v>6</v>
      </c>
      <c r="J2409" s="8">
        <v>50</v>
      </c>
      <c r="K2409" s="7" t="s">
        <v>312</v>
      </c>
      <c r="L2409" s="8">
        <v>88</v>
      </c>
      <c r="M2409" s="7">
        <f>IF(INDEX([1]equip.xml!$B:$B,MATCH(D2409,[1]equip.xml!$A:$A,0))=0,0,N2409)</f>
        <v>100</v>
      </c>
      <c r="N2409" s="8">
        <f t="shared" si="2937"/>
        <v>100</v>
      </c>
    </row>
    <row r="2410" spans="1:14">
      <c r="A2410" s="8">
        <f t="shared" si="2935"/>
        <v>30020</v>
      </c>
      <c r="B2410" s="8">
        <v>40000</v>
      </c>
      <c r="C2410" s="8" t="s">
        <v>298</v>
      </c>
      <c r="D2410" s="8">
        <f t="shared" si="2936"/>
        <v>40750090</v>
      </c>
      <c r="E2410" s="8"/>
      <c r="F2410" s="8">
        <v>1</v>
      </c>
      <c r="G2410" s="7">
        <v>228000</v>
      </c>
      <c r="H2410" s="8" t="s">
        <v>299</v>
      </c>
      <c r="I2410" s="8">
        <v>6</v>
      </c>
      <c r="J2410" s="8">
        <v>50</v>
      </c>
      <c r="K2410" s="7" t="s">
        <v>312</v>
      </c>
      <c r="L2410" s="8">
        <v>88</v>
      </c>
      <c r="M2410" s="7">
        <f>IF(INDEX([1]equip.xml!$B:$B,MATCH(D2410,[1]equip.xml!$A:$A,0))=0,0,N2410)</f>
        <v>100</v>
      </c>
      <c r="N2410" s="8">
        <f t="shared" si="2937"/>
        <v>100</v>
      </c>
    </row>
    <row r="2411" spans="1:14">
      <c r="A2411" s="8">
        <f t="shared" si="2935"/>
        <v>30020</v>
      </c>
      <c r="B2411" s="8">
        <v>40000</v>
      </c>
      <c r="C2411" s="8" t="s">
        <v>298</v>
      </c>
      <c r="D2411" s="8">
        <f t="shared" si="2936"/>
        <v>40750100</v>
      </c>
      <c r="E2411" s="8"/>
      <c r="F2411" s="8">
        <v>1</v>
      </c>
      <c r="G2411" s="7">
        <v>228000</v>
      </c>
      <c r="H2411" s="8" t="s">
        <v>299</v>
      </c>
      <c r="I2411" s="8">
        <v>6</v>
      </c>
      <c r="J2411" s="8">
        <v>50</v>
      </c>
      <c r="K2411" s="7" t="s">
        <v>312</v>
      </c>
      <c r="L2411" s="8">
        <v>88</v>
      </c>
      <c r="M2411" s="7">
        <f>IF(INDEX([1]equip.xml!$B:$B,MATCH(D2411,[1]equip.xml!$A:$A,0))=0,0,N2411)</f>
        <v>100</v>
      </c>
      <c r="N2411" s="8">
        <f t="shared" si="2937"/>
        <v>100</v>
      </c>
    </row>
    <row r="2412" spans="1:14">
      <c r="A2412" s="8">
        <f t="shared" si="2935"/>
        <v>30020</v>
      </c>
      <c r="B2412" s="8">
        <v>40000</v>
      </c>
      <c r="C2412" s="8" t="s">
        <v>298</v>
      </c>
      <c r="D2412" s="8">
        <f t="shared" si="2936"/>
        <v>40751050</v>
      </c>
      <c r="E2412" s="8"/>
      <c r="F2412" s="8">
        <v>1</v>
      </c>
      <c r="G2412" s="7">
        <v>228000</v>
      </c>
      <c r="H2412" s="8" t="s">
        <v>299</v>
      </c>
      <c r="I2412" s="8">
        <v>6</v>
      </c>
      <c r="J2412" s="8">
        <v>50</v>
      </c>
      <c r="K2412" s="7" t="s">
        <v>312</v>
      </c>
      <c r="L2412" s="8">
        <v>88</v>
      </c>
      <c r="M2412" s="7">
        <f>IF(INDEX([1]equip.xml!$B:$B,MATCH(D2412,[1]equip.xml!$A:$A,0))=0,0,N2412)</f>
        <v>100</v>
      </c>
      <c r="N2412" s="8">
        <f t="shared" si="2937"/>
        <v>100</v>
      </c>
    </row>
    <row r="2413" spans="1:14">
      <c r="A2413" s="8">
        <f t="shared" si="2935"/>
        <v>30020</v>
      </c>
      <c r="B2413" s="8">
        <v>40000</v>
      </c>
      <c r="C2413" s="8" t="s">
        <v>298</v>
      </c>
      <c r="D2413" s="8">
        <f t="shared" si="2936"/>
        <v>40751051</v>
      </c>
      <c r="E2413" s="8"/>
      <c r="F2413" s="8">
        <v>1</v>
      </c>
      <c r="G2413" s="7">
        <v>237000</v>
      </c>
      <c r="H2413" s="8" t="s">
        <v>299</v>
      </c>
      <c r="I2413" s="8">
        <v>6</v>
      </c>
      <c r="J2413" s="8">
        <v>50</v>
      </c>
      <c r="K2413" s="7" t="s">
        <v>312</v>
      </c>
      <c r="L2413" s="8">
        <v>88</v>
      </c>
      <c r="M2413" s="7">
        <f>IF(INDEX([1]equip.xml!$B:$B,MATCH(D2413,[1]equip.xml!$A:$A,0))=0,0,N2413)</f>
        <v>100</v>
      </c>
      <c r="N2413" s="8">
        <f t="shared" si="2937"/>
        <v>100</v>
      </c>
    </row>
    <row r="2414" spans="1:14">
      <c r="A2414" s="8">
        <f t="shared" si="2935"/>
        <v>30020</v>
      </c>
      <c r="B2414" s="8">
        <v>40000</v>
      </c>
      <c r="C2414" s="8" t="s">
        <v>298</v>
      </c>
      <c r="D2414" s="8">
        <f t="shared" si="2936"/>
        <v>40751060</v>
      </c>
      <c r="E2414" s="8"/>
      <c r="F2414" s="8">
        <v>1</v>
      </c>
      <c r="G2414" s="7">
        <v>228000</v>
      </c>
      <c r="H2414" s="8" t="s">
        <v>299</v>
      </c>
      <c r="I2414" s="8">
        <v>6</v>
      </c>
      <c r="J2414" s="8">
        <v>50</v>
      </c>
      <c r="K2414" s="7" t="s">
        <v>312</v>
      </c>
      <c r="L2414" s="8">
        <v>88</v>
      </c>
      <c r="M2414" s="7">
        <f>IF(INDEX([1]equip.xml!$B:$B,MATCH(D2414,[1]equip.xml!$A:$A,0))=0,0,N2414)</f>
        <v>100</v>
      </c>
      <c r="N2414" s="8">
        <f t="shared" si="2937"/>
        <v>100</v>
      </c>
    </row>
    <row r="2415" spans="1:14">
      <c r="A2415" s="8">
        <f t="shared" si="2935"/>
        <v>30020</v>
      </c>
      <c r="B2415" s="8">
        <v>40000</v>
      </c>
      <c r="C2415" s="8" t="s">
        <v>298</v>
      </c>
      <c r="D2415" s="8">
        <f t="shared" si="2936"/>
        <v>40751061</v>
      </c>
      <c r="E2415" s="8"/>
      <c r="F2415" s="8">
        <v>1</v>
      </c>
      <c r="G2415" s="7">
        <v>237000</v>
      </c>
      <c r="H2415" s="8" t="s">
        <v>299</v>
      </c>
      <c r="I2415" s="8">
        <v>6</v>
      </c>
      <c r="J2415" s="8">
        <v>50</v>
      </c>
      <c r="K2415" s="7" t="s">
        <v>312</v>
      </c>
      <c r="L2415" s="8">
        <v>88</v>
      </c>
      <c r="M2415" s="7">
        <f>IF(INDEX([1]equip.xml!$B:$B,MATCH(D2415,[1]equip.xml!$A:$A,0))=0,0,N2415)</f>
        <v>100</v>
      </c>
      <c r="N2415" s="8">
        <f t="shared" si="2937"/>
        <v>100</v>
      </c>
    </row>
    <row r="2416" spans="1:14">
      <c r="A2416" s="8">
        <f t="shared" si="2935"/>
        <v>30020</v>
      </c>
      <c r="B2416" s="8">
        <v>40000</v>
      </c>
      <c r="C2416" s="8" t="s">
        <v>298</v>
      </c>
      <c r="D2416" s="8">
        <f t="shared" si="2936"/>
        <v>40752050</v>
      </c>
      <c r="E2416" s="8"/>
      <c r="F2416" s="8">
        <v>1</v>
      </c>
      <c r="G2416" s="7">
        <v>228000</v>
      </c>
      <c r="H2416" s="8" t="s">
        <v>299</v>
      </c>
      <c r="I2416" s="8">
        <v>6</v>
      </c>
      <c r="J2416" s="8">
        <v>50</v>
      </c>
      <c r="K2416" s="7" t="s">
        <v>312</v>
      </c>
      <c r="L2416" s="8">
        <v>88</v>
      </c>
      <c r="M2416" s="7">
        <f>IF(INDEX([1]equip.xml!$B:$B,MATCH(D2416,[1]equip.xml!$A:$A,0))=0,0,N2416)</f>
        <v>100</v>
      </c>
      <c r="N2416" s="8">
        <f t="shared" si="2937"/>
        <v>100</v>
      </c>
    </row>
    <row r="2417" spans="1:14">
      <c r="A2417" s="8">
        <f t="shared" si="2935"/>
        <v>30020</v>
      </c>
      <c r="B2417" s="8">
        <v>40000</v>
      </c>
      <c r="C2417" s="8" t="s">
        <v>298</v>
      </c>
      <c r="D2417" s="8">
        <f t="shared" si="2936"/>
        <v>40752051</v>
      </c>
      <c r="E2417" s="8"/>
      <c r="F2417" s="8">
        <v>1</v>
      </c>
      <c r="G2417" s="7">
        <v>237000</v>
      </c>
      <c r="H2417" s="8" t="s">
        <v>299</v>
      </c>
      <c r="I2417" s="8">
        <v>6</v>
      </c>
      <c r="J2417" s="8">
        <v>50</v>
      </c>
      <c r="K2417" s="7" t="s">
        <v>312</v>
      </c>
      <c r="L2417" s="8">
        <v>88</v>
      </c>
      <c r="M2417" s="7">
        <f>IF(INDEX([1]equip.xml!$B:$B,MATCH(D2417,[1]equip.xml!$A:$A,0))=0,0,N2417)</f>
        <v>100</v>
      </c>
      <c r="N2417" s="8">
        <f t="shared" si="2937"/>
        <v>100</v>
      </c>
    </row>
    <row r="2418" spans="1:14">
      <c r="A2418" s="8">
        <f t="shared" si="2935"/>
        <v>30020</v>
      </c>
      <c r="B2418" s="8">
        <v>40000</v>
      </c>
      <c r="C2418" s="8" t="s">
        <v>298</v>
      </c>
      <c r="D2418" s="8">
        <f t="shared" si="2936"/>
        <v>40752060</v>
      </c>
      <c r="E2418" s="8"/>
      <c r="F2418" s="8">
        <v>1</v>
      </c>
      <c r="G2418" s="7">
        <v>228000</v>
      </c>
      <c r="H2418" s="8" t="s">
        <v>299</v>
      </c>
      <c r="I2418" s="8">
        <v>6</v>
      </c>
      <c r="J2418" s="8">
        <v>50</v>
      </c>
      <c r="K2418" s="7" t="s">
        <v>312</v>
      </c>
      <c r="L2418" s="8">
        <v>88</v>
      </c>
      <c r="M2418" s="7">
        <f>IF(INDEX([1]equip.xml!$B:$B,MATCH(D2418,[1]equip.xml!$A:$A,0))=0,0,N2418)</f>
        <v>100</v>
      </c>
      <c r="N2418" s="8">
        <f t="shared" si="2937"/>
        <v>100</v>
      </c>
    </row>
    <row r="2419" spans="1:14">
      <c r="A2419" s="8">
        <f t="shared" si="2935"/>
        <v>30020</v>
      </c>
      <c r="B2419" s="8">
        <v>40000</v>
      </c>
      <c r="C2419" s="8" t="s">
        <v>298</v>
      </c>
      <c r="D2419" s="8">
        <f t="shared" si="2936"/>
        <v>40752061</v>
      </c>
      <c r="E2419" s="8"/>
      <c r="F2419" s="8">
        <v>1</v>
      </c>
      <c r="G2419" s="7">
        <v>237000</v>
      </c>
      <c r="H2419" s="8" t="s">
        <v>299</v>
      </c>
      <c r="I2419" s="8">
        <v>6</v>
      </c>
      <c r="J2419" s="8">
        <v>50</v>
      </c>
      <c r="K2419" s="7" t="s">
        <v>312</v>
      </c>
      <c r="L2419" s="8">
        <v>88</v>
      </c>
      <c r="M2419" s="7">
        <f>IF(INDEX([1]equip.xml!$B:$B,MATCH(D2419,[1]equip.xml!$A:$A,0))=0,0,N2419)</f>
        <v>100</v>
      </c>
      <c r="N2419" s="8">
        <f t="shared" si="2937"/>
        <v>100</v>
      </c>
    </row>
    <row r="2420" spans="1:14">
      <c r="A2420" s="8">
        <f t="shared" si="2935"/>
        <v>30020</v>
      </c>
      <c r="B2420" s="8">
        <v>40000</v>
      </c>
      <c r="C2420" s="8" t="s">
        <v>298</v>
      </c>
      <c r="D2420" s="8">
        <f t="shared" si="2936"/>
        <v>40753050</v>
      </c>
      <c r="E2420" s="8"/>
      <c r="F2420" s="8">
        <v>1</v>
      </c>
      <c r="G2420" s="7">
        <v>228000</v>
      </c>
      <c r="H2420" s="8" t="s">
        <v>299</v>
      </c>
      <c r="I2420" s="8">
        <v>6</v>
      </c>
      <c r="J2420" s="8">
        <v>50</v>
      </c>
      <c r="K2420" s="7" t="s">
        <v>312</v>
      </c>
      <c r="L2420" s="8">
        <v>88</v>
      </c>
      <c r="M2420" s="7">
        <f>IF(INDEX([1]equip.xml!$B:$B,MATCH(D2420,[1]equip.xml!$A:$A,0))=0,0,N2420)</f>
        <v>100</v>
      </c>
      <c r="N2420" s="8">
        <f t="shared" si="2937"/>
        <v>100</v>
      </c>
    </row>
    <row r="2421" spans="1:14">
      <c r="A2421" s="8">
        <f t="shared" si="2935"/>
        <v>30020</v>
      </c>
      <c r="B2421" s="8">
        <v>40000</v>
      </c>
      <c r="C2421" s="8" t="s">
        <v>298</v>
      </c>
      <c r="D2421" s="8">
        <f t="shared" si="2936"/>
        <v>40753051</v>
      </c>
      <c r="E2421" s="8"/>
      <c r="F2421" s="8">
        <v>1</v>
      </c>
      <c r="G2421" s="7">
        <v>237000</v>
      </c>
      <c r="H2421" s="8" t="s">
        <v>299</v>
      </c>
      <c r="I2421" s="8">
        <v>6</v>
      </c>
      <c r="J2421" s="8">
        <v>50</v>
      </c>
      <c r="K2421" s="7" t="s">
        <v>312</v>
      </c>
      <c r="L2421" s="8">
        <v>88</v>
      </c>
      <c r="M2421" s="7">
        <f>IF(INDEX([1]equip.xml!$B:$B,MATCH(D2421,[1]equip.xml!$A:$A,0))=0,0,N2421)</f>
        <v>100</v>
      </c>
      <c r="N2421" s="8">
        <f t="shared" si="2937"/>
        <v>100</v>
      </c>
    </row>
    <row r="2422" spans="1:14">
      <c r="A2422" s="8">
        <f t="shared" si="2935"/>
        <v>30020</v>
      </c>
      <c r="B2422" s="8">
        <v>40000</v>
      </c>
      <c r="C2422" s="8" t="s">
        <v>298</v>
      </c>
      <c r="D2422" s="8">
        <f t="shared" si="2936"/>
        <v>40753060</v>
      </c>
      <c r="E2422" s="8"/>
      <c r="F2422" s="8">
        <v>1</v>
      </c>
      <c r="G2422" s="7">
        <v>228000</v>
      </c>
      <c r="H2422" s="8" t="s">
        <v>299</v>
      </c>
      <c r="I2422" s="8">
        <v>6</v>
      </c>
      <c r="J2422" s="8">
        <v>50</v>
      </c>
      <c r="K2422" s="7" t="s">
        <v>312</v>
      </c>
      <c r="L2422" s="8">
        <v>88</v>
      </c>
      <c r="M2422" s="7">
        <f>IF(INDEX([1]equip.xml!$B:$B,MATCH(D2422,[1]equip.xml!$A:$A,0))=0,0,N2422)</f>
        <v>100</v>
      </c>
      <c r="N2422" s="8">
        <f t="shared" si="2937"/>
        <v>100</v>
      </c>
    </row>
    <row r="2423" spans="1:14">
      <c r="A2423" s="8">
        <f t="shared" si="2935"/>
        <v>30020</v>
      </c>
      <c r="B2423" s="8">
        <v>40000</v>
      </c>
      <c r="C2423" s="8" t="s">
        <v>298</v>
      </c>
      <c r="D2423" s="8">
        <f t="shared" si="2936"/>
        <v>40753061</v>
      </c>
      <c r="E2423" s="8"/>
      <c r="F2423" s="8">
        <v>1</v>
      </c>
      <c r="G2423" s="7">
        <v>237000</v>
      </c>
      <c r="H2423" s="8" t="s">
        <v>299</v>
      </c>
      <c r="I2423" s="8">
        <v>6</v>
      </c>
      <c r="J2423" s="8">
        <v>50</v>
      </c>
      <c r="K2423" s="7" t="s">
        <v>312</v>
      </c>
      <c r="L2423" s="8">
        <v>88</v>
      </c>
      <c r="M2423" s="7">
        <f>IF(INDEX([1]equip.xml!$B:$B,MATCH(D2423,[1]equip.xml!$A:$A,0))=0,0,N2423)</f>
        <v>100</v>
      </c>
      <c r="N2423" s="8">
        <f t="shared" si="2937"/>
        <v>100</v>
      </c>
    </row>
    <row r="2424" spans="1:14">
      <c r="A2424" s="8">
        <f t="shared" si="2935"/>
        <v>30020</v>
      </c>
      <c r="B2424" s="8">
        <v>40000</v>
      </c>
      <c r="C2424" s="8" t="s">
        <v>298</v>
      </c>
      <c r="D2424" s="8">
        <f t="shared" si="2936"/>
        <v>40750040</v>
      </c>
      <c r="E2424" s="8"/>
      <c r="F2424" s="8">
        <v>1</v>
      </c>
      <c r="G2424" s="7">
        <v>228000</v>
      </c>
      <c r="H2424" s="8" t="s">
        <v>299</v>
      </c>
      <c r="I2424" s="8">
        <v>6</v>
      </c>
      <c r="J2424" s="8">
        <v>50</v>
      </c>
      <c r="K2424" s="7" t="s">
        <v>312</v>
      </c>
      <c r="L2424" s="8">
        <v>88</v>
      </c>
      <c r="M2424" s="7">
        <f>IF(INDEX([1]equip.xml!$B:$B,MATCH(D2424,[1]equip.xml!$A:$A,0))=0,0,N2424)</f>
        <v>100</v>
      </c>
      <c r="N2424" s="8">
        <f t="shared" si="2937"/>
        <v>100</v>
      </c>
    </row>
    <row r="2425" spans="1:14">
      <c r="A2425" s="8">
        <f t="shared" si="2935"/>
        <v>30020</v>
      </c>
      <c r="B2425" s="8">
        <v>40000</v>
      </c>
      <c r="C2425" s="8" t="s">
        <v>298</v>
      </c>
      <c r="D2425" s="8">
        <f t="shared" si="2936"/>
        <v>40750041</v>
      </c>
      <c r="E2425" s="8"/>
      <c r="F2425" s="8">
        <v>1</v>
      </c>
      <c r="G2425" s="7">
        <v>237000</v>
      </c>
      <c r="H2425" s="8" t="s">
        <v>299</v>
      </c>
      <c r="I2425" s="8">
        <v>6</v>
      </c>
      <c r="J2425" s="8">
        <v>50</v>
      </c>
      <c r="K2425" s="7" t="s">
        <v>312</v>
      </c>
      <c r="L2425" s="8">
        <v>88</v>
      </c>
      <c r="M2425" s="7">
        <f>IF(INDEX([1]equip.xml!$B:$B,MATCH(D2425,[1]equip.xml!$A:$A,0))=0,0,N2425)</f>
        <v>100</v>
      </c>
      <c r="N2425" s="8">
        <f t="shared" si="2937"/>
        <v>100</v>
      </c>
    </row>
    <row r="2426" spans="1:14">
      <c r="A2426" s="8">
        <f t="shared" si="2935"/>
        <v>30020</v>
      </c>
      <c r="B2426" s="8">
        <v>40000</v>
      </c>
      <c r="C2426" s="8" t="s">
        <v>298</v>
      </c>
      <c r="D2426" s="8">
        <f t="shared" si="2936"/>
        <v>40750070</v>
      </c>
      <c r="E2426" s="8"/>
      <c r="F2426" s="8">
        <v>1</v>
      </c>
      <c r="G2426" s="7">
        <v>228000</v>
      </c>
      <c r="H2426" s="8" t="s">
        <v>299</v>
      </c>
      <c r="I2426" s="8">
        <v>6</v>
      </c>
      <c r="J2426" s="8">
        <v>50</v>
      </c>
      <c r="K2426" s="7" t="s">
        <v>312</v>
      </c>
      <c r="L2426" s="8">
        <v>88</v>
      </c>
      <c r="M2426" s="7">
        <f>IF(INDEX([1]equip.xml!$B:$B,MATCH(D2426,[1]equip.xml!$A:$A,0))=0,0,N2426)</f>
        <v>100</v>
      </c>
      <c r="N2426" s="8">
        <f t="shared" si="2937"/>
        <v>100</v>
      </c>
    </row>
    <row r="2427" spans="1:14">
      <c r="A2427" s="8">
        <f t="shared" si="2935"/>
        <v>30020</v>
      </c>
      <c r="B2427" s="8">
        <v>40000</v>
      </c>
      <c r="C2427" s="8" t="s">
        <v>298</v>
      </c>
      <c r="D2427" s="8">
        <f t="shared" si="2936"/>
        <v>40750071</v>
      </c>
      <c r="E2427" s="8"/>
      <c r="F2427" s="8">
        <v>1</v>
      </c>
      <c r="G2427" s="7">
        <v>237000</v>
      </c>
      <c r="H2427" s="8" t="s">
        <v>299</v>
      </c>
      <c r="I2427" s="8">
        <v>6</v>
      </c>
      <c r="J2427" s="8">
        <v>50</v>
      </c>
      <c r="K2427" s="7" t="s">
        <v>312</v>
      </c>
      <c r="L2427" s="8">
        <v>88</v>
      </c>
      <c r="M2427" s="7">
        <f>IF(INDEX([1]equip.xml!$B:$B,MATCH(D2427,[1]equip.xml!$A:$A,0))=0,0,N2427)</f>
        <v>100</v>
      </c>
      <c r="N2427" s="8">
        <f t="shared" si="2937"/>
        <v>100</v>
      </c>
    </row>
    <row r="2428" spans="1:14">
      <c r="A2428" s="8">
        <f t="shared" si="2935"/>
        <v>30020</v>
      </c>
      <c r="B2428" s="8">
        <v>40000</v>
      </c>
      <c r="C2428" s="8" t="s">
        <v>298</v>
      </c>
      <c r="D2428" s="8">
        <f t="shared" si="2936"/>
        <v>40800010</v>
      </c>
      <c r="E2428" s="8"/>
      <c r="F2428" s="8">
        <v>1</v>
      </c>
      <c r="G2428" s="7">
        <v>246000</v>
      </c>
      <c r="H2428" s="8" t="s">
        <v>299</v>
      </c>
      <c r="I2428" s="8">
        <v>6</v>
      </c>
      <c r="J2428" s="8">
        <v>50</v>
      </c>
      <c r="K2428" s="7" t="s">
        <v>312</v>
      </c>
      <c r="L2428" s="8">
        <v>88</v>
      </c>
      <c r="M2428" s="7">
        <f>IF(INDEX([1]equip.xml!$B:$B,MATCH(D2428,[1]equip.xml!$A:$A,0))=0,0,N2428)</f>
        <v>35</v>
      </c>
      <c r="N2428" s="8">
        <v>35</v>
      </c>
    </row>
    <row r="2429" spans="1:14">
      <c r="A2429" s="8">
        <f t="shared" si="2935"/>
        <v>30020</v>
      </c>
      <c r="B2429" s="8">
        <v>40000</v>
      </c>
      <c r="C2429" s="8" t="s">
        <v>298</v>
      </c>
      <c r="D2429" s="8">
        <f t="shared" si="2936"/>
        <v>40800020</v>
      </c>
      <c r="E2429" s="8"/>
      <c r="F2429" s="8">
        <v>1</v>
      </c>
      <c r="G2429" s="7">
        <v>246000</v>
      </c>
      <c r="H2429" s="8" t="s">
        <v>299</v>
      </c>
      <c r="I2429" s="8">
        <v>6</v>
      </c>
      <c r="J2429" s="8">
        <v>50</v>
      </c>
      <c r="K2429" s="7" t="s">
        <v>312</v>
      </c>
      <c r="L2429" s="8">
        <v>88</v>
      </c>
      <c r="M2429" s="7">
        <f>IF(INDEX([1]equip.xml!$B:$B,MATCH(D2429,[1]equip.xml!$A:$A,0))=0,0,N2429)</f>
        <v>35</v>
      </c>
      <c r="N2429" s="8">
        <v>35</v>
      </c>
    </row>
    <row r="2430" spans="1:14">
      <c r="A2430" s="8">
        <f t="shared" si="2935"/>
        <v>30020</v>
      </c>
      <c r="B2430" s="8">
        <v>40000</v>
      </c>
      <c r="C2430" s="8" t="s">
        <v>298</v>
      </c>
      <c r="D2430" s="8">
        <f t="shared" si="2936"/>
        <v>40800030</v>
      </c>
      <c r="E2430" s="8"/>
      <c r="F2430" s="8">
        <v>1</v>
      </c>
      <c r="G2430" s="7">
        <v>246000</v>
      </c>
      <c r="H2430" s="8" t="s">
        <v>299</v>
      </c>
      <c r="I2430" s="8">
        <v>6</v>
      </c>
      <c r="J2430" s="8">
        <v>50</v>
      </c>
      <c r="K2430" s="7" t="s">
        <v>312</v>
      </c>
      <c r="L2430" s="8">
        <v>88</v>
      </c>
      <c r="M2430" s="7">
        <f>IF(INDEX([1]equip.xml!$B:$B,MATCH(D2430,[1]equip.xml!$A:$A,0))=0,0,N2430)</f>
        <v>35</v>
      </c>
      <c r="N2430" s="8">
        <v>35</v>
      </c>
    </row>
    <row r="2431" spans="1:14">
      <c r="A2431" s="8">
        <f t="shared" si="2935"/>
        <v>30020</v>
      </c>
      <c r="B2431" s="8">
        <v>40000</v>
      </c>
      <c r="C2431" s="8" t="s">
        <v>298</v>
      </c>
      <c r="D2431" s="8">
        <f t="shared" si="2936"/>
        <v>40800080</v>
      </c>
      <c r="E2431" s="8"/>
      <c r="F2431" s="8">
        <v>1</v>
      </c>
      <c r="G2431" s="7">
        <v>246000</v>
      </c>
      <c r="H2431" s="8" t="s">
        <v>299</v>
      </c>
      <c r="I2431" s="8">
        <v>6</v>
      </c>
      <c r="J2431" s="8">
        <v>50</v>
      </c>
      <c r="K2431" s="7" t="s">
        <v>312</v>
      </c>
      <c r="L2431" s="8">
        <v>88</v>
      </c>
      <c r="M2431" s="7">
        <f>IF(INDEX([1]equip.xml!$B:$B,MATCH(D2431,[1]equip.xml!$A:$A,0))=0,0,N2431)</f>
        <v>35</v>
      </c>
      <c r="N2431" s="8">
        <v>35</v>
      </c>
    </row>
    <row r="2432" spans="1:14">
      <c r="A2432" s="8">
        <f t="shared" si="2935"/>
        <v>30020</v>
      </c>
      <c r="B2432" s="8">
        <v>40000</v>
      </c>
      <c r="C2432" s="8" t="s">
        <v>298</v>
      </c>
      <c r="D2432" s="8">
        <f t="shared" si="2936"/>
        <v>40800090</v>
      </c>
      <c r="E2432" s="8"/>
      <c r="F2432" s="8">
        <v>1</v>
      </c>
      <c r="G2432" s="7">
        <v>246000</v>
      </c>
      <c r="H2432" s="8" t="s">
        <v>299</v>
      </c>
      <c r="I2432" s="8">
        <v>6</v>
      </c>
      <c r="J2432" s="8">
        <v>50</v>
      </c>
      <c r="K2432" s="7" t="s">
        <v>312</v>
      </c>
      <c r="L2432" s="8">
        <v>88</v>
      </c>
      <c r="M2432" s="7">
        <f>IF(INDEX([1]equip.xml!$B:$B,MATCH(D2432,[1]equip.xml!$A:$A,0))=0,0,N2432)</f>
        <v>35</v>
      </c>
      <c r="N2432" s="8">
        <v>35</v>
      </c>
    </row>
    <row r="2433" spans="1:14">
      <c r="A2433" s="8">
        <f t="shared" si="2935"/>
        <v>30020</v>
      </c>
      <c r="B2433" s="8">
        <v>40000</v>
      </c>
      <c r="C2433" s="8" t="s">
        <v>298</v>
      </c>
      <c r="D2433" s="8">
        <f t="shared" si="2936"/>
        <v>40800100</v>
      </c>
      <c r="E2433" s="8"/>
      <c r="F2433" s="8">
        <v>1</v>
      </c>
      <c r="G2433" s="7">
        <v>246000</v>
      </c>
      <c r="H2433" s="8" t="s">
        <v>299</v>
      </c>
      <c r="I2433" s="8">
        <v>6</v>
      </c>
      <c r="J2433" s="8">
        <v>50</v>
      </c>
      <c r="K2433" s="7" t="s">
        <v>312</v>
      </c>
      <c r="L2433" s="8">
        <v>88</v>
      </c>
      <c r="M2433" s="7">
        <f>IF(INDEX([1]equip.xml!$B:$B,MATCH(D2433,[1]equip.xml!$A:$A,0))=0,0,N2433)</f>
        <v>35</v>
      </c>
      <c r="N2433" s="8">
        <v>35</v>
      </c>
    </row>
    <row r="2434" spans="1:14">
      <c r="A2434" s="8">
        <f t="shared" si="2935"/>
        <v>30020</v>
      </c>
      <c r="B2434" s="8">
        <v>40000</v>
      </c>
      <c r="C2434" s="8" t="s">
        <v>298</v>
      </c>
      <c r="D2434" s="8">
        <f t="shared" si="2936"/>
        <v>40801050</v>
      </c>
      <c r="E2434" s="8"/>
      <c r="F2434" s="8">
        <v>1</v>
      </c>
      <c r="G2434" s="7">
        <v>246000</v>
      </c>
      <c r="H2434" s="8" t="s">
        <v>299</v>
      </c>
      <c r="I2434" s="8">
        <v>6</v>
      </c>
      <c r="J2434" s="8">
        <v>50</v>
      </c>
      <c r="K2434" s="7" t="s">
        <v>312</v>
      </c>
      <c r="L2434" s="8">
        <v>88</v>
      </c>
      <c r="M2434" s="7">
        <f>IF(INDEX([1]equip.xml!$B:$B,MATCH(D2434,[1]equip.xml!$A:$A,0))=0,0,N2434)</f>
        <v>35</v>
      </c>
      <c r="N2434" s="8">
        <v>35</v>
      </c>
    </row>
    <row r="2435" spans="1:14">
      <c r="A2435" s="8">
        <f t="shared" si="2935"/>
        <v>30020</v>
      </c>
      <c r="B2435" s="8">
        <v>40000</v>
      </c>
      <c r="C2435" s="8" t="s">
        <v>298</v>
      </c>
      <c r="D2435" s="8">
        <f t="shared" si="2936"/>
        <v>40801051</v>
      </c>
      <c r="E2435" s="8"/>
      <c r="F2435" s="8">
        <v>1</v>
      </c>
      <c r="G2435" s="7">
        <v>255000</v>
      </c>
      <c r="H2435" s="8" t="s">
        <v>299</v>
      </c>
      <c r="I2435" s="8">
        <v>6</v>
      </c>
      <c r="J2435" s="8">
        <v>50</v>
      </c>
      <c r="K2435" s="7" t="s">
        <v>312</v>
      </c>
      <c r="L2435" s="8">
        <v>88</v>
      </c>
      <c r="M2435" s="7">
        <f>IF(INDEX([1]equip.xml!$B:$B,MATCH(D2435,[1]equip.xml!$A:$A,0))=0,0,N2435)</f>
        <v>35</v>
      </c>
      <c r="N2435" s="8">
        <v>35</v>
      </c>
    </row>
    <row r="2436" spans="1:14">
      <c r="A2436" s="8">
        <f t="shared" si="2935"/>
        <v>30020</v>
      </c>
      <c r="B2436" s="8">
        <v>40000</v>
      </c>
      <c r="C2436" s="8" t="s">
        <v>298</v>
      </c>
      <c r="D2436" s="8">
        <f t="shared" si="2936"/>
        <v>40801060</v>
      </c>
      <c r="E2436" s="8"/>
      <c r="F2436" s="8">
        <v>1</v>
      </c>
      <c r="G2436" s="7">
        <v>246000</v>
      </c>
      <c r="H2436" s="8" t="s">
        <v>299</v>
      </c>
      <c r="I2436" s="8">
        <v>6</v>
      </c>
      <c r="J2436" s="8">
        <v>50</v>
      </c>
      <c r="K2436" s="7" t="s">
        <v>312</v>
      </c>
      <c r="L2436" s="8">
        <v>88</v>
      </c>
      <c r="M2436" s="7">
        <f>IF(INDEX([1]equip.xml!$B:$B,MATCH(D2436,[1]equip.xml!$A:$A,0))=0,0,N2436)</f>
        <v>35</v>
      </c>
      <c r="N2436" s="8">
        <v>35</v>
      </c>
    </row>
    <row r="2437" spans="1:14">
      <c r="A2437" s="8">
        <f t="shared" si="2935"/>
        <v>30020</v>
      </c>
      <c r="B2437" s="8">
        <v>40000</v>
      </c>
      <c r="C2437" s="8" t="s">
        <v>298</v>
      </c>
      <c r="D2437" s="8">
        <f t="shared" si="2936"/>
        <v>40801061</v>
      </c>
      <c r="E2437" s="8"/>
      <c r="F2437" s="8">
        <v>1</v>
      </c>
      <c r="G2437" s="7">
        <v>255000</v>
      </c>
      <c r="H2437" s="8" t="s">
        <v>299</v>
      </c>
      <c r="I2437" s="8">
        <v>6</v>
      </c>
      <c r="J2437" s="8">
        <v>50</v>
      </c>
      <c r="K2437" s="7" t="s">
        <v>312</v>
      </c>
      <c r="L2437" s="8">
        <v>88</v>
      </c>
      <c r="M2437" s="7">
        <f>IF(INDEX([1]equip.xml!$B:$B,MATCH(D2437,[1]equip.xml!$A:$A,0))=0,0,N2437)</f>
        <v>35</v>
      </c>
      <c r="N2437" s="8">
        <v>35</v>
      </c>
    </row>
    <row r="2438" spans="1:14">
      <c r="A2438" s="8">
        <f t="shared" si="2935"/>
        <v>30020</v>
      </c>
      <c r="B2438" s="8">
        <v>40000</v>
      </c>
      <c r="C2438" s="8" t="s">
        <v>298</v>
      </c>
      <c r="D2438" s="8">
        <f t="shared" si="2936"/>
        <v>40802050</v>
      </c>
      <c r="E2438" s="8"/>
      <c r="F2438" s="8">
        <v>1</v>
      </c>
      <c r="G2438" s="7">
        <v>246000</v>
      </c>
      <c r="H2438" s="8" t="s">
        <v>299</v>
      </c>
      <c r="I2438" s="8">
        <v>6</v>
      </c>
      <c r="J2438" s="8">
        <v>50</v>
      </c>
      <c r="K2438" s="7" t="s">
        <v>312</v>
      </c>
      <c r="L2438" s="8">
        <v>88</v>
      </c>
      <c r="M2438" s="7">
        <f>IF(INDEX([1]equip.xml!$B:$B,MATCH(D2438,[1]equip.xml!$A:$A,0))=0,0,N2438)</f>
        <v>35</v>
      </c>
      <c r="N2438" s="8">
        <v>35</v>
      </c>
    </row>
    <row r="2439" spans="1:14">
      <c r="A2439" s="8">
        <f t="shared" si="2935"/>
        <v>30020</v>
      </c>
      <c r="B2439" s="8">
        <v>40000</v>
      </c>
      <c r="C2439" s="8" t="s">
        <v>298</v>
      </c>
      <c r="D2439" s="8">
        <f t="shared" si="2936"/>
        <v>40802051</v>
      </c>
      <c r="E2439" s="8"/>
      <c r="F2439" s="8">
        <v>1</v>
      </c>
      <c r="G2439" s="7">
        <v>255000</v>
      </c>
      <c r="H2439" s="8" t="s">
        <v>299</v>
      </c>
      <c r="I2439" s="8">
        <v>6</v>
      </c>
      <c r="J2439" s="8">
        <v>50</v>
      </c>
      <c r="K2439" s="7" t="s">
        <v>312</v>
      </c>
      <c r="L2439" s="8">
        <v>88</v>
      </c>
      <c r="M2439" s="7">
        <f>IF(INDEX([1]equip.xml!$B:$B,MATCH(D2439,[1]equip.xml!$A:$A,0))=0,0,N2439)</f>
        <v>35</v>
      </c>
      <c r="N2439" s="8">
        <v>35</v>
      </c>
    </row>
    <row r="2440" spans="1:14">
      <c r="A2440" s="8">
        <f t="shared" si="2935"/>
        <v>30020</v>
      </c>
      <c r="B2440" s="8">
        <v>40000</v>
      </c>
      <c r="C2440" s="8" t="s">
        <v>298</v>
      </c>
      <c r="D2440" s="8">
        <f t="shared" si="2936"/>
        <v>40802060</v>
      </c>
      <c r="E2440" s="8"/>
      <c r="F2440" s="8">
        <v>1</v>
      </c>
      <c r="G2440" s="7">
        <v>246000</v>
      </c>
      <c r="H2440" s="8" t="s">
        <v>299</v>
      </c>
      <c r="I2440" s="8">
        <v>6</v>
      </c>
      <c r="J2440" s="8">
        <v>50</v>
      </c>
      <c r="K2440" s="7" t="s">
        <v>312</v>
      </c>
      <c r="L2440" s="8">
        <v>88</v>
      </c>
      <c r="M2440" s="7">
        <f>IF(INDEX([1]equip.xml!$B:$B,MATCH(D2440,[1]equip.xml!$A:$A,0))=0,0,N2440)</f>
        <v>35</v>
      </c>
      <c r="N2440" s="8">
        <v>35</v>
      </c>
    </row>
    <row r="2441" spans="1:14">
      <c r="A2441" s="8">
        <f t="shared" si="2935"/>
        <v>30020</v>
      </c>
      <c r="B2441" s="8">
        <v>40000</v>
      </c>
      <c r="C2441" s="8" t="s">
        <v>298</v>
      </c>
      <c r="D2441" s="8">
        <f t="shared" si="2936"/>
        <v>40802061</v>
      </c>
      <c r="E2441" s="8"/>
      <c r="F2441" s="8">
        <v>1</v>
      </c>
      <c r="G2441" s="7">
        <v>255000</v>
      </c>
      <c r="H2441" s="8" t="s">
        <v>299</v>
      </c>
      <c r="I2441" s="8">
        <v>6</v>
      </c>
      <c r="J2441" s="8">
        <v>50</v>
      </c>
      <c r="K2441" s="7" t="s">
        <v>312</v>
      </c>
      <c r="L2441" s="8">
        <v>88</v>
      </c>
      <c r="M2441" s="7">
        <f>IF(INDEX([1]equip.xml!$B:$B,MATCH(D2441,[1]equip.xml!$A:$A,0))=0,0,N2441)</f>
        <v>35</v>
      </c>
      <c r="N2441" s="8">
        <v>35</v>
      </c>
    </row>
    <row r="2442" spans="1:14">
      <c r="A2442" s="8">
        <f t="shared" si="2935"/>
        <v>30020</v>
      </c>
      <c r="B2442" s="8">
        <v>40000</v>
      </c>
      <c r="C2442" s="8" t="s">
        <v>298</v>
      </c>
      <c r="D2442" s="8">
        <f t="shared" si="2936"/>
        <v>40803050</v>
      </c>
      <c r="E2442" s="8"/>
      <c r="F2442" s="8">
        <v>1</v>
      </c>
      <c r="G2442" s="7">
        <v>246000</v>
      </c>
      <c r="H2442" s="8" t="s">
        <v>299</v>
      </c>
      <c r="I2442" s="8">
        <v>6</v>
      </c>
      <c r="J2442" s="8">
        <v>50</v>
      </c>
      <c r="K2442" s="7" t="s">
        <v>312</v>
      </c>
      <c r="L2442" s="8">
        <v>88</v>
      </c>
      <c r="M2442" s="7">
        <f>IF(INDEX([1]equip.xml!$B:$B,MATCH(D2442,[1]equip.xml!$A:$A,0))=0,0,N2442)</f>
        <v>35</v>
      </c>
      <c r="N2442" s="8">
        <v>35</v>
      </c>
    </row>
    <row r="2443" spans="1:14">
      <c r="A2443" s="8">
        <f t="shared" si="2935"/>
        <v>30020</v>
      </c>
      <c r="B2443" s="8">
        <v>40000</v>
      </c>
      <c r="C2443" s="8" t="s">
        <v>298</v>
      </c>
      <c r="D2443" s="8">
        <f t="shared" si="2936"/>
        <v>40803051</v>
      </c>
      <c r="E2443" s="8"/>
      <c r="F2443" s="8">
        <v>1</v>
      </c>
      <c r="G2443" s="7">
        <v>255000</v>
      </c>
      <c r="H2443" s="8" t="s">
        <v>299</v>
      </c>
      <c r="I2443" s="8">
        <v>6</v>
      </c>
      <c r="J2443" s="8">
        <v>50</v>
      </c>
      <c r="K2443" s="7" t="s">
        <v>312</v>
      </c>
      <c r="L2443" s="8">
        <v>88</v>
      </c>
      <c r="M2443" s="7">
        <f>IF(INDEX([1]equip.xml!$B:$B,MATCH(D2443,[1]equip.xml!$A:$A,0))=0,0,N2443)</f>
        <v>35</v>
      </c>
      <c r="N2443" s="8">
        <v>35</v>
      </c>
    </row>
    <row r="2444" spans="1:14">
      <c r="A2444" s="8">
        <f t="shared" si="2935"/>
        <v>30020</v>
      </c>
      <c r="B2444" s="8">
        <v>40000</v>
      </c>
      <c r="C2444" s="8" t="s">
        <v>298</v>
      </c>
      <c r="D2444" s="8">
        <f t="shared" si="2936"/>
        <v>40803060</v>
      </c>
      <c r="E2444" s="8"/>
      <c r="F2444" s="8">
        <v>1</v>
      </c>
      <c r="G2444" s="7">
        <v>246000</v>
      </c>
      <c r="H2444" s="8" t="s">
        <v>299</v>
      </c>
      <c r="I2444" s="8">
        <v>6</v>
      </c>
      <c r="J2444" s="8">
        <v>50</v>
      </c>
      <c r="K2444" s="7" t="s">
        <v>312</v>
      </c>
      <c r="L2444" s="8">
        <v>88</v>
      </c>
      <c r="M2444" s="7">
        <f>IF(INDEX([1]equip.xml!$B:$B,MATCH(D2444,[1]equip.xml!$A:$A,0))=0,0,N2444)</f>
        <v>35</v>
      </c>
      <c r="N2444" s="8">
        <v>35</v>
      </c>
    </row>
    <row r="2445" spans="1:14">
      <c r="A2445" s="8">
        <f t="shared" si="2935"/>
        <v>30020</v>
      </c>
      <c r="B2445" s="8">
        <v>40000</v>
      </c>
      <c r="C2445" s="8" t="s">
        <v>298</v>
      </c>
      <c r="D2445" s="8">
        <f t="shared" si="2936"/>
        <v>40803061</v>
      </c>
      <c r="E2445" s="8"/>
      <c r="F2445" s="8">
        <v>1</v>
      </c>
      <c r="G2445" s="7">
        <v>255000</v>
      </c>
      <c r="H2445" s="8" t="s">
        <v>299</v>
      </c>
      <c r="I2445" s="8">
        <v>6</v>
      </c>
      <c r="J2445" s="8">
        <v>50</v>
      </c>
      <c r="K2445" s="7" t="s">
        <v>312</v>
      </c>
      <c r="L2445" s="8">
        <v>88</v>
      </c>
      <c r="M2445" s="7">
        <f>IF(INDEX([1]equip.xml!$B:$B,MATCH(D2445,[1]equip.xml!$A:$A,0))=0,0,N2445)</f>
        <v>35</v>
      </c>
      <c r="N2445" s="8">
        <v>35</v>
      </c>
    </row>
    <row r="2446" spans="1:14">
      <c r="A2446" s="8">
        <f t="shared" si="2935"/>
        <v>30020</v>
      </c>
      <c r="B2446" s="8">
        <v>40000</v>
      </c>
      <c r="C2446" s="8" t="s">
        <v>298</v>
      </c>
      <c r="D2446" s="8">
        <f t="shared" si="2936"/>
        <v>40800040</v>
      </c>
      <c r="E2446" s="8"/>
      <c r="F2446" s="8">
        <v>1</v>
      </c>
      <c r="G2446" s="7">
        <v>246000</v>
      </c>
      <c r="H2446" s="8" t="s">
        <v>299</v>
      </c>
      <c r="I2446" s="8">
        <v>6</v>
      </c>
      <c r="J2446" s="8">
        <v>50</v>
      </c>
      <c r="K2446" s="7" t="s">
        <v>312</v>
      </c>
      <c r="L2446" s="8">
        <v>88</v>
      </c>
      <c r="M2446" s="7">
        <f>IF(INDEX([1]equip.xml!$B:$B,MATCH(D2446,[1]equip.xml!$A:$A,0))=0,0,N2446)</f>
        <v>35</v>
      </c>
      <c r="N2446" s="8">
        <v>35</v>
      </c>
    </row>
    <row r="2447" spans="1:14">
      <c r="A2447" s="8">
        <f t="shared" si="2935"/>
        <v>30020</v>
      </c>
      <c r="B2447" s="8">
        <v>40000</v>
      </c>
      <c r="C2447" s="8" t="s">
        <v>298</v>
      </c>
      <c r="D2447" s="8">
        <f t="shared" si="2936"/>
        <v>40800041</v>
      </c>
      <c r="E2447" s="8"/>
      <c r="F2447" s="8">
        <v>1</v>
      </c>
      <c r="G2447" s="7">
        <v>255000</v>
      </c>
      <c r="H2447" s="8" t="s">
        <v>299</v>
      </c>
      <c r="I2447" s="8">
        <v>6</v>
      </c>
      <c r="J2447" s="8">
        <v>50</v>
      </c>
      <c r="K2447" s="7" t="s">
        <v>312</v>
      </c>
      <c r="L2447" s="8">
        <v>88</v>
      </c>
      <c r="M2447" s="7">
        <f>IF(INDEX([1]equip.xml!$B:$B,MATCH(D2447,[1]equip.xml!$A:$A,0))=0,0,N2447)</f>
        <v>35</v>
      </c>
      <c r="N2447" s="8">
        <v>35</v>
      </c>
    </row>
    <row r="2448" spans="1:14">
      <c r="A2448" s="8">
        <f t="shared" si="2935"/>
        <v>30020</v>
      </c>
      <c r="B2448" s="8">
        <v>40000</v>
      </c>
      <c r="C2448" s="8" t="s">
        <v>298</v>
      </c>
      <c r="D2448" s="8">
        <f t="shared" si="2936"/>
        <v>40800070</v>
      </c>
      <c r="E2448" s="8"/>
      <c r="F2448" s="8">
        <v>1</v>
      </c>
      <c r="G2448" s="7">
        <v>246000</v>
      </c>
      <c r="H2448" s="8" t="s">
        <v>299</v>
      </c>
      <c r="I2448" s="8">
        <v>6</v>
      </c>
      <c r="J2448" s="8">
        <v>50</v>
      </c>
      <c r="K2448" s="7" t="s">
        <v>312</v>
      </c>
      <c r="L2448" s="8">
        <v>88</v>
      </c>
      <c r="M2448" s="7">
        <f>IF(INDEX([1]equip.xml!$B:$B,MATCH(D2448,[1]equip.xml!$A:$A,0))=0,0,N2448)</f>
        <v>35</v>
      </c>
      <c r="N2448" s="8">
        <v>35</v>
      </c>
    </row>
    <row r="2449" spans="1:14">
      <c r="A2449" s="8">
        <f t="shared" si="2935"/>
        <v>30020</v>
      </c>
      <c r="B2449" s="8">
        <v>40000</v>
      </c>
      <c r="C2449" s="8" t="s">
        <v>298</v>
      </c>
      <c r="D2449" s="8">
        <f t="shared" si="2936"/>
        <v>40800071</v>
      </c>
      <c r="E2449" s="8"/>
      <c r="F2449" s="8">
        <v>1</v>
      </c>
      <c r="G2449" s="7">
        <v>255000</v>
      </c>
      <c r="H2449" s="8" t="s">
        <v>299</v>
      </c>
      <c r="I2449" s="8">
        <v>6</v>
      </c>
      <c r="J2449" s="8">
        <v>50</v>
      </c>
      <c r="K2449" s="7" t="s">
        <v>312</v>
      </c>
      <c r="L2449" s="8">
        <v>88</v>
      </c>
      <c r="M2449" s="7">
        <f>IF(INDEX([1]equip.xml!$B:$B,MATCH(D2449,[1]equip.xml!$A:$A,0))=0,0,N2449)</f>
        <v>35</v>
      </c>
      <c r="N2449" s="8">
        <v>35</v>
      </c>
    </row>
    <row r="2450" spans="1:14">
      <c r="A2450" s="8">
        <f t="shared" si="2935"/>
        <v>30020</v>
      </c>
      <c r="B2450" s="8">
        <v>40000</v>
      </c>
      <c r="C2450" s="8" t="s">
        <v>298</v>
      </c>
      <c r="D2450" s="7">
        <f>D2406+10000005</f>
        <v>50750015</v>
      </c>
      <c r="E2450" s="8"/>
      <c r="F2450" s="8">
        <v>1</v>
      </c>
      <c r="G2450" s="7">
        <v>456000</v>
      </c>
      <c r="H2450" s="8" t="s">
        <v>299</v>
      </c>
      <c r="I2450" s="8">
        <v>1</v>
      </c>
      <c r="J2450" s="8">
        <v>240</v>
      </c>
      <c r="K2450" s="7" t="s">
        <v>312</v>
      </c>
      <c r="L2450" s="8">
        <v>88</v>
      </c>
      <c r="M2450" s="7">
        <f>IF(INDEX([1]equip.xml!$B:$B,MATCH(D2450,[1]equip.xml!$A:$A,0))=0,0,N2450)</f>
        <v>200</v>
      </c>
      <c r="N2450" s="8">
        <f>N2406*2</f>
        <v>200</v>
      </c>
    </row>
    <row r="2451" spans="1:14">
      <c r="A2451" s="8">
        <f t="shared" si="2935"/>
        <v>30020</v>
      </c>
      <c r="B2451" s="8">
        <v>40000</v>
      </c>
      <c r="C2451" s="8" t="s">
        <v>298</v>
      </c>
      <c r="D2451" s="7">
        <f t="shared" ref="D2451:D2493" si="2938">D2407+10000005</f>
        <v>50750025</v>
      </c>
      <c r="E2451" s="8"/>
      <c r="F2451" s="8">
        <v>1</v>
      </c>
      <c r="G2451" s="7">
        <v>456000</v>
      </c>
      <c r="H2451" s="8" t="s">
        <v>299</v>
      </c>
      <c r="I2451" s="8">
        <v>1</v>
      </c>
      <c r="J2451" s="8">
        <v>240</v>
      </c>
      <c r="K2451" s="7" t="s">
        <v>312</v>
      </c>
      <c r="L2451" s="8">
        <v>88</v>
      </c>
      <c r="M2451" s="7">
        <f>IF(INDEX([1]equip.xml!$B:$B,MATCH(D2451,[1]equip.xml!$A:$A,0))=0,0,N2451)</f>
        <v>200</v>
      </c>
      <c r="N2451" s="8">
        <f t="shared" ref="N2451:N2493" si="2939">N2407*2</f>
        <v>200</v>
      </c>
    </row>
    <row r="2452" spans="1:14">
      <c r="A2452" s="8">
        <f t="shared" si="2935"/>
        <v>30020</v>
      </c>
      <c r="B2452" s="8">
        <v>40000</v>
      </c>
      <c r="C2452" s="8" t="s">
        <v>298</v>
      </c>
      <c r="D2452" s="7">
        <f t="shared" si="2938"/>
        <v>50750035</v>
      </c>
      <c r="E2452" s="8"/>
      <c r="F2452" s="8">
        <v>1</v>
      </c>
      <c r="G2452" s="7">
        <v>456000</v>
      </c>
      <c r="H2452" s="8" t="s">
        <v>299</v>
      </c>
      <c r="I2452" s="8">
        <v>1</v>
      </c>
      <c r="J2452" s="8">
        <v>240</v>
      </c>
      <c r="K2452" s="7" t="s">
        <v>312</v>
      </c>
      <c r="L2452" s="8">
        <v>88</v>
      </c>
      <c r="M2452" s="7">
        <f>IF(INDEX([1]equip.xml!$B:$B,MATCH(D2452,[1]equip.xml!$A:$A,0))=0,0,N2452)</f>
        <v>200</v>
      </c>
      <c r="N2452" s="8">
        <f t="shared" si="2939"/>
        <v>200</v>
      </c>
    </row>
    <row r="2453" spans="1:14">
      <c r="A2453" s="8">
        <f t="shared" si="2935"/>
        <v>30020</v>
      </c>
      <c r="B2453" s="8">
        <v>40000</v>
      </c>
      <c r="C2453" s="8" t="s">
        <v>298</v>
      </c>
      <c r="D2453" s="7">
        <f t="shared" si="2938"/>
        <v>50750085</v>
      </c>
      <c r="E2453" s="8"/>
      <c r="F2453" s="8">
        <v>1</v>
      </c>
      <c r="G2453" s="7">
        <v>456000</v>
      </c>
      <c r="H2453" s="8" t="s">
        <v>299</v>
      </c>
      <c r="I2453" s="8">
        <v>1</v>
      </c>
      <c r="J2453" s="8">
        <v>240</v>
      </c>
      <c r="K2453" s="7" t="s">
        <v>312</v>
      </c>
      <c r="L2453" s="8">
        <v>88</v>
      </c>
      <c r="M2453" s="7">
        <f>IF(INDEX([1]equip.xml!$B:$B,MATCH(D2453,[1]equip.xml!$A:$A,0))=0,0,N2453)</f>
        <v>200</v>
      </c>
      <c r="N2453" s="8">
        <f t="shared" si="2939"/>
        <v>200</v>
      </c>
    </row>
    <row r="2454" spans="1:14">
      <c r="A2454" s="8">
        <f t="shared" si="2935"/>
        <v>30020</v>
      </c>
      <c r="B2454" s="8">
        <v>40000</v>
      </c>
      <c r="C2454" s="8" t="s">
        <v>298</v>
      </c>
      <c r="D2454" s="7">
        <f t="shared" si="2938"/>
        <v>50750095</v>
      </c>
      <c r="E2454" s="8"/>
      <c r="F2454" s="8">
        <v>1</v>
      </c>
      <c r="G2454" s="7">
        <v>456000</v>
      </c>
      <c r="H2454" s="8" t="s">
        <v>299</v>
      </c>
      <c r="I2454" s="8">
        <v>1</v>
      </c>
      <c r="J2454" s="8">
        <v>240</v>
      </c>
      <c r="K2454" s="7" t="s">
        <v>312</v>
      </c>
      <c r="L2454" s="8">
        <v>88</v>
      </c>
      <c r="M2454" s="7">
        <f>IF(INDEX([1]equip.xml!$B:$B,MATCH(D2454,[1]equip.xml!$A:$A,0))=0,0,N2454)</f>
        <v>200</v>
      </c>
      <c r="N2454" s="8">
        <f t="shared" si="2939"/>
        <v>200</v>
      </c>
    </row>
    <row r="2455" spans="1:14">
      <c r="A2455" s="8">
        <f t="shared" si="2935"/>
        <v>30020</v>
      </c>
      <c r="B2455" s="8">
        <v>40000</v>
      </c>
      <c r="C2455" s="8" t="s">
        <v>298</v>
      </c>
      <c r="D2455" s="7">
        <f t="shared" si="2938"/>
        <v>50750105</v>
      </c>
      <c r="E2455" s="8"/>
      <c r="F2455" s="8">
        <v>1</v>
      </c>
      <c r="G2455" s="7">
        <v>456000</v>
      </c>
      <c r="H2455" s="8" t="s">
        <v>299</v>
      </c>
      <c r="I2455" s="8">
        <v>1</v>
      </c>
      <c r="J2455" s="8">
        <v>240</v>
      </c>
      <c r="K2455" s="7" t="s">
        <v>312</v>
      </c>
      <c r="L2455" s="8">
        <v>88</v>
      </c>
      <c r="M2455" s="7">
        <f>IF(INDEX([1]equip.xml!$B:$B,MATCH(D2455,[1]equip.xml!$A:$A,0))=0,0,N2455)</f>
        <v>200</v>
      </c>
      <c r="N2455" s="8">
        <f t="shared" si="2939"/>
        <v>200</v>
      </c>
    </row>
    <row r="2456" spans="1:14">
      <c r="A2456" s="8">
        <f t="shared" si="2935"/>
        <v>30020</v>
      </c>
      <c r="B2456" s="8">
        <v>40000</v>
      </c>
      <c r="C2456" s="8" t="s">
        <v>298</v>
      </c>
      <c r="D2456" s="7">
        <f t="shared" si="2938"/>
        <v>50751055</v>
      </c>
      <c r="E2456" s="8"/>
      <c r="F2456" s="8">
        <v>1</v>
      </c>
      <c r="G2456" s="7">
        <v>456000</v>
      </c>
      <c r="H2456" s="8" t="s">
        <v>299</v>
      </c>
      <c r="I2456" s="8">
        <v>1</v>
      </c>
      <c r="J2456" s="8">
        <v>240</v>
      </c>
      <c r="K2456" s="7" t="s">
        <v>312</v>
      </c>
      <c r="L2456" s="8">
        <v>88</v>
      </c>
      <c r="M2456" s="7">
        <f>IF(INDEX([1]equip.xml!$B:$B,MATCH(D2456,[1]equip.xml!$A:$A,0))=0,0,N2456)</f>
        <v>200</v>
      </c>
      <c r="N2456" s="8">
        <f t="shared" si="2939"/>
        <v>200</v>
      </c>
    </row>
    <row r="2457" spans="1:14">
      <c r="A2457" s="8">
        <f t="shared" si="2935"/>
        <v>30020</v>
      </c>
      <c r="B2457" s="8">
        <v>40000</v>
      </c>
      <c r="C2457" s="8" t="s">
        <v>298</v>
      </c>
      <c r="D2457" s="7">
        <f t="shared" si="2938"/>
        <v>50751056</v>
      </c>
      <c r="E2457" s="8"/>
      <c r="F2457" s="8">
        <v>1</v>
      </c>
      <c r="G2457" s="7">
        <v>474000</v>
      </c>
      <c r="H2457" s="8" t="s">
        <v>299</v>
      </c>
      <c r="I2457" s="8">
        <v>1</v>
      </c>
      <c r="J2457" s="8">
        <v>240</v>
      </c>
      <c r="K2457" s="7" t="s">
        <v>312</v>
      </c>
      <c r="L2457" s="8">
        <v>88</v>
      </c>
      <c r="M2457" s="7">
        <f>IF(INDEX([1]equip.xml!$B:$B,MATCH(D2457,[1]equip.xml!$A:$A,0))=0,0,N2457)</f>
        <v>200</v>
      </c>
      <c r="N2457" s="8">
        <f t="shared" si="2939"/>
        <v>200</v>
      </c>
    </row>
    <row r="2458" spans="1:14">
      <c r="A2458" s="8">
        <f t="shared" si="2935"/>
        <v>30020</v>
      </c>
      <c r="B2458" s="8">
        <v>40000</v>
      </c>
      <c r="C2458" s="8" t="s">
        <v>298</v>
      </c>
      <c r="D2458" s="7">
        <f t="shared" si="2938"/>
        <v>50751065</v>
      </c>
      <c r="E2458" s="8"/>
      <c r="F2458" s="8">
        <v>1</v>
      </c>
      <c r="G2458" s="7">
        <v>456000</v>
      </c>
      <c r="H2458" s="8" t="s">
        <v>299</v>
      </c>
      <c r="I2458" s="8">
        <v>1</v>
      </c>
      <c r="J2458" s="8">
        <v>240</v>
      </c>
      <c r="K2458" s="7" t="s">
        <v>312</v>
      </c>
      <c r="L2458" s="8">
        <v>88</v>
      </c>
      <c r="M2458" s="7">
        <f>IF(INDEX([1]equip.xml!$B:$B,MATCH(D2458,[1]equip.xml!$A:$A,0))=0,0,N2458)</f>
        <v>200</v>
      </c>
      <c r="N2458" s="8">
        <f t="shared" si="2939"/>
        <v>200</v>
      </c>
    </row>
    <row r="2459" spans="1:14">
      <c r="A2459" s="8">
        <f t="shared" si="2935"/>
        <v>30020</v>
      </c>
      <c r="B2459" s="8">
        <v>40000</v>
      </c>
      <c r="C2459" s="8" t="s">
        <v>298</v>
      </c>
      <c r="D2459" s="7">
        <f t="shared" si="2938"/>
        <v>50751066</v>
      </c>
      <c r="E2459" s="8"/>
      <c r="F2459" s="8">
        <v>1</v>
      </c>
      <c r="G2459" s="7">
        <v>474000</v>
      </c>
      <c r="H2459" s="8" t="s">
        <v>299</v>
      </c>
      <c r="I2459" s="8">
        <v>1</v>
      </c>
      <c r="J2459" s="8">
        <v>240</v>
      </c>
      <c r="K2459" s="7" t="s">
        <v>312</v>
      </c>
      <c r="L2459" s="8">
        <v>88</v>
      </c>
      <c r="M2459" s="7">
        <f>IF(INDEX([1]equip.xml!$B:$B,MATCH(D2459,[1]equip.xml!$A:$A,0))=0,0,N2459)</f>
        <v>200</v>
      </c>
      <c r="N2459" s="8">
        <f t="shared" si="2939"/>
        <v>200</v>
      </c>
    </row>
    <row r="2460" spans="1:14">
      <c r="A2460" s="8">
        <f t="shared" si="2935"/>
        <v>30020</v>
      </c>
      <c r="B2460" s="8">
        <v>40000</v>
      </c>
      <c r="C2460" s="8" t="s">
        <v>298</v>
      </c>
      <c r="D2460" s="7">
        <f t="shared" si="2938"/>
        <v>50752055</v>
      </c>
      <c r="E2460" s="8"/>
      <c r="F2460" s="8">
        <v>1</v>
      </c>
      <c r="G2460" s="7">
        <v>456000</v>
      </c>
      <c r="H2460" s="8" t="s">
        <v>299</v>
      </c>
      <c r="I2460" s="8">
        <v>1</v>
      </c>
      <c r="J2460" s="8">
        <v>240</v>
      </c>
      <c r="K2460" s="7" t="s">
        <v>312</v>
      </c>
      <c r="L2460" s="8">
        <v>88</v>
      </c>
      <c r="M2460" s="7">
        <f>IF(INDEX([1]equip.xml!$B:$B,MATCH(D2460,[1]equip.xml!$A:$A,0))=0,0,N2460)</f>
        <v>200</v>
      </c>
      <c r="N2460" s="8">
        <f t="shared" si="2939"/>
        <v>200</v>
      </c>
    </row>
    <row r="2461" spans="1:14">
      <c r="A2461" s="8">
        <f t="shared" si="2935"/>
        <v>30020</v>
      </c>
      <c r="B2461" s="8">
        <v>40000</v>
      </c>
      <c r="C2461" s="8" t="s">
        <v>298</v>
      </c>
      <c r="D2461" s="7">
        <f t="shared" si="2938"/>
        <v>50752056</v>
      </c>
      <c r="E2461" s="8"/>
      <c r="F2461" s="8">
        <v>1</v>
      </c>
      <c r="G2461" s="7">
        <v>474000</v>
      </c>
      <c r="H2461" s="8" t="s">
        <v>299</v>
      </c>
      <c r="I2461" s="8">
        <v>1</v>
      </c>
      <c r="J2461" s="8">
        <v>240</v>
      </c>
      <c r="K2461" s="7" t="s">
        <v>312</v>
      </c>
      <c r="L2461" s="8">
        <v>88</v>
      </c>
      <c r="M2461" s="7">
        <f>IF(INDEX([1]equip.xml!$B:$B,MATCH(D2461,[1]equip.xml!$A:$A,0))=0,0,N2461)</f>
        <v>200</v>
      </c>
      <c r="N2461" s="8">
        <f t="shared" si="2939"/>
        <v>200</v>
      </c>
    </row>
    <row r="2462" spans="1:14">
      <c r="A2462" s="8">
        <f t="shared" si="2935"/>
        <v>30020</v>
      </c>
      <c r="B2462" s="8">
        <v>40000</v>
      </c>
      <c r="C2462" s="8" t="s">
        <v>298</v>
      </c>
      <c r="D2462" s="7">
        <f t="shared" si="2938"/>
        <v>50752065</v>
      </c>
      <c r="E2462" s="8"/>
      <c r="F2462" s="8">
        <v>1</v>
      </c>
      <c r="G2462" s="7">
        <v>456000</v>
      </c>
      <c r="H2462" s="8" t="s">
        <v>299</v>
      </c>
      <c r="I2462" s="8">
        <v>1</v>
      </c>
      <c r="J2462" s="8">
        <v>240</v>
      </c>
      <c r="K2462" s="7" t="s">
        <v>312</v>
      </c>
      <c r="L2462" s="8">
        <v>88</v>
      </c>
      <c r="M2462" s="7">
        <f>IF(INDEX([1]equip.xml!$B:$B,MATCH(D2462,[1]equip.xml!$A:$A,0))=0,0,N2462)</f>
        <v>200</v>
      </c>
      <c r="N2462" s="8">
        <f t="shared" si="2939"/>
        <v>200</v>
      </c>
    </row>
    <row r="2463" spans="1:14">
      <c r="A2463" s="8">
        <f t="shared" si="2935"/>
        <v>30020</v>
      </c>
      <c r="B2463" s="8">
        <v>40000</v>
      </c>
      <c r="C2463" s="8" t="s">
        <v>298</v>
      </c>
      <c r="D2463" s="7">
        <f t="shared" si="2938"/>
        <v>50752066</v>
      </c>
      <c r="E2463" s="8"/>
      <c r="F2463" s="8">
        <v>1</v>
      </c>
      <c r="G2463" s="7">
        <v>474000</v>
      </c>
      <c r="H2463" s="8" t="s">
        <v>299</v>
      </c>
      <c r="I2463" s="8">
        <v>1</v>
      </c>
      <c r="J2463" s="8">
        <v>240</v>
      </c>
      <c r="K2463" s="7" t="s">
        <v>312</v>
      </c>
      <c r="L2463" s="8">
        <v>88</v>
      </c>
      <c r="M2463" s="7">
        <f>IF(INDEX([1]equip.xml!$B:$B,MATCH(D2463,[1]equip.xml!$A:$A,0))=0,0,N2463)</f>
        <v>200</v>
      </c>
      <c r="N2463" s="8">
        <f t="shared" si="2939"/>
        <v>200</v>
      </c>
    </row>
    <row r="2464" spans="1:14">
      <c r="A2464" s="8">
        <f t="shared" si="2935"/>
        <v>30020</v>
      </c>
      <c r="B2464" s="8">
        <v>40000</v>
      </c>
      <c r="C2464" s="8" t="s">
        <v>298</v>
      </c>
      <c r="D2464" s="7">
        <f t="shared" si="2938"/>
        <v>50753055</v>
      </c>
      <c r="E2464" s="8"/>
      <c r="F2464" s="8">
        <v>1</v>
      </c>
      <c r="G2464" s="7">
        <v>456000</v>
      </c>
      <c r="H2464" s="8" t="s">
        <v>299</v>
      </c>
      <c r="I2464" s="8">
        <v>1</v>
      </c>
      <c r="J2464" s="8">
        <v>240</v>
      </c>
      <c r="K2464" s="7" t="s">
        <v>312</v>
      </c>
      <c r="L2464" s="8">
        <v>88</v>
      </c>
      <c r="M2464" s="7">
        <f>IF(INDEX([1]equip.xml!$B:$B,MATCH(D2464,[1]equip.xml!$A:$A,0))=0,0,N2464)</f>
        <v>200</v>
      </c>
      <c r="N2464" s="8">
        <f t="shared" si="2939"/>
        <v>200</v>
      </c>
    </row>
    <row r="2465" spans="1:14">
      <c r="A2465" s="8">
        <f t="shared" ref="A2465:A2480" si="2940">A1937+10000</f>
        <v>30020</v>
      </c>
      <c r="B2465" s="8">
        <v>40000</v>
      </c>
      <c r="C2465" s="8" t="s">
        <v>298</v>
      </c>
      <c r="D2465" s="7">
        <f t="shared" si="2938"/>
        <v>50753056</v>
      </c>
      <c r="E2465" s="8"/>
      <c r="F2465" s="8">
        <v>1</v>
      </c>
      <c r="G2465" s="7">
        <v>474000</v>
      </c>
      <c r="H2465" s="8" t="s">
        <v>299</v>
      </c>
      <c r="I2465" s="8">
        <v>1</v>
      </c>
      <c r="J2465" s="8">
        <v>240</v>
      </c>
      <c r="K2465" s="7" t="s">
        <v>312</v>
      </c>
      <c r="L2465" s="8">
        <v>88</v>
      </c>
      <c r="M2465" s="7">
        <f>IF(INDEX([1]equip.xml!$B:$B,MATCH(D2465,[1]equip.xml!$A:$A,0))=0,0,N2465)</f>
        <v>200</v>
      </c>
      <c r="N2465" s="8">
        <f t="shared" si="2939"/>
        <v>200</v>
      </c>
    </row>
    <row r="2466" spans="1:14">
      <c r="A2466" s="8">
        <f t="shared" si="2940"/>
        <v>30020</v>
      </c>
      <c r="B2466" s="8">
        <v>40000</v>
      </c>
      <c r="C2466" s="8" t="s">
        <v>298</v>
      </c>
      <c r="D2466" s="7">
        <f t="shared" si="2938"/>
        <v>50753065</v>
      </c>
      <c r="E2466" s="8"/>
      <c r="F2466" s="8">
        <v>1</v>
      </c>
      <c r="G2466" s="7">
        <v>456000</v>
      </c>
      <c r="H2466" s="8" t="s">
        <v>299</v>
      </c>
      <c r="I2466" s="8">
        <v>1</v>
      </c>
      <c r="J2466" s="8">
        <v>240</v>
      </c>
      <c r="K2466" s="7" t="s">
        <v>312</v>
      </c>
      <c r="L2466" s="8">
        <v>88</v>
      </c>
      <c r="M2466" s="7">
        <f>IF(INDEX([1]equip.xml!$B:$B,MATCH(D2466,[1]equip.xml!$A:$A,0))=0,0,N2466)</f>
        <v>200</v>
      </c>
      <c r="N2466" s="8">
        <f t="shared" si="2939"/>
        <v>200</v>
      </c>
    </row>
    <row r="2467" spans="1:14">
      <c r="A2467" s="8">
        <f t="shared" si="2940"/>
        <v>30020</v>
      </c>
      <c r="B2467" s="8">
        <v>40000</v>
      </c>
      <c r="C2467" s="8" t="s">
        <v>298</v>
      </c>
      <c r="D2467" s="7">
        <f t="shared" si="2938"/>
        <v>50753066</v>
      </c>
      <c r="E2467" s="8"/>
      <c r="F2467" s="8">
        <v>1</v>
      </c>
      <c r="G2467" s="7">
        <v>474000</v>
      </c>
      <c r="H2467" s="8" t="s">
        <v>299</v>
      </c>
      <c r="I2467" s="8">
        <v>1</v>
      </c>
      <c r="J2467" s="8">
        <v>240</v>
      </c>
      <c r="K2467" s="7" t="s">
        <v>312</v>
      </c>
      <c r="L2467" s="8">
        <v>88</v>
      </c>
      <c r="M2467" s="7">
        <f>IF(INDEX([1]equip.xml!$B:$B,MATCH(D2467,[1]equip.xml!$A:$A,0))=0,0,N2467)</f>
        <v>200</v>
      </c>
      <c r="N2467" s="8">
        <f t="shared" si="2939"/>
        <v>200</v>
      </c>
    </row>
    <row r="2468" spans="1:14">
      <c r="A2468" s="8">
        <f t="shared" si="2940"/>
        <v>30020</v>
      </c>
      <c r="B2468" s="8">
        <v>40000</v>
      </c>
      <c r="C2468" s="8" t="s">
        <v>298</v>
      </c>
      <c r="D2468" s="7">
        <f t="shared" si="2938"/>
        <v>50750045</v>
      </c>
      <c r="E2468" s="8"/>
      <c r="F2468" s="8">
        <v>1</v>
      </c>
      <c r="G2468" s="7">
        <v>456000</v>
      </c>
      <c r="H2468" s="8" t="s">
        <v>299</v>
      </c>
      <c r="I2468" s="8">
        <v>1</v>
      </c>
      <c r="J2468" s="8">
        <v>240</v>
      </c>
      <c r="K2468" s="7" t="s">
        <v>312</v>
      </c>
      <c r="L2468" s="8">
        <v>88</v>
      </c>
      <c r="M2468" s="7">
        <f>IF(INDEX([1]equip.xml!$B:$B,MATCH(D2468,[1]equip.xml!$A:$A,0))=0,0,N2468)</f>
        <v>200</v>
      </c>
      <c r="N2468" s="8">
        <f t="shared" si="2939"/>
        <v>200</v>
      </c>
    </row>
    <row r="2469" spans="1:14">
      <c r="A2469" s="8">
        <f t="shared" si="2940"/>
        <v>30020</v>
      </c>
      <c r="B2469" s="8">
        <v>40000</v>
      </c>
      <c r="C2469" s="8" t="s">
        <v>298</v>
      </c>
      <c r="D2469" s="7">
        <f t="shared" si="2938"/>
        <v>50750046</v>
      </c>
      <c r="E2469" s="8"/>
      <c r="F2469" s="8">
        <v>1</v>
      </c>
      <c r="G2469" s="7">
        <v>474000</v>
      </c>
      <c r="H2469" s="8" t="s">
        <v>299</v>
      </c>
      <c r="I2469" s="8">
        <v>1</v>
      </c>
      <c r="J2469" s="8">
        <v>240</v>
      </c>
      <c r="K2469" s="7" t="s">
        <v>312</v>
      </c>
      <c r="L2469" s="8">
        <v>88</v>
      </c>
      <c r="M2469" s="7">
        <f>IF(INDEX([1]equip.xml!$B:$B,MATCH(D2469,[1]equip.xml!$A:$A,0))=0,0,N2469)</f>
        <v>200</v>
      </c>
      <c r="N2469" s="8">
        <f t="shared" si="2939"/>
        <v>200</v>
      </c>
    </row>
    <row r="2470" spans="1:14">
      <c r="A2470" s="8">
        <f t="shared" si="2940"/>
        <v>30020</v>
      </c>
      <c r="B2470" s="8">
        <v>40000</v>
      </c>
      <c r="C2470" s="8" t="s">
        <v>298</v>
      </c>
      <c r="D2470" s="7">
        <f t="shared" si="2938"/>
        <v>50750075</v>
      </c>
      <c r="E2470" s="8"/>
      <c r="F2470" s="8">
        <v>1</v>
      </c>
      <c r="G2470" s="7">
        <v>456000</v>
      </c>
      <c r="H2470" s="8" t="s">
        <v>299</v>
      </c>
      <c r="I2470" s="8">
        <v>1</v>
      </c>
      <c r="J2470" s="8">
        <v>240</v>
      </c>
      <c r="K2470" s="7" t="s">
        <v>312</v>
      </c>
      <c r="L2470" s="8">
        <v>88</v>
      </c>
      <c r="M2470" s="7">
        <f>IF(INDEX([1]equip.xml!$B:$B,MATCH(D2470,[1]equip.xml!$A:$A,0))=0,0,N2470)</f>
        <v>200</v>
      </c>
      <c r="N2470" s="8">
        <f t="shared" si="2939"/>
        <v>200</v>
      </c>
    </row>
    <row r="2471" spans="1:14">
      <c r="A2471" s="8">
        <f t="shared" si="2940"/>
        <v>30020</v>
      </c>
      <c r="B2471" s="8">
        <v>40000</v>
      </c>
      <c r="C2471" s="8" t="s">
        <v>298</v>
      </c>
      <c r="D2471" s="7">
        <f t="shared" si="2938"/>
        <v>50750076</v>
      </c>
      <c r="E2471" s="8"/>
      <c r="F2471" s="8">
        <v>1</v>
      </c>
      <c r="G2471" s="7">
        <v>474000</v>
      </c>
      <c r="H2471" s="8" t="s">
        <v>299</v>
      </c>
      <c r="I2471" s="8">
        <v>1</v>
      </c>
      <c r="J2471" s="8">
        <v>240</v>
      </c>
      <c r="K2471" s="7" t="s">
        <v>312</v>
      </c>
      <c r="L2471" s="8">
        <v>88</v>
      </c>
      <c r="M2471" s="7">
        <f>IF(INDEX([1]equip.xml!$B:$B,MATCH(D2471,[1]equip.xml!$A:$A,0))=0,0,N2471)</f>
        <v>200</v>
      </c>
      <c r="N2471" s="8">
        <f t="shared" si="2939"/>
        <v>200</v>
      </c>
    </row>
    <row r="2472" spans="1:14">
      <c r="A2472" s="8">
        <f t="shared" si="2940"/>
        <v>30020</v>
      </c>
      <c r="B2472" s="8">
        <v>40000</v>
      </c>
      <c r="C2472" s="8" t="s">
        <v>298</v>
      </c>
      <c r="D2472" s="7">
        <f t="shared" si="2938"/>
        <v>50800015</v>
      </c>
      <c r="E2472" s="8"/>
      <c r="F2472" s="8">
        <v>1</v>
      </c>
      <c r="G2472" s="7">
        <v>492000</v>
      </c>
      <c r="H2472" s="8" t="s">
        <v>299</v>
      </c>
      <c r="I2472" s="8">
        <v>1</v>
      </c>
      <c r="J2472" s="8">
        <v>240</v>
      </c>
      <c r="K2472" s="7" t="s">
        <v>312</v>
      </c>
      <c r="L2472" s="8">
        <v>88</v>
      </c>
      <c r="M2472" s="7">
        <f>IF(INDEX([1]equip.xml!$B:$B,MATCH(D2472,[1]equip.xml!$A:$A,0))=0,0,N2472)</f>
        <v>70</v>
      </c>
      <c r="N2472" s="8">
        <f t="shared" si="2939"/>
        <v>70</v>
      </c>
    </row>
    <row r="2473" spans="1:14">
      <c r="A2473" s="8">
        <f t="shared" si="2940"/>
        <v>30020</v>
      </c>
      <c r="B2473" s="8">
        <v>40000</v>
      </c>
      <c r="C2473" s="8" t="s">
        <v>298</v>
      </c>
      <c r="D2473" s="7">
        <f t="shared" si="2938"/>
        <v>50800025</v>
      </c>
      <c r="E2473" s="8"/>
      <c r="F2473" s="8">
        <v>1</v>
      </c>
      <c r="G2473" s="7">
        <v>492000</v>
      </c>
      <c r="H2473" s="8" t="s">
        <v>299</v>
      </c>
      <c r="I2473" s="8">
        <v>1</v>
      </c>
      <c r="J2473" s="8">
        <v>240</v>
      </c>
      <c r="K2473" s="7" t="s">
        <v>312</v>
      </c>
      <c r="L2473" s="8">
        <v>88</v>
      </c>
      <c r="M2473" s="7">
        <f>IF(INDEX([1]equip.xml!$B:$B,MATCH(D2473,[1]equip.xml!$A:$A,0))=0,0,N2473)</f>
        <v>70</v>
      </c>
      <c r="N2473" s="8">
        <f t="shared" si="2939"/>
        <v>70</v>
      </c>
    </row>
    <row r="2474" spans="1:14">
      <c r="A2474" s="8">
        <f t="shared" si="2940"/>
        <v>30020</v>
      </c>
      <c r="B2474" s="8">
        <v>40000</v>
      </c>
      <c r="C2474" s="8" t="s">
        <v>298</v>
      </c>
      <c r="D2474" s="7">
        <f t="shared" si="2938"/>
        <v>50800035</v>
      </c>
      <c r="E2474" s="8"/>
      <c r="F2474" s="8">
        <v>1</v>
      </c>
      <c r="G2474" s="7">
        <v>492000</v>
      </c>
      <c r="H2474" s="8" t="s">
        <v>299</v>
      </c>
      <c r="I2474" s="8">
        <v>1</v>
      </c>
      <c r="J2474" s="8">
        <v>240</v>
      </c>
      <c r="K2474" s="7" t="s">
        <v>312</v>
      </c>
      <c r="L2474" s="8">
        <v>88</v>
      </c>
      <c r="M2474" s="7">
        <f>IF(INDEX([1]equip.xml!$B:$B,MATCH(D2474,[1]equip.xml!$A:$A,0))=0,0,N2474)</f>
        <v>70</v>
      </c>
      <c r="N2474" s="8">
        <f t="shared" si="2939"/>
        <v>70</v>
      </c>
    </row>
    <row r="2475" spans="1:14">
      <c r="A2475" s="8">
        <f t="shared" si="2940"/>
        <v>30020</v>
      </c>
      <c r="B2475" s="8">
        <v>40000</v>
      </c>
      <c r="C2475" s="8" t="s">
        <v>298</v>
      </c>
      <c r="D2475" s="7">
        <f t="shared" si="2938"/>
        <v>50800085</v>
      </c>
      <c r="E2475" s="8"/>
      <c r="F2475" s="8">
        <v>1</v>
      </c>
      <c r="G2475" s="7">
        <v>492000</v>
      </c>
      <c r="H2475" s="8" t="s">
        <v>299</v>
      </c>
      <c r="I2475" s="8">
        <v>1</v>
      </c>
      <c r="J2475" s="8">
        <v>240</v>
      </c>
      <c r="K2475" s="7" t="s">
        <v>312</v>
      </c>
      <c r="L2475" s="8">
        <v>88</v>
      </c>
      <c r="M2475" s="7">
        <f>IF(INDEX([1]equip.xml!$B:$B,MATCH(D2475,[1]equip.xml!$A:$A,0))=0,0,N2475)</f>
        <v>70</v>
      </c>
      <c r="N2475" s="8">
        <f t="shared" si="2939"/>
        <v>70</v>
      </c>
    </row>
    <row r="2476" spans="1:14">
      <c r="A2476" s="8">
        <f t="shared" si="2940"/>
        <v>30020</v>
      </c>
      <c r="B2476" s="8">
        <v>40000</v>
      </c>
      <c r="C2476" s="8" t="s">
        <v>298</v>
      </c>
      <c r="D2476" s="7">
        <f t="shared" si="2938"/>
        <v>50800095</v>
      </c>
      <c r="E2476" s="8"/>
      <c r="F2476" s="8">
        <v>1</v>
      </c>
      <c r="G2476" s="7">
        <v>492000</v>
      </c>
      <c r="H2476" s="8" t="s">
        <v>299</v>
      </c>
      <c r="I2476" s="8">
        <v>1</v>
      </c>
      <c r="J2476" s="8">
        <v>240</v>
      </c>
      <c r="K2476" s="7" t="s">
        <v>312</v>
      </c>
      <c r="L2476" s="8">
        <v>88</v>
      </c>
      <c r="M2476" s="7">
        <f>IF(INDEX([1]equip.xml!$B:$B,MATCH(D2476,[1]equip.xml!$A:$A,0))=0,0,N2476)</f>
        <v>70</v>
      </c>
      <c r="N2476" s="8">
        <f t="shared" si="2939"/>
        <v>70</v>
      </c>
    </row>
    <row r="2477" spans="1:14">
      <c r="A2477" s="8">
        <f t="shared" si="2940"/>
        <v>30020</v>
      </c>
      <c r="B2477" s="8">
        <v>40000</v>
      </c>
      <c r="C2477" s="8" t="s">
        <v>298</v>
      </c>
      <c r="D2477" s="7">
        <f t="shared" si="2938"/>
        <v>50800105</v>
      </c>
      <c r="E2477" s="8"/>
      <c r="F2477" s="8">
        <v>1</v>
      </c>
      <c r="G2477" s="7">
        <v>492000</v>
      </c>
      <c r="H2477" s="8" t="s">
        <v>299</v>
      </c>
      <c r="I2477" s="8">
        <v>1</v>
      </c>
      <c r="J2477" s="8">
        <v>240</v>
      </c>
      <c r="K2477" s="7" t="s">
        <v>312</v>
      </c>
      <c r="L2477" s="8">
        <v>88</v>
      </c>
      <c r="M2477" s="7">
        <f>IF(INDEX([1]equip.xml!$B:$B,MATCH(D2477,[1]equip.xml!$A:$A,0))=0,0,N2477)</f>
        <v>70</v>
      </c>
      <c r="N2477" s="8">
        <f t="shared" si="2939"/>
        <v>70</v>
      </c>
    </row>
    <row r="2478" spans="1:14">
      <c r="A2478" s="8">
        <f t="shared" si="2940"/>
        <v>30020</v>
      </c>
      <c r="B2478" s="8">
        <v>40000</v>
      </c>
      <c r="C2478" s="8" t="s">
        <v>298</v>
      </c>
      <c r="D2478" s="7">
        <f t="shared" si="2938"/>
        <v>50801055</v>
      </c>
      <c r="E2478" s="8"/>
      <c r="F2478" s="8">
        <v>1</v>
      </c>
      <c r="G2478" s="7">
        <v>492000</v>
      </c>
      <c r="H2478" s="8" t="s">
        <v>299</v>
      </c>
      <c r="I2478" s="8">
        <v>1</v>
      </c>
      <c r="J2478" s="8">
        <v>240</v>
      </c>
      <c r="K2478" s="7" t="s">
        <v>312</v>
      </c>
      <c r="L2478" s="8">
        <v>88</v>
      </c>
      <c r="M2478" s="7">
        <f>IF(INDEX([1]equip.xml!$B:$B,MATCH(D2478,[1]equip.xml!$A:$A,0))=0,0,N2478)</f>
        <v>70</v>
      </c>
      <c r="N2478" s="8">
        <f t="shared" si="2939"/>
        <v>70</v>
      </c>
    </row>
    <row r="2479" spans="1:14">
      <c r="A2479" s="8">
        <f t="shared" si="2940"/>
        <v>30020</v>
      </c>
      <c r="B2479" s="8">
        <v>40000</v>
      </c>
      <c r="C2479" s="8" t="s">
        <v>298</v>
      </c>
      <c r="D2479" s="7">
        <f t="shared" si="2938"/>
        <v>50801056</v>
      </c>
      <c r="E2479" s="8"/>
      <c r="F2479" s="8">
        <v>1</v>
      </c>
      <c r="G2479" s="7">
        <v>510000</v>
      </c>
      <c r="H2479" s="8" t="s">
        <v>299</v>
      </c>
      <c r="I2479" s="8">
        <v>1</v>
      </c>
      <c r="J2479" s="8">
        <v>240</v>
      </c>
      <c r="K2479" s="7" t="s">
        <v>312</v>
      </c>
      <c r="L2479" s="8">
        <v>88</v>
      </c>
      <c r="M2479" s="7">
        <f>IF(INDEX([1]equip.xml!$B:$B,MATCH(D2479,[1]equip.xml!$A:$A,0))=0,0,N2479)</f>
        <v>70</v>
      </c>
      <c r="N2479" s="8">
        <f t="shared" si="2939"/>
        <v>70</v>
      </c>
    </row>
    <row r="2480" spans="1:14">
      <c r="A2480" s="8">
        <f t="shared" si="2940"/>
        <v>30020</v>
      </c>
      <c r="B2480" s="8">
        <v>40000</v>
      </c>
      <c r="C2480" s="8" t="s">
        <v>298</v>
      </c>
      <c r="D2480" s="7">
        <f t="shared" si="2938"/>
        <v>50801065</v>
      </c>
      <c r="E2480" s="8"/>
      <c r="F2480" s="8">
        <v>1</v>
      </c>
      <c r="G2480" s="7">
        <v>492000</v>
      </c>
      <c r="H2480" s="8" t="s">
        <v>299</v>
      </c>
      <c r="I2480" s="8">
        <v>1</v>
      </c>
      <c r="J2480" s="8">
        <v>240</v>
      </c>
      <c r="K2480" s="7" t="s">
        <v>312</v>
      </c>
      <c r="L2480" s="8">
        <v>88</v>
      </c>
      <c r="M2480" s="7">
        <f>IF(INDEX([1]equip.xml!$B:$B,MATCH(D2480,[1]equip.xml!$A:$A,0))=0,0,N2480)</f>
        <v>70</v>
      </c>
      <c r="N2480" s="8">
        <f t="shared" si="2939"/>
        <v>70</v>
      </c>
    </row>
    <row r="2481" spans="1:14">
      <c r="A2481" s="8">
        <f>A1953+10000</f>
        <v>30020</v>
      </c>
      <c r="B2481" s="8">
        <v>40000</v>
      </c>
      <c r="C2481" s="8" t="s">
        <v>298</v>
      </c>
      <c r="D2481" s="7">
        <f t="shared" si="2938"/>
        <v>50801066</v>
      </c>
      <c r="E2481" s="8"/>
      <c r="F2481" s="8">
        <v>1</v>
      </c>
      <c r="G2481" s="7">
        <v>510000</v>
      </c>
      <c r="H2481" s="8" t="s">
        <v>299</v>
      </c>
      <c r="I2481" s="8">
        <v>1</v>
      </c>
      <c r="J2481" s="8">
        <v>240</v>
      </c>
      <c r="K2481" s="7" t="s">
        <v>312</v>
      </c>
      <c r="L2481" s="8">
        <v>88</v>
      </c>
      <c r="M2481" s="7">
        <f>IF(INDEX([1]equip.xml!$B:$B,MATCH(D2481,[1]equip.xml!$A:$A,0))=0,0,N2481)</f>
        <v>70</v>
      </c>
      <c r="N2481" s="8">
        <f t="shared" si="2939"/>
        <v>70</v>
      </c>
    </row>
    <row r="2482" spans="1:14">
      <c r="A2482" s="8">
        <f t="shared" ref="A2482:A2545" si="2941">A1954+10000</f>
        <v>30020</v>
      </c>
      <c r="B2482" s="8">
        <v>40000</v>
      </c>
      <c r="C2482" s="8" t="s">
        <v>298</v>
      </c>
      <c r="D2482" s="7">
        <f t="shared" si="2938"/>
        <v>50802055</v>
      </c>
      <c r="E2482" s="8"/>
      <c r="F2482" s="8">
        <v>1</v>
      </c>
      <c r="G2482" s="7">
        <v>492000</v>
      </c>
      <c r="H2482" s="8" t="s">
        <v>299</v>
      </c>
      <c r="I2482" s="8">
        <v>1</v>
      </c>
      <c r="J2482" s="8">
        <v>240</v>
      </c>
      <c r="K2482" s="7" t="s">
        <v>312</v>
      </c>
      <c r="L2482" s="8">
        <v>88</v>
      </c>
      <c r="M2482" s="7">
        <f>IF(INDEX([1]equip.xml!$B:$B,MATCH(D2482,[1]equip.xml!$A:$A,0))=0,0,N2482)</f>
        <v>70</v>
      </c>
      <c r="N2482" s="8">
        <f t="shared" si="2939"/>
        <v>70</v>
      </c>
    </row>
    <row r="2483" spans="1:14">
      <c r="A2483" s="8">
        <f t="shared" si="2941"/>
        <v>30020</v>
      </c>
      <c r="B2483" s="8">
        <v>40000</v>
      </c>
      <c r="C2483" s="8" t="s">
        <v>298</v>
      </c>
      <c r="D2483" s="7">
        <f t="shared" si="2938"/>
        <v>50802056</v>
      </c>
      <c r="E2483" s="8"/>
      <c r="F2483" s="8">
        <v>1</v>
      </c>
      <c r="G2483" s="7">
        <v>510000</v>
      </c>
      <c r="H2483" s="8" t="s">
        <v>299</v>
      </c>
      <c r="I2483" s="8">
        <v>1</v>
      </c>
      <c r="J2483" s="8">
        <v>240</v>
      </c>
      <c r="K2483" s="7" t="s">
        <v>312</v>
      </c>
      <c r="L2483" s="8">
        <v>88</v>
      </c>
      <c r="M2483" s="7">
        <f>IF(INDEX([1]equip.xml!$B:$B,MATCH(D2483,[1]equip.xml!$A:$A,0))=0,0,N2483)</f>
        <v>70</v>
      </c>
      <c r="N2483" s="8">
        <f t="shared" si="2939"/>
        <v>70</v>
      </c>
    </row>
    <row r="2484" spans="1:14">
      <c r="A2484" s="8">
        <f t="shared" si="2941"/>
        <v>30020</v>
      </c>
      <c r="B2484" s="8">
        <v>40000</v>
      </c>
      <c r="C2484" s="8" t="s">
        <v>298</v>
      </c>
      <c r="D2484" s="7">
        <f t="shared" si="2938"/>
        <v>50802065</v>
      </c>
      <c r="E2484" s="8"/>
      <c r="F2484" s="8">
        <v>1</v>
      </c>
      <c r="G2484" s="7">
        <v>492000</v>
      </c>
      <c r="H2484" s="8" t="s">
        <v>299</v>
      </c>
      <c r="I2484" s="8">
        <v>1</v>
      </c>
      <c r="J2484" s="8">
        <v>240</v>
      </c>
      <c r="K2484" s="7" t="s">
        <v>312</v>
      </c>
      <c r="L2484" s="8">
        <v>88</v>
      </c>
      <c r="M2484" s="7">
        <f>IF(INDEX([1]equip.xml!$B:$B,MATCH(D2484,[1]equip.xml!$A:$A,0))=0,0,N2484)</f>
        <v>70</v>
      </c>
      <c r="N2484" s="8">
        <f t="shared" si="2939"/>
        <v>70</v>
      </c>
    </row>
    <row r="2485" spans="1:14">
      <c r="A2485" s="8">
        <f t="shared" si="2941"/>
        <v>30020</v>
      </c>
      <c r="B2485" s="8">
        <v>40000</v>
      </c>
      <c r="C2485" s="8" t="s">
        <v>298</v>
      </c>
      <c r="D2485" s="7">
        <f t="shared" si="2938"/>
        <v>50802066</v>
      </c>
      <c r="E2485" s="8"/>
      <c r="F2485" s="8">
        <v>1</v>
      </c>
      <c r="G2485" s="7">
        <v>510000</v>
      </c>
      <c r="H2485" s="8" t="s">
        <v>299</v>
      </c>
      <c r="I2485" s="8">
        <v>1</v>
      </c>
      <c r="J2485" s="8">
        <v>240</v>
      </c>
      <c r="K2485" s="7" t="s">
        <v>312</v>
      </c>
      <c r="L2485" s="8">
        <v>88</v>
      </c>
      <c r="M2485" s="7">
        <f>IF(INDEX([1]equip.xml!$B:$B,MATCH(D2485,[1]equip.xml!$A:$A,0))=0,0,N2485)</f>
        <v>70</v>
      </c>
      <c r="N2485" s="8">
        <f t="shared" si="2939"/>
        <v>70</v>
      </c>
    </row>
    <row r="2486" spans="1:14">
      <c r="A2486" s="8">
        <f t="shared" si="2941"/>
        <v>30020</v>
      </c>
      <c r="B2486" s="8">
        <v>40000</v>
      </c>
      <c r="C2486" s="8" t="s">
        <v>298</v>
      </c>
      <c r="D2486" s="7">
        <f t="shared" si="2938"/>
        <v>50803055</v>
      </c>
      <c r="E2486" s="8"/>
      <c r="F2486" s="8">
        <v>1</v>
      </c>
      <c r="G2486" s="7">
        <v>492000</v>
      </c>
      <c r="H2486" s="8" t="s">
        <v>299</v>
      </c>
      <c r="I2486" s="8">
        <v>1</v>
      </c>
      <c r="J2486" s="8">
        <v>240</v>
      </c>
      <c r="K2486" s="7" t="s">
        <v>312</v>
      </c>
      <c r="L2486" s="8">
        <v>88</v>
      </c>
      <c r="M2486" s="7">
        <f>IF(INDEX([1]equip.xml!$B:$B,MATCH(D2486,[1]equip.xml!$A:$A,0))=0,0,N2486)</f>
        <v>70</v>
      </c>
      <c r="N2486" s="8">
        <f t="shared" si="2939"/>
        <v>70</v>
      </c>
    </row>
    <row r="2487" spans="1:14">
      <c r="A2487" s="8">
        <f t="shared" si="2941"/>
        <v>30020</v>
      </c>
      <c r="B2487" s="8">
        <v>40000</v>
      </c>
      <c r="C2487" s="8" t="s">
        <v>298</v>
      </c>
      <c r="D2487" s="7">
        <f t="shared" si="2938"/>
        <v>50803056</v>
      </c>
      <c r="E2487" s="8"/>
      <c r="F2487" s="8">
        <v>1</v>
      </c>
      <c r="G2487" s="7">
        <v>510000</v>
      </c>
      <c r="H2487" s="8" t="s">
        <v>299</v>
      </c>
      <c r="I2487" s="8">
        <v>1</v>
      </c>
      <c r="J2487" s="8">
        <v>240</v>
      </c>
      <c r="K2487" s="7" t="s">
        <v>312</v>
      </c>
      <c r="L2487" s="8">
        <v>88</v>
      </c>
      <c r="M2487" s="7">
        <f>IF(INDEX([1]equip.xml!$B:$B,MATCH(D2487,[1]equip.xml!$A:$A,0))=0,0,N2487)</f>
        <v>70</v>
      </c>
      <c r="N2487" s="8">
        <f t="shared" si="2939"/>
        <v>70</v>
      </c>
    </row>
    <row r="2488" spans="1:14">
      <c r="A2488" s="8">
        <f t="shared" si="2941"/>
        <v>30020</v>
      </c>
      <c r="B2488" s="8">
        <v>40000</v>
      </c>
      <c r="C2488" s="8" t="s">
        <v>298</v>
      </c>
      <c r="D2488" s="7">
        <f t="shared" si="2938"/>
        <v>50803065</v>
      </c>
      <c r="E2488" s="8"/>
      <c r="F2488" s="8">
        <v>1</v>
      </c>
      <c r="G2488" s="7">
        <v>492000</v>
      </c>
      <c r="H2488" s="8" t="s">
        <v>299</v>
      </c>
      <c r="I2488" s="8">
        <v>1</v>
      </c>
      <c r="J2488" s="8">
        <v>240</v>
      </c>
      <c r="K2488" s="7" t="s">
        <v>312</v>
      </c>
      <c r="L2488" s="8">
        <v>88</v>
      </c>
      <c r="M2488" s="7">
        <f>IF(INDEX([1]equip.xml!$B:$B,MATCH(D2488,[1]equip.xml!$A:$A,0))=0,0,N2488)</f>
        <v>70</v>
      </c>
      <c r="N2488" s="8">
        <f t="shared" si="2939"/>
        <v>70</v>
      </c>
    </row>
    <row r="2489" spans="1:14">
      <c r="A2489" s="8">
        <f t="shared" si="2941"/>
        <v>30020</v>
      </c>
      <c r="B2489" s="8">
        <v>40000</v>
      </c>
      <c r="C2489" s="8" t="s">
        <v>298</v>
      </c>
      <c r="D2489" s="7">
        <f t="shared" si="2938"/>
        <v>50803066</v>
      </c>
      <c r="E2489" s="8"/>
      <c r="F2489" s="8">
        <v>1</v>
      </c>
      <c r="G2489" s="7">
        <v>510000</v>
      </c>
      <c r="H2489" s="8" t="s">
        <v>299</v>
      </c>
      <c r="I2489" s="8">
        <v>1</v>
      </c>
      <c r="J2489" s="8">
        <v>240</v>
      </c>
      <c r="K2489" s="7" t="s">
        <v>312</v>
      </c>
      <c r="L2489" s="8">
        <v>88</v>
      </c>
      <c r="M2489" s="7">
        <f>IF(INDEX([1]equip.xml!$B:$B,MATCH(D2489,[1]equip.xml!$A:$A,0))=0,0,N2489)</f>
        <v>70</v>
      </c>
      <c r="N2489" s="8">
        <f t="shared" si="2939"/>
        <v>70</v>
      </c>
    </row>
    <row r="2490" spans="1:14">
      <c r="A2490" s="8">
        <f t="shared" si="2941"/>
        <v>30020</v>
      </c>
      <c r="B2490" s="8">
        <v>40000</v>
      </c>
      <c r="C2490" s="8" t="s">
        <v>298</v>
      </c>
      <c r="D2490" s="7">
        <f t="shared" si="2938"/>
        <v>50800045</v>
      </c>
      <c r="E2490" s="8"/>
      <c r="F2490" s="8">
        <v>1</v>
      </c>
      <c r="G2490" s="7">
        <v>492000</v>
      </c>
      <c r="H2490" s="8" t="s">
        <v>299</v>
      </c>
      <c r="I2490" s="8">
        <v>1</v>
      </c>
      <c r="J2490" s="8">
        <v>240</v>
      </c>
      <c r="K2490" s="7" t="s">
        <v>312</v>
      </c>
      <c r="L2490" s="8">
        <v>88</v>
      </c>
      <c r="M2490" s="7">
        <f>IF(INDEX([1]equip.xml!$B:$B,MATCH(D2490,[1]equip.xml!$A:$A,0))=0,0,N2490)</f>
        <v>70</v>
      </c>
      <c r="N2490" s="8">
        <f t="shared" si="2939"/>
        <v>70</v>
      </c>
    </row>
    <row r="2491" spans="1:14">
      <c r="A2491" s="8">
        <f t="shared" si="2941"/>
        <v>30020</v>
      </c>
      <c r="B2491" s="8">
        <v>40000</v>
      </c>
      <c r="C2491" s="8" t="s">
        <v>298</v>
      </c>
      <c r="D2491" s="7">
        <f t="shared" si="2938"/>
        <v>50800046</v>
      </c>
      <c r="E2491" s="8"/>
      <c r="F2491" s="8">
        <v>1</v>
      </c>
      <c r="G2491" s="7">
        <v>510000</v>
      </c>
      <c r="H2491" s="8" t="s">
        <v>299</v>
      </c>
      <c r="I2491" s="8">
        <v>1</v>
      </c>
      <c r="J2491" s="8">
        <v>240</v>
      </c>
      <c r="K2491" s="7" t="s">
        <v>312</v>
      </c>
      <c r="L2491" s="8">
        <v>88</v>
      </c>
      <c r="M2491" s="7">
        <f>IF(INDEX([1]equip.xml!$B:$B,MATCH(D2491,[1]equip.xml!$A:$A,0))=0,0,N2491)</f>
        <v>70</v>
      </c>
      <c r="N2491" s="8">
        <f t="shared" si="2939"/>
        <v>70</v>
      </c>
    </row>
    <row r="2492" spans="1:14">
      <c r="A2492" s="8">
        <f t="shared" si="2941"/>
        <v>30020</v>
      </c>
      <c r="B2492" s="8">
        <v>40000</v>
      </c>
      <c r="C2492" s="8" t="s">
        <v>298</v>
      </c>
      <c r="D2492" s="7">
        <f t="shared" si="2938"/>
        <v>50800075</v>
      </c>
      <c r="E2492" s="8"/>
      <c r="F2492" s="8">
        <v>1</v>
      </c>
      <c r="G2492" s="7">
        <v>492000</v>
      </c>
      <c r="H2492" s="8" t="s">
        <v>299</v>
      </c>
      <c r="I2492" s="8">
        <v>1</v>
      </c>
      <c r="J2492" s="8">
        <v>240</v>
      </c>
      <c r="K2492" s="7" t="s">
        <v>312</v>
      </c>
      <c r="L2492" s="8">
        <v>88</v>
      </c>
      <c r="M2492" s="7">
        <f>IF(INDEX([1]equip.xml!$B:$B,MATCH(D2492,[1]equip.xml!$A:$A,0))=0,0,N2492)</f>
        <v>70</v>
      </c>
      <c r="N2492" s="8">
        <f t="shared" si="2939"/>
        <v>70</v>
      </c>
    </row>
    <row r="2493" spans="1:14">
      <c r="A2493" s="8">
        <f t="shared" si="2941"/>
        <v>30020</v>
      </c>
      <c r="B2493" s="8">
        <v>40000</v>
      </c>
      <c r="C2493" s="8" t="s">
        <v>298</v>
      </c>
      <c r="D2493" s="7">
        <f t="shared" si="2938"/>
        <v>50800076</v>
      </c>
      <c r="E2493" s="8"/>
      <c r="F2493" s="8">
        <v>1</v>
      </c>
      <c r="G2493" s="7">
        <v>510000</v>
      </c>
      <c r="H2493" s="8" t="s">
        <v>299</v>
      </c>
      <c r="I2493" s="8">
        <v>1</v>
      </c>
      <c r="J2493" s="8">
        <v>240</v>
      </c>
      <c r="K2493" s="7" t="s">
        <v>312</v>
      </c>
      <c r="L2493" s="8">
        <v>88</v>
      </c>
      <c r="M2493" s="7">
        <f>IF(INDEX([1]equip.xml!$B:$B,MATCH(D2493,[1]equip.xml!$A:$A,0))=0,0,N2493)</f>
        <v>70</v>
      </c>
      <c r="N2493" s="8">
        <f t="shared" si="2939"/>
        <v>70</v>
      </c>
    </row>
    <row r="2494" spans="1:14">
      <c r="A2494" s="8">
        <f>A1966+10000</f>
        <v>30021</v>
      </c>
      <c r="B2494" s="8">
        <v>40000</v>
      </c>
      <c r="C2494" s="8" t="s">
        <v>298</v>
      </c>
      <c r="D2494" s="8">
        <f t="shared" ref="D2494:D2537" si="2942">D2406+50000</f>
        <v>40800010</v>
      </c>
      <c r="E2494" s="8"/>
      <c r="F2494" s="8">
        <v>1</v>
      </c>
      <c r="G2494" s="7">
        <v>246000</v>
      </c>
      <c r="H2494" s="8" t="s">
        <v>299</v>
      </c>
      <c r="I2494" s="8">
        <v>6</v>
      </c>
      <c r="J2494" s="8">
        <v>50</v>
      </c>
      <c r="K2494" s="7" t="s">
        <v>312</v>
      </c>
      <c r="L2494" s="8">
        <v>92</v>
      </c>
      <c r="M2494" s="7">
        <f>IF(INDEX([1]equip.xml!$B:$B,MATCH(D2494,[1]equip.xml!$A:$A,0))=0,0,N2494)</f>
        <v>100</v>
      </c>
      <c r="N2494" s="8">
        <v>100</v>
      </c>
    </row>
    <row r="2495" spans="1:14">
      <c r="A2495" s="8">
        <f t="shared" si="2941"/>
        <v>30021</v>
      </c>
      <c r="B2495" s="8">
        <v>40000</v>
      </c>
      <c r="C2495" s="8" t="s">
        <v>298</v>
      </c>
      <c r="D2495" s="8">
        <f t="shared" si="2942"/>
        <v>40800020</v>
      </c>
      <c r="E2495" s="8"/>
      <c r="F2495" s="8">
        <v>1</v>
      </c>
      <c r="G2495" s="7">
        <v>246000</v>
      </c>
      <c r="H2495" s="8" t="s">
        <v>299</v>
      </c>
      <c r="I2495" s="8">
        <v>6</v>
      </c>
      <c r="J2495" s="8">
        <v>50</v>
      </c>
      <c r="K2495" s="7" t="s">
        <v>312</v>
      </c>
      <c r="L2495" s="8">
        <v>92</v>
      </c>
      <c r="M2495" s="7">
        <f>IF(INDEX([1]equip.xml!$B:$B,MATCH(D2495,[1]equip.xml!$A:$A,0))=0,0,N2495)</f>
        <v>100</v>
      </c>
      <c r="N2495" s="8">
        <v>100</v>
      </c>
    </row>
    <row r="2496" spans="1:14">
      <c r="A2496" s="8">
        <f t="shared" si="2941"/>
        <v>30021</v>
      </c>
      <c r="B2496" s="8">
        <v>40000</v>
      </c>
      <c r="C2496" s="8" t="s">
        <v>298</v>
      </c>
      <c r="D2496" s="8">
        <f t="shared" si="2942"/>
        <v>40800030</v>
      </c>
      <c r="E2496" s="8"/>
      <c r="F2496" s="8">
        <v>1</v>
      </c>
      <c r="G2496" s="7">
        <v>246000</v>
      </c>
      <c r="H2496" s="8" t="s">
        <v>299</v>
      </c>
      <c r="I2496" s="8">
        <v>6</v>
      </c>
      <c r="J2496" s="8">
        <v>50</v>
      </c>
      <c r="K2496" s="7" t="s">
        <v>312</v>
      </c>
      <c r="L2496" s="8">
        <v>92</v>
      </c>
      <c r="M2496" s="7">
        <f>IF(INDEX([1]equip.xml!$B:$B,MATCH(D2496,[1]equip.xml!$A:$A,0))=0,0,N2496)</f>
        <v>100</v>
      </c>
      <c r="N2496" s="8">
        <v>100</v>
      </c>
    </row>
    <row r="2497" spans="1:14">
      <c r="A2497" s="8">
        <f t="shared" si="2941"/>
        <v>30021</v>
      </c>
      <c r="B2497" s="8">
        <v>40000</v>
      </c>
      <c r="C2497" s="8" t="s">
        <v>298</v>
      </c>
      <c r="D2497" s="8">
        <f t="shared" si="2942"/>
        <v>40800080</v>
      </c>
      <c r="E2497" s="8"/>
      <c r="F2497" s="8">
        <v>1</v>
      </c>
      <c r="G2497" s="7">
        <v>246000</v>
      </c>
      <c r="H2497" s="8" t="s">
        <v>299</v>
      </c>
      <c r="I2497" s="8">
        <v>6</v>
      </c>
      <c r="J2497" s="8">
        <v>50</v>
      </c>
      <c r="K2497" s="7" t="s">
        <v>312</v>
      </c>
      <c r="L2497" s="8">
        <v>92</v>
      </c>
      <c r="M2497" s="7">
        <f>IF(INDEX([1]equip.xml!$B:$B,MATCH(D2497,[1]equip.xml!$A:$A,0))=0,0,N2497)</f>
        <v>100</v>
      </c>
      <c r="N2497" s="8">
        <v>100</v>
      </c>
    </row>
    <row r="2498" spans="1:14">
      <c r="A2498" s="8">
        <f t="shared" si="2941"/>
        <v>30021</v>
      </c>
      <c r="B2498" s="8">
        <v>40000</v>
      </c>
      <c r="C2498" s="8" t="s">
        <v>298</v>
      </c>
      <c r="D2498" s="8">
        <f t="shared" si="2942"/>
        <v>40800090</v>
      </c>
      <c r="E2498" s="8"/>
      <c r="F2498" s="8">
        <v>1</v>
      </c>
      <c r="G2498" s="7">
        <v>246000</v>
      </c>
      <c r="H2498" s="8" t="s">
        <v>299</v>
      </c>
      <c r="I2498" s="8">
        <v>6</v>
      </c>
      <c r="J2498" s="8">
        <v>50</v>
      </c>
      <c r="K2498" s="7" t="s">
        <v>312</v>
      </c>
      <c r="L2498" s="8">
        <v>92</v>
      </c>
      <c r="M2498" s="7">
        <f>IF(INDEX([1]equip.xml!$B:$B,MATCH(D2498,[1]equip.xml!$A:$A,0))=0,0,N2498)</f>
        <v>100</v>
      </c>
      <c r="N2498" s="8">
        <v>100</v>
      </c>
    </row>
    <row r="2499" spans="1:14">
      <c r="A2499" s="8">
        <f t="shared" si="2941"/>
        <v>30021</v>
      </c>
      <c r="B2499" s="8">
        <v>40000</v>
      </c>
      <c r="C2499" s="8" t="s">
        <v>298</v>
      </c>
      <c r="D2499" s="8">
        <f t="shared" si="2942"/>
        <v>40800100</v>
      </c>
      <c r="E2499" s="8"/>
      <c r="F2499" s="8">
        <v>1</v>
      </c>
      <c r="G2499" s="7">
        <v>246000</v>
      </c>
      <c r="H2499" s="8" t="s">
        <v>299</v>
      </c>
      <c r="I2499" s="8">
        <v>6</v>
      </c>
      <c r="J2499" s="8">
        <v>50</v>
      </c>
      <c r="K2499" s="7" t="s">
        <v>312</v>
      </c>
      <c r="L2499" s="8">
        <v>92</v>
      </c>
      <c r="M2499" s="7">
        <f>IF(INDEX([1]equip.xml!$B:$B,MATCH(D2499,[1]equip.xml!$A:$A,0))=0,0,N2499)</f>
        <v>100</v>
      </c>
      <c r="N2499" s="8">
        <v>100</v>
      </c>
    </row>
    <row r="2500" spans="1:14">
      <c r="A2500" s="8">
        <f t="shared" si="2941"/>
        <v>30021</v>
      </c>
      <c r="B2500" s="8">
        <v>40000</v>
      </c>
      <c r="C2500" s="8" t="s">
        <v>298</v>
      </c>
      <c r="D2500" s="8">
        <f t="shared" si="2942"/>
        <v>40801050</v>
      </c>
      <c r="E2500" s="8"/>
      <c r="F2500" s="8">
        <v>1</v>
      </c>
      <c r="G2500" s="7">
        <v>246000</v>
      </c>
      <c r="H2500" s="8" t="s">
        <v>299</v>
      </c>
      <c r="I2500" s="8">
        <v>6</v>
      </c>
      <c r="J2500" s="8">
        <v>50</v>
      </c>
      <c r="K2500" s="7" t="s">
        <v>312</v>
      </c>
      <c r="L2500" s="8">
        <v>92</v>
      </c>
      <c r="M2500" s="7">
        <f>IF(INDEX([1]equip.xml!$B:$B,MATCH(D2500,[1]equip.xml!$A:$A,0))=0,0,N2500)</f>
        <v>100</v>
      </c>
      <c r="N2500" s="8">
        <v>100</v>
      </c>
    </row>
    <row r="2501" spans="1:14">
      <c r="A2501" s="8">
        <f t="shared" si="2941"/>
        <v>30021</v>
      </c>
      <c r="B2501" s="8">
        <v>40000</v>
      </c>
      <c r="C2501" s="8" t="s">
        <v>298</v>
      </c>
      <c r="D2501" s="8">
        <f t="shared" si="2942"/>
        <v>40801051</v>
      </c>
      <c r="E2501" s="8"/>
      <c r="F2501" s="8">
        <v>1</v>
      </c>
      <c r="G2501" s="7">
        <v>255000</v>
      </c>
      <c r="H2501" s="8" t="s">
        <v>299</v>
      </c>
      <c r="I2501" s="8">
        <v>6</v>
      </c>
      <c r="J2501" s="8">
        <v>50</v>
      </c>
      <c r="K2501" s="7" t="s">
        <v>312</v>
      </c>
      <c r="L2501" s="8">
        <v>92</v>
      </c>
      <c r="M2501" s="7">
        <f>IF(INDEX([1]equip.xml!$B:$B,MATCH(D2501,[1]equip.xml!$A:$A,0))=0,0,N2501)</f>
        <v>100</v>
      </c>
      <c r="N2501" s="8">
        <v>100</v>
      </c>
    </row>
    <row r="2502" spans="1:14">
      <c r="A2502" s="8">
        <f t="shared" si="2941"/>
        <v>30021</v>
      </c>
      <c r="B2502" s="8">
        <v>40000</v>
      </c>
      <c r="C2502" s="8" t="s">
        <v>298</v>
      </c>
      <c r="D2502" s="8">
        <f t="shared" si="2942"/>
        <v>40801060</v>
      </c>
      <c r="E2502" s="8"/>
      <c r="F2502" s="8">
        <v>1</v>
      </c>
      <c r="G2502" s="7">
        <v>246000</v>
      </c>
      <c r="H2502" s="8" t="s">
        <v>299</v>
      </c>
      <c r="I2502" s="8">
        <v>6</v>
      </c>
      <c r="J2502" s="8">
        <v>50</v>
      </c>
      <c r="K2502" s="7" t="s">
        <v>312</v>
      </c>
      <c r="L2502" s="8">
        <v>92</v>
      </c>
      <c r="M2502" s="7">
        <f>IF(INDEX([1]equip.xml!$B:$B,MATCH(D2502,[1]equip.xml!$A:$A,0))=0,0,N2502)</f>
        <v>100</v>
      </c>
      <c r="N2502" s="8">
        <v>100</v>
      </c>
    </row>
    <row r="2503" spans="1:14">
      <c r="A2503" s="8">
        <f t="shared" si="2941"/>
        <v>30021</v>
      </c>
      <c r="B2503" s="8">
        <v>40000</v>
      </c>
      <c r="C2503" s="8" t="s">
        <v>298</v>
      </c>
      <c r="D2503" s="8">
        <f t="shared" si="2942"/>
        <v>40801061</v>
      </c>
      <c r="E2503" s="8"/>
      <c r="F2503" s="8">
        <v>1</v>
      </c>
      <c r="G2503" s="7">
        <v>255000</v>
      </c>
      <c r="H2503" s="8" t="s">
        <v>299</v>
      </c>
      <c r="I2503" s="8">
        <v>6</v>
      </c>
      <c r="J2503" s="8">
        <v>50</v>
      </c>
      <c r="K2503" s="7" t="s">
        <v>312</v>
      </c>
      <c r="L2503" s="8">
        <v>92</v>
      </c>
      <c r="M2503" s="7">
        <f>IF(INDEX([1]equip.xml!$B:$B,MATCH(D2503,[1]equip.xml!$A:$A,0))=0,0,N2503)</f>
        <v>100</v>
      </c>
      <c r="N2503" s="8">
        <v>100</v>
      </c>
    </row>
    <row r="2504" spans="1:14">
      <c r="A2504" s="8">
        <f t="shared" si="2941"/>
        <v>30021</v>
      </c>
      <c r="B2504" s="8">
        <v>40000</v>
      </c>
      <c r="C2504" s="8" t="s">
        <v>298</v>
      </c>
      <c r="D2504" s="8">
        <f t="shared" si="2942"/>
        <v>40802050</v>
      </c>
      <c r="E2504" s="8"/>
      <c r="F2504" s="8">
        <v>1</v>
      </c>
      <c r="G2504" s="7">
        <v>246000</v>
      </c>
      <c r="H2504" s="8" t="s">
        <v>299</v>
      </c>
      <c r="I2504" s="8">
        <v>6</v>
      </c>
      <c r="J2504" s="8">
        <v>50</v>
      </c>
      <c r="K2504" s="7" t="s">
        <v>312</v>
      </c>
      <c r="L2504" s="8">
        <v>92</v>
      </c>
      <c r="M2504" s="7">
        <f>IF(INDEX([1]equip.xml!$B:$B,MATCH(D2504,[1]equip.xml!$A:$A,0))=0,0,N2504)</f>
        <v>100</v>
      </c>
      <c r="N2504" s="8">
        <v>100</v>
      </c>
    </row>
    <row r="2505" spans="1:14">
      <c r="A2505" s="8">
        <f t="shared" si="2941"/>
        <v>30021</v>
      </c>
      <c r="B2505" s="8">
        <v>40000</v>
      </c>
      <c r="C2505" s="8" t="s">
        <v>298</v>
      </c>
      <c r="D2505" s="8">
        <f t="shared" si="2942"/>
        <v>40802051</v>
      </c>
      <c r="E2505" s="8"/>
      <c r="F2505" s="8">
        <v>1</v>
      </c>
      <c r="G2505" s="7">
        <v>255000</v>
      </c>
      <c r="H2505" s="8" t="s">
        <v>299</v>
      </c>
      <c r="I2505" s="8">
        <v>6</v>
      </c>
      <c r="J2505" s="8">
        <v>50</v>
      </c>
      <c r="K2505" s="7" t="s">
        <v>312</v>
      </c>
      <c r="L2505" s="8">
        <v>92</v>
      </c>
      <c r="M2505" s="7">
        <f>IF(INDEX([1]equip.xml!$B:$B,MATCH(D2505,[1]equip.xml!$A:$A,0))=0,0,N2505)</f>
        <v>100</v>
      </c>
      <c r="N2505" s="8">
        <v>100</v>
      </c>
    </row>
    <row r="2506" spans="1:14">
      <c r="A2506" s="8">
        <f t="shared" si="2941"/>
        <v>30021</v>
      </c>
      <c r="B2506" s="8">
        <v>40000</v>
      </c>
      <c r="C2506" s="8" t="s">
        <v>298</v>
      </c>
      <c r="D2506" s="8">
        <f t="shared" si="2942"/>
        <v>40802060</v>
      </c>
      <c r="E2506" s="8"/>
      <c r="F2506" s="8">
        <v>1</v>
      </c>
      <c r="G2506" s="7">
        <v>246000</v>
      </c>
      <c r="H2506" s="8" t="s">
        <v>299</v>
      </c>
      <c r="I2506" s="8">
        <v>6</v>
      </c>
      <c r="J2506" s="8">
        <v>50</v>
      </c>
      <c r="K2506" s="7" t="s">
        <v>312</v>
      </c>
      <c r="L2506" s="8">
        <v>92</v>
      </c>
      <c r="M2506" s="7">
        <f>IF(INDEX([1]equip.xml!$B:$B,MATCH(D2506,[1]equip.xml!$A:$A,0))=0,0,N2506)</f>
        <v>100</v>
      </c>
      <c r="N2506" s="8">
        <v>100</v>
      </c>
    </row>
    <row r="2507" spans="1:14">
      <c r="A2507" s="8">
        <f t="shared" si="2941"/>
        <v>30021</v>
      </c>
      <c r="B2507" s="8">
        <v>40000</v>
      </c>
      <c r="C2507" s="8" t="s">
        <v>298</v>
      </c>
      <c r="D2507" s="8">
        <f t="shared" si="2942"/>
        <v>40802061</v>
      </c>
      <c r="E2507" s="8"/>
      <c r="F2507" s="8">
        <v>1</v>
      </c>
      <c r="G2507" s="7">
        <v>255000</v>
      </c>
      <c r="H2507" s="8" t="s">
        <v>299</v>
      </c>
      <c r="I2507" s="8">
        <v>6</v>
      </c>
      <c r="J2507" s="8">
        <v>50</v>
      </c>
      <c r="K2507" s="7" t="s">
        <v>312</v>
      </c>
      <c r="L2507" s="8">
        <v>92</v>
      </c>
      <c r="M2507" s="7">
        <f>IF(INDEX([1]equip.xml!$B:$B,MATCH(D2507,[1]equip.xml!$A:$A,0))=0,0,N2507)</f>
        <v>100</v>
      </c>
      <c r="N2507" s="8">
        <v>100</v>
      </c>
    </row>
    <row r="2508" spans="1:14">
      <c r="A2508" s="8">
        <f t="shared" si="2941"/>
        <v>30021</v>
      </c>
      <c r="B2508" s="8">
        <v>40000</v>
      </c>
      <c r="C2508" s="8" t="s">
        <v>298</v>
      </c>
      <c r="D2508" s="8">
        <f t="shared" si="2942"/>
        <v>40803050</v>
      </c>
      <c r="E2508" s="8"/>
      <c r="F2508" s="8">
        <v>1</v>
      </c>
      <c r="G2508" s="7">
        <v>246000</v>
      </c>
      <c r="H2508" s="8" t="s">
        <v>299</v>
      </c>
      <c r="I2508" s="8">
        <v>6</v>
      </c>
      <c r="J2508" s="8">
        <v>50</v>
      </c>
      <c r="K2508" s="7" t="s">
        <v>312</v>
      </c>
      <c r="L2508" s="8">
        <v>92</v>
      </c>
      <c r="M2508" s="7">
        <f>IF(INDEX([1]equip.xml!$B:$B,MATCH(D2508,[1]equip.xml!$A:$A,0))=0,0,N2508)</f>
        <v>100</v>
      </c>
      <c r="N2508" s="8">
        <v>100</v>
      </c>
    </row>
    <row r="2509" spans="1:14">
      <c r="A2509" s="8">
        <f t="shared" si="2941"/>
        <v>30021</v>
      </c>
      <c r="B2509" s="8">
        <v>40000</v>
      </c>
      <c r="C2509" s="8" t="s">
        <v>298</v>
      </c>
      <c r="D2509" s="8">
        <f t="shared" si="2942"/>
        <v>40803051</v>
      </c>
      <c r="E2509" s="8"/>
      <c r="F2509" s="8">
        <v>1</v>
      </c>
      <c r="G2509" s="7">
        <v>255000</v>
      </c>
      <c r="H2509" s="8" t="s">
        <v>299</v>
      </c>
      <c r="I2509" s="8">
        <v>6</v>
      </c>
      <c r="J2509" s="8">
        <v>50</v>
      </c>
      <c r="K2509" s="7" t="s">
        <v>312</v>
      </c>
      <c r="L2509" s="8">
        <v>92</v>
      </c>
      <c r="M2509" s="7">
        <f>IF(INDEX([1]equip.xml!$B:$B,MATCH(D2509,[1]equip.xml!$A:$A,0))=0,0,N2509)</f>
        <v>100</v>
      </c>
      <c r="N2509" s="8">
        <v>100</v>
      </c>
    </row>
    <row r="2510" spans="1:14">
      <c r="A2510" s="8">
        <f t="shared" si="2941"/>
        <v>30021</v>
      </c>
      <c r="B2510" s="8">
        <v>40000</v>
      </c>
      <c r="C2510" s="8" t="s">
        <v>298</v>
      </c>
      <c r="D2510" s="8">
        <f t="shared" si="2942"/>
        <v>40803060</v>
      </c>
      <c r="E2510" s="8"/>
      <c r="F2510" s="8">
        <v>1</v>
      </c>
      <c r="G2510" s="7">
        <v>246000</v>
      </c>
      <c r="H2510" s="8" t="s">
        <v>299</v>
      </c>
      <c r="I2510" s="8">
        <v>6</v>
      </c>
      <c r="J2510" s="8">
        <v>50</v>
      </c>
      <c r="K2510" s="7" t="s">
        <v>312</v>
      </c>
      <c r="L2510" s="8">
        <v>92</v>
      </c>
      <c r="M2510" s="7">
        <f>IF(INDEX([1]equip.xml!$B:$B,MATCH(D2510,[1]equip.xml!$A:$A,0))=0,0,N2510)</f>
        <v>100</v>
      </c>
      <c r="N2510" s="8">
        <v>100</v>
      </c>
    </row>
    <row r="2511" spans="1:14">
      <c r="A2511" s="8">
        <f t="shared" si="2941"/>
        <v>30021</v>
      </c>
      <c r="B2511" s="8">
        <v>40000</v>
      </c>
      <c r="C2511" s="8" t="s">
        <v>298</v>
      </c>
      <c r="D2511" s="8">
        <f t="shared" si="2942"/>
        <v>40803061</v>
      </c>
      <c r="E2511" s="8"/>
      <c r="F2511" s="8">
        <v>1</v>
      </c>
      <c r="G2511" s="7">
        <v>255000</v>
      </c>
      <c r="H2511" s="8" t="s">
        <v>299</v>
      </c>
      <c r="I2511" s="8">
        <v>6</v>
      </c>
      <c r="J2511" s="8">
        <v>50</v>
      </c>
      <c r="K2511" s="7" t="s">
        <v>312</v>
      </c>
      <c r="L2511" s="8">
        <v>92</v>
      </c>
      <c r="M2511" s="7">
        <f>IF(INDEX([1]equip.xml!$B:$B,MATCH(D2511,[1]equip.xml!$A:$A,0))=0,0,N2511)</f>
        <v>100</v>
      </c>
      <c r="N2511" s="8">
        <v>100</v>
      </c>
    </row>
    <row r="2512" spans="1:14">
      <c r="A2512" s="8">
        <f t="shared" si="2941"/>
        <v>30021</v>
      </c>
      <c r="B2512" s="8">
        <v>40000</v>
      </c>
      <c r="C2512" s="8" t="s">
        <v>298</v>
      </c>
      <c r="D2512" s="8">
        <f t="shared" si="2942"/>
        <v>40800040</v>
      </c>
      <c r="E2512" s="8"/>
      <c r="F2512" s="8">
        <v>1</v>
      </c>
      <c r="G2512" s="7">
        <v>246000</v>
      </c>
      <c r="H2512" s="8" t="s">
        <v>299</v>
      </c>
      <c r="I2512" s="8">
        <v>6</v>
      </c>
      <c r="J2512" s="8">
        <v>50</v>
      </c>
      <c r="K2512" s="7" t="s">
        <v>312</v>
      </c>
      <c r="L2512" s="8">
        <v>92</v>
      </c>
      <c r="M2512" s="7">
        <f>IF(INDEX([1]equip.xml!$B:$B,MATCH(D2512,[1]equip.xml!$A:$A,0))=0,0,N2512)</f>
        <v>100</v>
      </c>
      <c r="N2512" s="8">
        <v>100</v>
      </c>
    </row>
    <row r="2513" spans="1:14">
      <c r="A2513" s="8">
        <f t="shared" si="2941"/>
        <v>30021</v>
      </c>
      <c r="B2513" s="8">
        <v>40000</v>
      </c>
      <c r="C2513" s="8" t="s">
        <v>298</v>
      </c>
      <c r="D2513" s="8">
        <f t="shared" si="2942"/>
        <v>40800041</v>
      </c>
      <c r="E2513" s="8"/>
      <c r="F2513" s="8">
        <v>1</v>
      </c>
      <c r="G2513" s="7">
        <v>255000</v>
      </c>
      <c r="H2513" s="8" t="s">
        <v>299</v>
      </c>
      <c r="I2513" s="8">
        <v>6</v>
      </c>
      <c r="J2513" s="8">
        <v>50</v>
      </c>
      <c r="K2513" s="7" t="s">
        <v>312</v>
      </c>
      <c r="L2513" s="8">
        <v>92</v>
      </c>
      <c r="M2513" s="7">
        <f>IF(INDEX([1]equip.xml!$B:$B,MATCH(D2513,[1]equip.xml!$A:$A,0))=0,0,N2513)</f>
        <v>100</v>
      </c>
      <c r="N2513" s="8">
        <v>100</v>
      </c>
    </row>
    <row r="2514" spans="1:14">
      <c r="A2514" s="8">
        <f t="shared" si="2941"/>
        <v>30021</v>
      </c>
      <c r="B2514" s="8">
        <v>40000</v>
      </c>
      <c r="C2514" s="8" t="s">
        <v>298</v>
      </c>
      <c r="D2514" s="8">
        <f t="shared" si="2942"/>
        <v>40800070</v>
      </c>
      <c r="E2514" s="8"/>
      <c r="F2514" s="8">
        <v>1</v>
      </c>
      <c r="G2514" s="7">
        <v>246000</v>
      </c>
      <c r="H2514" s="8" t="s">
        <v>299</v>
      </c>
      <c r="I2514" s="8">
        <v>6</v>
      </c>
      <c r="J2514" s="8">
        <v>50</v>
      </c>
      <c r="K2514" s="7" t="s">
        <v>312</v>
      </c>
      <c r="L2514" s="8">
        <v>92</v>
      </c>
      <c r="M2514" s="7">
        <f>IF(INDEX([1]equip.xml!$B:$B,MATCH(D2514,[1]equip.xml!$A:$A,0))=0,0,N2514)</f>
        <v>100</v>
      </c>
      <c r="N2514" s="8">
        <v>100</v>
      </c>
    </row>
    <row r="2515" spans="1:14">
      <c r="A2515" s="8">
        <f t="shared" si="2941"/>
        <v>30021</v>
      </c>
      <c r="B2515" s="8">
        <v>40000</v>
      </c>
      <c r="C2515" s="8" t="s">
        <v>298</v>
      </c>
      <c r="D2515" s="8">
        <f t="shared" si="2942"/>
        <v>40800071</v>
      </c>
      <c r="E2515" s="8"/>
      <c r="F2515" s="8">
        <v>1</v>
      </c>
      <c r="G2515" s="7">
        <v>255000</v>
      </c>
      <c r="H2515" s="8" t="s">
        <v>299</v>
      </c>
      <c r="I2515" s="8">
        <v>6</v>
      </c>
      <c r="J2515" s="8">
        <v>50</v>
      </c>
      <c r="K2515" s="7" t="s">
        <v>312</v>
      </c>
      <c r="L2515" s="8">
        <v>92</v>
      </c>
      <c r="M2515" s="7">
        <f>IF(INDEX([1]equip.xml!$B:$B,MATCH(D2515,[1]equip.xml!$A:$A,0))=0,0,N2515)</f>
        <v>100</v>
      </c>
      <c r="N2515" s="8">
        <v>100</v>
      </c>
    </row>
    <row r="2516" spans="1:14">
      <c r="A2516" s="8">
        <f t="shared" si="2941"/>
        <v>30021</v>
      </c>
      <c r="B2516" s="8">
        <v>40000</v>
      </c>
      <c r="C2516" s="8" t="s">
        <v>298</v>
      </c>
      <c r="D2516" s="8">
        <f t="shared" si="2942"/>
        <v>40850010</v>
      </c>
      <c r="E2516" s="8"/>
      <c r="F2516" s="8">
        <v>1</v>
      </c>
      <c r="G2516" s="7">
        <v>264000</v>
      </c>
      <c r="H2516" s="8" t="s">
        <v>299</v>
      </c>
      <c r="I2516" s="8">
        <v>6</v>
      </c>
      <c r="J2516" s="8">
        <v>50</v>
      </c>
      <c r="K2516" s="7" t="s">
        <v>312</v>
      </c>
      <c r="L2516" s="8">
        <v>92</v>
      </c>
      <c r="M2516" s="7">
        <f>IF(INDEX([1]equip.xml!$B:$B,MATCH(D2516,[1]equip.xml!$A:$A,0))=0,0,N2516)</f>
        <v>17</v>
      </c>
      <c r="N2516" s="8">
        <v>17</v>
      </c>
    </row>
    <row r="2517" spans="1:14">
      <c r="A2517" s="8">
        <f t="shared" si="2941"/>
        <v>30021</v>
      </c>
      <c r="B2517" s="8">
        <v>40000</v>
      </c>
      <c r="C2517" s="8" t="s">
        <v>298</v>
      </c>
      <c r="D2517" s="8">
        <f t="shared" si="2942"/>
        <v>40850020</v>
      </c>
      <c r="E2517" s="8"/>
      <c r="F2517" s="8">
        <v>1</v>
      </c>
      <c r="G2517" s="7">
        <v>264000</v>
      </c>
      <c r="H2517" s="8" t="s">
        <v>299</v>
      </c>
      <c r="I2517" s="8">
        <v>6</v>
      </c>
      <c r="J2517" s="8">
        <v>50</v>
      </c>
      <c r="K2517" s="7" t="s">
        <v>312</v>
      </c>
      <c r="L2517" s="8">
        <v>92</v>
      </c>
      <c r="M2517" s="7">
        <f>IF(INDEX([1]equip.xml!$B:$B,MATCH(D2517,[1]equip.xml!$A:$A,0))=0,0,N2517)</f>
        <v>17</v>
      </c>
      <c r="N2517" s="8">
        <v>17</v>
      </c>
    </row>
    <row r="2518" spans="1:14">
      <c r="A2518" s="8">
        <f t="shared" si="2941"/>
        <v>30021</v>
      </c>
      <c r="B2518" s="8">
        <v>40000</v>
      </c>
      <c r="C2518" s="8" t="s">
        <v>298</v>
      </c>
      <c r="D2518" s="8">
        <f t="shared" si="2942"/>
        <v>40850030</v>
      </c>
      <c r="E2518" s="8"/>
      <c r="F2518" s="8">
        <v>1</v>
      </c>
      <c r="G2518" s="7">
        <v>264000</v>
      </c>
      <c r="H2518" s="8" t="s">
        <v>299</v>
      </c>
      <c r="I2518" s="8">
        <v>6</v>
      </c>
      <c r="J2518" s="8">
        <v>50</v>
      </c>
      <c r="K2518" s="7" t="s">
        <v>312</v>
      </c>
      <c r="L2518" s="8">
        <v>92</v>
      </c>
      <c r="M2518" s="7">
        <f>IF(INDEX([1]equip.xml!$B:$B,MATCH(D2518,[1]equip.xml!$A:$A,0))=0,0,N2518)</f>
        <v>17</v>
      </c>
      <c r="N2518" s="8">
        <v>17</v>
      </c>
    </row>
    <row r="2519" spans="1:14">
      <c r="A2519" s="8">
        <f t="shared" si="2941"/>
        <v>30021</v>
      </c>
      <c r="B2519" s="8">
        <v>40000</v>
      </c>
      <c r="C2519" s="8" t="s">
        <v>298</v>
      </c>
      <c r="D2519" s="8">
        <f t="shared" si="2942"/>
        <v>40850080</v>
      </c>
      <c r="E2519" s="8"/>
      <c r="F2519" s="8">
        <v>1</v>
      </c>
      <c r="G2519" s="7">
        <v>264000</v>
      </c>
      <c r="H2519" s="8" t="s">
        <v>299</v>
      </c>
      <c r="I2519" s="8">
        <v>6</v>
      </c>
      <c r="J2519" s="8">
        <v>50</v>
      </c>
      <c r="K2519" s="7" t="s">
        <v>312</v>
      </c>
      <c r="L2519" s="8">
        <v>92</v>
      </c>
      <c r="M2519" s="7">
        <f>IF(INDEX([1]equip.xml!$B:$B,MATCH(D2519,[1]equip.xml!$A:$A,0))=0,0,N2519)</f>
        <v>17</v>
      </c>
      <c r="N2519" s="8">
        <v>17</v>
      </c>
    </row>
    <row r="2520" spans="1:14">
      <c r="A2520" s="8">
        <f t="shared" si="2941"/>
        <v>30021</v>
      </c>
      <c r="B2520" s="8">
        <v>40000</v>
      </c>
      <c r="C2520" s="8" t="s">
        <v>298</v>
      </c>
      <c r="D2520" s="8">
        <f t="shared" si="2942"/>
        <v>40850090</v>
      </c>
      <c r="E2520" s="8"/>
      <c r="F2520" s="8">
        <v>1</v>
      </c>
      <c r="G2520" s="7">
        <v>264000</v>
      </c>
      <c r="H2520" s="8" t="s">
        <v>299</v>
      </c>
      <c r="I2520" s="8">
        <v>6</v>
      </c>
      <c r="J2520" s="8">
        <v>50</v>
      </c>
      <c r="K2520" s="7" t="s">
        <v>312</v>
      </c>
      <c r="L2520" s="8">
        <v>92</v>
      </c>
      <c r="M2520" s="7">
        <f>IF(INDEX([1]equip.xml!$B:$B,MATCH(D2520,[1]equip.xml!$A:$A,0))=0,0,N2520)</f>
        <v>17</v>
      </c>
      <c r="N2520" s="8">
        <v>17</v>
      </c>
    </row>
    <row r="2521" spans="1:14">
      <c r="A2521" s="8">
        <f t="shared" si="2941"/>
        <v>30021</v>
      </c>
      <c r="B2521" s="8">
        <v>40000</v>
      </c>
      <c r="C2521" s="8" t="s">
        <v>298</v>
      </c>
      <c r="D2521" s="8">
        <f t="shared" si="2942"/>
        <v>40850100</v>
      </c>
      <c r="E2521" s="8"/>
      <c r="F2521" s="8">
        <v>1</v>
      </c>
      <c r="G2521" s="7">
        <v>264000</v>
      </c>
      <c r="H2521" s="8" t="s">
        <v>299</v>
      </c>
      <c r="I2521" s="8">
        <v>6</v>
      </c>
      <c r="J2521" s="8">
        <v>50</v>
      </c>
      <c r="K2521" s="7" t="s">
        <v>312</v>
      </c>
      <c r="L2521" s="8">
        <v>92</v>
      </c>
      <c r="M2521" s="7">
        <f>IF(INDEX([1]equip.xml!$B:$B,MATCH(D2521,[1]equip.xml!$A:$A,0))=0,0,N2521)</f>
        <v>17</v>
      </c>
      <c r="N2521" s="8">
        <v>17</v>
      </c>
    </row>
    <row r="2522" spans="1:14">
      <c r="A2522" s="8">
        <f t="shared" si="2941"/>
        <v>30021</v>
      </c>
      <c r="B2522" s="8">
        <v>40000</v>
      </c>
      <c r="C2522" s="8" t="s">
        <v>298</v>
      </c>
      <c r="D2522" s="8">
        <f t="shared" si="2942"/>
        <v>40851050</v>
      </c>
      <c r="E2522" s="8"/>
      <c r="F2522" s="8">
        <v>1</v>
      </c>
      <c r="G2522" s="7">
        <v>264000</v>
      </c>
      <c r="H2522" s="8" t="s">
        <v>299</v>
      </c>
      <c r="I2522" s="8">
        <v>6</v>
      </c>
      <c r="J2522" s="8">
        <v>50</v>
      </c>
      <c r="K2522" s="7" t="s">
        <v>312</v>
      </c>
      <c r="L2522" s="8">
        <v>92</v>
      </c>
      <c r="M2522" s="7">
        <f>IF(INDEX([1]equip.xml!$B:$B,MATCH(D2522,[1]equip.xml!$A:$A,0))=0,0,N2522)</f>
        <v>17</v>
      </c>
      <c r="N2522" s="8">
        <v>17</v>
      </c>
    </row>
    <row r="2523" spans="1:14">
      <c r="A2523" s="8">
        <f t="shared" si="2941"/>
        <v>30021</v>
      </c>
      <c r="B2523" s="8">
        <v>40000</v>
      </c>
      <c r="C2523" s="8" t="s">
        <v>298</v>
      </c>
      <c r="D2523" s="8">
        <f t="shared" si="2942"/>
        <v>40851051</v>
      </c>
      <c r="E2523" s="8"/>
      <c r="F2523" s="8">
        <v>1</v>
      </c>
      <c r="G2523" s="7">
        <v>273000</v>
      </c>
      <c r="H2523" s="8" t="s">
        <v>299</v>
      </c>
      <c r="I2523" s="8">
        <v>6</v>
      </c>
      <c r="J2523" s="8">
        <v>50</v>
      </c>
      <c r="K2523" s="7" t="s">
        <v>312</v>
      </c>
      <c r="L2523" s="8">
        <v>92</v>
      </c>
      <c r="M2523" s="7">
        <f>IF(INDEX([1]equip.xml!$B:$B,MATCH(D2523,[1]equip.xml!$A:$A,0))=0,0,N2523)</f>
        <v>17</v>
      </c>
      <c r="N2523" s="8">
        <v>17</v>
      </c>
    </row>
    <row r="2524" spans="1:14">
      <c r="A2524" s="8">
        <f t="shared" si="2941"/>
        <v>30021</v>
      </c>
      <c r="B2524" s="8">
        <v>40000</v>
      </c>
      <c r="C2524" s="8" t="s">
        <v>298</v>
      </c>
      <c r="D2524" s="8">
        <f t="shared" si="2942"/>
        <v>40851060</v>
      </c>
      <c r="E2524" s="8"/>
      <c r="F2524" s="8">
        <v>1</v>
      </c>
      <c r="G2524" s="7">
        <v>264000</v>
      </c>
      <c r="H2524" s="8" t="s">
        <v>299</v>
      </c>
      <c r="I2524" s="8">
        <v>6</v>
      </c>
      <c r="J2524" s="8">
        <v>50</v>
      </c>
      <c r="K2524" s="7" t="s">
        <v>312</v>
      </c>
      <c r="L2524" s="8">
        <v>92</v>
      </c>
      <c r="M2524" s="7">
        <f>IF(INDEX([1]equip.xml!$B:$B,MATCH(D2524,[1]equip.xml!$A:$A,0))=0,0,N2524)</f>
        <v>17</v>
      </c>
      <c r="N2524" s="8">
        <v>17</v>
      </c>
    </row>
    <row r="2525" spans="1:14">
      <c r="A2525" s="8">
        <f t="shared" si="2941"/>
        <v>30021</v>
      </c>
      <c r="B2525" s="8">
        <v>40000</v>
      </c>
      <c r="C2525" s="8" t="s">
        <v>298</v>
      </c>
      <c r="D2525" s="8">
        <f t="shared" si="2942"/>
        <v>40851061</v>
      </c>
      <c r="E2525" s="8"/>
      <c r="F2525" s="8">
        <v>1</v>
      </c>
      <c r="G2525" s="7">
        <v>273000</v>
      </c>
      <c r="H2525" s="8" t="s">
        <v>299</v>
      </c>
      <c r="I2525" s="8">
        <v>6</v>
      </c>
      <c r="J2525" s="8">
        <v>50</v>
      </c>
      <c r="K2525" s="7" t="s">
        <v>312</v>
      </c>
      <c r="L2525" s="8">
        <v>92</v>
      </c>
      <c r="M2525" s="7">
        <f>IF(INDEX([1]equip.xml!$B:$B,MATCH(D2525,[1]equip.xml!$A:$A,0))=0,0,N2525)</f>
        <v>17</v>
      </c>
      <c r="N2525" s="8">
        <v>17</v>
      </c>
    </row>
    <row r="2526" spans="1:14">
      <c r="A2526" s="8">
        <f t="shared" si="2941"/>
        <v>30021</v>
      </c>
      <c r="B2526" s="8">
        <v>40000</v>
      </c>
      <c r="C2526" s="8" t="s">
        <v>298</v>
      </c>
      <c r="D2526" s="8">
        <f t="shared" si="2942"/>
        <v>40852050</v>
      </c>
      <c r="E2526" s="8"/>
      <c r="F2526" s="8">
        <v>1</v>
      </c>
      <c r="G2526" s="7">
        <v>264000</v>
      </c>
      <c r="H2526" s="8" t="s">
        <v>299</v>
      </c>
      <c r="I2526" s="8">
        <v>6</v>
      </c>
      <c r="J2526" s="8">
        <v>50</v>
      </c>
      <c r="K2526" s="7" t="s">
        <v>312</v>
      </c>
      <c r="L2526" s="8">
        <v>92</v>
      </c>
      <c r="M2526" s="7">
        <f>IF(INDEX([1]equip.xml!$B:$B,MATCH(D2526,[1]equip.xml!$A:$A,0))=0,0,N2526)</f>
        <v>17</v>
      </c>
      <c r="N2526" s="8">
        <v>17</v>
      </c>
    </row>
    <row r="2527" spans="1:14">
      <c r="A2527" s="8">
        <f t="shared" si="2941"/>
        <v>30021</v>
      </c>
      <c r="B2527" s="8">
        <v>40000</v>
      </c>
      <c r="C2527" s="8" t="s">
        <v>298</v>
      </c>
      <c r="D2527" s="8">
        <f t="shared" si="2942"/>
        <v>40852051</v>
      </c>
      <c r="E2527" s="8"/>
      <c r="F2527" s="8">
        <v>1</v>
      </c>
      <c r="G2527" s="7">
        <v>273000</v>
      </c>
      <c r="H2527" s="8" t="s">
        <v>299</v>
      </c>
      <c r="I2527" s="8">
        <v>6</v>
      </c>
      <c r="J2527" s="8">
        <v>50</v>
      </c>
      <c r="K2527" s="7" t="s">
        <v>312</v>
      </c>
      <c r="L2527" s="8">
        <v>92</v>
      </c>
      <c r="M2527" s="7">
        <f>IF(INDEX([1]equip.xml!$B:$B,MATCH(D2527,[1]equip.xml!$A:$A,0))=0,0,N2527)</f>
        <v>17</v>
      </c>
      <c r="N2527" s="8">
        <v>17</v>
      </c>
    </row>
    <row r="2528" spans="1:14">
      <c r="A2528" s="8">
        <f t="shared" si="2941"/>
        <v>30021</v>
      </c>
      <c r="B2528" s="8">
        <v>40000</v>
      </c>
      <c r="C2528" s="8" t="s">
        <v>298</v>
      </c>
      <c r="D2528" s="8">
        <f t="shared" si="2942"/>
        <v>40852060</v>
      </c>
      <c r="E2528" s="8"/>
      <c r="F2528" s="8">
        <v>1</v>
      </c>
      <c r="G2528" s="7">
        <v>264000</v>
      </c>
      <c r="H2528" s="8" t="s">
        <v>299</v>
      </c>
      <c r="I2528" s="8">
        <v>6</v>
      </c>
      <c r="J2528" s="8">
        <v>50</v>
      </c>
      <c r="K2528" s="7" t="s">
        <v>312</v>
      </c>
      <c r="L2528" s="8">
        <v>92</v>
      </c>
      <c r="M2528" s="7">
        <f>IF(INDEX([1]equip.xml!$B:$B,MATCH(D2528,[1]equip.xml!$A:$A,0))=0,0,N2528)</f>
        <v>17</v>
      </c>
      <c r="N2528" s="8">
        <v>17</v>
      </c>
    </row>
    <row r="2529" spans="1:14">
      <c r="A2529" s="8">
        <f t="shared" si="2941"/>
        <v>30021</v>
      </c>
      <c r="B2529" s="8">
        <v>40000</v>
      </c>
      <c r="C2529" s="8" t="s">
        <v>298</v>
      </c>
      <c r="D2529" s="8">
        <f t="shared" si="2942"/>
        <v>40852061</v>
      </c>
      <c r="E2529" s="8"/>
      <c r="F2529" s="8">
        <v>1</v>
      </c>
      <c r="G2529" s="7">
        <v>273000</v>
      </c>
      <c r="H2529" s="8" t="s">
        <v>299</v>
      </c>
      <c r="I2529" s="8">
        <v>6</v>
      </c>
      <c r="J2529" s="8">
        <v>50</v>
      </c>
      <c r="K2529" s="7" t="s">
        <v>312</v>
      </c>
      <c r="L2529" s="8">
        <v>92</v>
      </c>
      <c r="M2529" s="7">
        <f>IF(INDEX([1]equip.xml!$B:$B,MATCH(D2529,[1]equip.xml!$A:$A,0))=0,0,N2529)</f>
        <v>17</v>
      </c>
      <c r="N2529" s="8">
        <v>17</v>
      </c>
    </row>
    <row r="2530" spans="1:14">
      <c r="A2530" s="8">
        <f t="shared" si="2941"/>
        <v>30021</v>
      </c>
      <c r="B2530" s="8">
        <v>40000</v>
      </c>
      <c r="C2530" s="8" t="s">
        <v>298</v>
      </c>
      <c r="D2530" s="8">
        <f t="shared" si="2942"/>
        <v>40853050</v>
      </c>
      <c r="E2530" s="8"/>
      <c r="F2530" s="8">
        <v>1</v>
      </c>
      <c r="G2530" s="7">
        <v>264000</v>
      </c>
      <c r="H2530" s="8" t="s">
        <v>299</v>
      </c>
      <c r="I2530" s="8">
        <v>6</v>
      </c>
      <c r="J2530" s="8">
        <v>50</v>
      </c>
      <c r="K2530" s="7" t="s">
        <v>312</v>
      </c>
      <c r="L2530" s="8">
        <v>92</v>
      </c>
      <c r="M2530" s="7">
        <f>IF(INDEX([1]equip.xml!$B:$B,MATCH(D2530,[1]equip.xml!$A:$A,0))=0,0,N2530)</f>
        <v>17</v>
      </c>
      <c r="N2530" s="8">
        <v>17</v>
      </c>
    </row>
    <row r="2531" spans="1:14">
      <c r="A2531" s="8">
        <f t="shared" si="2941"/>
        <v>30021</v>
      </c>
      <c r="B2531" s="8">
        <v>40000</v>
      </c>
      <c r="C2531" s="8" t="s">
        <v>298</v>
      </c>
      <c r="D2531" s="8">
        <f t="shared" si="2942"/>
        <v>40853051</v>
      </c>
      <c r="E2531" s="8"/>
      <c r="F2531" s="8">
        <v>1</v>
      </c>
      <c r="G2531" s="7">
        <v>273000</v>
      </c>
      <c r="H2531" s="8" t="s">
        <v>299</v>
      </c>
      <c r="I2531" s="8">
        <v>6</v>
      </c>
      <c r="J2531" s="8">
        <v>50</v>
      </c>
      <c r="K2531" s="7" t="s">
        <v>312</v>
      </c>
      <c r="L2531" s="8">
        <v>92</v>
      </c>
      <c r="M2531" s="7">
        <f>IF(INDEX([1]equip.xml!$B:$B,MATCH(D2531,[1]equip.xml!$A:$A,0))=0,0,N2531)</f>
        <v>17</v>
      </c>
      <c r="N2531" s="8">
        <v>17</v>
      </c>
    </row>
    <row r="2532" spans="1:14">
      <c r="A2532" s="8">
        <f t="shared" si="2941"/>
        <v>30021</v>
      </c>
      <c r="B2532" s="8">
        <v>40000</v>
      </c>
      <c r="C2532" s="8" t="s">
        <v>298</v>
      </c>
      <c r="D2532" s="8">
        <f t="shared" si="2942"/>
        <v>40853060</v>
      </c>
      <c r="E2532" s="8"/>
      <c r="F2532" s="8">
        <v>1</v>
      </c>
      <c r="G2532" s="7">
        <v>264000</v>
      </c>
      <c r="H2532" s="8" t="s">
        <v>299</v>
      </c>
      <c r="I2532" s="8">
        <v>6</v>
      </c>
      <c r="J2532" s="8">
        <v>50</v>
      </c>
      <c r="K2532" s="7" t="s">
        <v>312</v>
      </c>
      <c r="L2532" s="8">
        <v>92</v>
      </c>
      <c r="M2532" s="7">
        <f>IF(INDEX([1]equip.xml!$B:$B,MATCH(D2532,[1]equip.xml!$A:$A,0))=0,0,N2532)</f>
        <v>17</v>
      </c>
      <c r="N2532" s="8">
        <v>17</v>
      </c>
    </row>
    <row r="2533" spans="1:14">
      <c r="A2533" s="8">
        <f t="shared" si="2941"/>
        <v>30021</v>
      </c>
      <c r="B2533" s="8">
        <v>40000</v>
      </c>
      <c r="C2533" s="8" t="s">
        <v>298</v>
      </c>
      <c r="D2533" s="8">
        <f t="shared" si="2942"/>
        <v>40853061</v>
      </c>
      <c r="E2533" s="8"/>
      <c r="F2533" s="8">
        <v>1</v>
      </c>
      <c r="G2533" s="7">
        <v>273000</v>
      </c>
      <c r="H2533" s="8" t="s">
        <v>299</v>
      </c>
      <c r="I2533" s="8">
        <v>6</v>
      </c>
      <c r="J2533" s="8">
        <v>50</v>
      </c>
      <c r="K2533" s="7" t="s">
        <v>312</v>
      </c>
      <c r="L2533" s="8">
        <v>92</v>
      </c>
      <c r="M2533" s="7">
        <f>IF(INDEX([1]equip.xml!$B:$B,MATCH(D2533,[1]equip.xml!$A:$A,0))=0,0,N2533)</f>
        <v>17</v>
      </c>
      <c r="N2533" s="8">
        <v>17</v>
      </c>
    </row>
    <row r="2534" spans="1:14">
      <c r="A2534" s="8">
        <f t="shared" si="2941"/>
        <v>30021</v>
      </c>
      <c r="B2534" s="8">
        <v>40000</v>
      </c>
      <c r="C2534" s="8" t="s">
        <v>298</v>
      </c>
      <c r="D2534" s="8">
        <f t="shared" si="2942"/>
        <v>40850040</v>
      </c>
      <c r="E2534" s="8"/>
      <c r="F2534" s="8">
        <v>1</v>
      </c>
      <c r="G2534" s="7">
        <v>264000</v>
      </c>
      <c r="H2534" s="8" t="s">
        <v>299</v>
      </c>
      <c r="I2534" s="8">
        <v>6</v>
      </c>
      <c r="J2534" s="8">
        <v>50</v>
      </c>
      <c r="K2534" s="7" t="s">
        <v>312</v>
      </c>
      <c r="L2534" s="8">
        <v>92</v>
      </c>
      <c r="M2534" s="7">
        <f>IF(INDEX([1]equip.xml!$B:$B,MATCH(D2534,[1]equip.xml!$A:$A,0))=0,0,N2534)</f>
        <v>17</v>
      </c>
      <c r="N2534" s="8">
        <v>17</v>
      </c>
    </row>
    <row r="2535" spans="1:14">
      <c r="A2535" s="8">
        <f t="shared" si="2941"/>
        <v>30021</v>
      </c>
      <c r="B2535" s="8">
        <v>40000</v>
      </c>
      <c r="C2535" s="8" t="s">
        <v>298</v>
      </c>
      <c r="D2535" s="8">
        <f t="shared" si="2942"/>
        <v>40850041</v>
      </c>
      <c r="E2535" s="8"/>
      <c r="F2535" s="8">
        <v>1</v>
      </c>
      <c r="G2535" s="7">
        <v>273000</v>
      </c>
      <c r="H2535" s="8" t="s">
        <v>299</v>
      </c>
      <c r="I2535" s="8">
        <v>6</v>
      </c>
      <c r="J2535" s="8">
        <v>50</v>
      </c>
      <c r="K2535" s="7" t="s">
        <v>312</v>
      </c>
      <c r="L2535" s="8">
        <v>92</v>
      </c>
      <c r="M2535" s="7">
        <f>IF(INDEX([1]equip.xml!$B:$B,MATCH(D2535,[1]equip.xml!$A:$A,0))=0,0,N2535)</f>
        <v>17</v>
      </c>
      <c r="N2535" s="8">
        <v>17</v>
      </c>
    </row>
    <row r="2536" spans="1:14">
      <c r="A2536" s="8">
        <f t="shared" si="2941"/>
        <v>30021</v>
      </c>
      <c r="B2536" s="8">
        <v>40000</v>
      </c>
      <c r="C2536" s="8" t="s">
        <v>298</v>
      </c>
      <c r="D2536" s="8">
        <f t="shared" si="2942"/>
        <v>40850070</v>
      </c>
      <c r="E2536" s="8"/>
      <c r="F2536" s="8">
        <v>1</v>
      </c>
      <c r="G2536" s="7">
        <v>264000</v>
      </c>
      <c r="H2536" s="8" t="s">
        <v>299</v>
      </c>
      <c r="I2536" s="8">
        <v>6</v>
      </c>
      <c r="J2536" s="8">
        <v>50</v>
      </c>
      <c r="K2536" s="7" t="s">
        <v>312</v>
      </c>
      <c r="L2536" s="8">
        <v>92</v>
      </c>
      <c r="M2536" s="7">
        <f>IF(INDEX([1]equip.xml!$B:$B,MATCH(D2536,[1]equip.xml!$A:$A,0))=0,0,N2536)</f>
        <v>17</v>
      </c>
      <c r="N2536" s="8">
        <v>17</v>
      </c>
    </row>
    <row r="2537" spans="1:14">
      <c r="A2537" s="8">
        <f t="shared" si="2941"/>
        <v>30021</v>
      </c>
      <c r="B2537" s="8">
        <v>40000</v>
      </c>
      <c r="C2537" s="8" t="s">
        <v>298</v>
      </c>
      <c r="D2537" s="8">
        <f t="shared" si="2942"/>
        <v>40850071</v>
      </c>
      <c r="E2537" s="8"/>
      <c r="F2537" s="8">
        <v>1</v>
      </c>
      <c r="G2537" s="7">
        <v>273000</v>
      </c>
      <c r="H2537" s="8" t="s">
        <v>299</v>
      </c>
      <c r="I2537" s="8">
        <v>6</v>
      </c>
      <c r="J2537" s="8">
        <v>50</v>
      </c>
      <c r="K2537" s="7" t="s">
        <v>312</v>
      </c>
      <c r="L2537" s="8">
        <v>92</v>
      </c>
      <c r="M2537" s="7">
        <f>IF(INDEX([1]equip.xml!$B:$B,MATCH(D2537,[1]equip.xml!$A:$A,0))=0,0,N2537)</f>
        <v>17</v>
      </c>
      <c r="N2537" s="8">
        <v>17</v>
      </c>
    </row>
    <row r="2538" spans="1:14">
      <c r="A2538" s="8">
        <f t="shared" si="2941"/>
        <v>30021</v>
      </c>
      <c r="B2538" s="8">
        <v>40000</v>
      </c>
      <c r="C2538" s="8" t="s">
        <v>298</v>
      </c>
      <c r="D2538" s="7">
        <f>D2494+10000005</f>
        <v>50800015</v>
      </c>
      <c r="E2538" s="8"/>
      <c r="F2538" s="8">
        <v>1</v>
      </c>
      <c r="G2538" s="7">
        <v>492000</v>
      </c>
      <c r="H2538" s="8" t="s">
        <v>299</v>
      </c>
      <c r="I2538" s="8">
        <v>1</v>
      </c>
      <c r="J2538" s="8">
        <v>240</v>
      </c>
      <c r="K2538" s="7" t="s">
        <v>312</v>
      </c>
      <c r="L2538" s="8">
        <v>92</v>
      </c>
      <c r="M2538" s="7">
        <f>IF(INDEX([1]equip.xml!$B:$B,MATCH(D2538,[1]equip.xml!$A:$A,0))=0,0,N2538)</f>
        <v>200</v>
      </c>
      <c r="N2538" s="8">
        <f>N2494*2</f>
        <v>200</v>
      </c>
    </row>
    <row r="2539" spans="1:14">
      <c r="A2539" s="8">
        <f t="shared" si="2941"/>
        <v>30021</v>
      </c>
      <c r="B2539" s="8">
        <v>40000</v>
      </c>
      <c r="C2539" s="8" t="s">
        <v>298</v>
      </c>
      <c r="D2539" s="7">
        <f t="shared" ref="D2539:D2581" si="2943">D2495+10000005</f>
        <v>50800025</v>
      </c>
      <c r="E2539" s="8"/>
      <c r="F2539" s="8">
        <v>1</v>
      </c>
      <c r="G2539" s="7">
        <v>492000</v>
      </c>
      <c r="H2539" s="8" t="s">
        <v>299</v>
      </c>
      <c r="I2539" s="8">
        <v>1</v>
      </c>
      <c r="J2539" s="8">
        <v>240</v>
      </c>
      <c r="K2539" s="7" t="s">
        <v>312</v>
      </c>
      <c r="L2539" s="8">
        <v>92</v>
      </c>
      <c r="M2539" s="7">
        <f>IF(INDEX([1]equip.xml!$B:$B,MATCH(D2539,[1]equip.xml!$A:$A,0))=0,0,N2539)</f>
        <v>200</v>
      </c>
      <c r="N2539" s="8">
        <f t="shared" ref="N2539:N2581" si="2944">N2495*2</f>
        <v>200</v>
      </c>
    </row>
    <row r="2540" spans="1:14">
      <c r="A2540" s="8">
        <f t="shared" si="2941"/>
        <v>30021</v>
      </c>
      <c r="B2540" s="8">
        <v>40000</v>
      </c>
      <c r="C2540" s="8" t="s">
        <v>298</v>
      </c>
      <c r="D2540" s="7">
        <f t="shared" si="2943"/>
        <v>50800035</v>
      </c>
      <c r="E2540" s="8"/>
      <c r="F2540" s="8">
        <v>1</v>
      </c>
      <c r="G2540" s="7">
        <v>492000</v>
      </c>
      <c r="H2540" s="8" t="s">
        <v>299</v>
      </c>
      <c r="I2540" s="8">
        <v>1</v>
      </c>
      <c r="J2540" s="8">
        <v>240</v>
      </c>
      <c r="K2540" s="7" t="s">
        <v>312</v>
      </c>
      <c r="L2540" s="8">
        <v>92</v>
      </c>
      <c r="M2540" s="7">
        <f>IF(INDEX([1]equip.xml!$B:$B,MATCH(D2540,[1]equip.xml!$A:$A,0))=0,0,N2540)</f>
        <v>200</v>
      </c>
      <c r="N2540" s="8">
        <f t="shared" si="2944"/>
        <v>200</v>
      </c>
    </row>
    <row r="2541" spans="1:14">
      <c r="A2541" s="8">
        <f t="shared" si="2941"/>
        <v>30021</v>
      </c>
      <c r="B2541" s="8">
        <v>40000</v>
      </c>
      <c r="C2541" s="8" t="s">
        <v>298</v>
      </c>
      <c r="D2541" s="7">
        <f t="shared" si="2943"/>
        <v>50800085</v>
      </c>
      <c r="E2541" s="8"/>
      <c r="F2541" s="8">
        <v>1</v>
      </c>
      <c r="G2541" s="7">
        <v>492000</v>
      </c>
      <c r="H2541" s="8" t="s">
        <v>299</v>
      </c>
      <c r="I2541" s="8">
        <v>1</v>
      </c>
      <c r="J2541" s="8">
        <v>240</v>
      </c>
      <c r="K2541" s="7" t="s">
        <v>312</v>
      </c>
      <c r="L2541" s="8">
        <v>92</v>
      </c>
      <c r="M2541" s="7">
        <f>IF(INDEX([1]equip.xml!$B:$B,MATCH(D2541,[1]equip.xml!$A:$A,0))=0,0,N2541)</f>
        <v>200</v>
      </c>
      <c r="N2541" s="8">
        <f t="shared" si="2944"/>
        <v>200</v>
      </c>
    </row>
    <row r="2542" spans="1:14">
      <c r="A2542" s="8">
        <f t="shared" si="2941"/>
        <v>30021</v>
      </c>
      <c r="B2542" s="8">
        <v>40000</v>
      </c>
      <c r="C2542" s="8" t="s">
        <v>298</v>
      </c>
      <c r="D2542" s="7">
        <f t="shared" si="2943"/>
        <v>50800095</v>
      </c>
      <c r="E2542" s="8"/>
      <c r="F2542" s="8">
        <v>1</v>
      </c>
      <c r="G2542" s="7">
        <v>492000</v>
      </c>
      <c r="H2542" s="8" t="s">
        <v>299</v>
      </c>
      <c r="I2542" s="8">
        <v>1</v>
      </c>
      <c r="J2542" s="8">
        <v>240</v>
      </c>
      <c r="K2542" s="7" t="s">
        <v>312</v>
      </c>
      <c r="L2542" s="8">
        <v>92</v>
      </c>
      <c r="M2542" s="7">
        <f>IF(INDEX([1]equip.xml!$B:$B,MATCH(D2542,[1]equip.xml!$A:$A,0))=0,0,N2542)</f>
        <v>200</v>
      </c>
      <c r="N2542" s="8">
        <f t="shared" si="2944"/>
        <v>200</v>
      </c>
    </row>
    <row r="2543" spans="1:14">
      <c r="A2543" s="8">
        <f t="shared" si="2941"/>
        <v>30021</v>
      </c>
      <c r="B2543" s="8">
        <v>40000</v>
      </c>
      <c r="C2543" s="8" t="s">
        <v>298</v>
      </c>
      <c r="D2543" s="7">
        <f t="shared" si="2943"/>
        <v>50800105</v>
      </c>
      <c r="E2543" s="8"/>
      <c r="F2543" s="8">
        <v>1</v>
      </c>
      <c r="G2543" s="7">
        <v>492000</v>
      </c>
      <c r="H2543" s="8" t="s">
        <v>299</v>
      </c>
      <c r="I2543" s="8">
        <v>1</v>
      </c>
      <c r="J2543" s="8">
        <v>240</v>
      </c>
      <c r="K2543" s="7" t="s">
        <v>312</v>
      </c>
      <c r="L2543" s="8">
        <v>92</v>
      </c>
      <c r="M2543" s="7">
        <f>IF(INDEX([1]equip.xml!$B:$B,MATCH(D2543,[1]equip.xml!$A:$A,0))=0,0,N2543)</f>
        <v>200</v>
      </c>
      <c r="N2543" s="8">
        <f t="shared" si="2944"/>
        <v>200</v>
      </c>
    </row>
    <row r="2544" spans="1:14">
      <c r="A2544" s="8">
        <f t="shared" si="2941"/>
        <v>30021</v>
      </c>
      <c r="B2544" s="8">
        <v>40000</v>
      </c>
      <c r="C2544" s="8" t="s">
        <v>298</v>
      </c>
      <c r="D2544" s="7">
        <f t="shared" si="2943"/>
        <v>50801055</v>
      </c>
      <c r="E2544" s="8"/>
      <c r="F2544" s="8">
        <v>1</v>
      </c>
      <c r="G2544" s="7">
        <v>492000</v>
      </c>
      <c r="H2544" s="8" t="s">
        <v>299</v>
      </c>
      <c r="I2544" s="8">
        <v>1</v>
      </c>
      <c r="J2544" s="8">
        <v>240</v>
      </c>
      <c r="K2544" s="7" t="s">
        <v>312</v>
      </c>
      <c r="L2544" s="8">
        <v>92</v>
      </c>
      <c r="M2544" s="7">
        <f>IF(INDEX([1]equip.xml!$B:$B,MATCH(D2544,[1]equip.xml!$A:$A,0))=0,0,N2544)</f>
        <v>200</v>
      </c>
      <c r="N2544" s="8">
        <f t="shared" si="2944"/>
        <v>200</v>
      </c>
    </row>
    <row r="2545" spans="1:14">
      <c r="A2545" s="8">
        <f t="shared" si="2941"/>
        <v>30021</v>
      </c>
      <c r="B2545" s="8">
        <v>40000</v>
      </c>
      <c r="C2545" s="8" t="s">
        <v>298</v>
      </c>
      <c r="D2545" s="7">
        <f t="shared" si="2943"/>
        <v>50801056</v>
      </c>
      <c r="E2545" s="8"/>
      <c r="F2545" s="8">
        <v>1</v>
      </c>
      <c r="G2545" s="7">
        <v>510000</v>
      </c>
      <c r="H2545" s="8" t="s">
        <v>299</v>
      </c>
      <c r="I2545" s="8">
        <v>1</v>
      </c>
      <c r="J2545" s="8">
        <v>240</v>
      </c>
      <c r="K2545" s="7" t="s">
        <v>312</v>
      </c>
      <c r="L2545" s="8">
        <v>92</v>
      </c>
      <c r="M2545" s="7">
        <f>IF(INDEX([1]equip.xml!$B:$B,MATCH(D2545,[1]equip.xml!$A:$A,0))=0,0,N2545)</f>
        <v>200</v>
      </c>
      <c r="N2545" s="8">
        <f t="shared" si="2944"/>
        <v>200</v>
      </c>
    </row>
    <row r="2546" spans="1:14">
      <c r="A2546" s="8">
        <f t="shared" ref="A2546:A2560" si="2945">A2018+10000</f>
        <v>30021</v>
      </c>
      <c r="B2546" s="8">
        <v>40000</v>
      </c>
      <c r="C2546" s="8" t="s">
        <v>298</v>
      </c>
      <c r="D2546" s="7">
        <f t="shared" si="2943"/>
        <v>50801065</v>
      </c>
      <c r="E2546" s="8"/>
      <c r="F2546" s="8">
        <v>1</v>
      </c>
      <c r="G2546" s="7">
        <v>492000</v>
      </c>
      <c r="H2546" s="8" t="s">
        <v>299</v>
      </c>
      <c r="I2546" s="8">
        <v>1</v>
      </c>
      <c r="J2546" s="8">
        <v>240</v>
      </c>
      <c r="K2546" s="7" t="s">
        <v>312</v>
      </c>
      <c r="L2546" s="8">
        <v>92</v>
      </c>
      <c r="M2546" s="7">
        <f>IF(INDEX([1]equip.xml!$B:$B,MATCH(D2546,[1]equip.xml!$A:$A,0))=0,0,N2546)</f>
        <v>200</v>
      </c>
      <c r="N2546" s="8">
        <f t="shared" si="2944"/>
        <v>200</v>
      </c>
    </row>
    <row r="2547" spans="1:14">
      <c r="A2547" s="8">
        <f t="shared" si="2945"/>
        <v>30021</v>
      </c>
      <c r="B2547" s="8">
        <v>40000</v>
      </c>
      <c r="C2547" s="8" t="s">
        <v>298</v>
      </c>
      <c r="D2547" s="7">
        <f t="shared" si="2943"/>
        <v>50801066</v>
      </c>
      <c r="E2547" s="8"/>
      <c r="F2547" s="8">
        <v>1</v>
      </c>
      <c r="G2547" s="7">
        <v>510000</v>
      </c>
      <c r="H2547" s="8" t="s">
        <v>299</v>
      </c>
      <c r="I2547" s="8">
        <v>1</v>
      </c>
      <c r="J2547" s="8">
        <v>240</v>
      </c>
      <c r="K2547" s="7" t="s">
        <v>312</v>
      </c>
      <c r="L2547" s="8">
        <v>92</v>
      </c>
      <c r="M2547" s="7">
        <f>IF(INDEX([1]equip.xml!$B:$B,MATCH(D2547,[1]equip.xml!$A:$A,0))=0,0,N2547)</f>
        <v>200</v>
      </c>
      <c r="N2547" s="8">
        <f t="shared" si="2944"/>
        <v>200</v>
      </c>
    </row>
    <row r="2548" spans="1:14">
      <c r="A2548" s="8">
        <f t="shared" si="2945"/>
        <v>30021</v>
      </c>
      <c r="B2548" s="8">
        <v>40000</v>
      </c>
      <c r="C2548" s="8" t="s">
        <v>298</v>
      </c>
      <c r="D2548" s="7">
        <f t="shared" si="2943"/>
        <v>50802055</v>
      </c>
      <c r="E2548" s="8"/>
      <c r="F2548" s="8">
        <v>1</v>
      </c>
      <c r="G2548" s="7">
        <v>492000</v>
      </c>
      <c r="H2548" s="8" t="s">
        <v>299</v>
      </c>
      <c r="I2548" s="8">
        <v>1</v>
      </c>
      <c r="J2548" s="8">
        <v>240</v>
      </c>
      <c r="K2548" s="7" t="s">
        <v>312</v>
      </c>
      <c r="L2548" s="8">
        <v>92</v>
      </c>
      <c r="M2548" s="7">
        <f>IF(INDEX([1]equip.xml!$B:$B,MATCH(D2548,[1]equip.xml!$A:$A,0))=0,0,N2548)</f>
        <v>200</v>
      </c>
      <c r="N2548" s="8">
        <f t="shared" si="2944"/>
        <v>200</v>
      </c>
    </row>
    <row r="2549" spans="1:14">
      <c r="A2549" s="8">
        <f t="shared" si="2945"/>
        <v>30021</v>
      </c>
      <c r="B2549" s="8">
        <v>40000</v>
      </c>
      <c r="C2549" s="8" t="s">
        <v>298</v>
      </c>
      <c r="D2549" s="7">
        <f t="shared" si="2943"/>
        <v>50802056</v>
      </c>
      <c r="E2549" s="8"/>
      <c r="F2549" s="8">
        <v>1</v>
      </c>
      <c r="G2549" s="7">
        <v>510000</v>
      </c>
      <c r="H2549" s="8" t="s">
        <v>299</v>
      </c>
      <c r="I2549" s="8">
        <v>1</v>
      </c>
      <c r="J2549" s="8">
        <v>240</v>
      </c>
      <c r="K2549" s="7" t="s">
        <v>312</v>
      </c>
      <c r="L2549" s="8">
        <v>92</v>
      </c>
      <c r="M2549" s="7">
        <f>IF(INDEX([1]equip.xml!$B:$B,MATCH(D2549,[1]equip.xml!$A:$A,0))=0,0,N2549)</f>
        <v>200</v>
      </c>
      <c r="N2549" s="8">
        <f t="shared" si="2944"/>
        <v>200</v>
      </c>
    </row>
    <row r="2550" spans="1:14">
      <c r="A2550" s="8">
        <f t="shared" si="2945"/>
        <v>30021</v>
      </c>
      <c r="B2550" s="8">
        <v>40000</v>
      </c>
      <c r="C2550" s="8" t="s">
        <v>298</v>
      </c>
      <c r="D2550" s="7">
        <f t="shared" si="2943"/>
        <v>50802065</v>
      </c>
      <c r="E2550" s="8"/>
      <c r="F2550" s="8">
        <v>1</v>
      </c>
      <c r="G2550" s="7">
        <v>492000</v>
      </c>
      <c r="H2550" s="8" t="s">
        <v>299</v>
      </c>
      <c r="I2550" s="8">
        <v>1</v>
      </c>
      <c r="J2550" s="8">
        <v>240</v>
      </c>
      <c r="K2550" s="7" t="s">
        <v>312</v>
      </c>
      <c r="L2550" s="8">
        <v>92</v>
      </c>
      <c r="M2550" s="7">
        <f>IF(INDEX([1]equip.xml!$B:$B,MATCH(D2550,[1]equip.xml!$A:$A,0))=0,0,N2550)</f>
        <v>200</v>
      </c>
      <c r="N2550" s="8">
        <f t="shared" si="2944"/>
        <v>200</v>
      </c>
    </row>
    <row r="2551" spans="1:14">
      <c r="A2551" s="8">
        <f t="shared" si="2945"/>
        <v>30021</v>
      </c>
      <c r="B2551" s="8">
        <v>40000</v>
      </c>
      <c r="C2551" s="8" t="s">
        <v>298</v>
      </c>
      <c r="D2551" s="7">
        <f t="shared" si="2943"/>
        <v>50802066</v>
      </c>
      <c r="E2551" s="8"/>
      <c r="F2551" s="8">
        <v>1</v>
      </c>
      <c r="G2551" s="7">
        <v>510000</v>
      </c>
      <c r="H2551" s="8" t="s">
        <v>299</v>
      </c>
      <c r="I2551" s="8">
        <v>1</v>
      </c>
      <c r="J2551" s="8">
        <v>240</v>
      </c>
      <c r="K2551" s="7" t="s">
        <v>312</v>
      </c>
      <c r="L2551" s="8">
        <v>92</v>
      </c>
      <c r="M2551" s="7">
        <f>IF(INDEX([1]equip.xml!$B:$B,MATCH(D2551,[1]equip.xml!$A:$A,0))=0,0,N2551)</f>
        <v>200</v>
      </c>
      <c r="N2551" s="8">
        <f t="shared" si="2944"/>
        <v>200</v>
      </c>
    </row>
    <row r="2552" spans="1:14">
      <c r="A2552" s="8">
        <f t="shared" si="2945"/>
        <v>30021</v>
      </c>
      <c r="B2552" s="8">
        <v>40000</v>
      </c>
      <c r="C2552" s="8" t="s">
        <v>298</v>
      </c>
      <c r="D2552" s="7">
        <f t="shared" si="2943"/>
        <v>50803055</v>
      </c>
      <c r="E2552" s="8"/>
      <c r="F2552" s="8">
        <v>1</v>
      </c>
      <c r="G2552" s="7">
        <v>492000</v>
      </c>
      <c r="H2552" s="8" t="s">
        <v>299</v>
      </c>
      <c r="I2552" s="8">
        <v>1</v>
      </c>
      <c r="J2552" s="8">
        <v>240</v>
      </c>
      <c r="K2552" s="7" t="s">
        <v>312</v>
      </c>
      <c r="L2552" s="8">
        <v>92</v>
      </c>
      <c r="M2552" s="7">
        <f>IF(INDEX([1]equip.xml!$B:$B,MATCH(D2552,[1]equip.xml!$A:$A,0))=0,0,N2552)</f>
        <v>200</v>
      </c>
      <c r="N2552" s="8">
        <f t="shared" si="2944"/>
        <v>200</v>
      </c>
    </row>
    <row r="2553" spans="1:14">
      <c r="A2553" s="8">
        <f t="shared" si="2945"/>
        <v>30021</v>
      </c>
      <c r="B2553" s="8">
        <v>40000</v>
      </c>
      <c r="C2553" s="8" t="s">
        <v>298</v>
      </c>
      <c r="D2553" s="7">
        <f t="shared" si="2943"/>
        <v>50803056</v>
      </c>
      <c r="E2553" s="8"/>
      <c r="F2553" s="8">
        <v>1</v>
      </c>
      <c r="G2553" s="7">
        <v>510000</v>
      </c>
      <c r="H2553" s="8" t="s">
        <v>299</v>
      </c>
      <c r="I2553" s="8">
        <v>1</v>
      </c>
      <c r="J2553" s="8">
        <v>240</v>
      </c>
      <c r="K2553" s="7" t="s">
        <v>312</v>
      </c>
      <c r="L2553" s="8">
        <v>92</v>
      </c>
      <c r="M2553" s="7">
        <f>IF(INDEX([1]equip.xml!$B:$B,MATCH(D2553,[1]equip.xml!$A:$A,0))=0,0,N2553)</f>
        <v>200</v>
      </c>
      <c r="N2553" s="8">
        <f t="shared" si="2944"/>
        <v>200</v>
      </c>
    </row>
    <row r="2554" spans="1:14">
      <c r="A2554" s="8">
        <f t="shared" si="2945"/>
        <v>30021</v>
      </c>
      <c r="B2554" s="8">
        <v>40000</v>
      </c>
      <c r="C2554" s="8" t="s">
        <v>298</v>
      </c>
      <c r="D2554" s="7">
        <f t="shared" si="2943"/>
        <v>50803065</v>
      </c>
      <c r="E2554" s="8"/>
      <c r="F2554" s="8">
        <v>1</v>
      </c>
      <c r="G2554" s="7">
        <v>492000</v>
      </c>
      <c r="H2554" s="8" t="s">
        <v>299</v>
      </c>
      <c r="I2554" s="8">
        <v>1</v>
      </c>
      <c r="J2554" s="8">
        <v>240</v>
      </c>
      <c r="K2554" s="7" t="s">
        <v>312</v>
      </c>
      <c r="L2554" s="8">
        <v>92</v>
      </c>
      <c r="M2554" s="7">
        <f>IF(INDEX([1]equip.xml!$B:$B,MATCH(D2554,[1]equip.xml!$A:$A,0))=0,0,N2554)</f>
        <v>200</v>
      </c>
      <c r="N2554" s="8">
        <f t="shared" si="2944"/>
        <v>200</v>
      </c>
    </row>
    <row r="2555" spans="1:14">
      <c r="A2555" s="8">
        <f t="shared" si="2945"/>
        <v>30021</v>
      </c>
      <c r="B2555" s="8">
        <v>40000</v>
      </c>
      <c r="C2555" s="8" t="s">
        <v>298</v>
      </c>
      <c r="D2555" s="7">
        <f t="shared" si="2943"/>
        <v>50803066</v>
      </c>
      <c r="E2555" s="8"/>
      <c r="F2555" s="8">
        <v>1</v>
      </c>
      <c r="G2555" s="7">
        <v>510000</v>
      </c>
      <c r="H2555" s="8" t="s">
        <v>299</v>
      </c>
      <c r="I2555" s="8">
        <v>1</v>
      </c>
      <c r="J2555" s="8">
        <v>240</v>
      </c>
      <c r="K2555" s="7" t="s">
        <v>312</v>
      </c>
      <c r="L2555" s="8">
        <v>92</v>
      </c>
      <c r="M2555" s="7">
        <f>IF(INDEX([1]equip.xml!$B:$B,MATCH(D2555,[1]equip.xml!$A:$A,0))=0,0,N2555)</f>
        <v>200</v>
      </c>
      <c r="N2555" s="8">
        <f t="shared" si="2944"/>
        <v>200</v>
      </c>
    </row>
    <row r="2556" spans="1:14">
      <c r="A2556" s="8">
        <f t="shared" si="2945"/>
        <v>30021</v>
      </c>
      <c r="B2556" s="8">
        <v>40000</v>
      </c>
      <c r="C2556" s="8" t="s">
        <v>298</v>
      </c>
      <c r="D2556" s="7">
        <f t="shared" si="2943"/>
        <v>50800045</v>
      </c>
      <c r="E2556" s="8"/>
      <c r="F2556" s="8">
        <v>1</v>
      </c>
      <c r="G2556" s="7">
        <v>492000</v>
      </c>
      <c r="H2556" s="8" t="s">
        <v>299</v>
      </c>
      <c r="I2556" s="8">
        <v>1</v>
      </c>
      <c r="J2556" s="8">
        <v>240</v>
      </c>
      <c r="K2556" s="7" t="s">
        <v>312</v>
      </c>
      <c r="L2556" s="8">
        <v>92</v>
      </c>
      <c r="M2556" s="7">
        <f>IF(INDEX([1]equip.xml!$B:$B,MATCH(D2556,[1]equip.xml!$A:$A,0))=0,0,N2556)</f>
        <v>200</v>
      </c>
      <c r="N2556" s="8">
        <f t="shared" si="2944"/>
        <v>200</v>
      </c>
    </row>
    <row r="2557" spans="1:14">
      <c r="A2557" s="8">
        <f t="shared" si="2945"/>
        <v>30021</v>
      </c>
      <c r="B2557" s="8">
        <v>40000</v>
      </c>
      <c r="C2557" s="8" t="s">
        <v>298</v>
      </c>
      <c r="D2557" s="7">
        <f t="shared" si="2943"/>
        <v>50800046</v>
      </c>
      <c r="E2557" s="8"/>
      <c r="F2557" s="8">
        <v>1</v>
      </c>
      <c r="G2557" s="7">
        <v>510000</v>
      </c>
      <c r="H2557" s="8" t="s">
        <v>299</v>
      </c>
      <c r="I2557" s="8">
        <v>1</v>
      </c>
      <c r="J2557" s="8">
        <v>240</v>
      </c>
      <c r="K2557" s="7" t="s">
        <v>312</v>
      </c>
      <c r="L2557" s="8">
        <v>92</v>
      </c>
      <c r="M2557" s="7">
        <f>IF(INDEX([1]equip.xml!$B:$B,MATCH(D2557,[1]equip.xml!$A:$A,0))=0,0,N2557)</f>
        <v>200</v>
      </c>
      <c r="N2557" s="8">
        <f t="shared" si="2944"/>
        <v>200</v>
      </c>
    </row>
    <row r="2558" spans="1:14">
      <c r="A2558" s="8">
        <f t="shared" si="2945"/>
        <v>30021</v>
      </c>
      <c r="B2558" s="8">
        <v>40000</v>
      </c>
      <c r="C2558" s="8" t="s">
        <v>298</v>
      </c>
      <c r="D2558" s="7">
        <f t="shared" si="2943"/>
        <v>50800075</v>
      </c>
      <c r="E2558" s="8"/>
      <c r="F2558" s="8">
        <v>1</v>
      </c>
      <c r="G2558" s="7">
        <v>492000</v>
      </c>
      <c r="H2558" s="8" t="s">
        <v>299</v>
      </c>
      <c r="I2558" s="8">
        <v>1</v>
      </c>
      <c r="J2558" s="8">
        <v>240</v>
      </c>
      <c r="K2558" s="7" t="s">
        <v>312</v>
      </c>
      <c r="L2558" s="8">
        <v>92</v>
      </c>
      <c r="M2558" s="7">
        <f>IF(INDEX([1]equip.xml!$B:$B,MATCH(D2558,[1]equip.xml!$A:$A,0))=0,0,N2558)</f>
        <v>200</v>
      </c>
      <c r="N2558" s="8">
        <f t="shared" si="2944"/>
        <v>200</v>
      </c>
    </row>
    <row r="2559" spans="1:14">
      <c r="A2559" s="8">
        <f t="shared" si="2945"/>
        <v>30021</v>
      </c>
      <c r="B2559" s="8">
        <v>40000</v>
      </c>
      <c r="C2559" s="8" t="s">
        <v>298</v>
      </c>
      <c r="D2559" s="7">
        <f t="shared" si="2943"/>
        <v>50800076</v>
      </c>
      <c r="E2559" s="8"/>
      <c r="F2559" s="8">
        <v>1</v>
      </c>
      <c r="G2559" s="7">
        <v>510000</v>
      </c>
      <c r="H2559" s="8" t="s">
        <v>299</v>
      </c>
      <c r="I2559" s="8">
        <v>1</v>
      </c>
      <c r="J2559" s="8">
        <v>240</v>
      </c>
      <c r="K2559" s="7" t="s">
        <v>312</v>
      </c>
      <c r="L2559" s="8">
        <v>92</v>
      </c>
      <c r="M2559" s="7">
        <f>IF(INDEX([1]equip.xml!$B:$B,MATCH(D2559,[1]equip.xml!$A:$A,0))=0,0,N2559)</f>
        <v>200</v>
      </c>
      <c r="N2559" s="8">
        <f t="shared" si="2944"/>
        <v>200</v>
      </c>
    </row>
    <row r="2560" spans="1:14">
      <c r="A2560" s="8">
        <f t="shared" si="2945"/>
        <v>30021</v>
      </c>
      <c r="B2560" s="8">
        <v>40000</v>
      </c>
      <c r="C2560" s="8" t="s">
        <v>298</v>
      </c>
      <c r="D2560" s="7">
        <f t="shared" si="2943"/>
        <v>50850015</v>
      </c>
      <c r="E2560" s="8"/>
      <c r="F2560" s="8">
        <v>1</v>
      </c>
      <c r="G2560" s="7">
        <v>528000</v>
      </c>
      <c r="H2560" s="8" t="s">
        <v>299</v>
      </c>
      <c r="I2560" s="8">
        <v>1</v>
      </c>
      <c r="J2560" s="8">
        <v>240</v>
      </c>
      <c r="K2560" s="7" t="s">
        <v>312</v>
      </c>
      <c r="L2560" s="8">
        <v>92</v>
      </c>
      <c r="M2560" s="7">
        <f>IF(INDEX([1]equip.xml!$B:$B,MATCH(D2560,[1]equip.xml!$A:$A,0))=0,0,N2560)</f>
        <v>34</v>
      </c>
      <c r="N2560" s="8">
        <f t="shared" si="2944"/>
        <v>34</v>
      </c>
    </row>
    <row r="2561" spans="1:14">
      <c r="A2561" s="8">
        <f>A2033+10000</f>
        <v>30021</v>
      </c>
      <c r="B2561" s="8">
        <v>40000</v>
      </c>
      <c r="C2561" s="8" t="s">
        <v>298</v>
      </c>
      <c r="D2561" s="7">
        <f t="shared" si="2943"/>
        <v>50850025</v>
      </c>
      <c r="E2561" s="8"/>
      <c r="F2561" s="8">
        <v>1</v>
      </c>
      <c r="G2561" s="7">
        <v>528000</v>
      </c>
      <c r="H2561" s="8" t="s">
        <v>299</v>
      </c>
      <c r="I2561" s="8">
        <v>1</v>
      </c>
      <c r="J2561" s="8">
        <v>240</v>
      </c>
      <c r="K2561" s="7" t="s">
        <v>312</v>
      </c>
      <c r="L2561" s="8">
        <v>92</v>
      </c>
      <c r="M2561" s="7">
        <f>IF(INDEX([1]equip.xml!$B:$B,MATCH(D2561,[1]equip.xml!$A:$A,0))=0,0,N2561)</f>
        <v>34</v>
      </c>
      <c r="N2561" s="8">
        <f t="shared" si="2944"/>
        <v>34</v>
      </c>
    </row>
    <row r="2562" spans="1:14">
      <c r="A2562" s="8">
        <f t="shared" ref="A2562:A2625" si="2946">A2034+10000</f>
        <v>30021</v>
      </c>
      <c r="B2562" s="8">
        <v>40000</v>
      </c>
      <c r="C2562" s="8" t="s">
        <v>298</v>
      </c>
      <c r="D2562" s="7">
        <f t="shared" si="2943"/>
        <v>50850035</v>
      </c>
      <c r="E2562" s="8"/>
      <c r="F2562" s="8">
        <v>1</v>
      </c>
      <c r="G2562" s="7">
        <v>528000</v>
      </c>
      <c r="H2562" s="8" t="s">
        <v>299</v>
      </c>
      <c r="I2562" s="8">
        <v>1</v>
      </c>
      <c r="J2562" s="8">
        <v>240</v>
      </c>
      <c r="K2562" s="7" t="s">
        <v>312</v>
      </c>
      <c r="L2562" s="8">
        <v>92</v>
      </c>
      <c r="M2562" s="7">
        <f>IF(INDEX([1]equip.xml!$B:$B,MATCH(D2562,[1]equip.xml!$A:$A,0))=0,0,N2562)</f>
        <v>34</v>
      </c>
      <c r="N2562" s="8">
        <f t="shared" si="2944"/>
        <v>34</v>
      </c>
    </row>
    <row r="2563" spans="1:14">
      <c r="A2563" s="8">
        <f t="shared" si="2946"/>
        <v>30021</v>
      </c>
      <c r="B2563" s="8">
        <v>40000</v>
      </c>
      <c r="C2563" s="8" t="s">
        <v>298</v>
      </c>
      <c r="D2563" s="7">
        <f t="shared" si="2943"/>
        <v>50850085</v>
      </c>
      <c r="E2563" s="8"/>
      <c r="F2563" s="8">
        <v>1</v>
      </c>
      <c r="G2563" s="7">
        <v>528000</v>
      </c>
      <c r="H2563" s="8" t="s">
        <v>299</v>
      </c>
      <c r="I2563" s="8">
        <v>1</v>
      </c>
      <c r="J2563" s="8">
        <v>240</v>
      </c>
      <c r="K2563" s="7" t="s">
        <v>312</v>
      </c>
      <c r="L2563" s="8">
        <v>92</v>
      </c>
      <c r="M2563" s="7">
        <f>IF(INDEX([1]equip.xml!$B:$B,MATCH(D2563,[1]equip.xml!$A:$A,0))=0,0,N2563)</f>
        <v>34</v>
      </c>
      <c r="N2563" s="8">
        <f t="shared" si="2944"/>
        <v>34</v>
      </c>
    </row>
    <row r="2564" spans="1:14">
      <c r="A2564" s="8">
        <f t="shared" si="2946"/>
        <v>30021</v>
      </c>
      <c r="B2564" s="8">
        <v>40000</v>
      </c>
      <c r="C2564" s="8" t="s">
        <v>298</v>
      </c>
      <c r="D2564" s="7">
        <f t="shared" si="2943"/>
        <v>50850095</v>
      </c>
      <c r="E2564" s="8"/>
      <c r="F2564" s="8">
        <v>1</v>
      </c>
      <c r="G2564" s="7">
        <v>528000</v>
      </c>
      <c r="H2564" s="8" t="s">
        <v>299</v>
      </c>
      <c r="I2564" s="8">
        <v>1</v>
      </c>
      <c r="J2564" s="8">
        <v>240</v>
      </c>
      <c r="K2564" s="7" t="s">
        <v>312</v>
      </c>
      <c r="L2564" s="8">
        <v>92</v>
      </c>
      <c r="M2564" s="7">
        <f>IF(INDEX([1]equip.xml!$B:$B,MATCH(D2564,[1]equip.xml!$A:$A,0))=0,0,N2564)</f>
        <v>34</v>
      </c>
      <c r="N2564" s="8">
        <f t="shared" si="2944"/>
        <v>34</v>
      </c>
    </row>
    <row r="2565" spans="1:14">
      <c r="A2565" s="8">
        <f t="shared" si="2946"/>
        <v>30021</v>
      </c>
      <c r="B2565" s="8">
        <v>40000</v>
      </c>
      <c r="C2565" s="8" t="s">
        <v>298</v>
      </c>
      <c r="D2565" s="7">
        <f t="shared" si="2943"/>
        <v>50850105</v>
      </c>
      <c r="E2565" s="8"/>
      <c r="F2565" s="8">
        <v>1</v>
      </c>
      <c r="G2565" s="7">
        <v>528000</v>
      </c>
      <c r="H2565" s="8" t="s">
        <v>299</v>
      </c>
      <c r="I2565" s="8">
        <v>1</v>
      </c>
      <c r="J2565" s="8">
        <v>240</v>
      </c>
      <c r="K2565" s="7" t="s">
        <v>312</v>
      </c>
      <c r="L2565" s="8">
        <v>92</v>
      </c>
      <c r="M2565" s="7">
        <f>IF(INDEX([1]equip.xml!$B:$B,MATCH(D2565,[1]equip.xml!$A:$A,0))=0,0,N2565)</f>
        <v>34</v>
      </c>
      <c r="N2565" s="8">
        <f t="shared" si="2944"/>
        <v>34</v>
      </c>
    </row>
    <row r="2566" spans="1:14">
      <c r="A2566" s="8">
        <f t="shared" si="2946"/>
        <v>30021</v>
      </c>
      <c r="B2566" s="8">
        <v>40000</v>
      </c>
      <c r="C2566" s="8" t="s">
        <v>298</v>
      </c>
      <c r="D2566" s="7">
        <f t="shared" si="2943"/>
        <v>50851055</v>
      </c>
      <c r="E2566" s="8"/>
      <c r="F2566" s="8">
        <v>1</v>
      </c>
      <c r="G2566" s="7">
        <v>528000</v>
      </c>
      <c r="H2566" s="8" t="s">
        <v>299</v>
      </c>
      <c r="I2566" s="8">
        <v>1</v>
      </c>
      <c r="J2566" s="8">
        <v>240</v>
      </c>
      <c r="K2566" s="7" t="s">
        <v>312</v>
      </c>
      <c r="L2566" s="8">
        <v>92</v>
      </c>
      <c r="M2566" s="7">
        <f>IF(INDEX([1]equip.xml!$B:$B,MATCH(D2566,[1]equip.xml!$A:$A,0))=0,0,N2566)</f>
        <v>34</v>
      </c>
      <c r="N2566" s="8">
        <f t="shared" si="2944"/>
        <v>34</v>
      </c>
    </row>
    <row r="2567" spans="1:14">
      <c r="A2567" s="8">
        <f t="shared" si="2946"/>
        <v>30021</v>
      </c>
      <c r="B2567" s="8">
        <v>40000</v>
      </c>
      <c r="C2567" s="8" t="s">
        <v>298</v>
      </c>
      <c r="D2567" s="7">
        <f t="shared" si="2943"/>
        <v>50851056</v>
      </c>
      <c r="E2567" s="8"/>
      <c r="F2567" s="8">
        <v>1</v>
      </c>
      <c r="G2567" s="7">
        <v>546000</v>
      </c>
      <c r="H2567" s="8" t="s">
        <v>299</v>
      </c>
      <c r="I2567" s="8">
        <v>1</v>
      </c>
      <c r="J2567" s="8">
        <v>240</v>
      </c>
      <c r="K2567" s="7" t="s">
        <v>312</v>
      </c>
      <c r="L2567" s="8">
        <v>92</v>
      </c>
      <c r="M2567" s="7">
        <f>IF(INDEX([1]equip.xml!$B:$B,MATCH(D2567,[1]equip.xml!$A:$A,0))=0,0,N2567)</f>
        <v>34</v>
      </c>
      <c r="N2567" s="8">
        <f t="shared" si="2944"/>
        <v>34</v>
      </c>
    </row>
    <row r="2568" spans="1:14">
      <c r="A2568" s="8">
        <f t="shared" si="2946"/>
        <v>30021</v>
      </c>
      <c r="B2568" s="8">
        <v>40000</v>
      </c>
      <c r="C2568" s="8" t="s">
        <v>298</v>
      </c>
      <c r="D2568" s="7">
        <f t="shared" si="2943"/>
        <v>50851065</v>
      </c>
      <c r="E2568" s="8"/>
      <c r="F2568" s="8">
        <v>1</v>
      </c>
      <c r="G2568" s="7">
        <v>528000</v>
      </c>
      <c r="H2568" s="8" t="s">
        <v>299</v>
      </c>
      <c r="I2568" s="8">
        <v>1</v>
      </c>
      <c r="J2568" s="8">
        <v>240</v>
      </c>
      <c r="K2568" s="7" t="s">
        <v>312</v>
      </c>
      <c r="L2568" s="8">
        <v>92</v>
      </c>
      <c r="M2568" s="7">
        <f>IF(INDEX([1]equip.xml!$B:$B,MATCH(D2568,[1]equip.xml!$A:$A,0))=0,0,N2568)</f>
        <v>34</v>
      </c>
      <c r="N2568" s="8">
        <f t="shared" si="2944"/>
        <v>34</v>
      </c>
    </row>
    <row r="2569" spans="1:14">
      <c r="A2569" s="8">
        <f t="shared" si="2946"/>
        <v>30021</v>
      </c>
      <c r="B2569" s="8">
        <v>40000</v>
      </c>
      <c r="C2569" s="8" t="s">
        <v>298</v>
      </c>
      <c r="D2569" s="7">
        <f t="shared" si="2943"/>
        <v>50851066</v>
      </c>
      <c r="E2569" s="8"/>
      <c r="F2569" s="8">
        <v>1</v>
      </c>
      <c r="G2569" s="7">
        <v>546000</v>
      </c>
      <c r="H2569" s="8" t="s">
        <v>299</v>
      </c>
      <c r="I2569" s="8">
        <v>1</v>
      </c>
      <c r="J2569" s="8">
        <v>240</v>
      </c>
      <c r="K2569" s="7" t="s">
        <v>312</v>
      </c>
      <c r="L2569" s="8">
        <v>92</v>
      </c>
      <c r="M2569" s="7">
        <f>IF(INDEX([1]equip.xml!$B:$B,MATCH(D2569,[1]equip.xml!$A:$A,0))=0,0,N2569)</f>
        <v>34</v>
      </c>
      <c r="N2569" s="8">
        <f t="shared" si="2944"/>
        <v>34</v>
      </c>
    </row>
    <row r="2570" spans="1:14">
      <c r="A2570" s="8">
        <f t="shared" si="2946"/>
        <v>30021</v>
      </c>
      <c r="B2570" s="8">
        <v>40000</v>
      </c>
      <c r="C2570" s="8" t="s">
        <v>298</v>
      </c>
      <c r="D2570" s="7">
        <f t="shared" si="2943"/>
        <v>50852055</v>
      </c>
      <c r="E2570" s="8"/>
      <c r="F2570" s="8">
        <v>1</v>
      </c>
      <c r="G2570" s="7">
        <v>528000</v>
      </c>
      <c r="H2570" s="8" t="s">
        <v>299</v>
      </c>
      <c r="I2570" s="8">
        <v>1</v>
      </c>
      <c r="J2570" s="8">
        <v>240</v>
      </c>
      <c r="K2570" s="7" t="s">
        <v>312</v>
      </c>
      <c r="L2570" s="8">
        <v>92</v>
      </c>
      <c r="M2570" s="7">
        <f>IF(INDEX([1]equip.xml!$B:$B,MATCH(D2570,[1]equip.xml!$A:$A,0))=0,0,N2570)</f>
        <v>34</v>
      </c>
      <c r="N2570" s="8">
        <f t="shared" si="2944"/>
        <v>34</v>
      </c>
    </row>
    <row r="2571" spans="1:14">
      <c r="A2571" s="8">
        <f t="shared" si="2946"/>
        <v>30021</v>
      </c>
      <c r="B2571" s="8">
        <v>40000</v>
      </c>
      <c r="C2571" s="8" t="s">
        <v>298</v>
      </c>
      <c r="D2571" s="7">
        <f t="shared" si="2943"/>
        <v>50852056</v>
      </c>
      <c r="E2571" s="8"/>
      <c r="F2571" s="8">
        <v>1</v>
      </c>
      <c r="G2571" s="7">
        <v>546000</v>
      </c>
      <c r="H2571" s="8" t="s">
        <v>299</v>
      </c>
      <c r="I2571" s="8">
        <v>1</v>
      </c>
      <c r="J2571" s="8">
        <v>240</v>
      </c>
      <c r="K2571" s="7" t="s">
        <v>312</v>
      </c>
      <c r="L2571" s="8">
        <v>92</v>
      </c>
      <c r="M2571" s="7">
        <f>IF(INDEX([1]equip.xml!$B:$B,MATCH(D2571,[1]equip.xml!$A:$A,0))=0,0,N2571)</f>
        <v>34</v>
      </c>
      <c r="N2571" s="8">
        <f t="shared" si="2944"/>
        <v>34</v>
      </c>
    </row>
    <row r="2572" spans="1:14">
      <c r="A2572" s="8">
        <f t="shared" si="2946"/>
        <v>30021</v>
      </c>
      <c r="B2572" s="8">
        <v>40000</v>
      </c>
      <c r="C2572" s="8" t="s">
        <v>298</v>
      </c>
      <c r="D2572" s="7">
        <f t="shared" si="2943"/>
        <v>50852065</v>
      </c>
      <c r="E2572" s="8"/>
      <c r="F2572" s="8">
        <v>1</v>
      </c>
      <c r="G2572" s="7">
        <v>528000</v>
      </c>
      <c r="H2572" s="8" t="s">
        <v>299</v>
      </c>
      <c r="I2572" s="8">
        <v>1</v>
      </c>
      <c r="J2572" s="8">
        <v>240</v>
      </c>
      <c r="K2572" s="7" t="s">
        <v>312</v>
      </c>
      <c r="L2572" s="8">
        <v>92</v>
      </c>
      <c r="M2572" s="7">
        <f>IF(INDEX([1]equip.xml!$B:$B,MATCH(D2572,[1]equip.xml!$A:$A,0))=0,0,N2572)</f>
        <v>34</v>
      </c>
      <c r="N2572" s="8">
        <f t="shared" si="2944"/>
        <v>34</v>
      </c>
    </row>
    <row r="2573" spans="1:14">
      <c r="A2573" s="8">
        <f t="shared" si="2946"/>
        <v>30021</v>
      </c>
      <c r="B2573" s="8">
        <v>40000</v>
      </c>
      <c r="C2573" s="8" t="s">
        <v>298</v>
      </c>
      <c r="D2573" s="7">
        <f t="shared" si="2943"/>
        <v>50852066</v>
      </c>
      <c r="E2573" s="8"/>
      <c r="F2573" s="8">
        <v>1</v>
      </c>
      <c r="G2573" s="7">
        <v>546000</v>
      </c>
      <c r="H2573" s="8" t="s">
        <v>299</v>
      </c>
      <c r="I2573" s="8">
        <v>1</v>
      </c>
      <c r="J2573" s="8">
        <v>240</v>
      </c>
      <c r="K2573" s="7" t="s">
        <v>312</v>
      </c>
      <c r="L2573" s="8">
        <v>92</v>
      </c>
      <c r="M2573" s="7">
        <f>IF(INDEX([1]equip.xml!$B:$B,MATCH(D2573,[1]equip.xml!$A:$A,0))=0,0,N2573)</f>
        <v>34</v>
      </c>
      <c r="N2573" s="8">
        <f t="shared" si="2944"/>
        <v>34</v>
      </c>
    </row>
    <row r="2574" spans="1:14">
      <c r="A2574" s="8">
        <f>A2046+10000</f>
        <v>30021</v>
      </c>
      <c r="B2574" s="8">
        <v>40000</v>
      </c>
      <c r="C2574" s="8" t="s">
        <v>298</v>
      </c>
      <c r="D2574" s="7">
        <f t="shared" si="2943"/>
        <v>50853055</v>
      </c>
      <c r="E2574" s="8"/>
      <c r="F2574" s="8">
        <v>1</v>
      </c>
      <c r="G2574" s="7">
        <v>528000</v>
      </c>
      <c r="H2574" s="8" t="s">
        <v>299</v>
      </c>
      <c r="I2574" s="8">
        <v>1</v>
      </c>
      <c r="J2574" s="8">
        <v>240</v>
      </c>
      <c r="K2574" s="7" t="s">
        <v>312</v>
      </c>
      <c r="L2574" s="8">
        <v>92</v>
      </c>
      <c r="M2574" s="7">
        <f>IF(INDEX([1]equip.xml!$B:$B,MATCH(D2574,[1]equip.xml!$A:$A,0))=0,0,N2574)</f>
        <v>34</v>
      </c>
      <c r="N2574" s="8">
        <f t="shared" si="2944"/>
        <v>34</v>
      </c>
    </row>
    <row r="2575" spans="1:14">
      <c r="A2575" s="8">
        <f t="shared" si="2946"/>
        <v>30021</v>
      </c>
      <c r="B2575" s="8">
        <v>40000</v>
      </c>
      <c r="C2575" s="8" t="s">
        <v>298</v>
      </c>
      <c r="D2575" s="7">
        <f t="shared" si="2943"/>
        <v>50853056</v>
      </c>
      <c r="E2575" s="8"/>
      <c r="F2575" s="8">
        <v>1</v>
      </c>
      <c r="G2575" s="7">
        <v>546000</v>
      </c>
      <c r="H2575" s="8" t="s">
        <v>299</v>
      </c>
      <c r="I2575" s="8">
        <v>1</v>
      </c>
      <c r="J2575" s="8">
        <v>240</v>
      </c>
      <c r="K2575" s="7" t="s">
        <v>312</v>
      </c>
      <c r="L2575" s="8">
        <v>92</v>
      </c>
      <c r="M2575" s="7">
        <f>IF(INDEX([1]equip.xml!$B:$B,MATCH(D2575,[1]equip.xml!$A:$A,0))=0,0,N2575)</f>
        <v>34</v>
      </c>
      <c r="N2575" s="8">
        <f t="shared" si="2944"/>
        <v>34</v>
      </c>
    </row>
    <row r="2576" spans="1:14">
      <c r="A2576" s="8">
        <f t="shared" si="2946"/>
        <v>30021</v>
      </c>
      <c r="B2576" s="8">
        <v>40000</v>
      </c>
      <c r="C2576" s="8" t="s">
        <v>298</v>
      </c>
      <c r="D2576" s="7">
        <f t="shared" si="2943"/>
        <v>50853065</v>
      </c>
      <c r="E2576" s="8"/>
      <c r="F2576" s="8">
        <v>1</v>
      </c>
      <c r="G2576" s="7">
        <v>528000</v>
      </c>
      <c r="H2576" s="8" t="s">
        <v>299</v>
      </c>
      <c r="I2576" s="8">
        <v>1</v>
      </c>
      <c r="J2576" s="8">
        <v>240</v>
      </c>
      <c r="K2576" s="7" t="s">
        <v>312</v>
      </c>
      <c r="L2576" s="8">
        <v>92</v>
      </c>
      <c r="M2576" s="7">
        <f>IF(INDEX([1]equip.xml!$B:$B,MATCH(D2576,[1]equip.xml!$A:$A,0))=0,0,N2576)</f>
        <v>34</v>
      </c>
      <c r="N2576" s="8">
        <f t="shared" si="2944"/>
        <v>34</v>
      </c>
    </row>
    <row r="2577" spans="1:14">
      <c r="A2577" s="8">
        <f t="shared" si="2946"/>
        <v>30021</v>
      </c>
      <c r="B2577" s="8">
        <v>40000</v>
      </c>
      <c r="C2577" s="8" t="s">
        <v>298</v>
      </c>
      <c r="D2577" s="7">
        <f t="shared" si="2943"/>
        <v>50853066</v>
      </c>
      <c r="E2577" s="8"/>
      <c r="F2577" s="8">
        <v>1</v>
      </c>
      <c r="G2577" s="7">
        <v>546000</v>
      </c>
      <c r="H2577" s="8" t="s">
        <v>299</v>
      </c>
      <c r="I2577" s="8">
        <v>1</v>
      </c>
      <c r="J2577" s="8">
        <v>240</v>
      </c>
      <c r="K2577" s="7" t="s">
        <v>312</v>
      </c>
      <c r="L2577" s="8">
        <v>92</v>
      </c>
      <c r="M2577" s="7">
        <f>IF(INDEX([1]equip.xml!$B:$B,MATCH(D2577,[1]equip.xml!$A:$A,0))=0,0,N2577)</f>
        <v>34</v>
      </c>
      <c r="N2577" s="8">
        <f t="shared" si="2944"/>
        <v>34</v>
      </c>
    </row>
    <row r="2578" spans="1:14">
      <c r="A2578" s="8">
        <f t="shared" si="2946"/>
        <v>30021</v>
      </c>
      <c r="B2578" s="8">
        <v>40000</v>
      </c>
      <c r="C2578" s="8" t="s">
        <v>298</v>
      </c>
      <c r="D2578" s="7">
        <f t="shared" si="2943"/>
        <v>50850045</v>
      </c>
      <c r="E2578" s="8"/>
      <c r="F2578" s="8">
        <v>1</v>
      </c>
      <c r="G2578" s="7">
        <v>528000</v>
      </c>
      <c r="H2578" s="8" t="s">
        <v>299</v>
      </c>
      <c r="I2578" s="8">
        <v>1</v>
      </c>
      <c r="J2578" s="8">
        <v>240</v>
      </c>
      <c r="K2578" s="7" t="s">
        <v>312</v>
      </c>
      <c r="L2578" s="8">
        <v>92</v>
      </c>
      <c r="M2578" s="7">
        <f>IF(INDEX([1]equip.xml!$B:$B,MATCH(D2578,[1]equip.xml!$A:$A,0))=0,0,N2578)</f>
        <v>34</v>
      </c>
      <c r="N2578" s="8">
        <f t="shared" si="2944"/>
        <v>34</v>
      </c>
    </row>
    <row r="2579" spans="1:14">
      <c r="A2579" s="8">
        <f t="shared" si="2946"/>
        <v>30021</v>
      </c>
      <c r="B2579" s="8">
        <v>40000</v>
      </c>
      <c r="C2579" s="8" t="s">
        <v>298</v>
      </c>
      <c r="D2579" s="7">
        <f t="shared" si="2943"/>
        <v>50850046</v>
      </c>
      <c r="E2579" s="8"/>
      <c r="F2579" s="8">
        <v>1</v>
      </c>
      <c r="G2579" s="7">
        <v>546000</v>
      </c>
      <c r="H2579" s="8" t="s">
        <v>299</v>
      </c>
      <c r="I2579" s="8">
        <v>1</v>
      </c>
      <c r="J2579" s="8">
        <v>240</v>
      </c>
      <c r="K2579" s="7" t="s">
        <v>312</v>
      </c>
      <c r="L2579" s="8">
        <v>92</v>
      </c>
      <c r="M2579" s="7">
        <f>IF(INDEX([1]equip.xml!$B:$B,MATCH(D2579,[1]equip.xml!$A:$A,0))=0,0,N2579)</f>
        <v>34</v>
      </c>
      <c r="N2579" s="8">
        <f t="shared" si="2944"/>
        <v>34</v>
      </c>
    </row>
    <row r="2580" spans="1:14">
      <c r="A2580" s="8">
        <f t="shared" si="2946"/>
        <v>30021</v>
      </c>
      <c r="B2580" s="8">
        <v>40000</v>
      </c>
      <c r="C2580" s="8" t="s">
        <v>298</v>
      </c>
      <c r="D2580" s="7">
        <f t="shared" si="2943"/>
        <v>50850075</v>
      </c>
      <c r="E2580" s="8"/>
      <c r="F2580" s="8">
        <v>1</v>
      </c>
      <c r="G2580" s="7">
        <v>528000</v>
      </c>
      <c r="H2580" s="8" t="s">
        <v>299</v>
      </c>
      <c r="I2580" s="8">
        <v>1</v>
      </c>
      <c r="J2580" s="8">
        <v>240</v>
      </c>
      <c r="K2580" s="7" t="s">
        <v>312</v>
      </c>
      <c r="L2580" s="8">
        <v>92</v>
      </c>
      <c r="M2580" s="7">
        <f>IF(INDEX([1]equip.xml!$B:$B,MATCH(D2580,[1]equip.xml!$A:$A,0))=0,0,N2580)</f>
        <v>34</v>
      </c>
      <c r="N2580" s="8">
        <f t="shared" si="2944"/>
        <v>34</v>
      </c>
    </row>
    <row r="2581" spans="1:14">
      <c r="A2581" s="8">
        <f t="shared" si="2946"/>
        <v>30021</v>
      </c>
      <c r="B2581" s="8">
        <v>40000</v>
      </c>
      <c r="C2581" s="8" t="s">
        <v>298</v>
      </c>
      <c r="D2581" s="7">
        <f t="shared" si="2943"/>
        <v>50850076</v>
      </c>
      <c r="E2581" s="8"/>
      <c r="F2581" s="8">
        <v>1</v>
      </c>
      <c r="G2581" s="7">
        <v>546000</v>
      </c>
      <c r="H2581" s="8" t="s">
        <v>299</v>
      </c>
      <c r="I2581" s="8">
        <v>1</v>
      </c>
      <c r="J2581" s="8">
        <v>240</v>
      </c>
      <c r="K2581" s="7" t="s">
        <v>312</v>
      </c>
      <c r="L2581" s="8">
        <v>92</v>
      </c>
      <c r="M2581" s="7">
        <f>IF(INDEX([1]equip.xml!$B:$B,MATCH(D2581,[1]equip.xml!$A:$A,0))=0,0,N2581)</f>
        <v>34</v>
      </c>
      <c r="N2581" s="8">
        <f t="shared" si="2944"/>
        <v>34</v>
      </c>
    </row>
    <row r="2582" spans="1:14">
      <c r="A2582" s="8">
        <f t="shared" si="2946"/>
        <v>30022</v>
      </c>
      <c r="B2582" s="8">
        <v>40000</v>
      </c>
      <c r="C2582" s="8" t="s">
        <v>298</v>
      </c>
      <c r="D2582" s="8">
        <f t="shared" ref="D2582:D2625" si="2947">D2494+50000</f>
        <v>40850010</v>
      </c>
      <c r="E2582" s="8"/>
      <c r="F2582" s="8">
        <v>1</v>
      </c>
      <c r="G2582" s="7">
        <v>264000</v>
      </c>
      <c r="H2582" s="8" t="s">
        <v>299</v>
      </c>
      <c r="I2582" s="8">
        <v>6</v>
      </c>
      <c r="J2582" s="8">
        <v>50</v>
      </c>
      <c r="K2582" s="7" t="s">
        <v>312</v>
      </c>
      <c r="L2582" s="8">
        <v>96</v>
      </c>
      <c r="M2582" s="7">
        <f>IF(INDEX([1]equip.xml!$B:$B,MATCH(D2582,[1]equip.xml!$A:$A,0))=0,0,N2582)</f>
        <v>100</v>
      </c>
      <c r="N2582" s="8">
        <v>100</v>
      </c>
    </row>
    <row r="2583" spans="1:14">
      <c r="A2583" s="8">
        <f t="shared" si="2946"/>
        <v>30022</v>
      </c>
      <c r="B2583" s="8">
        <v>40000</v>
      </c>
      <c r="C2583" s="8" t="s">
        <v>298</v>
      </c>
      <c r="D2583" s="8">
        <f t="shared" si="2947"/>
        <v>40850020</v>
      </c>
      <c r="E2583" s="8"/>
      <c r="F2583" s="8">
        <v>1</v>
      </c>
      <c r="G2583" s="7">
        <v>264000</v>
      </c>
      <c r="H2583" s="8" t="s">
        <v>299</v>
      </c>
      <c r="I2583" s="8">
        <v>6</v>
      </c>
      <c r="J2583" s="8">
        <v>50</v>
      </c>
      <c r="K2583" s="7" t="s">
        <v>312</v>
      </c>
      <c r="L2583" s="8">
        <v>96</v>
      </c>
      <c r="M2583" s="7">
        <f>IF(INDEX([1]equip.xml!$B:$B,MATCH(D2583,[1]equip.xml!$A:$A,0))=0,0,N2583)</f>
        <v>100</v>
      </c>
      <c r="N2583" s="8">
        <v>100</v>
      </c>
    </row>
    <row r="2584" spans="1:14">
      <c r="A2584" s="8">
        <f t="shared" si="2946"/>
        <v>30022</v>
      </c>
      <c r="B2584" s="8">
        <v>40000</v>
      </c>
      <c r="C2584" s="8" t="s">
        <v>298</v>
      </c>
      <c r="D2584" s="8">
        <f t="shared" si="2947"/>
        <v>40850030</v>
      </c>
      <c r="E2584" s="8"/>
      <c r="F2584" s="8">
        <v>1</v>
      </c>
      <c r="G2584" s="7">
        <v>264000</v>
      </c>
      <c r="H2584" s="8" t="s">
        <v>299</v>
      </c>
      <c r="I2584" s="8">
        <v>6</v>
      </c>
      <c r="J2584" s="8">
        <v>50</v>
      </c>
      <c r="K2584" s="7" t="s">
        <v>312</v>
      </c>
      <c r="L2584" s="8">
        <v>96</v>
      </c>
      <c r="M2584" s="7">
        <f>IF(INDEX([1]equip.xml!$B:$B,MATCH(D2584,[1]equip.xml!$A:$A,0))=0,0,N2584)</f>
        <v>100</v>
      </c>
      <c r="N2584" s="8">
        <v>100</v>
      </c>
    </row>
    <row r="2585" spans="1:14">
      <c r="A2585" s="8">
        <f t="shared" si="2946"/>
        <v>30022</v>
      </c>
      <c r="B2585" s="8">
        <v>40000</v>
      </c>
      <c r="C2585" s="8" t="s">
        <v>298</v>
      </c>
      <c r="D2585" s="8">
        <f t="shared" si="2947"/>
        <v>40850080</v>
      </c>
      <c r="E2585" s="8"/>
      <c r="F2585" s="8">
        <v>1</v>
      </c>
      <c r="G2585" s="7">
        <v>264000</v>
      </c>
      <c r="H2585" s="8" t="s">
        <v>299</v>
      </c>
      <c r="I2585" s="8">
        <v>6</v>
      </c>
      <c r="J2585" s="8">
        <v>50</v>
      </c>
      <c r="K2585" s="7" t="s">
        <v>312</v>
      </c>
      <c r="L2585" s="8">
        <v>96</v>
      </c>
      <c r="M2585" s="7">
        <f>IF(INDEX([1]equip.xml!$B:$B,MATCH(D2585,[1]equip.xml!$A:$A,0))=0,0,N2585)</f>
        <v>100</v>
      </c>
      <c r="N2585" s="8">
        <v>100</v>
      </c>
    </row>
    <row r="2586" spans="1:14">
      <c r="A2586" s="8">
        <f t="shared" si="2946"/>
        <v>30022</v>
      </c>
      <c r="B2586" s="8">
        <v>40000</v>
      </c>
      <c r="C2586" s="8" t="s">
        <v>298</v>
      </c>
      <c r="D2586" s="8">
        <f t="shared" si="2947"/>
        <v>40850090</v>
      </c>
      <c r="E2586" s="8"/>
      <c r="F2586" s="8">
        <v>1</v>
      </c>
      <c r="G2586" s="7">
        <v>264000</v>
      </c>
      <c r="H2586" s="8" t="s">
        <v>299</v>
      </c>
      <c r="I2586" s="8">
        <v>6</v>
      </c>
      <c r="J2586" s="8">
        <v>50</v>
      </c>
      <c r="K2586" s="7" t="s">
        <v>312</v>
      </c>
      <c r="L2586" s="8">
        <v>96</v>
      </c>
      <c r="M2586" s="7">
        <f>IF(INDEX([1]equip.xml!$B:$B,MATCH(D2586,[1]equip.xml!$A:$A,0))=0,0,N2586)</f>
        <v>100</v>
      </c>
      <c r="N2586" s="8">
        <v>100</v>
      </c>
    </row>
    <row r="2587" spans="1:14">
      <c r="A2587" s="8">
        <f t="shared" si="2946"/>
        <v>30022</v>
      </c>
      <c r="B2587" s="8">
        <v>40000</v>
      </c>
      <c r="C2587" s="8" t="s">
        <v>298</v>
      </c>
      <c r="D2587" s="8">
        <f t="shared" si="2947"/>
        <v>40850100</v>
      </c>
      <c r="E2587" s="8"/>
      <c r="F2587" s="8">
        <v>1</v>
      </c>
      <c r="G2587" s="7">
        <v>264000</v>
      </c>
      <c r="H2587" s="8" t="s">
        <v>299</v>
      </c>
      <c r="I2587" s="8">
        <v>6</v>
      </c>
      <c r="J2587" s="8">
        <v>50</v>
      </c>
      <c r="K2587" s="7" t="s">
        <v>312</v>
      </c>
      <c r="L2587" s="8">
        <v>96</v>
      </c>
      <c r="M2587" s="7">
        <f>IF(INDEX([1]equip.xml!$B:$B,MATCH(D2587,[1]equip.xml!$A:$A,0))=0,0,N2587)</f>
        <v>100</v>
      </c>
      <c r="N2587" s="8">
        <v>100</v>
      </c>
    </row>
    <row r="2588" spans="1:14">
      <c r="A2588" s="8">
        <f t="shared" si="2946"/>
        <v>30022</v>
      </c>
      <c r="B2588" s="8">
        <v>40000</v>
      </c>
      <c r="C2588" s="8" t="s">
        <v>298</v>
      </c>
      <c r="D2588" s="8">
        <f t="shared" si="2947"/>
        <v>40851050</v>
      </c>
      <c r="E2588" s="8"/>
      <c r="F2588" s="8">
        <v>1</v>
      </c>
      <c r="G2588" s="7">
        <v>264000</v>
      </c>
      <c r="H2588" s="8" t="s">
        <v>299</v>
      </c>
      <c r="I2588" s="8">
        <v>6</v>
      </c>
      <c r="J2588" s="8">
        <v>50</v>
      </c>
      <c r="K2588" s="7" t="s">
        <v>312</v>
      </c>
      <c r="L2588" s="8">
        <v>96</v>
      </c>
      <c r="M2588" s="7">
        <f>IF(INDEX([1]equip.xml!$B:$B,MATCH(D2588,[1]equip.xml!$A:$A,0))=0,0,N2588)</f>
        <v>100</v>
      </c>
      <c r="N2588" s="8">
        <v>100</v>
      </c>
    </row>
    <row r="2589" spans="1:14">
      <c r="A2589" s="8">
        <f t="shared" si="2946"/>
        <v>30022</v>
      </c>
      <c r="B2589" s="8">
        <v>40000</v>
      </c>
      <c r="C2589" s="8" t="s">
        <v>298</v>
      </c>
      <c r="D2589" s="8">
        <f t="shared" si="2947"/>
        <v>40851051</v>
      </c>
      <c r="E2589" s="8"/>
      <c r="F2589" s="8">
        <v>1</v>
      </c>
      <c r="G2589" s="7">
        <v>273000</v>
      </c>
      <c r="H2589" s="8" t="s">
        <v>299</v>
      </c>
      <c r="I2589" s="8">
        <v>6</v>
      </c>
      <c r="J2589" s="8">
        <v>50</v>
      </c>
      <c r="K2589" s="7" t="s">
        <v>312</v>
      </c>
      <c r="L2589" s="8">
        <v>96</v>
      </c>
      <c r="M2589" s="7">
        <f>IF(INDEX([1]equip.xml!$B:$B,MATCH(D2589,[1]equip.xml!$A:$A,0))=0,0,N2589)</f>
        <v>100</v>
      </c>
      <c r="N2589" s="8">
        <v>100</v>
      </c>
    </row>
    <row r="2590" spans="1:14">
      <c r="A2590" s="8">
        <f t="shared" si="2946"/>
        <v>30022</v>
      </c>
      <c r="B2590" s="8">
        <v>40000</v>
      </c>
      <c r="C2590" s="8" t="s">
        <v>298</v>
      </c>
      <c r="D2590" s="8">
        <f t="shared" si="2947"/>
        <v>40851060</v>
      </c>
      <c r="E2590" s="8"/>
      <c r="F2590" s="8">
        <v>1</v>
      </c>
      <c r="G2590" s="7">
        <v>264000</v>
      </c>
      <c r="H2590" s="8" t="s">
        <v>299</v>
      </c>
      <c r="I2590" s="8">
        <v>6</v>
      </c>
      <c r="J2590" s="8">
        <v>50</v>
      </c>
      <c r="K2590" s="7" t="s">
        <v>312</v>
      </c>
      <c r="L2590" s="8">
        <v>96</v>
      </c>
      <c r="M2590" s="7">
        <f>IF(INDEX([1]equip.xml!$B:$B,MATCH(D2590,[1]equip.xml!$A:$A,0))=0,0,N2590)</f>
        <v>100</v>
      </c>
      <c r="N2590" s="8">
        <v>100</v>
      </c>
    </row>
    <row r="2591" spans="1:14">
      <c r="A2591" s="8">
        <f t="shared" si="2946"/>
        <v>30022</v>
      </c>
      <c r="B2591" s="8">
        <v>40000</v>
      </c>
      <c r="C2591" s="8" t="s">
        <v>298</v>
      </c>
      <c r="D2591" s="8">
        <f t="shared" si="2947"/>
        <v>40851061</v>
      </c>
      <c r="E2591" s="8"/>
      <c r="F2591" s="8">
        <v>1</v>
      </c>
      <c r="G2591" s="7">
        <v>273000</v>
      </c>
      <c r="H2591" s="8" t="s">
        <v>299</v>
      </c>
      <c r="I2591" s="8">
        <v>6</v>
      </c>
      <c r="J2591" s="8">
        <v>50</v>
      </c>
      <c r="K2591" s="7" t="s">
        <v>312</v>
      </c>
      <c r="L2591" s="8">
        <v>96</v>
      </c>
      <c r="M2591" s="7">
        <f>IF(INDEX([1]equip.xml!$B:$B,MATCH(D2591,[1]equip.xml!$A:$A,0))=0,0,N2591)</f>
        <v>100</v>
      </c>
      <c r="N2591" s="8">
        <v>100</v>
      </c>
    </row>
    <row r="2592" spans="1:14">
      <c r="A2592" s="8">
        <f t="shared" si="2946"/>
        <v>30022</v>
      </c>
      <c r="B2592" s="8">
        <v>40000</v>
      </c>
      <c r="C2592" s="8" t="s">
        <v>298</v>
      </c>
      <c r="D2592" s="8">
        <f t="shared" si="2947"/>
        <v>40852050</v>
      </c>
      <c r="E2592" s="8"/>
      <c r="F2592" s="8">
        <v>1</v>
      </c>
      <c r="G2592" s="7">
        <v>264000</v>
      </c>
      <c r="H2592" s="8" t="s">
        <v>299</v>
      </c>
      <c r="I2592" s="8">
        <v>6</v>
      </c>
      <c r="J2592" s="8">
        <v>50</v>
      </c>
      <c r="K2592" s="7" t="s">
        <v>312</v>
      </c>
      <c r="L2592" s="8">
        <v>96</v>
      </c>
      <c r="M2592" s="7">
        <f>IF(INDEX([1]equip.xml!$B:$B,MATCH(D2592,[1]equip.xml!$A:$A,0))=0,0,N2592)</f>
        <v>100</v>
      </c>
      <c r="N2592" s="8">
        <v>100</v>
      </c>
    </row>
    <row r="2593" spans="1:14">
      <c r="A2593" s="8">
        <f t="shared" si="2946"/>
        <v>30022</v>
      </c>
      <c r="B2593" s="8">
        <v>40000</v>
      </c>
      <c r="C2593" s="8" t="s">
        <v>298</v>
      </c>
      <c r="D2593" s="8">
        <f t="shared" si="2947"/>
        <v>40852051</v>
      </c>
      <c r="E2593" s="8"/>
      <c r="F2593" s="8">
        <v>1</v>
      </c>
      <c r="G2593" s="7">
        <v>273000</v>
      </c>
      <c r="H2593" s="8" t="s">
        <v>299</v>
      </c>
      <c r="I2593" s="8">
        <v>6</v>
      </c>
      <c r="J2593" s="8">
        <v>50</v>
      </c>
      <c r="K2593" s="7" t="s">
        <v>312</v>
      </c>
      <c r="L2593" s="8">
        <v>96</v>
      </c>
      <c r="M2593" s="7">
        <f>IF(INDEX([1]equip.xml!$B:$B,MATCH(D2593,[1]equip.xml!$A:$A,0))=0,0,N2593)</f>
        <v>100</v>
      </c>
      <c r="N2593" s="8">
        <v>100</v>
      </c>
    </row>
    <row r="2594" spans="1:14">
      <c r="A2594" s="8">
        <f t="shared" si="2946"/>
        <v>30022</v>
      </c>
      <c r="B2594" s="8">
        <v>40000</v>
      </c>
      <c r="C2594" s="8" t="s">
        <v>298</v>
      </c>
      <c r="D2594" s="8">
        <f t="shared" si="2947"/>
        <v>40852060</v>
      </c>
      <c r="E2594" s="8"/>
      <c r="F2594" s="8">
        <v>1</v>
      </c>
      <c r="G2594" s="7">
        <v>264000</v>
      </c>
      <c r="H2594" s="8" t="s">
        <v>299</v>
      </c>
      <c r="I2594" s="8">
        <v>6</v>
      </c>
      <c r="J2594" s="8">
        <v>50</v>
      </c>
      <c r="K2594" s="7" t="s">
        <v>312</v>
      </c>
      <c r="L2594" s="8">
        <v>96</v>
      </c>
      <c r="M2594" s="7">
        <f>IF(INDEX([1]equip.xml!$B:$B,MATCH(D2594,[1]equip.xml!$A:$A,0))=0,0,N2594)</f>
        <v>100</v>
      </c>
      <c r="N2594" s="8">
        <v>100</v>
      </c>
    </row>
    <row r="2595" spans="1:14">
      <c r="A2595" s="8">
        <f t="shared" si="2946"/>
        <v>30022</v>
      </c>
      <c r="B2595" s="8">
        <v>40000</v>
      </c>
      <c r="C2595" s="8" t="s">
        <v>298</v>
      </c>
      <c r="D2595" s="8">
        <f t="shared" si="2947"/>
        <v>40852061</v>
      </c>
      <c r="E2595" s="8"/>
      <c r="F2595" s="8">
        <v>1</v>
      </c>
      <c r="G2595" s="7">
        <v>273000</v>
      </c>
      <c r="H2595" s="8" t="s">
        <v>299</v>
      </c>
      <c r="I2595" s="8">
        <v>6</v>
      </c>
      <c r="J2595" s="8">
        <v>50</v>
      </c>
      <c r="K2595" s="7" t="s">
        <v>312</v>
      </c>
      <c r="L2595" s="8">
        <v>96</v>
      </c>
      <c r="M2595" s="7">
        <f>IF(INDEX([1]equip.xml!$B:$B,MATCH(D2595,[1]equip.xml!$A:$A,0))=0,0,N2595)</f>
        <v>100</v>
      </c>
      <c r="N2595" s="8">
        <v>100</v>
      </c>
    </row>
    <row r="2596" spans="1:14">
      <c r="A2596" s="8">
        <f t="shared" si="2946"/>
        <v>30022</v>
      </c>
      <c r="B2596" s="8">
        <v>40000</v>
      </c>
      <c r="C2596" s="8" t="s">
        <v>298</v>
      </c>
      <c r="D2596" s="8">
        <f t="shared" si="2947"/>
        <v>40853050</v>
      </c>
      <c r="E2596" s="8"/>
      <c r="F2596" s="8">
        <v>1</v>
      </c>
      <c r="G2596" s="7">
        <v>264000</v>
      </c>
      <c r="H2596" s="8" t="s">
        <v>299</v>
      </c>
      <c r="I2596" s="8">
        <v>6</v>
      </c>
      <c r="J2596" s="8">
        <v>50</v>
      </c>
      <c r="K2596" s="7" t="s">
        <v>312</v>
      </c>
      <c r="L2596" s="8">
        <v>96</v>
      </c>
      <c r="M2596" s="7">
        <f>IF(INDEX([1]equip.xml!$B:$B,MATCH(D2596,[1]equip.xml!$A:$A,0))=0,0,N2596)</f>
        <v>100</v>
      </c>
      <c r="N2596" s="8">
        <v>100</v>
      </c>
    </row>
    <row r="2597" spans="1:14">
      <c r="A2597" s="8">
        <f t="shared" si="2946"/>
        <v>30022</v>
      </c>
      <c r="B2597" s="8">
        <v>40000</v>
      </c>
      <c r="C2597" s="8" t="s">
        <v>298</v>
      </c>
      <c r="D2597" s="8">
        <f t="shared" si="2947"/>
        <v>40853051</v>
      </c>
      <c r="E2597" s="8"/>
      <c r="F2597" s="8">
        <v>1</v>
      </c>
      <c r="G2597" s="7">
        <v>273000</v>
      </c>
      <c r="H2597" s="8" t="s">
        <v>299</v>
      </c>
      <c r="I2597" s="8">
        <v>6</v>
      </c>
      <c r="J2597" s="8">
        <v>50</v>
      </c>
      <c r="K2597" s="7" t="s">
        <v>312</v>
      </c>
      <c r="L2597" s="8">
        <v>96</v>
      </c>
      <c r="M2597" s="7">
        <f>IF(INDEX([1]equip.xml!$B:$B,MATCH(D2597,[1]equip.xml!$A:$A,0))=0,0,N2597)</f>
        <v>100</v>
      </c>
      <c r="N2597" s="8">
        <v>100</v>
      </c>
    </row>
    <row r="2598" spans="1:14">
      <c r="A2598" s="8">
        <f t="shared" si="2946"/>
        <v>30022</v>
      </c>
      <c r="B2598" s="8">
        <v>40000</v>
      </c>
      <c r="C2598" s="8" t="s">
        <v>298</v>
      </c>
      <c r="D2598" s="8">
        <f t="shared" si="2947"/>
        <v>40853060</v>
      </c>
      <c r="E2598" s="8"/>
      <c r="F2598" s="8">
        <v>1</v>
      </c>
      <c r="G2598" s="7">
        <v>264000</v>
      </c>
      <c r="H2598" s="8" t="s">
        <v>299</v>
      </c>
      <c r="I2598" s="8">
        <v>6</v>
      </c>
      <c r="J2598" s="8">
        <v>50</v>
      </c>
      <c r="K2598" s="7" t="s">
        <v>312</v>
      </c>
      <c r="L2598" s="8">
        <v>96</v>
      </c>
      <c r="M2598" s="7">
        <f>IF(INDEX([1]equip.xml!$B:$B,MATCH(D2598,[1]equip.xml!$A:$A,0))=0,0,N2598)</f>
        <v>100</v>
      </c>
      <c r="N2598" s="8">
        <v>100</v>
      </c>
    </row>
    <row r="2599" spans="1:14">
      <c r="A2599" s="8">
        <f t="shared" si="2946"/>
        <v>30022</v>
      </c>
      <c r="B2599" s="8">
        <v>40000</v>
      </c>
      <c r="C2599" s="8" t="s">
        <v>298</v>
      </c>
      <c r="D2599" s="8">
        <f t="shared" si="2947"/>
        <v>40853061</v>
      </c>
      <c r="E2599" s="8"/>
      <c r="F2599" s="8">
        <v>1</v>
      </c>
      <c r="G2599" s="7">
        <v>273000</v>
      </c>
      <c r="H2599" s="8" t="s">
        <v>299</v>
      </c>
      <c r="I2599" s="8">
        <v>6</v>
      </c>
      <c r="J2599" s="8">
        <v>50</v>
      </c>
      <c r="K2599" s="7" t="s">
        <v>312</v>
      </c>
      <c r="L2599" s="8">
        <v>96</v>
      </c>
      <c r="M2599" s="7">
        <f>IF(INDEX([1]equip.xml!$B:$B,MATCH(D2599,[1]equip.xml!$A:$A,0))=0,0,N2599)</f>
        <v>100</v>
      </c>
      <c r="N2599" s="8">
        <v>100</v>
      </c>
    </row>
    <row r="2600" spans="1:14">
      <c r="A2600" s="8">
        <f t="shared" si="2946"/>
        <v>30022</v>
      </c>
      <c r="B2600" s="8">
        <v>40000</v>
      </c>
      <c r="C2600" s="8" t="s">
        <v>298</v>
      </c>
      <c r="D2600" s="8">
        <f t="shared" si="2947"/>
        <v>40850040</v>
      </c>
      <c r="E2600" s="8"/>
      <c r="F2600" s="8">
        <v>1</v>
      </c>
      <c r="G2600" s="7">
        <v>264000</v>
      </c>
      <c r="H2600" s="8" t="s">
        <v>299</v>
      </c>
      <c r="I2600" s="8">
        <v>6</v>
      </c>
      <c r="J2600" s="8">
        <v>50</v>
      </c>
      <c r="K2600" s="7" t="s">
        <v>312</v>
      </c>
      <c r="L2600" s="8">
        <v>96</v>
      </c>
      <c r="M2600" s="7">
        <f>IF(INDEX([1]equip.xml!$B:$B,MATCH(D2600,[1]equip.xml!$A:$A,0))=0,0,N2600)</f>
        <v>100</v>
      </c>
      <c r="N2600" s="8">
        <v>100</v>
      </c>
    </row>
    <row r="2601" spans="1:14">
      <c r="A2601" s="8">
        <f t="shared" si="2946"/>
        <v>30022</v>
      </c>
      <c r="B2601" s="8">
        <v>40000</v>
      </c>
      <c r="C2601" s="8" t="s">
        <v>298</v>
      </c>
      <c r="D2601" s="8">
        <f t="shared" si="2947"/>
        <v>40850041</v>
      </c>
      <c r="E2601" s="8"/>
      <c r="F2601" s="8">
        <v>1</v>
      </c>
      <c r="G2601" s="7">
        <v>273000</v>
      </c>
      <c r="H2601" s="8" t="s">
        <v>299</v>
      </c>
      <c r="I2601" s="8">
        <v>6</v>
      </c>
      <c r="J2601" s="8">
        <v>50</v>
      </c>
      <c r="K2601" s="7" t="s">
        <v>312</v>
      </c>
      <c r="L2601" s="8">
        <v>96</v>
      </c>
      <c r="M2601" s="7">
        <f>IF(INDEX([1]equip.xml!$B:$B,MATCH(D2601,[1]equip.xml!$A:$A,0))=0,0,N2601)</f>
        <v>100</v>
      </c>
      <c r="N2601" s="8">
        <v>100</v>
      </c>
    </row>
    <row r="2602" spans="1:14">
      <c r="A2602" s="8">
        <f t="shared" si="2946"/>
        <v>30022</v>
      </c>
      <c r="B2602" s="8">
        <v>40000</v>
      </c>
      <c r="C2602" s="8" t="s">
        <v>298</v>
      </c>
      <c r="D2602" s="8">
        <f t="shared" si="2947"/>
        <v>40850070</v>
      </c>
      <c r="E2602" s="8"/>
      <c r="F2602" s="8">
        <v>1</v>
      </c>
      <c r="G2602" s="7">
        <v>264000</v>
      </c>
      <c r="H2602" s="8" t="s">
        <v>299</v>
      </c>
      <c r="I2602" s="8">
        <v>6</v>
      </c>
      <c r="J2602" s="8">
        <v>50</v>
      </c>
      <c r="K2602" s="7" t="s">
        <v>312</v>
      </c>
      <c r="L2602" s="8">
        <v>96</v>
      </c>
      <c r="M2602" s="7">
        <f>IF(INDEX([1]equip.xml!$B:$B,MATCH(D2602,[1]equip.xml!$A:$A,0))=0,0,N2602)</f>
        <v>100</v>
      </c>
      <c r="N2602" s="8">
        <v>100</v>
      </c>
    </row>
    <row r="2603" spans="1:14">
      <c r="A2603" s="8">
        <f t="shared" si="2946"/>
        <v>30022</v>
      </c>
      <c r="B2603" s="8">
        <v>40000</v>
      </c>
      <c r="C2603" s="8" t="s">
        <v>298</v>
      </c>
      <c r="D2603" s="8">
        <f t="shared" si="2947"/>
        <v>40850071</v>
      </c>
      <c r="E2603" s="8"/>
      <c r="F2603" s="8">
        <v>1</v>
      </c>
      <c r="G2603" s="7">
        <v>273000</v>
      </c>
      <c r="H2603" s="8" t="s">
        <v>299</v>
      </c>
      <c r="I2603" s="8">
        <v>6</v>
      </c>
      <c r="J2603" s="8">
        <v>50</v>
      </c>
      <c r="K2603" s="7" t="s">
        <v>312</v>
      </c>
      <c r="L2603" s="8">
        <v>96</v>
      </c>
      <c r="M2603" s="7">
        <f>IF(INDEX([1]equip.xml!$B:$B,MATCH(D2603,[1]equip.xml!$A:$A,0))=0,0,N2603)</f>
        <v>100</v>
      </c>
      <c r="N2603" s="8">
        <v>100</v>
      </c>
    </row>
    <row r="2604" spans="1:14">
      <c r="A2604" s="8">
        <f t="shared" si="2946"/>
        <v>30022</v>
      </c>
      <c r="B2604" s="8">
        <v>40000</v>
      </c>
      <c r="C2604" s="8" t="s">
        <v>298</v>
      </c>
      <c r="D2604" s="8">
        <f t="shared" si="2947"/>
        <v>40900010</v>
      </c>
      <c r="E2604" s="8"/>
      <c r="F2604" s="8">
        <v>1</v>
      </c>
      <c r="G2604" s="7">
        <v>282000</v>
      </c>
      <c r="H2604" s="8" t="s">
        <v>299</v>
      </c>
      <c r="I2604" s="8">
        <v>6</v>
      </c>
      <c r="J2604" s="8">
        <v>50</v>
      </c>
      <c r="K2604" s="7" t="s">
        <v>312</v>
      </c>
      <c r="L2604" s="8">
        <v>96</v>
      </c>
      <c r="M2604" s="7">
        <f>IF(INDEX([1]equip.xml!$B:$B,MATCH(D2604,[1]equip.xml!$A:$A,0))=0,0,N2604)</f>
        <v>34</v>
      </c>
      <c r="N2604" s="8">
        <f t="shared" ref="N2604:N2625" si="2948">N2560</f>
        <v>34</v>
      </c>
    </row>
    <row r="2605" spans="1:14">
      <c r="A2605" s="8">
        <f t="shared" si="2946"/>
        <v>30022</v>
      </c>
      <c r="B2605" s="8">
        <v>40000</v>
      </c>
      <c r="C2605" s="8" t="s">
        <v>298</v>
      </c>
      <c r="D2605" s="8">
        <f t="shared" si="2947"/>
        <v>40900020</v>
      </c>
      <c r="E2605" s="8"/>
      <c r="F2605" s="8">
        <v>1</v>
      </c>
      <c r="G2605" s="7">
        <v>282000</v>
      </c>
      <c r="H2605" s="8" t="s">
        <v>299</v>
      </c>
      <c r="I2605" s="8">
        <v>6</v>
      </c>
      <c r="J2605" s="8">
        <v>50</v>
      </c>
      <c r="K2605" s="7" t="s">
        <v>312</v>
      </c>
      <c r="L2605" s="8">
        <v>96</v>
      </c>
      <c r="M2605" s="7">
        <f>IF(INDEX([1]equip.xml!$B:$B,MATCH(D2605,[1]equip.xml!$A:$A,0))=0,0,N2605)</f>
        <v>34</v>
      </c>
      <c r="N2605" s="8">
        <f t="shared" si="2948"/>
        <v>34</v>
      </c>
    </row>
    <row r="2606" spans="1:14">
      <c r="A2606" s="8">
        <f t="shared" si="2946"/>
        <v>30022</v>
      </c>
      <c r="B2606" s="8">
        <v>40000</v>
      </c>
      <c r="C2606" s="8" t="s">
        <v>298</v>
      </c>
      <c r="D2606" s="8">
        <f t="shared" si="2947"/>
        <v>40900030</v>
      </c>
      <c r="E2606" s="8"/>
      <c r="F2606" s="8">
        <v>1</v>
      </c>
      <c r="G2606" s="7">
        <v>282000</v>
      </c>
      <c r="H2606" s="8" t="s">
        <v>299</v>
      </c>
      <c r="I2606" s="8">
        <v>6</v>
      </c>
      <c r="J2606" s="8">
        <v>50</v>
      </c>
      <c r="K2606" s="7" t="s">
        <v>312</v>
      </c>
      <c r="L2606" s="8">
        <v>96</v>
      </c>
      <c r="M2606" s="7">
        <f>IF(INDEX([1]equip.xml!$B:$B,MATCH(D2606,[1]equip.xml!$A:$A,0))=0,0,N2606)</f>
        <v>34</v>
      </c>
      <c r="N2606" s="8">
        <f t="shared" si="2948"/>
        <v>34</v>
      </c>
    </row>
    <row r="2607" spans="1:14">
      <c r="A2607" s="8">
        <f t="shared" si="2946"/>
        <v>30022</v>
      </c>
      <c r="B2607" s="8">
        <v>40000</v>
      </c>
      <c r="C2607" s="8" t="s">
        <v>298</v>
      </c>
      <c r="D2607" s="8">
        <f t="shared" si="2947"/>
        <v>40900080</v>
      </c>
      <c r="E2607" s="8"/>
      <c r="F2607" s="8">
        <v>1</v>
      </c>
      <c r="G2607" s="7">
        <v>282000</v>
      </c>
      <c r="H2607" s="8" t="s">
        <v>299</v>
      </c>
      <c r="I2607" s="8">
        <v>6</v>
      </c>
      <c r="J2607" s="8">
        <v>50</v>
      </c>
      <c r="K2607" s="7" t="s">
        <v>312</v>
      </c>
      <c r="L2607" s="8">
        <v>96</v>
      </c>
      <c r="M2607" s="7">
        <f>IF(INDEX([1]equip.xml!$B:$B,MATCH(D2607,[1]equip.xml!$A:$A,0))=0,0,N2607)</f>
        <v>34</v>
      </c>
      <c r="N2607" s="8">
        <f t="shared" si="2948"/>
        <v>34</v>
      </c>
    </row>
    <row r="2608" spans="1:14">
      <c r="A2608" s="8">
        <f t="shared" si="2946"/>
        <v>30022</v>
      </c>
      <c r="B2608" s="8">
        <v>40000</v>
      </c>
      <c r="C2608" s="8" t="s">
        <v>298</v>
      </c>
      <c r="D2608" s="8">
        <f t="shared" si="2947"/>
        <v>40900090</v>
      </c>
      <c r="E2608" s="8"/>
      <c r="F2608" s="8">
        <v>1</v>
      </c>
      <c r="G2608" s="7">
        <v>282000</v>
      </c>
      <c r="H2608" s="8" t="s">
        <v>299</v>
      </c>
      <c r="I2608" s="8">
        <v>6</v>
      </c>
      <c r="J2608" s="8">
        <v>50</v>
      </c>
      <c r="K2608" s="7" t="s">
        <v>312</v>
      </c>
      <c r="L2608" s="8">
        <v>96</v>
      </c>
      <c r="M2608" s="7">
        <f>IF(INDEX([1]equip.xml!$B:$B,MATCH(D2608,[1]equip.xml!$A:$A,0))=0,0,N2608)</f>
        <v>34</v>
      </c>
      <c r="N2608" s="8">
        <f t="shared" si="2948"/>
        <v>34</v>
      </c>
    </row>
    <row r="2609" spans="1:14">
      <c r="A2609" s="8">
        <f t="shared" si="2946"/>
        <v>30022</v>
      </c>
      <c r="B2609" s="8">
        <v>40000</v>
      </c>
      <c r="C2609" s="8" t="s">
        <v>298</v>
      </c>
      <c r="D2609" s="8">
        <f t="shared" si="2947"/>
        <v>40900100</v>
      </c>
      <c r="E2609" s="8"/>
      <c r="F2609" s="8">
        <v>1</v>
      </c>
      <c r="G2609" s="7">
        <v>282000</v>
      </c>
      <c r="H2609" s="8" t="s">
        <v>299</v>
      </c>
      <c r="I2609" s="8">
        <v>6</v>
      </c>
      <c r="J2609" s="8">
        <v>50</v>
      </c>
      <c r="K2609" s="7" t="s">
        <v>312</v>
      </c>
      <c r="L2609" s="8">
        <v>96</v>
      </c>
      <c r="M2609" s="7">
        <f>IF(INDEX([1]equip.xml!$B:$B,MATCH(D2609,[1]equip.xml!$A:$A,0))=0,0,N2609)</f>
        <v>34</v>
      </c>
      <c r="N2609" s="8">
        <f t="shared" si="2948"/>
        <v>34</v>
      </c>
    </row>
    <row r="2610" spans="1:14">
      <c r="A2610" s="8">
        <f t="shared" si="2946"/>
        <v>30022</v>
      </c>
      <c r="B2610" s="8">
        <v>40000</v>
      </c>
      <c r="C2610" s="8" t="s">
        <v>298</v>
      </c>
      <c r="D2610" s="8">
        <f t="shared" si="2947"/>
        <v>40901050</v>
      </c>
      <c r="E2610" s="8"/>
      <c r="F2610" s="8">
        <v>1</v>
      </c>
      <c r="G2610" s="7">
        <v>282000</v>
      </c>
      <c r="H2610" s="8" t="s">
        <v>299</v>
      </c>
      <c r="I2610" s="8">
        <v>6</v>
      </c>
      <c r="J2610" s="8">
        <v>50</v>
      </c>
      <c r="K2610" s="7" t="s">
        <v>312</v>
      </c>
      <c r="L2610" s="8">
        <v>96</v>
      </c>
      <c r="M2610" s="7">
        <f>IF(INDEX([1]equip.xml!$B:$B,MATCH(D2610,[1]equip.xml!$A:$A,0))=0,0,N2610)</f>
        <v>34</v>
      </c>
      <c r="N2610" s="8">
        <f t="shared" si="2948"/>
        <v>34</v>
      </c>
    </row>
    <row r="2611" spans="1:14">
      <c r="A2611" s="8">
        <f t="shared" si="2946"/>
        <v>30022</v>
      </c>
      <c r="B2611" s="8">
        <v>40000</v>
      </c>
      <c r="C2611" s="8" t="s">
        <v>298</v>
      </c>
      <c r="D2611" s="8">
        <f t="shared" si="2947"/>
        <v>40901051</v>
      </c>
      <c r="E2611" s="8"/>
      <c r="F2611" s="8">
        <v>1</v>
      </c>
      <c r="G2611" s="7">
        <v>291000</v>
      </c>
      <c r="H2611" s="8" t="s">
        <v>299</v>
      </c>
      <c r="I2611" s="8">
        <v>6</v>
      </c>
      <c r="J2611" s="8">
        <v>50</v>
      </c>
      <c r="K2611" s="7" t="s">
        <v>312</v>
      </c>
      <c r="L2611" s="8">
        <v>96</v>
      </c>
      <c r="M2611" s="7">
        <f>IF(INDEX([1]equip.xml!$B:$B,MATCH(D2611,[1]equip.xml!$A:$A,0))=0,0,N2611)</f>
        <v>34</v>
      </c>
      <c r="N2611" s="8">
        <f t="shared" si="2948"/>
        <v>34</v>
      </c>
    </row>
    <row r="2612" spans="1:14">
      <c r="A2612" s="8">
        <f t="shared" si="2946"/>
        <v>30022</v>
      </c>
      <c r="B2612" s="8">
        <v>40000</v>
      </c>
      <c r="C2612" s="8" t="s">
        <v>298</v>
      </c>
      <c r="D2612" s="8">
        <f t="shared" si="2947"/>
        <v>40901060</v>
      </c>
      <c r="E2612" s="8"/>
      <c r="F2612" s="8">
        <v>1</v>
      </c>
      <c r="G2612" s="7">
        <v>282000</v>
      </c>
      <c r="H2612" s="8" t="s">
        <v>299</v>
      </c>
      <c r="I2612" s="8">
        <v>6</v>
      </c>
      <c r="J2612" s="8">
        <v>50</v>
      </c>
      <c r="K2612" s="7" t="s">
        <v>312</v>
      </c>
      <c r="L2612" s="8">
        <v>96</v>
      </c>
      <c r="M2612" s="7">
        <f>IF(INDEX([1]equip.xml!$B:$B,MATCH(D2612,[1]equip.xml!$A:$A,0))=0,0,N2612)</f>
        <v>34</v>
      </c>
      <c r="N2612" s="8">
        <f t="shared" si="2948"/>
        <v>34</v>
      </c>
    </row>
    <row r="2613" spans="1:14">
      <c r="A2613" s="8">
        <f t="shared" si="2946"/>
        <v>30022</v>
      </c>
      <c r="B2613" s="8">
        <v>40000</v>
      </c>
      <c r="C2613" s="8" t="s">
        <v>298</v>
      </c>
      <c r="D2613" s="8">
        <f t="shared" si="2947"/>
        <v>40901061</v>
      </c>
      <c r="E2613" s="8"/>
      <c r="F2613" s="8">
        <v>1</v>
      </c>
      <c r="G2613" s="7">
        <v>291000</v>
      </c>
      <c r="H2613" s="8" t="s">
        <v>299</v>
      </c>
      <c r="I2613" s="8">
        <v>6</v>
      </c>
      <c r="J2613" s="8">
        <v>50</v>
      </c>
      <c r="K2613" s="7" t="s">
        <v>312</v>
      </c>
      <c r="L2613" s="8">
        <v>96</v>
      </c>
      <c r="M2613" s="7">
        <f>IF(INDEX([1]equip.xml!$B:$B,MATCH(D2613,[1]equip.xml!$A:$A,0))=0,0,N2613)</f>
        <v>34</v>
      </c>
      <c r="N2613" s="8">
        <f t="shared" si="2948"/>
        <v>34</v>
      </c>
    </row>
    <row r="2614" spans="1:14">
      <c r="A2614" s="8">
        <f t="shared" si="2946"/>
        <v>30022</v>
      </c>
      <c r="B2614" s="8">
        <v>40000</v>
      </c>
      <c r="C2614" s="8" t="s">
        <v>298</v>
      </c>
      <c r="D2614" s="8">
        <f t="shared" si="2947"/>
        <v>40902050</v>
      </c>
      <c r="E2614" s="8"/>
      <c r="F2614" s="8">
        <v>1</v>
      </c>
      <c r="G2614" s="7">
        <v>282000</v>
      </c>
      <c r="H2614" s="8" t="s">
        <v>299</v>
      </c>
      <c r="I2614" s="8">
        <v>6</v>
      </c>
      <c r="J2614" s="8">
        <v>50</v>
      </c>
      <c r="K2614" s="7" t="s">
        <v>312</v>
      </c>
      <c r="L2614" s="8">
        <v>96</v>
      </c>
      <c r="M2614" s="7">
        <f>IF(INDEX([1]equip.xml!$B:$B,MATCH(D2614,[1]equip.xml!$A:$A,0))=0,0,N2614)</f>
        <v>34</v>
      </c>
      <c r="N2614" s="8">
        <f t="shared" si="2948"/>
        <v>34</v>
      </c>
    </row>
    <row r="2615" spans="1:14">
      <c r="A2615" s="8">
        <f t="shared" si="2946"/>
        <v>30022</v>
      </c>
      <c r="B2615" s="8">
        <v>40000</v>
      </c>
      <c r="C2615" s="8" t="s">
        <v>298</v>
      </c>
      <c r="D2615" s="8">
        <f t="shared" si="2947"/>
        <v>40902051</v>
      </c>
      <c r="E2615" s="8"/>
      <c r="F2615" s="8">
        <v>1</v>
      </c>
      <c r="G2615" s="7">
        <v>291000</v>
      </c>
      <c r="H2615" s="8" t="s">
        <v>299</v>
      </c>
      <c r="I2615" s="8">
        <v>6</v>
      </c>
      <c r="J2615" s="8">
        <v>50</v>
      </c>
      <c r="K2615" s="7" t="s">
        <v>312</v>
      </c>
      <c r="L2615" s="8">
        <v>96</v>
      </c>
      <c r="M2615" s="7">
        <f>IF(INDEX([1]equip.xml!$B:$B,MATCH(D2615,[1]equip.xml!$A:$A,0))=0,0,N2615)</f>
        <v>34</v>
      </c>
      <c r="N2615" s="8">
        <f t="shared" si="2948"/>
        <v>34</v>
      </c>
    </row>
    <row r="2616" spans="1:14">
      <c r="A2616" s="8">
        <f t="shared" si="2946"/>
        <v>30022</v>
      </c>
      <c r="B2616" s="8">
        <v>40000</v>
      </c>
      <c r="C2616" s="8" t="s">
        <v>298</v>
      </c>
      <c r="D2616" s="8">
        <f t="shared" si="2947"/>
        <v>40902060</v>
      </c>
      <c r="E2616" s="8"/>
      <c r="F2616" s="8">
        <v>1</v>
      </c>
      <c r="G2616" s="7">
        <v>282000</v>
      </c>
      <c r="H2616" s="8" t="s">
        <v>299</v>
      </c>
      <c r="I2616" s="8">
        <v>6</v>
      </c>
      <c r="J2616" s="8">
        <v>50</v>
      </c>
      <c r="K2616" s="7" t="s">
        <v>312</v>
      </c>
      <c r="L2616" s="8">
        <v>96</v>
      </c>
      <c r="M2616" s="7">
        <f>IF(INDEX([1]equip.xml!$B:$B,MATCH(D2616,[1]equip.xml!$A:$A,0))=0,0,N2616)</f>
        <v>34</v>
      </c>
      <c r="N2616" s="8">
        <f t="shared" si="2948"/>
        <v>34</v>
      </c>
    </row>
    <row r="2617" spans="1:14">
      <c r="A2617" s="8">
        <f t="shared" si="2946"/>
        <v>30022</v>
      </c>
      <c r="B2617" s="8">
        <v>40000</v>
      </c>
      <c r="C2617" s="8" t="s">
        <v>298</v>
      </c>
      <c r="D2617" s="8">
        <f t="shared" si="2947"/>
        <v>40902061</v>
      </c>
      <c r="E2617" s="8"/>
      <c r="F2617" s="8">
        <v>1</v>
      </c>
      <c r="G2617" s="7">
        <v>291000</v>
      </c>
      <c r="H2617" s="8" t="s">
        <v>299</v>
      </c>
      <c r="I2617" s="8">
        <v>6</v>
      </c>
      <c r="J2617" s="8">
        <v>50</v>
      </c>
      <c r="K2617" s="7" t="s">
        <v>312</v>
      </c>
      <c r="L2617" s="8">
        <v>96</v>
      </c>
      <c r="M2617" s="7">
        <f>IF(INDEX([1]equip.xml!$B:$B,MATCH(D2617,[1]equip.xml!$A:$A,0))=0,0,N2617)</f>
        <v>34</v>
      </c>
      <c r="N2617" s="8">
        <f t="shared" si="2948"/>
        <v>34</v>
      </c>
    </row>
    <row r="2618" spans="1:14">
      <c r="A2618" s="8">
        <f t="shared" si="2946"/>
        <v>30022</v>
      </c>
      <c r="B2618" s="8">
        <v>40000</v>
      </c>
      <c r="C2618" s="8" t="s">
        <v>298</v>
      </c>
      <c r="D2618" s="8">
        <f t="shared" si="2947"/>
        <v>40903050</v>
      </c>
      <c r="E2618" s="8"/>
      <c r="F2618" s="8">
        <v>1</v>
      </c>
      <c r="G2618" s="7">
        <v>282000</v>
      </c>
      <c r="H2618" s="8" t="s">
        <v>299</v>
      </c>
      <c r="I2618" s="8">
        <v>6</v>
      </c>
      <c r="J2618" s="8">
        <v>50</v>
      </c>
      <c r="K2618" s="7" t="s">
        <v>312</v>
      </c>
      <c r="L2618" s="8">
        <v>96</v>
      </c>
      <c r="M2618" s="7">
        <f>IF(INDEX([1]equip.xml!$B:$B,MATCH(D2618,[1]equip.xml!$A:$A,0))=0,0,N2618)</f>
        <v>34</v>
      </c>
      <c r="N2618" s="8">
        <f t="shared" si="2948"/>
        <v>34</v>
      </c>
    </row>
    <row r="2619" spans="1:14">
      <c r="A2619" s="8">
        <f t="shared" si="2946"/>
        <v>30022</v>
      </c>
      <c r="B2619" s="8">
        <v>40000</v>
      </c>
      <c r="C2619" s="8" t="s">
        <v>298</v>
      </c>
      <c r="D2619" s="8">
        <f t="shared" si="2947"/>
        <v>40903051</v>
      </c>
      <c r="E2619" s="8"/>
      <c r="F2619" s="8">
        <v>1</v>
      </c>
      <c r="G2619" s="7">
        <v>291000</v>
      </c>
      <c r="H2619" s="8" t="s">
        <v>299</v>
      </c>
      <c r="I2619" s="8">
        <v>6</v>
      </c>
      <c r="J2619" s="8">
        <v>50</v>
      </c>
      <c r="K2619" s="7" t="s">
        <v>312</v>
      </c>
      <c r="L2619" s="8">
        <v>96</v>
      </c>
      <c r="M2619" s="7">
        <f>IF(INDEX([1]equip.xml!$B:$B,MATCH(D2619,[1]equip.xml!$A:$A,0))=0,0,N2619)</f>
        <v>34</v>
      </c>
      <c r="N2619" s="8">
        <f t="shared" si="2948"/>
        <v>34</v>
      </c>
    </row>
    <row r="2620" spans="1:14">
      <c r="A2620" s="8">
        <f t="shared" si="2946"/>
        <v>30022</v>
      </c>
      <c r="B2620" s="8">
        <v>40000</v>
      </c>
      <c r="C2620" s="8" t="s">
        <v>298</v>
      </c>
      <c r="D2620" s="8">
        <f t="shared" si="2947"/>
        <v>40903060</v>
      </c>
      <c r="E2620" s="8"/>
      <c r="F2620" s="8">
        <v>1</v>
      </c>
      <c r="G2620" s="7">
        <v>282000</v>
      </c>
      <c r="H2620" s="8" t="s">
        <v>299</v>
      </c>
      <c r="I2620" s="8">
        <v>6</v>
      </c>
      <c r="J2620" s="8">
        <v>50</v>
      </c>
      <c r="K2620" s="7" t="s">
        <v>312</v>
      </c>
      <c r="L2620" s="8">
        <v>96</v>
      </c>
      <c r="M2620" s="7">
        <f>IF(INDEX([1]equip.xml!$B:$B,MATCH(D2620,[1]equip.xml!$A:$A,0))=0,0,N2620)</f>
        <v>34</v>
      </c>
      <c r="N2620" s="8">
        <f t="shared" si="2948"/>
        <v>34</v>
      </c>
    </row>
    <row r="2621" spans="1:14">
      <c r="A2621" s="8">
        <f t="shared" si="2946"/>
        <v>30022</v>
      </c>
      <c r="B2621" s="8">
        <v>40000</v>
      </c>
      <c r="C2621" s="8" t="s">
        <v>298</v>
      </c>
      <c r="D2621" s="8">
        <f t="shared" si="2947"/>
        <v>40903061</v>
      </c>
      <c r="E2621" s="8"/>
      <c r="F2621" s="8">
        <v>1</v>
      </c>
      <c r="G2621" s="7">
        <v>291000</v>
      </c>
      <c r="H2621" s="8" t="s">
        <v>299</v>
      </c>
      <c r="I2621" s="8">
        <v>6</v>
      </c>
      <c r="J2621" s="8">
        <v>50</v>
      </c>
      <c r="K2621" s="7" t="s">
        <v>312</v>
      </c>
      <c r="L2621" s="8">
        <v>96</v>
      </c>
      <c r="M2621" s="7">
        <f>IF(INDEX([1]equip.xml!$B:$B,MATCH(D2621,[1]equip.xml!$A:$A,0))=0,0,N2621)</f>
        <v>34</v>
      </c>
      <c r="N2621" s="8">
        <f t="shared" si="2948"/>
        <v>34</v>
      </c>
    </row>
    <row r="2622" spans="1:14">
      <c r="A2622" s="8">
        <f t="shared" si="2946"/>
        <v>30022</v>
      </c>
      <c r="B2622" s="8">
        <v>40000</v>
      </c>
      <c r="C2622" s="8" t="s">
        <v>298</v>
      </c>
      <c r="D2622" s="8">
        <f t="shared" si="2947"/>
        <v>40900040</v>
      </c>
      <c r="E2622" s="8"/>
      <c r="F2622" s="8">
        <v>1</v>
      </c>
      <c r="G2622" s="7">
        <v>282000</v>
      </c>
      <c r="H2622" s="8" t="s">
        <v>299</v>
      </c>
      <c r="I2622" s="8">
        <v>6</v>
      </c>
      <c r="J2622" s="8">
        <v>50</v>
      </c>
      <c r="K2622" s="7" t="s">
        <v>312</v>
      </c>
      <c r="L2622" s="8">
        <v>96</v>
      </c>
      <c r="M2622" s="7">
        <f>IF(INDEX([1]equip.xml!$B:$B,MATCH(D2622,[1]equip.xml!$A:$A,0))=0,0,N2622)</f>
        <v>34</v>
      </c>
      <c r="N2622" s="8">
        <f t="shared" si="2948"/>
        <v>34</v>
      </c>
    </row>
    <row r="2623" spans="1:14">
      <c r="A2623" s="8">
        <f t="shared" si="2946"/>
        <v>30022</v>
      </c>
      <c r="B2623" s="8">
        <v>40000</v>
      </c>
      <c r="C2623" s="8" t="s">
        <v>298</v>
      </c>
      <c r="D2623" s="8">
        <f t="shared" si="2947"/>
        <v>40900041</v>
      </c>
      <c r="E2623" s="8"/>
      <c r="F2623" s="8">
        <v>1</v>
      </c>
      <c r="G2623" s="7">
        <v>291000</v>
      </c>
      <c r="H2623" s="8" t="s">
        <v>299</v>
      </c>
      <c r="I2623" s="8">
        <v>6</v>
      </c>
      <c r="J2623" s="8">
        <v>50</v>
      </c>
      <c r="K2623" s="7" t="s">
        <v>312</v>
      </c>
      <c r="L2623" s="8">
        <v>96</v>
      </c>
      <c r="M2623" s="7">
        <f>IF(INDEX([1]equip.xml!$B:$B,MATCH(D2623,[1]equip.xml!$A:$A,0))=0,0,N2623)</f>
        <v>34</v>
      </c>
      <c r="N2623" s="8">
        <f t="shared" si="2948"/>
        <v>34</v>
      </c>
    </row>
    <row r="2624" spans="1:14">
      <c r="A2624" s="8">
        <f t="shared" si="2946"/>
        <v>30022</v>
      </c>
      <c r="B2624" s="8">
        <v>40000</v>
      </c>
      <c r="C2624" s="8" t="s">
        <v>298</v>
      </c>
      <c r="D2624" s="8">
        <f t="shared" si="2947"/>
        <v>40900070</v>
      </c>
      <c r="E2624" s="8"/>
      <c r="F2624" s="8">
        <v>1</v>
      </c>
      <c r="G2624" s="7">
        <v>282000</v>
      </c>
      <c r="H2624" s="8" t="s">
        <v>299</v>
      </c>
      <c r="I2624" s="8">
        <v>6</v>
      </c>
      <c r="J2624" s="8">
        <v>50</v>
      </c>
      <c r="K2624" s="7" t="s">
        <v>312</v>
      </c>
      <c r="L2624" s="8">
        <v>96</v>
      </c>
      <c r="M2624" s="7">
        <f>IF(INDEX([1]equip.xml!$B:$B,MATCH(D2624,[1]equip.xml!$A:$A,0))=0,0,N2624)</f>
        <v>34</v>
      </c>
      <c r="N2624" s="8">
        <f t="shared" si="2948"/>
        <v>34</v>
      </c>
    </row>
    <row r="2625" spans="1:14">
      <c r="A2625" s="8">
        <f t="shared" si="2946"/>
        <v>30022</v>
      </c>
      <c r="B2625" s="8">
        <v>40000</v>
      </c>
      <c r="C2625" s="8" t="s">
        <v>298</v>
      </c>
      <c r="D2625" s="8">
        <f t="shared" si="2947"/>
        <v>40900071</v>
      </c>
      <c r="E2625" s="8"/>
      <c r="F2625" s="8">
        <v>1</v>
      </c>
      <c r="G2625" s="7">
        <v>291000</v>
      </c>
      <c r="H2625" s="8" t="s">
        <v>299</v>
      </c>
      <c r="I2625" s="8">
        <v>6</v>
      </c>
      <c r="J2625" s="8">
        <v>50</v>
      </c>
      <c r="K2625" s="7" t="s">
        <v>312</v>
      </c>
      <c r="L2625" s="8">
        <v>96</v>
      </c>
      <c r="M2625" s="7">
        <f>IF(INDEX([1]equip.xml!$B:$B,MATCH(D2625,[1]equip.xml!$A:$A,0))=0,0,N2625)</f>
        <v>34</v>
      </c>
      <c r="N2625" s="8">
        <f t="shared" si="2948"/>
        <v>34</v>
      </c>
    </row>
    <row r="2626" spans="1:14">
      <c r="A2626" s="8">
        <f t="shared" ref="A2626:A2689" si="2949">A2098+10000</f>
        <v>30022</v>
      </c>
      <c r="B2626" s="8">
        <v>40000</v>
      </c>
      <c r="C2626" s="8" t="s">
        <v>298</v>
      </c>
      <c r="D2626" s="7">
        <f>D2582+10000005</f>
        <v>50850015</v>
      </c>
      <c r="E2626" s="8"/>
      <c r="F2626" s="8">
        <v>1</v>
      </c>
      <c r="G2626" s="7">
        <v>528000</v>
      </c>
      <c r="H2626" s="8" t="s">
        <v>299</v>
      </c>
      <c r="I2626" s="8">
        <v>1</v>
      </c>
      <c r="J2626" s="8">
        <v>240</v>
      </c>
      <c r="K2626" s="7" t="s">
        <v>312</v>
      </c>
      <c r="L2626" s="8">
        <v>96</v>
      </c>
      <c r="M2626" s="7">
        <f>IF(INDEX([1]equip.xml!$B:$B,MATCH(D2626,[1]equip.xml!$A:$A,0))=0,0,N2626)</f>
        <v>200</v>
      </c>
      <c r="N2626" s="8">
        <f>N2582*2</f>
        <v>200</v>
      </c>
    </row>
    <row r="2627" spans="1:14">
      <c r="A2627" s="8">
        <f t="shared" si="2949"/>
        <v>30022</v>
      </c>
      <c r="B2627" s="8">
        <v>40000</v>
      </c>
      <c r="C2627" s="8" t="s">
        <v>298</v>
      </c>
      <c r="D2627" s="7">
        <f t="shared" ref="D2627:D2669" si="2950">D2583+10000005</f>
        <v>50850025</v>
      </c>
      <c r="E2627" s="8"/>
      <c r="F2627" s="8">
        <v>1</v>
      </c>
      <c r="G2627" s="7">
        <v>528000</v>
      </c>
      <c r="H2627" s="8" t="s">
        <v>299</v>
      </c>
      <c r="I2627" s="8">
        <v>1</v>
      </c>
      <c r="J2627" s="8">
        <v>240</v>
      </c>
      <c r="K2627" s="7" t="s">
        <v>312</v>
      </c>
      <c r="L2627" s="8">
        <v>96</v>
      </c>
      <c r="M2627" s="7">
        <f>IF(INDEX([1]equip.xml!$B:$B,MATCH(D2627,[1]equip.xml!$A:$A,0))=0,0,N2627)</f>
        <v>200</v>
      </c>
      <c r="N2627" s="8">
        <f t="shared" ref="N2627:N2669" si="2951">N2583*2</f>
        <v>200</v>
      </c>
    </row>
    <row r="2628" spans="1:14">
      <c r="A2628" s="8">
        <f t="shared" si="2949"/>
        <v>30022</v>
      </c>
      <c r="B2628" s="8">
        <v>40000</v>
      </c>
      <c r="C2628" s="8" t="s">
        <v>298</v>
      </c>
      <c r="D2628" s="7">
        <f t="shared" si="2950"/>
        <v>50850035</v>
      </c>
      <c r="E2628" s="8"/>
      <c r="F2628" s="8">
        <v>1</v>
      </c>
      <c r="G2628" s="7">
        <v>528000</v>
      </c>
      <c r="H2628" s="8" t="s">
        <v>299</v>
      </c>
      <c r="I2628" s="8">
        <v>1</v>
      </c>
      <c r="J2628" s="8">
        <v>240</v>
      </c>
      <c r="K2628" s="7" t="s">
        <v>312</v>
      </c>
      <c r="L2628" s="8">
        <v>96</v>
      </c>
      <c r="M2628" s="7">
        <f>IF(INDEX([1]equip.xml!$B:$B,MATCH(D2628,[1]equip.xml!$A:$A,0))=0,0,N2628)</f>
        <v>200</v>
      </c>
      <c r="N2628" s="8">
        <f t="shared" si="2951"/>
        <v>200</v>
      </c>
    </row>
    <row r="2629" spans="1:14">
      <c r="A2629" s="8">
        <f t="shared" si="2949"/>
        <v>30022</v>
      </c>
      <c r="B2629" s="8">
        <v>40000</v>
      </c>
      <c r="C2629" s="8" t="s">
        <v>298</v>
      </c>
      <c r="D2629" s="7">
        <f t="shared" si="2950"/>
        <v>50850085</v>
      </c>
      <c r="E2629" s="8"/>
      <c r="F2629" s="8">
        <v>1</v>
      </c>
      <c r="G2629" s="7">
        <v>528000</v>
      </c>
      <c r="H2629" s="8" t="s">
        <v>299</v>
      </c>
      <c r="I2629" s="8">
        <v>1</v>
      </c>
      <c r="J2629" s="8">
        <v>240</v>
      </c>
      <c r="K2629" s="7" t="s">
        <v>312</v>
      </c>
      <c r="L2629" s="8">
        <v>96</v>
      </c>
      <c r="M2629" s="7">
        <f>IF(INDEX([1]equip.xml!$B:$B,MATCH(D2629,[1]equip.xml!$A:$A,0))=0,0,N2629)</f>
        <v>200</v>
      </c>
      <c r="N2629" s="8">
        <f t="shared" si="2951"/>
        <v>200</v>
      </c>
    </row>
    <row r="2630" spans="1:14">
      <c r="A2630" s="8">
        <f t="shared" si="2949"/>
        <v>30022</v>
      </c>
      <c r="B2630" s="8">
        <v>40000</v>
      </c>
      <c r="C2630" s="8" t="s">
        <v>298</v>
      </c>
      <c r="D2630" s="7">
        <f t="shared" si="2950"/>
        <v>50850095</v>
      </c>
      <c r="E2630" s="8"/>
      <c r="F2630" s="8">
        <v>1</v>
      </c>
      <c r="G2630" s="7">
        <v>528000</v>
      </c>
      <c r="H2630" s="8" t="s">
        <v>299</v>
      </c>
      <c r="I2630" s="8">
        <v>1</v>
      </c>
      <c r="J2630" s="8">
        <v>240</v>
      </c>
      <c r="K2630" s="7" t="s">
        <v>312</v>
      </c>
      <c r="L2630" s="8">
        <v>96</v>
      </c>
      <c r="M2630" s="7">
        <f>IF(INDEX([1]equip.xml!$B:$B,MATCH(D2630,[1]equip.xml!$A:$A,0))=0,0,N2630)</f>
        <v>200</v>
      </c>
      <c r="N2630" s="8">
        <f t="shared" si="2951"/>
        <v>200</v>
      </c>
    </row>
    <row r="2631" spans="1:14">
      <c r="A2631" s="8">
        <f t="shared" si="2949"/>
        <v>30022</v>
      </c>
      <c r="B2631" s="8">
        <v>40000</v>
      </c>
      <c r="C2631" s="8" t="s">
        <v>298</v>
      </c>
      <c r="D2631" s="7">
        <f t="shared" si="2950"/>
        <v>50850105</v>
      </c>
      <c r="E2631" s="8"/>
      <c r="F2631" s="8">
        <v>1</v>
      </c>
      <c r="G2631" s="7">
        <v>528000</v>
      </c>
      <c r="H2631" s="8" t="s">
        <v>299</v>
      </c>
      <c r="I2631" s="8">
        <v>1</v>
      </c>
      <c r="J2631" s="8">
        <v>240</v>
      </c>
      <c r="K2631" s="7" t="s">
        <v>312</v>
      </c>
      <c r="L2631" s="8">
        <v>96</v>
      </c>
      <c r="M2631" s="7">
        <f>IF(INDEX([1]equip.xml!$B:$B,MATCH(D2631,[1]equip.xml!$A:$A,0))=0,0,N2631)</f>
        <v>200</v>
      </c>
      <c r="N2631" s="8">
        <f t="shared" si="2951"/>
        <v>200</v>
      </c>
    </row>
    <row r="2632" spans="1:14">
      <c r="A2632" s="8">
        <f t="shared" si="2949"/>
        <v>30022</v>
      </c>
      <c r="B2632" s="8">
        <v>40000</v>
      </c>
      <c r="C2632" s="8" t="s">
        <v>298</v>
      </c>
      <c r="D2632" s="7">
        <f t="shared" si="2950"/>
        <v>50851055</v>
      </c>
      <c r="E2632" s="8"/>
      <c r="F2632" s="8">
        <v>1</v>
      </c>
      <c r="G2632" s="7">
        <v>528000</v>
      </c>
      <c r="H2632" s="8" t="s">
        <v>299</v>
      </c>
      <c r="I2632" s="8">
        <v>1</v>
      </c>
      <c r="J2632" s="8">
        <v>240</v>
      </c>
      <c r="K2632" s="7" t="s">
        <v>312</v>
      </c>
      <c r="L2632" s="8">
        <v>96</v>
      </c>
      <c r="M2632" s="7">
        <f>IF(INDEX([1]equip.xml!$B:$B,MATCH(D2632,[1]equip.xml!$A:$A,0))=0,0,N2632)</f>
        <v>200</v>
      </c>
      <c r="N2632" s="8">
        <f t="shared" si="2951"/>
        <v>200</v>
      </c>
    </row>
    <row r="2633" spans="1:14">
      <c r="A2633" s="8">
        <f t="shared" si="2949"/>
        <v>30022</v>
      </c>
      <c r="B2633" s="8">
        <v>40000</v>
      </c>
      <c r="C2633" s="8" t="s">
        <v>298</v>
      </c>
      <c r="D2633" s="7">
        <f t="shared" si="2950"/>
        <v>50851056</v>
      </c>
      <c r="E2633" s="8"/>
      <c r="F2633" s="8">
        <v>1</v>
      </c>
      <c r="G2633" s="7">
        <v>546000</v>
      </c>
      <c r="H2633" s="8" t="s">
        <v>299</v>
      </c>
      <c r="I2633" s="8">
        <v>1</v>
      </c>
      <c r="J2633" s="8">
        <v>240</v>
      </c>
      <c r="K2633" s="7" t="s">
        <v>312</v>
      </c>
      <c r="L2633" s="8">
        <v>96</v>
      </c>
      <c r="M2633" s="7">
        <f>IF(INDEX([1]equip.xml!$B:$B,MATCH(D2633,[1]equip.xml!$A:$A,0))=0,0,N2633)</f>
        <v>200</v>
      </c>
      <c r="N2633" s="8">
        <f t="shared" si="2951"/>
        <v>200</v>
      </c>
    </row>
    <row r="2634" spans="1:14">
      <c r="A2634" s="8">
        <f t="shared" si="2949"/>
        <v>30022</v>
      </c>
      <c r="B2634" s="8">
        <v>40000</v>
      </c>
      <c r="C2634" s="8" t="s">
        <v>298</v>
      </c>
      <c r="D2634" s="7">
        <f t="shared" si="2950"/>
        <v>50851065</v>
      </c>
      <c r="E2634" s="8"/>
      <c r="F2634" s="8">
        <v>1</v>
      </c>
      <c r="G2634" s="7">
        <v>528000</v>
      </c>
      <c r="H2634" s="8" t="s">
        <v>299</v>
      </c>
      <c r="I2634" s="8">
        <v>1</v>
      </c>
      <c r="J2634" s="8">
        <v>240</v>
      </c>
      <c r="K2634" s="7" t="s">
        <v>312</v>
      </c>
      <c r="L2634" s="8">
        <v>96</v>
      </c>
      <c r="M2634" s="7">
        <f>IF(INDEX([1]equip.xml!$B:$B,MATCH(D2634,[1]equip.xml!$A:$A,0))=0,0,N2634)</f>
        <v>200</v>
      </c>
      <c r="N2634" s="8">
        <f t="shared" si="2951"/>
        <v>200</v>
      </c>
    </row>
    <row r="2635" spans="1:14">
      <c r="A2635" s="8">
        <f t="shared" si="2949"/>
        <v>30022</v>
      </c>
      <c r="B2635" s="8">
        <v>40000</v>
      </c>
      <c r="C2635" s="8" t="s">
        <v>298</v>
      </c>
      <c r="D2635" s="7">
        <f t="shared" si="2950"/>
        <v>50851066</v>
      </c>
      <c r="E2635" s="8"/>
      <c r="F2635" s="8">
        <v>1</v>
      </c>
      <c r="G2635" s="7">
        <v>546000</v>
      </c>
      <c r="H2635" s="8" t="s">
        <v>299</v>
      </c>
      <c r="I2635" s="8">
        <v>1</v>
      </c>
      <c r="J2635" s="8">
        <v>240</v>
      </c>
      <c r="K2635" s="7" t="s">
        <v>312</v>
      </c>
      <c r="L2635" s="8">
        <v>96</v>
      </c>
      <c r="M2635" s="7">
        <f>IF(INDEX([1]equip.xml!$B:$B,MATCH(D2635,[1]equip.xml!$A:$A,0))=0,0,N2635)</f>
        <v>200</v>
      </c>
      <c r="N2635" s="8">
        <f t="shared" si="2951"/>
        <v>200</v>
      </c>
    </row>
    <row r="2636" spans="1:14">
      <c r="A2636" s="8">
        <f t="shared" si="2949"/>
        <v>30022</v>
      </c>
      <c r="B2636" s="8">
        <v>40000</v>
      </c>
      <c r="C2636" s="8" t="s">
        <v>298</v>
      </c>
      <c r="D2636" s="7">
        <f t="shared" si="2950"/>
        <v>50852055</v>
      </c>
      <c r="E2636" s="8"/>
      <c r="F2636" s="8">
        <v>1</v>
      </c>
      <c r="G2636" s="7">
        <v>528000</v>
      </c>
      <c r="H2636" s="8" t="s">
        <v>299</v>
      </c>
      <c r="I2636" s="8">
        <v>1</v>
      </c>
      <c r="J2636" s="8">
        <v>240</v>
      </c>
      <c r="K2636" s="7" t="s">
        <v>312</v>
      </c>
      <c r="L2636" s="8">
        <v>96</v>
      </c>
      <c r="M2636" s="7">
        <f>IF(INDEX([1]equip.xml!$B:$B,MATCH(D2636,[1]equip.xml!$A:$A,0))=0,0,N2636)</f>
        <v>200</v>
      </c>
      <c r="N2636" s="8">
        <f t="shared" si="2951"/>
        <v>200</v>
      </c>
    </row>
    <row r="2637" spans="1:14">
      <c r="A2637" s="8">
        <f t="shared" si="2949"/>
        <v>30022</v>
      </c>
      <c r="B2637" s="8">
        <v>40000</v>
      </c>
      <c r="C2637" s="8" t="s">
        <v>298</v>
      </c>
      <c r="D2637" s="7">
        <f t="shared" si="2950"/>
        <v>50852056</v>
      </c>
      <c r="E2637" s="8"/>
      <c r="F2637" s="8">
        <v>1</v>
      </c>
      <c r="G2637" s="7">
        <v>546000</v>
      </c>
      <c r="H2637" s="8" t="s">
        <v>299</v>
      </c>
      <c r="I2637" s="8">
        <v>1</v>
      </c>
      <c r="J2637" s="8">
        <v>240</v>
      </c>
      <c r="K2637" s="7" t="s">
        <v>312</v>
      </c>
      <c r="L2637" s="8">
        <v>96</v>
      </c>
      <c r="M2637" s="7">
        <f>IF(INDEX([1]equip.xml!$B:$B,MATCH(D2637,[1]equip.xml!$A:$A,0))=0,0,N2637)</f>
        <v>200</v>
      </c>
      <c r="N2637" s="8">
        <f t="shared" si="2951"/>
        <v>200</v>
      </c>
    </row>
    <row r="2638" spans="1:14">
      <c r="A2638" s="8">
        <f t="shared" si="2949"/>
        <v>30022</v>
      </c>
      <c r="B2638" s="8">
        <v>40000</v>
      </c>
      <c r="C2638" s="8" t="s">
        <v>298</v>
      </c>
      <c r="D2638" s="7">
        <f t="shared" si="2950"/>
        <v>50852065</v>
      </c>
      <c r="E2638" s="8"/>
      <c r="F2638" s="8">
        <v>1</v>
      </c>
      <c r="G2638" s="7">
        <v>528000</v>
      </c>
      <c r="H2638" s="8" t="s">
        <v>299</v>
      </c>
      <c r="I2638" s="8">
        <v>1</v>
      </c>
      <c r="J2638" s="8">
        <v>240</v>
      </c>
      <c r="K2638" s="7" t="s">
        <v>312</v>
      </c>
      <c r="L2638" s="8">
        <v>96</v>
      </c>
      <c r="M2638" s="7">
        <f>IF(INDEX([1]equip.xml!$B:$B,MATCH(D2638,[1]equip.xml!$A:$A,0))=0,0,N2638)</f>
        <v>200</v>
      </c>
      <c r="N2638" s="8">
        <f t="shared" si="2951"/>
        <v>200</v>
      </c>
    </row>
    <row r="2639" spans="1:14">
      <c r="A2639" s="8">
        <f t="shared" si="2949"/>
        <v>30022</v>
      </c>
      <c r="B2639" s="8">
        <v>40000</v>
      </c>
      <c r="C2639" s="8" t="s">
        <v>298</v>
      </c>
      <c r="D2639" s="7">
        <f t="shared" si="2950"/>
        <v>50852066</v>
      </c>
      <c r="E2639" s="8"/>
      <c r="F2639" s="8">
        <v>1</v>
      </c>
      <c r="G2639" s="7">
        <v>546000</v>
      </c>
      <c r="H2639" s="8" t="s">
        <v>299</v>
      </c>
      <c r="I2639" s="8">
        <v>1</v>
      </c>
      <c r="J2639" s="8">
        <v>240</v>
      </c>
      <c r="K2639" s="7" t="s">
        <v>312</v>
      </c>
      <c r="L2639" s="8">
        <v>96</v>
      </c>
      <c r="M2639" s="7">
        <f>IF(INDEX([1]equip.xml!$B:$B,MATCH(D2639,[1]equip.xml!$A:$A,0))=0,0,N2639)</f>
        <v>200</v>
      </c>
      <c r="N2639" s="8">
        <f t="shared" si="2951"/>
        <v>200</v>
      </c>
    </row>
    <row r="2640" spans="1:14">
      <c r="A2640" s="8">
        <f t="shared" si="2949"/>
        <v>30022</v>
      </c>
      <c r="B2640" s="8">
        <v>40000</v>
      </c>
      <c r="C2640" s="8" t="s">
        <v>298</v>
      </c>
      <c r="D2640" s="7">
        <f t="shared" si="2950"/>
        <v>50853055</v>
      </c>
      <c r="E2640" s="8"/>
      <c r="F2640" s="8">
        <v>1</v>
      </c>
      <c r="G2640" s="7">
        <v>528000</v>
      </c>
      <c r="H2640" s="8" t="s">
        <v>299</v>
      </c>
      <c r="I2640" s="8">
        <v>1</v>
      </c>
      <c r="J2640" s="8">
        <v>240</v>
      </c>
      <c r="K2640" s="7" t="s">
        <v>312</v>
      </c>
      <c r="L2640" s="8">
        <v>96</v>
      </c>
      <c r="M2640" s="7">
        <f>IF(INDEX([1]equip.xml!$B:$B,MATCH(D2640,[1]equip.xml!$A:$A,0))=0,0,N2640)</f>
        <v>200</v>
      </c>
      <c r="N2640" s="8">
        <f t="shared" si="2951"/>
        <v>200</v>
      </c>
    </row>
    <row r="2641" spans="1:14">
      <c r="A2641" s="8">
        <f t="shared" si="2949"/>
        <v>30022</v>
      </c>
      <c r="B2641" s="8">
        <v>40000</v>
      </c>
      <c r="C2641" s="8" t="s">
        <v>298</v>
      </c>
      <c r="D2641" s="7">
        <f t="shared" si="2950"/>
        <v>50853056</v>
      </c>
      <c r="E2641" s="8"/>
      <c r="F2641" s="8">
        <v>1</v>
      </c>
      <c r="G2641" s="7">
        <v>546000</v>
      </c>
      <c r="H2641" s="8" t="s">
        <v>299</v>
      </c>
      <c r="I2641" s="8">
        <v>1</v>
      </c>
      <c r="J2641" s="8">
        <v>240</v>
      </c>
      <c r="K2641" s="7" t="s">
        <v>312</v>
      </c>
      <c r="L2641" s="8">
        <v>96</v>
      </c>
      <c r="M2641" s="7">
        <f>IF(INDEX([1]equip.xml!$B:$B,MATCH(D2641,[1]equip.xml!$A:$A,0))=0,0,N2641)</f>
        <v>200</v>
      </c>
      <c r="N2641" s="8">
        <f t="shared" si="2951"/>
        <v>200</v>
      </c>
    </row>
    <row r="2642" spans="1:14">
      <c r="A2642" s="8">
        <f t="shared" si="2949"/>
        <v>30022</v>
      </c>
      <c r="B2642" s="8">
        <v>40000</v>
      </c>
      <c r="C2642" s="8" t="s">
        <v>298</v>
      </c>
      <c r="D2642" s="7">
        <f t="shared" si="2950"/>
        <v>50853065</v>
      </c>
      <c r="E2642" s="8"/>
      <c r="F2642" s="8">
        <v>1</v>
      </c>
      <c r="G2642" s="7">
        <v>528000</v>
      </c>
      <c r="H2642" s="8" t="s">
        <v>299</v>
      </c>
      <c r="I2642" s="8">
        <v>1</v>
      </c>
      <c r="J2642" s="8">
        <v>240</v>
      </c>
      <c r="K2642" s="7" t="s">
        <v>312</v>
      </c>
      <c r="L2642" s="8">
        <v>96</v>
      </c>
      <c r="M2642" s="7">
        <f>IF(INDEX([1]equip.xml!$B:$B,MATCH(D2642,[1]equip.xml!$A:$A,0))=0,0,N2642)</f>
        <v>200</v>
      </c>
      <c r="N2642" s="8">
        <f t="shared" si="2951"/>
        <v>200</v>
      </c>
    </row>
    <row r="2643" spans="1:14">
      <c r="A2643" s="8">
        <f t="shared" si="2949"/>
        <v>30022</v>
      </c>
      <c r="B2643" s="8">
        <v>40000</v>
      </c>
      <c r="C2643" s="8" t="s">
        <v>298</v>
      </c>
      <c r="D2643" s="7">
        <f t="shared" si="2950"/>
        <v>50853066</v>
      </c>
      <c r="E2643" s="8"/>
      <c r="F2643" s="8">
        <v>1</v>
      </c>
      <c r="G2643" s="7">
        <v>546000</v>
      </c>
      <c r="H2643" s="8" t="s">
        <v>299</v>
      </c>
      <c r="I2643" s="8">
        <v>1</v>
      </c>
      <c r="J2643" s="8">
        <v>240</v>
      </c>
      <c r="K2643" s="7" t="s">
        <v>312</v>
      </c>
      <c r="L2643" s="8">
        <v>96</v>
      </c>
      <c r="M2643" s="7">
        <f>IF(INDEX([1]equip.xml!$B:$B,MATCH(D2643,[1]equip.xml!$A:$A,0))=0,0,N2643)</f>
        <v>200</v>
      </c>
      <c r="N2643" s="8">
        <f t="shared" si="2951"/>
        <v>200</v>
      </c>
    </row>
    <row r="2644" spans="1:14">
      <c r="A2644" s="8">
        <f t="shared" si="2949"/>
        <v>30022</v>
      </c>
      <c r="B2644" s="8">
        <v>40000</v>
      </c>
      <c r="C2644" s="8" t="s">
        <v>298</v>
      </c>
      <c r="D2644" s="7">
        <f t="shared" si="2950"/>
        <v>50850045</v>
      </c>
      <c r="E2644" s="8"/>
      <c r="F2644" s="8">
        <v>1</v>
      </c>
      <c r="G2644" s="7">
        <v>528000</v>
      </c>
      <c r="H2644" s="8" t="s">
        <v>299</v>
      </c>
      <c r="I2644" s="8">
        <v>1</v>
      </c>
      <c r="J2644" s="8">
        <v>240</v>
      </c>
      <c r="K2644" s="7" t="s">
        <v>312</v>
      </c>
      <c r="L2644" s="8">
        <v>96</v>
      </c>
      <c r="M2644" s="7">
        <f>IF(INDEX([1]equip.xml!$B:$B,MATCH(D2644,[1]equip.xml!$A:$A,0))=0,0,N2644)</f>
        <v>200</v>
      </c>
      <c r="N2644" s="8">
        <f t="shared" si="2951"/>
        <v>200</v>
      </c>
    </row>
    <row r="2645" spans="1:14">
      <c r="A2645" s="8">
        <f t="shared" si="2949"/>
        <v>30022</v>
      </c>
      <c r="B2645" s="8">
        <v>40000</v>
      </c>
      <c r="C2645" s="8" t="s">
        <v>298</v>
      </c>
      <c r="D2645" s="7">
        <f t="shared" si="2950"/>
        <v>50850046</v>
      </c>
      <c r="E2645" s="8"/>
      <c r="F2645" s="8">
        <v>1</v>
      </c>
      <c r="G2645" s="7">
        <v>546000</v>
      </c>
      <c r="H2645" s="8" t="s">
        <v>299</v>
      </c>
      <c r="I2645" s="8">
        <v>1</v>
      </c>
      <c r="J2645" s="8">
        <v>240</v>
      </c>
      <c r="K2645" s="7" t="s">
        <v>312</v>
      </c>
      <c r="L2645" s="8">
        <v>96</v>
      </c>
      <c r="M2645" s="7">
        <f>IF(INDEX([1]equip.xml!$B:$B,MATCH(D2645,[1]equip.xml!$A:$A,0))=0,0,N2645)</f>
        <v>200</v>
      </c>
      <c r="N2645" s="8">
        <f t="shared" si="2951"/>
        <v>200</v>
      </c>
    </row>
    <row r="2646" spans="1:14">
      <c r="A2646" s="8">
        <f t="shared" si="2949"/>
        <v>30022</v>
      </c>
      <c r="B2646" s="8">
        <v>40000</v>
      </c>
      <c r="C2646" s="8" t="s">
        <v>298</v>
      </c>
      <c r="D2646" s="7">
        <f t="shared" si="2950"/>
        <v>50850075</v>
      </c>
      <c r="E2646" s="8"/>
      <c r="F2646" s="8">
        <v>1</v>
      </c>
      <c r="G2646" s="7">
        <v>528000</v>
      </c>
      <c r="H2646" s="8" t="s">
        <v>299</v>
      </c>
      <c r="I2646" s="8">
        <v>1</v>
      </c>
      <c r="J2646" s="8">
        <v>240</v>
      </c>
      <c r="K2646" s="7" t="s">
        <v>312</v>
      </c>
      <c r="L2646" s="8">
        <v>96</v>
      </c>
      <c r="M2646" s="7">
        <f>IF(INDEX([1]equip.xml!$B:$B,MATCH(D2646,[1]equip.xml!$A:$A,0))=0,0,N2646)</f>
        <v>200</v>
      </c>
      <c r="N2646" s="8">
        <f t="shared" si="2951"/>
        <v>200</v>
      </c>
    </row>
    <row r="2647" spans="1:14">
      <c r="A2647" s="8">
        <f t="shared" si="2949"/>
        <v>30022</v>
      </c>
      <c r="B2647" s="8">
        <v>40000</v>
      </c>
      <c r="C2647" s="8" t="s">
        <v>298</v>
      </c>
      <c r="D2647" s="7">
        <f t="shared" si="2950"/>
        <v>50850076</v>
      </c>
      <c r="E2647" s="8"/>
      <c r="F2647" s="8">
        <v>1</v>
      </c>
      <c r="G2647" s="7">
        <v>546000</v>
      </c>
      <c r="H2647" s="8" t="s">
        <v>299</v>
      </c>
      <c r="I2647" s="8">
        <v>1</v>
      </c>
      <c r="J2647" s="8">
        <v>240</v>
      </c>
      <c r="K2647" s="7" t="s">
        <v>312</v>
      </c>
      <c r="L2647" s="8">
        <v>96</v>
      </c>
      <c r="M2647" s="7">
        <f>IF(INDEX([1]equip.xml!$B:$B,MATCH(D2647,[1]equip.xml!$A:$A,0))=0,0,N2647)</f>
        <v>200</v>
      </c>
      <c r="N2647" s="8">
        <f t="shared" si="2951"/>
        <v>200</v>
      </c>
    </row>
    <row r="2648" spans="1:14">
      <c r="A2648" s="8">
        <f t="shared" si="2949"/>
        <v>30022</v>
      </c>
      <c r="B2648" s="8">
        <v>40000</v>
      </c>
      <c r="C2648" s="8" t="s">
        <v>298</v>
      </c>
      <c r="D2648" s="7">
        <f t="shared" si="2950"/>
        <v>50900015</v>
      </c>
      <c r="E2648" s="8"/>
      <c r="F2648" s="8">
        <v>1</v>
      </c>
      <c r="G2648" s="7">
        <v>564000</v>
      </c>
      <c r="H2648" s="8" t="s">
        <v>299</v>
      </c>
      <c r="I2648" s="8">
        <v>1</v>
      </c>
      <c r="J2648" s="8">
        <v>240</v>
      </c>
      <c r="K2648" s="7" t="s">
        <v>312</v>
      </c>
      <c r="L2648" s="8">
        <v>96</v>
      </c>
      <c r="M2648" s="7">
        <f>IF(INDEX([1]equip.xml!$B:$B,MATCH(D2648,[1]equip.xml!$A:$A,0))=0,0,N2648)</f>
        <v>68</v>
      </c>
      <c r="N2648" s="8">
        <f t="shared" si="2951"/>
        <v>68</v>
      </c>
    </row>
    <row r="2649" spans="1:14">
      <c r="A2649" s="8">
        <f t="shared" si="2949"/>
        <v>30022</v>
      </c>
      <c r="B2649" s="8">
        <v>40000</v>
      </c>
      <c r="C2649" s="8" t="s">
        <v>298</v>
      </c>
      <c r="D2649" s="7">
        <f t="shared" si="2950"/>
        <v>50900025</v>
      </c>
      <c r="E2649" s="8"/>
      <c r="F2649" s="8">
        <v>1</v>
      </c>
      <c r="G2649" s="7">
        <v>564000</v>
      </c>
      <c r="H2649" s="8" t="s">
        <v>299</v>
      </c>
      <c r="I2649" s="8">
        <v>1</v>
      </c>
      <c r="J2649" s="8">
        <v>240</v>
      </c>
      <c r="K2649" s="7" t="s">
        <v>312</v>
      </c>
      <c r="L2649" s="8">
        <v>96</v>
      </c>
      <c r="M2649" s="7">
        <f>IF(INDEX([1]equip.xml!$B:$B,MATCH(D2649,[1]equip.xml!$A:$A,0))=0,0,N2649)</f>
        <v>68</v>
      </c>
      <c r="N2649" s="8">
        <f t="shared" si="2951"/>
        <v>68</v>
      </c>
    </row>
    <row r="2650" spans="1:14">
      <c r="A2650" s="8">
        <f t="shared" si="2949"/>
        <v>30022</v>
      </c>
      <c r="B2650" s="8">
        <v>40000</v>
      </c>
      <c r="C2650" s="8" t="s">
        <v>298</v>
      </c>
      <c r="D2650" s="7">
        <f t="shared" si="2950"/>
        <v>50900035</v>
      </c>
      <c r="E2650" s="8"/>
      <c r="F2650" s="8">
        <v>1</v>
      </c>
      <c r="G2650" s="7">
        <v>564000</v>
      </c>
      <c r="H2650" s="8" t="s">
        <v>299</v>
      </c>
      <c r="I2650" s="8">
        <v>1</v>
      </c>
      <c r="J2650" s="8">
        <v>240</v>
      </c>
      <c r="K2650" s="7" t="s">
        <v>312</v>
      </c>
      <c r="L2650" s="8">
        <v>96</v>
      </c>
      <c r="M2650" s="7">
        <f>IF(INDEX([1]equip.xml!$B:$B,MATCH(D2650,[1]equip.xml!$A:$A,0))=0,0,N2650)</f>
        <v>68</v>
      </c>
      <c r="N2650" s="8">
        <f t="shared" si="2951"/>
        <v>68</v>
      </c>
    </row>
    <row r="2651" spans="1:14">
      <c r="A2651" s="8">
        <f t="shared" si="2949"/>
        <v>30022</v>
      </c>
      <c r="B2651" s="8">
        <v>40000</v>
      </c>
      <c r="C2651" s="8" t="s">
        <v>298</v>
      </c>
      <c r="D2651" s="7">
        <f t="shared" si="2950"/>
        <v>50900085</v>
      </c>
      <c r="E2651" s="8"/>
      <c r="F2651" s="8">
        <v>1</v>
      </c>
      <c r="G2651" s="7">
        <v>564000</v>
      </c>
      <c r="H2651" s="8" t="s">
        <v>299</v>
      </c>
      <c r="I2651" s="8">
        <v>1</v>
      </c>
      <c r="J2651" s="8">
        <v>240</v>
      </c>
      <c r="K2651" s="7" t="s">
        <v>312</v>
      </c>
      <c r="L2651" s="8">
        <v>96</v>
      </c>
      <c r="M2651" s="7">
        <f>IF(INDEX([1]equip.xml!$B:$B,MATCH(D2651,[1]equip.xml!$A:$A,0))=0,0,N2651)</f>
        <v>68</v>
      </c>
      <c r="N2651" s="8">
        <f t="shared" si="2951"/>
        <v>68</v>
      </c>
    </row>
    <row r="2652" spans="1:14">
      <c r="A2652" s="8">
        <f t="shared" si="2949"/>
        <v>30022</v>
      </c>
      <c r="B2652" s="8">
        <v>40000</v>
      </c>
      <c r="C2652" s="8" t="s">
        <v>298</v>
      </c>
      <c r="D2652" s="7">
        <f t="shared" si="2950"/>
        <v>50900095</v>
      </c>
      <c r="E2652" s="8"/>
      <c r="F2652" s="8">
        <v>1</v>
      </c>
      <c r="G2652" s="7">
        <v>564000</v>
      </c>
      <c r="H2652" s="8" t="s">
        <v>299</v>
      </c>
      <c r="I2652" s="8">
        <v>1</v>
      </c>
      <c r="J2652" s="8">
        <v>240</v>
      </c>
      <c r="K2652" s="7" t="s">
        <v>312</v>
      </c>
      <c r="L2652" s="8">
        <v>96</v>
      </c>
      <c r="M2652" s="7">
        <f>IF(INDEX([1]equip.xml!$B:$B,MATCH(D2652,[1]equip.xml!$A:$A,0))=0,0,N2652)</f>
        <v>68</v>
      </c>
      <c r="N2652" s="8">
        <f t="shared" si="2951"/>
        <v>68</v>
      </c>
    </row>
    <row r="2653" spans="1:14">
      <c r="A2653" s="8">
        <f t="shared" si="2949"/>
        <v>30022</v>
      </c>
      <c r="B2653" s="8">
        <v>40000</v>
      </c>
      <c r="C2653" s="8" t="s">
        <v>298</v>
      </c>
      <c r="D2653" s="7">
        <f t="shared" si="2950"/>
        <v>50900105</v>
      </c>
      <c r="E2653" s="8"/>
      <c r="F2653" s="8">
        <v>1</v>
      </c>
      <c r="G2653" s="7">
        <v>564000</v>
      </c>
      <c r="H2653" s="8" t="s">
        <v>299</v>
      </c>
      <c r="I2653" s="8">
        <v>1</v>
      </c>
      <c r="J2653" s="8">
        <v>240</v>
      </c>
      <c r="K2653" s="7" t="s">
        <v>312</v>
      </c>
      <c r="L2653" s="8">
        <v>96</v>
      </c>
      <c r="M2653" s="7">
        <f>IF(INDEX([1]equip.xml!$B:$B,MATCH(D2653,[1]equip.xml!$A:$A,0))=0,0,N2653)</f>
        <v>68</v>
      </c>
      <c r="N2653" s="8">
        <f t="shared" si="2951"/>
        <v>68</v>
      </c>
    </row>
    <row r="2654" spans="1:14">
      <c r="A2654" s="8">
        <f t="shared" si="2949"/>
        <v>30022</v>
      </c>
      <c r="B2654" s="8">
        <v>40000</v>
      </c>
      <c r="C2654" s="8" t="s">
        <v>298</v>
      </c>
      <c r="D2654" s="7">
        <f t="shared" si="2950"/>
        <v>50901055</v>
      </c>
      <c r="E2654" s="8"/>
      <c r="F2654" s="8">
        <v>1</v>
      </c>
      <c r="G2654" s="7">
        <v>564000</v>
      </c>
      <c r="H2654" s="8" t="s">
        <v>299</v>
      </c>
      <c r="I2654" s="8">
        <v>1</v>
      </c>
      <c r="J2654" s="8">
        <v>240</v>
      </c>
      <c r="K2654" s="7" t="s">
        <v>312</v>
      </c>
      <c r="L2654" s="8">
        <v>96</v>
      </c>
      <c r="M2654" s="7">
        <f>IF(INDEX([1]equip.xml!$B:$B,MATCH(D2654,[1]equip.xml!$A:$A,0))=0,0,N2654)</f>
        <v>68</v>
      </c>
      <c r="N2654" s="8">
        <f t="shared" si="2951"/>
        <v>68</v>
      </c>
    </row>
    <row r="2655" spans="1:14">
      <c r="A2655" s="8">
        <f t="shared" si="2949"/>
        <v>30022</v>
      </c>
      <c r="B2655" s="8">
        <v>40000</v>
      </c>
      <c r="C2655" s="8" t="s">
        <v>298</v>
      </c>
      <c r="D2655" s="7">
        <f t="shared" si="2950"/>
        <v>50901056</v>
      </c>
      <c r="E2655" s="8"/>
      <c r="F2655" s="8">
        <v>1</v>
      </c>
      <c r="G2655" s="7">
        <v>582000</v>
      </c>
      <c r="H2655" s="8" t="s">
        <v>299</v>
      </c>
      <c r="I2655" s="8">
        <v>1</v>
      </c>
      <c r="J2655" s="8">
        <v>240</v>
      </c>
      <c r="K2655" s="7" t="s">
        <v>312</v>
      </c>
      <c r="L2655" s="8">
        <v>96</v>
      </c>
      <c r="M2655" s="7">
        <f>IF(INDEX([1]equip.xml!$B:$B,MATCH(D2655,[1]equip.xml!$A:$A,0))=0,0,N2655)</f>
        <v>68</v>
      </c>
      <c r="N2655" s="8">
        <f t="shared" si="2951"/>
        <v>68</v>
      </c>
    </row>
    <row r="2656" spans="1:14">
      <c r="A2656" s="8">
        <f t="shared" si="2949"/>
        <v>30022</v>
      </c>
      <c r="B2656" s="8">
        <v>40000</v>
      </c>
      <c r="C2656" s="8" t="s">
        <v>298</v>
      </c>
      <c r="D2656" s="7">
        <f t="shared" si="2950"/>
        <v>50901065</v>
      </c>
      <c r="E2656" s="8"/>
      <c r="F2656" s="8">
        <v>1</v>
      </c>
      <c r="G2656" s="7">
        <v>564000</v>
      </c>
      <c r="H2656" s="8" t="s">
        <v>299</v>
      </c>
      <c r="I2656" s="8">
        <v>1</v>
      </c>
      <c r="J2656" s="8">
        <v>240</v>
      </c>
      <c r="K2656" s="7" t="s">
        <v>312</v>
      </c>
      <c r="L2656" s="8">
        <v>96</v>
      </c>
      <c r="M2656" s="7">
        <f>IF(INDEX([1]equip.xml!$B:$B,MATCH(D2656,[1]equip.xml!$A:$A,0))=0,0,N2656)</f>
        <v>68</v>
      </c>
      <c r="N2656" s="8">
        <f t="shared" si="2951"/>
        <v>68</v>
      </c>
    </row>
    <row r="2657" spans="1:14">
      <c r="A2657" s="8">
        <f t="shared" si="2949"/>
        <v>30022</v>
      </c>
      <c r="B2657" s="8">
        <v>40000</v>
      </c>
      <c r="C2657" s="8" t="s">
        <v>298</v>
      </c>
      <c r="D2657" s="7">
        <f t="shared" si="2950"/>
        <v>50901066</v>
      </c>
      <c r="E2657" s="8"/>
      <c r="F2657" s="8">
        <v>1</v>
      </c>
      <c r="G2657" s="7">
        <v>582000</v>
      </c>
      <c r="H2657" s="8" t="s">
        <v>299</v>
      </c>
      <c r="I2657" s="8">
        <v>1</v>
      </c>
      <c r="J2657" s="8">
        <v>240</v>
      </c>
      <c r="K2657" s="7" t="s">
        <v>312</v>
      </c>
      <c r="L2657" s="8">
        <v>96</v>
      </c>
      <c r="M2657" s="7">
        <f>IF(INDEX([1]equip.xml!$B:$B,MATCH(D2657,[1]equip.xml!$A:$A,0))=0,0,N2657)</f>
        <v>68</v>
      </c>
      <c r="N2657" s="8">
        <f t="shared" si="2951"/>
        <v>68</v>
      </c>
    </row>
    <row r="2658" spans="1:14">
      <c r="A2658" s="8">
        <f t="shared" si="2949"/>
        <v>30022</v>
      </c>
      <c r="B2658" s="8">
        <v>40000</v>
      </c>
      <c r="C2658" s="8" t="s">
        <v>298</v>
      </c>
      <c r="D2658" s="7">
        <f t="shared" si="2950"/>
        <v>50902055</v>
      </c>
      <c r="E2658" s="8"/>
      <c r="F2658" s="8">
        <v>1</v>
      </c>
      <c r="G2658" s="7">
        <v>564000</v>
      </c>
      <c r="H2658" s="8" t="s">
        <v>299</v>
      </c>
      <c r="I2658" s="8">
        <v>1</v>
      </c>
      <c r="J2658" s="8">
        <v>240</v>
      </c>
      <c r="K2658" s="7" t="s">
        <v>312</v>
      </c>
      <c r="L2658" s="8">
        <v>96</v>
      </c>
      <c r="M2658" s="7">
        <f>IF(INDEX([1]equip.xml!$B:$B,MATCH(D2658,[1]equip.xml!$A:$A,0))=0,0,N2658)</f>
        <v>68</v>
      </c>
      <c r="N2658" s="8">
        <f t="shared" si="2951"/>
        <v>68</v>
      </c>
    </row>
    <row r="2659" spans="1:14">
      <c r="A2659" s="8">
        <f t="shared" si="2949"/>
        <v>30022</v>
      </c>
      <c r="B2659" s="8">
        <v>40000</v>
      </c>
      <c r="C2659" s="8" t="s">
        <v>298</v>
      </c>
      <c r="D2659" s="7">
        <f t="shared" si="2950"/>
        <v>50902056</v>
      </c>
      <c r="E2659" s="8"/>
      <c r="F2659" s="8">
        <v>1</v>
      </c>
      <c r="G2659" s="7">
        <v>582000</v>
      </c>
      <c r="H2659" s="8" t="s">
        <v>299</v>
      </c>
      <c r="I2659" s="8">
        <v>1</v>
      </c>
      <c r="J2659" s="8">
        <v>240</v>
      </c>
      <c r="K2659" s="7" t="s">
        <v>312</v>
      </c>
      <c r="L2659" s="8">
        <v>96</v>
      </c>
      <c r="M2659" s="7">
        <f>IF(INDEX([1]equip.xml!$B:$B,MATCH(D2659,[1]equip.xml!$A:$A,0))=0,0,N2659)</f>
        <v>68</v>
      </c>
      <c r="N2659" s="8">
        <f t="shared" si="2951"/>
        <v>68</v>
      </c>
    </row>
    <row r="2660" spans="1:14">
      <c r="A2660" s="8">
        <f t="shared" si="2949"/>
        <v>30022</v>
      </c>
      <c r="B2660" s="8">
        <v>40000</v>
      </c>
      <c r="C2660" s="8" t="s">
        <v>298</v>
      </c>
      <c r="D2660" s="7">
        <f t="shared" si="2950"/>
        <v>50902065</v>
      </c>
      <c r="E2660" s="8"/>
      <c r="F2660" s="8">
        <v>1</v>
      </c>
      <c r="G2660" s="7">
        <v>564000</v>
      </c>
      <c r="H2660" s="8" t="s">
        <v>299</v>
      </c>
      <c r="I2660" s="8">
        <v>1</v>
      </c>
      <c r="J2660" s="8">
        <v>240</v>
      </c>
      <c r="K2660" s="7" t="s">
        <v>312</v>
      </c>
      <c r="L2660" s="8">
        <v>96</v>
      </c>
      <c r="M2660" s="7">
        <f>IF(INDEX([1]equip.xml!$B:$B,MATCH(D2660,[1]equip.xml!$A:$A,0))=0,0,N2660)</f>
        <v>68</v>
      </c>
      <c r="N2660" s="8">
        <f t="shared" si="2951"/>
        <v>68</v>
      </c>
    </row>
    <row r="2661" spans="1:14">
      <c r="A2661" s="8">
        <f t="shared" si="2949"/>
        <v>30022</v>
      </c>
      <c r="B2661" s="8">
        <v>40000</v>
      </c>
      <c r="C2661" s="8" t="s">
        <v>298</v>
      </c>
      <c r="D2661" s="7">
        <f t="shared" si="2950"/>
        <v>50902066</v>
      </c>
      <c r="E2661" s="8"/>
      <c r="F2661" s="8">
        <v>1</v>
      </c>
      <c r="G2661" s="7">
        <v>582000</v>
      </c>
      <c r="H2661" s="8" t="s">
        <v>299</v>
      </c>
      <c r="I2661" s="8">
        <v>1</v>
      </c>
      <c r="J2661" s="8">
        <v>240</v>
      </c>
      <c r="K2661" s="7" t="s">
        <v>312</v>
      </c>
      <c r="L2661" s="8">
        <v>96</v>
      </c>
      <c r="M2661" s="7">
        <f>IF(INDEX([1]equip.xml!$B:$B,MATCH(D2661,[1]equip.xml!$A:$A,0))=0,0,N2661)</f>
        <v>68</v>
      </c>
      <c r="N2661" s="8">
        <f t="shared" si="2951"/>
        <v>68</v>
      </c>
    </row>
    <row r="2662" spans="1:14">
      <c r="A2662" s="8">
        <f t="shared" si="2949"/>
        <v>30022</v>
      </c>
      <c r="B2662" s="8">
        <v>40000</v>
      </c>
      <c r="C2662" s="8" t="s">
        <v>298</v>
      </c>
      <c r="D2662" s="7">
        <f t="shared" si="2950"/>
        <v>50903055</v>
      </c>
      <c r="E2662" s="8"/>
      <c r="F2662" s="8">
        <v>1</v>
      </c>
      <c r="G2662" s="7">
        <v>564000</v>
      </c>
      <c r="H2662" s="8" t="s">
        <v>299</v>
      </c>
      <c r="I2662" s="8">
        <v>1</v>
      </c>
      <c r="J2662" s="8">
        <v>240</v>
      </c>
      <c r="K2662" s="7" t="s">
        <v>312</v>
      </c>
      <c r="L2662" s="8">
        <v>96</v>
      </c>
      <c r="M2662" s="7">
        <f>IF(INDEX([1]equip.xml!$B:$B,MATCH(D2662,[1]equip.xml!$A:$A,0))=0,0,N2662)</f>
        <v>68</v>
      </c>
      <c r="N2662" s="8">
        <f t="shared" si="2951"/>
        <v>68</v>
      </c>
    </row>
    <row r="2663" spans="1:14">
      <c r="A2663" s="8">
        <f t="shared" si="2949"/>
        <v>30022</v>
      </c>
      <c r="B2663" s="8">
        <v>40000</v>
      </c>
      <c r="C2663" s="8" t="s">
        <v>298</v>
      </c>
      <c r="D2663" s="7">
        <f t="shared" si="2950"/>
        <v>50903056</v>
      </c>
      <c r="E2663" s="8"/>
      <c r="F2663" s="8">
        <v>1</v>
      </c>
      <c r="G2663" s="7">
        <v>582000</v>
      </c>
      <c r="H2663" s="8" t="s">
        <v>299</v>
      </c>
      <c r="I2663" s="8">
        <v>1</v>
      </c>
      <c r="J2663" s="8">
        <v>240</v>
      </c>
      <c r="K2663" s="7" t="s">
        <v>312</v>
      </c>
      <c r="L2663" s="8">
        <v>96</v>
      </c>
      <c r="M2663" s="7">
        <f>IF(INDEX([1]equip.xml!$B:$B,MATCH(D2663,[1]equip.xml!$A:$A,0))=0,0,N2663)</f>
        <v>68</v>
      </c>
      <c r="N2663" s="8">
        <f t="shared" si="2951"/>
        <v>68</v>
      </c>
    </row>
    <row r="2664" spans="1:14">
      <c r="A2664" s="8">
        <f t="shared" si="2949"/>
        <v>30022</v>
      </c>
      <c r="B2664" s="8">
        <v>40000</v>
      </c>
      <c r="C2664" s="8" t="s">
        <v>298</v>
      </c>
      <c r="D2664" s="7">
        <f t="shared" si="2950"/>
        <v>50903065</v>
      </c>
      <c r="E2664" s="8"/>
      <c r="F2664" s="8">
        <v>1</v>
      </c>
      <c r="G2664" s="7">
        <v>564000</v>
      </c>
      <c r="H2664" s="8" t="s">
        <v>299</v>
      </c>
      <c r="I2664" s="8">
        <v>1</v>
      </c>
      <c r="J2664" s="8">
        <v>240</v>
      </c>
      <c r="K2664" s="7" t="s">
        <v>312</v>
      </c>
      <c r="L2664" s="8">
        <v>96</v>
      </c>
      <c r="M2664" s="7">
        <f>IF(INDEX([1]equip.xml!$B:$B,MATCH(D2664,[1]equip.xml!$A:$A,0))=0,0,N2664)</f>
        <v>68</v>
      </c>
      <c r="N2664" s="8">
        <f t="shared" si="2951"/>
        <v>68</v>
      </c>
    </row>
    <row r="2665" spans="1:14">
      <c r="A2665" s="8">
        <f t="shared" si="2949"/>
        <v>30022</v>
      </c>
      <c r="B2665" s="8">
        <v>40000</v>
      </c>
      <c r="C2665" s="8" t="s">
        <v>298</v>
      </c>
      <c r="D2665" s="7">
        <f t="shared" si="2950"/>
        <v>50903066</v>
      </c>
      <c r="E2665" s="8"/>
      <c r="F2665" s="8">
        <v>1</v>
      </c>
      <c r="G2665" s="7">
        <v>582000</v>
      </c>
      <c r="H2665" s="8" t="s">
        <v>299</v>
      </c>
      <c r="I2665" s="8">
        <v>1</v>
      </c>
      <c r="J2665" s="8">
        <v>240</v>
      </c>
      <c r="K2665" s="7" t="s">
        <v>312</v>
      </c>
      <c r="L2665" s="8">
        <v>96</v>
      </c>
      <c r="M2665" s="7">
        <f>IF(INDEX([1]equip.xml!$B:$B,MATCH(D2665,[1]equip.xml!$A:$A,0))=0,0,N2665)</f>
        <v>68</v>
      </c>
      <c r="N2665" s="8">
        <f t="shared" si="2951"/>
        <v>68</v>
      </c>
    </row>
    <row r="2666" spans="1:14">
      <c r="A2666" s="8">
        <f t="shared" si="2949"/>
        <v>30022</v>
      </c>
      <c r="B2666" s="8">
        <v>40000</v>
      </c>
      <c r="C2666" s="8" t="s">
        <v>298</v>
      </c>
      <c r="D2666" s="7">
        <f t="shared" si="2950"/>
        <v>50900045</v>
      </c>
      <c r="E2666" s="8"/>
      <c r="F2666" s="8">
        <v>1</v>
      </c>
      <c r="G2666" s="7">
        <v>564000</v>
      </c>
      <c r="H2666" s="8" t="s">
        <v>299</v>
      </c>
      <c r="I2666" s="8">
        <v>1</v>
      </c>
      <c r="J2666" s="8">
        <v>240</v>
      </c>
      <c r="K2666" s="7" t="s">
        <v>312</v>
      </c>
      <c r="L2666" s="8">
        <v>96</v>
      </c>
      <c r="M2666" s="7">
        <f>IF(INDEX([1]equip.xml!$B:$B,MATCH(D2666,[1]equip.xml!$A:$A,0))=0,0,N2666)</f>
        <v>68</v>
      </c>
      <c r="N2666" s="8">
        <f t="shared" si="2951"/>
        <v>68</v>
      </c>
    </row>
    <row r="2667" spans="1:14">
      <c r="A2667" s="8">
        <f t="shared" si="2949"/>
        <v>30022</v>
      </c>
      <c r="B2667" s="8">
        <v>40000</v>
      </c>
      <c r="C2667" s="8" t="s">
        <v>298</v>
      </c>
      <c r="D2667" s="7">
        <f t="shared" si="2950"/>
        <v>50900046</v>
      </c>
      <c r="E2667" s="8"/>
      <c r="F2667" s="8">
        <v>1</v>
      </c>
      <c r="G2667" s="7">
        <v>582000</v>
      </c>
      <c r="H2667" s="8" t="s">
        <v>299</v>
      </c>
      <c r="I2667" s="8">
        <v>1</v>
      </c>
      <c r="J2667" s="8">
        <v>240</v>
      </c>
      <c r="K2667" s="7" t="s">
        <v>312</v>
      </c>
      <c r="L2667" s="8">
        <v>96</v>
      </c>
      <c r="M2667" s="7">
        <f>IF(INDEX([1]equip.xml!$B:$B,MATCH(D2667,[1]equip.xml!$A:$A,0))=0,0,N2667)</f>
        <v>68</v>
      </c>
      <c r="N2667" s="8">
        <f t="shared" si="2951"/>
        <v>68</v>
      </c>
    </row>
    <row r="2668" spans="1:14">
      <c r="A2668" s="8">
        <f t="shared" si="2949"/>
        <v>30022</v>
      </c>
      <c r="B2668" s="8">
        <v>40000</v>
      </c>
      <c r="C2668" s="8" t="s">
        <v>298</v>
      </c>
      <c r="D2668" s="7">
        <f t="shared" si="2950"/>
        <v>50900075</v>
      </c>
      <c r="E2668" s="8"/>
      <c r="F2668" s="8">
        <v>1</v>
      </c>
      <c r="G2668" s="7">
        <v>564000</v>
      </c>
      <c r="H2668" s="8" t="s">
        <v>299</v>
      </c>
      <c r="I2668" s="8">
        <v>1</v>
      </c>
      <c r="J2668" s="8">
        <v>240</v>
      </c>
      <c r="K2668" s="7" t="s">
        <v>312</v>
      </c>
      <c r="L2668" s="8">
        <v>96</v>
      </c>
      <c r="M2668" s="7">
        <f>IF(INDEX([1]equip.xml!$B:$B,MATCH(D2668,[1]equip.xml!$A:$A,0))=0,0,N2668)</f>
        <v>68</v>
      </c>
      <c r="N2668" s="8">
        <f t="shared" si="2951"/>
        <v>68</v>
      </c>
    </row>
    <row r="2669" spans="1:14">
      <c r="A2669" s="8">
        <f t="shared" si="2949"/>
        <v>30022</v>
      </c>
      <c r="B2669" s="8">
        <v>40000</v>
      </c>
      <c r="C2669" s="8" t="s">
        <v>298</v>
      </c>
      <c r="D2669" s="7">
        <f t="shared" si="2950"/>
        <v>50900076</v>
      </c>
      <c r="E2669" s="8"/>
      <c r="F2669" s="8">
        <v>1</v>
      </c>
      <c r="G2669" s="7">
        <v>582000</v>
      </c>
      <c r="H2669" s="8" t="s">
        <v>299</v>
      </c>
      <c r="I2669" s="8">
        <v>1</v>
      </c>
      <c r="J2669" s="8">
        <v>240</v>
      </c>
      <c r="K2669" s="7" t="s">
        <v>312</v>
      </c>
      <c r="L2669" s="8">
        <v>96</v>
      </c>
      <c r="M2669" s="7">
        <f>IF(INDEX([1]equip.xml!$B:$B,MATCH(D2669,[1]equip.xml!$A:$A,0))=0,0,N2669)</f>
        <v>68</v>
      </c>
      <c r="N2669" s="8">
        <f t="shared" si="2951"/>
        <v>68</v>
      </c>
    </row>
    <row r="2670" spans="1:14">
      <c r="A2670" s="8">
        <f t="shared" si="2949"/>
        <v>30023</v>
      </c>
      <c r="B2670" s="8">
        <v>40000</v>
      </c>
      <c r="C2670" s="8" t="s">
        <v>298</v>
      </c>
      <c r="D2670" s="8">
        <f t="shared" ref="D2670:D2713" si="2952">D2582+50000</f>
        <v>40900010</v>
      </c>
      <c r="E2670" s="8"/>
      <c r="F2670" s="8">
        <v>1</v>
      </c>
      <c r="G2670" s="7">
        <v>282000</v>
      </c>
      <c r="H2670" s="8" t="s">
        <v>299</v>
      </c>
      <c r="I2670" s="8">
        <v>6</v>
      </c>
      <c r="J2670" s="8">
        <v>50</v>
      </c>
      <c r="K2670" s="7" t="s">
        <v>312</v>
      </c>
      <c r="L2670" s="8">
        <v>96</v>
      </c>
      <c r="M2670" s="7">
        <f>IF(INDEX([1]equip.xml!$B:$B,MATCH(D2670,[1]equip.xml!$A:$A,0))=0,0,N2670)</f>
        <v>100</v>
      </c>
      <c r="N2670" s="8">
        <v>100</v>
      </c>
    </row>
    <row r="2671" spans="1:14">
      <c r="A2671" s="8">
        <f t="shared" si="2949"/>
        <v>30023</v>
      </c>
      <c r="B2671" s="8">
        <v>40000</v>
      </c>
      <c r="C2671" s="8" t="s">
        <v>298</v>
      </c>
      <c r="D2671" s="8">
        <f t="shared" si="2952"/>
        <v>40900020</v>
      </c>
      <c r="E2671" s="8"/>
      <c r="F2671" s="8">
        <v>1</v>
      </c>
      <c r="G2671" s="7">
        <v>282000</v>
      </c>
      <c r="H2671" s="8" t="s">
        <v>299</v>
      </c>
      <c r="I2671" s="8">
        <v>6</v>
      </c>
      <c r="J2671" s="8">
        <v>50</v>
      </c>
      <c r="K2671" s="7" t="s">
        <v>312</v>
      </c>
      <c r="L2671" s="8">
        <v>96</v>
      </c>
      <c r="M2671" s="7">
        <f>IF(INDEX([1]equip.xml!$B:$B,MATCH(D2671,[1]equip.xml!$A:$A,0))=0,0,N2671)</f>
        <v>100</v>
      </c>
      <c r="N2671" s="8">
        <v>100</v>
      </c>
    </row>
    <row r="2672" spans="1:14">
      <c r="A2672" s="8">
        <f t="shared" si="2949"/>
        <v>30023</v>
      </c>
      <c r="B2672" s="8">
        <v>40000</v>
      </c>
      <c r="C2672" s="8" t="s">
        <v>298</v>
      </c>
      <c r="D2672" s="8">
        <f t="shared" si="2952"/>
        <v>40900030</v>
      </c>
      <c r="E2672" s="8"/>
      <c r="F2672" s="8">
        <v>1</v>
      </c>
      <c r="G2672" s="7">
        <v>282000</v>
      </c>
      <c r="H2672" s="8" t="s">
        <v>299</v>
      </c>
      <c r="I2672" s="8">
        <v>6</v>
      </c>
      <c r="J2672" s="8">
        <v>50</v>
      </c>
      <c r="K2672" s="7" t="s">
        <v>312</v>
      </c>
      <c r="L2672" s="8">
        <v>96</v>
      </c>
      <c r="M2672" s="7">
        <f>IF(INDEX([1]equip.xml!$B:$B,MATCH(D2672,[1]equip.xml!$A:$A,0))=0,0,N2672)</f>
        <v>100</v>
      </c>
      <c r="N2672" s="8">
        <v>100</v>
      </c>
    </row>
    <row r="2673" spans="1:14">
      <c r="A2673" s="8">
        <f t="shared" si="2949"/>
        <v>30023</v>
      </c>
      <c r="B2673" s="8">
        <v>40000</v>
      </c>
      <c r="C2673" s="8" t="s">
        <v>298</v>
      </c>
      <c r="D2673" s="8">
        <f t="shared" si="2952"/>
        <v>40900080</v>
      </c>
      <c r="E2673" s="8"/>
      <c r="F2673" s="8">
        <v>1</v>
      </c>
      <c r="G2673" s="7">
        <v>282000</v>
      </c>
      <c r="H2673" s="8" t="s">
        <v>299</v>
      </c>
      <c r="I2673" s="8">
        <v>6</v>
      </c>
      <c r="J2673" s="8">
        <v>50</v>
      </c>
      <c r="K2673" s="7" t="s">
        <v>312</v>
      </c>
      <c r="L2673" s="8">
        <v>96</v>
      </c>
      <c r="M2673" s="7">
        <f>IF(INDEX([1]equip.xml!$B:$B,MATCH(D2673,[1]equip.xml!$A:$A,0))=0,0,N2673)</f>
        <v>100</v>
      </c>
      <c r="N2673" s="8">
        <v>100</v>
      </c>
    </row>
    <row r="2674" spans="1:14">
      <c r="A2674" s="8">
        <f t="shared" si="2949"/>
        <v>30023</v>
      </c>
      <c r="B2674" s="8">
        <v>40000</v>
      </c>
      <c r="C2674" s="8" t="s">
        <v>298</v>
      </c>
      <c r="D2674" s="8">
        <f t="shared" si="2952"/>
        <v>40900090</v>
      </c>
      <c r="E2674" s="8"/>
      <c r="F2674" s="8">
        <v>1</v>
      </c>
      <c r="G2674" s="7">
        <v>282000</v>
      </c>
      <c r="H2674" s="8" t="s">
        <v>299</v>
      </c>
      <c r="I2674" s="8">
        <v>6</v>
      </c>
      <c r="J2674" s="8">
        <v>50</v>
      </c>
      <c r="K2674" s="7" t="s">
        <v>312</v>
      </c>
      <c r="L2674" s="8">
        <v>96</v>
      </c>
      <c r="M2674" s="7">
        <f>IF(INDEX([1]equip.xml!$B:$B,MATCH(D2674,[1]equip.xml!$A:$A,0))=0,0,N2674)</f>
        <v>100</v>
      </c>
      <c r="N2674" s="8">
        <v>100</v>
      </c>
    </row>
    <row r="2675" spans="1:14">
      <c r="A2675" s="8">
        <f t="shared" si="2949"/>
        <v>30023</v>
      </c>
      <c r="B2675" s="8">
        <v>40000</v>
      </c>
      <c r="C2675" s="8" t="s">
        <v>298</v>
      </c>
      <c r="D2675" s="8">
        <f t="shared" si="2952"/>
        <v>40900100</v>
      </c>
      <c r="E2675" s="8"/>
      <c r="F2675" s="8">
        <v>1</v>
      </c>
      <c r="G2675" s="7">
        <v>282000</v>
      </c>
      <c r="H2675" s="8" t="s">
        <v>299</v>
      </c>
      <c r="I2675" s="8">
        <v>6</v>
      </c>
      <c r="J2675" s="8">
        <v>50</v>
      </c>
      <c r="K2675" s="7" t="s">
        <v>312</v>
      </c>
      <c r="L2675" s="8">
        <v>96</v>
      </c>
      <c r="M2675" s="7">
        <f>IF(INDEX([1]equip.xml!$B:$B,MATCH(D2675,[1]equip.xml!$A:$A,0))=0,0,N2675)</f>
        <v>100</v>
      </c>
      <c r="N2675" s="8">
        <v>100</v>
      </c>
    </row>
    <row r="2676" spans="1:14">
      <c r="A2676" s="8">
        <f t="shared" si="2949"/>
        <v>30023</v>
      </c>
      <c r="B2676" s="8">
        <v>40000</v>
      </c>
      <c r="C2676" s="8" t="s">
        <v>298</v>
      </c>
      <c r="D2676" s="8">
        <f t="shared" si="2952"/>
        <v>40901050</v>
      </c>
      <c r="E2676" s="8"/>
      <c r="F2676" s="8">
        <v>1</v>
      </c>
      <c r="G2676" s="7">
        <v>282000</v>
      </c>
      <c r="H2676" s="8" t="s">
        <v>299</v>
      </c>
      <c r="I2676" s="8">
        <v>6</v>
      </c>
      <c r="J2676" s="8">
        <v>50</v>
      </c>
      <c r="K2676" s="7" t="s">
        <v>312</v>
      </c>
      <c r="L2676" s="8">
        <v>96</v>
      </c>
      <c r="M2676" s="7">
        <f>IF(INDEX([1]equip.xml!$B:$B,MATCH(D2676,[1]equip.xml!$A:$A,0))=0,0,N2676)</f>
        <v>100</v>
      </c>
      <c r="N2676" s="8">
        <v>100</v>
      </c>
    </row>
    <row r="2677" spans="1:14">
      <c r="A2677" s="8">
        <f t="shared" si="2949"/>
        <v>30023</v>
      </c>
      <c r="B2677" s="8">
        <v>40000</v>
      </c>
      <c r="C2677" s="8" t="s">
        <v>298</v>
      </c>
      <c r="D2677" s="8">
        <f t="shared" si="2952"/>
        <v>40901051</v>
      </c>
      <c r="E2677" s="8"/>
      <c r="F2677" s="8">
        <v>1</v>
      </c>
      <c r="G2677" s="7">
        <v>291000</v>
      </c>
      <c r="H2677" s="8" t="s">
        <v>299</v>
      </c>
      <c r="I2677" s="8">
        <v>6</v>
      </c>
      <c r="J2677" s="8">
        <v>50</v>
      </c>
      <c r="K2677" s="7" t="s">
        <v>312</v>
      </c>
      <c r="L2677" s="8">
        <v>96</v>
      </c>
      <c r="M2677" s="7">
        <f>IF(INDEX([1]equip.xml!$B:$B,MATCH(D2677,[1]equip.xml!$A:$A,0))=0,0,N2677)</f>
        <v>100</v>
      </c>
      <c r="N2677" s="8">
        <v>100</v>
      </c>
    </row>
    <row r="2678" spans="1:14">
      <c r="A2678" s="8">
        <f t="shared" si="2949"/>
        <v>30023</v>
      </c>
      <c r="B2678" s="8">
        <v>40000</v>
      </c>
      <c r="C2678" s="8" t="s">
        <v>298</v>
      </c>
      <c r="D2678" s="8">
        <f t="shared" si="2952"/>
        <v>40901060</v>
      </c>
      <c r="E2678" s="8"/>
      <c r="F2678" s="8">
        <v>1</v>
      </c>
      <c r="G2678" s="7">
        <v>282000</v>
      </c>
      <c r="H2678" s="8" t="s">
        <v>299</v>
      </c>
      <c r="I2678" s="8">
        <v>6</v>
      </c>
      <c r="J2678" s="8">
        <v>50</v>
      </c>
      <c r="K2678" s="7" t="s">
        <v>312</v>
      </c>
      <c r="L2678" s="8">
        <v>96</v>
      </c>
      <c r="M2678" s="7">
        <f>IF(INDEX([1]equip.xml!$B:$B,MATCH(D2678,[1]equip.xml!$A:$A,0))=0,0,N2678)</f>
        <v>100</v>
      </c>
      <c r="N2678" s="8">
        <v>100</v>
      </c>
    </row>
    <row r="2679" spans="1:14">
      <c r="A2679" s="8">
        <f t="shared" si="2949"/>
        <v>30023</v>
      </c>
      <c r="B2679" s="8">
        <v>40000</v>
      </c>
      <c r="C2679" s="8" t="s">
        <v>298</v>
      </c>
      <c r="D2679" s="8">
        <f t="shared" si="2952"/>
        <v>40901061</v>
      </c>
      <c r="E2679" s="8"/>
      <c r="F2679" s="8">
        <v>1</v>
      </c>
      <c r="G2679" s="7">
        <v>291000</v>
      </c>
      <c r="H2679" s="8" t="s">
        <v>299</v>
      </c>
      <c r="I2679" s="8">
        <v>6</v>
      </c>
      <c r="J2679" s="8">
        <v>50</v>
      </c>
      <c r="K2679" s="7" t="s">
        <v>312</v>
      </c>
      <c r="L2679" s="8">
        <v>96</v>
      </c>
      <c r="M2679" s="7">
        <f>IF(INDEX([1]equip.xml!$B:$B,MATCH(D2679,[1]equip.xml!$A:$A,0))=0,0,N2679)</f>
        <v>100</v>
      </c>
      <c r="N2679" s="8">
        <v>100</v>
      </c>
    </row>
    <row r="2680" spans="1:14">
      <c r="A2680" s="8">
        <f t="shared" si="2949"/>
        <v>30023</v>
      </c>
      <c r="B2680" s="8">
        <v>40000</v>
      </c>
      <c r="C2680" s="8" t="s">
        <v>298</v>
      </c>
      <c r="D2680" s="8">
        <f t="shared" si="2952"/>
        <v>40902050</v>
      </c>
      <c r="E2680" s="8"/>
      <c r="F2680" s="8">
        <v>1</v>
      </c>
      <c r="G2680" s="7">
        <v>282000</v>
      </c>
      <c r="H2680" s="8" t="s">
        <v>299</v>
      </c>
      <c r="I2680" s="8">
        <v>6</v>
      </c>
      <c r="J2680" s="8">
        <v>50</v>
      </c>
      <c r="K2680" s="7" t="s">
        <v>312</v>
      </c>
      <c r="L2680" s="8">
        <v>96</v>
      </c>
      <c r="M2680" s="7">
        <f>IF(INDEX([1]equip.xml!$B:$B,MATCH(D2680,[1]equip.xml!$A:$A,0))=0,0,N2680)</f>
        <v>100</v>
      </c>
      <c r="N2680" s="8">
        <v>100</v>
      </c>
    </row>
    <row r="2681" spans="1:14">
      <c r="A2681" s="8">
        <f t="shared" si="2949"/>
        <v>30023</v>
      </c>
      <c r="B2681" s="8">
        <v>40000</v>
      </c>
      <c r="C2681" s="8" t="s">
        <v>298</v>
      </c>
      <c r="D2681" s="8">
        <f t="shared" si="2952"/>
        <v>40902051</v>
      </c>
      <c r="E2681" s="8"/>
      <c r="F2681" s="8">
        <v>1</v>
      </c>
      <c r="G2681" s="7">
        <v>291000</v>
      </c>
      <c r="H2681" s="8" t="s">
        <v>299</v>
      </c>
      <c r="I2681" s="8">
        <v>6</v>
      </c>
      <c r="J2681" s="8">
        <v>50</v>
      </c>
      <c r="K2681" s="7" t="s">
        <v>312</v>
      </c>
      <c r="L2681" s="8">
        <v>96</v>
      </c>
      <c r="M2681" s="7">
        <f>IF(INDEX([1]equip.xml!$B:$B,MATCH(D2681,[1]equip.xml!$A:$A,0))=0,0,N2681)</f>
        <v>100</v>
      </c>
      <c r="N2681" s="8">
        <v>100</v>
      </c>
    </row>
    <row r="2682" spans="1:14">
      <c r="A2682" s="8">
        <f t="shared" si="2949"/>
        <v>30023</v>
      </c>
      <c r="B2682" s="8">
        <v>40000</v>
      </c>
      <c r="C2682" s="8" t="s">
        <v>298</v>
      </c>
      <c r="D2682" s="8">
        <f t="shared" si="2952"/>
        <v>40902060</v>
      </c>
      <c r="E2682" s="8"/>
      <c r="F2682" s="8">
        <v>1</v>
      </c>
      <c r="G2682" s="7">
        <v>282000</v>
      </c>
      <c r="H2682" s="8" t="s">
        <v>299</v>
      </c>
      <c r="I2682" s="8">
        <v>6</v>
      </c>
      <c r="J2682" s="8">
        <v>50</v>
      </c>
      <c r="K2682" s="7" t="s">
        <v>312</v>
      </c>
      <c r="L2682" s="8">
        <v>96</v>
      </c>
      <c r="M2682" s="7">
        <f>IF(INDEX([1]equip.xml!$B:$B,MATCH(D2682,[1]equip.xml!$A:$A,0))=0,0,N2682)</f>
        <v>100</v>
      </c>
      <c r="N2682" s="8">
        <v>100</v>
      </c>
    </row>
    <row r="2683" spans="1:14">
      <c r="A2683" s="8">
        <f t="shared" si="2949"/>
        <v>30023</v>
      </c>
      <c r="B2683" s="8">
        <v>40000</v>
      </c>
      <c r="C2683" s="8" t="s">
        <v>298</v>
      </c>
      <c r="D2683" s="8">
        <f t="shared" si="2952"/>
        <v>40902061</v>
      </c>
      <c r="E2683" s="8"/>
      <c r="F2683" s="8">
        <v>1</v>
      </c>
      <c r="G2683" s="7">
        <v>291000</v>
      </c>
      <c r="H2683" s="8" t="s">
        <v>299</v>
      </c>
      <c r="I2683" s="8">
        <v>6</v>
      </c>
      <c r="J2683" s="8">
        <v>50</v>
      </c>
      <c r="K2683" s="7" t="s">
        <v>312</v>
      </c>
      <c r="L2683" s="8">
        <v>96</v>
      </c>
      <c r="M2683" s="7">
        <f>IF(INDEX([1]equip.xml!$B:$B,MATCH(D2683,[1]equip.xml!$A:$A,0))=0,0,N2683)</f>
        <v>100</v>
      </c>
      <c r="N2683" s="8">
        <v>100</v>
      </c>
    </row>
    <row r="2684" spans="1:14">
      <c r="A2684" s="8">
        <f t="shared" si="2949"/>
        <v>30023</v>
      </c>
      <c r="B2684" s="8">
        <v>40000</v>
      </c>
      <c r="C2684" s="8" t="s">
        <v>298</v>
      </c>
      <c r="D2684" s="8">
        <f t="shared" si="2952"/>
        <v>40903050</v>
      </c>
      <c r="E2684" s="8"/>
      <c r="F2684" s="8">
        <v>1</v>
      </c>
      <c r="G2684" s="7">
        <v>282000</v>
      </c>
      <c r="H2684" s="8" t="s">
        <v>299</v>
      </c>
      <c r="I2684" s="8">
        <v>6</v>
      </c>
      <c r="J2684" s="8">
        <v>50</v>
      </c>
      <c r="K2684" s="7" t="s">
        <v>312</v>
      </c>
      <c r="L2684" s="8">
        <v>96</v>
      </c>
      <c r="M2684" s="7">
        <f>IF(INDEX([1]equip.xml!$B:$B,MATCH(D2684,[1]equip.xml!$A:$A,0))=0,0,N2684)</f>
        <v>100</v>
      </c>
      <c r="N2684" s="8">
        <v>100</v>
      </c>
    </row>
    <row r="2685" spans="1:14">
      <c r="A2685" s="8">
        <f t="shared" si="2949"/>
        <v>30023</v>
      </c>
      <c r="B2685" s="8">
        <v>40000</v>
      </c>
      <c r="C2685" s="8" t="s">
        <v>298</v>
      </c>
      <c r="D2685" s="8">
        <f t="shared" si="2952"/>
        <v>40903051</v>
      </c>
      <c r="E2685" s="8"/>
      <c r="F2685" s="8">
        <v>1</v>
      </c>
      <c r="G2685" s="7">
        <v>291000</v>
      </c>
      <c r="H2685" s="8" t="s">
        <v>299</v>
      </c>
      <c r="I2685" s="8">
        <v>6</v>
      </c>
      <c r="J2685" s="8">
        <v>50</v>
      </c>
      <c r="K2685" s="7" t="s">
        <v>312</v>
      </c>
      <c r="L2685" s="8">
        <v>96</v>
      </c>
      <c r="M2685" s="7">
        <f>IF(INDEX([1]equip.xml!$B:$B,MATCH(D2685,[1]equip.xml!$A:$A,0))=0,0,N2685)</f>
        <v>100</v>
      </c>
      <c r="N2685" s="8">
        <v>100</v>
      </c>
    </row>
    <row r="2686" spans="1:14">
      <c r="A2686" s="8">
        <f t="shared" si="2949"/>
        <v>30023</v>
      </c>
      <c r="B2686" s="8">
        <v>40000</v>
      </c>
      <c r="C2686" s="8" t="s">
        <v>298</v>
      </c>
      <c r="D2686" s="8">
        <f t="shared" si="2952"/>
        <v>40903060</v>
      </c>
      <c r="E2686" s="8"/>
      <c r="F2686" s="8">
        <v>1</v>
      </c>
      <c r="G2686" s="7">
        <v>282000</v>
      </c>
      <c r="H2686" s="8" t="s">
        <v>299</v>
      </c>
      <c r="I2686" s="8">
        <v>6</v>
      </c>
      <c r="J2686" s="8">
        <v>50</v>
      </c>
      <c r="K2686" s="7" t="s">
        <v>312</v>
      </c>
      <c r="L2686" s="8">
        <v>96</v>
      </c>
      <c r="M2686" s="7">
        <f>IF(INDEX([1]equip.xml!$B:$B,MATCH(D2686,[1]equip.xml!$A:$A,0))=0,0,N2686)</f>
        <v>100</v>
      </c>
      <c r="N2686" s="8">
        <v>100</v>
      </c>
    </row>
    <row r="2687" spans="1:14">
      <c r="A2687" s="8">
        <f t="shared" si="2949"/>
        <v>30023</v>
      </c>
      <c r="B2687" s="8">
        <v>40000</v>
      </c>
      <c r="C2687" s="8" t="s">
        <v>298</v>
      </c>
      <c r="D2687" s="8">
        <f t="shared" si="2952"/>
        <v>40903061</v>
      </c>
      <c r="E2687" s="8"/>
      <c r="F2687" s="8">
        <v>1</v>
      </c>
      <c r="G2687" s="7">
        <v>291000</v>
      </c>
      <c r="H2687" s="8" t="s">
        <v>299</v>
      </c>
      <c r="I2687" s="8">
        <v>6</v>
      </c>
      <c r="J2687" s="8">
        <v>50</v>
      </c>
      <c r="K2687" s="7" t="s">
        <v>312</v>
      </c>
      <c r="L2687" s="8">
        <v>96</v>
      </c>
      <c r="M2687" s="7">
        <f>IF(INDEX([1]equip.xml!$B:$B,MATCH(D2687,[1]equip.xml!$A:$A,0))=0,0,N2687)</f>
        <v>100</v>
      </c>
      <c r="N2687" s="8">
        <v>100</v>
      </c>
    </row>
    <row r="2688" spans="1:14">
      <c r="A2688" s="8">
        <f t="shared" si="2949"/>
        <v>30023</v>
      </c>
      <c r="B2688" s="8">
        <v>40000</v>
      </c>
      <c r="C2688" s="8" t="s">
        <v>298</v>
      </c>
      <c r="D2688" s="8">
        <f t="shared" si="2952"/>
        <v>40900040</v>
      </c>
      <c r="E2688" s="8"/>
      <c r="F2688" s="8">
        <v>1</v>
      </c>
      <c r="G2688" s="7">
        <v>282000</v>
      </c>
      <c r="H2688" s="8" t="s">
        <v>299</v>
      </c>
      <c r="I2688" s="8">
        <v>6</v>
      </c>
      <c r="J2688" s="8">
        <v>50</v>
      </c>
      <c r="K2688" s="7" t="s">
        <v>312</v>
      </c>
      <c r="L2688" s="8">
        <v>96</v>
      </c>
      <c r="M2688" s="7">
        <f>IF(INDEX([1]equip.xml!$B:$B,MATCH(D2688,[1]equip.xml!$A:$A,0))=0,0,N2688)</f>
        <v>100</v>
      </c>
      <c r="N2688" s="8">
        <v>100</v>
      </c>
    </row>
    <row r="2689" spans="1:14">
      <c r="A2689" s="8">
        <f t="shared" si="2949"/>
        <v>30023</v>
      </c>
      <c r="B2689" s="8">
        <v>40000</v>
      </c>
      <c r="C2689" s="8" t="s">
        <v>298</v>
      </c>
      <c r="D2689" s="8">
        <f t="shared" si="2952"/>
        <v>40900041</v>
      </c>
      <c r="E2689" s="8"/>
      <c r="F2689" s="8">
        <v>1</v>
      </c>
      <c r="G2689" s="7">
        <v>291000</v>
      </c>
      <c r="H2689" s="8" t="s">
        <v>299</v>
      </c>
      <c r="I2689" s="8">
        <v>6</v>
      </c>
      <c r="J2689" s="8">
        <v>50</v>
      </c>
      <c r="K2689" s="7" t="s">
        <v>312</v>
      </c>
      <c r="L2689" s="8">
        <v>96</v>
      </c>
      <c r="M2689" s="7">
        <f>IF(INDEX([1]equip.xml!$B:$B,MATCH(D2689,[1]equip.xml!$A:$A,0))=0,0,N2689)</f>
        <v>100</v>
      </c>
      <c r="N2689" s="8">
        <v>100</v>
      </c>
    </row>
    <row r="2690" spans="1:14">
      <c r="A2690" s="8">
        <f t="shared" ref="A2690:A2753" si="2953">A2162+10000</f>
        <v>30023</v>
      </c>
      <c r="B2690" s="8">
        <v>40000</v>
      </c>
      <c r="C2690" s="8" t="s">
        <v>298</v>
      </c>
      <c r="D2690" s="8">
        <f t="shared" si="2952"/>
        <v>40900070</v>
      </c>
      <c r="E2690" s="8"/>
      <c r="F2690" s="8">
        <v>1</v>
      </c>
      <c r="G2690" s="7">
        <v>282000</v>
      </c>
      <c r="H2690" s="8" t="s">
        <v>299</v>
      </c>
      <c r="I2690" s="8">
        <v>6</v>
      </c>
      <c r="J2690" s="8">
        <v>50</v>
      </c>
      <c r="K2690" s="7" t="s">
        <v>312</v>
      </c>
      <c r="L2690" s="8">
        <v>96</v>
      </c>
      <c r="M2690" s="7">
        <f>IF(INDEX([1]equip.xml!$B:$B,MATCH(D2690,[1]equip.xml!$A:$A,0))=0,0,N2690)</f>
        <v>100</v>
      </c>
      <c r="N2690" s="8">
        <v>100</v>
      </c>
    </row>
    <row r="2691" spans="1:14">
      <c r="A2691" s="8">
        <f t="shared" si="2953"/>
        <v>30023</v>
      </c>
      <c r="B2691" s="8">
        <v>40000</v>
      </c>
      <c r="C2691" s="8" t="s">
        <v>298</v>
      </c>
      <c r="D2691" s="8">
        <f t="shared" si="2952"/>
        <v>40900071</v>
      </c>
      <c r="E2691" s="8"/>
      <c r="F2691" s="8">
        <v>1</v>
      </c>
      <c r="G2691" s="7">
        <v>291000</v>
      </c>
      <c r="H2691" s="8" t="s">
        <v>299</v>
      </c>
      <c r="I2691" s="8">
        <v>6</v>
      </c>
      <c r="J2691" s="8">
        <v>50</v>
      </c>
      <c r="K2691" s="7" t="s">
        <v>312</v>
      </c>
      <c r="L2691" s="8">
        <v>96</v>
      </c>
      <c r="M2691" s="7">
        <f>IF(INDEX([1]equip.xml!$B:$B,MATCH(D2691,[1]equip.xml!$A:$A,0))=0,0,N2691)</f>
        <v>100</v>
      </c>
      <c r="N2691" s="8">
        <v>100</v>
      </c>
    </row>
    <row r="2692" spans="1:14">
      <c r="A2692" s="8">
        <f t="shared" si="2953"/>
        <v>30023</v>
      </c>
      <c r="B2692" s="8">
        <v>40000</v>
      </c>
      <c r="C2692" s="8" t="s">
        <v>298</v>
      </c>
      <c r="D2692" s="8">
        <f t="shared" si="2952"/>
        <v>40950010</v>
      </c>
      <c r="E2692" s="8"/>
      <c r="F2692" s="8">
        <v>1</v>
      </c>
      <c r="G2692" s="7">
        <v>300000</v>
      </c>
      <c r="H2692" s="8" t="s">
        <v>299</v>
      </c>
      <c r="I2692" s="8">
        <v>6</v>
      </c>
      <c r="J2692" s="8">
        <v>50</v>
      </c>
      <c r="K2692" s="7" t="s">
        <v>312</v>
      </c>
      <c r="L2692" s="8">
        <v>96</v>
      </c>
      <c r="M2692" s="7">
        <f>IF(INDEX([1]equip.xml!$B:$B,MATCH(D2692,[1]equip.xml!$A:$A,0))=0,0,N2692)</f>
        <v>5</v>
      </c>
      <c r="N2692" s="8">
        <v>5</v>
      </c>
    </row>
    <row r="2693" spans="1:14">
      <c r="A2693" s="8">
        <f t="shared" si="2953"/>
        <v>30023</v>
      </c>
      <c r="B2693" s="8">
        <v>40000</v>
      </c>
      <c r="C2693" s="8" t="s">
        <v>298</v>
      </c>
      <c r="D2693" s="8">
        <f t="shared" si="2952"/>
        <v>40950020</v>
      </c>
      <c r="E2693" s="8"/>
      <c r="F2693" s="8">
        <v>1</v>
      </c>
      <c r="G2693" s="7">
        <v>300000</v>
      </c>
      <c r="H2693" s="8" t="s">
        <v>299</v>
      </c>
      <c r="I2693" s="8">
        <v>6</v>
      </c>
      <c r="J2693" s="8">
        <v>50</v>
      </c>
      <c r="K2693" s="7" t="s">
        <v>312</v>
      </c>
      <c r="L2693" s="8">
        <v>96</v>
      </c>
      <c r="M2693" s="7">
        <f>IF(INDEX([1]equip.xml!$B:$B,MATCH(D2693,[1]equip.xml!$A:$A,0))=0,0,N2693)</f>
        <v>5</v>
      </c>
      <c r="N2693" s="8">
        <v>5</v>
      </c>
    </row>
    <row r="2694" spans="1:14">
      <c r="A2694" s="8">
        <f t="shared" si="2953"/>
        <v>30023</v>
      </c>
      <c r="B2694" s="8">
        <v>40000</v>
      </c>
      <c r="C2694" s="8" t="s">
        <v>298</v>
      </c>
      <c r="D2694" s="8">
        <f t="shared" si="2952"/>
        <v>40950030</v>
      </c>
      <c r="E2694" s="8"/>
      <c r="F2694" s="8">
        <v>1</v>
      </c>
      <c r="G2694" s="7">
        <v>300000</v>
      </c>
      <c r="H2694" s="8" t="s">
        <v>299</v>
      </c>
      <c r="I2694" s="8">
        <v>6</v>
      </c>
      <c r="J2694" s="8">
        <v>50</v>
      </c>
      <c r="K2694" s="7" t="s">
        <v>312</v>
      </c>
      <c r="L2694" s="8">
        <v>96</v>
      </c>
      <c r="M2694" s="7">
        <f>IF(INDEX([1]equip.xml!$B:$B,MATCH(D2694,[1]equip.xml!$A:$A,0))=0,0,N2694)</f>
        <v>5</v>
      </c>
      <c r="N2694" s="8">
        <v>5</v>
      </c>
    </row>
    <row r="2695" spans="1:14">
      <c r="A2695" s="8">
        <f t="shared" si="2953"/>
        <v>30023</v>
      </c>
      <c r="B2695" s="8">
        <v>40000</v>
      </c>
      <c r="C2695" s="8" t="s">
        <v>298</v>
      </c>
      <c r="D2695" s="8">
        <f t="shared" si="2952"/>
        <v>40950080</v>
      </c>
      <c r="E2695" s="8"/>
      <c r="F2695" s="8">
        <v>1</v>
      </c>
      <c r="G2695" s="7">
        <v>300000</v>
      </c>
      <c r="H2695" s="8" t="s">
        <v>299</v>
      </c>
      <c r="I2695" s="8">
        <v>6</v>
      </c>
      <c r="J2695" s="8">
        <v>50</v>
      </c>
      <c r="K2695" s="7" t="s">
        <v>312</v>
      </c>
      <c r="L2695" s="8">
        <v>96</v>
      </c>
      <c r="M2695" s="7">
        <f>IF(INDEX([1]equip.xml!$B:$B,MATCH(D2695,[1]equip.xml!$A:$A,0))=0,0,N2695)</f>
        <v>5</v>
      </c>
      <c r="N2695" s="8">
        <v>5</v>
      </c>
    </row>
    <row r="2696" spans="1:14">
      <c r="A2696" s="8">
        <f t="shared" si="2953"/>
        <v>30023</v>
      </c>
      <c r="B2696" s="8">
        <v>40000</v>
      </c>
      <c r="C2696" s="8" t="s">
        <v>298</v>
      </c>
      <c r="D2696" s="8">
        <f t="shared" si="2952"/>
        <v>40950090</v>
      </c>
      <c r="E2696" s="8"/>
      <c r="F2696" s="8">
        <v>1</v>
      </c>
      <c r="G2696" s="7">
        <v>300000</v>
      </c>
      <c r="H2696" s="8" t="s">
        <v>299</v>
      </c>
      <c r="I2696" s="8">
        <v>6</v>
      </c>
      <c r="J2696" s="8">
        <v>50</v>
      </c>
      <c r="K2696" s="7" t="s">
        <v>312</v>
      </c>
      <c r="L2696" s="8">
        <v>96</v>
      </c>
      <c r="M2696" s="7">
        <f>IF(INDEX([1]equip.xml!$B:$B,MATCH(D2696,[1]equip.xml!$A:$A,0))=0,0,N2696)</f>
        <v>5</v>
      </c>
      <c r="N2696" s="8">
        <v>5</v>
      </c>
    </row>
    <row r="2697" spans="1:14">
      <c r="A2697" s="8">
        <f t="shared" si="2953"/>
        <v>30023</v>
      </c>
      <c r="B2697" s="8">
        <v>40000</v>
      </c>
      <c r="C2697" s="8" t="s">
        <v>298</v>
      </c>
      <c r="D2697" s="8">
        <f t="shared" si="2952"/>
        <v>40950100</v>
      </c>
      <c r="E2697" s="8"/>
      <c r="F2697" s="8">
        <v>1</v>
      </c>
      <c r="G2697" s="7">
        <v>300000</v>
      </c>
      <c r="H2697" s="8" t="s">
        <v>299</v>
      </c>
      <c r="I2697" s="8">
        <v>6</v>
      </c>
      <c r="J2697" s="8">
        <v>50</v>
      </c>
      <c r="K2697" s="7" t="s">
        <v>312</v>
      </c>
      <c r="L2697" s="8">
        <v>96</v>
      </c>
      <c r="M2697" s="7">
        <f>IF(INDEX([1]equip.xml!$B:$B,MATCH(D2697,[1]equip.xml!$A:$A,0))=0,0,N2697)</f>
        <v>5</v>
      </c>
      <c r="N2697" s="8">
        <v>5</v>
      </c>
    </row>
    <row r="2698" spans="1:14">
      <c r="A2698" s="8">
        <f t="shared" si="2953"/>
        <v>30023</v>
      </c>
      <c r="B2698" s="8">
        <v>40000</v>
      </c>
      <c r="C2698" s="8" t="s">
        <v>298</v>
      </c>
      <c r="D2698" s="8">
        <f t="shared" si="2952"/>
        <v>40951050</v>
      </c>
      <c r="E2698" s="8"/>
      <c r="F2698" s="8">
        <v>1</v>
      </c>
      <c r="G2698" s="7">
        <v>300000</v>
      </c>
      <c r="H2698" s="8" t="s">
        <v>299</v>
      </c>
      <c r="I2698" s="8">
        <v>6</v>
      </c>
      <c r="J2698" s="8">
        <v>50</v>
      </c>
      <c r="K2698" s="7" t="s">
        <v>312</v>
      </c>
      <c r="L2698" s="8">
        <v>96</v>
      </c>
      <c r="M2698" s="7">
        <f>IF(INDEX([1]equip.xml!$B:$B,MATCH(D2698,[1]equip.xml!$A:$A,0))=0,0,N2698)</f>
        <v>5</v>
      </c>
      <c r="N2698" s="8">
        <v>5</v>
      </c>
    </row>
    <row r="2699" spans="1:14">
      <c r="A2699" s="8">
        <f t="shared" si="2953"/>
        <v>30023</v>
      </c>
      <c r="B2699" s="8">
        <v>40000</v>
      </c>
      <c r="C2699" s="8" t="s">
        <v>298</v>
      </c>
      <c r="D2699" s="8">
        <f t="shared" si="2952"/>
        <v>40951051</v>
      </c>
      <c r="E2699" s="8"/>
      <c r="F2699" s="8">
        <v>1</v>
      </c>
      <c r="G2699" s="7">
        <v>309000</v>
      </c>
      <c r="H2699" s="8" t="s">
        <v>299</v>
      </c>
      <c r="I2699" s="8">
        <v>6</v>
      </c>
      <c r="J2699" s="8">
        <v>50</v>
      </c>
      <c r="K2699" s="7" t="s">
        <v>312</v>
      </c>
      <c r="L2699" s="8">
        <v>96</v>
      </c>
      <c r="M2699" s="7">
        <f>IF(INDEX([1]equip.xml!$B:$B,MATCH(D2699,[1]equip.xml!$A:$A,0))=0,0,N2699)</f>
        <v>5</v>
      </c>
      <c r="N2699" s="8">
        <v>5</v>
      </c>
    </row>
    <row r="2700" spans="1:14">
      <c r="A2700" s="8">
        <f t="shared" si="2953"/>
        <v>30023</v>
      </c>
      <c r="B2700" s="8">
        <v>40000</v>
      </c>
      <c r="C2700" s="8" t="s">
        <v>298</v>
      </c>
      <c r="D2700" s="8">
        <f t="shared" si="2952"/>
        <v>40951060</v>
      </c>
      <c r="E2700" s="8"/>
      <c r="F2700" s="8">
        <v>1</v>
      </c>
      <c r="G2700" s="7">
        <v>300000</v>
      </c>
      <c r="H2700" s="8" t="s">
        <v>299</v>
      </c>
      <c r="I2700" s="8">
        <v>6</v>
      </c>
      <c r="J2700" s="8">
        <v>50</v>
      </c>
      <c r="K2700" s="7" t="s">
        <v>312</v>
      </c>
      <c r="L2700" s="8">
        <v>96</v>
      </c>
      <c r="M2700" s="7">
        <f>IF(INDEX([1]equip.xml!$B:$B,MATCH(D2700,[1]equip.xml!$A:$A,0))=0,0,N2700)</f>
        <v>5</v>
      </c>
      <c r="N2700" s="8">
        <v>5</v>
      </c>
    </row>
    <row r="2701" spans="1:14">
      <c r="A2701" s="8">
        <f t="shared" si="2953"/>
        <v>30023</v>
      </c>
      <c r="B2701" s="8">
        <v>40000</v>
      </c>
      <c r="C2701" s="8" t="s">
        <v>298</v>
      </c>
      <c r="D2701" s="8">
        <f t="shared" si="2952"/>
        <v>40951061</v>
      </c>
      <c r="E2701" s="8"/>
      <c r="F2701" s="8">
        <v>1</v>
      </c>
      <c r="G2701" s="7">
        <v>309000</v>
      </c>
      <c r="H2701" s="8" t="s">
        <v>299</v>
      </c>
      <c r="I2701" s="8">
        <v>6</v>
      </c>
      <c r="J2701" s="8">
        <v>50</v>
      </c>
      <c r="K2701" s="7" t="s">
        <v>312</v>
      </c>
      <c r="L2701" s="8">
        <v>96</v>
      </c>
      <c r="M2701" s="7">
        <f>IF(INDEX([1]equip.xml!$B:$B,MATCH(D2701,[1]equip.xml!$A:$A,0))=0,0,N2701)</f>
        <v>5</v>
      </c>
      <c r="N2701" s="8">
        <v>5</v>
      </c>
    </row>
    <row r="2702" spans="1:14">
      <c r="A2702" s="8">
        <f t="shared" si="2953"/>
        <v>30023</v>
      </c>
      <c r="B2702" s="8">
        <v>40000</v>
      </c>
      <c r="C2702" s="8" t="s">
        <v>298</v>
      </c>
      <c r="D2702" s="8">
        <f t="shared" si="2952"/>
        <v>40952050</v>
      </c>
      <c r="E2702" s="8"/>
      <c r="F2702" s="8">
        <v>1</v>
      </c>
      <c r="G2702" s="7">
        <v>300000</v>
      </c>
      <c r="H2702" s="8" t="s">
        <v>299</v>
      </c>
      <c r="I2702" s="8">
        <v>6</v>
      </c>
      <c r="J2702" s="8">
        <v>50</v>
      </c>
      <c r="K2702" s="7" t="s">
        <v>312</v>
      </c>
      <c r="L2702" s="8">
        <v>96</v>
      </c>
      <c r="M2702" s="7">
        <f>IF(INDEX([1]equip.xml!$B:$B,MATCH(D2702,[1]equip.xml!$A:$A,0))=0,0,N2702)</f>
        <v>5</v>
      </c>
      <c r="N2702" s="8">
        <v>5</v>
      </c>
    </row>
    <row r="2703" spans="1:14">
      <c r="A2703" s="8">
        <f t="shared" si="2953"/>
        <v>30023</v>
      </c>
      <c r="B2703" s="8">
        <v>40000</v>
      </c>
      <c r="C2703" s="8" t="s">
        <v>298</v>
      </c>
      <c r="D2703" s="8">
        <f t="shared" si="2952"/>
        <v>40952051</v>
      </c>
      <c r="E2703" s="8"/>
      <c r="F2703" s="8">
        <v>1</v>
      </c>
      <c r="G2703" s="7">
        <v>309000</v>
      </c>
      <c r="H2703" s="8" t="s">
        <v>299</v>
      </c>
      <c r="I2703" s="8">
        <v>6</v>
      </c>
      <c r="J2703" s="8">
        <v>50</v>
      </c>
      <c r="K2703" s="7" t="s">
        <v>312</v>
      </c>
      <c r="L2703" s="8">
        <v>96</v>
      </c>
      <c r="M2703" s="7">
        <f>IF(INDEX([1]equip.xml!$B:$B,MATCH(D2703,[1]equip.xml!$A:$A,0))=0,0,N2703)</f>
        <v>5</v>
      </c>
      <c r="N2703" s="8">
        <v>5</v>
      </c>
    </row>
    <row r="2704" spans="1:14">
      <c r="A2704" s="8">
        <f t="shared" si="2953"/>
        <v>30023</v>
      </c>
      <c r="B2704" s="8">
        <v>40000</v>
      </c>
      <c r="C2704" s="8" t="s">
        <v>298</v>
      </c>
      <c r="D2704" s="8">
        <f t="shared" si="2952"/>
        <v>40952060</v>
      </c>
      <c r="E2704" s="8"/>
      <c r="F2704" s="8">
        <v>1</v>
      </c>
      <c r="G2704" s="7">
        <v>300000</v>
      </c>
      <c r="H2704" s="8" t="s">
        <v>299</v>
      </c>
      <c r="I2704" s="8">
        <v>6</v>
      </c>
      <c r="J2704" s="8">
        <v>50</v>
      </c>
      <c r="K2704" s="7" t="s">
        <v>312</v>
      </c>
      <c r="L2704" s="8">
        <v>96</v>
      </c>
      <c r="M2704" s="7">
        <f>IF(INDEX([1]equip.xml!$B:$B,MATCH(D2704,[1]equip.xml!$A:$A,0))=0,0,N2704)</f>
        <v>5</v>
      </c>
      <c r="N2704" s="8">
        <v>5</v>
      </c>
    </row>
    <row r="2705" spans="1:14">
      <c r="A2705" s="8">
        <f t="shared" si="2953"/>
        <v>30023</v>
      </c>
      <c r="B2705" s="8">
        <v>40000</v>
      </c>
      <c r="C2705" s="8" t="s">
        <v>298</v>
      </c>
      <c r="D2705" s="8">
        <f t="shared" si="2952"/>
        <v>40952061</v>
      </c>
      <c r="E2705" s="8"/>
      <c r="F2705" s="8">
        <v>1</v>
      </c>
      <c r="G2705" s="7">
        <v>309000</v>
      </c>
      <c r="H2705" s="8" t="s">
        <v>299</v>
      </c>
      <c r="I2705" s="8">
        <v>6</v>
      </c>
      <c r="J2705" s="8">
        <v>50</v>
      </c>
      <c r="K2705" s="7" t="s">
        <v>312</v>
      </c>
      <c r="L2705" s="8">
        <v>96</v>
      </c>
      <c r="M2705" s="7">
        <f>IF(INDEX([1]equip.xml!$B:$B,MATCH(D2705,[1]equip.xml!$A:$A,0))=0,0,N2705)</f>
        <v>5</v>
      </c>
      <c r="N2705" s="8">
        <v>5</v>
      </c>
    </row>
    <row r="2706" spans="1:14">
      <c r="A2706" s="8">
        <f t="shared" si="2953"/>
        <v>30023</v>
      </c>
      <c r="B2706" s="8">
        <v>40000</v>
      </c>
      <c r="C2706" s="8" t="s">
        <v>298</v>
      </c>
      <c r="D2706" s="8">
        <f t="shared" si="2952"/>
        <v>40953050</v>
      </c>
      <c r="E2706" s="8"/>
      <c r="F2706" s="8">
        <v>1</v>
      </c>
      <c r="G2706" s="7">
        <v>300000</v>
      </c>
      <c r="H2706" s="8" t="s">
        <v>299</v>
      </c>
      <c r="I2706" s="8">
        <v>6</v>
      </c>
      <c r="J2706" s="8">
        <v>50</v>
      </c>
      <c r="K2706" s="7" t="s">
        <v>312</v>
      </c>
      <c r="L2706" s="8">
        <v>96</v>
      </c>
      <c r="M2706" s="7">
        <f>IF(INDEX([1]equip.xml!$B:$B,MATCH(D2706,[1]equip.xml!$A:$A,0))=0,0,N2706)</f>
        <v>5</v>
      </c>
      <c r="N2706" s="8">
        <v>5</v>
      </c>
    </row>
    <row r="2707" spans="1:14">
      <c r="A2707" s="8">
        <f t="shared" si="2953"/>
        <v>30023</v>
      </c>
      <c r="B2707" s="8">
        <v>40000</v>
      </c>
      <c r="C2707" s="8" t="s">
        <v>298</v>
      </c>
      <c r="D2707" s="8">
        <f t="shared" si="2952"/>
        <v>40953051</v>
      </c>
      <c r="E2707" s="8"/>
      <c r="F2707" s="8">
        <v>1</v>
      </c>
      <c r="G2707" s="7">
        <v>309000</v>
      </c>
      <c r="H2707" s="8" t="s">
        <v>299</v>
      </c>
      <c r="I2707" s="8">
        <v>6</v>
      </c>
      <c r="J2707" s="8">
        <v>50</v>
      </c>
      <c r="K2707" s="7" t="s">
        <v>312</v>
      </c>
      <c r="L2707" s="8">
        <v>96</v>
      </c>
      <c r="M2707" s="7">
        <f>IF(INDEX([1]equip.xml!$B:$B,MATCH(D2707,[1]equip.xml!$A:$A,0))=0,0,N2707)</f>
        <v>5</v>
      </c>
      <c r="N2707" s="8">
        <v>5</v>
      </c>
    </row>
    <row r="2708" spans="1:14">
      <c r="A2708" s="8">
        <f t="shared" si="2953"/>
        <v>30023</v>
      </c>
      <c r="B2708" s="8">
        <v>40000</v>
      </c>
      <c r="C2708" s="8" t="s">
        <v>298</v>
      </c>
      <c r="D2708" s="8">
        <f t="shared" si="2952"/>
        <v>40953060</v>
      </c>
      <c r="E2708" s="8"/>
      <c r="F2708" s="8">
        <v>1</v>
      </c>
      <c r="G2708" s="7">
        <v>300000</v>
      </c>
      <c r="H2708" s="8" t="s">
        <v>299</v>
      </c>
      <c r="I2708" s="8">
        <v>6</v>
      </c>
      <c r="J2708" s="8">
        <v>50</v>
      </c>
      <c r="K2708" s="7" t="s">
        <v>312</v>
      </c>
      <c r="L2708" s="8">
        <v>96</v>
      </c>
      <c r="M2708" s="7">
        <f>IF(INDEX([1]equip.xml!$B:$B,MATCH(D2708,[1]equip.xml!$A:$A,0))=0,0,N2708)</f>
        <v>5</v>
      </c>
      <c r="N2708" s="8">
        <v>5</v>
      </c>
    </row>
    <row r="2709" spans="1:14">
      <c r="A2709" s="8">
        <f t="shared" si="2953"/>
        <v>30023</v>
      </c>
      <c r="B2709" s="8">
        <v>40000</v>
      </c>
      <c r="C2709" s="8" t="s">
        <v>298</v>
      </c>
      <c r="D2709" s="8">
        <f t="shared" si="2952"/>
        <v>40953061</v>
      </c>
      <c r="E2709" s="8"/>
      <c r="F2709" s="8">
        <v>1</v>
      </c>
      <c r="G2709" s="7">
        <v>309000</v>
      </c>
      <c r="H2709" s="8" t="s">
        <v>299</v>
      </c>
      <c r="I2709" s="8">
        <v>6</v>
      </c>
      <c r="J2709" s="8">
        <v>50</v>
      </c>
      <c r="K2709" s="7" t="s">
        <v>312</v>
      </c>
      <c r="L2709" s="8">
        <v>96</v>
      </c>
      <c r="M2709" s="7">
        <f>IF(INDEX([1]equip.xml!$B:$B,MATCH(D2709,[1]equip.xml!$A:$A,0))=0,0,N2709)</f>
        <v>5</v>
      </c>
      <c r="N2709" s="8">
        <v>5</v>
      </c>
    </row>
    <row r="2710" spans="1:14">
      <c r="A2710" s="8">
        <f t="shared" si="2953"/>
        <v>30023</v>
      </c>
      <c r="B2710" s="8">
        <v>40000</v>
      </c>
      <c r="C2710" s="8" t="s">
        <v>298</v>
      </c>
      <c r="D2710" s="8">
        <f t="shared" si="2952"/>
        <v>40950040</v>
      </c>
      <c r="E2710" s="8"/>
      <c r="F2710" s="8">
        <v>1</v>
      </c>
      <c r="G2710" s="7">
        <v>300000</v>
      </c>
      <c r="H2710" s="8" t="s">
        <v>299</v>
      </c>
      <c r="I2710" s="8">
        <v>6</v>
      </c>
      <c r="J2710" s="8">
        <v>50</v>
      </c>
      <c r="K2710" s="7" t="s">
        <v>312</v>
      </c>
      <c r="L2710" s="8">
        <v>96</v>
      </c>
      <c r="M2710" s="7">
        <f>IF(INDEX([1]equip.xml!$B:$B,MATCH(D2710,[1]equip.xml!$A:$A,0))=0,0,N2710)</f>
        <v>5</v>
      </c>
      <c r="N2710" s="8">
        <v>5</v>
      </c>
    </row>
    <row r="2711" spans="1:14">
      <c r="A2711" s="8">
        <f t="shared" si="2953"/>
        <v>30023</v>
      </c>
      <c r="B2711" s="8">
        <v>40000</v>
      </c>
      <c r="C2711" s="8" t="s">
        <v>298</v>
      </c>
      <c r="D2711" s="8">
        <f t="shared" si="2952"/>
        <v>40950041</v>
      </c>
      <c r="E2711" s="8"/>
      <c r="F2711" s="8">
        <v>1</v>
      </c>
      <c r="G2711" s="7">
        <v>309000</v>
      </c>
      <c r="H2711" s="8" t="s">
        <v>299</v>
      </c>
      <c r="I2711" s="8">
        <v>6</v>
      </c>
      <c r="J2711" s="8">
        <v>50</v>
      </c>
      <c r="K2711" s="7" t="s">
        <v>312</v>
      </c>
      <c r="L2711" s="8">
        <v>96</v>
      </c>
      <c r="M2711" s="7">
        <f>IF(INDEX([1]equip.xml!$B:$B,MATCH(D2711,[1]equip.xml!$A:$A,0))=0,0,N2711)</f>
        <v>5</v>
      </c>
      <c r="N2711" s="8">
        <v>5</v>
      </c>
    </row>
    <row r="2712" spans="1:14">
      <c r="A2712" s="8">
        <f t="shared" si="2953"/>
        <v>30023</v>
      </c>
      <c r="B2712" s="8">
        <v>40000</v>
      </c>
      <c r="C2712" s="8" t="s">
        <v>298</v>
      </c>
      <c r="D2712" s="8">
        <f t="shared" si="2952"/>
        <v>40950070</v>
      </c>
      <c r="E2712" s="8"/>
      <c r="F2712" s="8">
        <v>1</v>
      </c>
      <c r="G2712" s="7">
        <v>300000</v>
      </c>
      <c r="H2712" s="8" t="s">
        <v>299</v>
      </c>
      <c r="I2712" s="8">
        <v>6</v>
      </c>
      <c r="J2712" s="8">
        <v>50</v>
      </c>
      <c r="K2712" s="7" t="s">
        <v>312</v>
      </c>
      <c r="L2712" s="8">
        <v>96</v>
      </c>
      <c r="M2712" s="7">
        <f>IF(INDEX([1]equip.xml!$B:$B,MATCH(D2712,[1]equip.xml!$A:$A,0))=0,0,N2712)</f>
        <v>5</v>
      </c>
      <c r="N2712" s="8">
        <v>5</v>
      </c>
    </row>
    <row r="2713" spans="1:14">
      <c r="A2713" s="8">
        <f t="shared" si="2953"/>
        <v>30023</v>
      </c>
      <c r="B2713" s="8">
        <v>40000</v>
      </c>
      <c r="C2713" s="8" t="s">
        <v>298</v>
      </c>
      <c r="D2713" s="8">
        <f t="shared" si="2952"/>
        <v>40950071</v>
      </c>
      <c r="E2713" s="8"/>
      <c r="F2713" s="8">
        <v>1</v>
      </c>
      <c r="G2713" s="7">
        <v>309000</v>
      </c>
      <c r="H2713" s="8" t="s">
        <v>299</v>
      </c>
      <c r="I2713" s="8">
        <v>6</v>
      </c>
      <c r="J2713" s="8">
        <v>50</v>
      </c>
      <c r="K2713" s="7" t="s">
        <v>312</v>
      </c>
      <c r="L2713" s="8">
        <v>96</v>
      </c>
      <c r="M2713" s="7">
        <f>IF(INDEX([1]equip.xml!$B:$B,MATCH(D2713,[1]equip.xml!$A:$A,0))=0,0,N2713)</f>
        <v>5</v>
      </c>
      <c r="N2713" s="8">
        <v>5</v>
      </c>
    </row>
    <row r="2714" spans="1:14">
      <c r="A2714" s="8">
        <f t="shared" si="2953"/>
        <v>30023</v>
      </c>
      <c r="B2714" s="8">
        <v>40000</v>
      </c>
      <c r="C2714" s="8" t="s">
        <v>298</v>
      </c>
      <c r="D2714" s="7">
        <f>D2670+10000005</f>
        <v>50900015</v>
      </c>
      <c r="E2714" s="8"/>
      <c r="F2714" s="8">
        <v>1</v>
      </c>
      <c r="G2714" s="7">
        <v>564000</v>
      </c>
      <c r="H2714" s="8" t="s">
        <v>299</v>
      </c>
      <c r="I2714" s="8">
        <v>1</v>
      </c>
      <c r="J2714" s="8">
        <v>240</v>
      </c>
      <c r="K2714" s="7" t="s">
        <v>312</v>
      </c>
      <c r="L2714" s="8">
        <v>96</v>
      </c>
      <c r="M2714" s="7">
        <f>IF(INDEX([1]equip.xml!$B:$B,MATCH(D2714,[1]equip.xml!$A:$A,0))=0,0,N2714)</f>
        <v>200</v>
      </c>
      <c r="N2714" s="8">
        <f>N2670*2</f>
        <v>200</v>
      </c>
    </row>
    <row r="2715" spans="1:14">
      <c r="A2715" s="8">
        <f t="shared" si="2953"/>
        <v>30023</v>
      </c>
      <c r="B2715" s="8">
        <v>40000</v>
      </c>
      <c r="C2715" s="8" t="s">
        <v>298</v>
      </c>
      <c r="D2715" s="7">
        <f t="shared" ref="D2715:D2757" si="2954">D2671+10000005</f>
        <v>50900025</v>
      </c>
      <c r="E2715" s="8"/>
      <c r="F2715" s="8">
        <v>1</v>
      </c>
      <c r="G2715" s="7">
        <v>564000</v>
      </c>
      <c r="H2715" s="8" t="s">
        <v>299</v>
      </c>
      <c r="I2715" s="8">
        <v>1</v>
      </c>
      <c r="J2715" s="8">
        <v>240</v>
      </c>
      <c r="K2715" s="7" t="s">
        <v>312</v>
      </c>
      <c r="L2715" s="8">
        <v>96</v>
      </c>
      <c r="M2715" s="7">
        <f>IF(INDEX([1]equip.xml!$B:$B,MATCH(D2715,[1]equip.xml!$A:$A,0))=0,0,N2715)</f>
        <v>200</v>
      </c>
      <c r="N2715" s="8">
        <f t="shared" ref="N2715:N2757" si="2955">N2671*2</f>
        <v>200</v>
      </c>
    </row>
    <row r="2716" spans="1:14">
      <c r="A2716" s="8">
        <f t="shared" si="2953"/>
        <v>30023</v>
      </c>
      <c r="B2716" s="8">
        <v>40000</v>
      </c>
      <c r="C2716" s="8" t="s">
        <v>298</v>
      </c>
      <c r="D2716" s="7">
        <f t="shared" si="2954"/>
        <v>50900035</v>
      </c>
      <c r="E2716" s="8"/>
      <c r="F2716" s="8">
        <v>1</v>
      </c>
      <c r="G2716" s="7">
        <v>564000</v>
      </c>
      <c r="H2716" s="8" t="s">
        <v>299</v>
      </c>
      <c r="I2716" s="8">
        <v>1</v>
      </c>
      <c r="J2716" s="8">
        <v>240</v>
      </c>
      <c r="K2716" s="7" t="s">
        <v>312</v>
      </c>
      <c r="L2716" s="8">
        <v>96</v>
      </c>
      <c r="M2716" s="7">
        <f>IF(INDEX([1]equip.xml!$B:$B,MATCH(D2716,[1]equip.xml!$A:$A,0))=0,0,N2716)</f>
        <v>200</v>
      </c>
      <c r="N2716" s="8">
        <f t="shared" si="2955"/>
        <v>200</v>
      </c>
    </row>
    <row r="2717" spans="1:14">
      <c r="A2717" s="8">
        <f t="shared" si="2953"/>
        <v>30023</v>
      </c>
      <c r="B2717" s="8">
        <v>40000</v>
      </c>
      <c r="C2717" s="8" t="s">
        <v>298</v>
      </c>
      <c r="D2717" s="7">
        <f t="shared" si="2954"/>
        <v>50900085</v>
      </c>
      <c r="E2717" s="8"/>
      <c r="F2717" s="8">
        <v>1</v>
      </c>
      <c r="G2717" s="7">
        <v>564000</v>
      </c>
      <c r="H2717" s="8" t="s">
        <v>299</v>
      </c>
      <c r="I2717" s="8">
        <v>1</v>
      </c>
      <c r="J2717" s="8">
        <v>240</v>
      </c>
      <c r="K2717" s="7" t="s">
        <v>312</v>
      </c>
      <c r="L2717" s="8">
        <v>96</v>
      </c>
      <c r="M2717" s="7">
        <f>IF(INDEX([1]equip.xml!$B:$B,MATCH(D2717,[1]equip.xml!$A:$A,0))=0,0,N2717)</f>
        <v>200</v>
      </c>
      <c r="N2717" s="8">
        <f t="shared" si="2955"/>
        <v>200</v>
      </c>
    </row>
    <row r="2718" spans="1:14">
      <c r="A2718" s="8">
        <f t="shared" si="2953"/>
        <v>30023</v>
      </c>
      <c r="B2718" s="8">
        <v>40000</v>
      </c>
      <c r="C2718" s="8" t="s">
        <v>298</v>
      </c>
      <c r="D2718" s="7">
        <f t="shared" si="2954"/>
        <v>50900095</v>
      </c>
      <c r="E2718" s="8"/>
      <c r="F2718" s="8">
        <v>1</v>
      </c>
      <c r="G2718" s="7">
        <v>564000</v>
      </c>
      <c r="H2718" s="8" t="s">
        <v>299</v>
      </c>
      <c r="I2718" s="8">
        <v>1</v>
      </c>
      <c r="J2718" s="8">
        <v>240</v>
      </c>
      <c r="K2718" s="7" t="s">
        <v>312</v>
      </c>
      <c r="L2718" s="8">
        <v>96</v>
      </c>
      <c r="M2718" s="7">
        <f>IF(INDEX([1]equip.xml!$B:$B,MATCH(D2718,[1]equip.xml!$A:$A,0))=0,0,N2718)</f>
        <v>200</v>
      </c>
      <c r="N2718" s="8">
        <f t="shared" si="2955"/>
        <v>200</v>
      </c>
    </row>
    <row r="2719" spans="1:14">
      <c r="A2719" s="8">
        <f t="shared" si="2953"/>
        <v>30023</v>
      </c>
      <c r="B2719" s="8">
        <v>40000</v>
      </c>
      <c r="C2719" s="8" t="s">
        <v>298</v>
      </c>
      <c r="D2719" s="7">
        <f t="shared" si="2954"/>
        <v>50900105</v>
      </c>
      <c r="E2719" s="8"/>
      <c r="F2719" s="8">
        <v>1</v>
      </c>
      <c r="G2719" s="7">
        <v>564000</v>
      </c>
      <c r="H2719" s="8" t="s">
        <v>299</v>
      </c>
      <c r="I2719" s="8">
        <v>1</v>
      </c>
      <c r="J2719" s="8">
        <v>240</v>
      </c>
      <c r="K2719" s="7" t="s">
        <v>312</v>
      </c>
      <c r="L2719" s="8">
        <v>96</v>
      </c>
      <c r="M2719" s="7">
        <f>IF(INDEX([1]equip.xml!$B:$B,MATCH(D2719,[1]equip.xml!$A:$A,0))=0,0,N2719)</f>
        <v>200</v>
      </c>
      <c r="N2719" s="8">
        <f t="shared" si="2955"/>
        <v>200</v>
      </c>
    </row>
    <row r="2720" spans="1:14">
      <c r="A2720" s="8">
        <f t="shared" si="2953"/>
        <v>30023</v>
      </c>
      <c r="B2720" s="8">
        <v>40000</v>
      </c>
      <c r="C2720" s="8" t="s">
        <v>298</v>
      </c>
      <c r="D2720" s="7">
        <f t="shared" si="2954"/>
        <v>50901055</v>
      </c>
      <c r="E2720" s="8"/>
      <c r="F2720" s="8">
        <v>1</v>
      </c>
      <c r="G2720" s="7">
        <v>564000</v>
      </c>
      <c r="H2720" s="8" t="s">
        <v>299</v>
      </c>
      <c r="I2720" s="8">
        <v>1</v>
      </c>
      <c r="J2720" s="8">
        <v>240</v>
      </c>
      <c r="K2720" s="7" t="s">
        <v>312</v>
      </c>
      <c r="L2720" s="8">
        <v>96</v>
      </c>
      <c r="M2720" s="7">
        <f>IF(INDEX([1]equip.xml!$B:$B,MATCH(D2720,[1]equip.xml!$A:$A,0))=0,0,N2720)</f>
        <v>200</v>
      </c>
      <c r="N2720" s="8">
        <f t="shared" si="2955"/>
        <v>200</v>
      </c>
    </row>
    <row r="2721" spans="1:14">
      <c r="A2721" s="8">
        <f t="shared" si="2953"/>
        <v>30023</v>
      </c>
      <c r="B2721" s="8">
        <v>40000</v>
      </c>
      <c r="C2721" s="8" t="s">
        <v>298</v>
      </c>
      <c r="D2721" s="7">
        <f t="shared" si="2954"/>
        <v>50901056</v>
      </c>
      <c r="E2721" s="8"/>
      <c r="F2721" s="8">
        <v>1</v>
      </c>
      <c r="G2721" s="7">
        <v>582000</v>
      </c>
      <c r="H2721" s="8" t="s">
        <v>299</v>
      </c>
      <c r="I2721" s="8">
        <v>1</v>
      </c>
      <c r="J2721" s="8">
        <v>240</v>
      </c>
      <c r="K2721" s="7" t="s">
        <v>312</v>
      </c>
      <c r="L2721" s="8">
        <v>96</v>
      </c>
      <c r="M2721" s="7">
        <f>IF(INDEX([1]equip.xml!$B:$B,MATCH(D2721,[1]equip.xml!$A:$A,0))=0,0,N2721)</f>
        <v>200</v>
      </c>
      <c r="N2721" s="8">
        <f t="shared" si="2955"/>
        <v>200</v>
      </c>
    </row>
    <row r="2722" spans="1:14">
      <c r="A2722" s="8">
        <f t="shared" si="2953"/>
        <v>30023</v>
      </c>
      <c r="B2722" s="8">
        <v>40000</v>
      </c>
      <c r="C2722" s="8" t="s">
        <v>298</v>
      </c>
      <c r="D2722" s="7">
        <f t="shared" si="2954"/>
        <v>50901065</v>
      </c>
      <c r="E2722" s="8"/>
      <c r="F2722" s="8">
        <v>1</v>
      </c>
      <c r="G2722" s="7">
        <v>564000</v>
      </c>
      <c r="H2722" s="8" t="s">
        <v>299</v>
      </c>
      <c r="I2722" s="8">
        <v>1</v>
      </c>
      <c r="J2722" s="8">
        <v>240</v>
      </c>
      <c r="K2722" s="7" t="s">
        <v>312</v>
      </c>
      <c r="L2722" s="8">
        <v>96</v>
      </c>
      <c r="M2722" s="7">
        <f>IF(INDEX([1]equip.xml!$B:$B,MATCH(D2722,[1]equip.xml!$A:$A,0))=0,0,N2722)</f>
        <v>200</v>
      </c>
      <c r="N2722" s="8">
        <f t="shared" si="2955"/>
        <v>200</v>
      </c>
    </row>
    <row r="2723" spans="1:14">
      <c r="A2723" s="8">
        <f t="shared" si="2953"/>
        <v>30023</v>
      </c>
      <c r="B2723" s="8">
        <v>40000</v>
      </c>
      <c r="C2723" s="8" t="s">
        <v>298</v>
      </c>
      <c r="D2723" s="7">
        <f t="shared" si="2954"/>
        <v>50901066</v>
      </c>
      <c r="E2723" s="8"/>
      <c r="F2723" s="8">
        <v>1</v>
      </c>
      <c r="G2723" s="7">
        <v>582000</v>
      </c>
      <c r="H2723" s="8" t="s">
        <v>299</v>
      </c>
      <c r="I2723" s="8">
        <v>1</v>
      </c>
      <c r="J2723" s="8">
        <v>240</v>
      </c>
      <c r="K2723" s="7" t="s">
        <v>312</v>
      </c>
      <c r="L2723" s="8">
        <v>96</v>
      </c>
      <c r="M2723" s="7">
        <f>IF(INDEX([1]equip.xml!$B:$B,MATCH(D2723,[1]equip.xml!$A:$A,0))=0,0,N2723)</f>
        <v>200</v>
      </c>
      <c r="N2723" s="8">
        <f t="shared" si="2955"/>
        <v>200</v>
      </c>
    </row>
    <row r="2724" spans="1:14">
      <c r="A2724" s="8">
        <f t="shared" si="2953"/>
        <v>30023</v>
      </c>
      <c r="B2724" s="8">
        <v>40000</v>
      </c>
      <c r="C2724" s="8" t="s">
        <v>298</v>
      </c>
      <c r="D2724" s="7">
        <f t="shared" si="2954"/>
        <v>50902055</v>
      </c>
      <c r="E2724" s="8"/>
      <c r="F2724" s="8">
        <v>1</v>
      </c>
      <c r="G2724" s="7">
        <v>564000</v>
      </c>
      <c r="H2724" s="8" t="s">
        <v>299</v>
      </c>
      <c r="I2724" s="8">
        <v>1</v>
      </c>
      <c r="J2724" s="8">
        <v>240</v>
      </c>
      <c r="K2724" s="7" t="s">
        <v>312</v>
      </c>
      <c r="L2724" s="8">
        <v>96</v>
      </c>
      <c r="M2724" s="7">
        <f>IF(INDEX([1]equip.xml!$B:$B,MATCH(D2724,[1]equip.xml!$A:$A,0))=0,0,N2724)</f>
        <v>200</v>
      </c>
      <c r="N2724" s="8">
        <f t="shared" si="2955"/>
        <v>200</v>
      </c>
    </row>
    <row r="2725" spans="1:14">
      <c r="A2725" s="8">
        <f t="shared" si="2953"/>
        <v>30023</v>
      </c>
      <c r="B2725" s="8">
        <v>40000</v>
      </c>
      <c r="C2725" s="8" t="s">
        <v>298</v>
      </c>
      <c r="D2725" s="7">
        <f t="shared" si="2954"/>
        <v>50902056</v>
      </c>
      <c r="E2725" s="8"/>
      <c r="F2725" s="8">
        <v>1</v>
      </c>
      <c r="G2725" s="7">
        <v>582000</v>
      </c>
      <c r="H2725" s="8" t="s">
        <v>299</v>
      </c>
      <c r="I2725" s="8">
        <v>1</v>
      </c>
      <c r="J2725" s="8">
        <v>240</v>
      </c>
      <c r="K2725" s="7" t="s">
        <v>312</v>
      </c>
      <c r="L2725" s="8">
        <v>96</v>
      </c>
      <c r="M2725" s="7">
        <f>IF(INDEX([1]equip.xml!$B:$B,MATCH(D2725,[1]equip.xml!$A:$A,0))=0,0,N2725)</f>
        <v>200</v>
      </c>
      <c r="N2725" s="8">
        <f t="shared" si="2955"/>
        <v>200</v>
      </c>
    </row>
    <row r="2726" spans="1:14">
      <c r="A2726" s="8">
        <f t="shared" si="2953"/>
        <v>30023</v>
      </c>
      <c r="B2726" s="8">
        <v>40000</v>
      </c>
      <c r="C2726" s="8" t="s">
        <v>298</v>
      </c>
      <c r="D2726" s="7">
        <f t="shared" si="2954"/>
        <v>50902065</v>
      </c>
      <c r="E2726" s="8"/>
      <c r="F2726" s="8">
        <v>1</v>
      </c>
      <c r="G2726" s="7">
        <v>564000</v>
      </c>
      <c r="H2726" s="8" t="s">
        <v>299</v>
      </c>
      <c r="I2726" s="8">
        <v>1</v>
      </c>
      <c r="J2726" s="8">
        <v>240</v>
      </c>
      <c r="K2726" s="7" t="s">
        <v>312</v>
      </c>
      <c r="L2726" s="8">
        <v>96</v>
      </c>
      <c r="M2726" s="7">
        <f>IF(INDEX([1]equip.xml!$B:$B,MATCH(D2726,[1]equip.xml!$A:$A,0))=0,0,N2726)</f>
        <v>200</v>
      </c>
      <c r="N2726" s="8">
        <f t="shared" si="2955"/>
        <v>200</v>
      </c>
    </row>
    <row r="2727" spans="1:14">
      <c r="A2727" s="8">
        <f t="shared" si="2953"/>
        <v>30023</v>
      </c>
      <c r="B2727" s="8">
        <v>40000</v>
      </c>
      <c r="C2727" s="8" t="s">
        <v>298</v>
      </c>
      <c r="D2727" s="7">
        <f t="shared" si="2954"/>
        <v>50902066</v>
      </c>
      <c r="E2727" s="8"/>
      <c r="F2727" s="8">
        <v>1</v>
      </c>
      <c r="G2727" s="7">
        <v>582000</v>
      </c>
      <c r="H2727" s="8" t="s">
        <v>299</v>
      </c>
      <c r="I2727" s="8">
        <v>1</v>
      </c>
      <c r="J2727" s="8">
        <v>240</v>
      </c>
      <c r="K2727" s="7" t="s">
        <v>312</v>
      </c>
      <c r="L2727" s="8">
        <v>96</v>
      </c>
      <c r="M2727" s="7">
        <f>IF(INDEX([1]equip.xml!$B:$B,MATCH(D2727,[1]equip.xml!$A:$A,0))=0,0,N2727)</f>
        <v>200</v>
      </c>
      <c r="N2727" s="8">
        <f t="shared" si="2955"/>
        <v>200</v>
      </c>
    </row>
    <row r="2728" spans="1:14">
      <c r="A2728" s="8">
        <f t="shared" si="2953"/>
        <v>30023</v>
      </c>
      <c r="B2728" s="8">
        <v>40000</v>
      </c>
      <c r="C2728" s="8" t="s">
        <v>298</v>
      </c>
      <c r="D2728" s="7">
        <f t="shared" si="2954"/>
        <v>50903055</v>
      </c>
      <c r="E2728" s="8"/>
      <c r="F2728" s="8">
        <v>1</v>
      </c>
      <c r="G2728" s="7">
        <v>564000</v>
      </c>
      <c r="H2728" s="8" t="s">
        <v>299</v>
      </c>
      <c r="I2728" s="8">
        <v>1</v>
      </c>
      <c r="J2728" s="8">
        <v>240</v>
      </c>
      <c r="K2728" s="7" t="s">
        <v>312</v>
      </c>
      <c r="L2728" s="8">
        <v>96</v>
      </c>
      <c r="M2728" s="7">
        <f>IF(INDEX([1]equip.xml!$B:$B,MATCH(D2728,[1]equip.xml!$A:$A,0))=0,0,N2728)</f>
        <v>200</v>
      </c>
      <c r="N2728" s="8">
        <f t="shared" si="2955"/>
        <v>200</v>
      </c>
    </row>
    <row r="2729" spans="1:14">
      <c r="A2729" s="8">
        <f t="shared" si="2953"/>
        <v>30023</v>
      </c>
      <c r="B2729" s="8">
        <v>40000</v>
      </c>
      <c r="C2729" s="8" t="s">
        <v>298</v>
      </c>
      <c r="D2729" s="7">
        <f t="shared" si="2954"/>
        <v>50903056</v>
      </c>
      <c r="E2729" s="8"/>
      <c r="F2729" s="8">
        <v>1</v>
      </c>
      <c r="G2729" s="7">
        <v>582000</v>
      </c>
      <c r="H2729" s="8" t="s">
        <v>299</v>
      </c>
      <c r="I2729" s="8">
        <v>1</v>
      </c>
      <c r="J2729" s="8">
        <v>240</v>
      </c>
      <c r="K2729" s="7" t="s">
        <v>312</v>
      </c>
      <c r="L2729" s="8">
        <v>96</v>
      </c>
      <c r="M2729" s="7">
        <f>IF(INDEX([1]equip.xml!$B:$B,MATCH(D2729,[1]equip.xml!$A:$A,0))=0,0,N2729)</f>
        <v>200</v>
      </c>
      <c r="N2729" s="8">
        <f t="shared" si="2955"/>
        <v>200</v>
      </c>
    </row>
    <row r="2730" spans="1:14">
      <c r="A2730" s="8">
        <f t="shared" si="2953"/>
        <v>30023</v>
      </c>
      <c r="B2730" s="8">
        <v>40000</v>
      </c>
      <c r="C2730" s="8" t="s">
        <v>298</v>
      </c>
      <c r="D2730" s="7">
        <f t="shared" si="2954"/>
        <v>50903065</v>
      </c>
      <c r="E2730" s="8"/>
      <c r="F2730" s="8">
        <v>1</v>
      </c>
      <c r="G2730" s="7">
        <v>564000</v>
      </c>
      <c r="H2730" s="8" t="s">
        <v>299</v>
      </c>
      <c r="I2730" s="8">
        <v>1</v>
      </c>
      <c r="J2730" s="8">
        <v>240</v>
      </c>
      <c r="K2730" s="7" t="s">
        <v>312</v>
      </c>
      <c r="L2730" s="8">
        <v>96</v>
      </c>
      <c r="M2730" s="7">
        <f>IF(INDEX([1]equip.xml!$B:$B,MATCH(D2730,[1]equip.xml!$A:$A,0))=0,0,N2730)</f>
        <v>200</v>
      </c>
      <c r="N2730" s="8">
        <f t="shared" si="2955"/>
        <v>200</v>
      </c>
    </row>
    <row r="2731" spans="1:14">
      <c r="A2731" s="8">
        <f t="shared" si="2953"/>
        <v>30023</v>
      </c>
      <c r="B2731" s="8">
        <v>40000</v>
      </c>
      <c r="C2731" s="8" t="s">
        <v>298</v>
      </c>
      <c r="D2731" s="7">
        <f t="shared" si="2954"/>
        <v>50903066</v>
      </c>
      <c r="E2731" s="8"/>
      <c r="F2731" s="8">
        <v>1</v>
      </c>
      <c r="G2731" s="7">
        <v>582000</v>
      </c>
      <c r="H2731" s="8" t="s">
        <v>299</v>
      </c>
      <c r="I2731" s="8">
        <v>1</v>
      </c>
      <c r="J2731" s="8">
        <v>240</v>
      </c>
      <c r="K2731" s="7" t="s">
        <v>312</v>
      </c>
      <c r="L2731" s="8">
        <v>96</v>
      </c>
      <c r="M2731" s="7">
        <f>IF(INDEX([1]equip.xml!$B:$B,MATCH(D2731,[1]equip.xml!$A:$A,0))=0,0,N2731)</f>
        <v>200</v>
      </c>
      <c r="N2731" s="8">
        <f t="shared" si="2955"/>
        <v>200</v>
      </c>
    </row>
    <row r="2732" spans="1:14">
      <c r="A2732" s="8">
        <f t="shared" si="2953"/>
        <v>30023</v>
      </c>
      <c r="B2732" s="8">
        <v>40000</v>
      </c>
      <c r="C2732" s="8" t="s">
        <v>298</v>
      </c>
      <c r="D2732" s="7">
        <f t="shared" si="2954"/>
        <v>50900045</v>
      </c>
      <c r="E2732" s="8"/>
      <c r="F2732" s="8">
        <v>1</v>
      </c>
      <c r="G2732" s="7">
        <v>564000</v>
      </c>
      <c r="H2732" s="8" t="s">
        <v>299</v>
      </c>
      <c r="I2732" s="8">
        <v>1</v>
      </c>
      <c r="J2732" s="8">
        <v>240</v>
      </c>
      <c r="K2732" s="7" t="s">
        <v>312</v>
      </c>
      <c r="L2732" s="8">
        <v>96</v>
      </c>
      <c r="M2732" s="7">
        <f>IF(INDEX([1]equip.xml!$B:$B,MATCH(D2732,[1]equip.xml!$A:$A,0))=0,0,N2732)</f>
        <v>200</v>
      </c>
      <c r="N2732" s="8">
        <f t="shared" si="2955"/>
        <v>200</v>
      </c>
    </row>
    <row r="2733" spans="1:14">
      <c r="A2733" s="8">
        <f t="shared" si="2953"/>
        <v>30023</v>
      </c>
      <c r="B2733" s="8">
        <v>40000</v>
      </c>
      <c r="C2733" s="8" t="s">
        <v>298</v>
      </c>
      <c r="D2733" s="7">
        <f t="shared" si="2954"/>
        <v>50900046</v>
      </c>
      <c r="E2733" s="8"/>
      <c r="F2733" s="8">
        <v>1</v>
      </c>
      <c r="G2733" s="7">
        <v>582000</v>
      </c>
      <c r="H2733" s="8" t="s">
        <v>299</v>
      </c>
      <c r="I2733" s="8">
        <v>1</v>
      </c>
      <c r="J2733" s="8">
        <v>240</v>
      </c>
      <c r="K2733" s="7" t="s">
        <v>312</v>
      </c>
      <c r="L2733" s="8">
        <v>96</v>
      </c>
      <c r="M2733" s="7">
        <f>IF(INDEX([1]equip.xml!$B:$B,MATCH(D2733,[1]equip.xml!$A:$A,0))=0,0,N2733)</f>
        <v>200</v>
      </c>
      <c r="N2733" s="8">
        <f t="shared" si="2955"/>
        <v>200</v>
      </c>
    </row>
    <row r="2734" spans="1:14">
      <c r="A2734" s="8">
        <f t="shared" si="2953"/>
        <v>30023</v>
      </c>
      <c r="B2734" s="8">
        <v>40000</v>
      </c>
      <c r="C2734" s="8" t="s">
        <v>298</v>
      </c>
      <c r="D2734" s="7">
        <f t="shared" si="2954"/>
        <v>50900075</v>
      </c>
      <c r="E2734" s="8"/>
      <c r="F2734" s="8">
        <v>1</v>
      </c>
      <c r="G2734" s="7">
        <v>564000</v>
      </c>
      <c r="H2734" s="8" t="s">
        <v>299</v>
      </c>
      <c r="I2734" s="8">
        <v>1</v>
      </c>
      <c r="J2734" s="8">
        <v>240</v>
      </c>
      <c r="K2734" s="7" t="s">
        <v>312</v>
      </c>
      <c r="L2734" s="8">
        <v>96</v>
      </c>
      <c r="M2734" s="7">
        <f>IF(INDEX([1]equip.xml!$B:$B,MATCH(D2734,[1]equip.xml!$A:$A,0))=0,0,N2734)</f>
        <v>200</v>
      </c>
      <c r="N2734" s="8">
        <f t="shared" si="2955"/>
        <v>200</v>
      </c>
    </row>
    <row r="2735" spans="1:14">
      <c r="A2735" s="8">
        <f t="shared" si="2953"/>
        <v>30023</v>
      </c>
      <c r="B2735" s="8">
        <v>40000</v>
      </c>
      <c r="C2735" s="8" t="s">
        <v>298</v>
      </c>
      <c r="D2735" s="7">
        <f t="shared" si="2954"/>
        <v>50900076</v>
      </c>
      <c r="E2735" s="8"/>
      <c r="F2735" s="8">
        <v>1</v>
      </c>
      <c r="G2735" s="7">
        <v>582000</v>
      </c>
      <c r="H2735" s="8" t="s">
        <v>299</v>
      </c>
      <c r="I2735" s="8">
        <v>1</v>
      </c>
      <c r="J2735" s="8">
        <v>240</v>
      </c>
      <c r="K2735" s="7" t="s">
        <v>312</v>
      </c>
      <c r="L2735" s="8">
        <v>96</v>
      </c>
      <c r="M2735" s="7">
        <f>IF(INDEX([1]equip.xml!$B:$B,MATCH(D2735,[1]equip.xml!$A:$A,0))=0,0,N2735)</f>
        <v>200</v>
      </c>
      <c r="N2735" s="8">
        <f t="shared" si="2955"/>
        <v>200</v>
      </c>
    </row>
    <row r="2736" spans="1:14">
      <c r="A2736" s="8">
        <f t="shared" si="2953"/>
        <v>30023</v>
      </c>
      <c r="B2736" s="8">
        <v>40000</v>
      </c>
      <c r="C2736" s="8" t="s">
        <v>298</v>
      </c>
      <c r="D2736" s="7">
        <f t="shared" si="2954"/>
        <v>50950015</v>
      </c>
      <c r="E2736" s="8"/>
      <c r="F2736" s="8">
        <v>1</v>
      </c>
      <c r="G2736" s="7">
        <v>600000</v>
      </c>
      <c r="H2736" s="8" t="s">
        <v>299</v>
      </c>
      <c r="I2736" s="8">
        <v>1</v>
      </c>
      <c r="J2736" s="8">
        <v>240</v>
      </c>
      <c r="K2736" s="7" t="s">
        <v>312</v>
      </c>
      <c r="L2736" s="8">
        <v>96</v>
      </c>
      <c r="M2736" s="7">
        <f>IF(INDEX([1]equip.xml!$B:$B,MATCH(D2736,[1]equip.xml!$A:$A,0))=0,0,N2736)</f>
        <v>10</v>
      </c>
      <c r="N2736" s="8">
        <f t="shared" si="2955"/>
        <v>10</v>
      </c>
    </row>
    <row r="2737" spans="1:14">
      <c r="A2737" s="8">
        <f t="shared" si="2953"/>
        <v>30023</v>
      </c>
      <c r="B2737" s="8">
        <v>40000</v>
      </c>
      <c r="C2737" s="8" t="s">
        <v>298</v>
      </c>
      <c r="D2737" s="7">
        <f t="shared" si="2954"/>
        <v>50950025</v>
      </c>
      <c r="E2737" s="8"/>
      <c r="F2737" s="8">
        <v>1</v>
      </c>
      <c r="G2737" s="7">
        <v>600000</v>
      </c>
      <c r="H2737" s="8" t="s">
        <v>299</v>
      </c>
      <c r="I2737" s="8">
        <v>1</v>
      </c>
      <c r="J2737" s="8">
        <v>240</v>
      </c>
      <c r="K2737" s="7" t="s">
        <v>312</v>
      </c>
      <c r="L2737" s="8">
        <v>96</v>
      </c>
      <c r="M2737" s="7">
        <f>IF(INDEX([1]equip.xml!$B:$B,MATCH(D2737,[1]equip.xml!$A:$A,0))=0,0,N2737)</f>
        <v>10</v>
      </c>
      <c r="N2737" s="8">
        <f t="shared" si="2955"/>
        <v>10</v>
      </c>
    </row>
    <row r="2738" spans="1:14">
      <c r="A2738" s="8">
        <f t="shared" si="2953"/>
        <v>30023</v>
      </c>
      <c r="B2738" s="8">
        <v>40000</v>
      </c>
      <c r="C2738" s="8" t="s">
        <v>298</v>
      </c>
      <c r="D2738" s="7">
        <f t="shared" si="2954"/>
        <v>50950035</v>
      </c>
      <c r="E2738" s="8"/>
      <c r="F2738" s="8">
        <v>1</v>
      </c>
      <c r="G2738" s="7">
        <v>600000</v>
      </c>
      <c r="H2738" s="8" t="s">
        <v>299</v>
      </c>
      <c r="I2738" s="8">
        <v>1</v>
      </c>
      <c r="J2738" s="8">
        <v>240</v>
      </c>
      <c r="K2738" s="7" t="s">
        <v>312</v>
      </c>
      <c r="L2738" s="8">
        <v>96</v>
      </c>
      <c r="M2738" s="7">
        <f>IF(INDEX([1]equip.xml!$B:$B,MATCH(D2738,[1]equip.xml!$A:$A,0))=0,0,N2738)</f>
        <v>10</v>
      </c>
      <c r="N2738" s="8">
        <f t="shared" si="2955"/>
        <v>10</v>
      </c>
    </row>
    <row r="2739" spans="1:14">
      <c r="A2739" s="8">
        <f t="shared" si="2953"/>
        <v>30023</v>
      </c>
      <c r="B2739" s="8">
        <v>40000</v>
      </c>
      <c r="C2739" s="8" t="s">
        <v>298</v>
      </c>
      <c r="D2739" s="7">
        <f t="shared" si="2954"/>
        <v>50950085</v>
      </c>
      <c r="E2739" s="8"/>
      <c r="F2739" s="8">
        <v>1</v>
      </c>
      <c r="G2739" s="7">
        <v>600000</v>
      </c>
      <c r="H2739" s="8" t="s">
        <v>299</v>
      </c>
      <c r="I2739" s="8">
        <v>1</v>
      </c>
      <c r="J2739" s="8">
        <v>240</v>
      </c>
      <c r="K2739" s="7" t="s">
        <v>312</v>
      </c>
      <c r="L2739" s="8">
        <v>96</v>
      </c>
      <c r="M2739" s="7">
        <f>IF(INDEX([1]equip.xml!$B:$B,MATCH(D2739,[1]equip.xml!$A:$A,0))=0,0,N2739)</f>
        <v>10</v>
      </c>
      <c r="N2739" s="8">
        <f t="shared" si="2955"/>
        <v>10</v>
      </c>
    </row>
    <row r="2740" spans="1:14">
      <c r="A2740" s="8">
        <f t="shared" si="2953"/>
        <v>30023</v>
      </c>
      <c r="B2740" s="8">
        <v>40000</v>
      </c>
      <c r="C2740" s="8" t="s">
        <v>298</v>
      </c>
      <c r="D2740" s="7">
        <f t="shared" si="2954"/>
        <v>50950095</v>
      </c>
      <c r="E2740" s="8"/>
      <c r="F2740" s="8">
        <v>1</v>
      </c>
      <c r="G2740" s="7">
        <v>600000</v>
      </c>
      <c r="H2740" s="8" t="s">
        <v>299</v>
      </c>
      <c r="I2740" s="8">
        <v>1</v>
      </c>
      <c r="J2740" s="8">
        <v>240</v>
      </c>
      <c r="K2740" s="7" t="s">
        <v>312</v>
      </c>
      <c r="L2740" s="8">
        <v>96</v>
      </c>
      <c r="M2740" s="7">
        <f>IF(INDEX([1]equip.xml!$B:$B,MATCH(D2740,[1]equip.xml!$A:$A,0))=0,0,N2740)</f>
        <v>10</v>
      </c>
      <c r="N2740" s="8">
        <f t="shared" si="2955"/>
        <v>10</v>
      </c>
    </row>
    <row r="2741" spans="1:14">
      <c r="A2741" s="8">
        <f t="shared" si="2953"/>
        <v>30023</v>
      </c>
      <c r="B2741" s="8">
        <v>40000</v>
      </c>
      <c r="C2741" s="8" t="s">
        <v>298</v>
      </c>
      <c r="D2741" s="7">
        <f t="shared" si="2954"/>
        <v>50950105</v>
      </c>
      <c r="E2741" s="8"/>
      <c r="F2741" s="8">
        <v>1</v>
      </c>
      <c r="G2741" s="7">
        <v>600000</v>
      </c>
      <c r="H2741" s="8" t="s">
        <v>299</v>
      </c>
      <c r="I2741" s="8">
        <v>1</v>
      </c>
      <c r="J2741" s="8">
        <v>240</v>
      </c>
      <c r="K2741" s="7" t="s">
        <v>312</v>
      </c>
      <c r="L2741" s="8">
        <v>96</v>
      </c>
      <c r="M2741" s="7">
        <f>IF(INDEX([1]equip.xml!$B:$B,MATCH(D2741,[1]equip.xml!$A:$A,0))=0,0,N2741)</f>
        <v>10</v>
      </c>
      <c r="N2741" s="8">
        <f t="shared" si="2955"/>
        <v>10</v>
      </c>
    </row>
    <row r="2742" spans="1:14">
      <c r="A2742" s="8">
        <f t="shared" si="2953"/>
        <v>30023</v>
      </c>
      <c r="B2742" s="8">
        <v>40000</v>
      </c>
      <c r="C2742" s="8" t="s">
        <v>298</v>
      </c>
      <c r="D2742" s="7">
        <f t="shared" si="2954"/>
        <v>50951055</v>
      </c>
      <c r="E2742" s="8"/>
      <c r="F2742" s="8">
        <v>1</v>
      </c>
      <c r="G2742" s="7">
        <v>600000</v>
      </c>
      <c r="H2742" s="8" t="s">
        <v>299</v>
      </c>
      <c r="I2742" s="8">
        <v>1</v>
      </c>
      <c r="J2742" s="8">
        <v>240</v>
      </c>
      <c r="K2742" s="7" t="s">
        <v>312</v>
      </c>
      <c r="L2742" s="8">
        <v>96</v>
      </c>
      <c r="M2742" s="7">
        <f>IF(INDEX([1]equip.xml!$B:$B,MATCH(D2742,[1]equip.xml!$A:$A,0))=0,0,N2742)</f>
        <v>10</v>
      </c>
      <c r="N2742" s="8">
        <f t="shared" si="2955"/>
        <v>10</v>
      </c>
    </row>
    <row r="2743" spans="1:14">
      <c r="A2743" s="8">
        <f t="shared" si="2953"/>
        <v>30023</v>
      </c>
      <c r="B2743" s="8">
        <v>40000</v>
      </c>
      <c r="C2743" s="8" t="s">
        <v>298</v>
      </c>
      <c r="D2743" s="7">
        <f t="shared" si="2954"/>
        <v>50951056</v>
      </c>
      <c r="E2743" s="8"/>
      <c r="F2743" s="8">
        <v>1</v>
      </c>
      <c r="G2743" s="7">
        <v>618000</v>
      </c>
      <c r="H2743" s="8" t="s">
        <v>299</v>
      </c>
      <c r="I2743" s="8">
        <v>1</v>
      </c>
      <c r="J2743" s="8">
        <v>240</v>
      </c>
      <c r="K2743" s="7" t="s">
        <v>312</v>
      </c>
      <c r="L2743" s="8">
        <v>96</v>
      </c>
      <c r="M2743" s="7">
        <f>IF(INDEX([1]equip.xml!$B:$B,MATCH(D2743,[1]equip.xml!$A:$A,0))=0,0,N2743)</f>
        <v>10</v>
      </c>
      <c r="N2743" s="8">
        <f t="shared" si="2955"/>
        <v>10</v>
      </c>
    </row>
    <row r="2744" spans="1:14">
      <c r="A2744" s="8">
        <f t="shared" si="2953"/>
        <v>30023</v>
      </c>
      <c r="B2744" s="8">
        <v>40000</v>
      </c>
      <c r="C2744" s="8" t="s">
        <v>298</v>
      </c>
      <c r="D2744" s="7">
        <f t="shared" si="2954"/>
        <v>50951065</v>
      </c>
      <c r="E2744" s="8"/>
      <c r="F2744" s="8">
        <v>1</v>
      </c>
      <c r="G2744" s="7">
        <v>600000</v>
      </c>
      <c r="H2744" s="8" t="s">
        <v>299</v>
      </c>
      <c r="I2744" s="8">
        <v>1</v>
      </c>
      <c r="J2744" s="8">
        <v>240</v>
      </c>
      <c r="K2744" s="7" t="s">
        <v>312</v>
      </c>
      <c r="L2744" s="8">
        <v>96</v>
      </c>
      <c r="M2744" s="7">
        <f>IF(INDEX([1]equip.xml!$B:$B,MATCH(D2744,[1]equip.xml!$A:$A,0))=0,0,N2744)</f>
        <v>10</v>
      </c>
      <c r="N2744" s="8">
        <f t="shared" si="2955"/>
        <v>10</v>
      </c>
    </row>
    <row r="2745" spans="1:14">
      <c r="A2745" s="8">
        <f t="shared" si="2953"/>
        <v>30023</v>
      </c>
      <c r="B2745" s="8">
        <v>40000</v>
      </c>
      <c r="C2745" s="8" t="s">
        <v>298</v>
      </c>
      <c r="D2745" s="7">
        <f t="shared" si="2954"/>
        <v>50951066</v>
      </c>
      <c r="E2745" s="8"/>
      <c r="F2745" s="8">
        <v>1</v>
      </c>
      <c r="G2745" s="7">
        <v>618000</v>
      </c>
      <c r="H2745" s="8" t="s">
        <v>299</v>
      </c>
      <c r="I2745" s="8">
        <v>1</v>
      </c>
      <c r="J2745" s="8">
        <v>240</v>
      </c>
      <c r="K2745" s="7" t="s">
        <v>312</v>
      </c>
      <c r="L2745" s="8">
        <v>96</v>
      </c>
      <c r="M2745" s="7">
        <f>IF(INDEX([1]equip.xml!$B:$B,MATCH(D2745,[1]equip.xml!$A:$A,0))=0,0,N2745)</f>
        <v>10</v>
      </c>
      <c r="N2745" s="8">
        <f t="shared" si="2955"/>
        <v>10</v>
      </c>
    </row>
    <row r="2746" spans="1:14">
      <c r="A2746" s="8">
        <f t="shared" si="2953"/>
        <v>30023</v>
      </c>
      <c r="B2746" s="8">
        <v>40000</v>
      </c>
      <c r="C2746" s="8" t="s">
        <v>298</v>
      </c>
      <c r="D2746" s="7">
        <f t="shared" si="2954"/>
        <v>50952055</v>
      </c>
      <c r="E2746" s="8"/>
      <c r="F2746" s="8">
        <v>1</v>
      </c>
      <c r="G2746" s="7">
        <v>600000</v>
      </c>
      <c r="H2746" s="8" t="s">
        <v>299</v>
      </c>
      <c r="I2746" s="8">
        <v>1</v>
      </c>
      <c r="J2746" s="8">
        <v>240</v>
      </c>
      <c r="K2746" s="7" t="s">
        <v>312</v>
      </c>
      <c r="L2746" s="8">
        <v>96</v>
      </c>
      <c r="M2746" s="7">
        <f>IF(INDEX([1]equip.xml!$B:$B,MATCH(D2746,[1]equip.xml!$A:$A,0))=0,0,N2746)</f>
        <v>10</v>
      </c>
      <c r="N2746" s="8">
        <f t="shared" si="2955"/>
        <v>10</v>
      </c>
    </row>
    <row r="2747" spans="1:14">
      <c r="A2747" s="8">
        <f t="shared" si="2953"/>
        <v>30023</v>
      </c>
      <c r="B2747" s="8">
        <v>40000</v>
      </c>
      <c r="C2747" s="8" t="s">
        <v>298</v>
      </c>
      <c r="D2747" s="7">
        <f t="shared" si="2954"/>
        <v>50952056</v>
      </c>
      <c r="E2747" s="8"/>
      <c r="F2747" s="8">
        <v>1</v>
      </c>
      <c r="G2747" s="7">
        <v>618000</v>
      </c>
      <c r="H2747" s="8" t="s">
        <v>299</v>
      </c>
      <c r="I2747" s="8">
        <v>1</v>
      </c>
      <c r="J2747" s="8">
        <v>240</v>
      </c>
      <c r="K2747" s="7" t="s">
        <v>312</v>
      </c>
      <c r="L2747" s="8">
        <v>96</v>
      </c>
      <c r="M2747" s="7">
        <f>IF(INDEX([1]equip.xml!$B:$B,MATCH(D2747,[1]equip.xml!$A:$A,0))=0,0,N2747)</f>
        <v>10</v>
      </c>
      <c r="N2747" s="8">
        <f t="shared" si="2955"/>
        <v>10</v>
      </c>
    </row>
    <row r="2748" spans="1:14">
      <c r="A2748" s="8">
        <f t="shared" si="2953"/>
        <v>30023</v>
      </c>
      <c r="B2748" s="8">
        <v>40000</v>
      </c>
      <c r="C2748" s="8" t="s">
        <v>298</v>
      </c>
      <c r="D2748" s="7">
        <f t="shared" si="2954"/>
        <v>50952065</v>
      </c>
      <c r="E2748" s="8"/>
      <c r="F2748" s="8">
        <v>1</v>
      </c>
      <c r="G2748" s="7">
        <v>600000</v>
      </c>
      <c r="H2748" s="8" t="s">
        <v>299</v>
      </c>
      <c r="I2748" s="8">
        <v>1</v>
      </c>
      <c r="J2748" s="8">
        <v>240</v>
      </c>
      <c r="K2748" s="7" t="s">
        <v>312</v>
      </c>
      <c r="L2748" s="8">
        <v>96</v>
      </c>
      <c r="M2748" s="7">
        <f>IF(INDEX([1]equip.xml!$B:$B,MATCH(D2748,[1]equip.xml!$A:$A,0))=0,0,N2748)</f>
        <v>10</v>
      </c>
      <c r="N2748" s="8">
        <f t="shared" si="2955"/>
        <v>10</v>
      </c>
    </row>
    <row r="2749" spans="1:14">
      <c r="A2749" s="8">
        <f t="shared" si="2953"/>
        <v>30023</v>
      </c>
      <c r="B2749" s="8">
        <v>40000</v>
      </c>
      <c r="C2749" s="8" t="s">
        <v>298</v>
      </c>
      <c r="D2749" s="7">
        <f t="shared" si="2954"/>
        <v>50952066</v>
      </c>
      <c r="E2749" s="8"/>
      <c r="F2749" s="8">
        <v>1</v>
      </c>
      <c r="G2749" s="7">
        <v>618000</v>
      </c>
      <c r="H2749" s="8" t="s">
        <v>299</v>
      </c>
      <c r="I2749" s="8">
        <v>1</v>
      </c>
      <c r="J2749" s="8">
        <v>240</v>
      </c>
      <c r="K2749" s="7" t="s">
        <v>312</v>
      </c>
      <c r="L2749" s="8">
        <v>96</v>
      </c>
      <c r="M2749" s="7">
        <f>IF(INDEX([1]equip.xml!$B:$B,MATCH(D2749,[1]equip.xml!$A:$A,0))=0,0,N2749)</f>
        <v>10</v>
      </c>
      <c r="N2749" s="8">
        <f t="shared" si="2955"/>
        <v>10</v>
      </c>
    </row>
    <row r="2750" spans="1:14">
      <c r="A2750" s="8">
        <f t="shared" si="2953"/>
        <v>30023</v>
      </c>
      <c r="B2750" s="8">
        <v>40000</v>
      </c>
      <c r="C2750" s="8" t="s">
        <v>298</v>
      </c>
      <c r="D2750" s="7">
        <f t="shared" si="2954"/>
        <v>50953055</v>
      </c>
      <c r="E2750" s="8"/>
      <c r="F2750" s="8">
        <v>1</v>
      </c>
      <c r="G2750" s="7">
        <v>600000</v>
      </c>
      <c r="H2750" s="8" t="s">
        <v>299</v>
      </c>
      <c r="I2750" s="8">
        <v>1</v>
      </c>
      <c r="J2750" s="8">
        <v>240</v>
      </c>
      <c r="K2750" s="7" t="s">
        <v>312</v>
      </c>
      <c r="L2750" s="8">
        <v>96</v>
      </c>
      <c r="M2750" s="7">
        <f>IF(INDEX([1]equip.xml!$B:$B,MATCH(D2750,[1]equip.xml!$A:$A,0))=0,0,N2750)</f>
        <v>10</v>
      </c>
      <c r="N2750" s="8">
        <f t="shared" si="2955"/>
        <v>10</v>
      </c>
    </row>
    <row r="2751" spans="1:14">
      <c r="A2751" s="8">
        <f t="shared" si="2953"/>
        <v>30023</v>
      </c>
      <c r="B2751" s="8">
        <v>40000</v>
      </c>
      <c r="C2751" s="8" t="s">
        <v>298</v>
      </c>
      <c r="D2751" s="7">
        <f t="shared" si="2954"/>
        <v>50953056</v>
      </c>
      <c r="E2751" s="8"/>
      <c r="F2751" s="8">
        <v>1</v>
      </c>
      <c r="G2751" s="7">
        <v>618000</v>
      </c>
      <c r="H2751" s="8" t="s">
        <v>299</v>
      </c>
      <c r="I2751" s="8">
        <v>1</v>
      </c>
      <c r="J2751" s="8">
        <v>240</v>
      </c>
      <c r="K2751" s="7" t="s">
        <v>312</v>
      </c>
      <c r="L2751" s="8">
        <v>96</v>
      </c>
      <c r="M2751" s="7">
        <f>IF(INDEX([1]equip.xml!$B:$B,MATCH(D2751,[1]equip.xml!$A:$A,0))=0,0,N2751)</f>
        <v>10</v>
      </c>
      <c r="N2751" s="8">
        <f t="shared" si="2955"/>
        <v>10</v>
      </c>
    </row>
    <row r="2752" spans="1:14">
      <c r="A2752" s="8">
        <f t="shared" si="2953"/>
        <v>30023</v>
      </c>
      <c r="B2752" s="8">
        <v>40000</v>
      </c>
      <c r="C2752" s="8" t="s">
        <v>298</v>
      </c>
      <c r="D2752" s="7">
        <f t="shared" si="2954"/>
        <v>50953065</v>
      </c>
      <c r="E2752" s="8"/>
      <c r="F2752" s="8">
        <v>1</v>
      </c>
      <c r="G2752" s="7">
        <v>600000</v>
      </c>
      <c r="H2752" s="8" t="s">
        <v>299</v>
      </c>
      <c r="I2752" s="8">
        <v>1</v>
      </c>
      <c r="J2752" s="8">
        <v>240</v>
      </c>
      <c r="K2752" s="7" t="s">
        <v>312</v>
      </c>
      <c r="L2752" s="8">
        <v>96</v>
      </c>
      <c r="M2752" s="7">
        <f>IF(INDEX([1]equip.xml!$B:$B,MATCH(D2752,[1]equip.xml!$A:$A,0))=0,0,N2752)</f>
        <v>10</v>
      </c>
      <c r="N2752" s="8">
        <f t="shared" si="2955"/>
        <v>10</v>
      </c>
    </row>
    <row r="2753" spans="1:14">
      <c r="A2753" s="8">
        <f t="shared" si="2953"/>
        <v>30023</v>
      </c>
      <c r="B2753" s="8">
        <v>40000</v>
      </c>
      <c r="C2753" s="8" t="s">
        <v>298</v>
      </c>
      <c r="D2753" s="7">
        <f t="shared" si="2954"/>
        <v>50953066</v>
      </c>
      <c r="E2753" s="8"/>
      <c r="F2753" s="8">
        <v>1</v>
      </c>
      <c r="G2753" s="7">
        <v>618000</v>
      </c>
      <c r="H2753" s="8" t="s">
        <v>299</v>
      </c>
      <c r="I2753" s="8">
        <v>1</v>
      </c>
      <c r="J2753" s="8">
        <v>240</v>
      </c>
      <c r="K2753" s="7" t="s">
        <v>312</v>
      </c>
      <c r="L2753" s="8">
        <v>96</v>
      </c>
      <c r="M2753" s="7">
        <f>IF(INDEX([1]equip.xml!$B:$B,MATCH(D2753,[1]equip.xml!$A:$A,0))=0,0,N2753)</f>
        <v>10</v>
      </c>
      <c r="N2753" s="8">
        <f t="shared" si="2955"/>
        <v>10</v>
      </c>
    </row>
    <row r="2754" spans="1:14">
      <c r="A2754" s="8">
        <f t="shared" ref="A2754:A2817" si="2956">A2226+10000</f>
        <v>30023</v>
      </c>
      <c r="B2754" s="8">
        <v>40000</v>
      </c>
      <c r="C2754" s="8" t="s">
        <v>298</v>
      </c>
      <c r="D2754" s="7">
        <f t="shared" si="2954"/>
        <v>50950045</v>
      </c>
      <c r="E2754" s="8"/>
      <c r="F2754" s="8">
        <v>1</v>
      </c>
      <c r="G2754" s="7">
        <v>600000</v>
      </c>
      <c r="H2754" s="8" t="s">
        <v>299</v>
      </c>
      <c r="I2754" s="8">
        <v>1</v>
      </c>
      <c r="J2754" s="8">
        <v>240</v>
      </c>
      <c r="K2754" s="7" t="s">
        <v>312</v>
      </c>
      <c r="L2754" s="8">
        <v>96</v>
      </c>
      <c r="M2754" s="7">
        <f>IF(INDEX([1]equip.xml!$B:$B,MATCH(D2754,[1]equip.xml!$A:$A,0))=0,0,N2754)</f>
        <v>10</v>
      </c>
      <c r="N2754" s="8">
        <f t="shared" si="2955"/>
        <v>10</v>
      </c>
    </row>
    <row r="2755" spans="1:14">
      <c r="A2755" s="8">
        <f t="shared" si="2956"/>
        <v>30023</v>
      </c>
      <c r="B2755" s="8">
        <v>40000</v>
      </c>
      <c r="C2755" s="8" t="s">
        <v>298</v>
      </c>
      <c r="D2755" s="7">
        <f t="shared" si="2954"/>
        <v>50950046</v>
      </c>
      <c r="E2755" s="8"/>
      <c r="F2755" s="8">
        <v>1</v>
      </c>
      <c r="G2755" s="7">
        <v>618000</v>
      </c>
      <c r="H2755" s="8" t="s">
        <v>299</v>
      </c>
      <c r="I2755" s="8">
        <v>1</v>
      </c>
      <c r="J2755" s="8">
        <v>240</v>
      </c>
      <c r="K2755" s="7" t="s">
        <v>312</v>
      </c>
      <c r="L2755" s="8">
        <v>96</v>
      </c>
      <c r="M2755" s="7">
        <f>IF(INDEX([1]equip.xml!$B:$B,MATCH(D2755,[1]equip.xml!$A:$A,0))=0,0,N2755)</f>
        <v>10</v>
      </c>
      <c r="N2755" s="8">
        <f t="shared" si="2955"/>
        <v>10</v>
      </c>
    </row>
    <row r="2756" spans="1:14">
      <c r="A2756" s="8">
        <f t="shared" si="2956"/>
        <v>30023</v>
      </c>
      <c r="B2756" s="8">
        <v>40000</v>
      </c>
      <c r="C2756" s="8" t="s">
        <v>298</v>
      </c>
      <c r="D2756" s="7">
        <f t="shared" si="2954"/>
        <v>50950075</v>
      </c>
      <c r="E2756" s="8"/>
      <c r="F2756" s="8">
        <v>1</v>
      </c>
      <c r="G2756" s="7">
        <v>600000</v>
      </c>
      <c r="H2756" s="8" t="s">
        <v>299</v>
      </c>
      <c r="I2756" s="8">
        <v>1</v>
      </c>
      <c r="J2756" s="8">
        <v>240</v>
      </c>
      <c r="K2756" s="7" t="s">
        <v>312</v>
      </c>
      <c r="L2756" s="8">
        <v>96</v>
      </c>
      <c r="M2756" s="7">
        <f>IF(INDEX([1]equip.xml!$B:$B,MATCH(D2756,[1]equip.xml!$A:$A,0))=0,0,N2756)</f>
        <v>10</v>
      </c>
      <c r="N2756" s="8">
        <f t="shared" si="2955"/>
        <v>10</v>
      </c>
    </row>
    <row r="2757" spans="1:14">
      <c r="A2757" s="8">
        <f t="shared" si="2956"/>
        <v>30023</v>
      </c>
      <c r="B2757" s="8">
        <v>40000</v>
      </c>
      <c r="C2757" s="8" t="s">
        <v>298</v>
      </c>
      <c r="D2757" s="7">
        <f t="shared" si="2954"/>
        <v>50950076</v>
      </c>
      <c r="E2757" s="8"/>
      <c r="F2757" s="8">
        <v>1</v>
      </c>
      <c r="G2757" s="7">
        <v>618000</v>
      </c>
      <c r="H2757" s="8" t="s">
        <v>299</v>
      </c>
      <c r="I2757" s="8">
        <v>1</v>
      </c>
      <c r="J2757" s="8">
        <v>240</v>
      </c>
      <c r="K2757" s="7" t="s">
        <v>312</v>
      </c>
      <c r="L2757" s="8">
        <v>96</v>
      </c>
      <c r="M2757" s="7">
        <f>IF(INDEX([1]equip.xml!$B:$B,MATCH(D2757,[1]equip.xml!$A:$A,0))=0,0,N2757)</f>
        <v>10</v>
      </c>
      <c r="N2757" s="8">
        <f t="shared" si="2955"/>
        <v>10</v>
      </c>
    </row>
    <row r="2758" spans="1:14">
      <c r="A2758" s="8">
        <f t="shared" si="2956"/>
        <v>30024</v>
      </c>
      <c r="B2758" s="8">
        <v>40000</v>
      </c>
      <c r="C2758" s="8" t="s">
        <v>298</v>
      </c>
      <c r="D2758" s="8">
        <f t="shared" ref="D2758:D2801" si="2957">D2670+50000</f>
        <v>40950010</v>
      </c>
      <c r="E2758" s="8"/>
      <c r="F2758" s="8">
        <v>1</v>
      </c>
      <c r="G2758" s="7">
        <v>300000</v>
      </c>
      <c r="H2758" s="8" t="s">
        <v>299</v>
      </c>
      <c r="I2758" s="8">
        <v>6</v>
      </c>
      <c r="J2758" s="8">
        <v>50</v>
      </c>
      <c r="K2758" s="7" t="s">
        <v>312</v>
      </c>
      <c r="L2758" s="8">
        <v>100</v>
      </c>
      <c r="M2758" s="7">
        <f>IF(INDEX([1]equip.xml!$B:$B,MATCH(D2758,[1]equip.xml!$A:$A,0))=0,0,N2758)</f>
        <v>100</v>
      </c>
      <c r="N2758" s="8">
        <v>100</v>
      </c>
    </row>
    <row r="2759" spans="1:14">
      <c r="A2759" s="8">
        <f t="shared" si="2956"/>
        <v>30024</v>
      </c>
      <c r="B2759" s="8">
        <v>40000</v>
      </c>
      <c r="C2759" s="8" t="s">
        <v>298</v>
      </c>
      <c r="D2759" s="8">
        <f t="shared" si="2957"/>
        <v>40950020</v>
      </c>
      <c r="E2759" s="8"/>
      <c r="F2759" s="8">
        <v>1</v>
      </c>
      <c r="G2759" s="7">
        <v>300000</v>
      </c>
      <c r="H2759" s="8" t="s">
        <v>299</v>
      </c>
      <c r="I2759" s="8">
        <v>6</v>
      </c>
      <c r="J2759" s="8">
        <v>50</v>
      </c>
      <c r="K2759" s="7" t="s">
        <v>312</v>
      </c>
      <c r="L2759" s="8">
        <v>100</v>
      </c>
      <c r="M2759" s="7">
        <f>IF(INDEX([1]equip.xml!$B:$B,MATCH(D2759,[1]equip.xml!$A:$A,0))=0,0,N2759)</f>
        <v>100</v>
      </c>
      <c r="N2759" s="8">
        <v>100</v>
      </c>
    </row>
    <row r="2760" spans="1:14">
      <c r="A2760" s="8">
        <f t="shared" si="2956"/>
        <v>30024</v>
      </c>
      <c r="B2760" s="8">
        <v>40000</v>
      </c>
      <c r="C2760" s="8" t="s">
        <v>298</v>
      </c>
      <c r="D2760" s="8">
        <f t="shared" si="2957"/>
        <v>40950030</v>
      </c>
      <c r="E2760" s="8"/>
      <c r="F2760" s="8">
        <v>1</v>
      </c>
      <c r="G2760" s="7">
        <v>300000</v>
      </c>
      <c r="H2760" s="8" t="s">
        <v>299</v>
      </c>
      <c r="I2760" s="8">
        <v>6</v>
      </c>
      <c r="J2760" s="8">
        <v>50</v>
      </c>
      <c r="K2760" s="7" t="s">
        <v>312</v>
      </c>
      <c r="L2760" s="8">
        <v>100</v>
      </c>
      <c r="M2760" s="7">
        <f>IF(INDEX([1]equip.xml!$B:$B,MATCH(D2760,[1]equip.xml!$A:$A,0))=0,0,N2760)</f>
        <v>100</v>
      </c>
      <c r="N2760" s="8">
        <v>100</v>
      </c>
    </row>
    <row r="2761" spans="1:14">
      <c r="A2761" s="8">
        <f t="shared" si="2956"/>
        <v>30024</v>
      </c>
      <c r="B2761" s="8">
        <v>40000</v>
      </c>
      <c r="C2761" s="8" t="s">
        <v>298</v>
      </c>
      <c r="D2761" s="8">
        <f t="shared" si="2957"/>
        <v>40950080</v>
      </c>
      <c r="E2761" s="8"/>
      <c r="F2761" s="8">
        <v>1</v>
      </c>
      <c r="G2761" s="7">
        <v>300000</v>
      </c>
      <c r="H2761" s="8" t="s">
        <v>299</v>
      </c>
      <c r="I2761" s="8">
        <v>6</v>
      </c>
      <c r="J2761" s="8">
        <v>50</v>
      </c>
      <c r="K2761" s="7" t="s">
        <v>312</v>
      </c>
      <c r="L2761" s="8">
        <v>100</v>
      </c>
      <c r="M2761" s="7">
        <f>IF(INDEX([1]equip.xml!$B:$B,MATCH(D2761,[1]equip.xml!$A:$A,0))=0,0,N2761)</f>
        <v>100</v>
      </c>
      <c r="N2761" s="8">
        <v>100</v>
      </c>
    </row>
    <row r="2762" spans="1:14">
      <c r="A2762" s="8">
        <f t="shared" si="2956"/>
        <v>30024</v>
      </c>
      <c r="B2762" s="8">
        <v>40000</v>
      </c>
      <c r="C2762" s="8" t="s">
        <v>298</v>
      </c>
      <c r="D2762" s="8">
        <f t="shared" si="2957"/>
        <v>40950090</v>
      </c>
      <c r="E2762" s="8"/>
      <c r="F2762" s="8">
        <v>1</v>
      </c>
      <c r="G2762" s="7">
        <v>300000</v>
      </c>
      <c r="H2762" s="8" t="s">
        <v>299</v>
      </c>
      <c r="I2762" s="8">
        <v>6</v>
      </c>
      <c r="J2762" s="8">
        <v>50</v>
      </c>
      <c r="K2762" s="7" t="s">
        <v>312</v>
      </c>
      <c r="L2762" s="8">
        <v>100</v>
      </c>
      <c r="M2762" s="7">
        <f>IF(INDEX([1]equip.xml!$B:$B,MATCH(D2762,[1]equip.xml!$A:$A,0))=0,0,N2762)</f>
        <v>100</v>
      </c>
      <c r="N2762" s="8">
        <v>100</v>
      </c>
    </row>
    <row r="2763" spans="1:14">
      <c r="A2763" s="8">
        <f t="shared" si="2956"/>
        <v>30024</v>
      </c>
      <c r="B2763" s="8">
        <v>40000</v>
      </c>
      <c r="C2763" s="8" t="s">
        <v>298</v>
      </c>
      <c r="D2763" s="8">
        <f t="shared" si="2957"/>
        <v>40950100</v>
      </c>
      <c r="E2763" s="8"/>
      <c r="F2763" s="8">
        <v>1</v>
      </c>
      <c r="G2763" s="7">
        <v>300000</v>
      </c>
      <c r="H2763" s="8" t="s">
        <v>299</v>
      </c>
      <c r="I2763" s="8">
        <v>6</v>
      </c>
      <c r="J2763" s="8">
        <v>50</v>
      </c>
      <c r="K2763" s="7" t="s">
        <v>312</v>
      </c>
      <c r="L2763" s="8">
        <v>100</v>
      </c>
      <c r="M2763" s="7">
        <f>IF(INDEX([1]equip.xml!$B:$B,MATCH(D2763,[1]equip.xml!$A:$A,0))=0,0,N2763)</f>
        <v>100</v>
      </c>
      <c r="N2763" s="8">
        <v>100</v>
      </c>
    </row>
    <row r="2764" spans="1:14">
      <c r="A2764" s="8">
        <f t="shared" si="2956"/>
        <v>30024</v>
      </c>
      <c r="B2764" s="8">
        <v>40000</v>
      </c>
      <c r="C2764" s="8" t="s">
        <v>298</v>
      </c>
      <c r="D2764" s="8">
        <f t="shared" si="2957"/>
        <v>40951050</v>
      </c>
      <c r="E2764" s="8"/>
      <c r="F2764" s="8">
        <v>1</v>
      </c>
      <c r="G2764" s="7">
        <v>300000</v>
      </c>
      <c r="H2764" s="8" t="s">
        <v>299</v>
      </c>
      <c r="I2764" s="8">
        <v>6</v>
      </c>
      <c r="J2764" s="8">
        <v>50</v>
      </c>
      <c r="K2764" s="7" t="s">
        <v>312</v>
      </c>
      <c r="L2764" s="8">
        <v>100</v>
      </c>
      <c r="M2764" s="7">
        <f>IF(INDEX([1]equip.xml!$B:$B,MATCH(D2764,[1]equip.xml!$A:$A,0))=0,0,N2764)</f>
        <v>100</v>
      </c>
      <c r="N2764" s="8">
        <v>100</v>
      </c>
    </row>
    <row r="2765" spans="1:14">
      <c r="A2765" s="8">
        <f t="shared" si="2956"/>
        <v>30024</v>
      </c>
      <c r="B2765" s="8">
        <v>40000</v>
      </c>
      <c r="C2765" s="8" t="s">
        <v>298</v>
      </c>
      <c r="D2765" s="8">
        <f t="shared" si="2957"/>
        <v>40951051</v>
      </c>
      <c r="E2765" s="8"/>
      <c r="F2765" s="8">
        <v>1</v>
      </c>
      <c r="G2765" s="7">
        <v>309000</v>
      </c>
      <c r="H2765" s="8" t="s">
        <v>299</v>
      </c>
      <c r="I2765" s="8">
        <v>6</v>
      </c>
      <c r="J2765" s="8">
        <v>50</v>
      </c>
      <c r="K2765" s="7" t="s">
        <v>312</v>
      </c>
      <c r="L2765" s="8">
        <v>100</v>
      </c>
      <c r="M2765" s="7">
        <f>IF(INDEX([1]equip.xml!$B:$B,MATCH(D2765,[1]equip.xml!$A:$A,0))=0,0,N2765)</f>
        <v>100</v>
      </c>
      <c r="N2765" s="8">
        <v>100</v>
      </c>
    </row>
    <row r="2766" spans="1:14">
      <c r="A2766" s="8">
        <f t="shared" si="2956"/>
        <v>30024</v>
      </c>
      <c r="B2766" s="8">
        <v>40000</v>
      </c>
      <c r="C2766" s="8" t="s">
        <v>298</v>
      </c>
      <c r="D2766" s="8">
        <f t="shared" si="2957"/>
        <v>40951060</v>
      </c>
      <c r="E2766" s="8"/>
      <c r="F2766" s="8">
        <v>1</v>
      </c>
      <c r="G2766" s="7">
        <v>300000</v>
      </c>
      <c r="H2766" s="8" t="s">
        <v>299</v>
      </c>
      <c r="I2766" s="8">
        <v>6</v>
      </c>
      <c r="J2766" s="8">
        <v>50</v>
      </c>
      <c r="K2766" s="7" t="s">
        <v>312</v>
      </c>
      <c r="L2766" s="8">
        <v>100</v>
      </c>
      <c r="M2766" s="7">
        <f>IF(INDEX([1]equip.xml!$B:$B,MATCH(D2766,[1]equip.xml!$A:$A,0))=0,0,N2766)</f>
        <v>100</v>
      </c>
      <c r="N2766" s="8">
        <v>100</v>
      </c>
    </row>
    <row r="2767" spans="1:14">
      <c r="A2767" s="8">
        <f t="shared" si="2956"/>
        <v>30024</v>
      </c>
      <c r="B2767" s="8">
        <v>40000</v>
      </c>
      <c r="C2767" s="8" t="s">
        <v>298</v>
      </c>
      <c r="D2767" s="8">
        <f t="shared" si="2957"/>
        <v>40951061</v>
      </c>
      <c r="E2767" s="8"/>
      <c r="F2767" s="8">
        <v>1</v>
      </c>
      <c r="G2767" s="7">
        <v>309000</v>
      </c>
      <c r="H2767" s="8" t="s">
        <v>299</v>
      </c>
      <c r="I2767" s="8">
        <v>6</v>
      </c>
      <c r="J2767" s="8">
        <v>50</v>
      </c>
      <c r="K2767" s="7" t="s">
        <v>312</v>
      </c>
      <c r="L2767" s="8">
        <v>100</v>
      </c>
      <c r="M2767" s="7">
        <f>IF(INDEX([1]equip.xml!$B:$B,MATCH(D2767,[1]equip.xml!$A:$A,0))=0,0,N2767)</f>
        <v>100</v>
      </c>
      <c r="N2767" s="8">
        <v>100</v>
      </c>
    </row>
    <row r="2768" spans="1:14">
      <c r="A2768" s="8">
        <f t="shared" si="2956"/>
        <v>30024</v>
      </c>
      <c r="B2768" s="8">
        <v>40000</v>
      </c>
      <c r="C2768" s="8" t="s">
        <v>298</v>
      </c>
      <c r="D2768" s="8">
        <f t="shared" si="2957"/>
        <v>40952050</v>
      </c>
      <c r="E2768" s="8"/>
      <c r="F2768" s="8">
        <v>1</v>
      </c>
      <c r="G2768" s="7">
        <v>300000</v>
      </c>
      <c r="H2768" s="8" t="s">
        <v>299</v>
      </c>
      <c r="I2768" s="8">
        <v>6</v>
      </c>
      <c r="J2768" s="8">
        <v>50</v>
      </c>
      <c r="K2768" s="7" t="s">
        <v>312</v>
      </c>
      <c r="L2768" s="8">
        <v>100</v>
      </c>
      <c r="M2768" s="7">
        <f>IF(INDEX([1]equip.xml!$B:$B,MATCH(D2768,[1]equip.xml!$A:$A,0))=0,0,N2768)</f>
        <v>100</v>
      </c>
      <c r="N2768" s="8">
        <v>100</v>
      </c>
    </row>
    <row r="2769" spans="1:14">
      <c r="A2769" s="8">
        <f t="shared" si="2956"/>
        <v>30024</v>
      </c>
      <c r="B2769" s="8">
        <v>40000</v>
      </c>
      <c r="C2769" s="8" t="s">
        <v>298</v>
      </c>
      <c r="D2769" s="8">
        <f t="shared" si="2957"/>
        <v>40952051</v>
      </c>
      <c r="E2769" s="8"/>
      <c r="F2769" s="8">
        <v>1</v>
      </c>
      <c r="G2769" s="7">
        <v>309000</v>
      </c>
      <c r="H2769" s="8" t="s">
        <v>299</v>
      </c>
      <c r="I2769" s="8">
        <v>6</v>
      </c>
      <c r="J2769" s="8">
        <v>50</v>
      </c>
      <c r="K2769" s="7" t="s">
        <v>312</v>
      </c>
      <c r="L2769" s="8">
        <v>100</v>
      </c>
      <c r="M2769" s="7">
        <f>IF(INDEX([1]equip.xml!$B:$B,MATCH(D2769,[1]equip.xml!$A:$A,0))=0,0,N2769)</f>
        <v>100</v>
      </c>
      <c r="N2769" s="8">
        <v>100</v>
      </c>
    </row>
    <row r="2770" spans="1:14">
      <c r="A2770" s="8">
        <f t="shared" si="2956"/>
        <v>30024</v>
      </c>
      <c r="B2770" s="8">
        <v>40000</v>
      </c>
      <c r="C2770" s="8" t="s">
        <v>298</v>
      </c>
      <c r="D2770" s="8">
        <f t="shared" si="2957"/>
        <v>40952060</v>
      </c>
      <c r="E2770" s="8"/>
      <c r="F2770" s="8">
        <v>1</v>
      </c>
      <c r="G2770" s="7">
        <v>300000</v>
      </c>
      <c r="H2770" s="8" t="s">
        <v>299</v>
      </c>
      <c r="I2770" s="8">
        <v>6</v>
      </c>
      <c r="J2770" s="8">
        <v>50</v>
      </c>
      <c r="K2770" s="7" t="s">
        <v>312</v>
      </c>
      <c r="L2770" s="8">
        <v>100</v>
      </c>
      <c r="M2770" s="7">
        <f>IF(INDEX([1]equip.xml!$B:$B,MATCH(D2770,[1]equip.xml!$A:$A,0))=0,0,N2770)</f>
        <v>100</v>
      </c>
      <c r="N2770" s="8">
        <v>100</v>
      </c>
    </row>
    <row r="2771" spans="1:14">
      <c r="A2771" s="8">
        <f t="shared" si="2956"/>
        <v>30024</v>
      </c>
      <c r="B2771" s="8">
        <v>40000</v>
      </c>
      <c r="C2771" s="8" t="s">
        <v>298</v>
      </c>
      <c r="D2771" s="8">
        <f t="shared" si="2957"/>
        <v>40952061</v>
      </c>
      <c r="E2771" s="8"/>
      <c r="F2771" s="8">
        <v>1</v>
      </c>
      <c r="G2771" s="7">
        <v>309000</v>
      </c>
      <c r="H2771" s="8" t="s">
        <v>299</v>
      </c>
      <c r="I2771" s="8">
        <v>6</v>
      </c>
      <c r="J2771" s="8">
        <v>50</v>
      </c>
      <c r="K2771" s="7" t="s">
        <v>312</v>
      </c>
      <c r="L2771" s="8">
        <v>100</v>
      </c>
      <c r="M2771" s="7">
        <f>IF(INDEX([1]equip.xml!$B:$B,MATCH(D2771,[1]equip.xml!$A:$A,0))=0,0,N2771)</f>
        <v>100</v>
      </c>
      <c r="N2771" s="8">
        <v>100</v>
      </c>
    </row>
    <row r="2772" spans="1:14">
      <c r="A2772" s="8">
        <f t="shared" si="2956"/>
        <v>30024</v>
      </c>
      <c r="B2772" s="8">
        <v>40000</v>
      </c>
      <c r="C2772" s="8" t="s">
        <v>298</v>
      </c>
      <c r="D2772" s="8">
        <f t="shared" si="2957"/>
        <v>40953050</v>
      </c>
      <c r="E2772" s="8"/>
      <c r="F2772" s="8">
        <v>1</v>
      </c>
      <c r="G2772" s="7">
        <v>300000</v>
      </c>
      <c r="H2772" s="8" t="s">
        <v>299</v>
      </c>
      <c r="I2772" s="8">
        <v>6</v>
      </c>
      <c r="J2772" s="8">
        <v>50</v>
      </c>
      <c r="K2772" s="7" t="s">
        <v>312</v>
      </c>
      <c r="L2772" s="8">
        <v>100</v>
      </c>
      <c r="M2772" s="7">
        <f>IF(INDEX([1]equip.xml!$B:$B,MATCH(D2772,[1]equip.xml!$A:$A,0))=0,0,N2772)</f>
        <v>100</v>
      </c>
      <c r="N2772" s="8">
        <v>100</v>
      </c>
    </row>
    <row r="2773" spans="1:14">
      <c r="A2773" s="8">
        <f t="shared" si="2956"/>
        <v>30024</v>
      </c>
      <c r="B2773" s="8">
        <v>40000</v>
      </c>
      <c r="C2773" s="8" t="s">
        <v>298</v>
      </c>
      <c r="D2773" s="8">
        <f t="shared" si="2957"/>
        <v>40953051</v>
      </c>
      <c r="E2773" s="8"/>
      <c r="F2773" s="8">
        <v>1</v>
      </c>
      <c r="G2773" s="7">
        <v>309000</v>
      </c>
      <c r="H2773" s="8" t="s">
        <v>299</v>
      </c>
      <c r="I2773" s="8">
        <v>6</v>
      </c>
      <c r="J2773" s="8">
        <v>50</v>
      </c>
      <c r="K2773" s="7" t="s">
        <v>312</v>
      </c>
      <c r="L2773" s="8">
        <v>100</v>
      </c>
      <c r="M2773" s="7">
        <f>IF(INDEX([1]equip.xml!$B:$B,MATCH(D2773,[1]equip.xml!$A:$A,0))=0,0,N2773)</f>
        <v>100</v>
      </c>
      <c r="N2773" s="8">
        <v>100</v>
      </c>
    </row>
    <row r="2774" spans="1:14">
      <c r="A2774" s="8">
        <f t="shared" si="2956"/>
        <v>30024</v>
      </c>
      <c r="B2774" s="8">
        <v>40000</v>
      </c>
      <c r="C2774" s="8" t="s">
        <v>298</v>
      </c>
      <c r="D2774" s="8">
        <f t="shared" si="2957"/>
        <v>40953060</v>
      </c>
      <c r="E2774" s="8"/>
      <c r="F2774" s="8">
        <v>1</v>
      </c>
      <c r="G2774" s="7">
        <v>300000</v>
      </c>
      <c r="H2774" s="8" t="s">
        <v>299</v>
      </c>
      <c r="I2774" s="8">
        <v>6</v>
      </c>
      <c r="J2774" s="8">
        <v>50</v>
      </c>
      <c r="K2774" s="7" t="s">
        <v>312</v>
      </c>
      <c r="L2774" s="8">
        <v>100</v>
      </c>
      <c r="M2774" s="7">
        <f>IF(INDEX([1]equip.xml!$B:$B,MATCH(D2774,[1]equip.xml!$A:$A,0))=0,0,N2774)</f>
        <v>100</v>
      </c>
      <c r="N2774" s="8">
        <v>100</v>
      </c>
    </row>
    <row r="2775" spans="1:14">
      <c r="A2775" s="8">
        <f t="shared" si="2956"/>
        <v>30024</v>
      </c>
      <c r="B2775" s="8">
        <v>40000</v>
      </c>
      <c r="C2775" s="8" t="s">
        <v>298</v>
      </c>
      <c r="D2775" s="8">
        <f t="shared" si="2957"/>
        <v>40953061</v>
      </c>
      <c r="E2775" s="8"/>
      <c r="F2775" s="8">
        <v>1</v>
      </c>
      <c r="G2775" s="7">
        <v>309000</v>
      </c>
      <c r="H2775" s="8" t="s">
        <v>299</v>
      </c>
      <c r="I2775" s="8">
        <v>6</v>
      </c>
      <c r="J2775" s="8">
        <v>50</v>
      </c>
      <c r="K2775" s="7" t="s">
        <v>312</v>
      </c>
      <c r="L2775" s="8">
        <v>100</v>
      </c>
      <c r="M2775" s="7">
        <f>IF(INDEX([1]equip.xml!$B:$B,MATCH(D2775,[1]equip.xml!$A:$A,0))=0,0,N2775)</f>
        <v>100</v>
      </c>
      <c r="N2775" s="8">
        <v>100</v>
      </c>
    </row>
    <row r="2776" spans="1:14">
      <c r="A2776" s="8">
        <f t="shared" si="2956"/>
        <v>30024</v>
      </c>
      <c r="B2776" s="8">
        <v>40000</v>
      </c>
      <c r="C2776" s="8" t="s">
        <v>298</v>
      </c>
      <c r="D2776" s="8">
        <f t="shared" si="2957"/>
        <v>40950040</v>
      </c>
      <c r="E2776" s="8"/>
      <c r="F2776" s="8">
        <v>1</v>
      </c>
      <c r="G2776" s="7">
        <v>300000</v>
      </c>
      <c r="H2776" s="8" t="s">
        <v>299</v>
      </c>
      <c r="I2776" s="8">
        <v>6</v>
      </c>
      <c r="J2776" s="8">
        <v>50</v>
      </c>
      <c r="K2776" s="7" t="s">
        <v>312</v>
      </c>
      <c r="L2776" s="8">
        <v>100</v>
      </c>
      <c r="M2776" s="7">
        <f>IF(INDEX([1]equip.xml!$B:$B,MATCH(D2776,[1]equip.xml!$A:$A,0))=0,0,N2776)</f>
        <v>100</v>
      </c>
      <c r="N2776" s="8">
        <v>100</v>
      </c>
    </row>
    <row r="2777" spans="1:14">
      <c r="A2777" s="8">
        <f t="shared" si="2956"/>
        <v>30024</v>
      </c>
      <c r="B2777" s="8">
        <v>40000</v>
      </c>
      <c r="C2777" s="8" t="s">
        <v>298</v>
      </c>
      <c r="D2777" s="8">
        <f t="shared" si="2957"/>
        <v>40950041</v>
      </c>
      <c r="E2777" s="8"/>
      <c r="F2777" s="8">
        <v>1</v>
      </c>
      <c r="G2777" s="7">
        <v>309000</v>
      </c>
      <c r="H2777" s="8" t="s">
        <v>299</v>
      </c>
      <c r="I2777" s="8">
        <v>6</v>
      </c>
      <c r="J2777" s="8">
        <v>50</v>
      </c>
      <c r="K2777" s="7" t="s">
        <v>312</v>
      </c>
      <c r="L2777" s="8">
        <v>100</v>
      </c>
      <c r="M2777" s="7">
        <f>IF(INDEX([1]equip.xml!$B:$B,MATCH(D2777,[1]equip.xml!$A:$A,0))=0,0,N2777)</f>
        <v>100</v>
      </c>
      <c r="N2777" s="8">
        <v>100</v>
      </c>
    </row>
    <row r="2778" spans="1:14">
      <c r="A2778" s="8">
        <f t="shared" si="2956"/>
        <v>30024</v>
      </c>
      <c r="B2778" s="8">
        <v>40000</v>
      </c>
      <c r="C2778" s="8" t="s">
        <v>298</v>
      </c>
      <c r="D2778" s="8">
        <f t="shared" si="2957"/>
        <v>40950070</v>
      </c>
      <c r="E2778" s="8"/>
      <c r="F2778" s="8">
        <v>1</v>
      </c>
      <c r="G2778" s="7">
        <v>300000</v>
      </c>
      <c r="H2778" s="8" t="s">
        <v>299</v>
      </c>
      <c r="I2778" s="8">
        <v>6</v>
      </c>
      <c r="J2778" s="8">
        <v>50</v>
      </c>
      <c r="K2778" s="7" t="s">
        <v>312</v>
      </c>
      <c r="L2778" s="8">
        <v>100</v>
      </c>
      <c r="M2778" s="7">
        <f>IF(INDEX([1]equip.xml!$B:$B,MATCH(D2778,[1]equip.xml!$A:$A,0))=0,0,N2778)</f>
        <v>100</v>
      </c>
      <c r="N2778" s="8">
        <v>100</v>
      </c>
    </row>
    <row r="2779" spans="1:14">
      <c r="A2779" s="8">
        <f t="shared" si="2956"/>
        <v>30024</v>
      </c>
      <c r="B2779" s="8">
        <v>40000</v>
      </c>
      <c r="C2779" s="8" t="s">
        <v>298</v>
      </c>
      <c r="D2779" s="8">
        <f t="shared" si="2957"/>
        <v>40950071</v>
      </c>
      <c r="E2779" s="8"/>
      <c r="F2779" s="8">
        <v>1</v>
      </c>
      <c r="G2779" s="7">
        <v>309000</v>
      </c>
      <c r="H2779" s="8" t="s">
        <v>299</v>
      </c>
      <c r="I2779" s="8">
        <v>6</v>
      </c>
      <c r="J2779" s="8">
        <v>50</v>
      </c>
      <c r="K2779" s="7" t="s">
        <v>312</v>
      </c>
      <c r="L2779" s="8">
        <v>100</v>
      </c>
      <c r="M2779" s="7">
        <f>IF(INDEX([1]equip.xml!$B:$B,MATCH(D2779,[1]equip.xml!$A:$A,0))=0,0,N2779)</f>
        <v>100</v>
      </c>
      <c r="N2779" s="8">
        <v>100</v>
      </c>
    </row>
    <row r="2780" spans="1:14">
      <c r="A2780" s="8">
        <f t="shared" si="2956"/>
        <v>30024</v>
      </c>
      <c r="B2780" s="8">
        <v>40000</v>
      </c>
      <c r="C2780" s="8" t="s">
        <v>298</v>
      </c>
      <c r="D2780" s="8">
        <f t="shared" si="2957"/>
        <v>41000010</v>
      </c>
      <c r="E2780" s="8"/>
      <c r="F2780" s="8">
        <v>1</v>
      </c>
      <c r="G2780" s="7">
        <v>318000</v>
      </c>
      <c r="H2780" s="8" t="s">
        <v>299</v>
      </c>
      <c r="I2780" s="8">
        <v>6</v>
      </c>
      <c r="J2780" s="8">
        <v>50</v>
      </c>
      <c r="K2780" s="7" t="s">
        <v>312</v>
      </c>
      <c r="L2780" s="8">
        <v>100</v>
      </c>
      <c r="M2780" s="7">
        <f>IF(INDEX([1]equip.xml!$B:$B,MATCH(D2780,[1]equip.xml!$A:$A,0))=0,0,N2780)</f>
        <v>1</v>
      </c>
      <c r="N2780" s="8">
        <v>1</v>
      </c>
    </row>
    <row r="2781" spans="1:14">
      <c r="A2781" s="8">
        <f t="shared" si="2956"/>
        <v>30024</v>
      </c>
      <c r="B2781" s="8">
        <v>40000</v>
      </c>
      <c r="C2781" s="8" t="s">
        <v>298</v>
      </c>
      <c r="D2781" s="8">
        <f t="shared" si="2957"/>
        <v>41000020</v>
      </c>
      <c r="E2781" s="8"/>
      <c r="F2781" s="8">
        <v>1</v>
      </c>
      <c r="G2781" s="7">
        <v>318000</v>
      </c>
      <c r="H2781" s="8" t="s">
        <v>299</v>
      </c>
      <c r="I2781" s="8">
        <v>6</v>
      </c>
      <c r="J2781" s="8">
        <v>50</v>
      </c>
      <c r="K2781" s="7" t="s">
        <v>312</v>
      </c>
      <c r="L2781" s="8">
        <v>100</v>
      </c>
      <c r="M2781" s="7">
        <f>IF(INDEX([1]equip.xml!$B:$B,MATCH(D2781,[1]equip.xml!$A:$A,0))=0,0,N2781)</f>
        <v>1</v>
      </c>
      <c r="N2781" s="8">
        <v>1</v>
      </c>
    </row>
    <row r="2782" spans="1:14">
      <c r="A2782" s="8">
        <f t="shared" si="2956"/>
        <v>30024</v>
      </c>
      <c r="B2782" s="8">
        <v>40000</v>
      </c>
      <c r="C2782" s="8" t="s">
        <v>298</v>
      </c>
      <c r="D2782" s="8">
        <f t="shared" si="2957"/>
        <v>41000030</v>
      </c>
      <c r="E2782" s="8"/>
      <c r="F2782" s="8">
        <v>1</v>
      </c>
      <c r="G2782" s="7">
        <v>318000</v>
      </c>
      <c r="H2782" s="8" t="s">
        <v>299</v>
      </c>
      <c r="I2782" s="8">
        <v>6</v>
      </c>
      <c r="J2782" s="8">
        <v>50</v>
      </c>
      <c r="K2782" s="7" t="s">
        <v>312</v>
      </c>
      <c r="L2782" s="8">
        <v>100</v>
      </c>
      <c r="M2782" s="7">
        <f>IF(INDEX([1]equip.xml!$B:$B,MATCH(D2782,[1]equip.xml!$A:$A,0))=0,0,N2782)</f>
        <v>1</v>
      </c>
      <c r="N2782" s="8">
        <v>1</v>
      </c>
    </row>
    <row r="2783" spans="1:14">
      <c r="A2783" s="8">
        <f t="shared" si="2956"/>
        <v>30024</v>
      </c>
      <c r="B2783" s="8">
        <v>40000</v>
      </c>
      <c r="C2783" s="8" t="s">
        <v>298</v>
      </c>
      <c r="D2783" s="8">
        <f t="shared" si="2957"/>
        <v>41000080</v>
      </c>
      <c r="E2783" s="8"/>
      <c r="F2783" s="8">
        <v>1</v>
      </c>
      <c r="G2783" s="7">
        <v>318000</v>
      </c>
      <c r="H2783" s="8" t="s">
        <v>299</v>
      </c>
      <c r="I2783" s="8">
        <v>6</v>
      </c>
      <c r="J2783" s="8">
        <v>50</v>
      </c>
      <c r="K2783" s="7" t="s">
        <v>312</v>
      </c>
      <c r="L2783" s="8">
        <v>100</v>
      </c>
      <c r="M2783" s="7">
        <f>IF(INDEX([1]equip.xml!$B:$B,MATCH(D2783,[1]equip.xml!$A:$A,0))=0,0,N2783)</f>
        <v>1</v>
      </c>
      <c r="N2783" s="8">
        <v>1</v>
      </c>
    </row>
    <row r="2784" spans="1:14">
      <c r="A2784" s="8">
        <f t="shared" si="2956"/>
        <v>30024</v>
      </c>
      <c r="B2784" s="8">
        <v>40000</v>
      </c>
      <c r="C2784" s="8" t="s">
        <v>298</v>
      </c>
      <c r="D2784" s="8">
        <f t="shared" si="2957"/>
        <v>41000090</v>
      </c>
      <c r="E2784" s="8"/>
      <c r="F2784" s="8">
        <v>1</v>
      </c>
      <c r="G2784" s="7">
        <v>318000</v>
      </c>
      <c r="H2784" s="8" t="s">
        <v>299</v>
      </c>
      <c r="I2784" s="8">
        <v>6</v>
      </c>
      <c r="J2784" s="8">
        <v>50</v>
      </c>
      <c r="K2784" s="7" t="s">
        <v>312</v>
      </c>
      <c r="L2784" s="8">
        <v>100</v>
      </c>
      <c r="M2784" s="7">
        <f>IF(INDEX([1]equip.xml!$B:$B,MATCH(D2784,[1]equip.xml!$A:$A,0))=0,0,N2784)</f>
        <v>1</v>
      </c>
      <c r="N2784" s="8">
        <v>1</v>
      </c>
    </row>
    <row r="2785" spans="1:14">
      <c r="A2785" s="8">
        <f t="shared" si="2956"/>
        <v>30024</v>
      </c>
      <c r="B2785" s="8">
        <v>40000</v>
      </c>
      <c r="C2785" s="8" t="s">
        <v>298</v>
      </c>
      <c r="D2785" s="8">
        <f t="shared" si="2957"/>
        <v>41000100</v>
      </c>
      <c r="E2785" s="8"/>
      <c r="F2785" s="8">
        <v>1</v>
      </c>
      <c r="G2785" s="7">
        <v>318000</v>
      </c>
      <c r="H2785" s="8" t="s">
        <v>299</v>
      </c>
      <c r="I2785" s="8">
        <v>6</v>
      </c>
      <c r="J2785" s="8">
        <v>50</v>
      </c>
      <c r="K2785" s="7" t="s">
        <v>312</v>
      </c>
      <c r="L2785" s="8">
        <v>100</v>
      </c>
      <c r="M2785" s="7">
        <f>IF(INDEX([1]equip.xml!$B:$B,MATCH(D2785,[1]equip.xml!$A:$A,0))=0,0,N2785)</f>
        <v>1</v>
      </c>
      <c r="N2785" s="8">
        <v>1</v>
      </c>
    </row>
    <row r="2786" spans="1:14">
      <c r="A2786" s="8">
        <f t="shared" si="2956"/>
        <v>30024</v>
      </c>
      <c r="B2786" s="8">
        <v>40000</v>
      </c>
      <c r="C2786" s="8" t="s">
        <v>298</v>
      </c>
      <c r="D2786" s="8">
        <f t="shared" si="2957"/>
        <v>41001050</v>
      </c>
      <c r="E2786" s="8"/>
      <c r="F2786" s="8">
        <v>1</v>
      </c>
      <c r="G2786" s="7">
        <v>318000</v>
      </c>
      <c r="H2786" s="8" t="s">
        <v>299</v>
      </c>
      <c r="I2786" s="8">
        <v>6</v>
      </c>
      <c r="J2786" s="8">
        <v>50</v>
      </c>
      <c r="K2786" s="7" t="s">
        <v>312</v>
      </c>
      <c r="L2786" s="8">
        <v>100</v>
      </c>
      <c r="M2786" s="7">
        <f>IF(INDEX([1]equip.xml!$B:$B,MATCH(D2786,[1]equip.xml!$A:$A,0))=0,0,N2786)</f>
        <v>1</v>
      </c>
      <c r="N2786" s="8">
        <v>1</v>
      </c>
    </row>
    <row r="2787" spans="1:14">
      <c r="A2787" s="8">
        <f t="shared" si="2956"/>
        <v>30024</v>
      </c>
      <c r="B2787" s="8">
        <v>40000</v>
      </c>
      <c r="C2787" s="8" t="s">
        <v>298</v>
      </c>
      <c r="D2787" s="8">
        <f t="shared" si="2957"/>
        <v>41001051</v>
      </c>
      <c r="E2787" s="8"/>
      <c r="F2787" s="8">
        <v>1</v>
      </c>
      <c r="G2787" s="7">
        <v>327000</v>
      </c>
      <c r="H2787" s="8" t="s">
        <v>299</v>
      </c>
      <c r="I2787" s="8">
        <v>6</v>
      </c>
      <c r="J2787" s="8">
        <v>50</v>
      </c>
      <c r="K2787" s="7" t="s">
        <v>312</v>
      </c>
      <c r="L2787" s="8">
        <v>100</v>
      </c>
      <c r="M2787" s="7">
        <f>IF(INDEX([1]equip.xml!$B:$B,MATCH(D2787,[1]equip.xml!$A:$A,0))=0,0,N2787)</f>
        <v>0</v>
      </c>
      <c r="N2787" s="8">
        <v>1</v>
      </c>
    </row>
    <row r="2788" spans="1:14">
      <c r="A2788" s="8">
        <f t="shared" si="2956"/>
        <v>30024</v>
      </c>
      <c r="B2788" s="8">
        <v>40000</v>
      </c>
      <c r="C2788" s="8" t="s">
        <v>298</v>
      </c>
      <c r="D2788" s="8">
        <f t="shared" si="2957"/>
        <v>41001060</v>
      </c>
      <c r="E2788" s="8"/>
      <c r="F2788" s="8">
        <v>1</v>
      </c>
      <c r="G2788" s="7">
        <v>318000</v>
      </c>
      <c r="H2788" s="8" t="s">
        <v>299</v>
      </c>
      <c r="I2788" s="8">
        <v>6</v>
      </c>
      <c r="J2788" s="8">
        <v>50</v>
      </c>
      <c r="K2788" s="7" t="s">
        <v>312</v>
      </c>
      <c r="L2788" s="8">
        <v>100</v>
      </c>
      <c r="M2788" s="7">
        <f>IF(INDEX([1]equip.xml!$B:$B,MATCH(D2788,[1]equip.xml!$A:$A,0))=0,0,N2788)</f>
        <v>1</v>
      </c>
      <c r="N2788" s="8">
        <v>1</v>
      </c>
    </row>
    <row r="2789" spans="1:14">
      <c r="A2789" s="8">
        <f t="shared" si="2956"/>
        <v>30024</v>
      </c>
      <c r="B2789" s="8">
        <v>40000</v>
      </c>
      <c r="C2789" s="8" t="s">
        <v>298</v>
      </c>
      <c r="D2789" s="8">
        <f t="shared" si="2957"/>
        <v>41001061</v>
      </c>
      <c r="E2789" s="8"/>
      <c r="F2789" s="8">
        <v>1</v>
      </c>
      <c r="G2789" s="7">
        <v>327000</v>
      </c>
      <c r="H2789" s="8" t="s">
        <v>299</v>
      </c>
      <c r="I2789" s="8">
        <v>6</v>
      </c>
      <c r="J2789" s="8">
        <v>50</v>
      </c>
      <c r="K2789" s="7" t="s">
        <v>312</v>
      </c>
      <c r="L2789" s="8">
        <v>100</v>
      </c>
      <c r="M2789" s="7">
        <f>IF(INDEX([1]equip.xml!$B:$B,MATCH(D2789,[1]equip.xml!$A:$A,0))=0,0,N2789)</f>
        <v>0</v>
      </c>
      <c r="N2789" s="8">
        <v>1</v>
      </c>
    </row>
    <row r="2790" spans="1:14">
      <c r="A2790" s="8">
        <f t="shared" si="2956"/>
        <v>30024</v>
      </c>
      <c r="B2790" s="8">
        <v>40000</v>
      </c>
      <c r="C2790" s="8" t="s">
        <v>298</v>
      </c>
      <c r="D2790" s="8">
        <f t="shared" si="2957"/>
        <v>41002050</v>
      </c>
      <c r="E2790" s="8"/>
      <c r="F2790" s="8">
        <v>1</v>
      </c>
      <c r="G2790" s="7">
        <v>318000</v>
      </c>
      <c r="H2790" s="8" t="s">
        <v>299</v>
      </c>
      <c r="I2790" s="8">
        <v>6</v>
      </c>
      <c r="J2790" s="8">
        <v>50</v>
      </c>
      <c r="K2790" s="7" t="s">
        <v>312</v>
      </c>
      <c r="L2790" s="8">
        <v>100</v>
      </c>
      <c r="M2790" s="7">
        <f>IF(INDEX([1]equip.xml!$B:$B,MATCH(D2790,[1]equip.xml!$A:$A,0))=0,0,N2790)</f>
        <v>1</v>
      </c>
      <c r="N2790" s="8">
        <v>1</v>
      </c>
    </row>
    <row r="2791" spans="1:14">
      <c r="A2791" s="8">
        <f t="shared" si="2956"/>
        <v>30024</v>
      </c>
      <c r="B2791" s="8">
        <v>40000</v>
      </c>
      <c r="C2791" s="8" t="s">
        <v>298</v>
      </c>
      <c r="D2791" s="8">
        <f t="shared" si="2957"/>
        <v>41002051</v>
      </c>
      <c r="E2791" s="8"/>
      <c r="F2791" s="8">
        <v>1</v>
      </c>
      <c r="G2791" s="7">
        <v>327000</v>
      </c>
      <c r="H2791" s="8" t="s">
        <v>299</v>
      </c>
      <c r="I2791" s="8">
        <v>6</v>
      </c>
      <c r="J2791" s="8">
        <v>50</v>
      </c>
      <c r="K2791" s="7" t="s">
        <v>312</v>
      </c>
      <c r="L2791" s="8">
        <v>100</v>
      </c>
      <c r="M2791" s="7">
        <f>IF(INDEX([1]equip.xml!$B:$B,MATCH(D2791,[1]equip.xml!$A:$A,0))=0,0,N2791)</f>
        <v>0</v>
      </c>
      <c r="N2791" s="8">
        <v>1</v>
      </c>
    </row>
    <row r="2792" spans="1:14">
      <c r="A2792" s="8">
        <f t="shared" si="2956"/>
        <v>30024</v>
      </c>
      <c r="B2792" s="8">
        <v>40000</v>
      </c>
      <c r="C2792" s="8" t="s">
        <v>298</v>
      </c>
      <c r="D2792" s="8">
        <f t="shared" si="2957"/>
        <v>41002060</v>
      </c>
      <c r="E2792" s="8"/>
      <c r="F2792" s="8">
        <v>1</v>
      </c>
      <c r="G2792" s="7">
        <v>318000</v>
      </c>
      <c r="H2792" s="8" t="s">
        <v>299</v>
      </c>
      <c r="I2792" s="8">
        <v>6</v>
      </c>
      <c r="J2792" s="8">
        <v>50</v>
      </c>
      <c r="K2792" s="7" t="s">
        <v>312</v>
      </c>
      <c r="L2792" s="8">
        <v>100</v>
      </c>
      <c r="M2792" s="7">
        <f>IF(INDEX([1]equip.xml!$B:$B,MATCH(D2792,[1]equip.xml!$A:$A,0))=0,0,N2792)</f>
        <v>1</v>
      </c>
      <c r="N2792" s="8">
        <v>1</v>
      </c>
    </row>
    <row r="2793" spans="1:14">
      <c r="A2793" s="8">
        <f t="shared" si="2956"/>
        <v>30024</v>
      </c>
      <c r="B2793" s="8">
        <v>40000</v>
      </c>
      <c r="C2793" s="8" t="s">
        <v>298</v>
      </c>
      <c r="D2793" s="8">
        <f t="shared" si="2957"/>
        <v>41002061</v>
      </c>
      <c r="E2793" s="8"/>
      <c r="F2793" s="8">
        <v>1</v>
      </c>
      <c r="G2793" s="7">
        <v>327000</v>
      </c>
      <c r="H2793" s="8" t="s">
        <v>299</v>
      </c>
      <c r="I2793" s="8">
        <v>6</v>
      </c>
      <c r="J2793" s="8">
        <v>50</v>
      </c>
      <c r="K2793" s="7" t="s">
        <v>312</v>
      </c>
      <c r="L2793" s="8">
        <v>100</v>
      </c>
      <c r="M2793" s="7">
        <f>IF(INDEX([1]equip.xml!$B:$B,MATCH(D2793,[1]equip.xml!$A:$A,0))=0,0,N2793)</f>
        <v>0</v>
      </c>
      <c r="N2793" s="8">
        <v>1</v>
      </c>
    </row>
    <row r="2794" spans="1:14">
      <c r="A2794" s="8">
        <f t="shared" si="2956"/>
        <v>30024</v>
      </c>
      <c r="B2794" s="8">
        <v>40000</v>
      </c>
      <c r="C2794" s="8" t="s">
        <v>298</v>
      </c>
      <c r="D2794" s="8">
        <f t="shared" si="2957"/>
        <v>41003050</v>
      </c>
      <c r="E2794" s="8"/>
      <c r="F2794" s="8">
        <v>1</v>
      </c>
      <c r="G2794" s="7">
        <v>318000</v>
      </c>
      <c r="H2794" s="8" t="s">
        <v>299</v>
      </c>
      <c r="I2794" s="8">
        <v>6</v>
      </c>
      <c r="J2794" s="8">
        <v>50</v>
      </c>
      <c r="K2794" s="7" t="s">
        <v>312</v>
      </c>
      <c r="L2794" s="8">
        <v>100</v>
      </c>
      <c r="M2794" s="7">
        <f>IF(INDEX([1]equip.xml!$B:$B,MATCH(D2794,[1]equip.xml!$A:$A,0))=0,0,N2794)</f>
        <v>1</v>
      </c>
      <c r="N2794" s="8">
        <v>1</v>
      </c>
    </row>
    <row r="2795" spans="1:14">
      <c r="A2795" s="8">
        <f t="shared" si="2956"/>
        <v>30024</v>
      </c>
      <c r="B2795" s="8">
        <v>40000</v>
      </c>
      <c r="C2795" s="8" t="s">
        <v>298</v>
      </c>
      <c r="D2795" s="8">
        <f t="shared" si="2957"/>
        <v>41003051</v>
      </c>
      <c r="E2795" s="8"/>
      <c r="F2795" s="8">
        <v>1</v>
      </c>
      <c r="G2795" s="7">
        <v>327000</v>
      </c>
      <c r="H2795" s="8" t="s">
        <v>299</v>
      </c>
      <c r="I2795" s="8">
        <v>6</v>
      </c>
      <c r="J2795" s="8">
        <v>50</v>
      </c>
      <c r="K2795" s="7" t="s">
        <v>312</v>
      </c>
      <c r="L2795" s="8">
        <v>100</v>
      </c>
      <c r="M2795" s="7">
        <f>IF(INDEX([1]equip.xml!$B:$B,MATCH(D2795,[1]equip.xml!$A:$A,0))=0,0,N2795)</f>
        <v>0</v>
      </c>
      <c r="N2795" s="8">
        <v>1</v>
      </c>
    </row>
    <row r="2796" spans="1:14">
      <c r="A2796" s="8">
        <f t="shared" si="2956"/>
        <v>30024</v>
      </c>
      <c r="B2796" s="8">
        <v>40000</v>
      </c>
      <c r="C2796" s="8" t="s">
        <v>298</v>
      </c>
      <c r="D2796" s="8">
        <f t="shared" si="2957"/>
        <v>41003060</v>
      </c>
      <c r="E2796" s="8"/>
      <c r="F2796" s="8">
        <v>1</v>
      </c>
      <c r="G2796" s="7">
        <v>318000</v>
      </c>
      <c r="H2796" s="8" t="s">
        <v>299</v>
      </c>
      <c r="I2796" s="8">
        <v>6</v>
      </c>
      <c r="J2796" s="8">
        <v>50</v>
      </c>
      <c r="K2796" s="7" t="s">
        <v>312</v>
      </c>
      <c r="L2796" s="8">
        <v>100</v>
      </c>
      <c r="M2796" s="7">
        <f>IF(INDEX([1]equip.xml!$B:$B,MATCH(D2796,[1]equip.xml!$A:$A,0))=0,0,N2796)</f>
        <v>1</v>
      </c>
      <c r="N2796" s="8">
        <v>1</v>
      </c>
    </row>
    <row r="2797" spans="1:14">
      <c r="A2797" s="8">
        <f t="shared" si="2956"/>
        <v>30024</v>
      </c>
      <c r="B2797" s="8">
        <v>40000</v>
      </c>
      <c r="C2797" s="8" t="s">
        <v>298</v>
      </c>
      <c r="D2797" s="8">
        <f t="shared" si="2957"/>
        <v>41003061</v>
      </c>
      <c r="E2797" s="8"/>
      <c r="F2797" s="8">
        <v>1</v>
      </c>
      <c r="G2797" s="7">
        <v>327000</v>
      </c>
      <c r="H2797" s="8" t="s">
        <v>299</v>
      </c>
      <c r="I2797" s="8">
        <v>6</v>
      </c>
      <c r="J2797" s="8">
        <v>50</v>
      </c>
      <c r="K2797" s="7" t="s">
        <v>312</v>
      </c>
      <c r="L2797" s="8">
        <v>100</v>
      </c>
      <c r="M2797" s="7">
        <f>IF(INDEX([1]equip.xml!$B:$B,MATCH(D2797,[1]equip.xml!$A:$A,0))=0,0,N2797)</f>
        <v>0</v>
      </c>
      <c r="N2797" s="8">
        <v>1</v>
      </c>
    </row>
    <row r="2798" spans="1:14">
      <c r="A2798" s="8">
        <f t="shared" si="2956"/>
        <v>30024</v>
      </c>
      <c r="B2798" s="8">
        <v>40000</v>
      </c>
      <c r="C2798" s="8" t="s">
        <v>298</v>
      </c>
      <c r="D2798" s="8">
        <f t="shared" si="2957"/>
        <v>41000040</v>
      </c>
      <c r="E2798" s="8"/>
      <c r="F2798" s="8">
        <v>1</v>
      </c>
      <c r="G2798" s="7">
        <v>318000</v>
      </c>
      <c r="H2798" s="8" t="s">
        <v>299</v>
      </c>
      <c r="I2798" s="8">
        <v>6</v>
      </c>
      <c r="J2798" s="8">
        <v>50</v>
      </c>
      <c r="K2798" s="7" t="s">
        <v>312</v>
      </c>
      <c r="L2798" s="8">
        <v>100</v>
      </c>
      <c r="M2798" s="7">
        <f>IF(INDEX([1]equip.xml!$B:$B,MATCH(D2798,[1]equip.xml!$A:$A,0))=0,0,N2798)</f>
        <v>1</v>
      </c>
      <c r="N2798" s="8">
        <v>1</v>
      </c>
    </row>
    <row r="2799" spans="1:14">
      <c r="A2799" s="8">
        <f t="shared" si="2956"/>
        <v>30024</v>
      </c>
      <c r="B2799" s="8">
        <v>40000</v>
      </c>
      <c r="C2799" s="8" t="s">
        <v>298</v>
      </c>
      <c r="D2799" s="8">
        <f t="shared" si="2957"/>
        <v>41000041</v>
      </c>
      <c r="E2799" s="8"/>
      <c r="F2799" s="8">
        <v>1</v>
      </c>
      <c r="G2799" s="7">
        <v>327000</v>
      </c>
      <c r="H2799" s="8" t="s">
        <v>299</v>
      </c>
      <c r="I2799" s="8">
        <v>6</v>
      </c>
      <c r="J2799" s="8">
        <v>50</v>
      </c>
      <c r="K2799" s="7" t="s">
        <v>312</v>
      </c>
      <c r="L2799" s="8">
        <v>100</v>
      </c>
      <c r="M2799" s="7">
        <f>IF(INDEX([1]equip.xml!$B:$B,MATCH(D2799,[1]equip.xml!$A:$A,0))=0,0,N2799)</f>
        <v>1</v>
      </c>
      <c r="N2799" s="8">
        <v>1</v>
      </c>
    </row>
    <row r="2800" spans="1:14">
      <c r="A2800" s="8">
        <f t="shared" si="2956"/>
        <v>30024</v>
      </c>
      <c r="B2800" s="8">
        <v>40000</v>
      </c>
      <c r="C2800" s="8" t="s">
        <v>298</v>
      </c>
      <c r="D2800" s="8">
        <f t="shared" si="2957"/>
        <v>41000070</v>
      </c>
      <c r="E2800" s="8"/>
      <c r="F2800" s="8">
        <v>1</v>
      </c>
      <c r="G2800" s="7">
        <v>318000</v>
      </c>
      <c r="H2800" s="8" t="s">
        <v>299</v>
      </c>
      <c r="I2800" s="8">
        <v>6</v>
      </c>
      <c r="J2800" s="8">
        <v>50</v>
      </c>
      <c r="K2800" s="7" t="s">
        <v>312</v>
      </c>
      <c r="L2800" s="8">
        <v>100</v>
      </c>
      <c r="M2800" s="7">
        <f>IF(INDEX([1]equip.xml!$B:$B,MATCH(D2800,[1]equip.xml!$A:$A,0))=0,0,N2800)</f>
        <v>1</v>
      </c>
      <c r="N2800" s="8">
        <v>1</v>
      </c>
    </row>
    <row r="2801" spans="1:14">
      <c r="A2801" s="8">
        <f t="shared" si="2956"/>
        <v>30024</v>
      </c>
      <c r="B2801" s="8">
        <v>40000</v>
      </c>
      <c r="C2801" s="8" t="s">
        <v>298</v>
      </c>
      <c r="D2801" s="8">
        <f t="shared" si="2957"/>
        <v>41000071</v>
      </c>
      <c r="E2801" s="8"/>
      <c r="F2801" s="8">
        <v>1</v>
      </c>
      <c r="G2801" s="7">
        <v>327000</v>
      </c>
      <c r="H2801" s="8" t="s">
        <v>299</v>
      </c>
      <c r="I2801" s="8">
        <v>6</v>
      </c>
      <c r="J2801" s="8">
        <v>50</v>
      </c>
      <c r="K2801" s="7" t="s">
        <v>312</v>
      </c>
      <c r="L2801" s="8">
        <v>100</v>
      </c>
      <c r="M2801" s="7">
        <f>IF(INDEX([1]equip.xml!$B:$B,MATCH(D2801,[1]equip.xml!$A:$A,0))=0,0,N2801)</f>
        <v>1</v>
      </c>
      <c r="N2801" s="8">
        <v>1</v>
      </c>
    </row>
    <row r="2802" spans="1:14">
      <c r="A2802" s="8">
        <f t="shared" si="2956"/>
        <v>30024</v>
      </c>
      <c r="B2802" s="8">
        <v>40000</v>
      </c>
      <c r="C2802" s="8" t="s">
        <v>298</v>
      </c>
      <c r="D2802" s="7">
        <f>D2758+10000005</f>
        <v>50950015</v>
      </c>
      <c r="E2802" s="8"/>
      <c r="F2802" s="8">
        <v>1</v>
      </c>
      <c r="G2802" s="7">
        <v>600000</v>
      </c>
      <c r="H2802" s="8" t="s">
        <v>299</v>
      </c>
      <c r="I2802" s="8">
        <v>1</v>
      </c>
      <c r="J2802" s="8">
        <v>240</v>
      </c>
      <c r="K2802" s="7" t="s">
        <v>312</v>
      </c>
      <c r="L2802" s="8">
        <v>100</v>
      </c>
      <c r="M2802" s="7">
        <f>IF(INDEX([1]equip.xml!$B:$B,MATCH(D2802,[1]equip.xml!$A:$A,0))=0,0,N2802)</f>
        <v>120</v>
      </c>
      <c r="N2802" s="8">
        <v>120</v>
      </c>
    </row>
    <row r="2803" spans="1:14">
      <c r="A2803" s="8">
        <f t="shared" si="2956"/>
        <v>30024</v>
      </c>
      <c r="B2803" s="8">
        <v>40000</v>
      </c>
      <c r="C2803" s="8" t="s">
        <v>298</v>
      </c>
      <c r="D2803" s="7">
        <f t="shared" ref="D2803:D2845" si="2958">D2759+10000005</f>
        <v>50950025</v>
      </c>
      <c r="E2803" s="8"/>
      <c r="F2803" s="8">
        <v>1</v>
      </c>
      <c r="G2803" s="7">
        <v>600000</v>
      </c>
      <c r="H2803" s="8" t="s">
        <v>299</v>
      </c>
      <c r="I2803" s="8">
        <v>1</v>
      </c>
      <c r="J2803" s="8">
        <v>240</v>
      </c>
      <c r="K2803" s="7" t="s">
        <v>312</v>
      </c>
      <c r="L2803" s="8">
        <v>100</v>
      </c>
      <c r="M2803" s="7">
        <f>IF(INDEX([1]equip.xml!$B:$B,MATCH(D2803,[1]equip.xml!$A:$A,0))=0,0,N2803)</f>
        <v>120</v>
      </c>
      <c r="N2803" s="8">
        <v>120</v>
      </c>
    </row>
    <row r="2804" spans="1:14">
      <c r="A2804" s="8">
        <f t="shared" si="2956"/>
        <v>30024</v>
      </c>
      <c r="B2804" s="8">
        <v>40000</v>
      </c>
      <c r="C2804" s="8" t="s">
        <v>298</v>
      </c>
      <c r="D2804" s="7">
        <f t="shared" si="2958"/>
        <v>50950035</v>
      </c>
      <c r="E2804" s="8"/>
      <c r="F2804" s="8">
        <v>1</v>
      </c>
      <c r="G2804" s="7">
        <v>600000</v>
      </c>
      <c r="H2804" s="8" t="s">
        <v>299</v>
      </c>
      <c r="I2804" s="8">
        <v>1</v>
      </c>
      <c r="J2804" s="8">
        <v>240</v>
      </c>
      <c r="K2804" s="7" t="s">
        <v>312</v>
      </c>
      <c r="L2804" s="8">
        <v>100</v>
      </c>
      <c r="M2804" s="7">
        <f>IF(INDEX([1]equip.xml!$B:$B,MATCH(D2804,[1]equip.xml!$A:$A,0))=0,0,N2804)</f>
        <v>120</v>
      </c>
      <c r="N2804" s="8">
        <v>120</v>
      </c>
    </row>
    <row r="2805" spans="1:14">
      <c r="A2805" s="8">
        <f t="shared" si="2956"/>
        <v>30024</v>
      </c>
      <c r="B2805" s="8">
        <v>40000</v>
      </c>
      <c r="C2805" s="8" t="s">
        <v>298</v>
      </c>
      <c r="D2805" s="7">
        <f t="shared" si="2958"/>
        <v>50950085</v>
      </c>
      <c r="E2805" s="8"/>
      <c r="F2805" s="8">
        <v>1</v>
      </c>
      <c r="G2805" s="7">
        <v>600000</v>
      </c>
      <c r="H2805" s="8" t="s">
        <v>299</v>
      </c>
      <c r="I2805" s="8">
        <v>1</v>
      </c>
      <c r="J2805" s="8">
        <v>240</v>
      </c>
      <c r="K2805" s="7" t="s">
        <v>312</v>
      </c>
      <c r="L2805" s="8">
        <v>100</v>
      </c>
      <c r="M2805" s="7">
        <f>IF(INDEX([1]equip.xml!$B:$B,MATCH(D2805,[1]equip.xml!$A:$A,0))=0,0,N2805)</f>
        <v>120</v>
      </c>
      <c r="N2805" s="8">
        <v>120</v>
      </c>
    </row>
    <row r="2806" spans="1:14">
      <c r="A2806" s="8">
        <f t="shared" si="2956"/>
        <v>30024</v>
      </c>
      <c r="B2806" s="8">
        <v>40000</v>
      </c>
      <c r="C2806" s="8" t="s">
        <v>298</v>
      </c>
      <c r="D2806" s="7">
        <f t="shared" si="2958"/>
        <v>50950095</v>
      </c>
      <c r="E2806" s="8"/>
      <c r="F2806" s="8">
        <v>1</v>
      </c>
      <c r="G2806" s="7">
        <v>600000</v>
      </c>
      <c r="H2806" s="8" t="s">
        <v>299</v>
      </c>
      <c r="I2806" s="8">
        <v>1</v>
      </c>
      <c r="J2806" s="8">
        <v>240</v>
      </c>
      <c r="K2806" s="7" t="s">
        <v>312</v>
      </c>
      <c r="L2806" s="8">
        <v>100</v>
      </c>
      <c r="M2806" s="7">
        <f>IF(INDEX([1]equip.xml!$B:$B,MATCH(D2806,[1]equip.xml!$A:$A,0))=0,0,N2806)</f>
        <v>120</v>
      </c>
      <c r="N2806" s="8">
        <v>120</v>
      </c>
    </row>
    <row r="2807" spans="1:14">
      <c r="A2807" s="8">
        <f t="shared" si="2956"/>
        <v>30024</v>
      </c>
      <c r="B2807" s="8">
        <v>40000</v>
      </c>
      <c r="C2807" s="8" t="s">
        <v>298</v>
      </c>
      <c r="D2807" s="7">
        <f t="shared" si="2958"/>
        <v>50950105</v>
      </c>
      <c r="E2807" s="8"/>
      <c r="F2807" s="8">
        <v>1</v>
      </c>
      <c r="G2807" s="7">
        <v>600000</v>
      </c>
      <c r="H2807" s="8" t="s">
        <v>299</v>
      </c>
      <c r="I2807" s="8">
        <v>1</v>
      </c>
      <c r="J2807" s="8">
        <v>240</v>
      </c>
      <c r="K2807" s="7" t="s">
        <v>312</v>
      </c>
      <c r="L2807" s="8">
        <v>100</v>
      </c>
      <c r="M2807" s="7">
        <f>IF(INDEX([1]equip.xml!$B:$B,MATCH(D2807,[1]equip.xml!$A:$A,0))=0,0,N2807)</f>
        <v>120</v>
      </c>
      <c r="N2807" s="8">
        <v>120</v>
      </c>
    </row>
    <row r="2808" spans="1:14">
      <c r="A2808" s="8">
        <f t="shared" si="2956"/>
        <v>30024</v>
      </c>
      <c r="B2808" s="8">
        <v>40000</v>
      </c>
      <c r="C2808" s="8" t="s">
        <v>298</v>
      </c>
      <c r="D2808" s="7">
        <f t="shared" si="2958"/>
        <v>50951055</v>
      </c>
      <c r="E2808" s="8"/>
      <c r="F2808" s="8">
        <v>1</v>
      </c>
      <c r="G2808" s="7">
        <v>600000</v>
      </c>
      <c r="H2808" s="8" t="s">
        <v>299</v>
      </c>
      <c r="I2808" s="8">
        <v>1</v>
      </c>
      <c r="J2808" s="8">
        <v>240</v>
      </c>
      <c r="K2808" s="7" t="s">
        <v>312</v>
      </c>
      <c r="L2808" s="8">
        <v>100</v>
      </c>
      <c r="M2808" s="7">
        <f>IF(INDEX([1]equip.xml!$B:$B,MATCH(D2808,[1]equip.xml!$A:$A,0))=0,0,N2808)</f>
        <v>120</v>
      </c>
      <c r="N2808" s="8">
        <v>120</v>
      </c>
    </row>
    <row r="2809" spans="1:14">
      <c r="A2809" s="8">
        <f t="shared" si="2956"/>
        <v>30024</v>
      </c>
      <c r="B2809" s="8">
        <v>40000</v>
      </c>
      <c r="C2809" s="8" t="s">
        <v>298</v>
      </c>
      <c r="D2809" s="7">
        <f t="shared" si="2958"/>
        <v>50951056</v>
      </c>
      <c r="E2809" s="8"/>
      <c r="F2809" s="8">
        <v>1</v>
      </c>
      <c r="G2809" s="7">
        <v>618000</v>
      </c>
      <c r="H2809" s="8" t="s">
        <v>299</v>
      </c>
      <c r="I2809" s="8">
        <v>1</v>
      </c>
      <c r="J2809" s="8">
        <v>240</v>
      </c>
      <c r="K2809" s="7" t="s">
        <v>312</v>
      </c>
      <c r="L2809" s="8">
        <v>100</v>
      </c>
      <c r="M2809" s="7">
        <f>IF(INDEX([1]equip.xml!$B:$B,MATCH(D2809,[1]equip.xml!$A:$A,0))=0,0,N2809)</f>
        <v>120</v>
      </c>
      <c r="N2809" s="8">
        <v>120</v>
      </c>
    </row>
    <row r="2810" spans="1:14">
      <c r="A2810" s="8">
        <f t="shared" si="2956"/>
        <v>30024</v>
      </c>
      <c r="B2810" s="8">
        <v>40000</v>
      </c>
      <c r="C2810" s="8" t="s">
        <v>298</v>
      </c>
      <c r="D2810" s="7">
        <f t="shared" si="2958"/>
        <v>50951065</v>
      </c>
      <c r="E2810" s="8"/>
      <c r="F2810" s="8">
        <v>1</v>
      </c>
      <c r="G2810" s="7">
        <v>600000</v>
      </c>
      <c r="H2810" s="8" t="s">
        <v>299</v>
      </c>
      <c r="I2810" s="8">
        <v>1</v>
      </c>
      <c r="J2810" s="8">
        <v>240</v>
      </c>
      <c r="K2810" s="7" t="s">
        <v>312</v>
      </c>
      <c r="L2810" s="8">
        <v>100</v>
      </c>
      <c r="M2810" s="7">
        <f>IF(INDEX([1]equip.xml!$B:$B,MATCH(D2810,[1]equip.xml!$A:$A,0))=0,0,N2810)</f>
        <v>120</v>
      </c>
      <c r="N2810" s="8">
        <v>120</v>
      </c>
    </row>
    <row r="2811" spans="1:14">
      <c r="A2811" s="8">
        <f t="shared" si="2956"/>
        <v>30024</v>
      </c>
      <c r="B2811" s="8">
        <v>40000</v>
      </c>
      <c r="C2811" s="8" t="s">
        <v>298</v>
      </c>
      <c r="D2811" s="7">
        <f t="shared" si="2958"/>
        <v>50951066</v>
      </c>
      <c r="E2811" s="8"/>
      <c r="F2811" s="8">
        <v>1</v>
      </c>
      <c r="G2811" s="7">
        <v>618000</v>
      </c>
      <c r="H2811" s="8" t="s">
        <v>299</v>
      </c>
      <c r="I2811" s="8">
        <v>1</v>
      </c>
      <c r="J2811" s="8">
        <v>240</v>
      </c>
      <c r="K2811" s="7" t="s">
        <v>312</v>
      </c>
      <c r="L2811" s="8">
        <v>100</v>
      </c>
      <c r="M2811" s="7">
        <f>IF(INDEX([1]equip.xml!$B:$B,MATCH(D2811,[1]equip.xml!$A:$A,0))=0,0,N2811)</f>
        <v>120</v>
      </c>
      <c r="N2811" s="8">
        <v>120</v>
      </c>
    </row>
    <row r="2812" spans="1:14">
      <c r="A2812" s="8">
        <f t="shared" si="2956"/>
        <v>30024</v>
      </c>
      <c r="B2812" s="8">
        <v>40000</v>
      </c>
      <c r="C2812" s="8" t="s">
        <v>298</v>
      </c>
      <c r="D2812" s="7">
        <f t="shared" si="2958"/>
        <v>50952055</v>
      </c>
      <c r="E2812" s="8"/>
      <c r="F2812" s="8">
        <v>1</v>
      </c>
      <c r="G2812" s="7">
        <v>600000</v>
      </c>
      <c r="H2812" s="8" t="s">
        <v>299</v>
      </c>
      <c r="I2812" s="8">
        <v>1</v>
      </c>
      <c r="J2812" s="8">
        <v>240</v>
      </c>
      <c r="K2812" s="7" t="s">
        <v>312</v>
      </c>
      <c r="L2812" s="8">
        <v>100</v>
      </c>
      <c r="M2812" s="7">
        <f>IF(INDEX([1]equip.xml!$B:$B,MATCH(D2812,[1]equip.xml!$A:$A,0))=0,0,N2812)</f>
        <v>120</v>
      </c>
      <c r="N2812" s="8">
        <v>120</v>
      </c>
    </row>
    <row r="2813" spans="1:14">
      <c r="A2813" s="8">
        <f t="shared" si="2956"/>
        <v>30024</v>
      </c>
      <c r="B2813" s="8">
        <v>40000</v>
      </c>
      <c r="C2813" s="8" t="s">
        <v>298</v>
      </c>
      <c r="D2813" s="7">
        <f t="shared" si="2958"/>
        <v>50952056</v>
      </c>
      <c r="E2813" s="8"/>
      <c r="F2813" s="8">
        <v>1</v>
      </c>
      <c r="G2813" s="7">
        <v>618000</v>
      </c>
      <c r="H2813" s="8" t="s">
        <v>299</v>
      </c>
      <c r="I2813" s="8">
        <v>1</v>
      </c>
      <c r="J2813" s="8">
        <v>240</v>
      </c>
      <c r="K2813" s="7" t="s">
        <v>312</v>
      </c>
      <c r="L2813" s="8">
        <v>100</v>
      </c>
      <c r="M2813" s="7">
        <f>IF(INDEX([1]equip.xml!$B:$B,MATCH(D2813,[1]equip.xml!$A:$A,0))=0,0,N2813)</f>
        <v>120</v>
      </c>
      <c r="N2813" s="8">
        <v>120</v>
      </c>
    </row>
    <row r="2814" spans="1:14">
      <c r="A2814" s="8">
        <f t="shared" si="2956"/>
        <v>30024</v>
      </c>
      <c r="B2814" s="8">
        <v>40000</v>
      </c>
      <c r="C2814" s="8" t="s">
        <v>298</v>
      </c>
      <c r="D2814" s="7">
        <f t="shared" si="2958"/>
        <v>50952065</v>
      </c>
      <c r="E2814" s="8"/>
      <c r="F2814" s="8">
        <v>1</v>
      </c>
      <c r="G2814" s="7">
        <v>600000</v>
      </c>
      <c r="H2814" s="8" t="s">
        <v>299</v>
      </c>
      <c r="I2814" s="8">
        <v>1</v>
      </c>
      <c r="J2814" s="8">
        <v>240</v>
      </c>
      <c r="K2814" s="7" t="s">
        <v>312</v>
      </c>
      <c r="L2814" s="8">
        <v>100</v>
      </c>
      <c r="M2814" s="7">
        <f>IF(INDEX([1]equip.xml!$B:$B,MATCH(D2814,[1]equip.xml!$A:$A,0))=0,0,N2814)</f>
        <v>120</v>
      </c>
      <c r="N2814" s="8">
        <v>120</v>
      </c>
    </row>
    <row r="2815" spans="1:14">
      <c r="A2815" s="8">
        <f t="shared" si="2956"/>
        <v>30024</v>
      </c>
      <c r="B2815" s="8">
        <v>40000</v>
      </c>
      <c r="C2815" s="8" t="s">
        <v>298</v>
      </c>
      <c r="D2815" s="7">
        <f t="shared" si="2958"/>
        <v>50952066</v>
      </c>
      <c r="E2815" s="8"/>
      <c r="F2815" s="8">
        <v>1</v>
      </c>
      <c r="G2815" s="7">
        <v>618000</v>
      </c>
      <c r="H2815" s="8" t="s">
        <v>299</v>
      </c>
      <c r="I2815" s="8">
        <v>1</v>
      </c>
      <c r="J2815" s="8">
        <v>240</v>
      </c>
      <c r="K2815" s="7" t="s">
        <v>312</v>
      </c>
      <c r="L2815" s="8">
        <v>100</v>
      </c>
      <c r="M2815" s="7">
        <f>IF(INDEX([1]equip.xml!$B:$B,MATCH(D2815,[1]equip.xml!$A:$A,0))=0,0,N2815)</f>
        <v>120</v>
      </c>
      <c r="N2815" s="8">
        <v>120</v>
      </c>
    </row>
    <row r="2816" spans="1:14">
      <c r="A2816" s="8">
        <f t="shared" si="2956"/>
        <v>30024</v>
      </c>
      <c r="B2816" s="8">
        <v>40000</v>
      </c>
      <c r="C2816" s="8" t="s">
        <v>298</v>
      </c>
      <c r="D2816" s="7">
        <f t="shared" si="2958"/>
        <v>50953055</v>
      </c>
      <c r="E2816" s="8"/>
      <c r="F2816" s="8">
        <v>1</v>
      </c>
      <c r="G2816" s="7">
        <v>600000</v>
      </c>
      <c r="H2816" s="8" t="s">
        <v>299</v>
      </c>
      <c r="I2816" s="8">
        <v>1</v>
      </c>
      <c r="J2816" s="8">
        <v>240</v>
      </c>
      <c r="K2816" s="7" t="s">
        <v>312</v>
      </c>
      <c r="L2816" s="8">
        <v>100</v>
      </c>
      <c r="M2816" s="7">
        <f>IF(INDEX([1]equip.xml!$B:$B,MATCH(D2816,[1]equip.xml!$A:$A,0))=0,0,N2816)</f>
        <v>120</v>
      </c>
      <c r="N2816" s="8">
        <v>120</v>
      </c>
    </row>
    <row r="2817" spans="1:14">
      <c r="A2817" s="8">
        <f t="shared" si="2956"/>
        <v>30024</v>
      </c>
      <c r="B2817" s="8">
        <v>40000</v>
      </c>
      <c r="C2817" s="8" t="s">
        <v>298</v>
      </c>
      <c r="D2817" s="7">
        <f t="shared" si="2958"/>
        <v>50953056</v>
      </c>
      <c r="E2817" s="8"/>
      <c r="F2817" s="8">
        <v>1</v>
      </c>
      <c r="G2817" s="7">
        <v>618000</v>
      </c>
      <c r="H2817" s="8" t="s">
        <v>299</v>
      </c>
      <c r="I2817" s="8">
        <v>1</v>
      </c>
      <c r="J2817" s="8">
        <v>240</v>
      </c>
      <c r="K2817" s="7" t="s">
        <v>312</v>
      </c>
      <c r="L2817" s="8">
        <v>100</v>
      </c>
      <c r="M2817" s="7">
        <f>IF(INDEX([1]equip.xml!$B:$B,MATCH(D2817,[1]equip.xml!$A:$A,0))=0,0,N2817)</f>
        <v>120</v>
      </c>
      <c r="N2817" s="8">
        <v>120</v>
      </c>
    </row>
    <row r="2818" spans="1:14">
      <c r="A2818" s="8">
        <f t="shared" ref="A2818:A2845" si="2959">A2290+10000</f>
        <v>30024</v>
      </c>
      <c r="B2818" s="8">
        <v>40000</v>
      </c>
      <c r="C2818" s="8" t="s">
        <v>298</v>
      </c>
      <c r="D2818" s="7">
        <f t="shared" si="2958"/>
        <v>50953065</v>
      </c>
      <c r="E2818" s="8"/>
      <c r="F2818" s="8">
        <v>1</v>
      </c>
      <c r="G2818" s="7">
        <v>600000</v>
      </c>
      <c r="H2818" s="8" t="s">
        <v>299</v>
      </c>
      <c r="I2818" s="8">
        <v>1</v>
      </c>
      <c r="J2818" s="8">
        <v>240</v>
      </c>
      <c r="K2818" s="7" t="s">
        <v>312</v>
      </c>
      <c r="L2818" s="8">
        <v>100</v>
      </c>
      <c r="M2818" s="7">
        <f>IF(INDEX([1]equip.xml!$B:$B,MATCH(D2818,[1]equip.xml!$A:$A,0))=0,0,N2818)</f>
        <v>120</v>
      </c>
      <c r="N2818" s="8">
        <v>120</v>
      </c>
    </row>
    <row r="2819" spans="1:14">
      <c r="A2819" s="8">
        <f t="shared" si="2959"/>
        <v>30024</v>
      </c>
      <c r="B2819" s="8">
        <v>40000</v>
      </c>
      <c r="C2819" s="8" t="s">
        <v>298</v>
      </c>
      <c r="D2819" s="7">
        <f t="shared" si="2958"/>
        <v>50953066</v>
      </c>
      <c r="E2819" s="8"/>
      <c r="F2819" s="8">
        <v>1</v>
      </c>
      <c r="G2819" s="7">
        <v>618000</v>
      </c>
      <c r="H2819" s="8" t="s">
        <v>299</v>
      </c>
      <c r="I2819" s="8">
        <v>1</v>
      </c>
      <c r="J2819" s="8">
        <v>240</v>
      </c>
      <c r="K2819" s="7" t="s">
        <v>312</v>
      </c>
      <c r="L2819" s="8">
        <v>100</v>
      </c>
      <c r="M2819" s="7">
        <f>IF(INDEX([1]equip.xml!$B:$B,MATCH(D2819,[1]equip.xml!$A:$A,0))=0,0,N2819)</f>
        <v>120</v>
      </c>
      <c r="N2819" s="8">
        <v>120</v>
      </c>
    </row>
    <row r="2820" spans="1:14">
      <c r="A2820" s="8">
        <f t="shared" si="2959"/>
        <v>30024</v>
      </c>
      <c r="B2820" s="8">
        <v>40000</v>
      </c>
      <c r="C2820" s="8" t="s">
        <v>298</v>
      </c>
      <c r="D2820" s="7">
        <f t="shared" si="2958"/>
        <v>50950045</v>
      </c>
      <c r="E2820" s="8"/>
      <c r="F2820" s="8">
        <v>1</v>
      </c>
      <c r="G2820" s="7">
        <v>600000</v>
      </c>
      <c r="H2820" s="8" t="s">
        <v>299</v>
      </c>
      <c r="I2820" s="8">
        <v>1</v>
      </c>
      <c r="J2820" s="8">
        <v>240</v>
      </c>
      <c r="K2820" s="7" t="s">
        <v>312</v>
      </c>
      <c r="L2820" s="8">
        <v>100</v>
      </c>
      <c r="M2820" s="7">
        <f>IF(INDEX([1]equip.xml!$B:$B,MATCH(D2820,[1]equip.xml!$A:$A,0))=0,0,N2820)</f>
        <v>120</v>
      </c>
      <c r="N2820" s="8">
        <v>120</v>
      </c>
    </row>
    <row r="2821" spans="1:14">
      <c r="A2821" s="8">
        <f t="shared" si="2959"/>
        <v>30024</v>
      </c>
      <c r="B2821" s="8">
        <v>40000</v>
      </c>
      <c r="C2821" s="8" t="s">
        <v>298</v>
      </c>
      <c r="D2821" s="7">
        <f t="shared" si="2958"/>
        <v>50950046</v>
      </c>
      <c r="E2821" s="8"/>
      <c r="F2821" s="8">
        <v>1</v>
      </c>
      <c r="G2821" s="7">
        <v>618000</v>
      </c>
      <c r="H2821" s="8" t="s">
        <v>299</v>
      </c>
      <c r="I2821" s="8">
        <v>1</v>
      </c>
      <c r="J2821" s="8">
        <v>240</v>
      </c>
      <c r="K2821" s="7" t="s">
        <v>312</v>
      </c>
      <c r="L2821" s="8">
        <v>100</v>
      </c>
      <c r="M2821" s="7">
        <f>IF(INDEX([1]equip.xml!$B:$B,MATCH(D2821,[1]equip.xml!$A:$A,0))=0,0,N2821)</f>
        <v>120</v>
      </c>
      <c r="N2821" s="8">
        <v>120</v>
      </c>
    </row>
    <row r="2822" spans="1:14">
      <c r="A2822" s="8">
        <f t="shared" si="2959"/>
        <v>30024</v>
      </c>
      <c r="B2822" s="8">
        <v>40000</v>
      </c>
      <c r="C2822" s="8" t="s">
        <v>298</v>
      </c>
      <c r="D2822" s="7">
        <f t="shared" si="2958"/>
        <v>50950075</v>
      </c>
      <c r="E2822" s="8"/>
      <c r="F2822" s="8">
        <v>1</v>
      </c>
      <c r="G2822" s="7">
        <v>600000</v>
      </c>
      <c r="H2822" s="8" t="s">
        <v>299</v>
      </c>
      <c r="I2822" s="8">
        <v>1</v>
      </c>
      <c r="J2822" s="8">
        <v>240</v>
      </c>
      <c r="K2822" s="7" t="s">
        <v>312</v>
      </c>
      <c r="L2822" s="8">
        <v>100</v>
      </c>
      <c r="M2822" s="7">
        <f>IF(INDEX([1]equip.xml!$B:$B,MATCH(D2822,[1]equip.xml!$A:$A,0))=0,0,N2822)</f>
        <v>120</v>
      </c>
      <c r="N2822" s="8">
        <v>120</v>
      </c>
    </row>
    <row r="2823" spans="1:14">
      <c r="A2823" s="8">
        <f t="shared" si="2959"/>
        <v>30024</v>
      </c>
      <c r="B2823" s="8">
        <v>40000</v>
      </c>
      <c r="C2823" s="8" t="s">
        <v>298</v>
      </c>
      <c r="D2823" s="7">
        <f t="shared" si="2958"/>
        <v>50950076</v>
      </c>
      <c r="E2823" s="8"/>
      <c r="F2823" s="8">
        <v>1</v>
      </c>
      <c r="G2823" s="7">
        <v>618000</v>
      </c>
      <c r="H2823" s="8" t="s">
        <v>299</v>
      </c>
      <c r="I2823" s="8">
        <v>1</v>
      </c>
      <c r="J2823" s="8">
        <v>240</v>
      </c>
      <c r="K2823" s="7" t="s">
        <v>312</v>
      </c>
      <c r="L2823" s="8">
        <v>100</v>
      </c>
      <c r="M2823" s="7">
        <f>IF(INDEX([1]equip.xml!$B:$B,MATCH(D2823,[1]equip.xml!$A:$A,0))=0,0,N2823)</f>
        <v>120</v>
      </c>
      <c r="N2823" s="8">
        <v>120</v>
      </c>
    </row>
    <row r="2824" spans="1:14">
      <c r="A2824" s="8">
        <f t="shared" si="2959"/>
        <v>30024</v>
      </c>
      <c r="B2824" s="8">
        <v>40000</v>
      </c>
      <c r="C2824" s="8" t="s">
        <v>298</v>
      </c>
      <c r="D2824" s="7">
        <f t="shared" si="2958"/>
        <v>51000015</v>
      </c>
      <c r="E2824" s="8"/>
      <c r="F2824" s="8">
        <v>1</v>
      </c>
      <c r="G2824" s="7">
        <v>636000</v>
      </c>
      <c r="H2824" s="8" t="s">
        <v>299</v>
      </c>
      <c r="I2824" s="8">
        <v>1</v>
      </c>
      <c r="J2824" s="8">
        <v>240</v>
      </c>
      <c r="K2824" s="7" t="s">
        <v>312</v>
      </c>
      <c r="L2824" s="8">
        <v>100</v>
      </c>
      <c r="M2824" s="7">
        <f>IF(INDEX([1]equip.xml!$B:$B,MATCH(D2824,[1]equip.xml!$A:$A,0))=0,0,N2824)</f>
        <v>1</v>
      </c>
      <c r="N2824" s="8">
        <f t="shared" ref="N2824:N2845" si="2960">N2780</f>
        <v>1</v>
      </c>
    </row>
    <row r="2825" spans="1:14">
      <c r="A2825" s="8">
        <f t="shared" si="2959"/>
        <v>30024</v>
      </c>
      <c r="B2825" s="8">
        <v>40000</v>
      </c>
      <c r="C2825" s="8" t="s">
        <v>298</v>
      </c>
      <c r="D2825" s="7">
        <f t="shared" si="2958"/>
        <v>51000025</v>
      </c>
      <c r="E2825" s="8"/>
      <c r="F2825" s="8">
        <v>1</v>
      </c>
      <c r="G2825" s="7">
        <v>636000</v>
      </c>
      <c r="H2825" s="8" t="s">
        <v>299</v>
      </c>
      <c r="I2825" s="8">
        <v>1</v>
      </c>
      <c r="J2825" s="8">
        <v>240</v>
      </c>
      <c r="K2825" s="7" t="s">
        <v>312</v>
      </c>
      <c r="L2825" s="8">
        <v>100</v>
      </c>
      <c r="M2825" s="7">
        <f>IF(INDEX([1]equip.xml!$B:$B,MATCH(D2825,[1]equip.xml!$A:$A,0))=0,0,N2825)</f>
        <v>1</v>
      </c>
      <c r="N2825" s="8">
        <f t="shared" si="2960"/>
        <v>1</v>
      </c>
    </row>
    <row r="2826" spans="1:14">
      <c r="A2826" s="8">
        <f t="shared" si="2959"/>
        <v>30024</v>
      </c>
      <c r="B2826" s="8">
        <v>40000</v>
      </c>
      <c r="C2826" s="8" t="s">
        <v>298</v>
      </c>
      <c r="D2826" s="7">
        <f t="shared" si="2958"/>
        <v>51000035</v>
      </c>
      <c r="E2826" s="8"/>
      <c r="F2826" s="8">
        <v>1</v>
      </c>
      <c r="G2826" s="7">
        <v>636000</v>
      </c>
      <c r="H2826" s="8" t="s">
        <v>299</v>
      </c>
      <c r="I2826" s="8">
        <v>1</v>
      </c>
      <c r="J2826" s="8">
        <v>240</v>
      </c>
      <c r="K2826" s="7" t="s">
        <v>312</v>
      </c>
      <c r="L2826" s="8">
        <v>100</v>
      </c>
      <c r="M2826" s="7">
        <f>IF(INDEX([1]equip.xml!$B:$B,MATCH(D2826,[1]equip.xml!$A:$A,0))=0,0,N2826)</f>
        <v>1</v>
      </c>
      <c r="N2826" s="8">
        <f t="shared" si="2960"/>
        <v>1</v>
      </c>
    </row>
    <row r="2827" spans="1:14">
      <c r="A2827" s="8">
        <f t="shared" si="2959"/>
        <v>30024</v>
      </c>
      <c r="B2827" s="8">
        <v>40000</v>
      </c>
      <c r="C2827" s="8" t="s">
        <v>298</v>
      </c>
      <c r="D2827" s="7">
        <f t="shared" si="2958"/>
        <v>51000085</v>
      </c>
      <c r="E2827" s="8"/>
      <c r="F2827" s="8">
        <v>1</v>
      </c>
      <c r="G2827" s="7">
        <v>636000</v>
      </c>
      <c r="H2827" s="8" t="s">
        <v>299</v>
      </c>
      <c r="I2827" s="8">
        <v>1</v>
      </c>
      <c r="J2827" s="8">
        <v>240</v>
      </c>
      <c r="K2827" s="7" t="s">
        <v>312</v>
      </c>
      <c r="L2827" s="8">
        <v>100</v>
      </c>
      <c r="M2827" s="7">
        <f>IF(INDEX([1]equip.xml!$B:$B,MATCH(D2827,[1]equip.xml!$A:$A,0))=0,0,N2827)</f>
        <v>1</v>
      </c>
      <c r="N2827" s="8">
        <f t="shared" si="2960"/>
        <v>1</v>
      </c>
    </row>
    <row r="2828" spans="1:14">
      <c r="A2828" s="8">
        <f t="shared" si="2959"/>
        <v>30024</v>
      </c>
      <c r="B2828" s="8">
        <v>40000</v>
      </c>
      <c r="C2828" s="8" t="s">
        <v>298</v>
      </c>
      <c r="D2828" s="7">
        <f t="shared" si="2958"/>
        <v>51000095</v>
      </c>
      <c r="E2828" s="8"/>
      <c r="F2828" s="8">
        <v>1</v>
      </c>
      <c r="G2828" s="7">
        <v>636000</v>
      </c>
      <c r="H2828" s="8" t="s">
        <v>299</v>
      </c>
      <c r="I2828" s="8">
        <v>1</v>
      </c>
      <c r="J2828" s="8">
        <v>240</v>
      </c>
      <c r="K2828" s="7" t="s">
        <v>312</v>
      </c>
      <c r="L2828" s="8">
        <v>100</v>
      </c>
      <c r="M2828" s="7">
        <f>IF(INDEX([1]equip.xml!$B:$B,MATCH(D2828,[1]equip.xml!$A:$A,0))=0,0,N2828)</f>
        <v>1</v>
      </c>
      <c r="N2828" s="8">
        <f t="shared" si="2960"/>
        <v>1</v>
      </c>
    </row>
    <row r="2829" spans="1:14">
      <c r="A2829" s="8">
        <f t="shared" si="2959"/>
        <v>30024</v>
      </c>
      <c r="B2829" s="8">
        <v>40000</v>
      </c>
      <c r="C2829" s="8" t="s">
        <v>298</v>
      </c>
      <c r="D2829" s="7">
        <f t="shared" si="2958"/>
        <v>51000105</v>
      </c>
      <c r="E2829" s="8"/>
      <c r="F2829" s="8">
        <v>1</v>
      </c>
      <c r="G2829" s="7">
        <v>636000</v>
      </c>
      <c r="H2829" s="8" t="s">
        <v>299</v>
      </c>
      <c r="I2829" s="8">
        <v>1</v>
      </c>
      <c r="J2829" s="8">
        <v>240</v>
      </c>
      <c r="K2829" s="7" t="s">
        <v>312</v>
      </c>
      <c r="L2829" s="8">
        <v>100</v>
      </c>
      <c r="M2829" s="7">
        <f>IF(INDEX([1]equip.xml!$B:$B,MATCH(D2829,[1]equip.xml!$A:$A,0))=0,0,N2829)</f>
        <v>1</v>
      </c>
      <c r="N2829" s="8">
        <f t="shared" si="2960"/>
        <v>1</v>
      </c>
    </row>
    <row r="2830" spans="1:14">
      <c r="A2830" s="8">
        <f t="shared" si="2959"/>
        <v>30024</v>
      </c>
      <c r="B2830" s="8">
        <v>40000</v>
      </c>
      <c r="C2830" s="8" t="s">
        <v>298</v>
      </c>
      <c r="D2830" s="7">
        <f t="shared" si="2958"/>
        <v>51001055</v>
      </c>
      <c r="E2830" s="8"/>
      <c r="F2830" s="8">
        <v>1</v>
      </c>
      <c r="G2830" s="7">
        <v>636000</v>
      </c>
      <c r="H2830" s="8" t="s">
        <v>299</v>
      </c>
      <c r="I2830" s="8">
        <v>1</v>
      </c>
      <c r="J2830" s="8">
        <v>240</v>
      </c>
      <c r="K2830" s="7" t="s">
        <v>312</v>
      </c>
      <c r="L2830" s="8">
        <v>100</v>
      </c>
      <c r="M2830" s="7">
        <f>IF(INDEX([1]equip.xml!$B:$B,MATCH(D2830,[1]equip.xml!$A:$A,0))=0,0,N2830)</f>
        <v>1</v>
      </c>
      <c r="N2830" s="8">
        <f t="shared" si="2960"/>
        <v>1</v>
      </c>
    </row>
    <row r="2831" spans="1:14">
      <c r="A2831" s="8">
        <f t="shared" si="2959"/>
        <v>30024</v>
      </c>
      <c r="B2831" s="8">
        <v>40000</v>
      </c>
      <c r="C2831" s="8" t="s">
        <v>298</v>
      </c>
      <c r="D2831" s="7">
        <f t="shared" si="2958"/>
        <v>51001056</v>
      </c>
      <c r="E2831" s="8"/>
      <c r="F2831" s="8">
        <v>1</v>
      </c>
      <c r="G2831" s="7">
        <v>654000</v>
      </c>
      <c r="H2831" s="8" t="s">
        <v>299</v>
      </c>
      <c r="I2831" s="8">
        <v>1</v>
      </c>
      <c r="J2831" s="8">
        <v>240</v>
      </c>
      <c r="K2831" s="7" t="s">
        <v>312</v>
      </c>
      <c r="L2831" s="8">
        <v>100</v>
      </c>
      <c r="M2831" s="7">
        <f>IF(INDEX([1]equip.xml!$B:$B,MATCH(D2831,[1]equip.xml!$A:$A,0))=0,0,N2831)</f>
        <v>0</v>
      </c>
      <c r="N2831" s="8">
        <f t="shared" si="2960"/>
        <v>1</v>
      </c>
    </row>
    <row r="2832" spans="1:14">
      <c r="A2832" s="8">
        <f t="shared" si="2959"/>
        <v>30024</v>
      </c>
      <c r="B2832" s="8">
        <v>40000</v>
      </c>
      <c r="C2832" s="8" t="s">
        <v>298</v>
      </c>
      <c r="D2832" s="7">
        <f t="shared" si="2958"/>
        <v>51001065</v>
      </c>
      <c r="E2832" s="8"/>
      <c r="F2832" s="8">
        <v>1</v>
      </c>
      <c r="G2832" s="7">
        <v>636000</v>
      </c>
      <c r="H2832" s="8" t="s">
        <v>299</v>
      </c>
      <c r="I2832" s="8">
        <v>1</v>
      </c>
      <c r="J2832" s="8">
        <v>240</v>
      </c>
      <c r="K2832" s="7" t="s">
        <v>312</v>
      </c>
      <c r="L2832" s="8">
        <v>100</v>
      </c>
      <c r="M2832" s="7">
        <f>IF(INDEX([1]equip.xml!$B:$B,MATCH(D2832,[1]equip.xml!$A:$A,0))=0,0,N2832)</f>
        <v>1</v>
      </c>
      <c r="N2832" s="8">
        <f t="shared" si="2960"/>
        <v>1</v>
      </c>
    </row>
    <row r="2833" spans="1:14">
      <c r="A2833" s="8">
        <f t="shared" si="2959"/>
        <v>30024</v>
      </c>
      <c r="B2833" s="8">
        <v>40000</v>
      </c>
      <c r="C2833" s="8" t="s">
        <v>298</v>
      </c>
      <c r="D2833" s="7">
        <f t="shared" si="2958"/>
        <v>51001066</v>
      </c>
      <c r="E2833" s="8"/>
      <c r="F2833" s="8">
        <v>1</v>
      </c>
      <c r="G2833" s="7">
        <v>654000</v>
      </c>
      <c r="H2833" s="8" t="s">
        <v>299</v>
      </c>
      <c r="I2833" s="8">
        <v>1</v>
      </c>
      <c r="J2833" s="8">
        <v>240</v>
      </c>
      <c r="K2833" s="7" t="s">
        <v>312</v>
      </c>
      <c r="L2833" s="8">
        <v>100</v>
      </c>
      <c r="M2833" s="7">
        <f>IF(INDEX([1]equip.xml!$B:$B,MATCH(D2833,[1]equip.xml!$A:$A,0))=0,0,N2833)</f>
        <v>0</v>
      </c>
      <c r="N2833" s="8">
        <f t="shared" si="2960"/>
        <v>1</v>
      </c>
    </row>
    <row r="2834" spans="1:14">
      <c r="A2834" s="8">
        <f t="shared" si="2959"/>
        <v>30024</v>
      </c>
      <c r="B2834" s="8">
        <v>40000</v>
      </c>
      <c r="C2834" s="8" t="s">
        <v>298</v>
      </c>
      <c r="D2834" s="7">
        <f t="shared" si="2958"/>
        <v>51002055</v>
      </c>
      <c r="E2834" s="8"/>
      <c r="F2834" s="8">
        <v>1</v>
      </c>
      <c r="G2834" s="7">
        <v>636000</v>
      </c>
      <c r="H2834" s="8" t="s">
        <v>299</v>
      </c>
      <c r="I2834" s="8">
        <v>1</v>
      </c>
      <c r="J2834" s="8">
        <v>240</v>
      </c>
      <c r="K2834" s="7" t="s">
        <v>312</v>
      </c>
      <c r="L2834" s="8">
        <v>100</v>
      </c>
      <c r="M2834" s="7">
        <f>IF(INDEX([1]equip.xml!$B:$B,MATCH(D2834,[1]equip.xml!$A:$A,0))=0,0,N2834)</f>
        <v>1</v>
      </c>
      <c r="N2834" s="8">
        <f t="shared" si="2960"/>
        <v>1</v>
      </c>
    </row>
    <row r="2835" spans="1:14">
      <c r="A2835" s="8">
        <f t="shared" si="2959"/>
        <v>30024</v>
      </c>
      <c r="B2835" s="8">
        <v>40000</v>
      </c>
      <c r="C2835" s="8" t="s">
        <v>298</v>
      </c>
      <c r="D2835" s="7">
        <f t="shared" si="2958"/>
        <v>51002056</v>
      </c>
      <c r="E2835" s="8"/>
      <c r="F2835" s="8">
        <v>1</v>
      </c>
      <c r="G2835" s="7">
        <v>654000</v>
      </c>
      <c r="H2835" s="8" t="s">
        <v>299</v>
      </c>
      <c r="I2835" s="8">
        <v>1</v>
      </c>
      <c r="J2835" s="8">
        <v>240</v>
      </c>
      <c r="K2835" s="7" t="s">
        <v>312</v>
      </c>
      <c r="L2835" s="8">
        <v>100</v>
      </c>
      <c r="M2835" s="7">
        <f>IF(INDEX([1]equip.xml!$B:$B,MATCH(D2835,[1]equip.xml!$A:$A,0))=0,0,N2835)</f>
        <v>0</v>
      </c>
      <c r="N2835" s="8">
        <f t="shared" si="2960"/>
        <v>1</v>
      </c>
    </row>
    <row r="2836" spans="1:14">
      <c r="A2836" s="8">
        <f t="shared" si="2959"/>
        <v>30024</v>
      </c>
      <c r="B2836" s="8">
        <v>40000</v>
      </c>
      <c r="C2836" s="8" t="s">
        <v>298</v>
      </c>
      <c r="D2836" s="7">
        <f t="shared" si="2958"/>
        <v>51002065</v>
      </c>
      <c r="E2836" s="8"/>
      <c r="F2836" s="8">
        <v>1</v>
      </c>
      <c r="G2836" s="7">
        <v>636000</v>
      </c>
      <c r="H2836" s="8" t="s">
        <v>299</v>
      </c>
      <c r="I2836" s="8">
        <v>1</v>
      </c>
      <c r="J2836" s="8">
        <v>240</v>
      </c>
      <c r="K2836" s="7" t="s">
        <v>312</v>
      </c>
      <c r="L2836" s="8">
        <v>100</v>
      </c>
      <c r="M2836" s="7">
        <f>IF(INDEX([1]equip.xml!$B:$B,MATCH(D2836,[1]equip.xml!$A:$A,0))=0,0,N2836)</f>
        <v>1</v>
      </c>
      <c r="N2836" s="8">
        <f t="shared" si="2960"/>
        <v>1</v>
      </c>
    </row>
    <row r="2837" spans="1:14">
      <c r="A2837" s="8">
        <f t="shared" si="2959"/>
        <v>30024</v>
      </c>
      <c r="B2837" s="8">
        <v>40000</v>
      </c>
      <c r="C2837" s="8" t="s">
        <v>298</v>
      </c>
      <c r="D2837" s="7">
        <f t="shared" si="2958"/>
        <v>51002066</v>
      </c>
      <c r="E2837" s="8"/>
      <c r="F2837" s="8">
        <v>1</v>
      </c>
      <c r="G2837" s="7">
        <v>654000</v>
      </c>
      <c r="H2837" s="8" t="s">
        <v>299</v>
      </c>
      <c r="I2837" s="8">
        <v>1</v>
      </c>
      <c r="J2837" s="8">
        <v>240</v>
      </c>
      <c r="K2837" s="7" t="s">
        <v>312</v>
      </c>
      <c r="L2837" s="8">
        <v>100</v>
      </c>
      <c r="M2837" s="7">
        <f>IF(INDEX([1]equip.xml!$B:$B,MATCH(D2837,[1]equip.xml!$A:$A,0))=0,0,N2837)</f>
        <v>0</v>
      </c>
      <c r="N2837" s="8">
        <f t="shared" si="2960"/>
        <v>1</v>
      </c>
    </row>
    <row r="2838" spans="1:14">
      <c r="A2838" s="8">
        <f t="shared" si="2959"/>
        <v>30024</v>
      </c>
      <c r="B2838" s="8">
        <v>40000</v>
      </c>
      <c r="C2838" s="8" t="s">
        <v>298</v>
      </c>
      <c r="D2838" s="7">
        <f t="shared" si="2958"/>
        <v>51003055</v>
      </c>
      <c r="E2838" s="8"/>
      <c r="F2838" s="8">
        <v>1</v>
      </c>
      <c r="G2838" s="7">
        <v>636000</v>
      </c>
      <c r="H2838" s="8" t="s">
        <v>299</v>
      </c>
      <c r="I2838" s="8">
        <v>1</v>
      </c>
      <c r="J2838" s="8">
        <v>240</v>
      </c>
      <c r="K2838" s="7" t="s">
        <v>312</v>
      </c>
      <c r="L2838" s="8">
        <v>100</v>
      </c>
      <c r="M2838" s="7">
        <f>IF(INDEX([1]equip.xml!$B:$B,MATCH(D2838,[1]equip.xml!$A:$A,0))=0,0,N2838)</f>
        <v>1</v>
      </c>
      <c r="N2838" s="8">
        <f t="shared" si="2960"/>
        <v>1</v>
      </c>
    </row>
    <row r="2839" spans="1:14">
      <c r="A2839" s="8">
        <f t="shared" si="2959"/>
        <v>30024</v>
      </c>
      <c r="B2839" s="8">
        <v>40000</v>
      </c>
      <c r="C2839" s="8" t="s">
        <v>298</v>
      </c>
      <c r="D2839" s="7">
        <f t="shared" si="2958"/>
        <v>51003056</v>
      </c>
      <c r="E2839" s="8"/>
      <c r="F2839" s="8">
        <v>1</v>
      </c>
      <c r="G2839" s="7">
        <v>654000</v>
      </c>
      <c r="H2839" s="8" t="s">
        <v>299</v>
      </c>
      <c r="I2839" s="8">
        <v>1</v>
      </c>
      <c r="J2839" s="8">
        <v>240</v>
      </c>
      <c r="K2839" s="7" t="s">
        <v>312</v>
      </c>
      <c r="L2839" s="8">
        <v>100</v>
      </c>
      <c r="M2839" s="7">
        <f>IF(INDEX([1]equip.xml!$B:$B,MATCH(D2839,[1]equip.xml!$A:$A,0))=0,0,N2839)</f>
        <v>0</v>
      </c>
      <c r="N2839" s="8">
        <f t="shared" si="2960"/>
        <v>1</v>
      </c>
    </row>
    <row r="2840" spans="1:14">
      <c r="A2840" s="8">
        <f t="shared" si="2959"/>
        <v>30024</v>
      </c>
      <c r="B2840" s="8">
        <v>40000</v>
      </c>
      <c r="C2840" s="8" t="s">
        <v>298</v>
      </c>
      <c r="D2840" s="7">
        <f t="shared" si="2958"/>
        <v>51003065</v>
      </c>
      <c r="E2840" s="8"/>
      <c r="F2840" s="8">
        <v>1</v>
      </c>
      <c r="G2840" s="7">
        <v>636000</v>
      </c>
      <c r="H2840" s="8" t="s">
        <v>299</v>
      </c>
      <c r="I2840" s="8">
        <v>1</v>
      </c>
      <c r="J2840" s="8">
        <v>240</v>
      </c>
      <c r="K2840" s="7" t="s">
        <v>312</v>
      </c>
      <c r="L2840" s="8">
        <v>100</v>
      </c>
      <c r="M2840" s="7">
        <f>IF(INDEX([1]equip.xml!$B:$B,MATCH(D2840,[1]equip.xml!$A:$A,0))=0,0,N2840)</f>
        <v>1</v>
      </c>
      <c r="N2840" s="8">
        <f t="shared" si="2960"/>
        <v>1</v>
      </c>
    </row>
    <row r="2841" spans="1:14">
      <c r="A2841" s="8">
        <f t="shared" si="2959"/>
        <v>30024</v>
      </c>
      <c r="B2841" s="8">
        <v>40000</v>
      </c>
      <c r="C2841" s="8" t="s">
        <v>298</v>
      </c>
      <c r="D2841" s="7">
        <f t="shared" si="2958"/>
        <v>51003066</v>
      </c>
      <c r="E2841" s="8"/>
      <c r="F2841" s="8">
        <v>1</v>
      </c>
      <c r="G2841" s="7">
        <v>654000</v>
      </c>
      <c r="H2841" s="8" t="s">
        <v>299</v>
      </c>
      <c r="I2841" s="8">
        <v>1</v>
      </c>
      <c r="J2841" s="8">
        <v>240</v>
      </c>
      <c r="K2841" s="7" t="s">
        <v>312</v>
      </c>
      <c r="L2841" s="8">
        <v>100</v>
      </c>
      <c r="M2841" s="7">
        <f>IF(INDEX([1]equip.xml!$B:$B,MATCH(D2841,[1]equip.xml!$A:$A,0))=0,0,N2841)</f>
        <v>0</v>
      </c>
      <c r="N2841" s="8">
        <f t="shared" si="2960"/>
        <v>1</v>
      </c>
    </row>
    <row r="2842" spans="1:14">
      <c r="A2842" s="8">
        <f t="shared" si="2959"/>
        <v>30024</v>
      </c>
      <c r="B2842" s="8">
        <v>40000</v>
      </c>
      <c r="C2842" s="8" t="s">
        <v>298</v>
      </c>
      <c r="D2842" s="7">
        <f t="shared" si="2958"/>
        <v>51000045</v>
      </c>
      <c r="E2842" s="8"/>
      <c r="F2842" s="8">
        <v>1</v>
      </c>
      <c r="G2842" s="7">
        <v>636000</v>
      </c>
      <c r="H2842" s="8" t="s">
        <v>299</v>
      </c>
      <c r="I2842" s="8">
        <v>1</v>
      </c>
      <c r="J2842" s="8">
        <v>240</v>
      </c>
      <c r="K2842" s="7" t="s">
        <v>312</v>
      </c>
      <c r="L2842" s="8">
        <v>100</v>
      </c>
      <c r="M2842" s="7">
        <f>IF(INDEX([1]equip.xml!$B:$B,MATCH(D2842,[1]equip.xml!$A:$A,0))=0,0,N2842)</f>
        <v>1</v>
      </c>
      <c r="N2842" s="8">
        <f t="shared" si="2960"/>
        <v>1</v>
      </c>
    </row>
    <row r="2843" spans="1:14">
      <c r="A2843" s="8">
        <f t="shared" si="2959"/>
        <v>30024</v>
      </c>
      <c r="B2843" s="8">
        <v>40000</v>
      </c>
      <c r="C2843" s="8" t="s">
        <v>298</v>
      </c>
      <c r="D2843" s="7">
        <f t="shared" si="2958"/>
        <v>51000046</v>
      </c>
      <c r="E2843" s="8"/>
      <c r="F2843" s="8">
        <v>1</v>
      </c>
      <c r="G2843" s="7">
        <v>654000</v>
      </c>
      <c r="H2843" s="8" t="s">
        <v>299</v>
      </c>
      <c r="I2843" s="8">
        <v>1</v>
      </c>
      <c r="J2843" s="8">
        <v>240</v>
      </c>
      <c r="K2843" s="7" t="s">
        <v>312</v>
      </c>
      <c r="L2843" s="8">
        <v>100</v>
      </c>
      <c r="M2843" s="7">
        <f>IF(INDEX([1]equip.xml!$B:$B,MATCH(D2843,[1]equip.xml!$A:$A,0))=0,0,N2843)</f>
        <v>1</v>
      </c>
      <c r="N2843" s="8">
        <f t="shared" si="2960"/>
        <v>1</v>
      </c>
    </row>
    <row r="2844" spans="1:14">
      <c r="A2844" s="8">
        <f t="shared" si="2959"/>
        <v>30024</v>
      </c>
      <c r="B2844" s="8">
        <v>40000</v>
      </c>
      <c r="C2844" s="8" t="s">
        <v>298</v>
      </c>
      <c r="D2844" s="7">
        <f t="shared" si="2958"/>
        <v>51000075</v>
      </c>
      <c r="E2844" s="8"/>
      <c r="F2844" s="8">
        <v>1</v>
      </c>
      <c r="G2844" s="7">
        <v>636000</v>
      </c>
      <c r="H2844" s="8" t="s">
        <v>299</v>
      </c>
      <c r="I2844" s="8">
        <v>1</v>
      </c>
      <c r="J2844" s="8">
        <v>240</v>
      </c>
      <c r="K2844" s="7" t="s">
        <v>312</v>
      </c>
      <c r="L2844" s="8">
        <v>100</v>
      </c>
      <c r="M2844" s="7">
        <f>IF(INDEX([1]equip.xml!$B:$B,MATCH(D2844,[1]equip.xml!$A:$A,0))=0,0,N2844)</f>
        <v>1</v>
      </c>
      <c r="N2844" s="8">
        <f t="shared" si="2960"/>
        <v>1</v>
      </c>
    </row>
    <row r="2845" spans="1:14">
      <c r="A2845" s="8">
        <f t="shared" si="2959"/>
        <v>30024</v>
      </c>
      <c r="B2845" s="8">
        <v>40000</v>
      </c>
      <c r="C2845" s="8" t="s">
        <v>298</v>
      </c>
      <c r="D2845" s="7">
        <f t="shared" si="2958"/>
        <v>51000076</v>
      </c>
      <c r="E2845" s="8"/>
      <c r="F2845" s="8">
        <v>1</v>
      </c>
      <c r="G2845" s="7">
        <v>654000</v>
      </c>
      <c r="H2845" s="8" t="s">
        <v>299</v>
      </c>
      <c r="I2845" s="8">
        <v>1</v>
      </c>
      <c r="J2845" s="8">
        <v>240</v>
      </c>
      <c r="K2845" s="7" t="s">
        <v>312</v>
      </c>
      <c r="L2845" s="8">
        <v>100</v>
      </c>
      <c r="M2845" s="7">
        <f>IF(INDEX([1]equip.xml!$B:$B,MATCH(D2845,[1]equip.xml!$A:$A,0))=0,0,N2845)</f>
        <v>1</v>
      </c>
      <c r="N2845" s="8">
        <f t="shared" si="2960"/>
        <v>1</v>
      </c>
    </row>
    <row r="2846" spans="1:14">
      <c r="A2846" s="7">
        <f>10000+A30</f>
        <v>20005</v>
      </c>
      <c r="B2846" s="7">
        <v>40000</v>
      </c>
      <c r="C2846" s="7" t="s">
        <v>132</v>
      </c>
      <c r="D2846" s="7" t="s">
        <v>44</v>
      </c>
      <c r="E2846" s="7" t="s">
        <v>88</v>
      </c>
      <c r="F2846" s="7">
        <v>1</v>
      </c>
      <c r="G2846" s="7">
        <f>3*INDEX([1]equip.xml!$I:$I,MATCH(D2846&amp;"",[1]equip.xml!$A:$A,0))</f>
        <v>3000</v>
      </c>
      <c r="H2846" s="7" t="s">
        <v>31</v>
      </c>
      <c r="I2846" s="7">
        <v>13</v>
      </c>
      <c r="J2846" s="7">
        <v>50</v>
      </c>
      <c r="K2846" s="7" t="s">
        <v>312</v>
      </c>
      <c r="L2846" s="7">
        <v>18</v>
      </c>
      <c r="M2846" s="7">
        <f>IF(INDEX([1]equip.xml!$B:$B,MATCH(D2846&amp;"",[1]equip.xml!$A:$A,0))=0,0,N2846)</f>
        <v>0</v>
      </c>
      <c r="N2846" s="7">
        <v>130</v>
      </c>
    </row>
    <row r="2847" spans="1:14">
      <c r="A2847" s="7">
        <f t="shared" ref="A2847:A2910" si="2961">10000+A31</f>
        <v>20005</v>
      </c>
      <c r="B2847" s="7">
        <v>40000</v>
      </c>
      <c r="C2847" s="7" t="s">
        <v>132</v>
      </c>
      <c r="D2847" s="7" t="s">
        <v>45</v>
      </c>
      <c r="E2847" s="7" t="s">
        <v>89</v>
      </c>
      <c r="F2847" s="7">
        <v>1</v>
      </c>
      <c r="G2847" s="7">
        <f>3*INDEX([1]equip.xml!$I:$I,MATCH(D2847&amp;"",[1]equip.xml!$A:$A,0))</f>
        <v>3000</v>
      </c>
      <c r="H2847" s="7" t="s">
        <v>31</v>
      </c>
      <c r="I2847" s="7">
        <v>13</v>
      </c>
      <c r="J2847" s="7">
        <v>50</v>
      </c>
      <c r="K2847" s="7" t="s">
        <v>312</v>
      </c>
      <c r="L2847" s="7">
        <v>18</v>
      </c>
      <c r="M2847" s="7">
        <f>IF(INDEX([1]equip.xml!$B:$B,MATCH(D2847&amp;"",[1]equip.xml!$A:$A,0))=0,0,N2847)</f>
        <v>0</v>
      </c>
      <c r="N2847" s="7">
        <v>130</v>
      </c>
    </row>
    <row r="2848" spans="1:14">
      <c r="A2848" s="7">
        <f t="shared" si="2961"/>
        <v>20005</v>
      </c>
      <c r="B2848" s="7">
        <v>40000</v>
      </c>
      <c r="C2848" s="7" t="s">
        <v>132</v>
      </c>
      <c r="D2848" s="7" t="s">
        <v>46</v>
      </c>
      <c r="E2848" s="7" t="s">
        <v>90</v>
      </c>
      <c r="F2848" s="7">
        <v>1</v>
      </c>
      <c r="G2848" s="7">
        <f>3*INDEX([1]equip.xml!$I:$I,MATCH(D2848&amp;"",[1]equip.xml!$A:$A,0))</f>
        <v>3000</v>
      </c>
      <c r="H2848" s="7" t="s">
        <v>31</v>
      </c>
      <c r="I2848" s="7">
        <v>13</v>
      </c>
      <c r="J2848" s="7">
        <v>50</v>
      </c>
      <c r="K2848" s="7" t="s">
        <v>312</v>
      </c>
      <c r="L2848" s="7">
        <v>18</v>
      </c>
      <c r="M2848" s="7">
        <f>IF(INDEX([1]equip.xml!$B:$B,MATCH(D2848&amp;"",[1]equip.xml!$A:$A,0))=0,0,N2848)</f>
        <v>0</v>
      </c>
      <c r="N2848" s="7">
        <v>130</v>
      </c>
    </row>
    <row r="2849" spans="1:14">
      <c r="A2849" s="7">
        <f t="shared" si="2961"/>
        <v>20005</v>
      </c>
      <c r="B2849" s="7">
        <v>40000</v>
      </c>
      <c r="C2849" s="7" t="s">
        <v>132</v>
      </c>
      <c r="D2849" s="7" t="s">
        <v>47</v>
      </c>
      <c r="E2849" s="7" t="s">
        <v>91</v>
      </c>
      <c r="F2849" s="7">
        <v>1</v>
      </c>
      <c r="G2849" s="7">
        <f>3*INDEX([1]equip.xml!$I:$I,MATCH(D2849&amp;"",[1]equip.xml!$A:$A,0))</f>
        <v>3000</v>
      </c>
      <c r="H2849" s="7" t="s">
        <v>31</v>
      </c>
      <c r="I2849" s="7">
        <v>13</v>
      </c>
      <c r="J2849" s="7">
        <v>50</v>
      </c>
      <c r="K2849" s="7" t="s">
        <v>312</v>
      </c>
      <c r="L2849" s="7">
        <v>18</v>
      </c>
      <c r="M2849" s="7">
        <f>IF(INDEX([1]equip.xml!$B:$B,MATCH(D2849&amp;"",[1]equip.xml!$A:$A,0))=0,0,N2849)</f>
        <v>130</v>
      </c>
      <c r="N2849" s="7">
        <v>130</v>
      </c>
    </row>
    <row r="2850" spans="1:14">
      <c r="A2850" s="7">
        <f t="shared" si="2961"/>
        <v>20005</v>
      </c>
      <c r="B2850" s="7">
        <v>40000</v>
      </c>
      <c r="C2850" s="7" t="s">
        <v>132</v>
      </c>
      <c r="D2850" s="7" t="s">
        <v>48</v>
      </c>
      <c r="E2850" s="7" t="s">
        <v>92</v>
      </c>
      <c r="F2850" s="7">
        <v>1</v>
      </c>
      <c r="G2850" s="7">
        <f>3*INDEX([1]equip.xml!$I:$I,MATCH(D2850&amp;"",[1]equip.xml!$A:$A,0))</f>
        <v>3000</v>
      </c>
      <c r="H2850" s="7" t="s">
        <v>31</v>
      </c>
      <c r="I2850" s="7">
        <v>13</v>
      </c>
      <c r="J2850" s="7">
        <v>50</v>
      </c>
      <c r="K2850" s="7" t="s">
        <v>312</v>
      </c>
      <c r="L2850" s="7">
        <v>18</v>
      </c>
      <c r="M2850" s="7">
        <f>IF(INDEX([1]equip.xml!$B:$B,MATCH(D2850&amp;"",[1]equip.xml!$A:$A,0))=0,0,N2850)</f>
        <v>130</v>
      </c>
      <c r="N2850" s="7">
        <v>130</v>
      </c>
    </row>
    <row r="2851" spans="1:14">
      <c r="A2851" s="7">
        <f t="shared" si="2961"/>
        <v>20005</v>
      </c>
      <c r="B2851" s="7">
        <v>40000</v>
      </c>
      <c r="C2851" s="7" t="s">
        <v>132</v>
      </c>
      <c r="D2851" s="7" t="s">
        <v>49</v>
      </c>
      <c r="E2851" s="7" t="s">
        <v>93</v>
      </c>
      <c r="F2851" s="7">
        <v>1</v>
      </c>
      <c r="G2851" s="7">
        <f>3*INDEX([1]equip.xml!$I:$I,MATCH(D2851&amp;"",[1]equip.xml!$A:$A,0))</f>
        <v>3000</v>
      </c>
      <c r="H2851" s="7" t="s">
        <v>31</v>
      </c>
      <c r="I2851" s="7">
        <v>13</v>
      </c>
      <c r="J2851" s="7">
        <v>50</v>
      </c>
      <c r="K2851" s="7" t="s">
        <v>312</v>
      </c>
      <c r="L2851" s="7">
        <v>18</v>
      </c>
      <c r="M2851" s="7">
        <f>IF(INDEX([1]equip.xml!$B:$B,MATCH(D2851&amp;"",[1]equip.xml!$A:$A,0))=0,0,N2851)</f>
        <v>0</v>
      </c>
      <c r="N2851" s="7">
        <v>130</v>
      </c>
    </row>
    <row r="2852" spans="1:14">
      <c r="A2852" s="7">
        <f t="shared" si="2961"/>
        <v>20005</v>
      </c>
      <c r="B2852" s="7">
        <v>40000</v>
      </c>
      <c r="C2852" s="7" t="s">
        <v>132</v>
      </c>
      <c r="D2852" s="7" t="s">
        <v>50</v>
      </c>
      <c r="E2852" s="7" t="s">
        <v>94</v>
      </c>
      <c r="F2852" s="7">
        <v>1</v>
      </c>
      <c r="G2852" s="7">
        <f>3*INDEX([1]equip.xml!$I:$I,MATCH(D2852&amp;"",[1]equip.xml!$A:$A,0))</f>
        <v>3000</v>
      </c>
      <c r="H2852" s="7" t="s">
        <v>31</v>
      </c>
      <c r="I2852" s="7">
        <v>13</v>
      </c>
      <c r="J2852" s="7">
        <v>50</v>
      </c>
      <c r="K2852" s="7" t="s">
        <v>312</v>
      </c>
      <c r="L2852" s="7">
        <v>18</v>
      </c>
      <c r="M2852" s="7">
        <f>IF(INDEX([1]equip.xml!$B:$B,MATCH(D2852&amp;"",[1]equip.xml!$A:$A,0))=0,0,N2852)</f>
        <v>130</v>
      </c>
      <c r="N2852" s="7">
        <v>130</v>
      </c>
    </row>
    <row r="2853" spans="1:14">
      <c r="A2853" s="7">
        <f t="shared" si="2961"/>
        <v>20005</v>
      </c>
      <c r="B2853" s="7">
        <v>40000</v>
      </c>
      <c r="C2853" s="7" t="s">
        <v>132</v>
      </c>
      <c r="D2853" s="7" t="s">
        <v>51</v>
      </c>
      <c r="E2853" s="7" t="s">
        <v>95</v>
      </c>
      <c r="F2853" s="7">
        <v>1</v>
      </c>
      <c r="G2853" s="7">
        <f>3*INDEX([1]equip.xml!$I:$I,MATCH(D2853&amp;"",[1]equip.xml!$A:$A,0))</f>
        <v>12000</v>
      </c>
      <c r="H2853" s="7" t="s">
        <v>31</v>
      </c>
      <c r="I2853" s="7">
        <v>13</v>
      </c>
      <c r="J2853" s="7">
        <v>50</v>
      </c>
      <c r="K2853" s="7" t="s">
        <v>312</v>
      </c>
      <c r="L2853" s="7">
        <v>18</v>
      </c>
      <c r="M2853" s="7">
        <f>IF(INDEX([1]equip.xml!$B:$B,MATCH(D2853&amp;"",[1]equip.xml!$A:$A,0))=0,0,N2853)</f>
        <v>130</v>
      </c>
      <c r="N2853" s="7">
        <v>130</v>
      </c>
    </row>
    <row r="2854" spans="1:14">
      <c r="A2854" s="7">
        <f t="shared" si="2961"/>
        <v>20005</v>
      </c>
      <c r="B2854" s="7">
        <v>40000</v>
      </c>
      <c r="C2854" s="7" t="s">
        <v>132</v>
      </c>
      <c r="D2854" s="7" t="s">
        <v>52</v>
      </c>
      <c r="E2854" s="7" t="s">
        <v>96</v>
      </c>
      <c r="F2854" s="7">
        <v>1</v>
      </c>
      <c r="G2854" s="7">
        <f>3*INDEX([1]equip.xml!$I:$I,MATCH(D2854&amp;"",[1]equip.xml!$A:$A,0))</f>
        <v>3000</v>
      </c>
      <c r="H2854" s="7" t="s">
        <v>31</v>
      </c>
      <c r="I2854" s="7">
        <v>13</v>
      </c>
      <c r="J2854" s="7">
        <v>50</v>
      </c>
      <c r="K2854" s="7" t="s">
        <v>312</v>
      </c>
      <c r="L2854" s="7">
        <v>18</v>
      </c>
      <c r="M2854" s="7">
        <f>IF(INDEX([1]equip.xml!$B:$B,MATCH(D2854&amp;"",[1]equip.xml!$A:$A,0))=0,0,N2854)</f>
        <v>130</v>
      </c>
      <c r="N2854" s="7">
        <v>130</v>
      </c>
    </row>
    <row r="2855" spans="1:14">
      <c r="A2855" s="7">
        <f t="shared" si="2961"/>
        <v>20005</v>
      </c>
      <c r="B2855" s="7">
        <v>40000</v>
      </c>
      <c r="C2855" s="7" t="s">
        <v>132</v>
      </c>
      <c r="D2855" s="7" t="s">
        <v>53</v>
      </c>
      <c r="E2855" s="7" t="s">
        <v>97</v>
      </c>
      <c r="F2855" s="7">
        <v>1</v>
      </c>
      <c r="G2855" s="7">
        <f>3*INDEX([1]equip.xml!$I:$I,MATCH(D2855&amp;"",[1]equip.xml!$A:$A,0))</f>
        <v>12000</v>
      </c>
      <c r="H2855" s="7" t="s">
        <v>31</v>
      </c>
      <c r="I2855" s="7">
        <v>13</v>
      </c>
      <c r="J2855" s="7">
        <v>50</v>
      </c>
      <c r="K2855" s="7" t="s">
        <v>312</v>
      </c>
      <c r="L2855" s="7">
        <v>18</v>
      </c>
      <c r="M2855" s="7">
        <f>IF(INDEX([1]equip.xml!$B:$B,MATCH(D2855&amp;"",[1]equip.xml!$A:$A,0))=0,0,N2855)</f>
        <v>0</v>
      </c>
      <c r="N2855" s="7">
        <v>130</v>
      </c>
    </row>
    <row r="2856" spans="1:14">
      <c r="A2856" s="7">
        <f t="shared" si="2961"/>
        <v>20005</v>
      </c>
      <c r="B2856" s="7">
        <v>40000</v>
      </c>
      <c r="C2856" s="7" t="s">
        <v>132</v>
      </c>
      <c r="D2856" s="7" t="s">
        <v>54</v>
      </c>
      <c r="E2856" s="7" t="s">
        <v>98</v>
      </c>
      <c r="F2856" s="7">
        <v>1</v>
      </c>
      <c r="G2856" s="7">
        <f>3*INDEX([1]equip.xml!$I:$I,MATCH(D2856&amp;"",[1]equip.xml!$A:$A,0))</f>
        <v>3000</v>
      </c>
      <c r="H2856" s="7" t="s">
        <v>31</v>
      </c>
      <c r="I2856" s="7">
        <v>13</v>
      </c>
      <c r="J2856" s="7">
        <v>50</v>
      </c>
      <c r="K2856" s="7" t="s">
        <v>312</v>
      </c>
      <c r="L2856" s="7">
        <v>18</v>
      </c>
      <c r="M2856" s="7">
        <f>IF(INDEX([1]equip.xml!$B:$B,MATCH(D2856&amp;"",[1]equip.xml!$A:$A,0))=0,0,N2856)</f>
        <v>130</v>
      </c>
      <c r="N2856" s="7">
        <v>130</v>
      </c>
    </row>
    <row r="2857" spans="1:14">
      <c r="A2857" s="7">
        <f t="shared" si="2961"/>
        <v>20005</v>
      </c>
      <c r="B2857" s="7">
        <v>40000</v>
      </c>
      <c r="C2857" s="7" t="s">
        <v>132</v>
      </c>
      <c r="D2857" s="7" t="s">
        <v>55</v>
      </c>
      <c r="E2857" s="7" t="s">
        <v>99</v>
      </c>
      <c r="F2857" s="7">
        <v>1</v>
      </c>
      <c r="G2857" s="7">
        <f>3*INDEX([1]equip.xml!$I:$I,MATCH(D2857&amp;"",[1]equip.xml!$A:$A,0))</f>
        <v>12000</v>
      </c>
      <c r="H2857" s="7" t="s">
        <v>31</v>
      </c>
      <c r="I2857" s="7">
        <v>13</v>
      </c>
      <c r="J2857" s="7">
        <v>50</v>
      </c>
      <c r="K2857" s="7" t="s">
        <v>312</v>
      </c>
      <c r="L2857" s="7">
        <v>18</v>
      </c>
      <c r="M2857" s="7">
        <f>IF(INDEX([1]equip.xml!$B:$B,MATCH(D2857&amp;"",[1]equip.xml!$A:$A,0))=0,0,N2857)</f>
        <v>130</v>
      </c>
      <c r="N2857" s="7">
        <v>130</v>
      </c>
    </row>
    <row r="2858" spans="1:14">
      <c r="A2858" s="7">
        <f t="shared" si="2961"/>
        <v>20005</v>
      </c>
      <c r="B2858" s="7">
        <v>40000</v>
      </c>
      <c r="C2858" s="7" t="s">
        <v>132</v>
      </c>
      <c r="D2858" s="7" t="s">
        <v>56</v>
      </c>
      <c r="E2858" s="7" t="s">
        <v>100</v>
      </c>
      <c r="F2858" s="7">
        <v>1</v>
      </c>
      <c r="G2858" s="7">
        <f>3*INDEX([1]equip.xml!$I:$I,MATCH(D2858&amp;"",[1]equip.xml!$A:$A,0))</f>
        <v>3000</v>
      </c>
      <c r="H2858" s="7" t="s">
        <v>31</v>
      </c>
      <c r="I2858" s="7">
        <v>13</v>
      </c>
      <c r="J2858" s="7">
        <v>50</v>
      </c>
      <c r="K2858" s="7" t="s">
        <v>312</v>
      </c>
      <c r="L2858" s="7">
        <v>18</v>
      </c>
      <c r="M2858" s="7">
        <f>IF(INDEX([1]equip.xml!$B:$B,MATCH(D2858&amp;"",[1]equip.xml!$A:$A,0))=0,0,N2858)</f>
        <v>130</v>
      </c>
      <c r="N2858" s="7">
        <v>130</v>
      </c>
    </row>
    <row r="2859" spans="1:14">
      <c r="A2859" s="7">
        <f t="shared" si="2961"/>
        <v>20005</v>
      </c>
      <c r="B2859" s="7">
        <v>40000</v>
      </c>
      <c r="C2859" s="7" t="s">
        <v>132</v>
      </c>
      <c r="D2859" s="7" t="s">
        <v>57</v>
      </c>
      <c r="E2859" s="7" t="s">
        <v>101</v>
      </c>
      <c r="F2859" s="7">
        <v>1</v>
      </c>
      <c r="G2859" s="7">
        <f>3*INDEX([1]equip.xml!$I:$I,MATCH(D2859&amp;"",[1]equip.xml!$A:$A,0))</f>
        <v>12000</v>
      </c>
      <c r="H2859" s="7" t="s">
        <v>31</v>
      </c>
      <c r="I2859" s="7">
        <v>13</v>
      </c>
      <c r="J2859" s="7">
        <v>50</v>
      </c>
      <c r="K2859" s="7" t="s">
        <v>312</v>
      </c>
      <c r="L2859" s="7">
        <v>18</v>
      </c>
      <c r="M2859" s="7">
        <f>IF(INDEX([1]equip.xml!$B:$B,MATCH(D2859&amp;"",[1]equip.xml!$A:$A,0))=0,0,N2859)</f>
        <v>0</v>
      </c>
      <c r="N2859" s="7">
        <v>130</v>
      </c>
    </row>
    <row r="2860" spans="1:14">
      <c r="A2860" s="7">
        <f t="shared" si="2961"/>
        <v>20005</v>
      </c>
      <c r="B2860" s="7">
        <v>40000</v>
      </c>
      <c r="C2860" s="7" t="s">
        <v>132</v>
      </c>
      <c r="D2860" s="7" t="s">
        <v>58</v>
      </c>
      <c r="E2860" s="7" t="s">
        <v>102</v>
      </c>
      <c r="F2860" s="7">
        <v>1</v>
      </c>
      <c r="G2860" s="7">
        <f>3*INDEX([1]equip.xml!$I:$I,MATCH(D2860&amp;"",[1]equip.xml!$A:$A,0))</f>
        <v>3000</v>
      </c>
      <c r="H2860" s="7" t="s">
        <v>31</v>
      </c>
      <c r="I2860" s="7">
        <v>13</v>
      </c>
      <c r="J2860" s="7">
        <v>50</v>
      </c>
      <c r="K2860" s="7" t="s">
        <v>312</v>
      </c>
      <c r="L2860" s="7">
        <v>18</v>
      </c>
      <c r="M2860" s="7">
        <f>IF(INDEX([1]equip.xml!$B:$B,MATCH(D2860&amp;"",[1]equip.xml!$A:$A,0))=0,0,N2860)</f>
        <v>130</v>
      </c>
      <c r="N2860" s="7">
        <v>130</v>
      </c>
    </row>
    <row r="2861" spans="1:14">
      <c r="A2861" s="7">
        <f t="shared" si="2961"/>
        <v>20005</v>
      </c>
      <c r="B2861" s="7">
        <v>40000</v>
      </c>
      <c r="C2861" s="7" t="s">
        <v>132</v>
      </c>
      <c r="D2861" s="7" t="s">
        <v>59</v>
      </c>
      <c r="E2861" s="7" t="s">
        <v>103</v>
      </c>
      <c r="F2861" s="7">
        <v>1</v>
      </c>
      <c r="G2861" s="7">
        <f>3*INDEX([1]equip.xml!$I:$I,MATCH(D2861&amp;"",[1]equip.xml!$A:$A,0))</f>
        <v>12000</v>
      </c>
      <c r="H2861" s="7" t="s">
        <v>31</v>
      </c>
      <c r="I2861" s="7">
        <v>13</v>
      </c>
      <c r="J2861" s="7">
        <v>50</v>
      </c>
      <c r="K2861" s="7" t="s">
        <v>312</v>
      </c>
      <c r="L2861" s="7">
        <v>18</v>
      </c>
      <c r="M2861" s="7">
        <f>IF(INDEX([1]equip.xml!$B:$B,MATCH(D2861&amp;"",[1]equip.xml!$A:$A,0))=0,0,N2861)</f>
        <v>130</v>
      </c>
      <c r="N2861" s="7">
        <v>130</v>
      </c>
    </row>
    <row r="2862" spans="1:14">
      <c r="A2862" s="7">
        <f t="shared" si="2961"/>
        <v>20005</v>
      </c>
      <c r="B2862" s="7">
        <v>40000</v>
      </c>
      <c r="C2862" s="7" t="s">
        <v>132</v>
      </c>
      <c r="D2862" s="7" t="s">
        <v>60</v>
      </c>
      <c r="E2862" s="7" t="s">
        <v>104</v>
      </c>
      <c r="F2862" s="7">
        <v>1</v>
      </c>
      <c r="G2862" s="7">
        <f>3*INDEX([1]equip.xml!$I:$I,MATCH(D2862&amp;"",[1]equip.xml!$A:$A,0))</f>
        <v>3000</v>
      </c>
      <c r="H2862" s="7" t="s">
        <v>31</v>
      </c>
      <c r="I2862" s="7">
        <v>13</v>
      </c>
      <c r="J2862" s="7">
        <v>50</v>
      </c>
      <c r="K2862" s="7" t="s">
        <v>312</v>
      </c>
      <c r="L2862" s="7">
        <v>18</v>
      </c>
      <c r="M2862" s="7">
        <f>IF(INDEX([1]equip.xml!$B:$B,MATCH(D2862&amp;"",[1]equip.xml!$A:$A,0))=0,0,N2862)</f>
        <v>130</v>
      </c>
      <c r="N2862" s="7">
        <v>130</v>
      </c>
    </row>
    <row r="2863" spans="1:14">
      <c r="A2863" s="7">
        <f t="shared" si="2961"/>
        <v>20005</v>
      </c>
      <c r="B2863" s="7">
        <v>40000</v>
      </c>
      <c r="C2863" s="7" t="s">
        <v>132</v>
      </c>
      <c r="D2863" s="7" t="s">
        <v>61</v>
      </c>
      <c r="E2863" s="7" t="s">
        <v>105</v>
      </c>
      <c r="F2863" s="7">
        <v>1</v>
      </c>
      <c r="G2863" s="7">
        <f>3*INDEX([1]equip.xml!$I:$I,MATCH(D2863&amp;"",[1]equip.xml!$A:$A,0))</f>
        <v>12000</v>
      </c>
      <c r="H2863" s="7" t="s">
        <v>31</v>
      </c>
      <c r="I2863" s="7">
        <v>13</v>
      </c>
      <c r="J2863" s="7">
        <v>50</v>
      </c>
      <c r="K2863" s="7" t="s">
        <v>312</v>
      </c>
      <c r="L2863" s="7">
        <v>18</v>
      </c>
      <c r="M2863" s="7">
        <f>IF(INDEX([1]equip.xml!$B:$B,MATCH(D2863&amp;"",[1]equip.xml!$A:$A,0))=0,0,N2863)</f>
        <v>0</v>
      </c>
      <c r="N2863" s="7">
        <v>130</v>
      </c>
    </row>
    <row r="2864" spans="1:14">
      <c r="A2864" s="7">
        <f t="shared" si="2961"/>
        <v>20005</v>
      </c>
      <c r="B2864" s="7">
        <v>40000</v>
      </c>
      <c r="C2864" s="7" t="s">
        <v>132</v>
      </c>
      <c r="D2864" s="7" t="s">
        <v>62</v>
      </c>
      <c r="E2864" s="7" t="s">
        <v>106</v>
      </c>
      <c r="F2864" s="7">
        <v>1</v>
      </c>
      <c r="G2864" s="7">
        <f>3*INDEX([1]equip.xml!$I:$I,MATCH(D2864&amp;"",[1]equip.xml!$A:$A,0))</f>
        <v>3000</v>
      </c>
      <c r="H2864" s="7" t="s">
        <v>31</v>
      </c>
      <c r="I2864" s="7">
        <v>13</v>
      </c>
      <c r="J2864" s="7">
        <v>50</v>
      </c>
      <c r="K2864" s="7" t="s">
        <v>312</v>
      </c>
      <c r="L2864" s="7">
        <v>18</v>
      </c>
      <c r="M2864" s="7">
        <f>IF(INDEX([1]equip.xml!$B:$B,MATCH(D2864&amp;"",[1]equip.xml!$A:$A,0))=0,0,N2864)</f>
        <v>130</v>
      </c>
      <c r="N2864" s="7">
        <v>130</v>
      </c>
    </row>
    <row r="2865" spans="1:14">
      <c r="A2865" s="7">
        <f t="shared" si="2961"/>
        <v>20005</v>
      </c>
      <c r="B2865" s="7">
        <v>40000</v>
      </c>
      <c r="C2865" s="7" t="s">
        <v>132</v>
      </c>
      <c r="D2865" s="7" t="s">
        <v>63</v>
      </c>
      <c r="E2865" s="7" t="s">
        <v>107</v>
      </c>
      <c r="F2865" s="7">
        <v>1</v>
      </c>
      <c r="G2865" s="7">
        <f>3*INDEX([1]equip.xml!$I:$I,MATCH(D2865&amp;"",[1]equip.xml!$A:$A,0))</f>
        <v>12000</v>
      </c>
      <c r="H2865" s="7" t="s">
        <v>31</v>
      </c>
      <c r="I2865" s="7">
        <v>13</v>
      </c>
      <c r="J2865" s="7">
        <v>50</v>
      </c>
      <c r="K2865" s="7" t="s">
        <v>312</v>
      </c>
      <c r="L2865" s="7">
        <v>18</v>
      </c>
      <c r="M2865" s="7">
        <f>IF(INDEX([1]equip.xml!$B:$B,MATCH(D2865&amp;"",[1]equip.xml!$A:$A,0))=0,0,N2865)</f>
        <v>0</v>
      </c>
      <c r="N2865" s="7">
        <v>130</v>
      </c>
    </row>
    <row r="2866" spans="1:14">
      <c r="A2866" s="7">
        <f t="shared" si="2961"/>
        <v>20005</v>
      </c>
      <c r="B2866" s="7">
        <v>40000</v>
      </c>
      <c r="C2866" s="7" t="s">
        <v>132</v>
      </c>
      <c r="D2866" s="7" t="s">
        <v>64</v>
      </c>
      <c r="E2866" s="7" t="s">
        <v>108</v>
      </c>
      <c r="F2866" s="7">
        <v>1</v>
      </c>
      <c r="G2866" s="7">
        <f>3*INDEX([1]equip.xml!$I:$I,MATCH(D2866&amp;"",[1]equip.xml!$A:$A,0))</f>
        <v>3000</v>
      </c>
      <c r="H2866" s="7" t="s">
        <v>31</v>
      </c>
      <c r="I2866" s="7">
        <v>13</v>
      </c>
      <c r="J2866" s="7">
        <v>50</v>
      </c>
      <c r="K2866" s="7" t="s">
        <v>312</v>
      </c>
      <c r="L2866" s="7">
        <v>18</v>
      </c>
      <c r="M2866" s="7">
        <f>IF(INDEX([1]equip.xml!$B:$B,MATCH(D2866&amp;"",[1]equip.xml!$A:$A,0))=0,0,N2866)</f>
        <v>0</v>
      </c>
      <c r="N2866" s="7">
        <v>130</v>
      </c>
    </row>
    <row r="2867" spans="1:14">
      <c r="A2867" s="7">
        <f t="shared" si="2961"/>
        <v>20005</v>
      </c>
      <c r="B2867" s="7">
        <v>40000</v>
      </c>
      <c r="C2867" s="7" t="s">
        <v>132</v>
      </c>
      <c r="D2867" s="7" t="s">
        <v>65</v>
      </c>
      <c r="E2867" s="7" t="s">
        <v>109</v>
      </c>
      <c r="F2867" s="7">
        <v>1</v>
      </c>
      <c r="G2867" s="7">
        <f>3*INDEX([1]equip.xml!$I:$I,MATCH(D2867&amp;"",[1]equip.xml!$A:$A,0))</f>
        <v>12000</v>
      </c>
      <c r="H2867" s="7" t="s">
        <v>31</v>
      </c>
      <c r="I2867" s="7">
        <v>13</v>
      </c>
      <c r="J2867" s="7">
        <v>50</v>
      </c>
      <c r="K2867" s="7" t="s">
        <v>312</v>
      </c>
      <c r="L2867" s="7">
        <v>18</v>
      </c>
      <c r="M2867" s="7">
        <f>IF(INDEX([1]equip.xml!$B:$B,MATCH(D2867&amp;"",[1]equip.xml!$A:$A,0))=0,0,N2867)</f>
        <v>0</v>
      </c>
      <c r="N2867" s="7">
        <v>130</v>
      </c>
    </row>
    <row r="2868" spans="1:14">
      <c r="A2868" s="7">
        <f t="shared" si="2961"/>
        <v>20005</v>
      </c>
      <c r="B2868" s="7">
        <v>40000</v>
      </c>
      <c r="C2868" s="7" t="s">
        <v>132</v>
      </c>
      <c r="D2868" s="7" t="s">
        <v>66</v>
      </c>
      <c r="E2868" s="7" t="s">
        <v>110</v>
      </c>
      <c r="F2868" s="7">
        <v>1</v>
      </c>
      <c r="G2868" s="7">
        <f>3*INDEX([1]equip.xml!$I:$I,MATCH(D2868&amp;"",[1]equip.xml!$A:$A,0))</f>
        <v>15000</v>
      </c>
      <c r="H2868" s="7" t="s">
        <v>31</v>
      </c>
      <c r="I2868" s="7">
        <v>13</v>
      </c>
      <c r="J2868" s="7">
        <v>50</v>
      </c>
      <c r="K2868" s="7" t="s">
        <v>312</v>
      </c>
      <c r="L2868" s="7">
        <v>18</v>
      </c>
      <c r="M2868" s="7">
        <f>IF(INDEX([1]equip.xml!$B:$B,MATCH(D2868&amp;"",[1]equip.xml!$A:$A,0))=0,0,N2868)</f>
        <v>65</v>
      </c>
      <c r="N2868" s="7">
        <f>N2846/2</f>
        <v>65</v>
      </c>
    </row>
    <row r="2869" spans="1:14">
      <c r="A2869" s="7">
        <f t="shared" si="2961"/>
        <v>20005</v>
      </c>
      <c r="B2869" s="7">
        <v>40000</v>
      </c>
      <c r="C2869" s="7" t="s">
        <v>132</v>
      </c>
      <c r="D2869" s="7" t="s">
        <v>67</v>
      </c>
      <c r="E2869" s="7" t="s">
        <v>111</v>
      </c>
      <c r="F2869" s="7">
        <v>1</v>
      </c>
      <c r="G2869" s="7">
        <f>3*INDEX([1]equip.xml!$I:$I,MATCH(D2869&amp;"",[1]equip.xml!$A:$A,0))</f>
        <v>15000</v>
      </c>
      <c r="H2869" s="7" t="s">
        <v>31</v>
      </c>
      <c r="I2869" s="7">
        <v>13</v>
      </c>
      <c r="J2869" s="7">
        <v>50</v>
      </c>
      <c r="K2869" s="7" t="s">
        <v>312</v>
      </c>
      <c r="L2869" s="7">
        <v>18</v>
      </c>
      <c r="M2869" s="7">
        <f>IF(INDEX([1]equip.xml!$B:$B,MATCH(D2869&amp;"",[1]equip.xml!$A:$A,0))=0,0,N2869)</f>
        <v>65</v>
      </c>
      <c r="N2869" s="7">
        <f>N2847/2</f>
        <v>65</v>
      </c>
    </row>
    <row r="2870" spans="1:14" s="4" customFormat="1">
      <c r="A2870" s="7">
        <f t="shared" si="2961"/>
        <v>20005</v>
      </c>
      <c r="B2870" s="8">
        <v>40000</v>
      </c>
      <c r="C2870" s="8" t="s">
        <v>132</v>
      </c>
      <c r="D2870" s="8" t="s">
        <v>68</v>
      </c>
      <c r="E2870" s="8" t="s">
        <v>112</v>
      </c>
      <c r="F2870" s="8">
        <v>1</v>
      </c>
      <c r="G2870" s="8">
        <f>3*INDEX([1]equip.xml!$I:$I,MATCH(D2870&amp;"",[1]equip.xml!$A:$A,0))</f>
        <v>15000</v>
      </c>
      <c r="H2870" s="8" t="s">
        <v>31</v>
      </c>
      <c r="I2870" s="8">
        <v>13</v>
      </c>
      <c r="J2870" s="8">
        <v>50</v>
      </c>
      <c r="K2870" s="7" t="s">
        <v>312</v>
      </c>
      <c r="L2870" s="8">
        <v>18</v>
      </c>
      <c r="M2870" s="8">
        <f>IF(INDEX([1]equip.xml!$B:$B,MATCH(D2870&amp;"",[1]equip.xml!$A:$A,0))=0,0,N2870)</f>
        <v>65</v>
      </c>
      <c r="N2870" s="8">
        <f t="shared" ref="N2870:N2888" si="2962">N2848/2</f>
        <v>65</v>
      </c>
    </row>
    <row r="2871" spans="1:14">
      <c r="A2871" s="7">
        <f t="shared" si="2961"/>
        <v>20005</v>
      </c>
      <c r="B2871" s="7">
        <v>40000</v>
      </c>
      <c r="C2871" s="7" t="s">
        <v>132</v>
      </c>
      <c r="D2871" s="7" t="s">
        <v>69</v>
      </c>
      <c r="E2871" s="7" t="s">
        <v>113</v>
      </c>
      <c r="F2871" s="7">
        <v>1</v>
      </c>
      <c r="G2871" s="7">
        <f>3*INDEX([1]equip.xml!$I:$I,MATCH(D2871&amp;"",[1]equip.xml!$A:$A,0))</f>
        <v>15000</v>
      </c>
      <c r="H2871" s="7" t="s">
        <v>31</v>
      </c>
      <c r="I2871" s="7">
        <v>13</v>
      </c>
      <c r="J2871" s="7">
        <v>50</v>
      </c>
      <c r="K2871" s="7" t="s">
        <v>312</v>
      </c>
      <c r="L2871" s="7">
        <v>18</v>
      </c>
      <c r="M2871" s="7">
        <f>IF(INDEX([1]equip.xml!$B:$B,MATCH(D2871&amp;"",[1]equip.xml!$A:$A,0))=0,0,N2871)</f>
        <v>0</v>
      </c>
      <c r="N2871" s="7">
        <f t="shared" si="2962"/>
        <v>65</v>
      </c>
    </row>
    <row r="2872" spans="1:14">
      <c r="A2872" s="7">
        <f t="shared" si="2961"/>
        <v>20005</v>
      </c>
      <c r="B2872" s="7">
        <v>40000</v>
      </c>
      <c r="C2872" s="7" t="s">
        <v>132</v>
      </c>
      <c r="D2872" s="7" t="s">
        <v>70</v>
      </c>
      <c r="E2872" s="7" t="s">
        <v>114</v>
      </c>
      <c r="F2872" s="7">
        <v>1</v>
      </c>
      <c r="G2872" s="7">
        <f>3*INDEX([1]equip.xml!$I:$I,MATCH(D2872&amp;"",[1]equip.xml!$A:$A,0))</f>
        <v>15000</v>
      </c>
      <c r="H2872" s="7" t="s">
        <v>31</v>
      </c>
      <c r="I2872" s="7">
        <v>13</v>
      </c>
      <c r="J2872" s="7">
        <v>50</v>
      </c>
      <c r="K2872" s="7" t="s">
        <v>312</v>
      </c>
      <c r="L2872" s="7">
        <v>18</v>
      </c>
      <c r="M2872" s="7">
        <f>IF(INDEX([1]equip.xml!$B:$B,MATCH(D2872&amp;"",[1]equip.xml!$A:$A,0))=0,0,N2872)</f>
        <v>0</v>
      </c>
      <c r="N2872" s="7">
        <f t="shared" si="2962"/>
        <v>65</v>
      </c>
    </row>
    <row r="2873" spans="1:14">
      <c r="A2873" s="7">
        <f t="shared" si="2961"/>
        <v>20005</v>
      </c>
      <c r="B2873" s="7">
        <v>40000</v>
      </c>
      <c r="C2873" s="7" t="s">
        <v>132</v>
      </c>
      <c r="D2873" s="7" t="s">
        <v>71</v>
      </c>
      <c r="E2873" s="7" t="s">
        <v>115</v>
      </c>
      <c r="F2873" s="7">
        <v>1</v>
      </c>
      <c r="G2873" s="7">
        <f>3*INDEX([1]equip.xml!$I:$I,MATCH(D2873&amp;"",[1]equip.xml!$A:$A,0))</f>
        <v>15000</v>
      </c>
      <c r="H2873" s="7" t="s">
        <v>31</v>
      </c>
      <c r="I2873" s="7">
        <v>13</v>
      </c>
      <c r="J2873" s="7">
        <v>50</v>
      </c>
      <c r="K2873" s="7" t="s">
        <v>312</v>
      </c>
      <c r="L2873" s="7">
        <v>18</v>
      </c>
      <c r="M2873" s="7">
        <f>IF(INDEX([1]equip.xml!$B:$B,MATCH(D2873&amp;"",[1]equip.xml!$A:$A,0))=0,0,N2873)</f>
        <v>65</v>
      </c>
      <c r="N2873" s="7">
        <f t="shared" si="2962"/>
        <v>65</v>
      </c>
    </row>
    <row r="2874" spans="1:14">
      <c r="A2874" s="7">
        <f t="shared" si="2961"/>
        <v>20005</v>
      </c>
      <c r="B2874" s="7">
        <v>40000</v>
      </c>
      <c r="C2874" s="7" t="s">
        <v>132</v>
      </c>
      <c r="D2874" s="7" t="s">
        <v>72</v>
      </c>
      <c r="E2874" s="7" t="s">
        <v>116</v>
      </c>
      <c r="F2874" s="7">
        <v>1</v>
      </c>
      <c r="G2874" s="7">
        <f>3*INDEX([1]equip.xml!$I:$I,MATCH(D2874&amp;"",[1]equip.xml!$A:$A,0))</f>
        <v>15000</v>
      </c>
      <c r="H2874" s="7" t="s">
        <v>31</v>
      </c>
      <c r="I2874" s="7">
        <v>13</v>
      </c>
      <c r="J2874" s="7">
        <v>50</v>
      </c>
      <c r="K2874" s="7" t="s">
        <v>312</v>
      </c>
      <c r="L2874" s="7">
        <v>18</v>
      </c>
      <c r="M2874" s="7">
        <f>IF(INDEX([1]equip.xml!$B:$B,MATCH(D2874&amp;"",[1]equip.xml!$A:$A,0))=0,0,N2874)</f>
        <v>65</v>
      </c>
      <c r="N2874" s="7">
        <f t="shared" si="2962"/>
        <v>65</v>
      </c>
    </row>
    <row r="2875" spans="1:14">
      <c r="A2875" s="7">
        <f t="shared" si="2961"/>
        <v>20005</v>
      </c>
      <c r="B2875" s="7">
        <v>40000</v>
      </c>
      <c r="C2875" s="7" t="s">
        <v>132</v>
      </c>
      <c r="D2875" s="7" t="s">
        <v>73</v>
      </c>
      <c r="E2875" s="7" t="s">
        <v>117</v>
      </c>
      <c r="F2875" s="7">
        <v>1</v>
      </c>
      <c r="G2875" s="7">
        <f>3*INDEX([1]equip.xml!$I:$I,MATCH(D2875&amp;"",[1]equip.xml!$A:$A,0))</f>
        <v>24000</v>
      </c>
      <c r="H2875" s="7" t="s">
        <v>31</v>
      </c>
      <c r="I2875" s="7">
        <v>13</v>
      </c>
      <c r="J2875" s="7">
        <v>50</v>
      </c>
      <c r="K2875" s="7" t="s">
        <v>312</v>
      </c>
      <c r="L2875" s="7">
        <v>18</v>
      </c>
      <c r="M2875" s="7">
        <f>IF(INDEX([1]equip.xml!$B:$B,MATCH(D2875&amp;"",[1]equip.xml!$A:$A,0))=0,0,N2875)</f>
        <v>65</v>
      </c>
      <c r="N2875" s="7">
        <f t="shared" si="2962"/>
        <v>65</v>
      </c>
    </row>
    <row r="2876" spans="1:14">
      <c r="A2876" s="7">
        <f t="shared" si="2961"/>
        <v>20005</v>
      </c>
      <c r="B2876" s="7">
        <v>40000</v>
      </c>
      <c r="C2876" s="7" t="s">
        <v>132</v>
      </c>
      <c r="D2876" s="7" t="s">
        <v>74</v>
      </c>
      <c r="E2876" s="7" t="s">
        <v>118</v>
      </c>
      <c r="F2876" s="7">
        <v>1</v>
      </c>
      <c r="G2876" s="7">
        <f>3*INDEX([1]equip.xml!$I:$I,MATCH(D2876&amp;"",[1]equip.xml!$A:$A,0))</f>
        <v>15000</v>
      </c>
      <c r="H2876" s="7" t="s">
        <v>31</v>
      </c>
      <c r="I2876" s="7">
        <v>13</v>
      </c>
      <c r="J2876" s="7">
        <v>50</v>
      </c>
      <c r="K2876" s="7" t="s">
        <v>312</v>
      </c>
      <c r="L2876" s="7">
        <v>18</v>
      </c>
      <c r="M2876" s="7">
        <f>IF(INDEX([1]equip.xml!$B:$B,MATCH(D2876&amp;"",[1]equip.xml!$A:$A,0))=0,0,N2876)</f>
        <v>65</v>
      </c>
      <c r="N2876" s="7">
        <f t="shared" si="2962"/>
        <v>65</v>
      </c>
    </row>
    <row r="2877" spans="1:14">
      <c r="A2877" s="7">
        <f t="shared" si="2961"/>
        <v>20005</v>
      </c>
      <c r="B2877" s="7">
        <v>40000</v>
      </c>
      <c r="C2877" s="7" t="s">
        <v>132</v>
      </c>
      <c r="D2877" s="7" t="s">
        <v>75</v>
      </c>
      <c r="E2877" s="7" t="s">
        <v>119</v>
      </c>
      <c r="F2877" s="7">
        <v>1</v>
      </c>
      <c r="G2877" s="7">
        <f>3*INDEX([1]equip.xml!$I:$I,MATCH(D2877&amp;"",[1]equip.xml!$A:$A,0))</f>
        <v>24000</v>
      </c>
      <c r="H2877" s="7" t="s">
        <v>31</v>
      </c>
      <c r="I2877" s="7">
        <v>13</v>
      </c>
      <c r="J2877" s="7">
        <v>50</v>
      </c>
      <c r="K2877" s="7" t="s">
        <v>312</v>
      </c>
      <c r="L2877" s="7">
        <v>18</v>
      </c>
      <c r="M2877" s="7">
        <f>IF(INDEX([1]equip.xml!$B:$B,MATCH(D2877&amp;"",[1]equip.xml!$A:$A,0))=0,0,N2877)</f>
        <v>0</v>
      </c>
      <c r="N2877" s="7">
        <f t="shared" si="2962"/>
        <v>65</v>
      </c>
    </row>
    <row r="2878" spans="1:14">
      <c r="A2878" s="7">
        <f t="shared" si="2961"/>
        <v>20005</v>
      </c>
      <c r="B2878" s="7">
        <v>40000</v>
      </c>
      <c r="C2878" s="7" t="s">
        <v>132</v>
      </c>
      <c r="D2878" s="7" t="s">
        <v>76</v>
      </c>
      <c r="E2878" s="7" t="s">
        <v>120</v>
      </c>
      <c r="F2878" s="7">
        <v>1</v>
      </c>
      <c r="G2878" s="7">
        <f>3*INDEX([1]equip.xml!$I:$I,MATCH(D2878&amp;"",[1]equip.xml!$A:$A,0))</f>
        <v>15000</v>
      </c>
      <c r="H2878" s="7" t="s">
        <v>31</v>
      </c>
      <c r="I2878" s="7">
        <v>13</v>
      </c>
      <c r="J2878" s="7">
        <v>50</v>
      </c>
      <c r="K2878" s="7" t="s">
        <v>312</v>
      </c>
      <c r="L2878" s="7">
        <v>18</v>
      </c>
      <c r="M2878" s="7">
        <f>IF(INDEX([1]equip.xml!$B:$B,MATCH(D2878&amp;"",[1]equip.xml!$A:$A,0))=0,0,N2878)</f>
        <v>65</v>
      </c>
      <c r="N2878" s="7">
        <f t="shared" si="2962"/>
        <v>65</v>
      </c>
    </row>
    <row r="2879" spans="1:14">
      <c r="A2879" s="7">
        <f t="shared" si="2961"/>
        <v>20005</v>
      </c>
      <c r="B2879" s="7">
        <v>40000</v>
      </c>
      <c r="C2879" s="7" t="s">
        <v>132</v>
      </c>
      <c r="D2879" s="7" t="s">
        <v>77</v>
      </c>
      <c r="E2879" s="7" t="s">
        <v>121</v>
      </c>
      <c r="F2879" s="7">
        <v>1</v>
      </c>
      <c r="G2879" s="7">
        <f>3*INDEX([1]equip.xml!$I:$I,MATCH(D2879&amp;"",[1]equip.xml!$A:$A,0))</f>
        <v>24000</v>
      </c>
      <c r="H2879" s="7" t="s">
        <v>31</v>
      </c>
      <c r="I2879" s="7">
        <v>13</v>
      </c>
      <c r="J2879" s="7">
        <v>50</v>
      </c>
      <c r="K2879" s="7" t="s">
        <v>312</v>
      </c>
      <c r="L2879" s="7">
        <v>18</v>
      </c>
      <c r="M2879" s="7">
        <f>IF(INDEX([1]equip.xml!$B:$B,MATCH(D2879&amp;"",[1]equip.xml!$A:$A,0))=0,0,N2879)</f>
        <v>65</v>
      </c>
      <c r="N2879" s="7">
        <f t="shared" si="2962"/>
        <v>65</v>
      </c>
    </row>
    <row r="2880" spans="1:14">
      <c r="A2880" s="7">
        <f t="shared" si="2961"/>
        <v>20005</v>
      </c>
      <c r="B2880" s="7">
        <v>40000</v>
      </c>
      <c r="C2880" s="7" t="s">
        <v>132</v>
      </c>
      <c r="D2880" s="7" t="s">
        <v>78</v>
      </c>
      <c r="E2880" s="7" t="s">
        <v>122</v>
      </c>
      <c r="F2880" s="7">
        <v>1</v>
      </c>
      <c r="G2880" s="7">
        <f>3*INDEX([1]equip.xml!$I:$I,MATCH(D2880&amp;"",[1]equip.xml!$A:$A,0))</f>
        <v>15000</v>
      </c>
      <c r="H2880" s="7" t="s">
        <v>31</v>
      </c>
      <c r="I2880" s="7">
        <v>13</v>
      </c>
      <c r="J2880" s="7">
        <v>50</v>
      </c>
      <c r="K2880" s="7" t="s">
        <v>312</v>
      </c>
      <c r="L2880" s="7">
        <v>18</v>
      </c>
      <c r="M2880" s="7">
        <f>IF(INDEX([1]equip.xml!$B:$B,MATCH(D2880&amp;"",[1]equip.xml!$A:$A,0))=0,0,N2880)</f>
        <v>65</v>
      </c>
      <c r="N2880" s="7">
        <f t="shared" si="2962"/>
        <v>65</v>
      </c>
    </row>
    <row r="2881" spans="1:14">
      <c r="A2881" s="7">
        <f t="shared" si="2961"/>
        <v>20005</v>
      </c>
      <c r="B2881" s="7">
        <v>40000</v>
      </c>
      <c r="C2881" s="7" t="s">
        <v>132</v>
      </c>
      <c r="D2881" s="7" t="s">
        <v>79</v>
      </c>
      <c r="E2881" s="7" t="s">
        <v>123</v>
      </c>
      <c r="F2881" s="7">
        <v>1</v>
      </c>
      <c r="G2881" s="7">
        <f>3*INDEX([1]equip.xml!$I:$I,MATCH(D2881&amp;"",[1]equip.xml!$A:$A,0))</f>
        <v>24000</v>
      </c>
      <c r="H2881" s="7" t="s">
        <v>31</v>
      </c>
      <c r="I2881" s="7">
        <v>13</v>
      </c>
      <c r="J2881" s="7">
        <v>50</v>
      </c>
      <c r="K2881" s="7" t="s">
        <v>312</v>
      </c>
      <c r="L2881" s="7">
        <v>18</v>
      </c>
      <c r="M2881" s="7">
        <f>IF(INDEX([1]equip.xml!$B:$B,MATCH(D2881&amp;"",[1]equip.xml!$A:$A,0))=0,0,N2881)</f>
        <v>0</v>
      </c>
      <c r="N2881" s="7">
        <f t="shared" si="2962"/>
        <v>65</v>
      </c>
    </row>
    <row r="2882" spans="1:14">
      <c r="A2882" s="7">
        <f t="shared" si="2961"/>
        <v>20005</v>
      </c>
      <c r="B2882" s="7">
        <v>40000</v>
      </c>
      <c r="C2882" s="7" t="s">
        <v>132</v>
      </c>
      <c r="D2882" s="7" t="s">
        <v>80</v>
      </c>
      <c r="E2882" s="7" t="s">
        <v>124</v>
      </c>
      <c r="F2882" s="7">
        <v>1</v>
      </c>
      <c r="G2882" s="7">
        <f>3*INDEX([1]equip.xml!$I:$I,MATCH(D2882&amp;"",[1]equip.xml!$A:$A,0))</f>
        <v>15000</v>
      </c>
      <c r="H2882" s="7" t="s">
        <v>31</v>
      </c>
      <c r="I2882" s="7">
        <v>13</v>
      </c>
      <c r="J2882" s="7">
        <v>50</v>
      </c>
      <c r="K2882" s="7" t="s">
        <v>312</v>
      </c>
      <c r="L2882" s="7">
        <v>18</v>
      </c>
      <c r="M2882" s="7">
        <f>IF(INDEX([1]equip.xml!$B:$B,MATCH(D2882&amp;"",[1]equip.xml!$A:$A,0))=0,0,N2882)</f>
        <v>65</v>
      </c>
      <c r="N2882" s="7">
        <f t="shared" si="2962"/>
        <v>65</v>
      </c>
    </row>
    <row r="2883" spans="1:14">
      <c r="A2883" s="7">
        <f t="shared" si="2961"/>
        <v>20005</v>
      </c>
      <c r="B2883" s="7">
        <v>40000</v>
      </c>
      <c r="C2883" s="7" t="s">
        <v>132</v>
      </c>
      <c r="D2883" s="7" t="s">
        <v>81</v>
      </c>
      <c r="E2883" s="7" t="s">
        <v>125</v>
      </c>
      <c r="F2883" s="7">
        <v>1</v>
      </c>
      <c r="G2883" s="7">
        <f>3*INDEX([1]equip.xml!$I:$I,MATCH(D2883&amp;"",[1]equip.xml!$A:$A,0))</f>
        <v>24000</v>
      </c>
      <c r="H2883" s="7" t="s">
        <v>31</v>
      </c>
      <c r="I2883" s="7">
        <v>13</v>
      </c>
      <c r="J2883" s="7">
        <v>50</v>
      </c>
      <c r="K2883" s="7" t="s">
        <v>312</v>
      </c>
      <c r="L2883" s="7">
        <v>18</v>
      </c>
      <c r="M2883" s="7">
        <f>IF(INDEX([1]equip.xml!$B:$B,MATCH(D2883&amp;"",[1]equip.xml!$A:$A,0))=0,0,N2883)</f>
        <v>65</v>
      </c>
      <c r="N2883" s="7">
        <f t="shared" si="2962"/>
        <v>65</v>
      </c>
    </row>
    <row r="2884" spans="1:14">
      <c r="A2884" s="7">
        <f t="shared" si="2961"/>
        <v>20005</v>
      </c>
      <c r="B2884" s="7">
        <v>40000</v>
      </c>
      <c r="C2884" s="7" t="s">
        <v>132</v>
      </c>
      <c r="D2884" s="7" t="s">
        <v>82</v>
      </c>
      <c r="E2884" s="7" t="s">
        <v>126</v>
      </c>
      <c r="F2884" s="7">
        <v>1</v>
      </c>
      <c r="G2884" s="7">
        <f>3*INDEX([1]equip.xml!$I:$I,MATCH(D2884&amp;"",[1]equip.xml!$A:$A,0))</f>
        <v>15000</v>
      </c>
      <c r="H2884" s="7" t="s">
        <v>31</v>
      </c>
      <c r="I2884" s="7">
        <v>13</v>
      </c>
      <c r="J2884" s="7">
        <v>50</v>
      </c>
      <c r="K2884" s="7" t="s">
        <v>312</v>
      </c>
      <c r="L2884" s="7">
        <v>18</v>
      </c>
      <c r="M2884" s="7">
        <f>IF(INDEX([1]equip.xml!$B:$B,MATCH(D2884&amp;"",[1]equip.xml!$A:$A,0))=0,0,N2884)</f>
        <v>65</v>
      </c>
      <c r="N2884" s="7">
        <f t="shared" si="2962"/>
        <v>65</v>
      </c>
    </row>
    <row r="2885" spans="1:14">
      <c r="A2885" s="7">
        <f t="shared" si="2961"/>
        <v>20005</v>
      </c>
      <c r="B2885" s="7">
        <v>40000</v>
      </c>
      <c r="C2885" s="7" t="s">
        <v>132</v>
      </c>
      <c r="D2885" s="7" t="s">
        <v>83</v>
      </c>
      <c r="E2885" s="7" t="s">
        <v>127</v>
      </c>
      <c r="F2885" s="7">
        <v>1</v>
      </c>
      <c r="G2885" s="7">
        <f>3*INDEX([1]equip.xml!$I:$I,MATCH(D2885&amp;"",[1]equip.xml!$A:$A,0))</f>
        <v>24000</v>
      </c>
      <c r="H2885" s="7" t="s">
        <v>31</v>
      </c>
      <c r="I2885" s="7">
        <v>13</v>
      </c>
      <c r="J2885" s="7">
        <v>50</v>
      </c>
      <c r="K2885" s="7" t="s">
        <v>312</v>
      </c>
      <c r="L2885" s="7">
        <v>18</v>
      </c>
      <c r="M2885" s="7">
        <f>IF(INDEX([1]equip.xml!$B:$B,MATCH(D2885&amp;"",[1]equip.xml!$A:$A,0))=0,0,N2885)</f>
        <v>0</v>
      </c>
      <c r="N2885" s="7">
        <f t="shared" si="2962"/>
        <v>65</v>
      </c>
    </row>
    <row r="2886" spans="1:14">
      <c r="A2886" s="7">
        <f t="shared" si="2961"/>
        <v>20005</v>
      </c>
      <c r="B2886" s="7">
        <v>40000</v>
      </c>
      <c r="C2886" s="7" t="s">
        <v>132</v>
      </c>
      <c r="D2886" s="7" t="s">
        <v>84</v>
      </c>
      <c r="E2886" s="7" t="s">
        <v>128</v>
      </c>
      <c r="F2886" s="7">
        <v>1</v>
      </c>
      <c r="G2886" s="7">
        <f>3*INDEX([1]equip.xml!$I:$I,MATCH(D2886&amp;"",[1]equip.xml!$A:$A,0))</f>
        <v>15000</v>
      </c>
      <c r="H2886" s="7" t="s">
        <v>31</v>
      </c>
      <c r="I2886" s="7">
        <v>13</v>
      </c>
      <c r="J2886" s="7">
        <v>50</v>
      </c>
      <c r="K2886" s="7" t="s">
        <v>312</v>
      </c>
      <c r="L2886" s="7">
        <v>18</v>
      </c>
      <c r="M2886" s="7">
        <f>IF(INDEX([1]equip.xml!$B:$B,MATCH(D2886&amp;"",[1]equip.xml!$A:$A,0))=0,0,N2886)</f>
        <v>65</v>
      </c>
      <c r="N2886" s="7">
        <f t="shared" si="2962"/>
        <v>65</v>
      </c>
    </row>
    <row r="2887" spans="1:14">
      <c r="A2887" s="7">
        <f t="shared" si="2961"/>
        <v>20005</v>
      </c>
      <c r="B2887" s="7">
        <v>40000</v>
      </c>
      <c r="C2887" s="7" t="s">
        <v>132</v>
      </c>
      <c r="D2887" s="7" t="s">
        <v>85</v>
      </c>
      <c r="E2887" s="7" t="s">
        <v>129</v>
      </c>
      <c r="F2887" s="7">
        <v>1</v>
      </c>
      <c r="G2887" s="7">
        <f>3*INDEX([1]equip.xml!$I:$I,MATCH(D2887&amp;"",[1]equip.xml!$A:$A,0))</f>
        <v>24000</v>
      </c>
      <c r="H2887" s="7" t="s">
        <v>31</v>
      </c>
      <c r="I2887" s="7">
        <v>13</v>
      </c>
      <c r="J2887" s="7">
        <v>50</v>
      </c>
      <c r="K2887" s="7" t="s">
        <v>312</v>
      </c>
      <c r="L2887" s="7">
        <v>18</v>
      </c>
      <c r="M2887" s="7">
        <f>IF(INDEX([1]equip.xml!$B:$B,MATCH(D2887&amp;"",[1]equip.xml!$A:$A,0))=0,0,N2887)</f>
        <v>65</v>
      </c>
      <c r="N2887" s="7">
        <f t="shared" si="2962"/>
        <v>65</v>
      </c>
    </row>
    <row r="2888" spans="1:14">
      <c r="A2888" s="7">
        <f t="shared" si="2961"/>
        <v>20005</v>
      </c>
      <c r="B2888" s="7">
        <v>40000</v>
      </c>
      <c r="C2888" s="7" t="s">
        <v>132</v>
      </c>
      <c r="D2888" s="7" t="s">
        <v>86</v>
      </c>
      <c r="E2888" s="7" t="s">
        <v>130</v>
      </c>
      <c r="F2888" s="7">
        <v>1</v>
      </c>
      <c r="G2888" s="7">
        <f>3*INDEX([1]equip.xml!$I:$I,MATCH(D2888&amp;"",[1]equip.xml!$A:$A,0))</f>
        <v>15000</v>
      </c>
      <c r="H2888" s="7" t="s">
        <v>31</v>
      </c>
      <c r="I2888" s="7">
        <v>13</v>
      </c>
      <c r="J2888" s="7">
        <v>50</v>
      </c>
      <c r="K2888" s="7" t="s">
        <v>312</v>
      </c>
      <c r="L2888" s="7">
        <v>18</v>
      </c>
      <c r="M2888" s="7">
        <f>IF(INDEX([1]equip.xml!$B:$B,MATCH(D2888&amp;"",[1]equip.xml!$A:$A,0))=0,0,N2888)</f>
        <v>65</v>
      </c>
      <c r="N2888" s="7">
        <f t="shared" si="2962"/>
        <v>65</v>
      </c>
    </row>
    <row r="2889" spans="1:14">
      <c r="A2889" s="7">
        <f t="shared" si="2961"/>
        <v>20005</v>
      </c>
      <c r="B2889" s="7">
        <v>40000</v>
      </c>
      <c r="C2889" s="7" t="s">
        <v>132</v>
      </c>
      <c r="D2889" s="7" t="s">
        <v>87</v>
      </c>
      <c r="E2889" s="7" t="s">
        <v>131</v>
      </c>
      <c r="F2889" s="7">
        <v>1</v>
      </c>
      <c r="G2889" s="7">
        <f>3*INDEX([1]equip.xml!$I:$I,MATCH(D2889&amp;"",[1]equip.xml!$A:$A,0))</f>
        <v>24000</v>
      </c>
      <c r="H2889" s="7" t="s">
        <v>31</v>
      </c>
      <c r="I2889" s="7">
        <v>13</v>
      </c>
      <c r="J2889" s="7">
        <v>50</v>
      </c>
      <c r="K2889" s="7" t="s">
        <v>312</v>
      </c>
      <c r="L2889" s="7">
        <v>18</v>
      </c>
      <c r="M2889" s="7">
        <f>IF(INDEX([1]equip.xml!$B:$B,MATCH(D2889&amp;"",[1]equip.xml!$A:$A,0))=0,0,N2889)</f>
        <v>65</v>
      </c>
      <c r="N2889" s="7">
        <v>65</v>
      </c>
    </row>
    <row r="2890" spans="1:14">
      <c r="A2890" s="7">
        <f t="shared" si="2961"/>
        <v>20005</v>
      </c>
      <c r="B2890" s="7">
        <v>40000</v>
      </c>
      <c r="C2890" s="7" t="s">
        <v>132</v>
      </c>
      <c r="D2890" s="7">
        <v>50010015</v>
      </c>
      <c r="E2890" s="7" t="s">
        <v>133</v>
      </c>
      <c r="F2890" s="7">
        <v>1</v>
      </c>
      <c r="G2890" s="8">
        <f>3*INDEX([1]equip.xml!$I:$I,MATCH(D2890,[1]equip.xml!$A:$A,0))</f>
        <v>6000</v>
      </c>
      <c r="H2890" s="7" t="s">
        <v>31</v>
      </c>
      <c r="I2890" s="7">
        <v>13</v>
      </c>
      <c r="J2890" s="7">
        <v>240</v>
      </c>
      <c r="K2890" s="7" t="s">
        <v>312</v>
      </c>
      <c r="L2890" s="7">
        <v>18</v>
      </c>
      <c r="M2890" s="7">
        <f>IF(INDEX([1]equip.xml!$B:$B,MATCH(D2890,[1]equip.xml!$A:$A,0))=0,0,N2890)</f>
        <v>0</v>
      </c>
      <c r="N2890" s="7">
        <f>N2846</f>
        <v>130</v>
      </c>
    </row>
    <row r="2891" spans="1:14">
      <c r="A2891" s="7">
        <f t="shared" si="2961"/>
        <v>20005</v>
      </c>
      <c r="B2891" s="7">
        <v>40000</v>
      </c>
      <c r="C2891" s="7" t="s">
        <v>132</v>
      </c>
      <c r="D2891" s="7">
        <v>50010025</v>
      </c>
      <c r="E2891" s="7" t="s">
        <v>134</v>
      </c>
      <c r="F2891" s="7">
        <v>1</v>
      </c>
      <c r="G2891" s="8">
        <f>3*INDEX([1]equip.xml!$I:$I,MATCH(D2891,[1]equip.xml!$A:$A,0))</f>
        <v>6000</v>
      </c>
      <c r="H2891" s="7" t="s">
        <v>31</v>
      </c>
      <c r="I2891" s="7">
        <v>13</v>
      </c>
      <c r="J2891" s="7">
        <v>240</v>
      </c>
      <c r="K2891" s="7" t="s">
        <v>312</v>
      </c>
      <c r="L2891" s="7">
        <v>18</v>
      </c>
      <c r="M2891" s="7">
        <f>IF(INDEX([1]equip.xml!$B:$B,MATCH(D2891,[1]equip.xml!$A:$A,0))=0,0,N2891)</f>
        <v>0</v>
      </c>
      <c r="N2891" s="7">
        <f t="shared" ref="N2891:N2933" si="2963">N2847</f>
        <v>130</v>
      </c>
    </row>
    <row r="2892" spans="1:14">
      <c r="A2892" s="7">
        <f t="shared" si="2961"/>
        <v>20005</v>
      </c>
      <c r="B2892" s="7">
        <v>40000</v>
      </c>
      <c r="C2892" s="7" t="s">
        <v>132</v>
      </c>
      <c r="D2892" s="7">
        <v>50010035</v>
      </c>
      <c r="E2892" s="7" t="s">
        <v>135</v>
      </c>
      <c r="F2892" s="7">
        <v>1</v>
      </c>
      <c r="G2892" s="8">
        <f>3*INDEX([1]equip.xml!$I:$I,MATCH(D2892,[1]equip.xml!$A:$A,0))</f>
        <v>6000</v>
      </c>
      <c r="H2892" s="7" t="s">
        <v>31</v>
      </c>
      <c r="I2892" s="7">
        <v>13</v>
      </c>
      <c r="J2892" s="7">
        <v>240</v>
      </c>
      <c r="K2892" s="7" t="s">
        <v>312</v>
      </c>
      <c r="L2892" s="7">
        <v>18</v>
      </c>
      <c r="M2892" s="7">
        <f>IF(INDEX([1]equip.xml!$B:$B,MATCH(D2892,[1]equip.xml!$A:$A,0))=0,0,N2892)</f>
        <v>0</v>
      </c>
      <c r="N2892" s="7">
        <f t="shared" si="2963"/>
        <v>130</v>
      </c>
    </row>
    <row r="2893" spans="1:14">
      <c r="A2893" s="7">
        <f t="shared" si="2961"/>
        <v>20005</v>
      </c>
      <c r="B2893" s="7">
        <v>40000</v>
      </c>
      <c r="C2893" s="7" t="s">
        <v>132</v>
      </c>
      <c r="D2893" s="7">
        <v>50010085</v>
      </c>
      <c r="E2893" s="7" t="s">
        <v>136</v>
      </c>
      <c r="F2893" s="7">
        <v>1</v>
      </c>
      <c r="G2893" s="8">
        <f>3*INDEX([1]equip.xml!$I:$I,MATCH(D2893,[1]equip.xml!$A:$A,0))</f>
        <v>6000</v>
      </c>
      <c r="H2893" s="7" t="s">
        <v>31</v>
      </c>
      <c r="I2893" s="7">
        <v>13</v>
      </c>
      <c r="J2893" s="7">
        <v>240</v>
      </c>
      <c r="K2893" s="7" t="s">
        <v>312</v>
      </c>
      <c r="L2893" s="7">
        <v>18</v>
      </c>
      <c r="M2893" s="7">
        <f>IF(INDEX([1]equip.xml!$B:$B,MATCH(D2893,[1]equip.xml!$A:$A,0))=0,0,N2893)</f>
        <v>130</v>
      </c>
      <c r="N2893" s="7">
        <f t="shared" si="2963"/>
        <v>130</v>
      </c>
    </row>
    <row r="2894" spans="1:14">
      <c r="A2894" s="7">
        <f t="shared" si="2961"/>
        <v>20005</v>
      </c>
      <c r="B2894" s="7">
        <v>40000</v>
      </c>
      <c r="C2894" s="7" t="s">
        <v>132</v>
      </c>
      <c r="D2894" s="7">
        <v>50010095</v>
      </c>
      <c r="E2894" s="7" t="s">
        <v>137</v>
      </c>
      <c r="F2894" s="7">
        <v>1</v>
      </c>
      <c r="G2894" s="8">
        <f>3*INDEX([1]equip.xml!$I:$I,MATCH(D2894,[1]equip.xml!$A:$A,0))</f>
        <v>6000</v>
      </c>
      <c r="H2894" s="7" t="s">
        <v>31</v>
      </c>
      <c r="I2894" s="7">
        <v>13</v>
      </c>
      <c r="J2894" s="7">
        <v>240</v>
      </c>
      <c r="K2894" s="7" t="s">
        <v>312</v>
      </c>
      <c r="L2894" s="7">
        <v>18</v>
      </c>
      <c r="M2894" s="7">
        <f>IF(INDEX([1]equip.xml!$B:$B,MATCH(D2894,[1]equip.xml!$A:$A,0))=0,0,N2894)</f>
        <v>130</v>
      </c>
      <c r="N2894" s="7">
        <f t="shared" si="2963"/>
        <v>130</v>
      </c>
    </row>
    <row r="2895" spans="1:14">
      <c r="A2895" s="7">
        <f t="shared" si="2961"/>
        <v>20005</v>
      </c>
      <c r="B2895" s="7">
        <v>40000</v>
      </c>
      <c r="C2895" s="7" t="s">
        <v>132</v>
      </c>
      <c r="D2895" s="7">
        <v>50010105</v>
      </c>
      <c r="E2895" s="7" t="s">
        <v>138</v>
      </c>
      <c r="F2895" s="7">
        <v>1</v>
      </c>
      <c r="G2895" s="8">
        <f>3*INDEX([1]equip.xml!$I:$I,MATCH(D2895,[1]equip.xml!$A:$A,0))</f>
        <v>6000</v>
      </c>
      <c r="H2895" s="7" t="s">
        <v>31</v>
      </c>
      <c r="I2895" s="7">
        <v>13</v>
      </c>
      <c r="J2895" s="7">
        <v>240</v>
      </c>
      <c r="K2895" s="7" t="s">
        <v>312</v>
      </c>
      <c r="L2895" s="7">
        <v>18</v>
      </c>
      <c r="M2895" s="7">
        <f>IF(INDEX([1]equip.xml!$B:$B,MATCH(D2895,[1]equip.xml!$A:$A,0))=0,0,N2895)</f>
        <v>0</v>
      </c>
      <c r="N2895" s="7">
        <f t="shared" si="2963"/>
        <v>130</v>
      </c>
    </row>
    <row r="2896" spans="1:14">
      <c r="A2896" s="7">
        <f t="shared" si="2961"/>
        <v>20005</v>
      </c>
      <c r="B2896" s="7">
        <v>40000</v>
      </c>
      <c r="C2896" s="7" t="s">
        <v>132</v>
      </c>
      <c r="D2896" s="7">
        <v>50011055</v>
      </c>
      <c r="E2896" s="7" t="s">
        <v>139</v>
      </c>
      <c r="F2896" s="7">
        <v>1</v>
      </c>
      <c r="G2896" s="8">
        <f>3*INDEX([1]equip.xml!$I:$I,MATCH(D2896,[1]equip.xml!$A:$A,0))</f>
        <v>6000</v>
      </c>
      <c r="H2896" s="7" t="s">
        <v>31</v>
      </c>
      <c r="I2896" s="7">
        <v>13</v>
      </c>
      <c r="J2896" s="7">
        <v>240</v>
      </c>
      <c r="K2896" s="7" t="s">
        <v>312</v>
      </c>
      <c r="L2896" s="7">
        <v>18</v>
      </c>
      <c r="M2896" s="7">
        <f>IF(INDEX([1]equip.xml!$B:$B,MATCH(D2896,[1]equip.xml!$A:$A,0))=0,0,N2896)</f>
        <v>130</v>
      </c>
      <c r="N2896" s="7">
        <f t="shared" si="2963"/>
        <v>130</v>
      </c>
    </row>
    <row r="2897" spans="1:14">
      <c r="A2897" s="7">
        <f t="shared" si="2961"/>
        <v>20005</v>
      </c>
      <c r="B2897" s="7">
        <v>40000</v>
      </c>
      <c r="C2897" s="7" t="s">
        <v>132</v>
      </c>
      <c r="D2897" s="7">
        <v>50011056</v>
      </c>
      <c r="E2897" s="7" t="s">
        <v>140</v>
      </c>
      <c r="F2897" s="7">
        <v>1</v>
      </c>
      <c r="G2897" s="8">
        <f>3*INDEX([1]equip.xml!$I:$I,MATCH(D2897,[1]equip.xml!$A:$A,0))</f>
        <v>24000</v>
      </c>
      <c r="H2897" s="7" t="s">
        <v>31</v>
      </c>
      <c r="I2897" s="7">
        <v>13</v>
      </c>
      <c r="J2897" s="7">
        <v>240</v>
      </c>
      <c r="K2897" s="7" t="s">
        <v>312</v>
      </c>
      <c r="L2897" s="7">
        <v>18</v>
      </c>
      <c r="M2897" s="7">
        <f>IF(INDEX([1]equip.xml!$B:$B,MATCH(D2897,[1]equip.xml!$A:$A,0))=0,0,N2897)</f>
        <v>130</v>
      </c>
      <c r="N2897" s="7">
        <f t="shared" si="2963"/>
        <v>130</v>
      </c>
    </row>
    <row r="2898" spans="1:14">
      <c r="A2898" s="7">
        <f t="shared" si="2961"/>
        <v>20005</v>
      </c>
      <c r="B2898" s="7">
        <v>40000</v>
      </c>
      <c r="C2898" s="7" t="s">
        <v>132</v>
      </c>
      <c r="D2898" s="7">
        <v>50011065</v>
      </c>
      <c r="E2898" s="7" t="s">
        <v>141</v>
      </c>
      <c r="F2898" s="7">
        <v>1</v>
      </c>
      <c r="G2898" s="8">
        <f>3*INDEX([1]equip.xml!$I:$I,MATCH(D2898,[1]equip.xml!$A:$A,0))</f>
        <v>6000</v>
      </c>
      <c r="H2898" s="7" t="s">
        <v>31</v>
      </c>
      <c r="I2898" s="7">
        <v>13</v>
      </c>
      <c r="J2898" s="7">
        <v>240</v>
      </c>
      <c r="K2898" s="7" t="s">
        <v>312</v>
      </c>
      <c r="L2898" s="7">
        <v>18</v>
      </c>
      <c r="M2898" s="7">
        <f>IF(INDEX([1]equip.xml!$B:$B,MATCH(D2898,[1]equip.xml!$A:$A,0))=0,0,N2898)</f>
        <v>130</v>
      </c>
      <c r="N2898" s="7">
        <f t="shared" si="2963"/>
        <v>130</v>
      </c>
    </row>
    <row r="2899" spans="1:14">
      <c r="A2899" s="7">
        <f t="shared" si="2961"/>
        <v>20005</v>
      </c>
      <c r="B2899" s="7">
        <v>40000</v>
      </c>
      <c r="C2899" s="7" t="s">
        <v>132</v>
      </c>
      <c r="D2899" s="7">
        <v>50011066</v>
      </c>
      <c r="E2899" s="7" t="s">
        <v>142</v>
      </c>
      <c r="F2899" s="7">
        <v>1</v>
      </c>
      <c r="G2899" s="8">
        <f>3*INDEX([1]equip.xml!$I:$I,MATCH(D2899,[1]equip.xml!$A:$A,0))</f>
        <v>24000</v>
      </c>
      <c r="H2899" s="7" t="s">
        <v>31</v>
      </c>
      <c r="I2899" s="7">
        <v>13</v>
      </c>
      <c r="J2899" s="7">
        <v>240</v>
      </c>
      <c r="K2899" s="7" t="s">
        <v>312</v>
      </c>
      <c r="L2899" s="7">
        <v>18</v>
      </c>
      <c r="M2899" s="7">
        <f>IF(INDEX([1]equip.xml!$B:$B,MATCH(D2899,[1]equip.xml!$A:$A,0))=0,0,N2899)</f>
        <v>0</v>
      </c>
      <c r="N2899" s="7">
        <f t="shared" si="2963"/>
        <v>130</v>
      </c>
    </row>
    <row r="2900" spans="1:14">
      <c r="A2900" s="7">
        <f t="shared" si="2961"/>
        <v>20005</v>
      </c>
      <c r="B2900" s="7">
        <v>40000</v>
      </c>
      <c r="C2900" s="7" t="s">
        <v>132</v>
      </c>
      <c r="D2900" s="7">
        <v>50012055</v>
      </c>
      <c r="E2900" s="7" t="s">
        <v>143</v>
      </c>
      <c r="F2900" s="7">
        <v>1</v>
      </c>
      <c r="G2900" s="8">
        <f>3*INDEX([1]equip.xml!$I:$I,MATCH(D2900,[1]equip.xml!$A:$A,0))</f>
        <v>6000</v>
      </c>
      <c r="H2900" s="7" t="s">
        <v>31</v>
      </c>
      <c r="I2900" s="7">
        <v>13</v>
      </c>
      <c r="J2900" s="7">
        <v>240</v>
      </c>
      <c r="K2900" s="7" t="s">
        <v>312</v>
      </c>
      <c r="L2900" s="7">
        <v>18</v>
      </c>
      <c r="M2900" s="7">
        <f>IF(INDEX([1]equip.xml!$B:$B,MATCH(D2900,[1]equip.xml!$A:$A,0))=0,0,N2900)</f>
        <v>130</v>
      </c>
      <c r="N2900" s="7">
        <f t="shared" si="2963"/>
        <v>130</v>
      </c>
    </row>
    <row r="2901" spans="1:14">
      <c r="A2901" s="7">
        <f t="shared" si="2961"/>
        <v>20005</v>
      </c>
      <c r="B2901" s="7">
        <v>40000</v>
      </c>
      <c r="C2901" s="7" t="s">
        <v>132</v>
      </c>
      <c r="D2901" s="7">
        <v>50012056</v>
      </c>
      <c r="E2901" s="7" t="s">
        <v>144</v>
      </c>
      <c r="F2901" s="7">
        <v>1</v>
      </c>
      <c r="G2901" s="8">
        <f>3*INDEX([1]equip.xml!$I:$I,MATCH(D2901,[1]equip.xml!$A:$A,0))</f>
        <v>24000</v>
      </c>
      <c r="H2901" s="7" t="s">
        <v>31</v>
      </c>
      <c r="I2901" s="7">
        <v>13</v>
      </c>
      <c r="J2901" s="7">
        <v>240</v>
      </c>
      <c r="K2901" s="7" t="s">
        <v>312</v>
      </c>
      <c r="L2901" s="7">
        <v>18</v>
      </c>
      <c r="M2901" s="7">
        <f>IF(INDEX([1]equip.xml!$B:$B,MATCH(D2901,[1]equip.xml!$A:$A,0))=0,0,N2901)</f>
        <v>130</v>
      </c>
      <c r="N2901" s="7">
        <f t="shared" si="2963"/>
        <v>130</v>
      </c>
    </row>
    <row r="2902" spans="1:14">
      <c r="A2902" s="7">
        <f t="shared" si="2961"/>
        <v>20005</v>
      </c>
      <c r="B2902" s="7">
        <v>40000</v>
      </c>
      <c r="C2902" s="7" t="s">
        <v>132</v>
      </c>
      <c r="D2902" s="7">
        <v>50012065</v>
      </c>
      <c r="E2902" s="7" t="s">
        <v>145</v>
      </c>
      <c r="F2902" s="7">
        <v>1</v>
      </c>
      <c r="G2902" s="8">
        <f>3*INDEX([1]equip.xml!$I:$I,MATCH(D2902,[1]equip.xml!$A:$A,0))</f>
        <v>6000</v>
      </c>
      <c r="H2902" s="7" t="s">
        <v>31</v>
      </c>
      <c r="I2902" s="7">
        <v>13</v>
      </c>
      <c r="J2902" s="7">
        <v>240</v>
      </c>
      <c r="K2902" s="7" t="s">
        <v>312</v>
      </c>
      <c r="L2902" s="7">
        <v>18</v>
      </c>
      <c r="M2902" s="7">
        <f>IF(INDEX([1]equip.xml!$B:$B,MATCH(D2902,[1]equip.xml!$A:$A,0))=0,0,N2902)</f>
        <v>130</v>
      </c>
      <c r="N2902" s="7">
        <f t="shared" si="2963"/>
        <v>130</v>
      </c>
    </row>
    <row r="2903" spans="1:14">
      <c r="A2903" s="7">
        <f t="shared" si="2961"/>
        <v>20005</v>
      </c>
      <c r="B2903" s="7">
        <v>40000</v>
      </c>
      <c r="C2903" s="7" t="s">
        <v>132</v>
      </c>
      <c r="D2903" s="7">
        <v>50012066</v>
      </c>
      <c r="E2903" s="7" t="s">
        <v>146</v>
      </c>
      <c r="F2903" s="7">
        <v>1</v>
      </c>
      <c r="G2903" s="8">
        <f>3*INDEX([1]equip.xml!$I:$I,MATCH(D2903,[1]equip.xml!$A:$A,0))</f>
        <v>24000</v>
      </c>
      <c r="H2903" s="7" t="s">
        <v>31</v>
      </c>
      <c r="I2903" s="7">
        <v>13</v>
      </c>
      <c r="J2903" s="7">
        <v>240</v>
      </c>
      <c r="K2903" s="7" t="s">
        <v>312</v>
      </c>
      <c r="L2903" s="7">
        <v>18</v>
      </c>
      <c r="M2903" s="7">
        <f>IF(INDEX([1]equip.xml!$B:$B,MATCH(D2903,[1]equip.xml!$A:$A,0))=0,0,N2903)</f>
        <v>0</v>
      </c>
      <c r="N2903" s="7">
        <f t="shared" si="2963"/>
        <v>130</v>
      </c>
    </row>
    <row r="2904" spans="1:14">
      <c r="A2904" s="7">
        <f t="shared" si="2961"/>
        <v>20005</v>
      </c>
      <c r="B2904" s="7">
        <v>40000</v>
      </c>
      <c r="C2904" s="7" t="s">
        <v>132</v>
      </c>
      <c r="D2904" s="7">
        <v>50013055</v>
      </c>
      <c r="E2904" s="7" t="s">
        <v>147</v>
      </c>
      <c r="F2904" s="7">
        <v>1</v>
      </c>
      <c r="G2904" s="8">
        <f>3*INDEX([1]equip.xml!$I:$I,MATCH(D2904,[1]equip.xml!$A:$A,0))</f>
        <v>6000</v>
      </c>
      <c r="H2904" s="7" t="s">
        <v>31</v>
      </c>
      <c r="I2904" s="7">
        <v>13</v>
      </c>
      <c r="J2904" s="7">
        <v>240</v>
      </c>
      <c r="K2904" s="7" t="s">
        <v>312</v>
      </c>
      <c r="L2904" s="7">
        <v>18</v>
      </c>
      <c r="M2904" s="7">
        <f>IF(INDEX([1]equip.xml!$B:$B,MATCH(D2904,[1]equip.xml!$A:$A,0))=0,0,N2904)</f>
        <v>130</v>
      </c>
      <c r="N2904" s="7">
        <f t="shared" si="2963"/>
        <v>130</v>
      </c>
    </row>
    <row r="2905" spans="1:14">
      <c r="A2905" s="7">
        <f t="shared" si="2961"/>
        <v>20005</v>
      </c>
      <c r="B2905" s="7">
        <v>40000</v>
      </c>
      <c r="C2905" s="7" t="s">
        <v>132</v>
      </c>
      <c r="D2905" s="7">
        <v>50013056</v>
      </c>
      <c r="E2905" s="7" t="s">
        <v>148</v>
      </c>
      <c r="F2905" s="7">
        <v>1</v>
      </c>
      <c r="G2905" s="8">
        <f>3*INDEX([1]equip.xml!$I:$I,MATCH(D2905,[1]equip.xml!$A:$A,0))</f>
        <v>24000</v>
      </c>
      <c r="H2905" s="7" t="s">
        <v>31</v>
      </c>
      <c r="I2905" s="7">
        <v>13</v>
      </c>
      <c r="J2905" s="7">
        <v>240</v>
      </c>
      <c r="K2905" s="7" t="s">
        <v>312</v>
      </c>
      <c r="L2905" s="7">
        <v>18</v>
      </c>
      <c r="M2905" s="7">
        <f>IF(INDEX([1]equip.xml!$B:$B,MATCH(D2905,[1]equip.xml!$A:$A,0))=0,0,N2905)</f>
        <v>130</v>
      </c>
      <c r="N2905" s="7">
        <f t="shared" si="2963"/>
        <v>130</v>
      </c>
    </row>
    <row r="2906" spans="1:14">
      <c r="A2906" s="7">
        <f t="shared" si="2961"/>
        <v>20005</v>
      </c>
      <c r="B2906" s="7">
        <v>40000</v>
      </c>
      <c r="C2906" s="7" t="s">
        <v>132</v>
      </c>
      <c r="D2906" s="7">
        <v>50013065</v>
      </c>
      <c r="E2906" s="7" t="s">
        <v>149</v>
      </c>
      <c r="F2906" s="7">
        <v>1</v>
      </c>
      <c r="G2906" s="8">
        <f>3*INDEX([1]equip.xml!$I:$I,MATCH(D2906,[1]equip.xml!$A:$A,0))</f>
        <v>6000</v>
      </c>
      <c r="H2906" s="7" t="s">
        <v>31</v>
      </c>
      <c r="I2906" s="7">
        <v>13</v>
      </c>
      <c r="J2906" s="7">
        <v>240</v>
      </c>
      <c r="K2906" s="7" t="s">
        <v>312</v>
      </c>
      <c r="L2906" s="7">
        <v>18</v>
      </c>
      <c r="M2906" s="7">
        <f>IF(INDEX([1]equip.xml!$B:$B,MATCH(D2906,[1]equip.xml!$A:$A,0))=0,0,N2906)</f>
        <v>130</v>
      </c>
      <c r="N2906" s="7">
        <f t="shared" si="2963"/>
        <v>130</v>
      </c>
    </row>
    <row r="2907" spans="1:14">
      <c r="A2907" s="7">
        <f t="shared" si="2961"/>
        <v>20005</v>
      </c>
      <c r="B2907" s="7">
        <v>40000</v>
      </c>
      <c r="C2907" s="7" t="s">
        <v>132</v>
      </c>
      <c r="D2907" s="7">
        <v>50013066</v>
      </c>
      <c r="E2907" s="7" t="s">
        <v>150</v>
      </c>
      <c r="F2907" s="7">
        <v>1</v>
      </c>
      <c r="G2907" s="8">
        <f>3*INDEX([1]equip.xml!$I:$I,MATCH(D2907,[1]equip.xml!$A:$A,0))</f>
        <v>24000</v>
      </c>
      <c r="H2907" s="7" t="s">
        <v>31</v>
      </c>
      <c r="I2907" s="7">
        <v>13</v>
      </c>
      <c r="J2907" s="7">
        <v>240</v>
      </c>
      <c r="K2907" s="7" t="s">
        <v>312</v>
      </c>
      <c r="L2907" s="7">
        <v>18</v>
      </c>
      <c r="M2907" s="7">
        <f>IF(INDEX([1]equip.xml!$B:$B,MATCH(D2907,[1]equip.xml!$A:$A,0))=0,0,N2907)</f>
        <v>0</v>
      </c>
      <c r="N2907" s="7">
        <f t="shared" si="2963"/>
        <v>130</v>
      </c>
    </row>
    <row r="2908" spans="1:14">
      <c r="A2908" s="7">
        <f t="shared" si="2961"/>
        <v>20005</v>
      </c>
      <c r="B2908" s="7">
        <v>40000</v>
      </c>
      <c r="C2908" s="7" t="s">
        <v>132</v>
      </c>
      <c r="D2908" s="7">
        <v>50010045</v>
      </c>
      <c r="E2908" s="7" t="s">
        <v>151</v>
      </c>
      <c r="F2908" s="7">
        <v>1</v>
      </c>
      <c r="G2908" s="8">
        <f>3*INDEX([1]equip.xml!$I:$I,MATCH(D2908,[1]equip.xml!$A:$A,0))</f>
        <v>6000</v>
      </c>
      <c r="H2908" s="7" t="s">
        <v>31</v>
      </c>
      <c r="I2908" s="7">
        <v>13</v>
      </c>
      <c r="J2908" s="7">
        <v>240</v>
      </c>
      <c r="K2908" s="7" t="s">
        <v>312</v>
      </c>
      <c r="L2908" s="7">
        <v>18</v>
      </c>
      <c r="M2908" s="7">
        <f>IF(INDEX([1]equip.xml!$B:$B,MATCH(D2908,[1]equip.xml!$A:$A,0))=0,0,N2908)</f>
        <v>130</v>
      </c>
      <c r="N2908" s="7">
        <f t="shared" si="2963"/>
        <v>130</v>
      </c>
    </row>
    <row r="2909" spans="1:14">
      <c r="A2909" s="7">
        <f t="shared" si="2961"/>
        <v>20005</v>
      </c>
      <c r="B2909" s="7">
        <v>40000</v>
      </c>
      <c r="C2909" s="7" t="s">
        <v>132</v>
      </c>
      <c r="D2909" s="7">
        <v>50010046</v>
      </c>
      <c r="E2909" s="7" t="s">
        <v>152</v>
      </c>
      <c r="F2909" s="7">
        <v>1</v>
      </c>
      <c r="G2909" s="8">
        <f>3*INDEX([1]equip.xml!$I:$I,MATCH(D2909,[1]equip.xml!$A:$A,0))</f>
        <v>24000</v>
      </c>
      <c r="H2909" s="7" t="s">
        <v>31</v>
      </c>
      <c r="I2909" s="7">
        <v>13</v>
      </c>
      <c r="J2909" s="7">
        <v>240</v>
      </c>
      <c r="K2909" s="7" t="s">
        <v>312</v>
      </c>
      <c r="L2909" s="7">
        <v>18</v>
      </c>
      <c r="M2909" s="7">
        <f>IF(INDEX([1]equip.xml!$B:$B,MATCH(D2909,[1]equip.xml!$A:$A,0))=0,0,N2909)</f>
        <v>0</v>
      </c>
      <c r="N2909" s="7">
        <f t="shared" si="2963"/>
        <v>130</v>
      </c>
    </row>
    <row r="2910" spans="1:14">
      <c r="A2910" s="7">
        <f t="shared" si="2961"/>
        <v>20005</v>
      </c>
      <c r="B2910" s="7">
        <v>40000</v>
      </c>
      <c r="C2910" s="7" t="s">
        <v>132</v>
      </c>
      <c r="D2910" s="7">
        <v>50010075</v>
      </c>
      <c r="E2910" s="7" t="s">
        <v>153</v>
      </c>
      <c r="F2910" s="7">
        <v>1</v>
      </c>
      <c r="G2910" s="8">
        <f>3*INDEX([1]equip.xml!$I:$I,MATCH(D2910,[1]equip.xml!$A:$A,0))</f>
        <v>6000</v>
      </c>
      <c r="H2910" s="7" t="s">
        <v>31</v>
      </c>
      <c r="I2910" s="7">
        <v>13</v>
      </c>
      <c r="J2910" s="7">
        <v>240</v>
      </c>
      <c r="K2910" s="7" t="s">
        <v>312</v>
      </c>
      <c r="L2910" s="7">
        <v>18</v>
      </c>
      <c r="M2910" s="7">
        <f>IF(INDEX([1]equip.xml!$B:$B,MATCH(D2910,[1]equip.xml!$A:$A,0))=0,0,N2910)</f>
        <v>0</v>
      </c>
      <c r="N2910" s="7">
        <f t="shared" si="2963"/>
        <v>130</v>
      </c>
    </row>
    <row r="2911" spans="1:14">
      <c r="A2911" s="7">
        <f t="shared" ref="A2911:A2974" si="2964">10000+A95</f>
        <v>20005</v>
      </c>
      <c r="B2911" s="7">
        <v>40000</v>
      </c>
      <c r="C2911" s="7" t="s">
        <v>132</v>
      </c>
      <c r="D2911" s="7">
        <v>50010076</v>
      </c>
      <c r="E2911" s="7" t="s">
        <v>154</v>
      </c>
      <c r="F2911" s="7">
        <v>1</v>
      </c>
      <c r="G2911" s="8">
        <f>3*INDEX([1]equip.xml!$I:$I,MATCH(D2911,[1]equip.xml!$A:$A,0))</f>
        <v>24000</v>
      </c>
      <c r="H2911" s="7" t="s">
        <v>31</v>
      </c>
      <c r="I2911" s="7">
        <v>13</v>
      </c>
      <c r="J2911" s="7">
        <v>240</v>
      </c>
      <c r="K2911" s="7" t="s">
        <v>312</v>
      </c>
      <c r="L2911" s="7">
        <v>18</v>
      </c>
      <c r="M2911" s="7">
        <f>IF(INDEX([1]equip.xml!$B:$B,MATCH(D2911,[1]equip.xml!$A:$A,0))=0,0,N2911)</f>
        <v>0</v>
      </c>
      <c r="N2911" s="7">
        <f t="shared" si="2963"/>
        <v>130</v>
      </c>
    </row>
    <row r="2912" spans="1:14">
      <c r="A2912" s="7">
        <f t="shared" si="2964"/>
        <v>20005</v>
      </c>
      <c r="B2912" s="7">
        <v>40000</v>
      </c>
      <c r="C2912" s="7" t="s">
        <v>132</v>
      </c>
      <c r="D2912" s="7">
        <v>50050015</v>
      </c>
      <c r="E2912" s="7" t="s">
        <v>155</v>
      </c>
      <c r="F2912" s="7">
        <v>1</v>
      </c>
      <c r="G2912" s="8">
        <f>3*INDEX([1]equip.xml!$I:$I,MATCH(D2912,[1]equip.xml!$A:$A,0))</f>
        <v>30000</v>
      </c>
      <c r="H2912" s="7" t="s">
        <v>31</v>
      </c>
      <c r="I2912" s="7">
        <v>13</v>
      </c>
      <c r="J2912" s="7">
        <v>240</v>
      </c>
      <c r="K2912" s="7" t="s">
        <v>312</v>
      </c>
      <c r="L2912" s="7">
        <v>18</v>
      </c>
      <c r="M2912" s="7">
        <f>IF(INDEX([1]equip.xml!$B:$B,MATCH(D2912,[1]equip.xml!$A:$A,0))=0,0,N2912)</f>
        <v>65</v>
      </c>
      <c r="N2912" s="7">
        <f t="shared" si="2963"/>
        <v>65</v>
      </c>
    </row>
    <row r="2913" spans="1:14">
      <c r="A2913" s="7">
        <f t="shared" si="2964"/>
        <v>20005</v>
      </c>
      <c r="B2913" s="7">
        <v>40000</v>
      </c>
      <c r="C2913" s="7" t="s">
        <v>132</v>
      </c>
      <c r="D2913" s="7">
        <v>50050025</v>
      </c>
      <c r="E2913" s="7" t="s">
        <v>156</v>
      </c>
      <c r="F2913" s="7">
        <v>1</v>
      </c>
      <c r="G2913" s="8">
        <f>3*INDEX([1]equip.xml!$I:$I,MATCH(D2913,[1]equip.xml!$A:$A,0))</f>
        <v>30000</v>
      </c>
      <c r="H2913" s="7" t="s">
        <v>31</v>
      </c>
      <c r="I2913" s="7">
        <v>13</v>
      </c>
      <c r="J2913" s="7">
        <v>240</v>
      </c>
      <c r="K2913" s="7" t="s">
        <v>312</v>
      </c>
      <c r="L2913" s="7">
        <v>18</v>
      </c>
      <c r="M2913" s="7">
        <f>IF(INDEX([1]equip.xml!$B:$B,MATCH(D2913,[1]equip.xml!$A:$A,0))=0,0,N2913)</f>
        <v>65</v>
      </c>
      <c r="N2913" s="7">
        <f t="shared" si="2963"/>
        <v>65</v>
      </c>
    </row>
    <row r="2914" spans="1:14">
      <c r="A2914" s="7">
        <f t="shared" si="2964"/>
        <v>20005</v>
      </c>
      <c r="B2914" s="7">
        <v>40000</v>
      </c>
      <c r="C2914" s="7" t="s">
        <v>132</v>
      </c>
      <c r="D2914" s="7">
        <v>50050035</v>
      </c>
      <c r="E2914" s="7" t="s">
        <v>157</v>
      </c>
      <c r="F2914" s="7">
        <v>1</v>
      </c>
      <c r="G2914" s="8">
        <f>3*INDEX([1]equip.xml!$I:$I,MATCH(D2914,[1]equip.xml!$A:$A,0))</f>
        <v>30000</v>
      </c>
      <c r="H2914" s="7" t="s">
        <v>31</v>
      </c>
      <c r="I2914" s="7">
        <v>13</v>
      </c>
      <c r="J2914" s="7">
        <v>240</v>
      </c>
      <c r="K2914" s="7" t="s">
        <v>312</v>
      </c>
      <c r="L2914" s="7">
        <v>18</v>
      </c>
      <c r="M2914" s="7">
        <f>IF(INDEX([1]equip.xml!$B:$B,MATCH(D2914,[1]equip.xml!$A:$A,0))=0,0,N2914)</f>
        <v>65</v>
      </c>
      <c r="N2914" s="7">
        <f t="shared" si="2963"/>
        <v>65</v>
      </c>
    </row>
    <row r="2915" spans="1:14">
      <c r="A2915" s="7">
        <f t="shared" si="2964"/>
        <v>20005</v>
      </c>
      <c r="B2915" s="7">
        <v>40000</v>
      </c>
      <c r="C2915" s="7" t="s">
        <v>132</v>
      </c>
      <c r="D2915" s="7">
        <v>50050085</v>
      </c>
      <c r="E2915" s="7" t="s">
        <v>158</v>
      </c>
      <c r="F2915" s="7">
        <v>1</v>
      </c>
      <c r="G2915" s="8">
        <f>3*INDEX([1]equip.xml!$I:$I,MATCH(D2915,[1]equip.xml!$A:$A,0))</f>
        <v>30000</v>
      </c>
      <c r="H2915" s="7" t="s">
        <v>31</v>
      </c>
      <c r="I2915" s="7">
        <v>13</v>
      </c>
      <c r="J2915" s="7">
        <v>240</v>
      </c>
      <c r="K2915" s="7" t="s">
        <v>312</v>
      </c>
      <c r="L2915" s="7">
        <v>18</v>
      </c>
      <c r="M2915" s="7">
        <f>IF(INDEX([1]equip.xml!$B:$B,MATCH(D2915,[1]equip.xml!$A:$A,0))=0,0,N2915)</f>
        <v>0</v>
      </c>
      <c r="N2915" s="7">
        <f t="shared" si="2963"/>
        <v>65</v>
      </c>
    </row>
    <row r="2916" spans="1:14">
      <c r="A2916" s="7">
        <f t="shared" si="2964"/>
        <v>20005</v>
      </c>
      <c r="B2916" s="7">
        <v>40000</v>
      </c>
      <c r="C2916" s="7" t="s">
        <v>132</v>
      </c>
      <c r="D2916" s="7">
        <v>50050095</v>
      </c>
      <c r="E2916" s="7" t="s">
        <v>159</v>
      </c>
      <c r="F2916" s="7">
        <v>1</v>
      </c>
      <c r="G2916" s="8">
        <f>3*INDEX([1]equip.xml!$I:$I,MATCH(D2916,[1]equip.xml!$A:$A,0))</f>
        <v>30000</v>
      </c>
      <c r="H2916" s="7" t="s">
        <v>31</v>
      </c>
      <c r="I2916" s="7">
        <v>13</v>
      </c>
      <c r="J2916" s="7">
        <v>240</v>
      </c>
      <c r="K2916" s="7" t="s">
        <v>312</v>
      </c>
      <c r="L2916" s="7">
        <v>18</v>
      </c>
      <c r="M2916" s="7">
        <f>IF(INDEX([1]equip.xml!$B:$B,MATCH(D2916,[1]equip.xml!$A:$A,0))=0,0,N2916)</f>
        <v>0</v>
      </c>
      <c r="N2916" s="7">
        <f t="shared" si="2963"/>
        <v>65</v>
      </c>
    </row>
    <row r="2917" spans="1:14">
      <c r="A2917" s="7">
        <f t="shared" si="2964"/>
        <v>20005</v>
      </c>
      <c r="B2917" s="7">
        <v>40000</v>
      </c>
      <c r="C2917" s="7" t="s">
        <v>132</v>
      </c>
      <c r="D2917" s="7">
        <v>50050105</v>
      </c>
      <c r="E2917" s="7" t="s">
        <v>160</v>
      </c>
      <c r="F2917" s="7">
        <v>1</v>
      </c>
      <c r="G2917" s="8">
        <f>3*INDEX([1]equip.xml!$I:$I,MATCH(D2917,[1]equip.xml!$A:$A,0))</f>
        <v>30000</v>
      </c>
      <c r="H2917" s="7" t="s">
        <v>31</v>
      </c>
      <c r="I2917" s="7">
        <v>13</v>
      </c>
      <c r="J2917" s="7">
        <v>240</v>
      </c>
      <c r="K2917" s="7" t="s">
        <v>312</v>
      </c>
      <c r="L2917" s="7">
        <v>18</v>
      </c>
      <c r="M2917" s="7">
        <f>IF(INDEX([1]equip.xml!$B:$B,MATCH(D2917,[1]equip.xml!$A:$A,0))=0,0,N2917)</f>
        <v>65</v>
      </c>
      <c r="N2917" s="7">
        <f t="shared" si="2963"/>
        <v>65</v>
      </c>
    </row>
    <row r="2918" spans="1:14">
      <c r="A2918" s="7">
        <f t="shared" si="2964"/>
        <v>20005</v>
      </c>
      <c r="B2918" s="7">
        <v>40000</v>
      </c>
      <c r="C2918" s="7" t="s">
        <v>132</v>
      </c>
      <c r="D2918" s="7">
        <v>50051055</v>
      </c>
      <c r="E2918" s="7" t="s">
        <v>161</v>
      </c>
      <c r="F2918" s="7">
        <v>1</v>
      </c>
      <c r="G2918" s="8">
        <f>3*INDEX([1]equip.xml!$I:$I,MATCH(D2918,[1]equip.xml!$A:$A,0))</f>
        <v>30000</v>
      </c>
      <c r="H2918" s="7" t="s">
        <v>31</v>
      </c>
      <c r="I2918" s="7">
        <v>13</v>
      </c>
      <c r="J2918" s="7">
        <v>240</v>
      </c>
      <c r="K2918" s="7" t="s">
        <v>312</v>
      </c>
      <c r="L2918" s="7">
        <v>18</v>
      </c>
      <c r="M2918" s="7">
        <f>IF(INDEX([1]equip.xml!$B:$B,MATCH(D2918,[1]equip.xml!$A:$A,0))=0,0,N2918)</f>
        <v>65</v>
      </c>
      <c r="N2918" s="7">
        <f t="shared" si="2963"/>
        <v>65</v>
      </c>
    </row>
    <row r="2919" spans="1:14">
      <c r="A2919" s="7">
        <f t="shared" si="2964"/>
        <v>20005</v>
      </c>
      <c r="B2919" s="7">
        <v>40000</v>
      </c>
      <c r="C2919" s="7" t="s">
        <v>132</v>
      </c>
      <c r="D2919" s="7">
        <v>50051056</v>
      </c>
      <c r="E2919" s="7" t="s">
        <v>162</v>
      </c>
      <c r="F2919" s="7">
        <v>1</v>
      </c>
      <c r="G2919" s="8">
        <f>3*INDEX([1]equip.xml!$I:$I,MATCH(D2919,[1]equip.xml!$A:$A,0))</f>
        <v>48000</v>
      </c>
      <c r="H2919" s="7" t="s">
        <v>31</v>
      </c>
      <c r="I2919" s="7">
        <v>13</v>
      </c>
      <c r="J2919" s="7">
        <v>240</v>
      </c>
      <c r="K2919" s="7" t="s">
        <v>312</v>
      </c>
      <c r="L2919" s="7">
        <v>18</v>
      </c>
      <c r="M2919" s="7">
        <f>IF(INDEX([1]equip.xml!$B:$B,MATCH(D2919,[1]equip.xml!$A:$A,0))=0,0,N2919)</f>
        <v>65</v>
      </c>
      <c r="N2919" s="7">
        <f t="shared" si="2963"/>
        <v>65</v>
      </c>
    </row>
    <row r="2920" spans="1:14">
      <c r="A2920" s="7">
        <f t="shared" si="2964"/>
        <v>20005</v>
      </c>
      <c r="B2920" s="7">
        <v>40000</v>
      </c>
      <c r="C2920" s="7" t="s">
        <v>132</v>
      </c>
      <c r="D2920" s="7">
        <v>50051065</v>
      </c>
      <c r="E2920" s="7" t="s">
        <v>163</v>
      </c>
      <c r="F2920" s="7">
        <v>1</v>
      </c>
      <c r="G2920" s="8">
        <f>3*INDEX([1]equip.xml!$I:$I,MATCH(D2920,[1]equip.xml!$A:$A,0))</f>
        <v>30000</v>
      </c>
      <c r="H2920" s="7" t="s">
        <v>31</v>
      </c>
      <c r="I2920" s="7">
        <v>13</v>
      </c>
      <c r="J2920" s="7">
        <v>240</v>
      </c>
      <c r="K2920" s="7" t="s">
        <v>312</v>
      </c>
      <c r="L2920" s="7">
        <v>18</v>
      </c>
      <c r="M2920" s="7">
        <f>IF(INDEX([1]equip.xml!$B:$B,MATCH(D2920,[1]equip.xml!$A:$A,0))=0,0,N2920)</f>
        <v>65</v>
      </c>
      <c r="N2920" s="7">
        <f t="shared" si="2963"/>
        <v>65</v>
      </c>
    </row>
    <row r="2921" spans="1:14">
      <c r="A2921" s="7">
        <f t="shared" si="2964"/>
        <v>20005</v>
      </c>
      <c r="B2921" s="7">
        <v>40000</v>
      </c>
      <c r="C2921" s="7" t="s">
        <v>132</v>
      </c>
      <c r="D2921" s="7">
        <v>50051066</v>
      </c>
      <c r="E2921" s="7" t="s">
        <v>164</v>
      </c>
      <c r="F2921" s="7">
        <v>1</v>
      </c>
      <c r="G2921" s="8">
        <f>3*INDEX([1]equip.xml!$I:$I,MATCH(D2921,[1]equip.xml!$A:$A,0))</f>
        <v>48000</v>
      </c>
      <c r="H2921" s="7" t="s">
        <v>31</v>
      </c>
      <c r="I2921" s="7">
        <v>13</v>
      </c>
      <c r="J2921" s="7">
        <v>240</v>
      </c>
      <c r="K2921" s="7" t="s">
        <v>312</v>
      </c>
      <c r="L2921" s="7">
        <v>18</v>
      </c>
      <c r="M2921" s="7">
        <f>IF(INDEX([1]equip.xml!$B:$B,MATCH(D2921,[1]equip.xml!$A:$A,0))=0,0,N2921)</f>
        <v>0</v>
      </c>
      <c r="N2921" s="7">
        <f t="shared" si="2963"/>
        <v>65</v>
      </c>
    </row>
    <row r="2922" spans="1:14">
      <c r="A2922" s="7">
        <f t="shared" si="2964"/>
        <v>20005</v>
      </c>
      <c r="B2922" s="7">
        <v>40000</v>
      </c>
      <c r="C2922" s="7" t="s">
        <v>132</v>
      </c>
      <c r="D2922" s="7">
        <v>50052055</v>
      </c>
      <c r="E2922" s="7" t="s">
        <v>165</v>
      </c>
      <c r="F2922" s="7">
        <v>1</v>
      </c>
      <c r="G2922" s="8">
        <f>3*INDEX([1]equip.xml!$I:$I,MATCH(D2922,[1]equip.xml!$A:$A,0))</f>
        <v>30000</v>
      </c>
      <c r="H2922" s="7" t="s">
        <v>31</v>
      </c>
      <c r="I2922" s="7">
        <v>13</v>
      </c>
      <c r="J2922" s="7">
        <v>240</v>
      </c>
      <c r="K2922" s="7" t="s">
        <v>312</v>
      </c>
      <c r="L2922" s="7">
        <v>18</v>
      </c>
      <c r="M2922" s="7">
        <f>IF(INDEX([1]equip.xml!$B:$B,MATCH(D2922,[1]equip.xml!$A:$A,0))=0,0,N2922)</f>
        <v>65</v>
      </c>
      <c r="N2922" s="7">
        <f t="shared" si="2963"/>
        <v>65</v>
      </c>
    </row>
    <row r="2923" spans="1:14">
      <c r="A2923" s="7">
        <f t="shared" si="2964"/>
        <v>20005</v>
      </c>
      <c r="B2923" s="7">
        <v>40000</v>
      </c>
      <c r="C2923" s="7" t="s">
        <v>132</v>
      </c>
      <c r="D2923" s="7">
        <v>50052056</v>
      </c>
      <c r="E2923" s="7" t="s">
        <v>166</v>
      </c>
      <c r="F2923" s="7">
        <v>1</v>
      </c>
      <c r="G2923" s="8">
        <f>3*INDEX([1]equip.xml!$I:$I,MATCH(D2923,[1]equip.xml!$A:$A,0))</f>
        <v>48000</v>
      </c>
      <c r="H2923" s="7" t="s">
        <v>31</v>
      </c>
      <c r="I2923" s="7">
        <v>13</v>
      </c>
      <c r="J2923" s="7">
        <v>240</v>
      </c>
      <c r="K2923" s="7" t="s">
        <v>312</v>
      </c>
      <c r="L2923" s="7">
        <v>18</v>
      </c>
      <c r="M2923" s="7">
        <f>IF(INDEX([1]equip.xml!$B:$B,MATCH(D2923,[1]equip.xml!$A:$A,0))=0,0,N2923)</f>
        <v>65</v>
      </c>
      <c r="N2923" s="7">
        <f t="shared" si="2963"/>
        <v>65</v>
      </c>
    </row>
    <row r="2924" spans="1:14">
      <c r="A2924" s="7">
        <f t="shared" si="2964"/>
        <v>20005</v>
      </c>
      <c r="B2924" s="7">
        <v>40000</v>
      </c>
      <c r="C2924" s="7" t="s">
        <v>132</v>
      </c>
      <c r="D2924" s="7">
        <v>50052065</v>
      </c>
      <c r="E2924" s="7" t="s">
        <v>167</v>
      </c>
      <c r="F2924" s="7">
        <v>1</v>
      </c>
      <c r="G2924" s="8">
        <f>3*INDEX([1]equip.xml!$I:$I,MATCH(D2924,[1]equip.xml!$A:$A,0))</f>
        <v>30000</v>
      </c>
      <c r="H2924" s="7" t="s">
        <v>31</v>
      </c>
      <c r="I2924" s="7">
        <v>13</v>
      </c>
      <c r="J2924" s="7">
        <v>240</v>
      </c>
      <c r="K2924" s="7" t="s">
        <v>312</v>
      </c>
      <c r="L2924" s="7">
        <v>18</v>
      </c>
      <c r="M2924" s="7">
        <f>IF(INDEX([1]equip.xml!$B:$B,MATCH(D2924,[1]equip.xml!$A:$A,0))=0,0,N2924)</f>
        <v>65</v>
      </c>
      <c r="N2924" s="7">
        <f t="shared" si="2963"/>
        <v>65</v>
      </c>
    </row>
    <row r="2925" spans="1:14">
      <c r="A2925" s="7">
        <f t="shared" si="2964"/>
        <v>20005</v>
      </c>
      <c r="B2925" s="7">
        <v>40000</v>
      </c>
      <c r="C2925" s="7" t="s">
        <v>132</v>
      </c>
      <c r="D2925" s="7">
        <v>50052066</v>
      </c>
      <c r="E2925" s="7" t="s">
        <v>168</v>
      </c>
      <c r="F2925" s="7">
        <v>1</v>
      </c>
      <c r="G2925" s="8">
        <f>3*INDEX([1]equip.xml!$I:$I,MATCH(D2925,[1]equip.xml!$A:$A,0))</f>
        <v>48000</v>
      </c>
      <c r="H2925" s="7" t="s">
        <v>31</v>
      </c>
      <c r="I2925" s="7">
        <v>13</v>
      </c>
      <c r="J2925" s="7">
        <v>240</v>
      </c>
      <c r="K2925" s="7" t="s">
        <v>312</v>
      </c>
      <c r="L2925" s="7">
        <v>18</v>
      </c>
      <c r="M2925" s="7">
        <f>IF(INDEX([1]equip.xml!$B:$B,MATCH(D2925,[1]equip.xml!$A:$A,0))=0,0,N2925)</f>
        <v>0</v>
      </c>
      <c r="N2925" s="7">
        <f t="shared" si="2963"/>
        <v>65</v>
      </c>
    </row>
    <row r="2926" spans="1:14">
      <c r="A2926" s="7">
        <f t="shared" si="2964"/>
        <v>20005</v>
      </c>
      <c r="B2926" s="7">
        <v>40000</v>
      </c>
      <c r="C2926" s="7" t="s">
        <v>132</v>
      </c>
      <c r="D2926" s="7">
        <v>50053055</v>
      </c>
      <c r="E2926" s="7" t="s">
        <v>169</v>
      </c>
      <c r="F2926" s="7">
        <v>1</v>
      </c>
      <c r="G2926" s="8">
        <f>3*INDEX([1]equip.xml!$I:$I,MATCH(D2926,[1]equip.xml!$A:$A,0))</f>
        <v>30000</v>
      </c>
      <c r="H2926" s="7" t="s">
        <v>31</v>
      </c>
      <c r="I2926" s="7">
        <v>13</v>
      </c>
      <c r="J2926" s="7">
        <v>240</v>
      </c>
      <c r="K2926" s="7" t="s">
        <v>312</v>
      </c>
      <c r="L2926" s="7">
        <v>18</v>
      </c>
      <c r="M2926" s="7">
        <f>IF(INDEX([1]equip.xml!$B:$B,MATCH(D2926,[1]equip.xml!$A:$A,0))=0,0,N2926)</f>
        <v>65</v>
      </c>
      <c r="N2926" s="7">
        <f t="shared" si="2963"/>
        <v>65</v>
      </c>
    </row>
    <row r="2927" spans="1:14">
      <c r="A2927" s="7">
        <f t="shared" si="2964"/>
        <v>20005</v>
      </c>
      <c r="B2927" s="7">
        <v>40000</v>
      </c>
      <c r="C2927" s="7" t="s">
        <v>132</v>
      </c>
      <c r="D2927" s="7">
        <v>50053056</v>
      </c>
      <c r="E2927" s="7" t="s">
        <v>170</v>
      </c>
      <c r="F2927" s="7">
        <v>1</v>
      </c>
      <c r="G2927" s="8">
        <f>3*INDEX([1]equip.xml!$I:$I,MATCH(D2927,[1]equip.xml!$A:$A,0))</f>
        <v>48000</v>
      </c>
      <c r="H2927" s="7" t="s">
        <v>31</v>
      </c>
      <c r="I2927" s="7">
        <v>13</v>
      </c>
      <c r="J2927" s="7">
        <v>240</v>
      </c>
      <c r="K2927" s="7" t="s">
        <v>312</v>
      </c>
      <c r="L2927" s="7">
        <v>18</v>
      </c>
      <c r="M2927" s="7">
        <f>IF(INDEX([1]equip.xml!$B:$B,MATCH(D2927,[1]equip.xml!$A:$A,0))=0,0,N2927)</f>
        <v>65</v>
      </c>
      <c r="N2927" s="7">
        <f t="shared" si="2963"/>
        <v>65</v>
      </c>
    </row>
    <row r="2928" spans="1:14">
      <c r="A2928" s="7">
        <f t="shared" si="2964"/>
        <v>20005</v>
      </c>
      <c r="B2928" s="7">
        <v>40000</v>
      </c>
      <c r="C2928" s="7" t="s">
        <v>132</v>
      </c>
      <c r="D2928" s="7">
        <v>50053065</v>
      </c>
      <c r="E2928" s="7" t="s">
        <v>171</v>
      </c>
      <c r="F2928" s="7">
        <v>1</v>
      </c>
      <c r="G2928" s="8">
        <f>3*INDEX([1]equip.xml!$I:$I,MATCH(D2928,[1]equip.xml!$A:$A,0))</f>
        <v>30000</v>
      </c>
      <c r="H2928" s="7" t="s">
        <v>31</v>
      </c>
      <c r="I2928" s="7">
        <v>13</v>
      </c>
      <c r="J2928" s="7">
        <v>240</v>
      </c>
      <c r="K2928" s="7" t="s">
        <v>312</v>
      </c>
      <c r="L2928" s="7">
        <v>18</v>
      </c>
      <c r="M2928" s="7">
        <f>IF(INDEX([1]equip.xml!$B:$B,MATCH(D2928,[1]equip.xml!$A:$A,0))=0,0,N2928)</f>
        <v>65</v>
      </c>
      <c r="N2928" s="7">
        <f t="shared" si="2963"/>
        <v>65</v>
      </c>
    </row>
    <row r="2929" spans="1:14">
      <c r="A2929" s="7">
        <f t="shared" si="2964"/>
        <v>20005</v>
      </c>
      <c r="B2929" s="7">
        <v>40000</v>
      </c>
      <c r="C2929" s="7" t="s">
        <v>132</v>
      </c>
      <c r="D2929" s="7">
        <v>50053066</v>
      </c>
      <c r="E2929" s="7" t="s">
        <v>172</v>
      </c>
      <c r="F2929" s="7">
        <v>1</v>
      </c>
      <c r="G2929" s="8">
        <f>3*INDEX([1]equip.xml!$I:$I,MATCH(D2929,[1]equip.xml!$A:$A,0))</f>
        <v>48000</v>
      </c>
      <c r="H2929" s="7" t="s">
        <v>31</v>
      </c>
      <c r="I2929" s="7">
        <v>13</v>
      </c>
      <c r="J2929" s="7">
        <v>240</v>
      </c>
      <c r="K2929" s="7" t="s">
        <v>312</v>
      </c>
      <c r="L2929" s="7">
        <v>18</v>
      </c>
      <c r="M2929" s="7">
        <f>IF(INDEX([1]equip.xml!$B:$B,MATCH(D2929,[1]equip.xml!$A:$A,0))=0,0,N2929)</f>
        <v>0</v>
      </c>
      <c r="N2929" s="7">
        <f t="shared" si="2963"/>
        <v>65</v>
      </c>
    </row>
    <row r="2930" spans="1:14">
      <c r="A2930" s="7">
        <f t="shared" si="2964"/>
        <v>20005</v>
      </c>
      <c r="B2930" s="7">
        <v>40000</v>
      </c>
      <c r="C2930" s="7" t="s">
        <v>132</v>
      </c>
      <c r="D2930" s="7">
        <v>50050045</v>
      </c>
      <c r="E2930" s="7" t="s">
        <v>173</v>
      </c>
      <c r="F2930" s="7">
        <v>1</v>
      </c>
      <c r="G2930" s="8">
        <f>3*INDEX([1]equip.xml!$I:$I,MATCH(D2930,[1]equip.xml!$A:$A,0))</f>
        <v>30000</v>
      </c>
      <c r="H2930" s="7" t="s">
        <v>31</v>
      </c>
      <c r="I2930" s="7">
        <v>13</v>
      </c>
      <c r="J2930" s="7">
        <v>240</v>
      </c>
      <c r="K2930" s="7" t="s">
        <v>312</v>
      </c>
      <c r="L2930" s="7">
        <v>18</v>
      </c>
      <c r="M2930" s="7">
        <f>IF(INDEX([1]equip.xml!$B:$B,MATCH(D2930,[1]equip.xml!$A:$A,0))=0,0,N2930)</f>
        <v>65</v>
      </c>
      <c r="N2930" s="7">
        <f t="shared" si="2963"/>
        <v>65</v>
      </c>
    </row>
    <row r="2931" spans="1:14">
      <c r="A2931" s="7">
        <f t="shared" si="2964"/>
        <v>20005</v>
      </c>
      <c r="B2931" s="7">
        <v>40000</v>
      </c>
      <c r="C2931" s="7" t="s">
        <v>132</v>
      </c>
      <c r="D2931" s="7">
        <v>50050046</v>
      </c>
      <c r="E2931" s="7" t="s">
        <v>174</v>
      </c>
      <c r="F2931" s="7">
        <v>1</v>
      </c>
      <c r="G2931" s="8">
        <f>3*INDEX([1]equip.xml!$I:$I,MATCH(D2931,[1]equip.xml!$A:$A,0))</f>
        <v>48000</v>
      </c>
      <c r="H2931" s="7" t="s">
        <v>31</v>
      </c>
      <c r="I2931" s="7">
        <v>13</v>
      </c>
      <c r="J2931" s="7">
        <v>240</v>
      </c>
      <c r="K2931" s="7" t="s">
        <v>312</v>
      </c>
      <c r="L2931" s="7">
        <v>18</v>
      </c>
      <c r="M2931" s="7">
        <f>IF(INDEX([1]equip.xml!$B:$B,MATCH(D2931,[1]equip.xml!$A:$A,0))=0,0,N2931)</f>
        <v>65</v>
      </c>
      <c r="N2931" s="7">
        <f t="shared" si="2963"/>
        <v>65</v>
      </c>
    </row>
    <row r="2932" spans="1:14">
      <c r="A2932" s="7">
        <f t="shared" si="2964"/>
        <v>20005</v>
      </c>
      <c r="B2932" s="7">
        <v>40000</v>
      </c>
      <c r="C2932" s="7" t="s">
        <v>132</v>
      </c>
      <c r="D2932" s="7">
        <v>50050075</v>
      </c>
      <c r="E2932" s="7" t="s">
        <v>175</v>
      </c>
      <c r="F2932" s="7">
        <v>1</v>
      </c>
      <c r="G2932" s="8">
        <f>3*INDEX([1]equip.xml!$I:$I,MATCH(D2932,[1]equip.xml!$A:$A,0))</f>
        <v>30000</v>
      </c>
      <c r="H2932" s="7" t="s">
        <v>31</v>
      </c>
      <c r="I2932" s="7">
        <v>13</v>
      </c>
      <c r="J2932" s="7">
        <v>240</v>
      </c>
      <c r="K2932" s="7" t="s">
        <v>312</v>
      </c>
      <c r="L2932" s="7">
        <v>18</v>
      </c>
      <c r="M2932" s="7">
        <f>IF(INDEX([1]equip.xml!$B:$B,MATCH(D2932,[1]equip.xml!$A:$A,0))=0,0,N2932)</f>
        <v>65</v>
      </c>
      <c r="N2932" s="7">
        <f t="shared" si="2963"/>
        <v>65</v>
      </c>
    </row>
    <row r="2933" spans="1:14">
      <c r="A2933" s="7">
        <f t="shared" si="2964"/>
        <v>20005</v>
      </c>
      <c r="B2933" s="7">
        <v>40000</v>
      </c>
      <c r="C2933" s="7" t="s">
        <v>132</v>
      </c>
      <c r="D2933" s="7">
        <v>50050076</v>
      </c>
      <c r="E2933" s="7" t="s">
        <v>176</v>
      </c>
      <c r="F2933" s="7">
        <v>1</v>
      </c>
      <c r="G2933" s="8">
        <f>3*INDEX([1]equip.xml!$I:$I,MATCH(D2933,[1]equip.xml!$A:$A,0))</f>
        <v>48000</v>
      </c>
      <c r="H2933" s="7" t="s">
        <v>31</v>
      </c>
      <c r="I2933" s="7">
        <v>13</v>
      </c>
      <c r="J2933" s="7">
        <v>240</v>
      </c>
      <c r="K2933" s="7" t="s">
        <v>312</v>
      </c>
      <c r="L2933" s="7">
        <v>18</v>
      </c>
      <c r="M2933" s="7">
        <f>IF(INDEX([1]equip.xml!$B:$B,MATCH(D2933,[1]equip.xml!$A:$A,0))=0,0,N2933)</f>
        <v>65</v>
      </c>
      <c r="N2933" s="7">
        <f t="shared" si="2963"/>
        <v>65</v>
      </c>
    </row>
    <row r="2934" spans="1:14">
      <c r="A2934" s="7">
        <f t="shared" si="2964"/>
        <v>20006</v>
      </c>
      <c r="B2934" s="8">
        <v>40000</v>
      </c>
      <c r="C2934" s="8" t="s">
        <v>132</v>
      </c>
      <c r="D2934" s="8" t="s">
        <v>66</v>
      </c>
      <c r="E2934" s="8" t="s">
        <v>110</v>
      </c>
      <c r="F2934" s="8">
        <v>1</v>
      </c>
      <c r="G2934" s="8">
        <f>3*INDEX([1]equip.xml!$I:$I,MATCH(D2934&amp;"",[1]equip.xml!$A:$A,0))</f>
        <v>15000</v>
      </c>
      <c r="H2934" s="8" t="str">
        <f t="shared" ref="H2934:J2949" si="2965">H2846</f>
        <v>10_10,50_20,80_30</v>
      </c>
      <c r="I2934" s="8">
        <v>12</v>
      </c>
      <c r="J2934" s="8">
        <f t="shared" si="2965"/>
        <v>50</v>
      </c>
      <c r="K2934" s="7" t="s">
        <v>312</v>
      </c>
      <c r="L2934" s="8">
        <v>20</v>
      </c>
      <c r="M2934" s="7">
        <f>IF(INDEX([1]equip.xml!$B:$B,MATCH(D2934&amp;"",[1]equip.xml!$A:$A,0))=0,0,N2934)</f>
        <v>130</v>
      </c>
      <c r="N2934" s="8">
        <f t="shared" ref="N2934:N2949" si="2966">N2846</f>
        <v>130</v>
      </c>
    </row>
    <row r="2935" spans="1:14">
      <c r="A2935" s="7">
        <f t="shared" si="2964"/>
        <v>20006</v>
      </c>
      <c r="B2935" s="8">
        <v>40000</v>
      </c>
      <c r="C2935" s="8" t="s">
        <v>132</v>
      </c>
      <c r="D2935" s="8" t="s">
        <v>67</v>
      </c>
      <c r="E2935" s="8" t="s">
        <v>111</v>
      </c>
      <c r="F2935" s="8">
        <v>1</v>
      </c>
      <c r="G2935" s="8">
        <f>3*INDEX([1]equip.xml!$I:$I,MATCH(D2935&amp;"",[1]equip.xml!$A:$A,0))</f>
        <v>15000</v>
      </c>
      <c r="H2935" s="8" t="str">
        <f t="shared" si="2965"/>
        <v>10_10,50_20,80_30</v>
      </c>
      <c r="I2935" s="8">
        <v>12</v>
      </c>
      <c r="J2935" s="8">
        <f t="shared" si="2965"/>
        <v>50</v>
      </c>
      <c r="K2935" s="7" t="s">
        <v>312</v>
      </c>
      <c r="L2935" s="8">
        <v>20</v>
      </c>
      <c r="M2935" s="7">
        <f>IF(INDEX([1]equip.xml!$B:$B,MATCH(D2935&amp;"",[1]equip.xml!$A:$A,0))=0,0,N2935)</f>
        <v>130</v>
      </c>
      <c r="N2935" s="8">
        <f t="shared" si="2966"/>
        <v>130</v>
      </c>
    </row>
    <row r="2936" spans="1:14">
      <c r="A2936" s="7">
        <f t="shared" si="2964"/>
        <v>20006</v>
      </c>
      <c r="B2936" s="8">
        <v>40000</v>
      </c>
      <c r="C2936" s="8" t="s">
        <v>132</v>
      </c>
      <c r="D2936" s="8" t="s">
        <v>68</v>
      </c>
      <c r="E2936" s="8" t="s">
        <v>112</v>
      </c>
      <c r="F2936" s="8">
        <v>1</v>
      </c>
      <c r="G2936" s="8">
        <f>3*INDEX([1]equip.xml!$I:$I,MATCH(D2936&amp;"",[1]equip.xml!$A:$A,0))</f>
        <v>15000</v>
      </c>
      <c r="H2936" s="8" t="str">
        <f t="shared" si="2965"/>
        <v>10_10,50_20,80_30</v>
      </c>
      <c r="I2936" s="8">
        <v>12</v>
      </c>
      <c r="J2936" s="8">
        <f t="shared" si="2965"/>
        <v>50</v>
      </c>
      <c r="K2936" s="7" t="s">
        <v>312</v>
      </c>
      <c r="L2936" s="8">
        <v>20</v>
      </c>
      <c r="M2936" s="7">
        <f>IF(INDEX([1]equip.xml!$B:$B,MATCH(D2936&amp;"",[1]equip.xml!$A:$A,0))=0,0,N2936)</f>
        <v>130</v>
      </c>
      <c r="N2936" s="8">
        <f t="shared" si="2966"/>
        <v>130</v>
      </c>
    </row>
    <row r="2937" spans="1:14">
      <c r="A2937" s="7">
        <f t="shared" si="2964"/>
        <v>20006</v>
      </c>
      <c r="B2937" s="8">
        <v>40000</v>
      </c>
      <c r="C2937" s="8" t="s">
        <v>132</v>
      </c>
      <c r="D2937" s="8" t="s">
        <v>69</v>
      </c>
      <c r="E2937" s="8" t="s">
        <v>113</v>
      </c>
      <c r="F2937" s="8">
        <v>1</v>
      </c>
      <c r="G2937" s="8">
        <f>3*INDEX([1]equip.xml!$I:$I,MATCH(D2937&amp;"",[1]equip.xml!$A:$A,0))</f>
        <v>15000</v>
      </c>
      <c r="H2937" s="8" t="str">
        <f t="shared" si="2965"/>
        <v>10_10,50_20,80_30</v>
      </c>
      <c r="I2937" s="8">
        <v>12</v>
      </c>
      <c r="J2937" s="8">
        <f t="shared" si="2965"/>
        <v>50</v>
      </c>
      <c r="K2937" s="7" t="s">
        <v>312</v>
      </c>
      <c r="L2937" s="8">
        <v>20</v>
      </c>
      <c r="M2937" s="7">
        <f>IF(INDEX([1]equip.xml!$B:$B,MATCH(D2937&amp;"",[1]equip.xml!$A:$A,0))=0,0,N2937)</f>
        <v>0</v>
      </c>
      <c r="N2937" s="8">
        <f t="shared" si="2966"/>
        <v>130</v>
      </c>
    </row>
    <row r="2938" spans="1:14">
      <c r="A2938" s="7">
        <f t="shared" si="2964"/>
        <v>20006</v>
      </c>
      <c r="B2938" s="8">
        <v>40000</v>
      </c>
      <c r="C2938" s="8" t="s">
        <v>132</v>
      </c>
      <c r="D2938" s="8" t="s">
        <v>70</v>
      </c>
      <c r="E2938" s="8" t="s">
        <v>114</v>
      </c>
      <c r="F2938" s="8">
        <v>1</v>
      </c>
      <c r="G2938" s="8">
        <f>3*INDEX([1]equip.xml!$I:$I,MATCH(D2938&amp;"",[1]equip.xml!$A:$A,0))</f>
        <v>15000</v>
      </c>
      <c r="H2938" s="8" t="str">
        <f t="shared" si="2965"/>
        <v>10_10,50_20,80_30</v>
      </c>
      <c r="I2938" s="8">
        <v>12</v>
      </c>
      <c r="J2938" s="8">
        <f t="shared" si="2965"/>
        <v>50</v>
      </c>
      <c r="K2938" s="7" t="s">
        <v>312</v>
      </c>
      <c r="L2938" s="8">
        <v>20</v>
      </c>
      <c r="M2938" s="7">
        <f>IF(INDEX([1]equip.xml!$B:$B,MATCH(D2938&amp;"",[1]equip.xml!$A:$A,0))=0,0,N2938)</f>
        <v>0</v>
      </c>
      <c r="N2938" s="8">
        <f t="shared" si="2966"/>
        <v>130</v>
      </c>
    </row>
    <row r="2939" spans="1:14">
      <c r="A2939" s="7">
        <f t="shared" si="2964"/>
        <v>20006</v>
      </c>
      <c r="B2939" s="8">
        <v>40000</v>
      </c>
      <c r="C2939" s="8" t="s">
        <v>132</v>
      </c>
      <c r="D2939" s="8" t="s">
        <v>71</v>
      </c>
      <c r="E2939" s="8" t="s">
        <v>115</v>
      </c>
      <c r="F2939" s="8">
        <v>1</v>
      </c>
      <c r="G2939" s="8">
        <f>3*INDEX([1]equip.xml!$I:$I,MATCH(D2939&amp;"",[1]equip.xml!$A:$A,0))</f>
        <v>15000</v>
      </c>
      <c r="H2939" s="8" t="str">
        <f t="shared" si="2965"/>
        <v>10_10,50_20,80_30</v>
      </c>
      <c r="I2939" s="8">
        <v>12</v>
      </c>
      <c r="J2939" s="8">
        <f t="shared" si="2965"/>
        <v>50</v>
      </c>
      <c r="K2939" s="7" t="s">
        <v>312</v>
      </c>
      <c r="L2939" s="8">
        <v>20</v>
      </c>
      <c r="M2939" s="7">
        <f>IF(INDEX([1]equip.xml!$B:$B,MATCH(D2939&amp;"",[1]equip.xml!$A:$A,0))=0,0,N2939)</f>
        <v>130</v>
      </c>
      <c r="N2939" s="8">
        <f t="shared" si="2966"/>
        <v>130</v>
      </c>
    </row>
    <row r="2940" spans="1:14">
      <c r="A2940" s="7">
        <f t="shared" si="2964"/>
        <v>20006</v>
      </c>
      <c r="B2940" s="8">
        <v>40000</v>
      </c>
      <c r="C2940" s="8" t="s">
        <v>132</v>
      </c>
      <c r="D2940" s="8" t="s">
        <v>72</v>
      </c>
      <c r="E2940" s="8" t="s">
        <v>116</v>
      </c>
      <c r="F2940" s="8">
        <v>1</v>
      </c>
      <c r="G2940" s="8">
        <f>3*INDEX([1]equip.xml!$I:$I,MATCH(D2940&amp;"",[1]equip.xml!$A:$A,0))</f>
        <v>15000</v>
      </c>
      <c r="H2940" s="8" t="str">
        <f t="shared" si="2965"/>
        <v>10_10,50_20,80_30</v>
      </c>
      <c r="I2940" s="8">
        <v>12</v>
      </c>
      <c r="J2940" s="8">
        <f t="shared" si="2965"/>
        <v>50</v>
      </c>
      <c r="K2940" s="7" t="s">
        <v>312</v>
      </c>
      <c r="L2940" s="8">
        <v>20</v>
      </c>
      <c r="M2940" s="7">
        <f>IF(INDEX([1]equip.xml!$B:$B,MATCH(D2940&amp;"",[1]equip.xml!$A:$A,0))=0,0,N2940)</f>
        <v>130</v>
      </c>
      <c r="N2940" s="8">
        <f t="shared" si="2966"/>
        <v>130</v>
      </c>
    </row>
    <row r="2941" spans="1:14">
      <c r="A2941" s="7">
        <f t="shared" si="2964"/>
        <v>20006</v>
      </c>
      <c r="B2941" s="8">
        <v>40000</v>
      </c>
      <c r="C2941" s="8" t="s">
        <v>132</v>
      </c>
      <c r="D2941" s="8" t="s">
        <v>73</v>
      </c>
      <c r="E2941" s="8" t="s">
        <v>117</v>
      </c>
      <c r="F2941" s="8">
        <v>1</v>
      </c>
      <c r="G2941" s="8">
        <f>3*INDEX([1]equip.xml!$I:$I,MATCH(D2941&amp;"",[1]equip.xml!$A:$A,0))</f>
        <v>24000</v>
      </c>
      <c r="H2941" s="8" t="str">
        <f t="shared" si="2965"/>
        <v>10_10,50_20,80_30</v>
      </c>
      <c r="I2941" s="8">
        <v>12</v>
      </c>
      <c r="J2941" s="8">
        <f t="shared" si="2965"/>
        <v>50</v>
      </c>
      <c r="K2941" s="7" t="s">
        <v>312</v>
      </c>
      <c r="L2941" s="8">
        <v>20</v>
      </c>
      <c r="M2941" s="7">
        <f>IF(INDEX([1]equip.xml!$B:$B,MATCH(D2941&amp;"",[1]equip.xml!$A:$A,0))=0,0,N2941)</f>
        <v>130</v>
      </c>
      <c r="N2941" s="8">
        <f t="shared" si="2966"/>
        <v>130</v>
      </c>
    </row>
    <row r="2942" spans="1:14">
      <c r="A2942" s="7">
        <f t="shared" si="2964"/>
        <v>20006</v>
      </c>
      <c r="B2942" s="8">
        <v>40000</v>
      </c>
      <c r="C2942" s="8" t="s">
        <v>132</v>
      </c>
      <c r="D2942" s="8" t="s">
        <v>74</v>
      </c>
      <c r="E2942" s="8" t="s">
        <v>118</v>
      </c>
      <c r="F2942" s="8">
        <v>1</v>
      </c>
      <c r="G2942" s="8">
        <f>3*INDEX([1]equip.xml!$I:$I,MATCH(D2942&amp;"",[1]equip.xml!$A:$A,0))</f>
        <v>15000</v>
      </c>
      <c r="H2942" s="8" t="str">
        <f t="shared" si="2965"/>
        <v>10_10,50_20,80_30</v>
      </c>
      <c r="I2942" s="8">
        <v>12</v>
      </c>
      <c r="J2942" s="8">
        <f t="shared" si="2965"/>
        <v>50</v>
      </c>
      <c r="K2942" s="7" t="s">
        <v>312</v>
      </c>
      <c r="L2942" s="8">
        <v>20</v>
      </c>
      <c r="M2942" s="7">
        <f>IF(INDEX([1]equip.xml!$B:$B,MATCH(D2942&amp;"",[1]equip.xml!$A:$A,0))=0,0,N2942)</f>
        <v>130</v>
      </c>
      <c r="N2942" s="8">
        <f t="shared" si="2966"/>
        <v>130</v>
      </c>
    </row>
    <row r="2943" spans="1:14">
      <c r="A2943" s="7">
        <f t="shared" si="2964"/>
        <v>20006</v>
      </c>
      <c r="B2943" s="8">
        <v>40000</v>
      </c>
      <c r="C2943" s="8" t="s">
        <v>132</v>
      </c>
      <c r="D2943" s="8" t="s">
        <v>75</v>
      </c>
      <c r="E2943" s="8" t="s">
        <v>119</v>
      </c>
      <c r="F2943" s="8">
        <v>1</v>
      </c>
      <c r="G2943" s="8">
        <f>3*INDEX([1]equip.xml!$I:$I,MATCH(D2943&amp;"",[1]equip.xml!$A:$A,0))</f>
        <v>24000</v>
      </c>
      <c r="H2943" s="8" t="str">
        <f t="shared" si="2965"/>
        <v>10_10,50_20,80_30</v>
      </c>
      <c r="I2943" s="8">
        <v>12</v>
      </c>
      <c r="J2943" s="8">
        <f t="shared" si="2965"/>
        <v>50</v>
      </c>
      <c r="K2943" s="7" t="s">
        <v>312</v>
      </c>
      <c r="L2943" s="8">
        <v>20</v>
      </c>
      <c r="M2943" s="7">
        <f>IF(INDEX([1]equip.xml!$B:$B,MATCH(D2943&amp;"",[1]equip.xml!$A:$A,0))=0,0,N2943)</f>
        <v>0</v>
      </c>
      <c r="N2943" s="8">
        <f t="shared" si="2966"/>
        <v>130</v>
      </c>
    </row>
    <row r="2944" spans="1:14">
      <c r="A2944" s="7">
        <f t="shared" si="2964"/>
        <v>20006</v>
      </c>
      <c r="B2944" s="8">
        <v>40000</v>
      </c>
      <c r="C2944" s="8" t="s">
        <v>132</v>
      </c>
      <c r="D2944" s="8" t="s">
        <v>76</v>
      </c>
      <c r="E2944" s="8" t="s">
        <v>120</v>
      </c>
      <c r="F2944" s="8">
        <v>1</v>
      </c>
      <c r="G2944" s="8">
        <f>3*INDEX([1]equip.xml!$I:$I,MATCH(D2944&amp;"",[1]equip.xml!$A:$A,0))</f>
        <v>15000</v>
      </c>
      <c r="H2944" s="8" t="str">
        <f t="shared" si="2965"/>
        <v>10_10,50_20,80_30</v>
      </c>
      <c r="I2944" s="8">
        <v>12</v>
      </c>
      <c r="J2944" s="8">
        <f t="shared" si="2965"/>
        <v>50</v>
      </c>
      <c r="K2944" s="7" t="s">
        <v>312</v>
      </c>
      <c r="L2944" s="8">
        <v>20</v>
      </c>
      <c r="M2944" s="7">
        <f>IF(INDEX([1]equip.xml!$B:$B,MATCH(D2944&amp;"",[1]equip.xml!$A:$A,0))=0,0,N2944)</f>
        <v>130</v>
      </c>
      <c r="N2944" s="8">
        <f t="shared" si="2966"/>
        <v>130</v>
      </c>
    </row>
    <row r="2945" spans="1:14">
      <c r="A2945" s="7">
        <f t="shared" si="2964"/>
        <v>20006</v>
      </c>
      <c r="B2945" s="8">
        <v>40000</v>
      </c>
      <c r="C2945" s="8" t="s">
        <v>132</v>
      </c>
      <c r="D2945" s="8" t="s">
        <v>77</v>
      </c>
      <c r="E2945" s="8" t="s">
        <v>121</v>
      </c>
      <c r="F2945" s="8">
        <v>1</v>
      </c>
      <c r="G2945" s="8">
        <f>3*INDEX([1]equip.xml!$I:$I,MATCH(D2945&amp;"",[1]equip.xml!$A:$A,0))</f>
        <v>24000</v>
      </c>
      <c r="H2945" s="8" t="str">
        <f t="shared" si="2965"/>
        <v>10_10,50_20,80_30</v>
      </c>
      <c r="I2945" s="8">
        <v>12</v>
      </c>
      <c r="J2945" s="8">
        <f t="shared" si="2965"/>
        <v>50</v>
      </c>
      <c r="K2945" s="7" t="s">
        <v>312</v>
      </c>
      <c r="L2945" s="8">
        <v>20</v>
      </c>
      <c r="M2945" s="7">
        <f>IF(INDEX([1]equip.xml!$B:$B,MATCH(D2945&amp;"",[1]equip.xml!$A:$A,0))=0,0,N2945)</f>
        <v>130</v>
      </c>
      <c r="N2945" s="8">
        <f t="shared" si="2966"/>
        <v>130</v>
      </c>
    </row>
    <row r="2946" spans="1:14">
      <c r="A2946" s="7">
        <f t="shared" si="2964"/>
        <v>20006</v>
      </c>
      <c r="B2946" s="8">
        <v>40000</v>
      </c>
      <c r="C2946" s="8" t="s">
        <v>132</v>
      </c>
      <c r="D2946" s="8" t="s">
        <v>78</v>
      </c>
      <c r="E2946" s="8" t="s">
        <v>122</v>
      </c>
      <c r="F2946" s="8">
        <v>1</v>
      </c>
      <c r="G2946" s="8">
        <f>3*INDEX([1]equip.xml!$I:$I,MATCH(D2946&amp;"",[1]equip.xml!$A:$A,0))</f>
        <v>15000</v>
      </c>
      <c r="H2946" s="8" t="str">
        <f t="shared" si="2965"/>
        <v>10_10,50_20,80_30</v>
      </c>
      <c r="I2946" s="8">
        <v>12</v>
      </c>
      <c r="J2946" s="8">
        <f t="shared" si="2965"/>
        <v>50</v>
      </c>
      <c r="K2946" s="7" t="s">
        <v>312</v>
      </c>
      <c r="L2946" s="8">
        <v>20</v>
      </c>
      <c r="M2946" s="7">
        <f>IF(INDEX([1]equip.xml!$B:$B,MATCH(D2946&amp;"",[1]equip.xml!$A:$A,0))=0,0,N2946)</f>
        <v>130</v>
      </c>
      <c r="N2946" s="8">
        <f t="shared" si="2966"/>
        <v>130</v>
      </c>
    </row>
    <row r="2947" spans="1:14">
      <c r="A2947" s="7">
        <f t="shared" si="2964"/>
        <v>20006</v>
      </c>
      <c r="B2947" s="8">
        <v>40000</v>
      </c>
      <c r="C2947" s="8" t="s">
        <v>132</v>
      </c>
      <c r="D2947" s="8" t="s">
        <v>79</v>
      </c>
      <c r="E2947" s="8" t="s">
        <v>123</v>
      </c>
      <c r="F2947" s="8">
        <v>1</v>
      </c>
      <c r="G2947" s="8">
        <f>3*INDEX([1]equip.xml!$I:$I,MATCH(D2947&amp;"",[1]equip.xml!$A:$A,0))</f>
        <v>24000</v>
      </c>
      <c r="H2947" s="8" t="str">
        <f t="shared" si="2965"/>
        <v>10_10,50_20,80_30</v>
      </c>
      <c r="I2947" s="8">
        <v>12</v>
      </c>
      <c r="J2947" s="8">
        <f t="shared" si="2965"/>
        <v>50</v>
      </c>
      <c r="K2947" s="7" t="s">
        <v>312</v>
      </c>
      <c r="L2947" s="8">
        <v>20</v>
      </c>
      <c r="M2947" s="7">
        <f>IF(INDEX([1]equip.xml!$B:$B,MATCH(D2947&amp;"",[1]equip.xml!$A:$A,0))=0,0,N2947)</f>
        <v>0</v>
      </c>
      <c r="N2947" s="8">
        <f t="shared" si="2966"/>
        <v>130</v>
      </c>
    </row>
    <row r="2948" spans="1:14">
      <c r="A2948" s="7">
        <f t="shared" si="2964"/>
        <v>20006</v>
      </c>
      <c r="B2948" s="8">
        <v>40000</v>
      </c>
      <c r="C2948" s="8" t="s">
        <v>132</v>
      </c>
      <c r="D2948" s="8" t="s">
        <v>80</v>
      </c>
      <c r="E2948" s="8" t="s">
        <v>124</v>
      </c>
      <c r="F2948" s="8">
        <v>1</v>
      </c>
      <c r="G2948" s="8">
        <f>3*INDEX([1]equip.xml!$I:$I,MATCH(D2948&amp;"",[1]equip.xml!$A:$A,0))</f>
        <v>15000</v>
      </c>
      <c r="H2948" s="8" t="str">
        <f t="shared" si="2965"/>
        <v>10_10,50_20,80_30</v>
      </c>
      <c r="I2948" s="8">
        <v>12</v>
      </c>
      <c r="J2948" s="8">
        <f t="shared" si="2965"/>
        <v>50</v>
      </c>
      <c r="K2948" s="7" t="s">
        <v>312</v>
      </c>
      <c r="L2948" s="8">
        <v>20</v>
      </c>
      <c r="M2948" s="7">
        <f>IF(INDEX([1]equip.xml!$B:$B,MATCH(D2948&amp;"",[1]equip.xml!$A:$A,0))=0,0,N2948)</f>
        <v>130</v>
      </c>
      <c r="N2948" s="8">
        <f t="shared" si="2966"/>
        <v>130</v>
      </c>
    </row>
    <row r="2949" spans="1:14">
      <c r="A2949" s="7">
        <f t="shared" si="2964"/>
        <v>20006</v>
      </c>
      <c r="B2949" s="8">
        <v>40000</v>
      </c>
      <c r="C2949" s="8" t="s">
        <v>132</v>
      </c>
      <c r="D2949" s="8" t="s">
        <v>81</v>
      </c>
      <c r="E2949" s="8" t="s">
        <v>125</v>
      </c>
      <c r="F2949" s="8">
        <v>1</v>
      </c>
      <c r="G2949" s="8">
        <f>3*INDEX([1]equip.xml!$I:$I,MATCH(D2949&amp;"",[1]equip.xml!$A:$A,0))</f>
        <v>24000</v>
      </c>
      <c r="H2949" s="8" t="str">
        <f t="shared" si="2965"/>
        <v>10_10,50_20,80_30</v>
      </c>
      <c r="I2949" s="8">
        <v>12</v>
      </c>
      <c r="J2949" s="8">
        <f t="shared" si="2965"/>
        <v>50</v>
      </c>
      <c r="K2949" s="7" t="s">
        <v>312</v>
      </c>
      <c r="L2949" s="8">
        <v>20</v>
      </c>
      <c r="M2949" s="7">
        <f>IF(INDEX([1]equip.xml!$B:$B,MATCH(D2949&amp;"",[1]equip.xml!$A:$A,0))=0,0,N2949)</f>
        <v>130</v>
      </c>
      <c r="N2949" s="8">
        <f t="shared" si="2966"/>
        <v>130</v>
      </c>
    </row>
    <row r="2950" spans="1:14">
      <c r="A2950" s="7">
        <f t="shared" si="2964"/>
        <v>20006</v>
      </c>
      <c r="B2950" s="8">
        <v>40000</v>
      </c>
      <c r="C2950" s="8" t="s">
        <v>132</v>
      </c>
      <c r="D2950" s="8" t="s">
        <v>82</v>
      </c>
      <c r="E2950" s="8" t="s">
        <v>126</v>
      </c>
      <c r="F2950" s="8">
        <v>1</v>
      </c>
      <c r="G2950" s="8">
        <f>3*INDEX([1]equip.xml!$I:$I,MATCH(D2950&amp;"",[1]equip.xml!$A:$A,0))</f>
        <v>15000</v>
      </c>
      <c r="H2950" s="8" t="str">
        <f t="shared" ref="H2950:J2965" si="2967">H2862</f>
        <v>10_10,50_20,80_30</v>
      </c>
      <c r="I2950" s="8">
        <v>12</v>
      </c>
      <c r="J2950" s="8">
        <f t="shared" si="2967"/>
        <v>50</v>
      </c>
      <c r="K2950" s="7" t="s">
        <v>312</v>
      </c>
      <c r="L2950" s="8">
        <v>20</v>
      </c>
      <c r="M2950" s="7">
        <f>IF(INDEX([1]equip.xml!$B:$B,MATCH(D2950&amp;"",[1]equip.xml!$A:$A,0))=0,0,N2950)</f>
        <v>130</v>
      </c>
      <c r="N2950" s="8">
        <f t="shared" ref="N2950:N3013" si="2968">N2862</f>
        <v>130</v>
      </c>
    </row>
    <row r="2951" spans="1:14">
      <c r="A2951" s="7">
        <f t="shared" si="2964"/>
        <v>20006</v>
      </c>
      <c r="B2951" s="8">
        <v>40000</v>
      </c>
      <c r="C2951" s="8" t="s">
        <v>132</v>
      </c>
      <c r="D2951" s="8" t="s">
        <v>83</v>
      </c>
      <c r="E2951" s="8" t="s">
        <v>127</v>
      </c>
      <c r="F2951" s="8">
        <v>1</v>
      </c>
      <c r="G2951" s="8">
        <f>3*INDEX([1]equip.xml!$I:$I,MATCH(D2951&amp;"",[1]equip.xml!$A:$A,0))</f>
        <v>24000</v>
      </c>
      <c r="H2951" s="8" t="str">
        <f t="shared" si="2967"/>
        <v>10_10,50_20,80_30</v>
      </c>
      <c r="I2951" s="8">
        <v>12</v>
      </c>
      <c r="J2951" s="8">
        <f t="shared" si="2967"/>
        <v>50</v>
      </c>
      <c r="K2951" s="7" t="s">
        <v>312</v>
      </c>
      <c r="L2951" s="8">
        <v>20</v>
      </c>
      <c r="M2951" s="7">
        <f>IF(INDEX([1]equip.xml!$B:$B,MATCH(D2951&amp;"",[1]equip.xml!$A:$A,0))=0,0,N2951)</f>
        <v>0</v>
      </c>
      <c r="N2951" s="8">
        <f t="shared" si="2968"/>
        <v>130</v>
      </c>
    </row>
    <row r="2952" spans="1:14">
      <c r="A2952" s="7">
        <f t="shared" si="2964"/>
        <v>20006</v>
      </c>
      <c r="B2952" s="8">
        <v>40000</v>
      </c>
      <c r="C2952" s="8" t="s">
        <v>132</v>
      </c>
      <c r="D2952" s="8" t="s">
        <v>84</v>
      </c>
      <c r="E2952" s="8" t="s">
        <v>128</v>
      </c>
      <c r="F2952" s="8">
        <v>1</v>
      </c>
      <c r="G2952" s="8">
        <f>3*INDEX([1]equip.xml!$I:$I,MATCH(D2952&amp;"",[1]equip.xml!$A:$A,0))</f>
        <v>15000</v>
      </c>
      <c r="H2952" s="8" t="str">
        <f t="shared" si="2967"/>
        <v>10_10,50_20,80_30</v>
      </c>
      <c r="I2952" s="8">
        <v>12</v>
      </c>
      <c r="J2952" s="8">
        <f t="shared" si="2967"/>
        <v>50</v>
      </c>
      <c r="K2952" s="7" t="s">
        <v>312</v>
      </c>
      <c r="L2952" s="8">
        <v>20</v>
      </c>
      <c r="M2952" s="7">
        <f>IF(INDEX([1]equip.xml!$B:$B,MATCH(D2952&amp;"",[1]equip.xml!$A:$A,0))=0,0,N2952)</f>
        <v>130</v>
      </c>
      <c r="N2952" s="8">
        <f t="shared" si="2968"/>
        <v>130</v>
      </c>
    </row>
    <row r="2953" spans="1:14">
      <c r="A2953" s="7">
        <f t="shared" si="2964"/>
        <v>20006</v>
      </c>
      <c r="B2953" s="8">
        <v>40000</v>
      </c>
      <c r="C2953" s="8" t="s">
        <v>132</v>
      </c>
      <c r="D2953" s="8" t="s">
        <v>85</v>
      </c>
      <c r="E2953" s="8" t="s">
        <v>129</v>
      </c>
      <c r="F2953" s="8">
        <v>1</v>
      </c>
      <c r="G2953" s="8">
        <f>3*INDEX([1]equip.xml!$I:$I,MATCH(D2953&amp;"",[1]equip.xml!$A:$A,0))</f>
        <v>24000</v>
      </c>
      <c r="H2953" s="8" t="str">
        <f t="shared" si="2967"/>
        <v>10_10,50_20,80_30</v>
      </c>
      <c r="I2953" s="8">
        <v>12</v>
      </c>
      <c r="J2953" s="8">
        <f t="shared" si="2967"/>
        <v>50</v>
      </c>
      <c r="K2953" s="7" t="s">
        <v>312</v>
      </c>
      <c r="L2953" s="8">
        <v>20</v>
      </c>
      <c r="M2953" s="7">
        <f>IF(INDEX([1]equip.xml!$B:$B,MATCH(D2953&amp;"",[1]equip.xml!$A:$A,0))=0,0,N2953)</f>
        <v>130</v>
      </c>
      <c r="N2953" s="8">
        <f t="shared" si="2968"/>
        <v>130</v>
      </c>
    </row>
    <row r="2954" spans="1:14">
      <c r="A2954" s="7">
        <f t="shared" si="2964"/>
        <v>20006</v>
      </c>
      <c r="B2954" s="8">
        <v>40000</v>
      </c>
      <c r="C2954" s="8" t="s">
        <v>132</v>
      </c>
      <c r="D2954" s="8" t="s">
        <v>86</v>
      </c>
      <c r="E2954" s="8" t="s">
        <v>130</v>
      </c>
      <c r="F2954" s="8">
        <v>1</v>
      </c>
      <c r="G2954" s="8">
        <f>3*INDEX([1]equip.xml!$I:$I,MATCH(D2954&amp;"",[1]equip.xml!$A:$A,0))</f>
        <v>15000</v>
      </c>
      <c r="H2954" s="8" t="str">
        <f t="shared" si="2967"/>
        <v>10_10,50_20,80_30</v>
      </c>
      <c r="I2954" s="8">
        <v>12</v>
      </c>
      <c r="J2954" s="8">
        <f t="shared" si="2967"/>
        <v>50</v>
      </c>
      <c r="K2954" s="7" t="s">
        <v>312</v>
      </c>
      <c r="L2954" s="8">
        <v>20</v>
      </c>
      <c r="M2954" s="7">
        <f>IF(INDEX([1]equip.xml!$B:$B,MATCH(D2954&amp;"",[1]equip.xml!$A:$A,0))=0,0,N2954)</f>
        <v>130</v>
      </c>
      <c r="N2954" s="8">
        <f t="shared" si="2968"/>
        <v>130</v>
      </c>
    </row>
    <row r="2955" spans="1:14">
      <c r="A2955" s="7">
        <f t="shared" si="2964"/>
        <v>20006</v>
      </c>
      <c r="B2955" s="8">
        <v>40000</v>
      </c>
      <c r="C2955" s="8" t="s">
        <v>132</v>
      </c>
      <c r="D2955" s="8" t="s">
        <v>87</v>
      </c>
      <c r="E2955" s="8" t="s">
        <v>131</v>
      </c>
      <c r="F2955" s="8">
        <v>1</v>
      </c>
      <c r="G2955" s="8">
        <f>3*INDEX([1]equip.xml!$I:$I,MATCH(D2955&amp;"",[1]equip.xml!$A:$A,0))</f>
        <v>24000</v>
      </c>
      <c r="H2955" s="8" t="str">
        <f t="shared" si="2967"/>
        <v>10_10,50_20,80_30</v>
      </c>
      <c r="I2955" s="8">
        <v>12</v>
      </c>
      <c r="J2955" s="8">
        <f t="shared" si="2967"/>
        <v>50</v>
      </c>
      <c r="K2955" s="7" t="s">
        <v>312</v>
      </c>
      <c r="L2955" s="8">
        <v>20</v>
      </c>
      <c r="M2955" s="7">
        <f>IF(INDEX([1]equip.xml!$B:$B,MATCH(D2955&amp;"",[1]equip.xml!$A:$A,0))=0,0,N2955)</f>
        <v>130</v>
      </c>
      <c r="N2955" s="8">
        <f t="shared" si="2968"/>
        <v>130</v>
      </c>
    </row>
    <row r="2956" spans="1:14">
      <c r="A2956" s="7">
        <f t="shared" si="2964"/>
        <v>20006</v>
      </c>
      <c r="B2956" s="8">
        <v>40000</v>
      </c>
      <c r="C2956" s="8" t="s">
        <v>132</v>
      </c>
      <c r="D2956" s="8" t="s">
        <v>177</v>
      </c>
      <c r="E2956" s="8" t="s">
        <v>178</v>
      </c>
      <c r="F2956" s="8">
        <v>1</v>
      </c>
      <c r="G2956" s="8">
        <f>3*INDEX([1]equip.xml!$I:$I,MATCH(D2956&amp;"",[1]equip.xml!$A:$A,0))</f>
        <v>30000</v>
      </c>
      <c r="H2956" s="8" t="str">
        <f t="shared" si="2967"/>
        <v>10_10,50_20,80_30</v>
      </c>
      <c r="I2956" s="8">
        <v>12</v>
      </c>
      <c r="J2956" s="8">
        <f t="shared" si="2967"/>
        <v>50</v>
      </c>
      <c r="K2956" s="7" t="s">
        <v>312</v>
      </c>
      <c r="L2956" s="8">
        <v>20</v>
      </c>
      <c r="M2956" s="7">
        <f>IF(INDEX([1]equip.xml!$B:$B,MATCH(D2956&amp;"",[1]equip.xml!$A:$A,0))=0,0,N2956)</f>
        <v>65</v>
      </c>
      <c r="N2956" s="8">
        <f t="shared" si="2968"/>
        <v>65</v>
      </c>
    </row>
    <row r="2957" spans="1:14">
      <c r="A2957" s="7">
        <f t="shared" si="2964"/>
        <v>20006</v>
      </c>
      <c r="B2957" s="8">
        <v>40000</v>
      </c>
      <c r="C2957" s="8" t="s">
        <v>132</v>
      </c>
      <c r="D2957" s="8" t="s">
        <v>179</v>
      </c>
      <c r="E2957" s="8" t="s">
        <v>180</v>
      </c>
      <c r="F2957" s="8">
        <v>1</v>
      </c>
      <c r="G2957" s="8">
        <f>3*INDEX([1]equip.xml!$I:$I,MATCH(D2957&amp;"",[1]equip.xml!$A:$A,0))</f>
        <v>30000</v>
      </c>
      <c r="H2957" s="8" t="str">
        <f t="shared" si="2967"/>
        <v>10_10,50_20,80_30</v>
      </c>
      <c r="I2957" s="8">
        <v>12</v>
      </c>
      <c r="J2957" s="8">
        <f t="shared" si="2967"/>
        <v>50</v>
      </c>
      <c r="K2957" s="7" t="s">
        <v>312</v>
      </c>
      <c r="L2957" s="8">
        <v>20</v>
      </c>
      <c r="M2957" s="7">
        <f>IF(INDEX([1]equip.xml!$B:$B,MATCH(D2957&amp;"",[1]equip.xml!$A:$A,0))=0,0,N2957)</f>
        <v>65</v>
      </c>
      <c r="N2957" s="8">
        <f t="shared" si="2968"/>
        <v>65</v>
      </c>
    </row>
    <row r="2958" spans="1:14">
      <c r="A2958" s="7">
        <f t="shared" si="2964"/>
        <v>20006</v>
      </c>
      <c r="B2958" s="8">
        <v>40000</v>
      </c>
      <c r="C2958" s="8" t="s">
        <v>132</v>
      </c>
      <c r="D2958" s="8" t="s">
        <v>181</v>
      </c>
      <c r="E2958" s="8" t="s">
        <v>182</v>
      </c>
      <c r="F2958" s="8">
        <v>1</v>
      </c>
      <c r="G2958" s="8">
        <f>3*INDEX([1]equip.xml!$I:$I,MATCH(D2958&amp;"",[1]equip.xml!$A:$A,0))</f>
        <v>30000</v>
      </c>
      <c r="H2958" s="8" t="str">
        <f t="shared" si="2967"/>
        <v>10_10,50_20,80_30</v>
      </c>
      <c r="I2958" s="8">
        <v>12</v>
      </c>
      <c r="J2958" s="8">
        <f t="shared" si="2967"/>
        <v>50</v>
      </c>
      <c r="K2958" s="7" t="s">
        <v>312</v>
      </c>
      <c r="L2958" s="8">
        <v>20</v>
      </c>
      <c r="M2958" s="7">
        <f>IF(INDEX([1]equip.xml!$B:$B,MATCH(D2958&amp;"",[1]equip.xml!$A:$A,0))=0,0,N2958)</f>
        <v>65</v>
      </c>
      <c r="N2958" s="8">
        <f t="shared" si="2968"/>
        <v>65</v>
      </c>
    </row>
    <row r="2959" spans="1:14">
      <c r="A2959" s="7">
        <f t="shared" si="2964"/>
        <v>20006</v>
      </c>
      <c r="B2959" s="8">
        <v>40000</v>
      </c>
      <c r="C2959" s="8" t="s">
        <v>132</v>
      </c>
      <c r="D2959" s="8" t="s">
        <v>183</v>
      </c>
      <c r="E2959" s="8" t="s">
        <v>184</v>
      </c>
      <c r="F2959" s="8">
        <v>1</v>
      </c>
      <c r="G2959" s="8">
        <f>3*INDEX([1]equip.xml!$I:$I,MATCH(D2959&amp;"",[1]equip.xml!$A:$A,0))</f>
        <v>30000</v>
      </c>
      <c r="H2959" s="8" t="str">
        <f t="shared" si="2967"/>
        <v>10_10,50_20,80_30</v>
      </c>
      <c r="I2959" s="8">
        <v>12</v>
      </c>
      <c r="J2959" s="8">
        <f t="shared" si="2967"/>
        <v>50</v>
      </c>
      <c r="K2959" s="7" t="s">
        <v>312</v>
      </c>
      <c r="L2959" s="8">
        <v>20</v>
      </c>
      <c r="M2959" s="7">
        <f>IF(INDEX([1]equip.xml!$B:$B,MATCH(D2959&amp;"",[1]equip.xml!$A:$A,0))=0,0,N2959)</f>
        <v>65</v>
      </c>
      <c r="N2959" s="8">
        <f t="shared" si="2968"/>
        <v>65</v>
      </c>
    </row>
    <row r="2960" spans="1:14">
      <c r="A2960" s="7">
        <f t="shared" si="2964"/>
        <v>20006</v>
      </c>
      <c r="B2960" s="8">
        <v>40000</v>
      </c>
      <c r="C2960" s="8" t="s">
        <v>132</v>
      </c>
      <c r="D2960" s="8" t="s">
        <v>185</v>
      </c>
      <c r="E2960" s="8" t="s">
        <v>186</v>
      </c>
      <c r="F2960" s="8">
        <v>1</v>
      </c>
      <c r="G2960" s="8">
        <f>3*INDEX([1]equip.xml!$I:$I,MATCH(D2960&amp;"",[1]equip.xml!$A:$A,0))</f>
        <v>30000</v>
      </c>
      <c r="H2960" s="8" t="str">
        <f t="shared" si="2967"/>
        <v>10_10,50_20,80_30</v>
      </c>
      <c r="I2960" s="8">
        <v>12</v>
      </c>
      <c r="J2960" s="8">
        <f t="shared" si="2967"/>
        <v>50</v>
      </c>
      <c r="K2960" s="7" t="s">
        <v>312</v>
      </c>
      <c r="L2960" s="8">
        <v>20</v>
      </c>
      <c r="M2960" s="7">
        <f>IF(INDEX([1]equip.xml!$B:$B,MATCH(D2960&amp;"",[1]equip.xml!$A:$A,0))=0,0,N2960)</f>
        <v>65</v>
      </c>
      <c r="N2960" s="8">
        <f t="shared" si="2968"/>
        <v>65</v>
      </c>
    </row>
    <row r="2961" spans="1:14">
      <c r="A2961" s="7">
        <f t="shared" si="2964"/>
        <v>20006</v>
      </c>
      <c r="B2961" s="8">
        <v>40000</v>
      </c>
      <c r="C2961" s="8" t="s">
        <v>132</v>
      </c>
      <c r="D2961" s="8" t="s">
        <v>187</v>
      </c>
      <c r="E2961" s="8" t="s">
        <v>188</v>
      </c>
      <c r="F2961" s="8">
        <v>1</v>
      </c>
      <c r="G2961" s="8">
        <f>3*INDEX([1]equip.xml!$I:$I,MATCH(D2961&amp;"",[1]equip.xml!$A:$A,0))</f>
        <v>30000</v>
      </c>
      <c r="H2961" s="8" t="str">
        <f t="shared" si="2967"/>
        <v>10_10,50_20,80_30</v>
      </c>
      <c r="I2961" s="8">
        <v>12</v>
      </c>
      <c r="J2961" s="8">
        <f t="shared" si="2967"/>
        <v>50</v>
      </c>
      <c r="K2961" s="7" t="s">
        <v>312</v>
      </c>
      <c r="L2961" s="8">
        <v>20</v>
      </c>
      <c r="M2961" s="7">
        <f>IF(INDEX([1]equip.xml!$B:$B,MATCH(D2961&amp;"",[1]equip.xml!$A:$A,0))=0,0,N2961)</f>
        <v>0</v>
      </c>
      <c r="N2961" s="8">
        <f t="shared" si="2968"/>
        <v>65</v>
      </c>
    </row>
    <row r="2962" spans="1:14">
      <c r="A2962" s="7">
        <f t="shared" si="2964"/>
        <v>20006</v>
      </c>
      <c r="B2962" s="8">
        <v>40000</v>
      </c>
      <c r="C2962" s="8" t="s">
        <v>132</v>
      </c>
      <c r="D2962" s="8" t="s">
        <v>189</v>
      </c>
      <c r="E2962" s="8" t="s">
        <v>190</v>
      </c>
      <c r="F2962" s="8">
        <v>1</v>
      </c>
      <c r="G2962" s="8">
        <f>3*INDEX([1]equip.xml!$I:$I,MATCH(D2962&amp;"",[1]equip.xml!$A:$A,0))</f>
        <v>30000</v>
      </c>
      <c r="H2962" s="8" t="str">
        <f t="shared" si="2967"/>
        <v>10_10,50_20,80_30</v>
      </c>
      <c r="I2962" s="8">
        <v>12</v>
      </c>
      <c r="J2962" s="8">
        <f t="shared" si="2967"/>
        <v>50</v>
      </c>
      <c r="K2962" s="7" t="s">
        <v>312</v>
      </c>
      <c r="L2962" s="8">
        <v>20</v>
      </c>
      <c r="M2962" s="7">
        <f>IF(INDEX([1]equip.xml!$B:$B,MATCH(D2962&amp;"",[1]equip.xml!$A:$A,0))=0,0,N2962)</f>
        <v>65</v>
      </c>
      <c r="N2962" s="8">
        <f t="shared" si="2968"/>
        <v>65</v>
      </c>
    </row>
    <row r="2963" spans="1:14">
      <c r="A2963" s="7">
        <f t="shared" si="2964"/>
        <v>20006</v>
      </c>
      <c r="B2963" s="8">
        <v>40000</v>
      </c>
      <c r="C2963" s="8" t="s">
        <v>132</v>
      </c>
      <c r="D2963" s="8" t="s">
        <v>191</v>
      </c>
      <c r="E2963" s="8" t="s">
        <v>192</v>
      </c>
      <c r="F2963" s="8">
        <v>1</v>
      </c>
      <c r="G2963" s="8">
        <f>3*INDEX([1]equip.xml!$I:$I,MATCH(D2963&amp;"",[1]equip.xml!$A:$A,0))</f>
        <v>39000</v>
      </c>
      <c r="H2963" s="8" t="str">
        <f t="shared" si="2967"/>
        <v>10_10,50_20,80_30</v>
      </c>
      <c r="I2963" s="8">
        <v>12</v>
      </c>
      <c r="J2963" s="8">
        <f t="shared" si="2967"/>
        <v>50</v>
      </c>
      <c r="K2963" s="7" t="s">
        <v>312</v>
      </c>
      <c r="L2963" s="8">
        <v>20</v>
      </c>
      <c r="M2963" s="7">
        <f>IF(INDEX([1]equip.xml!$B:$B,MATCH(D2963&amp;"",[1]equip.xml!$A:$A,0))=0,0,N2963)</f>
        <v>65</v>
      </c>
      <c r="N2963" s="8">
        <f t="shared" si="2968"/>
        <v>65</v>
      </c>
    </row>
    <row r="2964" spans="1:14">
      <c r="A2964" s="7">
        <f t="shared" si="2964"/>
        <v>20006</v>
      </c>
      <c r="B2964" s="8">
        <v>40000</v>
      </c>
      <c r="C2964" s="8" t="s">
        <v>132</v>
      </c>
      <c r="D2964" s="8" t="s">
        <v>193</v>
      </c>
      <c r="E2964" s="8" t="s">
        <v>194</v>
      </c>
      <c r="F2964" s="8">
        <v>1</v>
      </c>
      <c r="G2964" s="8">
        <f>3*INDEX([1]equip.xml!$I:$I,MATCH(D2964&amp;"",[1]equip.xml!$A:$A,0))</f>
        <v>30000</v>
      </c>
      <c r="H2964" s="8" t="str">
        <f t="shared" si="2967"/>
        <v>10_10,50_20,80_30</v>
      </c>
      <c r="I2964" s="8">
        <v>12</v>
      </c>
      <c r="J2964" s="8">
        <f t="shared" si="2967"/>
        <v>50</v>
      </c>
      <c r="K2964" s="7" t="s">
        <v>312</v>
      </c>
      <c r="L2964" s="8">
        <v>20</v>
      </c>
      <c r="M2964" s="7">
        <f>IF(INDEX([1]equip.xml!$B:$B,MATCH(D2964&amp;"",[1]equip.xml!$A:$A,0))=0,0,N2964)</f>
        <v>65</v>
      </c>
      <c r="N2964" s="8">
        <f t="shared" si="2968"/>
        <v>65</v>
      </c>
    </row>
    <row r="2965" spans="1:14">
      <c r="A2965" s="7">
        <f t="shared" si="2964"/>
        <v>20006</v>
      </c>
      <c r="B2965" s="8">
        <v>40000</v>
      </c>
      <c r="C2965" s="8" t="s">
        <v>132</v>
      </c>
      <c r="D2965" s="8" t="s">
        <v>195</v>
      </c>
      <c r="E2965" s="8" t="s">
        <v>196</v>
      </c>
      <c r="F2965" s="8">
        <v>1</v>
      </c>
      <c r="G2965" s="8">
        <f>3*INDEX([1]equip.xml!$I:$I,MATCH(D2965&amp;"",[1]equip.xml!$A:$A,0))</f>
        <v>39000</v>
      </c>
      <c r="H2965" s="8" t="str">
        <f t="shared" si="2967"/>
        <v>10_10,50_20,80_30</v>
      </c>
      <c r="I2965" s="8">
        <v>12</v>
      </c>
      <c r="J2965" s="8">
        <f t="shared" si="2967"/>
        <v>50</v>
      </c>
      <c r="K2965" s="7" t="s">
        <v>312</v>
      </c>
      <c r="L2965" s="8">
        <v>20</v>
      </c>
      <c r="M2965" s="7">
        <f>IF(INDEX([1]equip.xml!$B:$B,MATCH(D2965&amp;"",[1]equip.xml!$A:$A,0))=0,0,N2965)</f>
        <v>0</v>
      </c>
      <c r="N2965" s="8">
        <f t="shared" si="2968"/>
        <v>65</v>
      </c>
    </row>
    <row r="2966" spans="1:14">
      <c r="A2966" s="7">
        <f t="shared" si="2964"/>
        <v>20006</v>
      </c>
      <c r="B2966" s="8">
        <v>40000</v>
      </c>
      <c r="C2966" s="8" t="s">
        <v>132</v>
      </c>
      <c r="D2966" s="8" t="s">
        <v>197</v>
      </c>
      <c r="E2966" s="8" t="s">
        <v>198</v>
      </c>
      <c r="F2966" s="8">
        <v>1</v>
      </c>
      <c r="G2966" s="8">
        <f>3*INDEX([1]equip.xml!$I:$I,MATCH(D2966&amp;"",[1]equip.xml!$A:$A,0))</f>
        <v>30000</v>
      </c>
      <c r="H2966" s="8" t="str">
        <f t="shared" ref="H2966:J2981" si="2969">H2878</f>
        <v>10_10,50_20,80_30</v>
      </c>
      <c r="I2966" s="8">
        <v>12</v>
      </c>
      <c r="J2966" s="8">
        <f t="shared" si="2969"/>
        <v>50</v>
      </c>
      <c r="K2966" s="7" t="s">
        <v>312</v>
      </c>
      <c r="L2966" s="8">
        <v>20</v>
      </c>
      <c r="M2966" s="7">
        <f>IF(INDEX([1]equip.xml!$B:$B,MATCH(D2966&amp;"",[1]equip.xml!$A:$A,0))=0,0,N2966)</f>
        <v>65</v>
      </c>
      <c r="N2966" s="8">
        <f t="shared" si="2968"/>
        <v>65</v>
      </c>
    </row>
    <row r="2967" spans="1:14">
      <c r="A2967" s="7">
        <f t="shared" si="2964"/>
        <v>20006</v>
      </c>
      <c r="B2967" s="8">
        <v>40000</v>
      </c>
      <c r="C2967" s="8" t="s">
        <v>132</v>
      </c>
      <c r="D2967" s="8" t="s">
        <v>199</v>
      </c>
      <c r="E2967" s="8" t="s">
        <v>200</v>
      </c>
      <c r="F2967" s="8">
        <v>1</v>
      </c>
      <c r="G2967" s="8">
        <f>3*INDEX([1]equip.xml!$I:$I,MATCH(D2967&amp;"",[1]equip.xml!$A:$A,0))</f>
        <v>39000</v>
      </c>
      <c r="H2967" s="8" t="str">
        <f t="shared" si="2969"/>
        <v>10_10,50_20,80_30</v>
      </c>
      <c r="I2967" s="8">
        <v>12</v>
      </c>
      <c r="J2967" s="8">
        <f t="shared" si="2969"/>
        <v>50</v>
      </c>
      <c r="K2967" s="7" t="s">
        <v>312</v>
      </c>
      <c r="L2967" s="8">
        <v>20</v>
      </c>
      <c r="M2967" s="7">
        <f>IF(INDEX([1]equip.xml!$B:$B,MATCH(D2967&amp;"",[1]equip.xml!$A:$A,0))=0,0,N2967)</f>
        <v>65</v>
      </c>
      <c r="N2967" s="8">
        <f t="shared" si="2968"/>
        <v>65</v>
      </c>
    </row>
    <row r="2968" spans="1:14">
      <c r="A2968" s="7">
        <f t="shared" si="2964"/>
        <v>20006</v>
      </c>
      <c r="B2968" s="8">
        <v>40000</v>
      </c>
      <c r="C2968" s="8" t="s">
        <v>132</v>
      </c>
      <c r="D2968" s="8" t="s">
        <v>201</v>
      </c>
      <c r="E2968" s="8" t="s">
        <v>202</v>
      </c>
      <c r="F2968" s="8">
        <v>1</v>
      </c>
      <c r="G2968" s="8">
        <f>3*INDEX([1]equip.xml!$I:$I,MATCH(D2968&amp;"",[1]equip.xml!$A:$A,0))</f>
        <v>30000</v>
      </c>
      <c r="H2968" s="8" t="str">
        <f t="shared" si="2969"/>
        <v>10_10,50_20,80_30</v>
      </c>
      <c r="I2968" s="8">
        <v>12</v>
      </c>
      <c r="J2968" s="8">
        <f t="shared" si="2969"/>
        <v>50</v>
      </c>
      <c r="K2968" s="7" t="s">
        <v>312</v>
      </c>
      <c r="L2968" s="8">
        <v>20</v>
      </c>
      <c r="M2968" s="7">
        <f>IF(INDEX([1]equip.xml!$B:$B,MATCH(D2968&amp;"",[1]equip.xml!$A:$A,0))=0,0,N2968)</f>
        <v>65</v>
      </c>
      <c r="N2968" s="8">
        <f t="shared" si="2968"/>
        <v>65</v>
      </c>
    </row>
    <row r="2969" spans="1:14">
      <c r="A2969" s="7">
        <f t="shared" si="2964"/>
        <v>20006</v>
      </c>
      <c r="B2969" s="8">
        <v>40000</v>
      </c>
      <c r="C2969" s="8" t="s">
        <v>132</v>
      </c>
      <c r="D2969" s="8" t="s">
        <v>203</v>
      </c>
      <c r="E2969" s="8" t="s">
        <v>204</v>
      </c>
      <c r="F2969" s="8">
        <v>1</v>
      </c>
      <c r="G2969" s="8">
        <f>3*INDEX([1]equip.xml!$I:$I,MATCH(D2969&amp;"",[1]equip.xml!$A:$A,0))</f>
        <v>39000</v>
      </c>
      <c r="H2969" s="8" t="str">
        <f t="shared" si="2969"/>
        <v>10_10,50_20,80_30</v>
      </c>
      <c r="I2969" s="8">
        <v>12</v>
      </c>
      <c r="J2969" s="8">
        <f t="shared" si="2969"/>
        <v>50</v>
      </c>
      <c r="K2969" s="7" t="s">
        <v>312</v>
      </c>
      <c r="L2969" s="8">
        <v>20</v>
      </c>
      <c r="M2969" s="7">
        <f>IF(INDEX([1]equip.xml!$B:$B,MATCH(D2969&amp;"",[1]equip.xml!$A:$A,0))=0,0,N2969)</f>
        <v>0</v>
      </c>
      <c r="N2969" s="8">
        <f t="shared" si="2968"/>
        <v>65</v>
      </c>
    </row>
    <row r="2970" spans="1:14">
      <c r="A2970" s="7">
        <f t="shared" si="2964"/>
        <v>20006</v>
      </c>
      <c r="B2970" s="8">
        <v>40000</v>
      </c>
      <c r="C2970" s="8" t="s">
        <v>132</v>
      </c>
      <c r="D2970" s="8" t="s">
        <v>205</v>
      </c>
      <c r="E2970" s="8" t="s">
        <v>206</v>
      </c>
      <c r="F2970" s="8">
        <v>1</v>
      </c>
      <c r="G2970" s="8">
        <f>3*INDEX([1]equip.xml!$I:$I,MATCH(D2970&amp;"",[1]equip.xml!$A:$A,0))</f>
        <v>30000</v>
      </c>
      <c r="H2970" s="8" t="str">
        <f t="shared" si="2969"/>
        <v>10_10,50_20,80_30</v>
      </c>
      <c r="I2970" s="8">
        <v>12</v>
      </c>
      <c r="J2970" s="8">
        <f t="shared" si="2969"/>
        <v>50</v>
      </c>
      <c r="K2970" s="7" t="s">
        <v>312</v>
      </c>
      <c r="L2970" s="8">
        <v>20</v>
      </c>
      <c r="M2970" s="7">
        <f>IF(INDEX([1]equip.xml!$B:$B,MATCH(D2970&amp;"",[1]equip.xml!$A:$A,0))=0,0,N2970)</f>
        <v>65</v>
      </c>
      <c r="N2970" s="8">
        <f t="shared" si="2968"/>
        <v>65</v>
      </c>
    </row>
    <row r="2971" spans="1:14">
      <c r="A2971" s="7">
        <f t="shared" si="2964"/>
        <v>20006</v>
      </c>
      <c r="B2971" s="8">
        <v>40000</v>
      </c>
      <c r="C2971" s="8" t="s">
        <v>132</v>
      </c>
      <c r="D2971" s="8" t="s">
        <v>207</v>
      </c>
      <c r="E2971" s="8" t="s">
        <v>208</v>
      </c>
      <c r="F2971" s="8">
        <v>1</v>
      </c>
      <c r="G2971" s="8">
        <f>3*INDEX([1]equip.xml!$I:$I,MATCH(D2971&amp;"",[1]equip.xml!$A:$A,0))</f>
        <v>39000</v>
      </c>
      <c r="H2971" s="8" t="str">
        <f t="shared" si="2969"/>
        <v>10_10,50_20,80_30</v>
      </c>
      <c r="I2971" s="8">
        <v>12</v>
      </c>
      <c r="J2971" s="8">
        <f t="shared" si="2969"/>
        <v>50</v>
      </c>
      <c r="K2971" s="7" t="s">
        <v>312</v>
      </c>
      <c r="L2971" s="8">
        <v>20</v>
      </c>
      <c r="M2971" s="7">
        <f>IF(INDEX([1]equip.xml!$B:$B,MATCH(D2971&amp;"",[1]equip.xml!$A:$A,0))=0,0,N2971)</f>
        <v>65</v>
      </c>
      <c r="N2971" s="8">
        <f t="shared" si="2968"/>
        <v>65</v>
      </c>
    </row>
    <row r="2972" spans="1:14">
      <c r="A2972" s="7">
        <f t="shared" si="2964"/>
        <v>20006</v>
      </c>
      <c r="B2972" s="8">
        <v>40000</v>
      </c>
      <c r="C2972" s="8" t="s">
        <v>132</v>
      </c>
      <c r="D2972" s="8" t="s">
        <v>209</v>
      </c>
      <c r="E2972" s="8" t="s">
        <v>210</v>
      </c>
      <c r="F2972" s="8">
        <v>1</v>
      </c>
      <c r="G2972" s="8">
        <f>3*INDEX([1]equip.xml!$I:$I,MATCH(D2972&amp;"",[1]equip.xml!$A:$A,0))</f>
        <v>30000</v>
      </c>
      <c r="H2972" s="8" t="str">
        <f t="shared" si="2969"/>
        <v>10_10,50_20,80_30</v>
      </c>
      <c r="I2972" s="8">
        <v>12</v>
      </c>
      <c r="J2972" s="8">
        <f t="shared" si="2969"/>
        <v>50</v>
      </c>
      <c r="K2972" s="7" t="s">
        <v>312</v>
      </c>
      <c r="L2972" s="8">
        <v>20</v>
      </c>
      <c r="M2972" s="7">
        <f>IF(INDEX([1]equip.xml!$B:$B,MATCH(D2972&amp;"",[1]equip.xml!$A:$A,0))=0,0,N2972)</f>
        <v>65</v>
      </c>
      <c r="N2972" s="8">
        <f t="shared" si="2968"/>
        <v>65</v>
      </c>
    </row>
    <row r="2973" spans="1:14">
      <c r="A2973" s="7">
        <f t="shared" si="2964"/>
        <v>20006</v>
      </c>
      <c r="B2973" s="8">
        <v>40000</v>
      </c>
      <c r="C2973" s="8" t="s">
        <v>132</v>
      </c>
      <c r="D2973" s="8" t="s">
        <v>211</v>
      </c>
      <c r="E2973" s="8" t="s">
        <v>212</v>
      </c>
      <c r="F2973" s="8">
        <v>1</v>
      </c>
      <c r="G2973" s="8">
        <f>3*INDEX([1]equip.xml!$I:$I,MATCH(D2973&amp;"",[1]equip.xml!$A:$A,0))</f>
        <v>39000</v>
      </c>
      <c r="H2973" s="8" t="str">
        <f t="shared" si="2969"/>
        <v>10_10,50_20,80_30</v>
      </c>
      <c r="I2973" s="8">
        <v>12</v>
      </c>
      <c r="J2973" s="8">
        <f t="shared" si="2969"/>
        <v>50</v>
      </c>
      <c r="K2973" s="7" t="s">
        <v>312</v>
      </c>
      <c r="L2973" s="8">
        <v>20</v>
      </c>
      <c r="M2973" s="7">
        <f>IF(INDEX([1]equip.xml!$B:$B,MATCH(D2973&amp;"",[1]equip.xml!$A:$A,0))=0,0,N2973)</f>
        <v>0</v>
      </c>
      <c r="N2973" s="8">
        <f t="shared" si="2968"/>
        <v>65</v>
      </c>
    </row>
    <row r="2974" spans="1:14">
      <c r="A2974" s="7">
        <f t="shared" si="2964"/>
        <v>20006</v>
      </c>
      <c r="B2974" s="8">
        <v>40000</v>
      </c>
      <c r="C2974" s="8" t="s">
        <v>132</v>
      </c>
      <c r="D2974" s="8" t="s">
        <v>213</v>
      </c>
      <c r="E2974" s="8" t="s">
        <v>214</v>
      </c>
      <c r="F2974" s="8">
        <v>1</v>
      </c>
      <c r="G2974" s="8">
        <f>3*INDEX([1]equip.xml!$I:$I,MATCH(D2974&amp;"",[1]equip.xml!$A:$A,0))</f>
        <v>30000</v>
      </c>
      <c r="H2974" s="8" t="str">
        <f t="shared" si="2969"/>
        <v>10_10,50_20,80_30</v>
      </c>
      <c r="I2974" s="8">
        <v>12</v>
      </c>
      <c r="J2974" s="8">
        <f t="shared" si="2969"/>
        <v>50</v>
      </c>
      <c r="K2974" s="7" t="s">
        <v>312</v>
      </c>
      <c r="L2974" s="8">
        <v>20</v>
      </c>
      <c r="M2974" s="7">
        <f>IF(INDEX([1]equip.xml!$B:$B,MATCH(D2974&amp;"",[1]equip.xml!$A:$A,0))=0,0,N2974)</f>
        <v>65</v>
      </c>
      <c r="N2974" s="8">
        <f t="shared" si="2968"/>
        <v>65</v>
      </c>
    </row>
    <row r="2975" spans="1:14">
      <c r="A2975" s="7">
        <f t="shared" ref="A2975:A3038" si="2970">10000+A159</f>
        <v>20006</v>
      </c>
      <c r="B2975" s="8">
        <v>40000</v>
      </c>
      <c r="C2975" s="8" t="s">
        <v>132</v>
      </c>
      <c r="D2975" s="8" t="s">
        <v>215</v>
      </c>
      <c r="E2975" s="8" t="s">
        <v>216</v>
      </c>
      <c r="F2975" s="8">
        <v>1</v>
      </c>
      <c r="G2975" s="8">
        <f>3*INDEX([1]equip.xml!$I:$I,MATCH(D2975&amp;"",[1]equip.xml!$A:$A,0))</f>
        <v>39000</v>
      </c>
      <c r="H2975" s="8" t="str">
        <f t="shared" si="2969"/>
        <v>10_10,50_20,80_30</v>
      </c>
      <c r="I2975" s="8">
        <v>12</v>
      </c>
      <c r="J2975" s="8">
        <f t="shared" si="2969"/>
        <v>50</v>
      </c>
      <c r="K2975" s="7" t="s">
        <v>312</v>
      </c>
      <c r="L2975" s="8">
        <v>20</v>
      </c>
      <c r="M2975" s="7">
        <f>IF(INDEX([1]equip.xml!$B:$B,MATCH(D2975&amp;"",[1]equip.xml!$A:$A,0))=0,0,N2975)</f>
        <v>0</v>
      </c>
      <c r="N2975" s="8">
        <f t="shared" si="2968"/>
        <v>65</v>
      </c>
    </row>
    <row r="2976" spans="1:14">
      <c r="A2976" s="7">
        <f t="shared" si="2970"/>
        <v>20006</v>
      </c>
      <c r="B2976" s="8">
        <v>40000</v>
      </c>
      <c r="C2976" s="8" t="s">
        <v>132</v>
      </c>
      <c r="D2976" s="8" t="s">
        <v>217</v>
      </c>
      <c r="E2976" s="8" t="s">
        <v>218</v>
      </c>
      <c r="F2976" s="8">
        <v>1</v>
      </c>
      <c r="G2976" s="8">
        <f>3*INDEX([1]equip.xml!$I:$I,MATCH(D2976&amp;"",[1]equip.xml!$A:$A,0))</f>
        <v>30000</v>
      </c>
      <c r="H2976" s="8" t="str">
        <f t="shared" si="2969"/>
        <v>10_10,50_20,80_30</v>
      </c>
      <c r="I2976" s="8">
        <v>12</v>
      </c>
      <c r="J2976" s="8">
        <f t="shared" si="2969"/>
        <v>50</v>
      </c>
      <c r="K2976" s="7" t="s">
        <v>312</v>
      </c>
      <c r="L2976" s="8">
        <v>20</v>
      </c>
      <c r="M2976" s="7">
        <f>IF(INDEX([1]equip.xml!$B:$B,MATCH(D2976&amp;"",[1]equip.xml!$A:$A,0))=0,0,N2976)</f>
        <v>65</v>
      </c>
      <c r="N2976" s="8">
        <f t="shared" si="2968"/>
        <v>65</v>
      </c>
    </row>
    <row r="2977" spans="1:14">
      <c r="A2977" s="7">
        <f t="shared" si="2970"/>
        <v>20006</v>
      </c>
      <c r="B2977" s="8">
        <v>40000</v>
      </c>
      <c r="C2977" s="8" t="s">
        <v>132</v>
      </c>
      <c r="D2977" s="8" t="s">
        <v>219</v>
      </c>
      <c r="E2977" s="8" t="s">
        <v>220</v>
      </c>
      <c r="F2977" s="8">
        <v>1</v>
      </c>
      <c r="G2977" s="8">
        <f>3*INDEX([1]equip.xml!$I:$I,MATCH(D2977&amp;"",[1]equip.xml!$A:$A,0))</f>
        <v>39000</v>
      </c>
      <c r="H2977" s="8" t="str">
        <f t="shared" si="2969"/>
        <v>10_10,50_20,80_30</v>
      </c>
      <c r="I2977" s="8">
        <v>12</v>
      </c>
      <c r="J2977" s="8">
        <f t="shared" si="2969"/>
        <v>50</v>
      </c>
      <c r="K2977" s="7" t="s">
        <v>312</v>
      </c>
      <c r="L2977" s="8">
        <v>20</v>
      </c>
      <c r="M2977" s="7">
        <f>IF(INDEX([1]equip.xml!$B:$B,MATCH(D2977&amp;"",[1]equip.xml!$A:$A,0))=0,0,N2977)</f>
        <v>0</v>
      </c>
      <c r="N2977" s="8">
        <f t="shared" si="2968"/>
        <v>65</v>
      </c>
    </row>
    <row r="2978" spans="1:14">
      <c r="A2978" s="7">
        <f t="shared" si="2970"/>
        <v>20006</v>
      </c>
      <c r="B2978" s="8">
        <v>40000</v>
      </c>
      <c r="C2978" s="8" t="s">
        <v>132</v>
      </c>
      <c r="D2978" s="8">
        <v>50050015</v>
      </c>
      <c r="E2978" s="8" t="s">
        <v>155</v>
      </c>
      <c r="F2978" s="8">
        <v>1</v>
      </c>
      <c r="G2978" s="8">
        <f>3*INDEX([1]equip.xml!$I:$I,MATCH(D2978,[1]equip.xml!$A:$A,0))</f>
        <v>30000</v>
      </c>
      <c r="H2978" s="8" t="str">
        <f t="shared" si="2969"/>
        <v>10_10,50_20,80_30</v>
      </c>
      <c r="I2978" s="8">
        <v>12</v>
      </c>
      <c r="J2978" s="8">
        <f t="shared" si="2969"/>
        <v>240</v>
      </c>
      <c r="K2978" s="7" t="s">
        <v>312</v>
      </c>
      <c r="L2978" s="8">
        <v>20</v>
      </c>
      <c r="M2978" s="7">
        <f>IF(INDEX([1]equip.xml!$B:$B,MATCH(D2978,[1]equip.xml!$A:$A,0))=0,0,N2978)</f>
        <v>130</v>
      </c>
      <c r="N2978" s="8">
        <f t="shared" si="2968"/>
        <v>130</v>
      </c>
    </row>
    <row r="2979" spans="1:14">
      <c r="A2979" s="7">
        <f t="shared" si="2970"/>
        <v>20006</v>
      </c>
      <c r="B2979" s="8">
        <v>40000</v>
      </c>
      <c r="C2979" s="8" t="s">
        <v>132</v>
      </c>
      <c r="D2979" s="8">
        <v>50050025</v>
      </c>
      <c r="E2979" s="8" t="s">
        <v>156</v>
      </c>
      <c r="F2979" s="8">
        <v>1</v>
      </c>
      <c r="G2979" s="8">
        <f>3*INDEX([1]equip.xml!$I:$I,MATCH(D2979,[1]equip.xml!$A:$A,0))</f>
        <v>30000</v>
      </c>
      <c r="H2979" s="8" t="str">
        <f t="shared" si="2969"/>
        <v>10_10,50_20,80_30</v>
      </c>
      <c r="I2979" s="8">
        <v>12</v>
      </c>
      <c r="J2979" s="8">
        <f t="shared" si="2969"/>
        <v>240</v>
      </c>
      <c r="K2979" s="7" t="s">
        <v>312</v>
      </c>
      <c r="L2979" s="8">
        <v>20</v>
      </c>
      <c r="M2979" s="7">
        <f>IF(INDEX([1]equip.xml!$B:$B,MATCH(D2979,[1]equip.xml!$A:$A,0))=0,0,N2979)</f>
        <v>130</v>
      </c>
      <c r="N2979" s="8">
        <f t="shared" si="2968"/>
        <v>130</v>
      </c>
    </row>
    <row r="2980" spans="1:14">
      <c r="A2980" s="7">
        <f t="shared" si="2970"/>
        <v>20006</v>
      </c>
      <c r="B2980" s="8">
        <v>40000</v>
      </c>
      <c r="C2980" s="8" t="s">
        <v>132</v>
      </c>
      <c r="D2980" s="8">
        <v>50050035</v>
      </c>
      <c r="E2980" s="8" t="s">
        <v>157</v>
      </c>
      <c r="F2980" s="8">
        <v>1</v>
      </c>
      <c r="G2980" s="8">
        <f>3*INDEX([1]equip.xml!$I:$I,MATCH(D2980,[1]equip.xml!$A:$A,0))</f>
        <v>30000</v>
      </c>
      <c r="H2980" s="8" t="str">
        <f t="shared" si="2969"/>
        <v>10_10,50_20,80_30</v>
      </c>
      <c r="I2980" s="8">
        <v>12</v>
      </c>
      <c r="J2980" s="8">
        <f t="shared" si="2969"/>
        <v>240</v>
      </c>
      <c r="K2980" s="7" t="s">
        <v>312</v>
      </c>
      <c r="L2980" s="8">
        <v>20</v>
      </c>
      <c r="M2980" s="7">
        <f>IF(INDEX([1]equip.xml!$B:$B,MATCH(D2980,[1]equip.xml!$A:$A,0))=0,0,N2980)</f>
        <v>130</v>
      </c>
      <c r="N2980" s="8">
        <f t="shared" si="2968"/>
        <v>130</v>
      </c>
    </row>
    <row r="2981" spans="1:14">
      <c r="A2981" s="7">
        <f t="shared" si="2970"/>
        <v>20006</v>
      </c>
      <c r="B2981" s="8">
        <v>40000</v>
      </c>
      <c r="C2981" s="8" t="s">
        <v>132</v>
      </c>
      <c r="D2981" s="8">
        <v>50050085</v>
      </c>
      <c r="E2981" s="8" t="s">
        <v>158</v>
      </c>
      <c r="F2981" s="8">
        <v>1</v>
      </c>
      <c r="G2981" s="8">
        <f>3*INDEX([1]equip.xml!$I:$I,MATCH(D2981,[1]equip.xml!$A:$A,0))</f>
        <v>30000</v>
      </c>
      <c r="H2981" s="8" t="str">
        <f t="shared" si="2969"/>
        <v>10_10,50_20,80_30</v>
      </c>
      <c r="I2981" s="8">
        <v>12</v>
      </c>
      <c r="J2981" s="8">
        <f t="shared" si="2969"/>
        <v>240</v>
      </c>
      <c r="K2981" s="7" t="s">
        <v>312</v>
      </c>
      <c r="L2981" s="8">
        <v>20</v>
      </c>
      <c r="M2981" s="7">
        <f>IF(INDEX([1]equip.xml!$B:$B,MATCH(D2981,[1]equip.xml!$A:$A,0))=0,0,N2981)</f>
        <v>0</v>
      </c>
      <c r="N2981" s="8">
        <f t="shared" si="2968"/>
        <v>130</v>
      </c>
    </row>
    <row r="2982" spans="1:14">
      <c r="A2982" s="7">
        <f t="shared" si="2970"/>
        <v>20006</v>
      </c>
      <c r="B2982" s="8">
        <v>40000</v>
      </c>
      <c r="C2982" s="8" t="s">
        <v>132</v>
      </c>
      <c r="D2982" s="8">
        <v>50050095</v>
      </c>
      <c r="E2982" s="8" t="s">
        <v>159</v>
      </c>
      <c r="F2982" s="8">
        <v>1</v>
      </c>
      <c r="G2982" s="8">
        <f>3*INDEX([1]equip.xml!$I:$I,MATCH(D2982,[1]equip.xml!$A:$A,0))</f>
        <v>30000</v>
      </c>
      <c r="H2982" s="8" t="str">
        <f t="shared" ref="H2982:J2997" si="2971">H2894</f>
        <v>10_10,50_20,80_30</v>
      </c>
      <c r="I2982" s="8">
        <v>12</v>
      </c>
      <c r="J2982" s="8">
        <f t="shared" si="2971"/>
        <v>240</v>
      </c>
      <c r="K2982" s="7" t="s">
        <v>312</v>
      </c>
      <c r="L2982" s="8">
        <v>20</v>
      </c>
      <c r="M2982" s="7">
        <f>IF(INDEX([1]equip.xml!$B:$B,MATCH(D2982,[1]equip.xml!$A:$A,0))=0,0,N2982)</f>
        <v>0</v>
      </c>
      <c r="N2982" s="8">
        <f t="shared" si="2968"/>
        <v>130</v>
      </c>
    </row>
    <row r="2983" spans="1:14">
      <c r="A2983" s="7">
        <f t="shared" si="2970"/>
        <v>20006</v>
      </c>
      <c r="B2983" s="8">
        <v>40000</v>
      </c>
      <c r="C2983" s="8" t="s">
        <v>132</v>
      </c>
      <c r="D2983" s="8">
        <v>50050105</v>
      </c>
      <c r="E2983" s="8" t="s">
        <v>160</v>
      </c>
      <c r="F2983" s="8">
        <v>1</v>
      </c>
      <c r="G2983" s="8">
        <f>3*INDEX([1]equip.xml!$I:$I,MATCH(D2983,[1]equip.xml!$A:$A,0))</f>
        <v>30000</v>
      </c>
      <c r="H2983" s="8" t="str">
        <f t="shared" si="2971"/>
        <v>10_10,50_20,80_30</v>
      </c>
      <c r="I2983" s="8">
        <v>12</v>
      </c>
      <c r="J2983" s="8">
        <f t="shared" si="2971"/>
        <v>240</v>
      </c>
      <c r="K2983" s="7" t="s">
        <v>312</v>
      </c>
      <c r="L2983" s="8">
        <v>20</v>
      </c>
      <c r="M2983" s="7">
        <f>IF(INDEX([1]equip.xml!$B:$B,MATCH(D2983,[1]equip.xml!$A:$A,0))=0,0,N2983)</f>
        <v>130</v>
      </c>
      <c r="N2983" s="8">
        <f t="shared" si="2968"/>
        <v>130</v>
      </c>
    </row>
    <row r="2984" spans="1:14">
      <c r="A2984" s="7">
        <f t="shared" si="2970"/>
        <v>20006</v>
      </c>
      <c r="B2984" s="8">
        <v>40000</v>
      </c>
      <c r="C2984" s="8" t="s">
        <v>132</v>
      </c>
      <c r="D2984" s="8">
        <v>50051055</v>
      </c>
      <c r="E2984" s="8" t="s">
        <v>161</v>
      </c>
      <c r="F2984" s="8">
        <v>1</v>
      </c>
      <c r="G2984" s="8">
        <f>3*INDEX([1]equip.xml!$I:$I,MATCH(D2984,[1]equip.xml!$A:$A,0))</f>
        <v>30000</v>
      </c>
      <c r="H2984" s="8" t="str">
        <f t="shared" si="2971"/>
        <v>10_10,50_20,80_30</v>
      </c>
      <c r="I2984" s="8">
        <v>12</v>
      </c>
      <c r="J2984" s="8">
        <f t="shared" si="2971"/>
        <v>240</v>
      </c>
      <c r="K2984" s="7" t="s">
        <v>312</v>
      </c>
      <c r="L2984" s="8">
        <v>20</v>
      </c>
      <c r="M2984" s="7">
        <f>IF(INDEX([1]equip.xml!$B:$B,MATCH(D2984,[1]equip.xml!$A:$A,0))=0,0,N2984)</f>
        <v>130</v>
      </c>
      <c r="N2984" s="8">
        <f t="shared" si="2968"/>
        <v>130</v>
      </c>
    </row>
    <row r="2985" spans="1:14">
      <c r="A2985" s="7">
        <f t="shared" si="2970"/>
        <v>20006</v>
      </c>
      <c r="B2985" s="8">
        <v>40000</v>
      </c>
      <c r="C2985" s="8" t="s">
        <v>132</v>
      </c>
      <c r="D2985" s="8">
        <v>50051056</v>
      </c>
      <c r="E2985" s="8" t="s">
        <v>162</v>
      </c>
      <c r="F2985" s="8">
        <v>1</v>
      </c>
      <c r="G2985" s="8">
        <f>3*INDEX([1]equip.xml!$I:$I,MATCH(D2985,[1]equip.xml!$A:$A,0))</f>
        <v>48000</v>
      </c>
      <c r="H2985" s="8" t="str">
        <f t="shared" si="2971"/>
        <v>10_10,50_20,80_30</v>
      </c>
      <c r="I2985" s="8">
        <v>12</v>
      </c>
      <c r="J2985" s="8">
        <f t="shared" si="2971"/>
        <v>240</v>
      </c>
      <c r="K2985" s="7" t="s">
        <v>312</v>
      </c>
      <c r="L2985" s="8">
        <v>20</v>
      </c>
      <c r="M2985" s="7">
        <f>IF(INDEX([1]equip.xml!$B:$B,MATCH(D2985,[1]equip.xml!$A:$A,0))=0,0,N2985)</f>
        <v>130</v>
      </c>
      <c r="N2985" s="8">
        <f t="shared" si="2968"/>
        <v>130</v>
      </c>
    </row>
    <row r="2986" spans="1:14">
      <c r="A2986" s="7">
        <f t="shared" si="2970"/>
        <v>20006</v>
      </c>
      <c r="B2986" s="8">
        <v>40000</v>
      </c>
      <c r="C2986" s="8" t="s">
        <v>132</v>
      </c>
      <c r="D2986" s="8">
        <v>50051065</v>
      </c>
      <c r="E2986" s="8" t="s">
        <v>163</v>
      </c>
      <c r="F2986" s="8">
        <v>1</v>
      </c>
      <c r="G2986" s="8">
        <f>3*INDEX([1]equip.xml!$I:$I,MATCH(D2986,[1]equip.xml!$A:$A,0))</f>
        <v>30000</v>
      </c>
      <c r="H2986" s="8" t="str">
        <f t="shared" si="2971"/>
        <v>10_10,50_20,80_30</v>
      </c>
      <c r="I2986" s="8">
        <v>12</v>
      </c>
      <c r="J2986" s="8">
        <f t="shared" si="2971"/>
        <v>240</v>
      </c>
      <c r="K2986" s="7" t="s">
        <v>312</v>
      </c>
      <c r="L2986" s="8">
        <v>20</v>
      </c>
      <c r="M2986" s="7">
        <f>IF(INDEX([1]equip.xml!$B:$B,MATCH(D2986,[1]equip.xml!$A:$A,0))=0,0,N2986)</f>
        <v>130</v>
      </c>
      <c r="N2986" s="8">
        <f t="shared" si="2968"/>
        <v>130</v>
      </c>
    </row>
    <row r="2987" spans="1:14">
      <c r="A2987" s="7">
        <f t="shared" si="2970"/>
        <v>20006</v>
      </c>
      <c r="B2987" s="8">
        <v>40000</v>
      </c>
      <c r="C2987" s="8" t="s">
        <v>132</v>
      </c>
      <c r="D2987" s="8">
        <v>50051066</v>
      </c>
      <c r="E2987" s="8" t="s">
        <v>164</v>
      </c>
      <c r="F2987" s="8">
        <v>1</v>
      </c>
      <c r="G2987" s="8">
        <f>3*INDEX([1]equip.xml!$I:$I,MATCH(D2987,[1]equip.xml!$A:$A,0))</f>
        <v>48000</v>
      </c>
      <c r="H2987" s="8" t="str">
        <f t="shared" si="2971"/>
        <v>10_10,50_20,80_30</v>
      </c>
      <c r="I2987" s="8">
        <v>12</v>
      </c>
      <c r="J2987" s="8">
        <f t="shared" si="2971"/>
        <v>240</v>
      </c>
      <c r="K2987" s="7" t="s">
        <v>312</v>
      </c>
      <c r="L2987" s="8">
        <v>20</v>
      </c>
      <c r="M2987" s="7">
        <f>IF(INDEX([1]equip.xml!$B:$B,MATCH(D2987,[1]equip.xml!$A:$A,0))=0,0,N2987)</f>
        <v>0</v>
      </c>
      <c r="N2987" s="8">
        <f t="shared" si="2968"/>
        <v>130</v>
      </c>
    </row>
    <row r="2988" spans="1:14">
      <c r="A2988" s="7">
        <f t="shared" si="2970"/>
        <v>20006</v>
      </c>
      <c r="B2988" s="8">
        <v>40000</v>
      </c>
      <c r="C2988" s="8" t="s">
        <v>132</v>
      </c>
      <c r="D2988" s="8">
        <v>50052055</v>
      </c>
      <c r="E2988" s="8" t="s">
        <v>165</v>
      </c>
      <c r="F2988" s="8">
        <v>1</v>
      </c>
      <c r="G2988" s="8">
        <f>3*INDEX([1]equip.xml!$I:$I,MATCH(D2988,[1]equip.xml!$A:$A,0))</f>
        <v>30000</v>
      </c>
      <c r="H2988" s="8" t="str">
        <f t="shared" si="2971"/>
        <v>10_10,50_20,80_30</v>
      </c>
      <c r="I2988" s="8">
        <v>12</v>
      </c>
      <c r="J2988" s="8">
        <f t="shared" si="2971"/>
        <v>240</v>
      </c>
      <c r="K2988" s="7" t="s">
        <v>312</v>
      </c>
      <c r="L2988" s="8">
        <v>20</v>
      </c>
      <c r="M2988" s="7">
        <f>IF(INDEX([1]equip.xml!$B:$B,MATCH(D2988,[1]equip.xml!$A:$A,0))=0,0,N2988)</f>
        <v>130</v>
      </c>
      <c r="N2988" s="8">
        <f t="shared" si="2968"/>
        <v>130</v>
      </c>
    </row>
    <row r="2989" spans="1:14">
      <c r="A2989" s="7">
        <f t="shared" si="2970"/>
        <v>20006</v>
      </c>
      <c r="B2989" s="8">
        <v>40000</v>
      </c>
      <c r="C2989" s="8" t="s">
        <v>132</v>
      </c>
      <c r="D2989" s="8">
        <v>50052056</v>
      </c>
      <c r="E2989" s="8" t="s">
        <v>166</v>
      </c>
      <c r="F2989" s="8">
        <v>1</v>
      </c>
      <c r="G2989" s="8">
        <f>3*INDEX([1]equip.xml!$I:$I,MATCH(D2989,[1]equip.xml!$A:$A,0))</f>
        <v>48000</v>
      </c>
      <c r="H2989" s="8" t="str">
        <f t="shared" si="2971"/>
        <v>10_10,50_20,80_30</v>
      </c>
      <c r="I2989" s="8">
        <v>12</v>
      </c>
      <c r="J2989" s="8">
        <f t="shared" si="2971"/>
        <v>240</v>
      </c>
      <c r="K2989" s="7" t="s">
        <v>312</v>
      </c>
      <c r="L2989" s="8">
        <v>20</v>
      </c>
      <c r="M2989" s="7">
        <f>IF(INDEX([1]equip.xml!$B:$B,MATCH(D2989,[1]equip.xml!$A:$A,0))=0,0,N2989)</f>
        <v>130</v>
      </c>
      <c r="N2989" s="8">
        <f t="shared" si="2968"/>
        <v>130</v>
      </c>
    </row>
    <row r="2990" spans="1:14">
      <c r="A2990" s="7">
        <f t="shared" si="2970"/>
        <v>20006</v>
      </c>
      <c r="B2990" s="8">
        <v>40000</v>
      </c>
      <c r="C2990" s="8" t="s">
        <v>132</v>
      </c>
      <c r="D2990" s="8">
        <v>50052065</v>
      </c>
      <c r="E2990" s="8" t="s">
        <v>167</v>
      </c>
      <c r="F2990" s="8">
        <v>1</v>
      </c>
      <c r="G2990" s="8">
        <f>3*INDEX([1]equip.xml!$I:$I,MATCH(D2990,[1]equip.xml!$A:$A,0))</f>
        <v>30000</v>
      </c>
      <c r="H2990" s="8" t="str">
        <f t="shared" si="2971"/>
        <v>10_10,50_20,80_30</v>
      </c>
      <c r="I2990" s="8">
        <v>12</v>
      </c>
      <c r="J2990" s="8">
        <f t="shared" si="2971"/>
        <v>240</v>
      </c>
      <c r="K2990" s="7" t="s">
        <v>312</v>
      </c>
      <c r="L2990" s="8">
        <v>20</v>
      </c>
      <c r="M2990" s="7">
        <f>IF(INDEX([1]equip.xml!$B:$B,MATCH(D2990,[1]equip.xml!$A:$A,0))=0,0,N2990)</f>
        <v>130</v>
      </c>
      <c r="N2990" s="8">
        <f t="shared" si="2968"/>
        <v>130</v>
      </c>
    </row>
    <row r="2991" spans="1:14">
      <c r="A2991" s="7">
        <f t="shared" si="2970"/>
        <v>20006</v>
      </c>
      <c r="B2991" s="8">
        <v>40000</v>
      </c>
      <c r="C2991" s="8" t="s">
        <v>132</v>
      </c>
      <c r="D2991" s="8">
        <v>50052066</v>
      </c>
      <c r="E2991" s="8" t="s">
        <v>168</v>
      </c>
      <c r="F2991" s="8">
        <v>1</v>
      </c>
      <c r="G2991" s="8">
        <f>3*INDEX([1]equip.xml!$I:$I,MATCH(D2991,[1]equip.xml!$A:$A,0))</f>
        <v>48000</v>
      </c>
      <c r="H2991" s="8" t="str">
        <f t="shared" si="2971"/>
        <v>10_10,50_20,80_30</v>
      </c>
      <c r="I2991" s="8">
        <v>12</v>
      </c>
      <c r="J2991" s="8">
        <f t="shared" si="2971"/>
        <v>240</v>
      </c>
      <c r="K2991" s="7" t="s">
        <v>312</v>
      </c>
      <c r="L2991" s="8">
        <v>20</v>
      </c>
      <c r="M2991" s="7">
        <f>IF(INDEX([1]equip.xml!$B:$B,MATCH(D2991,[1]equip.xml!$A:$A,0))=0,0,N2991)</f>
        <v>0</v>
      </c>
      <c r="N2991" s="8">
        <f t="shared" si="2968"/>
        <v>130</v>
      </c>
    </row>
    <row r="2992" spans="1:14">
      <c r="A2992" s="7">
        <f t="shared" si="2970"/>
        <v>20006</v>
      </c>
      <c r="B2992" s="8">
        <v>40000</v>
      </c>
      <c r="C2992" s="8" t="s">
        <v>132</v>
      </c>
      <c r="D2992" s="8">
        <v>50053055</v>
      </c>
      <c r="E2992" s="8" t="s">
        <v>169</v>
      </c>
      <c r="F2992" s="8">
        <v>1</v>
      </c>
      <c r="G2992" s="8">
        <f>3*INDEX([1]equip.xml!$I:$I,MATCH(D2992,[1]equip.xml!$A:$A,0))</f>
        <v>30000</v>
      </c>
      <c r="H2992" s="8" t="str">
        <f t="shared" si="2971"/>
        <v>10_10,50_20,80_30</v>
      </c>
      <c r="I2992" s="8">
        <v>12</v>
      </c>
      <c r="J2992" s="8">
        <f t="shared" si="2971"/>
        <v>240</v>
      </c>
      <c r="K2992" s="7" t="s">
        <v>312</v>
      </c>
      <c r="L2992" s="8">
        <v>20</v>
      </c>
      <c r="M2992" s="7">
        <f>IF(INDEX([1]equip.xml!$B:$B,MATCH(D2992,[1]equip.xml!$A:$A,0))=0,0,N2992)</f>
        <v>130</v>
      </c>
      <c r="N2992" s="8">
        <f t="shared" si="2968"/>
        <v>130</v>
      </c>
    </row>
    <row r="2993" spans="1:14">
      <c r="A2993" s="7">
        <f t="shared" si="2970"/>
        <v>20006</v>
      </c>
      <c r="B2993" s="8">
        <v>40000</v>
      </c>
      <c r="C2993" s="8" t="s">
        <v>132</v>
      </c>
      <c r="D2993" s="8">
        <v>50053056</v>
      </c>
      <c r="E2993" s="8" t="s">
        <v>170</v>
      </c>
      <c r="F2993" s="8">
        <v>1</v>
      </c>
      <c r="G2993" s="8">
        <f>3*INDEX([1]equip.xml!$I:$I,MATCH(D2993,[1]equip.xml!$A:$A,0))</f>
        <v>48000</v>
      </c>
      <c r="H2993" s="8" t="str">
        <f t="shared" si="2971"/>
        <v>10_10,50_20,80_30</v>
      </c>
      <c r="I2993" s="8">
        <v>12</v>
      </c>
      <c r="J2993" s="8">
        <f t="shared" si="2971"/>
        <v>240</v>
      </c>
      <c r="K2993" s="7" t="s">
        <v>312</v>
      </c>
      <c r="L2993" s="8">
        <v>20</v>
      </c>
      <c r="M2993" s="7">
        <f>IF(INDEX([1]equip.xml!$B:$B,MATCH(D2993,[1]equip.xml!$A:$A,0))=0,0,N2993)</f>
        <v>130</v>
      </c>
      <c r="N2993" s="8">
        <f t="shared" si="2968"/>
        <v>130</v>
      </c>
    </row>
    <row r="2994" spans="1:14">
      <c r="A2994" s="7">
        <f t="shared" si="2970"/>
        <v>20006</v>
      </c>
      <c r="B2994" s="8">
        <v>40000</v>
      </c>
      <c r="C2994" s="8" t="s">
        <v>132</v>
      </c>
      <c r="D2994" s="8">
        <v>50053065</v>
      </c>
      <c r="E2994" s="8" t="s">
        <v>171</v>
      </c>
      <c r="F2994" s="8">
        <v>1</v>
      </c>
      <c r="G2994" s="8">
        <f>3*INDEX([1]equip.xml!$I:$I,MATCH(D2994,[1]equip.xml!$A:$A,0))</f>
        <v>30000</v>
      </c>
      <c r="H2994" s="8" t="str">
        <f t="shared" si="2971"/>
        <v>10_10,50_20,80_30</v>
      </c>
      <c r="I2994" s="8">
        <v>12</v>
      </c>
      <c r="J2994" s="8">
        <f t="shared" si="2971"/>
        <v>240</v>
      </c>
      <c r="K2994" s="7" t="s">
        <v>312</v>
      </c>
      <c r="L2994" s="8">
        <v>20</v>
      </c>
      <c r="M2994" s="7">
        <f>IF(INDEX([1]equip.xml!$B:$B,MATCH(D2994,[1]equip.xml!$A:$A,0))=0,0,N2994)</f>
        <v>130</v>
      </c>
      <c r="N2994" s="8">
        <f t="shared" si="2968"/>
        <v>130</v>
      </c>
    </row>
    <row r="2995" spans="1:14">
      <c r="A2995" s="7">
        <f t="shared" si="2970"/>
        <v>20006</v>
      </c>
      <c r="B2995" s="8">
        <v>40000</v>
      </c>
      <c r="C2995" s="8" t="s">
        <v>132</v>
      </c>
      <c r="D2995" s="8">
        <v>50053066</v>
      </c>
      <c r="E2995" s="8" t="s">
        <v>172</v>
      </c>
      <c r="F2995" s="8">
        <v>1</v>
      </c>
      <c r="G2995" s="8">
        <f>3*INDEX([1]equip.xml!$I:$I,MATCH(D2995,[1]equip.xml!$A:$A,0))</f>
        <v>48000</v>
      </c>
      <c r="H2995" s="8" t="str">
        <f t="shared" si="2971"/>
        <v>10_10,50_20,80_30</v>
      </c>
      <c r="I2995" s="8">
        <v>12</v>
      </c>
      <c r="J2995" s="8">
        <f t="shared" si="2971"/>
        <v>240</v>
      </c>
      <c r="K2995" s="7" t="s">
        <v>312</v>
      </c>
      <c r="L2995" s="8">
        <v>20</v>
      </c>
      <c r="M2995" s="7">
        <f>IF(INDEX([1]equip.xml!$B:$B,MATCH(D2995,[1]equip.xml!$A:$A,0))=0,0,N2995)</f>
        <v>0</v>
      </c>
      <c r="N2995" s="8">
        <f t="shared" si="2968"/>
        <v>130</v>
      </c>
    </row>
    <row r="2996" spans="1:14">
      <c r="A2996" s="7">
        <f t="shared" si="2970"/>
        <v>20006</v>
      </c>
      <c r="B2996" s="8">
        <v>40000</v>
      </c>
      <c r="C2996" s="8" t="s">
        <v>132</v>
      </c>
      <c r="D2996" s="8">
        <v>50050045</v>
      </c>
      <c r="E2996" s="8" t="s">
        <v>173</v>
      </c>
      <c r="F2996" s="8">
        <v>1</v>
      </c>
      <c r="G2996" s="8">
        <f>3*INDEX([1]equip.xml!$I:$I,MATCH(D2996,[1]equip.xml!$A:$A,0))</f>
        <v>30000</v>
      </c>
      <c r="H2996" s="8" t="str">
        <f t="shared" si="2971"/>
        <v>10_10,50_20,80_30</v>
      </c>
      <c r="I2996" s="8">
        <v>12</v>
      </c>
      <c r="J2996" s="8">
        <f t="shared" si="2971"/>
        <v>240</v>
      </c>
      <c r="K2996" s="7" t="s">
        <v>312</v>
      </c>
      <c r="L2996" s="8">
        <v>20</v>
      </c>
      <c r="M2996" s="7">
        <f>IF(INDEX([1]equip.xml!$B:$B,MATCH(D2996,[1]equip.xml!$A:$A,0))=0,0,N2996)</f>
        <v>130</v>
      </c>
      <c r="N2996" s="8">
        <f t="shared" si="2968"/>
        <v>130</v>
      </c>
    </row>
    <row r="2997" spans="1:14">
      <c r="A2997" s="7">
        <f t="shared" si="2970"/>
        <v>20006</v>
      </c>
      <c r="B2997" s="8">
        <v>40000</v>
      </c>
      <c r="C2997" s="8" t="s">
        <v>132</v>
      </c>
      <c r="D2997" s="8">
        <v>50050046</v>
      </c>
      <c r="E2997" s="8" t="s">
        <v>174</v>
      </c>
      <c r="F2997" s="8">
        <v>1</v>
      </c>
      <c r="G2997" s="8">
        <f>3*INDEX([1]equip.xml!$I:$I,MATCH(D2997,[1]equip.xml!$A:$A,0))</f>
        <v>48000</v>
      </c>
      <c r="H2997" s="8" t="str">
        <f t="shared" si="2971"/>
        <v>10_10,50_20,80_30</v>
      </c>
      <c r="I2997" s="8">
        <v>12</v>
      </c>
      <c r="J2997" s="8">
        <f t="shared" si="2971"/>
        <v>240</v>
      </c>
      <c r="K2997" s="7" t="s">
        <v>312</v>
      </c>
      <c r="L2997" s="8">
        <v>20</v>
      </c>
      <c r="M2997" s="7">
        <f>IF(INDEX([1]equip.xml!$B:$B,MATCH(D2997,[1]equip.xml!$A:$A,0))=0,0,N2997)</f>
        <v>130</v>
      </c>
      <c r="N2997" s="8">
        <f t="shared" si="2968"/>
        <v>130</v>
      </c>
    </row>
    <row r="2998" spans="1:14">
      <c r="A2998" s="7">
        <f t="shared" si="2970"/>
        <v>20006</v>
      </c>
      <c r="B2998" s="8">
        <v>40000</v>
      </c>
      <c r="C2998" s="8" t="s">
        <v>132</v>
      </c>
      <c r="D2998" s="8">
        <v>50050075</v>
      </c>
      <c r="E2998" s="8" t="s">
        <v>175</v>
      </c>
      <c r="F2998" s="8">
        <v>1</v>
      </c>
      <c r="G2998" s="8">
        <f>3*INDEX([1]equip.xml!$I:$I,MATCH(D2998,[1]equip.xml!$A:$A,0))</f>
        <v>30000</v>
      </c>
      <c r="H2998" s="8" t="str">
        <f t="shared" ref="H2998:J3013" si="2972">H2910</f>
        <v>10_10,50_20,80_30</v>
      </c>
      <c r="I2998" s="8">
        <v>12</v>
      </c>
      <c r="J2998" s="8">
        <f t="shared" si="2972"/>
        <v>240</v>
      </c>
      <c r="K2998" s="7" t="s">
        <v>312</v>
      </c>
      <c r="L2998" s="8">
        <v>20</v>
      </c>
      <c r="M2998" s="7">
        <f>IF(INDEX([1]equip.xml!$B:$B,MATCH(D2998,[1]equip.xml!$A:$A,0))=0,0,N2998)</f>
        <v>130</v>
      </c>
      <c r="N2998" s="8">
        <f t="shared" si="2968"/>
        <v>130</v>
      </c>
    </row>
    <row r="2999" spans="1:14">
      <c r="A2999" s="7">
        <f t="shared" si="2970"/>
        <v>20006</v>
      </c>
      <c r="B2999" s="8">
        <v>40000</v>
      </c>
      <c r="C2999" s="8" t="s">
        <v>132</v>
      </c>
      <c r="D2999" s="8">
        <v>50050076</v>
      </c>
      <c r="E2999" s="8" t="s">
        <v>176</v>
      </c>
      <c r="F2999" s="8">
        <v>1</v>
      </c>
      <c r="G2999" s="8">
        <f>3*INDEX([1]equip.xml!$I:$I,MATCH(D2999,[1]equip.xml!$A:$A,0))</f>
        <v>48000</v>
      </c>
      <c r="H2999" s="8" t="str">
        <f t="shared" si="2972"/>
        <v>10_10,50_20,80_30</v>
      </c>
      <c r="I2999" s="8">
        <v>12</v>
      </c>
      <c r="J2999" s="8">
        <f t="shared" si="2972"/>
        <v>240</v>
      </c>
      <c r="K2999" s="7" t="s">
        <v>312</v>
      </c>
      <c r="L2999" s="8">
        <v>20</v>
      </c>
      <c r="M2999" s="7">
        <f>IF(INDEX([1]equip.xml!$B:$B,MATCH(D2999,[1]equip.xml!$A:$A,0))=0,0,N2999)</f>
        <v>130</v>
      </c>
      <c r="N2999" s="8">
        <f t="shared" si="2968"/>
        <v>130</v>
      </c>
    </row>
    <row r="3000" spans="1:14">
      <c r="A3000" s="7">
        <f t="shared" si="2970"/>
        <v>20006</v>
      </c>
      <c r="B3000" s="8">
        <v>40000</v>
      </c>
      <c r="C3000" s="8" t="s">
        <v>132</v>
      </c>
      <c r="D3000" s="8">
        <v>50100015</v>
      </c>
      <c r="E3000" s="8" t="s">
        <v>221</v>
      </c>
      <c r="F3000" s="8">
        <v>1</v>
      </c>
      <c r="G3000" s="8">
        <f>3*INDEX([1]equip.xml!$I:$I,MATCH(D3000,[1]equip.xml!$A:$A,0))</f>
        <v>60000</v>
      </c>
      <c r="H3000" s="8" t="str">
        <f t="shared" si="2972"/>
        <v>10_10,50_20,80_30</v>
      </c>
      <c r="I3000" s="8">
        <v>12</v>
      </c>
      <c r="J3000" s="8">
        <f t="shared" si="2972"/>
        <v>240</v>
      </c>
      <c r="K3000" s="7" t="s">
        <v>312</v>
      </c>
      <c r="L3000" s="8">
        <v>20</v>
      </c>
      <c r="M3000" s="7">
        <f>IF(INDEX([1]equip.xml!$B:$B,MATCH(D3000,[1]equip.xml!$A:$A,0))=0,0,N3000)</f>
        <v>65</v>
      </c>
      <c r="N3000" s="8">
        <f t="shared" si="2968"/>
        <v>65</v>
      </c>
    </row>
    <row r="3001" spans="1:14">
      <c r="A3001" s="7">
        <f t="shared" si="2970"/>
        <v>20006</v>
      </c>
      <c r="B3001" s="8">
        <v>40000</v>
      </c>
      <c r="C3001" s="8" t="s">
        <v>132</v>
      </c>
      <c r="D3001" s="8">
        <v>50100025</v>
      </c>
      <c r="E3001" s="8" t="s">
        <v>222</v>
      </c>
      <c r="F3001" s="8">
        <v>1</v>
      </c>
      <c r="G3001" s="8">
        <f>3*INDEX([1]equip.xml!$I:$I,MATCH(D3001,[1]equip.xml!$A:$A,0))</f>
        <v>60000</v>
      </c>
      <c r="H3001" s="8" t="str">
        <f t="shared" si="2972"/>
        <v>10_10,50_20,80_30</v>
      </c>
      <c r="I3001" s="8">
        <v>12</v>
      </c>
      <c r="J3001" s="8">
        <f t="shared" si="2972"/>
        <v>240</v>
      </c>
      <c r="K3001" s="7" t="s">
        <v>312</v>
      </c>
      <c r="L3001" s="8">
        <v>20</v>
      </c>
      <c r="M3001" s="7">
        <f>IF(INDEX([1]equip.xml!$B:$B,MATCH(D3001,[1]equip.xml!$A:$A,0))=0,0,N3001)</f>
        <v>65</v>
      </c>
      <c r="N3001" s="8">
        <f t="shared" si="2968"/>
        <v>65</v>
      </c>
    </row>
    <row r="3002" spans="1:14">
      <c r="A3002" s="7">
        <f t="shared" si="2970"/>
        <v>20006</v>
      </c>
      <c r="B3002" s="8">
        <v>40000</v>
      </c>
      <c r="C3002" s="8" t="s">
        <v>132</v>
      </c>
      <c r="D3002" s="8">
        <v>50100035</v>
      </c>
      <c r="E3002" s="8" t="s">
        <v>223</v>
      </c>
      <c r="F3002" s="8">
        <v>1</v>
      </c>
      <c r="G3002" s="8">
        <f>3*INDEX([1]equip.xml!$I:$I,MATCH(D3002,[1]equip.xml!$A:$A,0))</f>
        <v>60000</v>
      </c>
      <c r="H3002" s="8" t="str">
        <f t="shared" si="2972"/>
        <v>10_10,50_20,80_30</v>
      </c>
      <c r="I3002" s="8">
        <v>12</v>
      </c>
      <c r="J3002" s="8">
        <f t="shared" si="2972"/>
        <v>240</v>
      </c>
      <c r="K3002" s="7" t="s">
        <v>312</v>
      </c>
      <c r="L3002" s="8">
        <v>20</v>
      </c>
      <c r="M3002" s="7">
        <f>IF(INDEX([1]equip.xml!$B:$B,MATCH(D3002,[1]equip.xml!$A:$A,0))=0,0,N3002)</f>
        <v>65</v>
      </c>
      <c r="N3002" s="8">
        <f t="shared" si="2968"/>
        <v>65</v>
      </c>
    </row>
    <row r="3003" spans="1:14">
      <c r="A3003" s="7">
        <f t="shared" si="2970"/>
        <v>20006</v>
      </c>
      <c r="B3003" s="8">
        <v>40000</v>
      </c>
      <c r="C3003" s="8" t="s">
        <v>132</v>
      </c>
      <c r="D3003" s="8">
        <v>50100085</v>
      </c>
      <c r="E3003" s="8" t="s">
        <v>224</v>
      </c>
      <c r="F3003" s="8">
        <v>1</v>
      </c>
      <c r="G3003" s="8">
        <f>3*INDEX([1]equip.xml!$I:$I,MATCH(D3003,[1]equip.xml!$A:$A,0))</f>
        <v>60000</v>
      </c>
      <c r="H3003" s="8" t="str">
        <f t="shared" si="2972"/>
        <v>10_10,50_20,80_30</v>
      </c>
      <c r="I3003" s="8">
        <v>12</v>
      </c>
      <c r="J3003" s="8">
        <f t="shared" si="2972"/>
        <v>240</v>
      </c>
      <c r="K3003" s="7" t="s">
        <v>312</v>
      </c>
      <c r="L3003" s="8">
        <v>20</v>
      </c>
      <c r="M3003" s="7">
        <f>IF(INDEX([1]equip.xml!$B:$B,MATCH(D3003,[1]equip.xml!$A:$A,0))=0,0,N3003)</f>
        <v>65</v>
      </c>
      <c r="N3003" s="8">
        <f t="shared" si="2968"/>
        <v>65</v>
      </c>
    </row>
    <row r="3004" spans="1:14">
      <c r="A3004" s="7">
        <f t="shared" si="2970"/>
        <v>20006</v>
      </c>
      <c r="B3004" s="8">
        <v>40000</v>
      </c>
      <c r="C3004" s="8" t="s">
        <v>132</v>
      </c>
      <c r="D3004" s="8">
        <v>50100095</v>
      </c>
      <c r="E3004" s="8" t="s">
        <v>225</v>
      </c>
      <c r="F3004" s="8">
        <v>1</v>
      </c>
      <c r="G3004" s="8">
        <f>3*INDEX([1]equip.xml!$I:$I,MATCH(D3004,[1]equip.xml!$A:$A,0))</f>
        <v>60000</v>
      </c>
      <c r="H3004" s="8" t="str">
        <f t="shared" si="2972"/>
        <v>10_10,50_20,80_30</v>
      </c>
      <c r="I3004" s="8">
        <v>12</v>
      </c>
      <c r="J3004" s="8">
        <f t="shared" si="2972"/>
        <v>240</v>
      </c>
      <c r="K3004" s="7" t="s">
        <v>312</v>
      </c>
      <c r="L3004" s="8">
        <v>20</v>
      </c>
      <c r="M3004" s="7">
        <f>IF(INDEX([1]equip.xml!$B:$B,MATCH(D3004,[1]equip.xml!$A:$A,0))=0,0,N3004)</f>
        <v>65</v>
      </c>
      <c r="N3004" s="8">
        <f t="shared" si="2968"/>
        <v>65</v>
      </c>
    </row>
    <row r="3005" spans="1:14">
      <c r="A3005" s="7">
        <f t="shared" si="2970"/>
        <v>20006</v>
      </c>
      <c r="B3005" s="8">
        <v>40000</v>
      </c>
      <c r="C3005" s="8" t="s">
        <v>132</v>
      </c>
      <c r="D3005" s="8">
        <v>50100105</v>
      </c>
      <c r="E3005" s="8" t="s">
        <v>226</v>
      </c>
      <c r="F3005" s="8">
        <v>1</v>
      </c>
      <c r="G3005" s="8">
        <f>3*INDEX([1]equip.xml!$I:$I,MATCH(D3005,[1]equip.xml!$A:$A,0))</f>
        <v>60000</v>
      </c>
      <c r="H3005" s="8" t="str">
        <f t="shared" si="2972"/>
        <v>10_10,50_20,80_30</v>
      </c>
      <c r="I3005" s="8">
        <v>12</v>
      </c>
      <c r="J3005" s="8">
        <f t="shared" si="2972"/>
        <v>240</v>
      </c>
      <c r="K3005" s="7" t="s">
        <v>312</v>
      </c>
      <c r="L3005" s="8">
        <v>20</v>
      </c>
      <c r="M3005" s="7">
        <f>IF(INDEX([1]equip.xml!$B:$B,MATCH(D3005,[1]equip.xml!$A:$A,0))=0,0,N3005)</f>
        <v>0</v>
      </c>
      <c r="N3005" s="8">
        <f t="shared" si="2968"/>
        <v>65</v>
      </c>
    </row>
    <row r="3006" spans="1:14">
      <c r="A3006" s="7">
        <f t="shared" si="2970"/>
        <v>20006</v>
      </c>
      <c r="B3006" s="8">
        <v>40000</v>
      </c>
      <c r="C3006" s="8" t="s">
        <v>132</v>
      </c>
      <c r="D3006" s="8">
        <v>50101055</v>
      </c>
      <c r="E3006" s="8" t="s">
        <v>227</v>
      </c>
      <c r="F3006" s="8">
        <v>1</v>
      </c>
      <c r="G3006" s="8">
        <f>3*INDEX([1]equip.xml!$I:$I,MATCH(D3006,[1]equip.xml!$A:$A,0))</f>
        <v>60000</v>
      </c>
      <c r="H3006" s="8" t="str">
        <f t="shared" si="2972"/>
        <v>10_10,50_20,80_30</v>
      </c>
      <c r="I3006" s="8">
        <v>12</v>
      </c>
      <c r="J3006" s="8">
        <f t="shared" si="2972"/>
        <v>240</v>
      </c>
      <c r="K3006" s="7" t="s">
        <v>312</v>
      </c>
      <c r="L3006" s="8">
        <v>20</v>
      </c>
      <c r="M3006" s="7">
        <f>IF(INDEX([1]equip.xml!$B:$B,MATCH(D3006,[1]equip.xml!$A:$A,0))=0,0,N3006)</f>
        <v>65</v>
      </c>
      <c r="N3006" s="8">
        <f t="shared" si="2968"/>
        <v>65</v>
      </c>
    </row>
    <row r="3007" spans="1:14">
      <c r="A3007" s="7">
        <f t="shared" si="2970"/>
        <v>20006</v>
      </c>
      <c r="B3007" s="8">
        <v>40000</v>
      </c>
      <c r="C3007" s="8" t="s">
        <v>132</v>
      </c>
      <c r="D3007" s="8">
        <v>50101056</v>
      </c>
      <c r="E3007" s="8" t="s">
        <v>228</v>
      </c>
      <c r="F3007" s="8">
        <v>1</v>
      </c>
      <c r="G3007" s="8">
        <f>3*INDEX([1]equip.xml!$I:$I,MATCH(D3007,[1]equip.xml!$A:$A,0))</f>
        <v>78000</v>
      </c>
      <c r="H3007" s="8" t="str">
        <f t="shared" si="2972"/>
        <v>10_10,50_20,80_30</v>
      </c>
      <c r="I3007" s="8">
        <v>12</v>
      </c>
      <c r="J3007" s="8">
        <f t="shared" si="2972"/>
        <v>240</v>
      </c>
      <c r="K3007" s="7" t="s">
        <v>312</v>
      </c>
      <c r="L3007" s="8">
        <v>20</v>
      </c>
      <c r="M3007" s="7">
        <f>IF(INDEX([1]equip.xml!$B:$B,MATCH(D3007,[1]equip.xml!$A:$A,0))=0,0,N3007)</f>
        <v>65</v>
      </c>
      <c r="N3007" s="8">
        <f t="shared" si="2968"/>
        <v>65</v>
      </c>
    </row>
    <row r="3008" spans="1:14">
      <c r="A3008" s="7">
        <f t="shared" si="2970"/>
        <v>20006</v>
      </c>
      <c r="B3008" s="8">
        <v>40000</v>
      </c>
      <c r="C3008" s="8" t="s">
        <v>132</v>
      </c>
      <c r="D3008" s="8">
        <v>50101065</v>
      </c>
      <c r="E3008" s="8" t="s">
        <v>229</v>
      </c>
      <c r="F3008" s="8">
        <v>1</v>
      </c>
      <c r="G3008" s="8">
        <f>3*INDEX([1]equip.xml!$I:$I,MATCH(D3008,[1]equip.xml!$A:$A,0))</f>
        <v>60000</v>
      </c>
      <c r="H3008" s="8" t="str">
        <f t="shared" si="2972"/>
        <v>10_10,50_20,80_30</v>
      </c>
      <c r="I3008" s="8">
        <v>12</v>
      </c>
      <c r="J3008" s="8">
        <f t="shared" si="2972"/>
        <v>240</v>
      </c>
      <c r="K3008" s="7" t="s">
        <v>312</v>
      </c>
      <c r="L3008" s="8">
        <v>20</v>
      </c>
      <c r="M3008" s="7">
        <f>IF(INDEX([1]equip.xml!$B:$B,MATCH(D3008,[1]equip.xml!$A:$A,0))=0,0,N3008)</f>
        <v>65</v>
      </c>
      <c r="N3008" s="8">
        <f t="shared" si="2968"/>
        <v>65</v>
      </c>
    </row>
    <row r="3009" spans="1:14">
      <c r="A3009" s="7">
        <f t="shared" si="2970"/>
        <v>20006</v>
      </c>
      <c r="B3009" s="8">
        <v>40000</v>
      </c>
      <c r="C3009" s="8" t="s">
        <v>132</v>
      </c>
      <c r="D3009" s="8">
        <v>50101066</v>
      </c>
      <c r="E3009" s="8" t="s">
        <v>230</v>
      </c>
      <c r="F3009" s="8">
        <v>1</v>
      </c>
      <c r="G3009" s="8">
        <f>3*INDEX([1]equip.xml!$I:$I,MATCH(D3009,[1]equip.xml!$A:$A,0))</f>
        <v>78000</v>
      </c>
      <c r="H3009" s="8" t="str">
        <f t="shared" si="2972"/>
        <v>10_10,50_20,80_30</v>
      </c>
      <c r="I3009" s="8">
        <v>12</v>
      </c>
      <c r="J3009" s="8">
        <f t="shared" si="2972"/>
        <v>240</v>
      </c>
      <c r="K3009" s="7" t="s">
        <v>312</v>
      </c>
      <c r="L3009" s="8">
        <v>20</v>
      </c>
      <c r="M3009" s="7">
        <f>IF(INDEX([1]equip.xml!$B:$B,MATCH(D3009,[1]equip.xml!$A:$A,0))=0,0,N3009)</f>
        <v>0</v>
      </c>
      <c r="N3009" s="8">
        <f t="shared" si="2968"/>
        <v>65</v>
      </c>
    </row>
    <row r="3010" spans="1:14">
      <c r="A3010" s="7">
        <f t="shared" si="2970"/>
        <v>20006</v>
      </c>
      <c r="B3010" s="8">
        <v>40000</v>
      </c>
      <c r="C3010" s="8" t="s">
        <v>132</v>
      </c>
      <c r="D3010" s="8">
        <v>50102055</v>
      </c>
      <c r="E3010" s="8" t="s">
        <v>231</v>
      </c>
      <c r="F3010" s="8">
        <v>1</v>
      </c>
      <c r="G3010" s="8">
        <f>3*INDEX([1]equip.xml!$I:$I,MATCH(D3010,[1]equip.xml!$A:$A,0))</f>
        <v>60000</v>
      </c>
      <c r="H3010" s="8" t="str">
        <f t="shared" si="2972"/>
        <v>10_10,50_20,80_30</v>
      </c>
      <c r="I3010" s="8">
        <v>12</v>
      </c>
      <c r="J3010" s="8">
        <f t="shared" si="2972"/>
        <v>240</v>
      </c>
      <c r="K3010" s="7" t="s">
        <v>312</v>
      </c>
      <c r="L3010" s="8">
        <v>20</v>
      </c>
      <c r="M3010" s="7">
        <f>IF(INDEX([1]equip.xml!$B:$B,MATCH(D3010,[1]equip.xml!$A:$A,0))=0,0,N3010)</f>
        <v>65</v>
      </c>
      <c r="N3010" s="8">
        <f t="shared" si="2968"/>
        <v>65</v>
      </c>
    </row>
    <row r="3011" spans="1:14">
      <c r="A3011" s="7">
        <f t="shared" si="2970"/>
        <v>20006</v>
      </c>
      <c r="B3011" s="8">
        <v>40000</v>
      </c>
      <c r="C3011" s="8" t="s">
        <v>132</v>
      </c>
      <c r="D3011" s="8">
        <v>50102056</v>
      </c>
      <c r="E3011" s="8" t="s">
        <v>232</v>
      </c>
      <c r="F3011" s="8">
        <v>1</v>
      </c>
      <c r="G3011" s="8">
        <f>3*INDEX([1]equip.xml!$I:$I,MATCH(D3011,[1]equip.xml!$A:$A,0))</f>
        <v>78000</v>
      </c>
      <c r="H3011" s="8" t="str">
        <f t="shared" si="2972"/>
        <v>10_10,50_20,80_30</v>
      </c>
      <c r="I3011" s="8">
        <v>12</v>
      </c>
      <c r="J3011" s="8">
        <f t="shared" si="2972"/>
        <v>240</v>
      </c>
      <c r="K3011" s="7" t="s">
        <v>312</v>
      </c>
      <c r="L3011" s="8">
        <v>20</v>
      </c>
      <c r="M3011" s="7">
        <f>IF(INDEX([1]equip.xml!$B:$B,MATCH(D3011,[1]equip.xml!$A:$A,0))=0,0,N3011)</f>
        <v>65</v>
      </c>
      <c r="N3011" s="8">
        <f t="shared" si="2968"/>
        <v>65</v>
      </c>
    </row>
    <row r="3012" spans="1:14">
      <c r="A3012" s="7">
        <f t="shared" si="2970"/>
        <v>20006</v>
      </c>
      <c r="B3012" s="8">
        <v>40000</v>
      </c>
      <c r="C3012" s="8" t="s">
        <v>132</v>
      </c>
      <c r="D3012" s="8">
        <v>50102065</v>
      </c>
      <c r="E3012" s="8" t="s">
        <v>233</v>
      </c>
      <c r="F3012" s="8">
        <v>1</v>
      </c>
      <c r="G3012" s="8">
        <f>3*INDEX([1]equip.xml!$I:$I,MATCH(D3012,[1]equip.xml!$A:$A,0))</f>
        <v>60000</v>
      </c>
      <c r="H3012" s="8" t="str">
        <f t="shared" si="2972"/>
        <v>10_10,50_20,80_30</v>
      </c>
      <c r="I3012" s="8">
        <v>12</v>
      </c>
      <c r="J3012" s="8">
        <f t="shared" si="2972"/>
        <v>240</v>
      </c>
      <c r="K3012" s="7" t="s">
        <v>312</v>
      </c>
      <c r="L3012" s="8">
        <v>20</v>
      </c>
      <c r="M3012" s="7">
        <f>IF(INDEX([1]equip.xml!$B:$B,MATCH(D3012,[1]equip.xml!$A:$A,0))=0,0,N3012)</f>
        <v>65</v>
      </c>
      <c r="N3012" s="8">
        <f t="shared" si="2968"/>
        <v>65</v>
      </c>
    </row>
    <row r="3013" spans="1:14">
      <c r="A3013" s="7">
        <f t="shared" si="2970"/>
        <v>20006</v>
      </c>
      <c r="B3013" s="8">
        <v>40000</v>
      </c>
      <c r="C3013" s="8" t="s">
        <v>132</v>
      </c>
      <c r="D3013" s="8">
        <v>50102066</v>
      </c>
      <c r="E3013" s="8" t="s">
        <v>234</v>
      </c>
      <c r="F3013" s="8">
        <v>1</v>
      </c>
      <c r="G3013" s="8">
        <f>3*INDEX([1]equip.xml!$I:$I,MATCH(D3013,[1]equip.xml!$A:$A,0))</f>
        <v>78000</v>
      </c>
      <c r="H3013" s="8" t="str">
        <f t="shared" si="2972"/>
        <v>10_10,50_20,80_30</v>
      </c>
      <c r="I3013" s="8">
        <v>12</v>
      </c>
      <c r="J3013" s="8">
        <f t="shared" si="2972"/>
        <v>240</v>
      </c>
      <c r="K3013" s="7" t="s">
        <v>312</v>
      </c>
      <c r="L3013" s="8">
        <v>20</v>
      </c>
      <c r="M3013" s="7">
        <f>IF(INDEX([1]equip.xml!$B:$B,MATCH(D3013,[1]equip.xml!$A:$A,0))=0,0,N3013)</f>
        <v>0</v>
      </c>
      <c r="N3013" s="8">
        <f t="shared" si="2968"/>
        <v>65</v>
      </c>
    </row>
    <row r="3014" spans="1:14">
      <c r="A3014" s="7">
        <f t="shared" si="2970"/>
        <v>20006</v>
      </c>
      <c r="B3014" s="8">
        <v>40000</v>
      </c>
      <c r="C3014" s="8" t="s">
        <v>132</v>
      </c>
      <c r="D3014" s="8">
        <v>50103055</v>
      </c>
      <c r="E3014" s="8" t="s">
        <v>235</v>
      </c>
      <c r="F3014" s="8">
        <v>1</v>
      </c>
      <c r="G3014" s="8">
        <f>3*INDEX([1]equip.xml!$I:$I,MATCH(D3014,[1]equip.xml!$A:$A,0))</f>
        <v>60000</v>
      </c>
      <c r="H3014" s="8" t="str">
        <f t="shared" ref="H3014:J3029" si="2973">H2926</f>
        <v>10_10,50_20,80_30</v>
      </c>
      <c r="I3014" s="8">
        <v>12</v>
      </c>
      <c r="J3014" s="8">
        <f t="shared" si="2973"/>
        <v>240</v>
      </c>
      <c r="K3014" s="7" t="s">
        <v>312</v>
      </c>
      <c r="L3014" s="8">
        <v>20</v>
      </c>
      <c r="M3014" s="7">
        <f>IF(INDEX([1]equip.xml!$B:$B,MATCH(D3014,[1]equip.xml!$A:$A,0))=0,0,N3014)</f>
        <v>65</v>
      </c>
      <c r="N3014" s="8">
        <f t="shared" ref="N3014:N3062" si="2974">N2926</f>
        <v>65</v>
      </c>
    </row>
    <row r="3015" spans="1:14">
      <c r="A3015" s="7">
        <f t="shared" si="2970"/>
        <v>20006</v>
      </c>
      <c r="B3015" s="8">
        <v>40000</v>
      </c>
      <c r="C3015" s="8" t="s">
        <v>132</v>
      </c>
      <c r="D3015" s="8">
        <v>50103056</v>
      </c>
      <c r="E3015" s="8" t="s">
        <v>236</v>
      </c>
      <c r="F3015" s="8">
        <v>1</v>
      </c>
      <c r="G3015" s="8">
        <f>3*INDEX([1]equip.xml!$I:$I,MATCH(D3015,[1]equip.xml!$A:$A,0))</f>
        <v>78000</v>
      </c>
      <c r="H3015" s="8" t="str">
        <f t="shared" si="2973"/>
        <v>10_10,50_20,80_30</v>
      </c>
      <c r="I3015" s="8">
        <v>12</v>
      </c>
      <c r="J3015" s="8">
        <f t="shared" si="2973"/>
        <v>240</v>
      </c>
      <c r="K3015" s="7" t="s">
        <v>312</v>
      </c>
      <c r="L3015" s="8">
        <v>20</v>
      </c>
      <c r="M3015" s="7">
        <f>IF(INDEX([1]equip.xml!$B:$B,MATCH(D3015,[1]equip.xml!$A:$A,0))=0,0,N3015)</f>
        <v>65</v>
      </c>
      <c r="N3015" s="8">
        <f t="shared" si="2974"/>
        <v>65</v>
      </c>
    </row>
    <row r="3016" spans="1:14">
      <c r="A3016" s="7">
        <f t="shared" si="2970"/>
        <v>20006</v>
      </c>
      <c r="B3016" s="8">
        <v>40000</v>
      </c>
      <c r="C3016" s="8" t="s">
        <v>132</v>
      </c>
      <c r="D3016" s="8">
        <v>50103065</v>
      </c>
      <c r="E3016" s="8" t="s">
        <v>237</v>
      </c>
      <c r="F3016" s="8">
        <v>1</v>
      </c>
      <c r="G3016" s="8">
        <f>3*INDEX([1]equip.xml!$I:$I,MATCH(D3016,[1]equip.xml!$A:$A,0))</f>
        <v>60000</v>
      </c>
      <c r="H3016" s="8" t="str">
        <f t="shared" si="2973"/>
        <v>10_10,50_20,80_30</v>
      </c>
      <c r="I3016" s="8">
        <v>12</v>
      </c>
      <c r="J3016" s="8">
        <f t="shared" si="2973"/>
        <v>240</v>
      </c>
      <c r="K3016" s="7" t="s">
        <v>312</v>
      </c>
      <c r="L3016" s="8">
        <v>20</v>
      </c>
      <c r="M3016" s="7">
        <f>IF(INDEX([1]equip.xml!$B:$B,MATCH(D3016,[1]equip.xml!$A:$A,0))=0,0,N3016)</f>
        <v>65</v>
      </c>
      <c r="N3016" s="8">
        <f t="shared" si="2974"/>
        <v>65</v>
      </c>
    </row>
    <row r="3017" spans="1:14">
      <c r="A3017" s="7">
        <f t="shared" si="2970"/>
        <v>20006</v>
      </c>
      <c r="B3017" s="8">
        <v>40000</v>
      </c>
      <c r="C3017" s="8" t="s">
        <v>132</v>
      </c>
      <c r="D3017" s="8">
        <v>50103066</v>
      </c>
      <c r="E3017" s="8" t="s">
        <v>238</v>
      </c>
      <c r="F3017" s="8">
        <v>1</v>
      </c>
      <c r="G3017" s="8">
        <f>3*INDEX([1]equip.xml!$I:$I,MATCH(D3017,[1]equip.xml!$A:$A,0))</f>
        <v>78000</v>
      </c>
      <c r="H3017" s="8" t="str">
        <f t="shared" si="2973"/>
        <v>10_10,50_20,80_30</v>
      </c>
      <c r="I3017" s="8">
        <v>12</v>
      </c>
      <c r="J3017" s="8">
        <f t="shared" si="2973"/>
        <v>240</v>
      </c>
      <c r="K3017" s="7" t="s">
        <v>312</v>
      </c>
      <c r="L3017" s="8">
        <v>20</v>
      </c>
      <c r="M3017" s="7">
        <f>IF(INDEX([1]equip.xml!$B:$B,MATCH(D3017,[1]equip.xml!$A:$A,0))=0,0,N3017)</f>
        <v>0</v>
      </c>
      <c r="N3017" s="8">
        <f t="shared" si="2974"/>
        <v>65</v>
      </c>
    </row>
    <row r="3018" spans="1:14">
      <c r="A3018" s="7">
        <f t="shared" si="2970"/>
        <v>20006</v>
      </c>
      <c r="B3018" s="8">
        <v>40000</v>
      </c>
      <c r="C3018" s="8" t="s">
        <v>132</v>
      </c>
      <c r="D3018" s="8">
        <v>50100045</v>
      </c>
      <c r="E3018" s="8" t="s">
        <v>239</v>
      </c>
      <c r="F3018" s="8">
        <v>1</v>
      </c>
      <c r="G3018" s="8">
        <f>3*INDEX([1]equip.xml!$I:$I,MATCH(D3018,[1]equip.xml!$A:$A,0))</f>
        <v>60000</v>
      </c>
      <c r="H3018" s="8" t="str">
        <f t="shared" si="2973"/>
        <v>10_10,50_20,80_30</v>
      </c>
      <c r="I3018" s="8">
        <v>12</v>
      </c>
      <c r="J3018" s="8">
        <f t="shared" si="2973"/>
        <v>240</v>
      </c>
      <c r="K3018" s="7" t="s">
        <v>312</v>
      </c>
      <c r="L3018" s="8">
        <v>20</v>
      </c>
      <c r="M3018" s="7">
        <f>IF(INDEX([1]equip.xml!$B:$B,MATCH(D3018,[1]equip.xml!$A:$A,0))=0,0,N3018)</f>
        <v>65</v>
      </c>
      <c r="N3018" s="8">
        <f t="shared" si="2974"/>
        <v>65</v>
      </c>
    </row>
    <row r="3019" spans="1:14">
      <c r="A3019" s="7">
        <f t="shared" si="2970"/>
        <v>20006</v>
      </c>
      <c r="B3019" s="8">
        <v>40000</v>
      </c>
      <c r="C3019" s="8" t="s">
        <v>132</v>
      </c>
      <c r="D3019" s="8">
        <v>50100046</v>
      </c>
      <c r="E3019" s="8" t="s">
        <v>240</v>
      </c>
      <c r="F3019" s="8">
        <v>1</v>
      </c>
      <c r="G3019" s="8">
        <f>3*INDEX([1]equip.xml!$I:$I,MATCH(D3019,[1]equip.xml!$A:$A,0))</f>
        <v>78000</v>
      </c>
      <c r="H3019" s="8" t="str">
        <f t="shared" si="2973"/>
        <v>10_10,50_20,80_30</v>
      </c>
      <c r="I3019" s="8">
        <v>12</v>
      </c>
      <c r="J3019" s="8">
        <f t="shared" si="2973"/>
        <v>240</v>
      </c>
      <c r="K3019" s="7" t="s">
        <v>312</v>
      </c>
      <c r="L3019" s="8">
        <v>20</v>
      </c>
      <c r="M3019" s="7">
        <f>IF(INDEX([1]equip.xml!$B:$B,MATCH(D3019,[1]equip.xml!$A:$A,0))=0,0,N3019)</f>
        <v>0</v>
      </c>
      <c r="N3019" s="8">
        <f t="shared" si="2974"/>
        <v>65</v>
      </c>
    </row>
    <row r="3020" spans="1:14">
      <c r="A3020" s="7">
        <f t="shared" si="2970"/>
        <v>20006</v>
      </c>
      <c r="B3020" s="8">
        <v>40000</v>
      </c>
      <c r="C3020" s="8" t="s">
        <v>132</v>
      </c>
      <c r="D3020" s="8">
        <v>50100075</v>
      </c>
      <c r="E3020" s="8" t="s">
        <v>241</v>
      </c>
      <c r="F3020" s="8">
        <v>1</v>
      </c>
      <c r="G3020" s="8">
        <f>3*INDEX([1]equip.xml!$I:$I,MATCH(D3020,[1]equip.xml!$A:$A,0))</f>
        <v>60000</v>
      </c>
      <c r="H3020" s="8" t="str">
        <f t="shared" si="2973"/>
        <v>10_10,50_20,80_30</v>
      </c>
      <c r="I3020" s="8">
        <v>12</v>
      </c>
      <c r="J3020" s="8">
        <f t="shared" si="2973"/>
        <v>240</v>
      </c>
      <c r="K3020" s="7" t="s">
        <v>312</v>
      </c>
      <c r="L3020" s="8">
        <v>20</v>
      </c>
      <c r="M3020" s="7">
        <f>IF(INDEX([1]equip.xml!$B:$B,MATCH(D3020,[1]equip.xml!$A:$A,0))=0,0,N3020)</f>
        <v>65</v>
      </c>
      <c r="N3020" s="8">
        <f t="shared" si="2974"/>
        <v>65</v>
      </c>
    </row>
    <row r="3021" spans="1:14">
      <c r="A3021" s="7">
        <f t="shared" si="2970"/>
        <v>20006</v>
      </c>
      <c r="B3021" s="8">
        <v>40000</v>
      </c>
      <c r="C3021" s="8" t="s">
        <v>132</v>
      </c>
      <c r="D3021" s="8">
        <v>50100076</v>
      </c>
      <c r="E3021" s="8" t="s">
        <v>242</v>
      </c>
      <c r="F3021" s="8">
        <v>1</v>
      </c>
      <c r="G3021" s="8">
        <f>3*INDEX([1]equip.xml!$I:$I,MATCH(D3021,[1]equip.xml!$A:$A,0))</f>
        <v>78000</v>
      </c>
      <c r="H3021" s="8" t="str">
        <f t="shared" si="2973"/>
        <v>10_10,50_20,80_30</v>
      </c>
      <c r="I3021" s="8">
        <v>12</v>
      </c>
      <c r="J3021" s="8">
        <f t="shared" si="2973"/>
        <v>240</v>
      </c>
      <c r="K3021" s="7" t="s">
        <v>312</v>
      </c>
      <c r="L3021" s="8">
        <v>20</v>
      </c>
      <c r="M3021" s="7">
        <f>IF(INDEX([1]equip.xml!$B:$B,MATCH(D3021,[1]equip.xml!$A:$A,0))=0,0,N3021)</f>
        <v>0</v>
      </c>
      <c r="N3021" s="8">
        <f t="shared" si="2974"/>
        <v>65</v>
      </c>
    </row>
    <row r="3022" spans="1:14">
      <c r="A3022" s="7">
        <f t="shared" si="2970"/>
        <v>20007</v>
      </c>
      <c r="B3022" s="7">
        <f>B2934</f>
        <v>40000</v>
      </c>
      <c r="C3022" s="7" t="str">
        <f>C2934</f>
        <v>装备</v>
      </c>
      <c r="D3022" s="7" t="s">
        <v>177</v>
      </c>
      <c r="E3022" s="7"/>
      <c r="F3022" s="7">
        <v>1</v>
      </c>
      <c r="G3022" s="7">
        <f>3*INDEX([1]equip.xml!$I:$I,MATCH(D3022&amp;"",[1]equip.xml!$A:$A,0))</f>
        <v>30000</v>
      </c>
      <c r="H3022" s="7" t="str">
        <f t="shared" si="2973"/>
        <v>10_10,50_20,80_30</v>
      </c>
      <c r="I3022" s="7">
        <v>11</v>
      </c>
      <c r="J3022" s="7">
        <f t="shared" si="2973"/>
        <v>50</v>
      </c>
      <c r="K3022" s="7" t="s">
        <v>312</v>
      </c>
      <c r="L3022" s="7">
        <v>22</v>
      </c>
      <c r="M3022" s="7">
        <f>IF(INDEX([1]equip.xml!$B:$B,MATCH(D3022&amp;"",[1]equip.xml!$A:$A,0))=0,0,N3022)</f>
        <v>130</v>
      </c>
      <c r="N3022" s="7">
        <f t="shared" si="2974"/>
        <v>130</v>
      </c>
    </row>
    <row r="3023" spans="1:14">
      <c r="A3023" s="7">
        <f t="shared" si="2970"/>
        <v>20007</v>
      </c>
      <c r="B3023" s="7">
        <f t="shared" ref="B3023:C3023" si="2975">B2935</f>
        <v>40000</v>
      </c>
      <c r="C3023" s="7" t="str">
        <f t="shared" si="2975"/>
        <v>装备</v>
      </c>
      <c r="D3023" s="7" t="s">
        <v>179</v>
      </c>
      <c r="E3023" s="7"/>
      <c r="F3023" s="7">
        <v>1</v>
      </c>
      <c r="G3023" s="7">
        <f>3*INDEX([1]equip.xml!$I:$I,MATCH(D3023&amp;"",[1]equip.xml!$A:$A,0))</f>
        <v>30000</v>
      </c>
      <c r="H3023" s="7" t="str">
        <f t="shared" si="2973"/>
        <v>10_10,50_20,80_30</v>
      </c>
      <c r="I3023" s="7">
        <v>11</v>
      </c>
      <c r="J3023" s="7">
        <f t="shared" si="2973"/>
        <v>50</v>
      </c>
      <c r="K3023" s="7" t="s">
        <v>312</v>
      </c>
      <c r="L3023" s="7">
        <v>22</v>
      </c>
      <c r="M3023" s="7">
        <f>IF(INDEX([1]equip.xml!$B:$B,MATCH(D3023&amp;"",[1]equip.xml!$A:$A,0))=0,0,N3023)</f>
        <v>130</v>
      </c>
      <c r="N3023" s="7">
        <f t="shared" si="2974"/>
        <v>130</v>
      </c>
    </row>
    <row r="3024" spans="1:14">
      <c r="A3024" s="7">
        <f t="shared" si="2970"/>
        <v>20007</v>
      </c>
      <c r="B3024" s="7">
        <f t="shared" ref="B3024:C3024" si="2976">B2936</f>
        <v>40000</v>
      </c>
      <c r="C3024" s="7" t="str">
        <f t="shared" si="2976"/>
        <v>装备</v>
      </c>
      <c r="D3024" s="7" t="s">
        <v>181</v>
      </c>
      <c r="E3024" s="7"/>
      <c r="F3024" s="7">
        <v>1</v>
      </c>
      <c r="G3024" s="7">
        <f>3*INDEX([1]equip.xml!$I:$I,MATCH(D3024&amp;"",[1]equip.xml!$A:$A,0))</f>
        <v>30000</v>
      </c>
      <c r="H3024" s="7" t="str">
        <f t="shared" si="2973"/>
        <v>10_10,50_20,80_30</v>
      </c>
      <c r="I3024" s="7">
        <v>11</v>
      </c>
      <c r="J3024" s="7">
        <f t="shared" si="2973"/>
        <v>50</v>
      </c>
      <c r="K3024" s="7" t="s">
        <v>312</v>
      </c>
      <c r="L3024" s="7">
        <v>22</v>
      </c>
      <c r="M3024" s="7">
        <f>IF(INDEX([1]equip.xml!$B:$B,MATCH(D3024&amp;"",[1]equip.xml!$A:$A,0))=0,0,N3024)</f>
        <v>130</v>
      </c>
      <c r="N3024" s="7">
        <f t="shared" si="2974"/>
        <v>130</v>
      </c>
    </row>
    <row r="3025" spans="1:14">
      <c r="A3025" s="7">
        <f t="shared" si="2970"/>
        <v>20007</v>
      </c>
      <c r="B3025" s="7">
        <f t="shared" ref="B3025:C3025" si="2977">B2937</f>
        <v>40000</v>
      </c>
      <c r="C3025" s="7" t="str">
        <f t="shared" si="2977"/>
        <v>装备</v>
      </c>
      <c r="D3025" s="7" t="s">
        <v>183</v>
      </c>
      <c r="E3025" s="7"/>
      <c r="F3025" s="7">
        <v>1</v>
      </c>
      <c r="G3025" s="7">
        <f>3*INDEX([1]equip.xml!$I:$I,MATCH(D3025&amp;"",[1]equip.xml!$A:$A,0))</f>
        <v>30000</v>
      </c>
      <c r="H3025" s="7" t="str">
        <f t="shared" si="2973"/>
        <v>10_10,50_20,80_30</v>
      </c>
      <c r="I3025" s="7">
        <v>11</v>
      </c>
      <c r="J3025" s="7">
        <f t="shared" si="2973"/>
        <v>50</v>
      </c>
      <c r="K3025" s="7" t="s">
        <v>312</v>
      </c>
      <c r="L3025" s="7">
        <v>22</v>
      </c>
      <c r="M3025" s="7">
        <f>IF(INDEX([1]equip.xml!$B:$B,MATCH(D3025&amp;"",[1]equip.xml!$A:$A,0))=0,0,N3025)</f>
        <v>130</v>
      </c>
      <c r="N3025" s="7">
        <f t="shared" si="2974"/>
        <v>130</v>
      </c>
    </row>
    <row r="3026" spans="1:14">
      <c r="A3026" s="7">
        <f t="shared" si="2970"/>
        <v>20007</v>
      </c>
      <c r="B3026" s="7">
        <f t="shared" ref="B3026:C3026" si="2978">B2938</f>
        <v>40000</v>
      </c>
      <c r="C3026" s="7" t="str">
        <f t="shared" si="2978"/>
        <v>装备</v>
      </c>
      <c r="D3026" s="7" t="s">
        <v>185</v>
      </c>
      <c r="E3026" s="7"/>
      <c r="F3026" s="7">
        <v>1</v>
      </c>
      <c r="G3026" s="7">
        <f>3*INDEX([1]equip.xml!$I:$I,MATCH(D3026&amp;"",[1]equip.xml!$A:$A,0))</f>
        <v>30000</v>
      </c>
      <c r="H3026" s="7" t="str">
        <f t="shared" si="2973"/>
        <v>10_10,50_20,80_30</v>
      </c>
      <c r="I3026" s="7">
        <v>11</v>
      </c>
      <c r="J3026" s="7">
        <f t="shared" si="2973"/>
        <v>50</v>
      </c>
      <c r="K3026" s="7" t="s">
        <v>312</v>
      </c>
      <c r="L3026" s="7">
        <v>22</v>
      </c>
      <c r="M3026" s="7">
        <f>IF(INDEX([1]equip.xml!$B:$B,MATCH(D3026&amp;"",[1]equip.xml!$A:$A,0))=0,0,N3026)</f>
        <v>130</v>
      </c>
      <c r="N3026" s="7">
        <f t="shared" si="2974"/>
        <v>130</v>
      </c>
    </row>
    <row r="3027" spans="1:14">
      <c r="A3027" s="7">
        <f t="shared" si="2970"/>
        <v>20007</v>
      </c>
      <c r="B3027" s="7">
        <f t="shared" ref="B3027:C3027" si="2979">B2939</f>
        <v>40000</v>
      </c>
      <c r="C3027" s="7" t="str">
        <f t="shared" si="2979"/>
        <v>装备</v>
      </c>
      <c r="D3027" s="7" t="s">
        <v>187</v>
      </c>
      <c r="E3027" s="7"/>
      <c r="F3027" s="7">
        <v>1</v>
      </c>
      <c r="G3027" s="7">
        <f>3*INDEX([1]equip.xml!$I:$I,MATCH(D3027&amp;"",[1]equip.xml!$A:$A,0))</f>
        <v>30000</v>
      </c>
      <c r="H3027" s="7" t="str">
        <f t="shared" si="2973"/>
        <v>10_10,50_20,80_30</v>
      </c>
      <c r="I3027" s="7">
        <v>11</v>
      </c>
      <c r="J3027" s="7">
        <f t="shared" si="2973"/>
        <v>50</v>
      </c>
      <c r="K3027" s="7" t="s">
        <v>312</v>
      </c>
      <c r="L3027" s="7">
        <v>22</v>
      </c>
      <c r="M3027" s="7">
        <f>IF(INDEX([1]equip.xml!$B:$B,MATCH(D3027&amp;"",[1]equip.xml!$A:$A,0))=0,0,N3027)</f>
        <v>0</v>
      </c>
      <c r="N3027" s="7">
        <f t="shared" si="2974"/>
        <v>130</v>
      </c>
    </row>
    <row r="3028" spans="1:14">
      <c r="A3028" s="7">
        <f t="shared" si="2970"/>
        <v>20007</v>
      </c>
      <c r="B3028" s="7">
        <f t="shared" ref="B3028:C3028" si="2980">B2940</f>
        <v>40000</v>
      </c>
      <c r="C3028" s="7" t="str">
        <f t="shared" si="2980"/>
        <v>装备</v>
      </c>
      <c r="D3028" s="7" t="s">
        <v>189</v>
      </c>
      <c r="E3028" s="7"/>
      <c r="F3028" s="7">
        <v>1</v>
      </c>
      <c r="G3028" s="7">
        <f>3*INDEX([1]equip.xml!$I:$I,MATCH(D3028&amp;"",[1]equip.xml!$A:$A,0))</f>
        <v>30000</v>
      </c>
      <c r="H3028" s="7" t="str">
        <f t="shared" si="2973"/>
        <v>10_10,50_20,80_30</v>
      </c>
      <c r="I3028" s="7">
        <v>11</v>
      </c>
      <c r="J3028" s="7">
        <f t="shared" si="2973"/>
        <v>50</v>
      </c>
      <c r="K3028" s="7" t="s">
        <v>312</v>
      </c>
      <c r="L3028" s="7">
        <v>22</v>
      </c>
      <c r="M3028" s="7">
        <f>IF(INDEX([1]equip.xml!$B:$B,MATCH(D3028&amp;"",[1]equip.xml!$A:$A,0))=0,0,N3028)</f>
        <v>130</v>
      </c>
      <c r="N3028" s="7">
        <f t="shared" si="2974"/>
        <v>130</v>
      </c>
    </row>
    <row r="3029" spans="1:14">
      <c r="A3029" s="7">
        <f t="shared" si="2970"/>
        <v>20007</v>
      </c>
      <c r="B3029" s="7">
        <f t="shared" ref="B3029:C3029" si="2981">B2941</f>
        <v>40000</v>
      </c>
      <c r="C3029" s="7" t="str">
        <f t="shared" si="2981"/>
        <v>装备</v>
      </c>
      <c r="D3029" s="7" t="s">
        <v>191</v>
      </c>
      <c r="E3029" s="7"/>
      <c r="F3029" s="7">
        <v>1</v>
      </c>
      <c r="G3029" s="7">
        <f>3*INDEX([1]equip.xml!$I:$I,MATCH(D3029&amp;"",[1]equip.xml!$A:$A,0))</f>
        <v>39000</v>
      </c>
      <c r="H3029" s="7" t="str">
        <f t="shared" si="2973"/>
        <v>10_10,50_20,80_30</v>
      </c>
      <c r="I3029" s="7">
        <v>11</v>
      </c>
      <c r="J3029" s="7">
        <f t="shared" si="2973"/>
        <v>50</v>
      </c>
      <c r="K3029" s="7" t="s">
        <v>312</v>
      </c>
      <c r="L3029" s="7">
        <v>22</v>
      </c>
      <c r="M3029" s="7">
        <f>IF(INDEX([1]equip.xml!$B:$B,MATCH(D3029&amp;"",[1]equip.xml!$A:$A,0))=0,0,N3029)</f>
        <v>130</v>
      </c>
      <c r="N3029" s="7">
        <f t="shared" si="2974"/>
        <v>130</v>
      </c>
    </row>
    <row r="3030" spans="1:14">
      <c r="A3030" s="7">
        <f t="shared" si="2970"/>
        <v>20007</v>
      </c>
      <c r="B3030" s="7">
        <f t="shared" ref="B3030:C3030" si="2982">B2942</f>
        <v>40000</v>
      </c>
      <c r="C3030" s="7" t="str">
        <f t="shared" si="2982"/>
        <v>装备</v>
      </c>
      <c r="D3030" s="7" t="s">
        <v>193</v>
      </c>
      <c r="E3030" s="7"/>
      <c r="F3030" s="7">
        <v>1</v>
      </c>
      <c r="G3030" s="7">
        <f>3*INDEX([1]equip.xml!$I:$I,MATCH(D3030&amp;"",[1]equip.xml!$A:$A,0))</f>
        <v>30000</v>
      </c>
      <c r="H3030" s="7" t="str">
        <f t="shared" ref="H3030:J3045" si="2983">H2942</f>
        <v>10_10,50_20,80_30</v>
      </c>
      <c r="I3030" s="7">
        <v>11</v>
      </c>
      <c r="J3030" s="7">
        <f t="shared" si="2983"/>
        <v>50</v>
      </c>
      <c r="K3030" s="7" t="s">
        <v>312</v>
      </c>
      <c r="L3030" s="7">
        <v>22</v>
      </c>
      <c r="M3030" s="7">
        <f>IF(INDEX([1]equip.xml!$B:$B,MATCH(D3030&amp;"",[1]equip.xml!$A:$A,0))=0,0,N3030)</f>
        <v>130</v>
      </c>
      <c r="N3030" s="7">
        <f t="shared" si="2974"/>
        <v>130</v>
      </c>
    </row>
    <row r="3031" spans="1:14">
      <c r="A3031" s="7">
        <f t="shared" si="2970"/>
        <v>20007</v>
      </c>
      <c r="B3031" s="7">
        <f t="shared" ref="B3031:C3031" si="2984">B2943</f>
        <v>40000</v>
      </c>
      <c r="C3031" s="7" t="str">
        <f t="shared" si="2984"/>
        <v>装备</v>
      </c>
      <c r="D3031" s="7" t="s">
        <v>195</v>
      </c>
      <c r="E3031" s="7"/>
      <c r="F3031" s="7">
        <v>1</v>
      </c>
      <c r="G3031" s="7">
        <f>3*INDEX([1]equip.xml!$I:$I,MATCH(D3031&amp;"",[1]equip.xml!$A:$A,0))</f>
        <v>39000</v>
      </c>
      <c r="H3031" s="7" t="str">
        <f t="shared" si="2983"/>
        <v>10_10,50_20,80_30</v>
      </c>
      <c r="I3031" s="7">
        <v>11</v>
      </c>
      <c r="J3031" s="7">
        <f t="shared" si="2983"/>
        <v>50</v>
      </c>
      <c r="K3031" s="7" t="s">
        <v>312</v>
      </c>
      <c r="L3031" s="7">
        <v>22</v>
      </c>
      <c r="M3031" s="7">
        <f>IF(INDEX([1]equip.xml!$B:$B,MATCH(D3031&amp;"",[1]equip.xml!$A:$A,0))=0,0,N3031)</f>
        <v>0</v>
      </c>
      <c r="N3031" s="7">
        <f t="shared" si="2974"/>
        <v>130</v>
      </c>
    </row>
    <row r="3032" spans="1:14">
      <c r="A3032" s="7">
        <f t="shared" si="2970"/>
        <v>20007</v>
      </c>
      <c r="B3032" s="7">
        <f t="shared" ref="B3032:C3032" si="2985">B2944</f>
        <v>40000</v>
      </c>
      <c r="C3032" s="7" t="str">
        <f t="shared" si="2985"/>
        <v>装备</v>
      </c>
      <c r="D3032" s="7" t="s">
        <v>197</v>
      </c>
      <c r="E3032" s="7"/>
      <c r="F3032" s="7">
        <v>1</v>
      </c>
      <c r="G3032" s="7">
        <f>3*INDEX([1]equip.xml!$I:$I,MATCH(D3032&amp;"",[1]equip.xml!$A:$A,0))</f>
        <v>30000</v>
      </c>
      <c r="H3032" s="7" t="str">
        <f t="shared" si="2983"/>
        <v>10_10,50_20,80_30</v>
      </c>
      <c r="I3032" s="7">
        <v>11</v>
      </c>
      <c r="J3032" s="7">
        <f t="shared" si="2983"/>
        <v>50</v>
      </c>
      <c r="K3032" s="7" t="s">
        <v>312</v>
      </c>
      <c r="L3032" s="7">
        <v>22</v>
      </c>
      <c r="M3032" s="7">
        <f>IF(INDEX([1]equip.xml!$B:$B,MATCH(D3032&amp;"",[1]equip.xml!$A:$A,0))=0,0,N3032)</f>
        <v>130</v>
      </c>
      <c r="N3032" s="7">
        <f t="shared" si="2974"/>
        <v>130</v>
      </c>
    </row>
    <row r="3033" spans="1:14">
      <c r="A3033" s="7">
        <f t="shared" si="2970"/>
        <v>20007</v>
      </c>
      <c r="B3033" s="7">
        <f t="shared" ref="B3033:C3033" si="2986">B2945</f>
        <v>40000</v>
      </c>
      <c r="C3033" s="7" t="str">
        <f t="shared" si="2986"/>
        <v>装备</v>
      </c>
      <c r="D3033" s="7" t="s">
        <v>199</v>
      </c>
      <c r="E3033" s="7"/>
      <c r="F3033" s="7">
        <v>1</v>
      </c>
      <c r="G3033" s="7">
        <f>3*INDEX([1]equip.xml!$I:$I,MATCH(D3033&amp;"",[1]equip.xml!$A:$A,0))</f>
        <v>39000</v>
      </c>
      <c r="H3033" s="7" t="str">
        <f t="shared" si="2983"/>
        <v>10_10,50_20,80_30</v>
      </c>
      <c r="I3033" s="7">
        <v>11</v>
      </c>
      <c r="J3033" s="7">
        <f t="shared" si="2983"/>
        <v>50</v>
      </c>
      <c r="K3033" s="7" t="s">
        <v>312</v>
      </c>
      <c r="L3033" s="7">
        <v>22</v>
      </c>
      <c r="M3033" s="7">
        <f>IF(INDEX([1]equip.xml!$B:$B,MATCH(D3033&amp;"",[1]equip.xml!$A:$A,0))=0,0,N3033)</f>
        <v>130</v>
      </c>
      <c r="N3033" s="7">
        <f t="shared" si="2974"/>
        <v>130</v>
      </c>
    </row>
    <row r="3034" spans="1:14">
      <c r="A3034" s="7">
        <f t="shared" si="2970"/>
        <v>20007</v>
      </c>
      <c r="B3034" s="7">
        <f t="shared" ref="B3034:C3034" si="2987">B2946</f>
        <v>40000</v>
      </c>
      <c r="C3034" s="7" t="str">
        <f t="shared" si="2987"/>
        <v>装备</v>
      </c>
      <c r="D3034" s="7" t="s">
        <v>201</v>
      </c>
      <c r="E3034" s="7"/>
      <c r="F3034" s="7">
        <v>1</v>
      </c>
      <c r="G3034" s="7">
        <f>3*INDEX([1]equip.xml!$I:$I,MATCH(D3034&amp;"",[1]equip.xml!$A:$A,0))</f>
        <v>30000</v>
      </c>
      <c r="H3034" s="7" t="str">
        <f t="shared" si="2983"/>
        <v>10_10,50_20,80_30</v>
      </c>
      <c r="I3034" s="7">
        <v>11</v>
      </c>
      <c r="J3034" s="7">
        <f t="shared" si="2983"/>
        <v>50</v>
      </c>
      <c r="K3034" s="7" t="s">
        <v>312</v>
      </c>
      <c r="L3034" s="7">
        <v>22</v>
      </c>
      <c r="M3034" s="7">
        <f>IF(INDEX([1]equip.xml!$B:$B,MATCH(D3034&amp;"",[1]equip.xml!$A:$A,0))=0,0,N3034)</f>
        <v>130</v>
      </c>
      <c r="N3034" s="7">
        <f t="shared" si="2974"/>
        <v>130</v>
      </c>
    </row>
    <row r="3035" spans="1:14">
      <c r="A3035" s="7">
        <f t="shared" si="2970"/>
        <v>20007</v>
      </c>
      <c r="B3035" s="7">
        <f t="shared" ref="B3035:C3035" si="2988">B2947</f>
        <v>40000</v>
      </c>
      <c r="C3035" s="7" t="str">
        <f t="shared" si="2988"/>
        <v>装备</v>
      </c>
      <c r="D3035" s="7" t="s">
        <v>203</v>
      </c>
      <c r="E3035" s="7"/>
      <c r="F3035" s="7">
        <v>1</v>
      </c>
      <c r="G3035" s="7">
        <f>3*INDEX([1]equip.xml!$I:$I,MATCH(D3035&amp;"",[1]equip.xml!$A:$A,0))</f>
        <v>39000</v>
      </c>
      <c r="H3035" s="7" t="str">
        <f t="shared" si="2983"/>
        <v>10_10,50_20,80_30</v>
      </c>
      <c r="I3035" s="7">
        <v>11</v>
      </c>
      <c r="J3035" s="7">
        <f t="shared" si="2983"/>
        <v>50</v>
      </c>
      <c r="K3035" s="7" t="s">
        <v>312</v>
      </c>
      <c r="L3035" s="7">
        <v>22</v>
      </c>
      <c r="M3035" s="7">
        <f>IF(INDEX([1]equip.xml!$B:$B,MATCH(D3035&amp;"",[1]equip.xml!$A:$A,0))=0,0,N3035)</f>
        <v>0</v>
      </c>
      <c r="N3035" s="7">
        <f t="shared" si="2974"/>
        <v>130</v>
      </c>
    </row>
    <row r="3036" spans="1:14">
      <c r="A3036" s="7">
        <f t="shared" si="2970"/>
        <v>20007</v>
      </c>
      <c r="B3036" s="7">
        <f t="shared" ref="B3036:C3036" si="2989">B2948</f>
        <v>40000</v>
      </c>
      <c r="C3036" s="7" t="str">
        <f t="shared" si="2989"/>
        <v>装备</v>
      </c>
      <c r="D3036" s="7" t="s">
        <v>205</v>
      </c>
      <c r="E3036" s="7"/>
      <c r="F3036" s="7">
        <v>1</v>
      </c>
      <c r="G3036" s="7">
        <f>3*INDEX([1]equip.xml!$I:$I,MATCH(D3036&amp;"",[1]equip.xml!$A:$A,0))</f>
        <v>30000</v>
      </c>
      <c r="H3036" s="7" t="str">
        <f t="shared" si="2983"/>
        <v>10_10,50_20,80_30</v>
      </c>
      <c r="I3036" s="7">
        <v>11</v>
      </c>
      <c r="J3036" s="7">
        <f t="shared" si="2983"/>
        <v>50</v>
      </c>
      <c r="K3036" s="7" t="s">
        <v>312</v>
      </c>
      <c r="L3036" s="7">
        <v>22</v>
      </c>
      <c r="M3036" s="7">
        <f>IF(INDEX([1]equip.xml!$B:$B,MATCH(D3036&amp;"",[1]equip.xml!$A:$A,0))=0,0,N3036)</f>
        <v>130</v>
      </c>
      <c r="N3036" s="7">
        <f t="shared" si="2974"/>
        <v>130</v>
      </c>
    </row>
    <row r="3037" spans="1:14">
      <c r="A3037" s="7">
        <f t="shared" si="2970"/>
        <v>20007</v>
      </c>
      <c r="B3037" s="7">
        <f t="shared" ref="B3037:C3037" si="2990">B2949</f>
        <v>40000</v>
      </c>
      <c r="C3037" s="7" t="str">
        <f t="shared" si="2990"/>
        <v>装备</v>
      </c>
      <c r="D3037" s="7" t="s">
        <v>207</v>
      </c>
      <c r="E3037" s="7"/>
      <c r="F3037" s="7">
        <v>1</v>
      </c>
      <c r="G3037" s="7">
        <f>3*INDEX([1]equip.xml!$I:$I,MATCH(D3037&amp;"",[1]equip.xml!$A:$A,0))</f>
        <v>39000</v>
      </c>
      <c r="H3037" s="7" t="str">
        <f t="shared" si="2983"/>
        <v>10_10,50_20,80_30</v>
      </c>
      <c r="I3037" s="7">
        <v>11</v>
      </c>
      <c r="J3037" s="7">
        <f t="shared" si="2983"/>
        <v>50</v>
      </c>
      <c r="K3037" s="7" t="s">
        <v>312</v>
      </c>
      <c r="L3037" s="7">
        <v>22</v>
      </c>
      <c r="M3037" s="7">
        <f>IF(INDEX([1]equip.xml!$B:$B,MATCH(D3037&amp;"",[1]equip.xml!$A:$A,0))=0,0,N3037)</f>
        <v>130</v>
      </c>
      <c r="N3037" s="7">
        <f t="shared" si="2974"/>
        <v>130</v>
      </c>
    </row>
    <row r="3038" spans="1:14">
      <c r="A3038" s="7">
        <f t="shared" si="2970"/>
        <v>20007</v>
      </c>
      <c r="B3038" s="7">
        <f t="shared" ref="B3038:C3038" si="2991">B2950</f>
        <v>40000</v>
      </c>
      <c r="C3038" s="7" t="str">
        <f t="shared" si="2991"/>
        <v>装备</v>
      </c>
      <c r="D3038" s="7" t="s">
        <v>209</v>
      </c>
      <c r="E3038" s="7"/>
      <c r="F3038" s="7">
        <v>1</v>
      </c>
      <c r="G3038" s="7">
        <f>3*INDEX([1]equip.xml!$I:$I,MATCH(D3038&amp;"",[1]equip.xml!$A:$A,0))</f>
        <v>30000</v>
      </c>
      <c r="H3038" s="7" t="str">
        <f t="shared" si="2983"/>
        <v>10_10,50_20,80_30</v>
      </c>
      <c r="I3038" s="7">
        <v>11</v>
      </c>
      <c r="J3038" s="7">
        <f t="shared" si="2983"/>
        <v>50</v>
      </c>
      <c r="K3038" s="7" t="s">
        <v>312</v>
      </c>
      <c r="L3038" s="7">
        <v>22</v>
      </c>
      <c r="M3038" s="7">
        <f>IF(INDEX([1]equip.xml!$B:$B,MATCH(D3038&amp;"",[1]equip.xml!$A:$A,0))=0,0,N3038)</f>
        <v>130</v>
      </c>
      <c r="N3038" s="7">
        <f t="shared" si="2974"/>
        <v>130</v>
      </c>
    </row>
    <row r="3039" spans="1:14">
      <c r="A3039" s="7">
        <f t="shared" ref="A3039:A3102" si="2992">10000+A223</f>
        <v>20007</v>
      </c>
      <c r="B3039" s="7">
        <f t="shared" ref="B3039:C3039" si="2993">B2951</f>
        <v>40000</v>
      </c>
      <c r="C3039" s="7" t="str">
        <f t="shared" si="2993"/>
        <v>装备</v>
      </c>
      <c r="D3039" s="7" t="s">
        <v>211</v>
      </c>
      <c r="E3039" s="7"/>
      <c r="F3039" s="7">
        <v>1</v>
      </c>
      <c r="G3039" s="7">
        <f>3*INDEX([1]equip.xml!$I:$I,MATCH(D3039&amp;"",[1]equip.xml!$A:$A,0))</f>
        <v>39000</v>
      </c>
      <c r="H3039" s="7" t="str">
        <f t="shared" si="2983"/>
        <v>10_10,50_20,80_30</v>
      </c>
      <c r="I3039" s="7">
        <v>11</v>
      </c>
      <c r="J3039" s="7">
        <f t="shared" si="2983"/>
        <v>50</v>
      </c>
      <c r="K3039" s="7" t="s">
        <v>312</v>
      </c>
      <c r="L3039" s="7">
        <v>22</v>
      </c>
      <c r="M3039" s="7">
        <f>IF(INDEX([1]equip.xml!$B:$B,MATCH(D3039&amp;"",[1]equip.xml!$A:$A,0))=0,0,N3039)</f>
        <v>0</v>
      </c>
      <c r="N3039" s="7">
        <f t="shared" si="2974"/>
        <v>130</v>
      </c>
    </row>
    <row r="3040" spans="1:14">
      <c r="A3040" s="7">
        <f t="shared" si="2992"/>
        <v>20007</v>
      </c>
      <c r="B3040" s="7">
        <f t="shared" ref="B3040:C3040" si="2994">B2952</f>
        <v>40000</v>
      </c>
      <c r="C3040" s="7" t="str">
        <f t="shared" si="2994"/>
        <v>装备</v>
      </c>
      <c r="D3040" s="7" t="s">
        <v>213</v>
      </c>
      <c r="E3040" s="7"/>
      <c r="F3040" s="7">
        <v>1</v>
      </c>
      <c r="G3040" s="7">
        <f>3*INDEX([1]equip.xml!$I:$I,MATCH(D3040&amp;"",[1]equip.xml!$A:$A,0))</f>
        <v>30000</v>
      </c>
      <c r="H3040" s="7" t="str">
        <f t="shared" si="2983"/>
        <v>10_10,50_20,80_30</v>
      </c>
      <c r="I3040" s="7">
        <v>11</v>
      </c>
      <c r="J3040" s="7">
        <f t="shared" si="2983"/>
        <v>50</v>
      </c>
      <c r="K3040" s="7" t="s">
        <v>312</v>
      </c>
      <c r="L3040" s="7">
        <v>22</v>
      </c>
      <c r="M3040" s="7">
        <f>IF(INDEX([1]equip.xml!$B:$B,MATCH(D3040&amp;"",[1]equip.xml!$A:$A,0))=0,0,N3040)</f>
        <v>130</v>
      </c>
      <c r="N3040" s="7">
        <f t="shared" si="2974"/>
        <v>130</v>
      </c>
    </row>
    <row r="3041" spans="1:14">
      <c r="A3041" s="7">
        <f t="shared" si="2992"/>
        <v>20007</v>
      </c>
      <c r="B3041" s="7">
        <f t="shared" ref="B3041:C3041" si="2995">B2953</f>
        <v>40000</v>
      </c>
      <c r="C3041" s="7" t="str">
        <f t="shared" si="2995"/>
        <v>装备</v>
      </c>
      <c r="D3041" s="7">
        <v>40100041</v>
      </c>
      <c r="E3041" s="7"/>
      <c r="F3041" s="7">
        <v>1</v>
      </c>
      <c r="G3041" s="7">
        <f>3*INDEX([1]equip.xml!$I:$I,MATCH(D3041&amp;"",[1]equip.xml!$A:$A,0))</f>
        <v>39000</v>
      </c>
      <c r="H3041" s="7" t="str">
        <f t="shared" si="2983"/>
        <v>10_10,50_20,80_30</v>
      </c>
      <c r="I3041" s="7">
        <v>11</v>
      </c>
      <c r="J3041" s="7">
        <f t="shared" si="2983"/>
        <v>50</v>
      </c>
      <c r="K3041" s="7" t="s">
        <v>312</v>
      </c>
      <c r="L3041" s="7">
        <v>22</v>
      </c>
      <c r="M3041" s="7">
        <f>IF(INDEX([1]equip.xml!$B:$B,MATCH(D3041&amp;"",[1]equip.xml!$A:$A,0))=0,0,N3041)</f>
        <v>0</v>
      </c>
      <c r="N3041" s="7">
        <f t="shared" si="2974"/>
        <v>130</v>
      </c>
    </row>
    <row r="3042" spans="1:14">
      <c r="A3042" s="7">
        <f t="shared" si="2992"/>
        <v>20007</v>
      </c>
      <c r="B3042" s="7">
        <f t="shared" ref="B3042:C3042" si="2996">B2954</f>
        <v>40000</v>
      </c>
      <c r="C3042" s="7" t="str">
        <f t="shared" si="2996"/>
        <v>装备</v>
      </c>
      <c r="D3042" s="7" t="s">
        <v>217</v>
      </c>
      <c r="E3042" s="7"/>
      <c r="F3042" s="7">
        <v>1</v>
      </c>
      <c r="G3042" s="7">
        <f>3*INDEX([1]equip.xml!$I:$I,MATCH(D3042&amp;"",[1]equip.xml!$A:$A,0))</f>
        <v>30000</v>
      </c>
      <c r="H3042" s="7" t="str">
        <f t="shared" si="2983"/>
        <v>10_10,50_20,80_30</v>
      </c>
      <c r="I3042" s="7">
        <v>11</v>
      </c>
      <c r="J3042" s="7">
        <f t="shared" si="2983"/>
        <v>50</v>
      </c>
      <c r="K3042" s="7" t="s">
        <v>312</v>
      </c>
      <c r="L3042" s="7">
        <v>22</v>
      </c>
      <c r="M3042" s="7">
        <f>IF(INDEX([1]equip.xml!$B:$B,MATCH(D3042&amp;"",[1]equip.xml!$A:$A,0))=0,0,N3042)</f>
        <v>130</v>
      </c>
      <c r="N3042" s="7">
        <f t="shared" si="2974"/>
        <v>130</v>
      </c>
    </row>
    <row r="3043" spans="1:14">
      <c r="A3043" s="7">
        <f t="shared" si="2992"/>
        <v>20007</v>
      </c>
      <c r="B3043" s="7">
        <f t="shared" ref="B3043:C3043" si="2997">B2955</f>
        <v>40000</v>
      </c>
      <c r="C3043" s="7" t="str">
        <f t="shared" si="2997"/>
        <v>装备</v>
      </c>
      <c r="D3043" s="7" t="s">
        <v>219</v>
      </c>
      <c r="E3043" s="7"/>
      <c r="F3043" s="7">
        <v>1</v>
      </c>
      <c r="G3043" s="7">
        <f>3*INDEX([1]equip.xml!$I:$I,MATCH(D3043&amp;"",[1]equip.xml!$A:$A,0))</f>
        <v>39000</v>
      </c>
      <c r="H3043" s="7" t="str">
        <f t="shared" si="2983"/>
        <v>10_10,50_20,80_30</v>
      </c>
      <c r="I3043" s="7">
        <v>11</v>
      </c>
      <c r="J3043" s="7">
        <f t="shared" si="2983"/>
        <v>50</v>
      </c>
      <c r="K3043" s="7" t="s">
        <v>312</v>
      </c>
      <c r="L3043" s="7">
        <v>22</v>
      </c>
      <c r="M3043" s="7">
        <f>IF(INDEX([1]equip.xml!$B:$B,MATCH(D3043&amp;"",[1]equip.xml!$A:$A,0))=0,0,N3043)</f>
        <v>0</v>
      </c>
      <c r="N3043" s="7">
        <f t="shared" si="2974"/>
        <v>130</v>
      </c>
    </row>
    <row r="3044" spans="1:14">
      <c r="A3044" s="7">
        <f t="shared" si="2992"/>
        <v>20007</v>
      </c>
      <c r="B3044" s="7">
        <f t="shared" ref="B3044:C3044" si="2998">B2956</f>
        <v>40000</v>
      </c>
      <c r="C3044" s="7" t="str">
        <f t="shared" si="2998"/>
        <v>装备</v>
      </c>
      <c r="D3044" s="7" t="s">
        <v>319</v>
      </c>
      <c r="E3044" s="7"/>
      <c r="F3044" s="7">
        <v>1</v>
      </c>
      <c r="G3044" s="7">
        <f>3*INDEX([1]equip.xml!$I:$I,MATCH(D3044&amp;"",[1]equip.xml!$A:$A,0))</f>
        <v>45000</v>
      </c>
      <c r="H3044" s="7" t="str">
        <f t="shared" si="2983"/>
        <v>10_10,50_20,80_30</v>
      </c>
      <c r="I3044" s="7">
        <v>11</v>
      </c>
      <c r="J3044" s="7">
        <f t="shared" si="2983"/>
        <v>50</v>
      </c>
      <c r="K3044" s="7" t="s">
        <v>312</v>
      </c>
      <c r="L3044" s="7">
        <v>22</v>
      </c>
      <c r="M3044" s="7">
        <f>IF(INDEX([1]equip.xml!$B:$B,MATCH(D3044&amp;"",[1]equip.xml!$A:$A,0))=0,0,N3044)</f>
        <v>0</v>
      </c>
      <c r="N3044" s="7">
        <f t="shared" si="2974"/>
        <v>65</v>
      </c>
    </row>
    <row r="3045" spans="1:14">
      <c r="A3045" s="7">
        <f t="shared" si="2992"/>
        <v>20007</v>
      </c>
      <c r="B3045" s="7">
        <f t="shared" ref="B3045:C3045" si="2999">B2957</f>
        <v>40000</v>
      </c>
      <c r="C3045" s="7" t="str">
        <f t="shared" si="2999"/>
        <v>装备</v>
      </c>
      <c r="D3045" s="7" t="s">
        <v>320</v>
      </c>
      <c r="E3045" s="7"/>
      <c r="F3045" s="7">
        <v>1</v>
      </c>
      <c r="G3045" s="7">
        <f>3*INDEX([1]equip.xml!$I:$I,MATCH(D3045&amp;"",[1]equip.xml!$A:$A,0))</f>
        <v>45000</v>
      </c>
      <c r="H3045" s="7" t="str">
        <f t="shared" si="2983"/>
        <v>10_10,50_20,80_30</v>
      </c>
      <c r="I3045" s="7">
        <v>11</v>
      </c>
      <c r="J3045" s="7">
        <f t="shared" si="2983"/>
        <v>50</v>
      </c>
      <c r="K3045" s="7" t="s">
        <v>312</v>
      </c>
      <c r="L3045" s="7">
        <v>22</v>
      </c>
      <c r="M3045" s="7">
        <f>IF(INDEX([1]equip.xml!$B:$B,MATCH(D3045&amp;"",[1]equip.xml!$A:$A,0))=0,0,N3045)</f>
        <v>0</v>
      </c>
      <c r="N3045" s="7">
        <f t="shared" si="2974"/>
        <v>65</v>
      </c>
    </row>
    <row r="3046" spans="1:14">
      <c r="A3046" s="7">
        <f t="shared" si="2992"/>
        <v>20007</v>
      </c>
      <c r="B3046" s="7">
        <f t="shared" ref="B3046:C3046" si="3000">B2958</f>
        <v>40000</v>
      </c>
      <c r="C3046" s="7" t="str">
        <f t="shared" si="3000"/>
        <v>装备</v>
      </c>
      <c r="D3046" s="7" t="s">
        <v>321</v>
      </c>
      <c r="E3046" s="7"/>
      <c r="F3046" s="7">
        <v>1</v>
      </c>
      <c r="G3046" s="7">
        <f>3*INDEX([1]equip.xml!$I:$I,MATCH(D3046&amp;"",[1]equip.xml!$A:$A,0))</f>
        <v>45000</v>
      </c>
      <c r="H3046" s="7" t="str">
        <f t="shared" ref="H3046:J3061" si="3001">H2958</f>
        <v>10_10,50_20,80_30</v>
      </c>
      <c r="I3046" s="7">
        <v>11</v>
      </c>
      <c r="J3046" s="7">
        <f t="shared" si="3001"/>
        <v>50</v>
      </c>
      <c r="K3046" s="7" t="s">
        <v>312</v>
      </c>
      <c r="L3046" s="7">
        <v>22</v>
      </c>
      <c r="M3046" s="7">
        <f>IF(INDEX([1]equip.xml!$B:$B,MATCH(D3046&amp;"",[1]equip.xml!$A:$A,0))=0,0,N3046)</f>
        <v>65</v>
      </c>
      <c r="N3046" s="7">
        <f t="shared" si="2974"/>
        <v>65</v>
      </c>
    </row>
    <row r="3047" spans="1:14">
      <c r="A3047" s="7">
        <f t="shared" si="2992"/>
        <v>20007</v>
      </c>
      <c r="B3047" s="7">
        <f t="shared" ref="B3047:C3047" si="3002">B2959</f>
        <v>40000</v>
      </c>
      <c r="C3047" s="7" t="str">
        <f t="shared" si="3002"/>
        <v>装备</v>
      </c>
      <c r="D3047" s="7" t="s">
        <v>322</v>
      </c>
      <c r="E3047" s="7"/>
      <c r="F3047" s="7">
        <v>1</v>
      </c>
      <c r="G3047" s="7">
        <f>3*INDEX([1]equip.xml!$I:$I,MATCH(D3047&amp;"",[1]equip.xml!$A:$A,0))</f>
        <v>45000</v>
      </c>
      <c r="H3047" s="7" t="str">
        <f t="shared" si="3001"/>
        <v>10_10,50_20,80_30</v>
      </c>
      <c r="I3047" s="7">
        <v>11</v>
      </c>
      <c r="J3047" s="7">
        <f t="shared" si="3001"/>
        <v>50</v>
      </c>
      <c r="K3047" s="7" t="s">
        <v>312</v>
      </c>
      <c r="L3047" s="7">
        <v>22</v>
      </c>
      <c r="M3047" s="7">
        <f>IF(INDEX([1]equip.xml!$B:$B,MATCH(D3047&amp;"",[1]equip.xml!$A:$A,0))=0,0,N3047)</f>
        <v>65</v>
      </c>
      <c r="N3047" s="7">
        <f t="shared" si="2974"/>
        <v>65</v>
      </c>
    </row>
    <row r="3048" spans="1:14">
      <c r="A3048" s="7">
        <f t="shared" si="2992"/>
        <v>20007</v>
      </c>
      <c r="B3048" s="7">
        <f t="shared" ref="B3048:C3048" si="3003">B2960</f>
        <v>40000</v>
      </c>
      <c r="C3048" s="7" t="str">
        <f t="shared" si="3003"/>
        <v>装备</v>
      </c>
      <c r="D3048" s="7" t="s">
        <v>323</v>
      </c>
      <c r="E3048" s="7"/>
      <c r="F3048" s="7">
        <v>1</v>
      </c>
      <c r="G3048" s="7">
        <f>3*INDEX([1]equip.xml!$I:$I,MATCH(D3048&amp;"",[1]equip.xml!$A:$A,0))</f>
        <v>45000</v>
      </c>
      <c r="H3048" s="7" t="str">
        <f t="shared" si="3001"/>
        <v>10_10,50_20,80_30</v>
      </c>
      <c r="I3048" s="7">
        <v>11</v>
      </c>
      <c r="J3048" s="7">
        <f t="shared" si="3001"/>
        <v>50</v>
      </c>
      <c r="K3048" s="7" t="s">
        <v>312</v>
      </c>
      <c r="L3048" s="7">
        <v>22</v>
      </c>
      <c r="M3048" s="7">
        <f>IF(INDEX([1]equip.xml!$B:$B,MATCH(D3048&amp;"",[1]equip.xml!$A:$A,0))=0,0,N3048)</f>
        <v>65</v>
      </c>
      <c r="N3048" s="7">
        <f t="shared" si="2974"/>
        <v>65</v>
      </c>
    </row>
    <row r="3049" spans="1:14">
      <c r="A3049" s="7">
        <f t="shared" si="2992"/>
        <v>20007</v>
      </c>
      <c r="B3049" s="7">
        <f t="shared" ref="B3049:C3049" si="3004">B2961</f>
        <v>40000</v>
      </c>
      <c r="C3049" s="7" t="str">
        <f t="shared" si="3004"/>
        <v>装备</v>
      </c>
      <c r="D3049" s="7" t="s">
        <v>324</v>
      </c>
      <c r="E3049" s="7"/>
      <c r="F3049" s="7">
        <v>1</v>
      </c>
      <c r="G3049" s="7">
        <f>3*INDEX([1]equip.xml!$I:$I,MATCH(D3049&amp;"",[1]equip.xml!$A:$A,0))</f>
        <v>45000</v>
      </c>
      <c r="H3049" s="7" t="str">
        <f t="shared" si="3001"/>
        <v>10_10,50_20,80_30</v>
      </c>
      <c r="I3049" s="7">
        <v>11</v>
      </c>
      <c r="J3049" s="7">
        <f t="shared" si="3001"/>
        <v>50</v>
      </c>
      <c r="K3049" s="7" t="s">
        <v>312</v>
      </c>
      <c r="L3049" s="7">
        <v>22</v>
      </c>
      <c r="M3049" s="7">
        <f>IF(INDEX([1]equip.xml!$B:$B,MATCH(D3049&amp;"",[1]equip.xml!$A:$A,0))=0,0,N3049)</f>
        <v>65</v>
      </c>
      <c r="N3049" s="7">
        <f t="shared" si="2974"/>
        <v>65</v>
      </c>
    </row>
    <row r="3050" spans="1:14">
      <c r="A3050" s="7">
        <f t="shared" si="2992"/>
        <v>20007</v>
      </c>
      <c r="B3050" s="7">
        <f t="shared" ref="B3050:C3050" si="3005">B2962</f>
        <v>40000</v>
      </c>
      <c r="C3050" s="7" t="str">
        <f t="shared" si="3005"/>
        <v>装备</v>
      </c>
      <c r="D3050" s="7" t="s">
        <v>325</v>
      </c>
      <c r="E3050" s="7"/>
      <c r="F3050" s="7">
        <v>1</v>
      </c>
      <c r="G3050" s="7">
        <f>3*INDEX([1]equip.xml!$I:$I,MATCH(D3050&amp;"",[1]equip.xml!$A:$A,0))</f>
        <v>45000</v>
      </c>
      <c r="H3050" s="7" t="str">
        <f t="shared" si="3001"/>
        <v>10_10,50_20,80_30</v>
      </c>
      <c r="I3050" s="7">
        <v>11</v>
      </c>
      <c r="J3050" s="7">
        <f t="shared" si="3001"/>
        <v>50</v>
      </c>
      <c r="K3050" s="7" t="s">
        <v>312</v>
      </c>
      <c r="L3050" s="7">
        <v>22</v>
      </c>
      <c r="M3050" s="7">
        <f>IF(INDEX([1]equip.xml!$B:$B,MATCH(D3050&amp;"",[1]equip.xml!$A:$A,0))=0,0,N3050)</f>
        <v>65</v>
      </c>
      <c r="N3050" s="7">
        <f t="shared" si="2974"/>
        <v>65</v>
      </c>
    </row>
    <row r="3051" spans="1:14">
      <c r="A3051" s="7">
        <f t="shared" si="2992"/>
        <v>20007</v>
      </c>
      <c r="B3051" s="7">
        <f t="shared" ref="B3051:C3051" si="3006">B2963</f>
        <v>40000</v>
      </c>
      <c r="C3051" s="7" t="str">
        <f t="shared" si="3006"/>
        <v>装备</v>
      </c>
      <c r="D3051" s="7">
        <v>40151051</v>
      </c>
      <c r="E3051" s="7"/>
      <c r="F3051" s="7">
        <v>1</v>
      </c>
      <c r="G3051" s="7">
        <f>3*INDEX([1]equip.xml!$I:$I,MATCH(D3051,[1]equip.xml!$A:$A,0))</f>
        <v>54000</v>
      </c>
      <c r="H3051" s="7" t="str">
        <f t="shared" si="3001"/>
        <v>10_10,50_20,80_30</v>
      </c>
      <c r="I3051" s="7">
        <v>11</v>
      </c>
      <c r="J3051" s="7">
        <f t="shared" si="3001"/>
        <v>50</v>
      </c>
      <c r="K3051" s="7" t="s">
        <v>312</v>
      </c>
      <c r="L3051" s="7">
        <v>22</v>
      </c>
      <c r="M3051" s="7">
        <f>IF(INDEX([1]equip.xml!$B:$B,MATCH(D3051,[1]equip.xml!$A:$A,0))=0,0,N3051)</f>
        <v>65</v>
      </c>
      <c r="N3051" s="7">
        <f t="shared" si="2974"/>
        <v>65</v>
      </c>
    </row>
    <row r="3052" spans="1:14">
      <c r="A3052" s="7">
        <f t="shared" si="2992"/>
        <v>20007</v>
      </c>
      <c r="B3052" s="7">
        <f t="shared" ref="B3052:C3052" si="3007">B2964</f>
        <v>40000</v>
      </c>
      <c r="C3052" s="7" t="str">
        <f t="shared" si="3007"/>
        <v>装备</v>
      </c>
      <c r="D3052" s="7">
        <v>40151060</v>
      </c>
      <c r="E3052" s="7"/>
      <c r="F3052" s="7">
        <v>1</v>
      </c>
      <c r="G3052" s="7">
        <f>3*INDEX([1]equip.xml!$I:$I,MATCH(D3052&amp;"",[1]equip.xml!$A:$A,0))</f>
        <v>45000</v>
      </c>
      <c r="H3052" s="7" t="str">
        <f t="shared" si="3001"/>
        <v>10_10,50_20,80_30</v>
      </c>
      <c r="I3052" s="7">
        <v>11</v>
      </c>
      <c r="J3052" s="7">
        <f t="shared" si="3001"/>
        <v>50</v>
      </c>
      <c r="K3052" s="7" t="s">
        <v>312</v>
      </c>
      <c r="L3052" s="7">
        <v>22</v>
      </c>
      <c r="M3052" s="7">
        <f>IF(INDEX([1]equip.xml!$B:$B,MATCH(D3052&amp;"",[1]equip.xml!$A:$A,0))=0,0,N3052)</f>
        <v>65</v>
      </c>
      <c r="N3052" s="7">
        <f t="shared" si="2974"/>
        <v>65</v>
      </c>
    </row>
    <row r="3053" spans="1:14">
      <c r="A3053" s="7">
        <f t="shared" si="2992"/>
        <v>20007</v>
      </c>
      <c r="B3053" s="7">
        <f t="shared" ref="B3053:C3053" si="3008">B2965</f>
        <v>40000</v>
      </c>
      <c r="C3053" s="7" t="str">
        <f t="shared" si="3008"/>
        <v>装备</v>
      </c>
      <c r="D3053" s="7">
        <v>40151061</v>
      </c>
      <c r="E3053" s="7"/>
      <c r="F3053" s="7">
        <v>1</v>
      </c>
      <c r="G3053" s="7">
        <f>3*INDEX([1]equip.xml!$I:$I,MATCH(D3053&amp;"",[1]equip.xml!$A:$A,0))</f>
        <v>54000</v>
      </c>
      <c r="H3053" s="7" t="str">
        <f t="shared" si="3001"/>
        <v>10_10,50_20,80_30</v>
      </c>
      <c r="I3053" s="7">
        <v>11</v>
      </c>
      <c r="J3053" s="7">
        <f t="shared" si="3001"/>
        <v>50</v>
      </c>
      <c r="K3053" s="7" t="s">
        <v>312</v>
      </c>
      <c r="L3053" s="7">
        <v>22</v>
      </c>
      <c r="M3053" s="7">
        <f>IF(INDEX([1]equip.xml!$B:$B,MATCH(D3053&amp;"",[1]equip.xml!$A:$A,0))=0,0,N3053)</f>
        <v>0</v>
      </c>
      <c r="N3053" s="7">
        <f t="shared" si="2974"/>
        <v>65</v>
      </c>
    </row>
    <row r="3054" spans="1:14">
      <c r="A3054" s="7">
        <f t="shared" si="2992"/>
        <v>20007</v>
      </c>
      <c r="B3054" s="7">
        <f t="shared" ref="B3054:C3054" si="3009">B2966</f>
        <v>40000</v>
      </c>
      <c r="C3054" s="7" t="str">
        <f t="shared" si="3009"/>
        <v>装备</v>
      </c>
      <c r="D3054" s="7">
        <v>40152050</v>
      </c>
      <c r="E3054" s="7"/>
      <c r="F3054" s="7">
        <v>1</v>
      </c>
      <c r="G3054" s="7">
        <f>3*INDEX([1]equip.xml!$I:$I,MATCH(D3054&amp;"",[1]equip.xml!$A:$A,0))</f>
        <v>45000</v>
      </c>
      <c r="H3054" s="7" t="str">
        <f t="shared" si="3001"/>
        <v>10_10,50_20,80_30</v>
      </c>
      <c r="I3054" s="7">
        <v>11</v>
      </c>
      <c r="J3054" s="7">
        <f t="shared" si="3001"/>
        <v>50</v>
      </c>
      <c r="K3054" s="7" t="s">
        <v>312</v>
      </c>
      <c r="L3054" s="7">
        <v>22</v>
      </c>
      <c r="M3054" s="7">
        <f>IF(INDEX([1]equip.xml!$B:$B,MATCH(D3054&amp;"",[1]equip.xml!$A:$A,0))=0,0,N3054)</f>
        <v>65</v>
      </c>
      <c r="N3054" s="7">
        <f t="shared" si="2974"/>
        <v>65</v>
      </c>
    </row>
    <row r="3055" spans="1:14">
      <c r="A3055" s="7">
        <f t="shared" si="2992"/>
        <v>20007</v>
      </c>
      <c r="B3055" s="7">
        <f t="shared" ref="B3055:C3055" si="3010">B2967</f>
        <v>40000</v>
      </c>
      <c r="C3055" s="7" t="str">
        <f t="shared" si="3010"/>
        <v>装备</v>
      </c>
      <c r="D3055" s="7">
        <v>40152051</v>
      </c>
      <c r="E3055" s="7"/>
      <c r="F3055" s="7">
        <v>1</v>
      </c>
      <c r="G3055" s="7">
        <f>3*INDEX([1]equip.xml!$I:$I,MATCH(D3055,[1]equip.xml!$A:$A,0))</f>
        <v>54000</v>
      </c>
      <c r="H3055" s="7" t="str">
        <f t="shared" si="3001"/>
        <v>10_10,50_20,80_30</v>
      </c>
      <c r="I3055" s="7">
        <v>11</v>
      </c>
      <c r="J3055" s="7">
        <f t="shared" si="3001"/>
        <v>50</v>
      </c>
      <c r="K3055" s="7" t="s">
        <v>312</v>
      </c>
      <c r="L3055" s="7">
        <v>22</v>
      </c>
      <c r="M3055" s="7">
        <f>IF(INDEX([1]equip.xml!$B:$B,MATCH(D3055,[1]equip.xml!$A:$A,0))=0,0,N3055)</f>
        <v>65</v>
      </c>
      <c r="N3055" s="7">
        <f t="shared" si="2974"/>
        <v>65</v>
      </c>
    </row>
    <row r="3056" spans="1:14">
      <c r="A3056" s="7">
        <f t="shared" si="2992"/>
        <v>20007</v>
      </c>
      <c r="B3056" s="7">
        <f t="shared" ref="B3056:C3056" si="3011">B2968</f>
        <v>40000</v>
      </c>
      <c r="C3056" s="7" t="str">
        <f t="shared" si="3011"/>
        <v>装备</v>
      </c>
      <c r="D3056" s="7">
        <v>40152060</v>
      </c>
      <c r="E3056" s="7"/>
      <c r="F3056" s="7">
        <v>1</v>
      </c>
      <c r="G3056" s="7">
        <f>3*INDEX([1]equip.xml!$I:$I,MATCH(D3056&amp;"",[1]equip.xml!$A:$A,0))</f>
        <v>45000</v>
      </c>
      <c r="H3056" s="7" t="str">
        <f t="shared" si="3001"/>
        <v>10_10,50_20,80_30</v>
      </c>
      <c r="I3056" s="7">
        <v>11</v>
      </c>
      <c r="J3056" s="7">
        <f t="shared" si="3001"/>
        <v>50</v>
      </c>
      <c r="K3056" s="7" t="s">
        <v>312</v>
      </c>
      <c r="L3056" s="7">
        <v>22</v>
      </c>
      <c r="M3056" s="7">
        <f>IF(INDEX([1]equip.xml!$B:$B,MATCH(D3056&amp;"",[1]equip.xml!$A:$A,0))=0,0,N3056)</f>
        <v>65</v>
      </c>
      <c r="N3056" s="7">
        <f t="shared" si="2974"/>
        <v>65</v>
      </c>
    </row>
    <row r="3057" spans="1:14">
      <c r="A3057" s="7">
        <f t="shared" si="2992"/>
        <v>20007</v>
      </c>
      <c r="B3057" s="7">
        <f t="shared" ref="B3057:C3057" si="3012">B2969</f>
        <v>40000</v>
      </c>
      <c r="C3057" s="7" t="str">
        <f t="shared" si="3012"/>
        <v>装备</v>
      </c>
      <c r="D3057" s="7">
        <v>40152061</v>
      </c>
      <c r="E3057" s="7"/>
      <c r="F3057" s="7">
        <v>1</v>
      </c>
      <c r="G3057" s="7">
        <f>3*INDEX([1]equip.xml!$I:$I,MATCH(D3057&amp;"",[1]equip.xml!$A:$A,0))</f>
        <v>54000</v>
      </c>
      <c r="H3057" s="7" t="str">
        <f t="shared" si="3001"/>
        <v>10_10,50_20,80_30</v>
      </c>
      <c r="I3057" s="7">
        <v>11</v>
      </c>
      <c r="J3057" s="7">
        <f t="shared" si="3001"/>
        <v>50</v>
      </c>
      <c r="K3057" s="7" t="s">
        <v>312</v>
      </c>
      <c r="L3057" s="7">
        <v>22</v>
      </c>
      <c r="M3057" s="7">
        <f>IF(INDEX([1]equip.xml!$B:$B,MATCH(D3057&amp;"",[1]equip.xml!$A:$A,0))=0,0,N3057)</f>
        <v>0</v>
      </c>
      <c r="N3057" s="7">
        <f t="shared" si="2974"/>
        <v>65</v>
      </c>
    </row>
    <row r="3058" spans="1:14">
      <c r="A3058" s="7">
        <f t="shared" si="2992"/>
        <v>20007</v>
      </c>
      <c r="B3058" s="7">
        <f t="shared" ref="B3058:C3058" si="3013">B2970</f>
        <v>40000</v>
      </c>
      <c r="C3058" s="7" t="str">
        <f t="shared" si="3013"/>
        <v>装备</v>
      </c>
      <c r="D3058" s="7">
        <v>40153050</v>
      </c>
      <c r="E3058" s="7"/>
      <c r="F3058" s="7">
        <v>1</v>
      </c>
      <c r="G3058" s="7">
        <f>3*INDEX([1]equip.xml!$I:$I,MATCH(D3058&amp;"",[1]equip.xml!$A:$A,0))</f>
        <v>45000</v>
      </c>
      <c r="H3058" s="7" t="str">
        <f t="shared" si="3001"/>
        <v>10_10,50_20,80_30</v>
      </c>
      <c r="I3058" s="7">
        <v>11</v>
      </c>
      <c r="J3058" s="7">
        <f t="shared" si="3001"/>
        <v>50</v>
      </c>
      <c r="K3058" s="7" t="s">
        <v>312</v>
      </c>
      <c r="L3058" s="7">
        <v>22</v>
      </c>
      <c r="M3058" s="7">
        <f>IF(INDEX([1]equip.xml!$B:$B,MATCH(D3058&amp;"",[1]equip.xml!$A:$A,0))=0,0,N3058)</f>
        <v>65</v>
      </c>
      <c r="N3058" s="7">
        <f t="shared" si="2974"/>
        <v>65</v>
      </c>
    </row>
    <row r="3059" spans="1:14">
      <c r="A3059" s="7">
        <f t="shared" si="2992"/>
        <v>20007</v>
      </c>
      <c r="B3059" s="7">
        <f t="shared" ref="B3059:C3059" si="3014">B2971</f>
        <v>40000</v>
      </c>
      <c r="C3059" s="7" t="str">
        <f t="shared" si="3014"/>
        <v>装备</v>
      </c>
      <c r="D3059" s="7">
        <v>40153051</v>
      </c>
      <c r="E3059" s="7"/>
      <c r="F3059" s="7">
        <v>1</v>
      </c>
      <c r="G3059" s="7">
        <f>3*INDEX([1]equip.xml!$I:$I,MATCH(D3059,[1]equip.xml!$A:$A,0))</f>
        <v>54000</v>
      </c>
      <c r="H3059" s="7" t="str">
        <f t="shared" si="3001"/>
        <v>10_10,50_20,80_30</v>
      </c>
      <c r="I3059" s="7">
        <v>11</v>
      </c>
      <c r="J3059" s="7">
        <f t="shared" si="3001"/>
        <v>50</v>
      </c>
      <c r="K3059" s="7" t="s">
        <v>312</v>
      </c>
      <c r="L3059" s="7">
        <v>22</v>
      </c>
      <c r="M3059" s="7">
        <f>IF(INDEX([1]equip.xml!$B:$B,MATCH(D3059,[1]equip.xml!$A:$A,0))=0,0,N3059)</f>
        <v>65</v>
      </c>
      <c r="N3059" s="7">
        <f t="shared" si="2974"/>
        <v>65</v>
      </c>
    </row>
    <row r="3060" spans="1:14">
      <c r="A3060" s="7">
        <f t="shared" si="2992"/>
        <v>20007</v>
      </c>
      <c r="B3060" s="7">
        <f t="shared" ref="B3060:C3060" si="3015">B2972</f>
        <v>40000</v>
      </c>
      <c r="C3060" s="7" t="str">
        <f t="shared" si="3015"/>
        <v>装备</v>
      </c>
      <c r="D3060" s="7">
        <v>40153060</v>
      </c>
      <c r="E3060" s="7"/>
      <c r="F3060" s="7">
        <v>1</v>
      </c>
      <c r="G3060" s="7">
        <f>3*INDEX([1]equip.xml!$I:$I,MATCH(D3060&amp;"",[1]equip.xml!$A:$A,0))</f>
        <v>45000</v>
      </c>
      <c r="H3060" s="7" t="str">
        <f t="shared" si="3001"/>
        <v>10_10,50_20,80_30</v>
      </c>
      <c r="I3060" s="7">
        <v>11</v>
      </c>
      <c r="J3060" s="7">
        <f t="shared" si="3001"/>
        <v>50</v>
      </c>
      <c r="K3060" s="7" t="s">
        <v>312</v>
      </c>
      <c r="L3060" s="7">
        <v>22</v>
      </c>
      <c r="M3060" s="7">
        <f>IF(INDEX([1]equip.xml!$B:$B,MATCH(D3060&amp;"",[1]equip.xml!$A:$A,0))=0,0,N3060)</f>
        <v>65</v>
      </c>
      <c r="N3060" s="7">
        <f t="shared" si="2974"/>
        <v>65</v>
      </c>
    </row>
    <row r="3061" spans="1:14">
      <c r="A3061" s="7">
        <f t="shared" si="2992"/>
        <v>20007</v>
      </c>
      <c r="B3061" s="7">
        <f t="shared" ref="B3061:C3061" si="3016">B2973</f>
        <v>40000</v>
      </c>
      <c r="C3061" s="7" t="str">
        <f t="shared" si="3016"/>
        <v>装备</v>
      </c>
      <c r="D3061" s="7">
        <v>40153061</v>
      </c>
      <c r="E3061" s="7"/>
      <c r="F3061" s="7">
        <v>1</v>
      </c>
      <c r="G3061" s="7">
        <f>3*INDEX([1]equip.xml!$I:$I,MATCH(D3061&amp;"",[1]equip.xml!$A:$A,0))</f>
        <v>54000</v>
      </c>
      <c r="H3061" s="7" t="str">
        <f t="shared" si="3001"/>
        <v>10_10,50_20,80_30</v>
      </c>
      <c r="I3061" s="7">
        <v>11</v>
      </c>
      <c r="J3061" s="7">
        <f t="shared" si="3001"/>
        <v>50</v>
      </c>
      <c r="K3061" s="7" t="s">
        <v>312</v>
      </c>
      <c r="L3061" s="7">
        <v>22</v>
      </c>
      <c r="M3061" s="7">
        <f>IF(INDEX([1]equip.xml!$B:$B,MATCH(D3061&amp;"",[1]equip.xml!$A:$A,0))=0,0,N3061)</f>
        <v>0</v>
      </c>
      <c r="N3061" s="7">
        <f t="shared" si="2974"/>
        <v>65</v>
      </c>
    </row>
    <row r="3062" spans="1:14">
      <c r="A3062" s="7">
        <f t="shared" si="2992"/>
        <v>20007</v>
      </c>
      <c r="B3062" s="7">
        <f t="shared" ref="B3062:C3062" si="3017">B2974</f>
        <v>40000</v>
      </c>
      <c r="C3062" s="7" t="str">
        <f t="shared" si="3017"/>
        <v>装备</v>
      </c>
      <c r="D3062" s="7">
        <v>40150040</v>
      </c>
      <c r="E3062" s="7"/>
      <c r="F3062" s="7">
        <v>1</v>
      </c>
      <c r="G3062" s="7">
        <f>3*INDEX([1]equip.xml!$I:$I,MATCH(D3062&amp;"",[1]equip.xml!$A:$A,0))</f>
        <v>45000</v>
      </c>
      <c r="H3062" s="7" t="str">
        <f t="shared" ref="H3062:J3077" si="3018">H2974</f>
        <v>10_10,50_20,80_30</v>
      </c>
      <c r="I3062" s="7">
        <v>11</v>
      </c>
      <c r="J3062" s="7">
        <f t="shared" si="3018"/>
        <v>50</v>
      </c>
      <c r="K3062" s="7" t="s">
        <v>312</v>
      </c>
      <c r="L3062" s="7">
        <v>22</v>
      </c>
      <c r="M3062" s="7">
        <f>IF(INDEX([1]equip.xml!$B:$B,MATCH(D3062&amp;"",[1]equip.xml!$A:$A,0))=0,0,N3062)</f>
        <v>65</v>
      </c>
      <c r="N3062" s="7">
        <f t="shared" si="2974"/>
        <v>65</v>
      </c>
    </row>
    <row r="3063" spans="1:14">
      <c r="A3063" s="7">
        <f t="shared" si="2992"/>
        <v>20007</v>
      </c>
      <c r="B3063" s="7">
        <f t="shared" ref="B3063:C3063" si="3019">B2975</f>
        <v>40000</v>
      </c>
      <c r="C3063" s="7" t="str">
        <f t="shared" si="3019"/>
        <v>装备</v>
      </c>
      <c r="D3063" s="7">
        <v>40150041</v>
      </c>
      <c r="E3063" s="7"/>
      <c r="F3063" s="7">
        <v>1</v>
      </c>
      <c r="G3063" s="7">
        <f>3*INDEX([1]equip.xml!$I:$I,MATCH(D3063&amp;"",[1]equip.xml!$A:$A,0))</f>
        <v>54000</v>
      </c>
      <c r="H3063" s="7" t="str">
        <f t="shared" si="3018"/>
        <v>10_10,50_20,80_30</v>
      </c>
      <c r="I3063" s="7">
        <v>11</v>
      </c>
      <c r="J3063" s="7">
        <f t="shared" si="3018"/>
        <v>50</v>
      </c>
      <c r="K3063" s="7" t="s">
        <v>312</v>
      </c>
      <c r="L3063" s="7">
        <v>22</v>
      </c>
      <c r="M3063" s="7">
        <f>IF(INDEX([1]equip.xml!$B:$B,MATCH(D3063&amp;"",[1]equip.xml!$A:$A,0))=0,0,N3063)</f>
        <v>0</v>
      </c>
      <c r="N3063" s="7">
        <f t="shared" ref="N3063" si="3020">N2975</f>
        <v>65</v>
      </c>
    </row>
    <row r="3064" spans="1:14">
      <c r="A3064" s="7">
        <f t="shared" si="2992"/>
        <v>20007</v>
      </c>
      <c r="B3064" s="7">
        <f t="shared" ref="B3064:C3064" si="3021">B2976</f>
        <v>40000</v>
      </c>
      <c r="C3064" s="7" t="str">
        <f t="shared" si="3021"/>
        <v>装备</v>
      </c>
      <c r="D3064" s="7">
        <v>40150070</v>
      </c>
      <c r="E3064" s="7"/>
      <c r="F3064" s="7">
        <v>1</v>
      </c>
      <c r="G3064" s="7">
        <f>3*INDEX([1]equip.xml!$I:$I,MATCH(D3064&amp;"",[1]equip.xml!$A:$A,0))</f>
        <v>45000</v>
      </c>
      <c r="H3064" s="7" t="str">
        <f t="shared" si="3018"/>
        <v>10_10,50_20,80_30</v>
      </c>
      <c r="I3064" s="7">
        <v>11</v>
      </c>
      <c r="J3064" s="7">
        <f t="shared" si="3018"/>
        <v>50</v>
      </c>
      <c r="K3064" s="7" t="s">
        <v>312</v>
      </c>
      <c r="L3064" s="7">
        <v>22</v>
      </c>
      <c r="M3064" s="7">
        <f>IF(INDEX([1]equip.xml!$B:$B,MATCH(D3064&amp;"",[1]equip.xml!$A:$A,0))=0,0,N3064)</f>
        <v>65</v>
      </c>
      <c r="N3064" s="7">
        <f t="shared" ref="N3064" si="3022">N2976</f>
        <v>65</v>
      </c>
    </row>
    <row r="3065" spans="1:14">
      <c r="A3065" s="7">
        <f t="shared" si="2992"/>
        <v>20007</v>
      </c>
      <c r="B3065" s="7">
        <f t="shared" ref="B3065:C3065" si="3023">B2977</f>
        <v>40000</v>
      </c>
      <c r="C3065" s="7" t="str">
        <f t="shared" si="3023"/>
        <v>装备</v>
      </c>
      <c r="D3065" s="7">
        <v>40150071</v>
      </c>
      <c r="E3065" s="7"/>
      <c r="F3065" s="7">
        <v>1</v>
      </c>
      <c r="G3065" s="7">
        <f>3*INDEX([1]equip.xml!$I:$I,MATCH(D3065&amp;"",[1]equip.xml!$A:$A,0))</f>
        <v>54000</v>
      </c>
      <c r="H3065" s="7" t="str">
        <f t="shared" si="3018"/>
        <v>10_10,50_20,80_30</v>
      </c>
      <c r="I3065" s="7">
        <v>11</v>
      </c>
      <c r="J3065" s="7">
        <f t="shared" si="3018"/>
        <v>50</v>
      </c>
      <c r="K3065" s="7" t="s">
        <v>312</v>
      </c>
      <c r="L3065" s="7">
        <v>22</v>
      </c>
      <c r="M3065" s="7">
        <f>IF(INDEX([1]equip.xml!$B:$B,MATCH(D3065&amp;"",[1]equip.xml!$A:$A,0))=0,0,N3065)</f>
        <v>0</v>
      </c>
      <c r="N3065" s="7">
        <f t="shared" ref="N3065" si="3024">N2977</f>
        <v>65</v>
      </c>
    </row>
    <row r="3066" spans="1:14">
      <c r="A3066" s="7">
        <f t="shared" si="2992"/>
        <v>20007</v>
      </c>
      <c r="B3066" s="7">
        <f t="shared" ref="B3066:C3066" si="3025">B2978</f>
        <v>40000</v>
      </c>
      <c r="C3066" s="7" t="str">
        <f t="shared" si="3025"/>
        <v>装备</v>
      </c>
      <c r="D3066" s="7">
        <v>50100015</v>
      </c>
      <c r="E3066" s="7"/>
      <c r="F3066" s="7">
        <v>1</v>
      </c>
      <c r="G3066" s="8">
        <f>3*INDEX([1]equip.xml!$I:$I,MATCH(D3066,[1]equip.xml!$A:$A,0))</f>
        <v>60000</v>
      </c>
      <c r="H3066" s="7" t="str">
        <f t="shared" si="3018"/>
        <v>10_10,50_20,80_30</v>
      </c>
      <c r="I3066" s="7">
        <v>11</v>
      </c>
      <c r="J3066" s="7">
        <f t="shared" si="3018"/>
        <v>240</v>
      </c>
      <c r="K3066" s="7" t="s">
        <v>312</v>
      </c>
      <c r="L3066" s="7">
        <v>22</v>
      </c>
      <c r="M3066" s="7">
        <f>IF(INDEX([1]equip.xml!$B:$B,MATCH(D3066,[1]equip.xml!$A:$A,0))=0,0,N3066)</f>
        <v>130</v>
      </c>
      <c r="N3066" s="7">
        <f t="shared" ref="N3066" si="3026">N2978</f>
        <v>130</v>
      </c>
    </row>
    <row r="3067" spans="1:14">
      <c r="A3067" s="7">
        <f t="shared" si="2992"/>
        <v>20007</v>
      </c>
      <c r="B3067" s="7">
        <f t="shared" ref="B3067:C3067" si="3027">B2979</f>
        <v>40000</v>
      </c>
      <c r="C3067" s="7" t="str">
        <f t="shared" si="3027"/>
        <v>装备</v>
      </c>
      <c r="D3067" s="7">
        <v>50100025</v>
      </c>
      <c r="E3067" s="7"/>
      <c r="F3067" s="7">
        <v>1</v>
      </c>
      <c r="G3067" s="8">
        <f>3*INDEX([1]equip.xml!$I:$I,MATCH(D3067,[1]equip.xml!$A:$A,0))</f>
        <v>60000</v>
      </c>
      <c r="H3067" s="7" t="str">
        <f t="shared" si="3018"/>
        <v>10_10,50_20,80_30</v>
      </c>
      <c r="I3067" s="7">
        <v>11</v>
      </c>
      <c r="J3067" s="7">
        <f t="shared" si="3018"/>
        <v>240</v>
      </c>
      <c r="K3067" s="7" t="s">
        <v>312</v>
      </c>
      <c r="L3067" s="7">
        <v>22</v>
      </c>
      <c r="M3067" s="7">
        <f>IF(INDEX([1]equip.xml!$B:$B,MATCH(D3067,[1]equip.xml!$A:$A,0))=0,0,N3067)</f>
        <v>130</v>
      </c>
      <c r="N3067" s="7">
        <f t="shared" ref="N3067" si="3028">N2979</f>
        <v>130</v>
      </c>
    </row>
    <row r="3068" spans="1:14">
      <c r="A3068" s="7">
        <f t="shared" si="2992"/>
        <v>20007</v>
      </c>
      <c r="B3068" s="7">
        <f t="shared" ref="B3068:C3068" si="3029">B2980</f>
        <v>40000</v>
      </c>
      <c r="C3068" s="7" t="str">
        <f t="shared" si="3029"/>
        <v>装备</v>
      </c>
      <c r="D3068" s="7">
        <v>50100035</v>
      </c>
      <c r="E3068" s="7"/>
      <c r="F3068" s="7">
        <v>1</v>
      </c>
      <c r="G3068" s="8">
        <f>3*INDEX([1]equip.xml!$I:$I,MATCH(D3068,[1]equip.xml!$A:$A,0))</f>
        <v>60000</v>
      </c>
      <c r="H3068" s="7" t="str">
        <f t="shared" si="3018"/>
        <v>10_10,50_20,80_30</v>
      </c>
      <c r="I3068" s="7">
        <v>11</v>
      </c>
      <c r="J3068" s="7">
        <f t="shared" si="3018"/>
        <v>240</v>
      </c>
      <c r="K3068" s="7" t="s">
        <v>312</v>
      </c>
      <c r="L3068" s="7">
        <v>22</v>
      </c>
      <c r="M3068" s="7">
        <f>IF(INDEX([1]equip.xml!$B:$B,MATCH(D3068,[1]equip.xml!$A:$A,0))=0,0,N3068)</f>
        <v>130</v>
      </c>
      <c r="N3068" s="7">
        <f t="shared" ref="N3068" si="3030">N2980</f>
        <v>130</v>
      </c>
    </row>
    <row r="3069" spans="1:14">
      <c r="A3069" s="7">
        <f t="shared" si="2992"/>
        <v>20007</v>
      </c>
      <c r="B3069" s="7">
        <f t="shared" ref="B3069:C3069" si="3031">B2981</f>
        <v>40000</v>
      </c>
      <c r="C3069" s="7" t="str">
        <f t="shared" si="3031"/>
        <v>装备</v>
      </c>
      <c r="D3069" s="7">
        <v>50100085</v>
      </c>
      <c r="E3069" s="7"/>
      <c r="F3069" s="7">
        <v>1</v>
      </c>
      <c r="G3069" s="8">
        <f>3*INDEX([1]equip.xml!$I:$I,MATCH(D3069,[1]equip.xml!$A:$A,0))</f>
        <v>60000</v>
      </c>
      <c r="H3069" s="7" t="str">
        <f t="shared" si="3018"/>
        <v>10_10,50_20,80_30</v>
      </c>
      <c r="I3069" s="7">
        <v>11</v>
      </c>
      <c r="J3069" s="7">
        <f t="shared" si="3018"/>
        <v>240</v>
      </c>
      <c r="K3069" s="7" t="s">
        <v>312</v>
      </c>
      <c r="L3069" s="7">
        <v>22</v>
      </c>
      <c r="M3069" s="7">
        <f>IF(INDEX([1]equip.xml!$B:$B,MATCH(D3069,[1]equip.xml!$A:$A,0))=0,0,N3069)</f>
        <v>130</v>
      </c>
      <c r="N3069" s="7">
        <f t="shared" ref="N3069" si="3032">N2981</f>
        <v>130</v>
      </c>
    </row>
    <row r="3070" spans="1:14">
      <c r="A3070" s="7">
        <f t="shared" si="2992"/>
        <v>20007</v>
      </c>
      <c r="B3070" s="7">
        <f t="shared" ref="B3070:C3070" si="3033">B2982</f>
        <v>40000</v>
      </c>
      <c r="C3070" s="7" t="str">
        <f t="shared" si="3033"/>
        <v>装备</v>
      </c>
      <c r="D3070" s="7">
        <v>50100095</v>
      </c>
      <c r="E3070" s="7"/>
      <c r="F3070" s="7">
        <v>1</v>
      </c>
      <c r="G3070" s="8">
        <f>3*INDEX([1]equip.xml!$I:$I,MATCH(D3070,[1]equip.xml!$A:$A,0))</f>
        <v>60000</v>
      </c>
      <c r="H3070" s="7" t="str">
        <f t="shared" si="3018"/>
        <v>10_10,50_20,80_30</v>
      </c>
      <c r="I3070" s="7">
        <v>11</v>
      </c>
      <c r="J3070" s="7">
        <f t="shared" si="3018"/>
        <v>240</v>
      </c>
      <c r="K3070" s="7" t="s">
        <v>312</v>
      </c>
      <c r="L3070" s="7">
        <v>22</v>
      </c>
      <c r="M3070" s="7">
        <f>IF(INDEX([1]equip.xml!$B:$B,MATCH(D3070,[1]equip.xml!$A:$A,0))=0,0,N3070)</f>
        <v>130</v>
      </c>
      <c r="N3070" s="7">
        <f t="shared" ref="N3070" si="3034">N2982</f>
        <v>130</v>
      </c>
    </row>
    <row r="3071" spans="1:14">
      <c r="A3071" s="7">
        <f t="shared" si="2992"/>
        <v>20007</v>
      </c>
      <c r="B3071" s="7">
        <f t="shared" ref="B3071:C3071" si="3035">B2983</f>
        <v>40000</v>
      </c>
      <c r="C3071" s="7" t="str">
        <f t="shared" si="3035"/>
        <v>装备</v>
      </c>
      <c r="D3071" s="7">
        <v>50100105</v>
      </c>
      <c r="E3071" s="7"/>
      <c r="F3071" s="7">
        <v>1</v>
      </c>
      <c r="G3071" s="8">
        <f>3*INDEX([1]equip.xml!$I:$I,MATCH(D3071,[1]equip.xml!$A:$A,0))</f>
        <v>60000</v>
      </c>
      <c r="H3071" s="7" t="str">
        <f t="shared" si="3018"/>
        <v>10_10,50_20,80_30</v>
      </c>
      <c r="I3071" s="7">
        <v>11</v>
      </c>
      <c r="J3071" s="7">
        <f t="shared" si="3018"/>
        <v>240</v>
      </c>
      <c r="K3071" s="7" t="s">
        <v>312</v>
      </c>
      <c r="L3071" s="7">
        <v>22</v>
      </c>
      <c r="M3071" s="7">
        <f>IF(INDEX([1]equip.xml!$B:$B,MATCH(D3071,[1]equip.xml!$A:$A,0))=0,0,N3071)</f>
        <v>0</v>
      </c>
      <c r="N3071" s="7">
        <f t="shared" ref="N3071" si="3036">N2983</f>
        <v>130</v>
      </c>
    </row>
    <row r="3072" spans="1:14">
      <c r="A3072" s="7">
        <f t="shared" si="2992"/>
        <v>20007</v>
      </c>
      <c r="B3072" s="7">
        <f t="shared" ref="B3072:C3072" si="3037">B2984</f>
        <v>40000</v>
      </c>
      <c r="C3072" s="7" t="str">
        <f t="shared" si="3037"/>
        <v>装备</v>
      </c>
      <c r="D3072" s="7">
        <v>50101055</v>
      </c>
      <c r="E3072" s="7"/>
      <c r="F3072" s="7">
        <v>1</v>
      </c>
      <c r="G3072" s="8">
        <f>3*INDEX([1]equip.xml!$I:$I,MATCH(D3072,[1]equip.xml!$A:$A,0))</f>
        <v>60000</v>
      </c>
      <c r="H3072" s="7" t="str">
        <f t="shared" si="3018"/>
        <v>10_10,50_20,80_30</v>
      </c>
      <c r="I3072" s="7">
        <v>11</v>
      </c>
      <c r="J3072" s="7">
        <f t="shared" si="3018"/>
        <v>240</v>
      </c>
      <c r="K3072" s="7" t="s">
        <v>312</v>
      </c>
      <c r="L3072" s="7">
        <v>22</v>
      </c>
      <c r="M3072" s="7">
        <f>IF(INDEX([1]equip.xml!$B:$B,MATCH(D3072,[1]equip.xml!$A:$A,0))=0,0,N3072)</f>
        <v>130</v>
      </c>
      <c r="N3072" s="7">
        <f t="shared" ref="N3072" si="3038">N2984</f>
        <v>130</v>
      </c>
    </row>
    <row r="3073" spans="1:14">
      <c r="A3073" s="7">
        <f t="shared" si="2992"/>
        <v>20007</v>
      </c>
      <c r="B3073" s="7">
        <f t="shared" ref="B3073:C3073" si="3039">B2985</f>
        <v>40000</v>
      </c>
      <c r="C3073" s="7" t="str">
        <f t="shared" si="3039"/>
        <v>装备</v>
      </c>
      <c r="D3073" s="7">
        <v>50101056</v>
      </c>
      <c r="E3073" s="7"/>
      <c r="F3073" s="7">
        <v>1</v>
      </c>
      <c r="G3073" s="8">
        <f>3*INDEX([1]equip.xml!$I:$I,MATCH(D3073,[1]equip.xml!$A:$A,0))</f>
        <v>78000</v>
      </c>
      <c r="H3073" s="7" t="str">
        <f t="shared" si="3018"/>
        <v>10_10,50_20,80_30</v>
      </c>
      <c r="I3073" s="7">
        <v>11</v>
      </c>
      <c r="J3073" s="7">
        <f t="shared" si="3018"/>
        <v>240</v>
      </c>
      <c r="K3073" s="7" t="s">
        <v>312</v>
      </c>
      <c r="L3073" s="7">
        <v>22</v>
      </c>
      <c r="M3073" s="7">
        <f>IF(INDEX([1]equip.xml!$B:$B,MATCH(D3073,[1]equip.xml!$A:$A,0))=0,0,N3073)</f>
        <v>130</v>
      </c>
      <c r="N3073" s="7">
        <f t="shared" ref="N3073" si="3040">N2985</f>
        <v>130</v>
      </c>
    </row>
    <row r="3074" spans="1:14">
      <c r="A3074" s="7">
        <f t="shared" si="2992"/>
        <v>20007</v>
      </c>
      <c r="B3074" s="7">
        <f t="shared" ref="B3074:C3074" si="3041">B2986</f>
        <v>40000</v>
      </c>
      <c r="C3074" s="7" t="str">
        <f t="shared" si="3041"/>
        <v>装备</v>
      </c>
      <c r="D3074" s="7">
        <v>50101065</v>
      </c>
      <c r="E3074" s="7"/>
      <c r="F3074" s="7">
        <v>1</v>
      </c>
      <c r="G3074" s="8">
        <f>3*INDEX([1]equip.xml!$I:$I,MATCH(D3074,[1]equip.xml!$A:$A,0))</f>
        <v>60000</v>
      </c>
      <c r="H3074" s="7" t="str">
        <f t="shared" si="3018"/>
        <v>10_10,50_20,80_30</v>
      </c>
      <c r="I3074" s="7">
        <v>11</v>
      </c>
      <c r="J3074" s="7">
        <f t="shared" si="3018"/>
        <v>240</v>
      </c>
      <c r="K3074" s="7" t="s">
        <v>312</v>
      </c>
      <c r="L3074" s="7">
        <v>22</v>
      </c>
      <c r="M3074" s="7">
        <f>IF(INDEX([1]equip.xml!$B:$B,MATCH(D3074,[1]equip.xml!$A:$A,0))=0,0,N3074)</f>
        <v>130</v>
      </c>
      <c r="N3074" s="7">
        <f t="shared" ref="N3074" si="3042">N2986</f>
        <v>130</v>
      </c>
    </row>
    <row r="3075" spans="1:14">
      <c r="A3075" s="7">
        <f t="shared" si="2992"/>
        <v>20007</v>
      </c>
      <c r="B3075" s="7">
        <f t="shared" ref="B3075:C3075" si="3043">B2987</f>
        <v>40000</v>
      </c>
      <c r="C3075" s="7" t="str">
        <f t="shared" si="3043"/>
        <v>装备</v>
      </c>
      <c r="D3075" s="7">
        <v>50101066</v>
      </c>
      <c r="E3075" s="7"/>
      <c r="F3075" s="7">
        <v>1</v>
      </c>
      <c r="G3075" s="8">
        <f>3*INDEX([1]equip.xml!$I:$I,MATCH(D3075,[1]equip.xml!$A:$A,0))</f>
        <v>78000</v>
      </c>
      <c r="H3075" s="7" t="str">
        <f t="shared" si="3018"/>
        <v>10_10,50_20,80_30</v>
      </c>
      <c r="I3075" s="7">
        <v>11</v>
      </c>
      <c r="J3075" s="7">
        <f t="shared" si="3018"/>
        <v>240</v>
      </c>
      <c r="K3075" s="7" t="s">
        <v>312</v>
      </c>
      <c r="L3075" s="7">
        <v>22</v>
      </c>
      <c r="M3075" s="7">
        <f>IF(INDEX([1]equip.xml!$B:$B,MATCH(D3075,[1]equip.xml!$A:$A,0))=0,0,N3075)</f>
        <v>0</v>
      </c>
      <c r="N3075" s="7">
        <f t="shared" ref="N3075" si="3044">N2987</f>
        <v>130</v>
      </c>
    </row>
    <row r="3076" spans="1:14">
      <c r="A3076" s="7">
        <f t="shared" si="2992"/>
        <v>20007</v>
      </c>
      <c r="B3076" s="7">
        <f t="shared" ref="B3076:C3076" si="3045">B2988</f>
        <v>40000</v>
      </c>
      <c r="C3076" s="7" t="str">
        <f t="shared" si="3045"/>
        <v>装备</v>
      </c>
      <c r="D3076" s="7">
        <v>50102055</v>
      </c>
      <c r="E3076" s="7"/>
      <c r="F3076" s="7">
        <v>1</v>
      </c>
      <c r="G3076" s="8">
        <f>3*INDEX([1]equip.xml!$I:$I,MATCH(D3076,[1]equip.xml!$A:$A,0))</f>
        <v>60000</v>
      </c>
      <c r="H3076" s="7" t="str">
        <f t="shared" si="3018"/>
        <v>10_10,50_20,80_30</v>
      </c>
      <c r="I3076" s="7">
        <v>11</v>
      </c>
      <c r="J3076" s="7">
        <f t="shared" si="3018"/>
        <v>240</v>
      </c>
      <c r="K3076" s="7" t="s">
        <v>312</v>
      </c>
      <c r="L3076" s="7">
        <v>22</v>
      </c>
      <c r="M3076" s="7">
        <f>IF(INDEX([1]equip.xml!$B:$B,MATCH(D3076,[1]equip.xml!$A:$A,0))=0,0,N3076)</f>
        <v>130</v>
      </c>
      <c r="N3076" s="7">
        <f t="shared" ref="N3076" si="3046">N2988</f>
        <v>130</v>
      </c>
    </row>
    <row r="3077" spans="1:14">
      <c r="A3077" s="7">
        <f t="shared" si="2992"/>
        <v>20007</v>
      </c>
      <c r="B3077" s="7">
        <f t="shared" ref="B3077:C3077" si="3047">B2989</f>
        <v>40000</v>
      </c>
      <c r="C3077" s="7" t="str">
        <f t="shared" si="3047"/>
        <v>装备</v>
      </c>
      <c r="D3077" s="7">
        <v>50102056</v>
      </c>
      <c r="E3077" s="7"/>
      <c r="F3077" s="7">
        <v>1</v>
      </c>
      <c r="G3077" s="8">
        <f>3*INDEX([1]equip.xml!$I:$I,MATCH(D3077,[1]equip.xml!$A:$A,0))</f>
        <v>78000</v>
      </c>
      <c r="H3077" s="7" t="str">
        <f t="shared" si="3018"/>
        <v>10_10,50_20,80_30</v>
      </c>
      <c r="I3077" s="7">
        <v>11</v>
      </c>
      <c r="J3077" s="7">
        <f t="shared" si="3018"/>
        <v>240</v>
      </c>
      <c r="K3077" s="7" t="s">
        <v>312</v>
      </c>
      <c r="L3077" s="7">
        <v>22</v>
      </c>
      <c r="M3077" s="7">
        <f>IF(INDEX([1]equip.xml!$B:$B,MATCH(D3077,[1]equip.xml!$A:$A,0))=0,0,N3077)</f>
        <v>130</v>
      </c>
      <c r="N3077" s="7">
        <f t="shared" ref="N3077" si="3048">N2989</f>
        <v>130</v>
      </c>
    </row>
    <row r="3078" spans="1:14">
      <c r="A3078" s="7">
        <f t="shared" si="2992"/>
        <v>20007</v>
      </c>
      <c r="B3078" s="7">
        <f t="shared" ref="B3078:C3078" si="3049">B2990</f>
        <v>40000</v>
      </c>
      <c r="C3078" s="7" t="str">
        <f t="shared" si="3049"/>
        <v>装备</v>
      </c>
      <c r="D3078" s="7">
        <v>50102065</v>
      </c>
      <c r="E3078" s="7"/>
      <c r="F3078" s="7">
        <v>1</v>
      </c>
      <c r="G3078" s="8">
        <f>3*INDEX([1]equip.xml!$I:$I,MATCH(D3078,[1]equip.xml!$A:$A,0))</f>
        <v>60000</v>
      </c>
      <c r="H3078" s="7" t="str">
        <f t="shared" ref="H3078:J3093" si="3050">H2990</f>
        <v>10_10,50_20,80_30</v>
      </c>
      <c r="I3078" s="7">
        <v>11</v>
      </c>
      <c r="J3078" s="7">
        <f t="shared" si="3050"/>
        <v>240</v>
      </c>
      <c r="K3078" s="7" t="s">
        <v>312</v>
      </c>
      <c r="L3078" s="7">
        <v>22</v>
      </c>
      <c r="M3078" s="7">
        <f>IF(INDEX([1]equip.xml!$B:$B,MATCH(D3078,[1]equip.xml!$A:$A,0))=0,0,N3078)</f>
        <v>130</v>
      </c>
      <c r="N3078" s="7">
        <f t="shared" ref="N3078" si="3051">N2990</f>
        <v>130</v>
      </c>
    </row>
    <row r="3079" spans="1:14">
      <c r="A3079" s="7">
        <f t="shared" si="2992"/>
        <v>20007</v>
      </c>
      <c r="B3079" s="7">
        <f t="shared" ref="B3079:C3079" si="3052">B2991</f>
        <v>40000</v>
      </c>
      <c r="C3079" s="7" t="str">
        <f t="shared" si="3052"/>
        <v>装备</v>
      </c>
      <c r="D3079" s="7">
        <v>50102066</v>
      </c>
      <c r="E3079" s="7"/>
      <c r="F3079" s="7">
        <v>1</v>
      </c>
      <c r="G3079" s="8">
        <f>3*INDEX([1]equip.xml!$I:$I,MATCH(D3079,[1]equip.xml!$A:$A,0))</f>
        <v>78000</v>
      </c>
      <c r="H3079" s="7" t="str">
        <f t="shared" si="3050"/>
        <v>10_10,50_20,80_30</v>
      </c>
      <c r="I3079" s="7">
        <v>11</v>
      </c>
      <c r="J3079" s="7">
        <f t="shared" si="3050"/>
        <v>240</v>
      </c>
      <c r="K3079" s="7" t="s">
        <v>312</v>
      </c>
      <c r="L3079" s="7">
        <v>22</v>
      </c>
      <c r="M3079" s="7">
        <f>IF(INDEX([1]equip.xml!$B:$B,MATCH(D3079,[1]equip.xml!$A:$A,0))=0,0,N3079)</f>
        <v>0</v>
      </c>
      <c r="N3079" s="7">
        <f t="shared" ref="N3079" si="3053">N2991</f>
        <v>130</v>
      </c>
    </row>
    <row r="3080" spans="1:14">
      <c r="A3080" s="7">
        <f t="shared" si="2992"/>
        <v>20007</v>
      </c>
      <c r="B3080" s="7">
        <f t="shared" ref="B3080:C3080" si="3054">B2992</f>
        <v>40000</v>
      </c>
      <c r="C3080" s="7" t="str">
        <f t="shared" si="3054"/>
        <v>装备</v>
      </c>
      <c r="D3080" s="7">
        <v>50103055</v>
      </c>
      <c r="E3080" s="7"/>
      <c r="F3080" s="7">
        <v>1</v>
      </c>
      <c r="G3080" s="8">
        <f>3*INDEX([1]equip.xml!$I:$I,MATCH(D3080,[1]equip.xml!$A:$A,0))</f>
        <v>60000</v>
      </c>
      <c r="H3080" s="7" t="str">
        <f t="shared" si="3050"/>
        <v>10_10,50_20,80_30</v>
      </c>
      <c r="I3080" s="7">
        <v>11</v>
      </c>
      <c r="J3080" s="7">
        <f t="shared" si="3050"/>
        <v>240</v>
      </c>
      <c r="K3080" s="7" t="s">
        <v>312</v>
      </c>
      <c r="L3080" s="7">
        <v>22</v>
      </c>
      <c r="M3080" s="7">
        <f>IF(INDEX([1]equip.xml!$B:$B,MATCH(D3080,[1]equip.xml!$A:$A,0))=0,0,N3080)</f>
        <v>130</v>
      </c>
      <c r="N3080" s="7">
        <f t="shared" ref="N3080" si="3055">N2992</f>
        <v>130</v>
      </c>
    </row>
    <row r="3081" spans="1:14">
      <c r="A3081" s="7">
        <f t="shared" si="2992"/>
        <v>20007</v>
      </c>
      <c r="B3081" s="7">
        <f t="shared" ref="B3081:C3081" si="3056">B2993</f>
        <v>40000</v>
      </c>
      <c r="C3081" s="7" t="str">
        <f t="shared" si="3056"/>
        <v>装备</v>
      </c>
      <c r="D3081" s="7">
        <v>50103056</v>
      </c>
      <c r="E3081" s="7"/>
      <c r="F3081" s="7">
        <v>1</v>
      </c>
      <c r="G3081" s="8">
        <f>3*INDEX([1]equip.xml!$I:$I,MATCH(D3081,[1]equip.xml!$A:$A,0))</f>
        <v>78000</v>
      </c>
      <c r="H3081" s="7" t="str">
        <f t="shared" si="3050"/>
        <v>10_10,50_20,80_30</v>
      </c>
      <c r="I3081" s="7">
        <v>11</v>
      </c>
      <c r="J3081" s="7">
        <f t="shared" si="3050"/>
        <v>240</v>
      </c>
      <c r="K3081" s="7" t="s">
        <v>312</v>
      </c>
      <c r="L3081" s="7">
        <v>22</v>
      </c>
      <c r="M3081" s="7">
        <f>IF(INDEX([1]equip.xml!$B:$B,MATCH(D3081,[1]equip.xml!$A:$A,0))=0,0,N3081)</f>
        <v>130</v>
      </c>
      <c r="N3081" s="7">
        <f t="shared" ref="N3081" si="3057">N2993</f>
        <v>130</v>
      </c>
    </row>
    <row r="3082" spans="1:14">
      <c r="A3082" s="7">
        <f t="shared" si="2992"/>
        <v>20007</v>
      </c>
      <c r="B3082" s="7">
        <f t="shared" ref="B3082:C3082" si="3058">B2994</f>
        <v>40000</v>
      </c>
      <c r="C3082" s="7" t="str">
        <f t="shared" si="3058"/>
        <v>装备</v>
      </c>
      <c r="D3082" s="7">
        <v>50103065</v>
      </c>
      <c r="E3082" s="7"/>
      <c r="F3082" s="7">
        <v>1</v>
      </c>
      <c r="G3082" s="8">
        <f>3*INDEX([1]equip.xml!$I:$I,MATCH(D3082,[1]equip.xml!$A:$A,0))</f>
        <v>60000</v>
      </c>
      <c r="H3082" s="7" t="str">
        <f t="shared" si="3050"/>
        <v>10_10,50_20,80_30</v>
      </c>
      <c r="I3082" s="7">
        <v>11</v>
      </c>
      <c r="J3082" s="7">
        <f t="shared" si="3050"/>
        <v>240</v>
      </c>
      <c r="K3082" s="7" t="s">
        <v>312</v>
      </c>
      <c r="L3082" s="7">
        <v>22</v>
      </c>
      <c r="M3082" s="7">
        <f>IF(INDEX([1]equip.xml!$B:$B,MATCH(D3082,[1]equip.xml!$A:$A,0))=0,0,N3082)</f>
        <v>130</v>
      </c>
      <c r="N3082" s="7">
        <f t="shared" ref="N3082" si="3059">N2994</f>
        <v>130</v>
      </c>
    </row>
    <row r="3083" spans="1:14">
      <c r="A3083" s="7">
        <f t="shared" si="2992"/>
        <v>20007</v>
      </c>
      <c r="B3083" s="7">
        <f t="shared" ref="B3083:C3083" si="3060">B2995</f>
        <v>40000</v>
      </c>
      <c r="C3083" s="7" t="str">
        <f t="shared" si="3060"/>
        <v>装备</v>
      </c>
      <c r="D3083" s="7">
        <v>50103066</v>
      </c>
      <c r="E3083" s="7"/>
      <c r="F3083" s="7">
        <v>1</v>
      </c>
      <c r="G3083" s="8">
        <f>3*INDEX([1]equip.xml!$I:$I,MATCH(D3083,[1]equip.xml!$A:$A,0))</f>
        <v>78000</v>
      </c>
      <c r="H3083" s="7" t="str">
        <f t="shared" si="3050"/>
        <v>10_10,50_20,80_30</v>
      </c>
      <c r="I3083" s="7">
        <v>11</v>
      </c>
      <c r="J3083" s="7">
        <f t="shared" si="3050"/>
        <v>240</v>
      </c>
      <c r="K3083" s="7" t="s">
        <v>312</v>
      </c>
      <c r="L3083" s="7">
        <v>22</v>
      </c>
      <c r="M3083" s="7">
        <f>IF(INDEX([1]equip.xml!$B:$B,MATCH(D3083,[1]equip.xml!$A:$A,0))=0,0,N3083)</f>
        <v>0</v>
      </c>
      <c r="N3083" s="7">
        <f t="shared" ref="N3083" si="3061">N2995</f>
        <v>130</v>
      </c>
    </row>
    <row r="3084" spans="1:14">
      <c r="A3084" s="7">
        <f t="shared" si="2992"/>
        <v>20007</v>
      </c>
      <c r="B3084" s="7">
        <f t="shared" ref="B3084:C3084" si="3062">B2996</f>
        <v>40000</v>
      </c>
      <c r="C3084" s="7" t="str">
        <f t="shared" si="3062"/>
        <v>装备</v>
      </c>
      <c r="D3084" s="7">
        <v>50100045</v>
      </c>
      <c r="E3084" s="7"/>
      <c r="F3084" s="7">
        <v>1</v>
      </c>
      <c r="G3084" s="8">
        <f>3*INDEX([1]equip.xml!$I:$I,MATCH(D3084,[1]equip.xml!$A:$A,0))</f>
        <v>60000</v>
      </c>
      <c r="H3084" s="7" t="str">
        <f t="shared" si="3050"/>
        <v>10_10,50_20,80_30</v>
      </c>
      <c r="I3084" s="7">
        <v>11</v>
      </c>
      <c r="J3084" s="7">
        <f t="shared" si="3050"/>
        <v>240</v>
      </c>
      <c r="K3084" s="7" t="s">
        <v>312</v>
      </c>
      <c r="L3084" s="7">
        <v>22</v>
      </c>
      <c r="M3084" s="7">
        <f>IF(INDEX([1]equip.xml!$B:$B,MATCH(D3084,[1]equip.xml!$A:$A,0))=0,0,N3084)</f>
        <v>130</v>
      </c>
      <c r="N3084" s="7">
        <f t="shared" ref="N3084" si="3063">N2996</f>
        <v>130</v>
      </c>
    </row>
    <row r="3085" spans="1:14">
      <c r="A3085" s="7">
        <f t="shared" si="2992"/>
        <v>20007</v>
      </c>
      <c r="B3085" s="7">
        <f t="shared" ref="B3085:C3085" si="3064">B2997</f>
        <v>40000</v>
      </c>
      <c r="C3085" s="7" t="str">
        <f t="shared" si="3064"/>
        <v>装备</v>
      </c>
      <c r="D3085" s="7">
        <v>50100046</v>
      </c>
      <c r="E3085" s="7"/>
      <c r="F3085" s="7">
        <v>1</v>
      </c>
      <c r="G3085" s="8">
        <f>3*INDEX([1]equip.xml!$I:$I,MATCH(D3085,[1]equip.xml!$A:$A,0))</f>
        <v>78000</v>
      </c>
      <c r="H3085" s="7" t="str">
        <f t="shared" si="3050"/>
        <v>10_10,50_20,80_30</v>
      </c>
      <c r="I3085" s="7">
        <v>11</v>
      </c>
      <c r="J3085" s="7">
        <f t="shared" si="3050"/>
        <v>240</v>
      </c>
      <c r="K3085" s="7" t="s">
        <v>312</v>
      </c>
      <c r="L3085" s="7">
        <v>22</v>
      </c>
      <c r="M3085" s="7">
        <f>IF(INDEX([1]equip.xml!$B:$B,MATCH(D3085,[1]equip.xml!$A:$A,0))=0,0,N3085)</f>
        <v>0</v>
      </c>
      <c r="N3085" s="7">
        <f t="shared" ref="N3085" si="3065">N2997</f>
        <v>130</v>
      </c>
    </row>
    <row r="3086" spans="1:14">
      <c r="A3086" s="7">
        <f t="shared" si="2992"/>
        <v>20007</v>
      </c>
      <c r="B3086" s="7">
        <f t="shared" ref="B3086:C3086" si="3066">B2998</f>
        <v>40000</v>
      </c>
      <c r="C3086" s="7" t="str">
        <f t="shared" si="3066"/>
        <v>装备</v>
      </c>
      <c r="D3086" s="7">
        <v>50100075</v>
      </c>
      <c r="E3086" s="7"/>
      <c r="F3086" s="7">
        <v>1</v>
      </c>
      <c r="G3086" s="8">
        <f>3*INDEX([1]equip.xml!$I:$I,MATCH(D3086,[1]equip.xml!$A:$A,0))</f>
        <v>60000</v>
      </c>
      <c r="H3086" s="7" t="str">
        <f t="shared" si="3050"/>
        <v>10_10,50_20,80_30</v>
      </c>
      <c r="I3086" s="7">
        <v>11</v>
      </c>
      <c r="J3086" s="7">
        <f t="shared" si="3050"/>
        <v>240</v>
      </c>
      <c r="K3086" s="7" t="s">
        <v>312</v>
      </c>
      <c r="L3086" s="7">
        <v>22</v>
      </c>
      <c r="M3086" s="7">
        <f>IF(INDEX([1]equip.xml!$B:$B,MATCH(D3086,[1]equip.xml!$A:$A,0))=0,0,N3086)</f>
        <v>130</v>
      </c>
      <c r="N3086" s="7">
        <f t="shared" ref="N3086" si="3067">N2998</f>
        <v>130</v>
      </c>
    </row>
    <row r="3087" spans="1:14">
      <c r="A3087" s="7">
        <f t="shared" si="2992"/>
        <v>20007</v>
      </c>
      <c r="B3087" s="7">
        <f t="shared" ref="B3087:C3087" si="3068">B2999</f>
        <v>40000</v>
      </c>
      <c r="C3087" s="7" t="str">
        <f t="shared" si="3068"/>
        <v>装备</v>
      </c>
      <c r="D3087" s="7">
        <v>50100076</v>
      </c>
      <c r="E3087" s="7"/>
      <c r="F3087" s="7">
        <v>1</v>
      </c>
      <c r="G3087" s="8">
        <f>3*INDEX([1]equip.xml!$I:$I,MATCH(D3087,[1]equip.xml!$A:$A,0))</f>
        <v>78000</v>
      </c>
      <c r="H3087" s="7" t="str">
        <f t="shared" si="3050"/>
        <v>10_10,50_20,80_30</v>
      </c>
      <c r="I3087" s="7">
        <v>11</v>
      </c>
      <c r="J3087" s="7">
        <f t="shared" si="3050"/>
        <v>240</v>
      </c>
      <c r="K3087" s="7" t="s">
        <v>312</v>
      </c>
      <c r="L3087" s="7">
        <v>22</v>
      </c>
      <c r="M3087" s="7">
        <f>IF(INDEX([1]equip.xml!$B:$B,MATCH(D3087,[1]equip.xml!$A:$A,0))=0,0,N3087)</f>
        <v>0</v>
      </c>
      <c r="N3087" s="7">
        <f t="shared" ref="N3087" si="3069">N2999</f>
        <v>130</v>
      </c>
    </row>
    <row r="3088" spans="1:14">
      <c r="A3088" s="7">
        <f t="shared" si="2992"/>
        <v>20007</v>
      </c>
      <c r="B3088" s="7">
        <f t="shared" ref="B3088:C3088" si="3070">B3000</f>
        <v>40000</v>
      </c>
      <c r="C3088" s="7" t="str">
        <f t="shared" si="3070"/>
        <v>装备</v>
      </c>
      <c r="D3088" s="7">
        <v>50150015</v>
      </c>
      <c r="E3088" s="7"/>
      <c r="F3088" s="7">
        <v>1</v>
      </c>
      <c r="G3088" s="8">
        <f>3*INDEX([1]equip.xml!$I:$I,MATCH(D3088,[1]equip.xml!$A:$A,0))</f>
        <v>90000</v>
      </c>
      <c r="H3088" s="7" t="str">
        <f t="shared" si="3050"/>
        <v>10_10,50_20,80_30</v>
      </c>
      <c r="I3088" s="7">
        <v>11</v>
      </c>
      <c r="J3088" s="7">
        <f t="shared" si="3050"/>
        <v>240</v>
      </c>
      <c r="K3088" s="7" t="s">
        <v>312</v>
      </c>
      <c r="L3088" s="7">
        <v>22</v>
      </c>
      <c r="M3088" s="7">
        <f>IF(INDEX([1]equip.xml!$B:$B,MATCH(D3088,[1]equip.xml!$A:$A,0))=0,0,N3088)</f>
        <v>0</v>
      </c>
      <c r="N3088" s="7">
        <f t="shared" ref="N3088" si="3071">N3000</f>
        <v>65</v>
      </c>
    </row>
    <row r="3089" spans="1:14">
      <c r="A3089" s="7">
        <f t="shared" si="2992"/>
        <v>20007</v>
      </c>
      <c r="B3089" s="7">
        <f t="shared" ref="B3089:C3089" si="3072">B3001</f>
        <v>40000</v>
      </c>
      <c r="C3089" s="7" t="str">
        <f t="shared" si="3072"/>
        <v>装备</v>
      </c>
      <c r="D3089" s="7">
        <v>50150025</v>
      </c>
      <c r="E3089" s="7"/>
      <c r="F3089" s="7">
        <v>1</v>
      </c>
      <c r="G3089" s="8">
        <f>3*INDEX([1]equip.xml!$I:$I,MATCH(D3089,[1]equip.xml!$A:$A,0))</f>
        <v>90000</v>
      </c>
      <c r="H3089" s="7" t="str">
        <f t="shared" si="3050"/>
        <v>10_10,50_20,80_30</v>
      </c>
      <c r="I3089" s="7">
        <v>11</v>
      </c>
      <c r="J3089" s="7">
        <f t="shared" si="3050"/>
        <v>240</v>
      </c>
      <c r="K3089" s="7" t="s">
        <v>312</v>
      </c>
      <c r="L3089" s="7">
        <v>22</v>
      </c>
      <c r="M3089" s="7">
        <f>IF(INDEX([1]equip.xml!$B:$B,MATCH(D3089,[1]equip.xml!$A:$A,0))=0,0,N3089)</f>
        <v>0</v>
      </c>
      <c r="N3089" s="7">
        <f t="shared" ref="N3089" si="3073">N3001</f>
        <v>65</v>
      </c>
    </row>
    <row r="3090" spans="1:14">
      <c r="A3090" s="7">
        <f t="shared" si="2992"/>
        <v>20007</v>
      </c>
      <c r="B3090" s="7">
        <f t="shared" ref="B3090:C3090" si="3074">B3002</f>
        <v>40000</v>
      </c>
      <c r="C3090" s="7" t="str">
        <f t="shared" si="3074"/>
        <v>装备</v>
      </c>
      <c r="D3090" s="7">
        <v>50150035</v>
      </c>
      <c r="E3090" s="7"/>
      <c r="F3090" s="7">
        <v>1</v>
      </c>
      <c r="G3090" s="8">
        <f>3*INDEX([1]equip.xml!$I:$I,MATCH(D3090,[1]equip.xml!$A:$A,0))</f>
        <v>90000</v>
      </c>
      <c r="H3090" s="7" t="str">
        <f t="shared" si="3050"/>
        <v>10_10,50_20,80_30</v>
      </c>
      <c r="I3090" s="7">
        <v>11</v>
      </c>
      <c r="J3090" s="7">
        <f t="shared" si="3050"/>
        <v>240</v>
      </c>
      <c r="K3090" s="7" t="s">
        <v>312</v>
      </c>
      <c r="L3090" s="7">
        <v>22</v>
      </c>
      <c r="M3090" s="7">
        <f>IF(INDEX([1]equip.xml!$B:$B,MATCH(D3090,[1]equip.xml!$A:$A,0))=0,0,N3090)</f>
        <v>65</v>
      </c>
      <c r="N3090" s="7">
        <f t="shared" ref="N3090" si="3075">N3002</f>
        <v>65</v>
      </c>
    </row>
    <row r="3091" spans="1:14">
      <c r="A3091" s="7">
        <f t="shared" si="2992"/>
        <v>20007</v>
      </c>
      <c r="B3091" s="7">
        <f t="shared" ref="B3091:C3091" si="3076">B3003</f>
        <v>40000</v>
      </c>
      <c r="C3091" s="7" t="str">
        <f t="shared" si="3076"/>
        <v>装备</v>
      </c>
      <c r="D3091" s="7">
        <v>50150085</v>
      </c>
      <c r="E3091" s="7"/>
      <c r="F3091" s="7">
        <v>1</v>
      </c>
      <c r="G3091" s="8">
        <f>3*INDEX([1]equip.xml!$I:$I,MATCH(D3091,[1]equip.xml!$A:$A,0))</f>
        <v>90000</v>
      </c>
      <c r="H3091" s="7" t="str">
        <f t="shared" si="3050"/>
        <v>10_10,50_20,80_30</v>
      </c>
      <c r="I3091" s="7">
        <v>11</v>
      </c>
      <c r="J3091" s="7">
        <f t="shared" si="3050"/>
        <v>240</v>
      </c>
      <c r="K3091" s="7" t="s">
        <v>312</v>
      </c>
      <c r="L3091" s="7">
        <v>22</v>
      </c>
      <c r="M3091" s="7">
        <f>IF(INDEX([1]equip.xml!$B:$B,MATCH(D3091,[1]equip.xml!$A:$A,0))=0,0,N3091)</f>
        <v>65</v>
      </c>
      <c r="N3091" s="7">
        <f t="shared" ref="N3091" si="3077">N3003</f>
        <v>65</v>
      </c>
    </row>
    <row r="3092" spans="1:14">
      <c r="A3092" s="7">
        <f t="shared" si="2992"/>
        <v>20007</v>
      </c>
      <c r="B3092" s="7">
        <f t="shared" ref="B3092:C3092" si="3078">B3004</f>
        <v>40000</v>
      </c>
      <c r="C3092" s="7" t="str">
        <f t="shared" si="3078"/>
        <v>装备</v>
      </c>
      <c r="D3092" s="7">
        <v>50150095</v>
      </c>
      <c r="E3092" s="7"/>
      <c r="F3092" s="7">
        <v>1</v>
      </c>
      <c r="G3092" s="8">
        <f>3*INDEX([1]equip.xml!$I:$I,MATCH(D3092,[1]equip.xml!$A:$A,0))</f>
        <v>90000</v>
      </c>
      <c r="H3092" s="7" t="str">
        <f t="shared" si="3050"/>
        <v>10_10,50_20,80_30</v>
      </c>
      <c r="I3092" s="7">
        <v>11</v>
      </c>
      <c r="J3092" s="7">
        <f t="shared" si="3050"/>
        <v>240</v>
      </c>
      <c r="K3092" s="7" t="s">
        <v>312</v>
      </c>
      <c r="L3092" s="7">
        <v>22</v>
      </c>
      <c r="M3092" s="7">
        <f>IF(INDEX([1]equip.xml!$B:$B,MATCH(D3092,[1]equip.xml!$A:$A,0))=0,0,N3092)</f>
        <v>65</v>
      </c>
      <c r="N3092" s="7">
        <f t="shared" ref="N3092" si="3079">N3004</f>
        <v>65</v>
      </c>
    </row>
    <row r="3093" spans="1:14">
      <c r="A3093" s="7">
        <f t="shared" si="2992"/>
        <v>20007</v>
      </c>
      <c r="B3093" s="7">
        <f t="shared" ref="B3093:C3093" si="3080">B3005</f>
        <v>40000</v>
      </c>
      <c r="C3093" s="7" t="str">
        <f t="shared" si="3080"/>
        <v>装备</v>
      </c>
      <c r="D3093" s="7">
        <v>50150105</v>
      </c>
      <c r="E3093" s="7"/>
      <c r="F3093" s="7">
        <v>1</v>
      </c>
      <c r="G3093" s="8">
        <f>3*INDEX([1]equip.xml!$I:$I,MATCH(D3093,[1]equip.xml!$A:$A,0))</f>
        <v>90000</v>
      </c>
      <c r="H3093" s="7" t="str">
        <f t="shared" si="3050"/>
        <v>10_10,50_20,80_30</v>
      </c>
      <c r="I3093" s="7">
        <v>11</v>
      </c>
      <c r="J3093" s="7">
        <f t="shared" si="3050"/>
        <v>240</v>
      </c>
      <c r="K3093" s="7" t="s">
        <v>312</v>
      </c>
      <c r="L3093" s="7">
        <v>22</v>
      </c>
      <c r="M3093" s="7">
        <f>IF(INDEX([1]equip.xml!$B:$B,MATCH(D3093,[1]equip.xml!$A:$A,0))=0,0,N3093)</f>
        <v>65</v>
      </c>
      <c r="N3093" s="7">
        <f t="shared" ref="N3093" si="3081">N3005</f>
        <v>65</v>
      </c>
    </row>
    <row r="3094" spans="1:14">
      <c r="A3094" s="7">
        <f t="shared" si="2992"/>
        <v>20007</v>
      </c>
      <c r="B3094" s="7">
        <f t="shared" ref="B3094:C3094" si="3082">B3006</f>
        <v>40000</v>
      </c>
      <c r="C3094" s="7" t="str">
        <f t="shared" si="3082"/>
        <v>装备</v>
      </c>
      <c r="D3094" s="7">
        <v>50151055</v>
      </c>
      <c r="E3094" s="7"/>
      <c r="F3094" s="7">
        <v>1</v>
      </c>
      <c r="G3094" s="8">
        <f>3*INDEX([1]equip.xml!$I:$I,MATCH(D3094,[1]equip.xml!$A:$A,0))</f>
        <v>90000</v>
      </c>
      <c r="H3094" s="7" t="str">
        <f t="shared" ref="H3094:J3109" si="3083">H3006</f>
        <v>10_10,50_20,80_30</v>
      </c>
      <c r="I3094" s="7">
        <v>11</v>
      </c>
      <c r="J3094" s="7">
        <f t="shared" si="3083"/>
        <v>240</v>
      </c>
      <c r="K3094" s="7" t="s">
        <v>312</v>
      </c>
      <c r="L3094" s="7">
        <v>22</v>
      </c>
      <c r="M3094" s="7">
        <f>IF(INDEX([1]equip.xml!$B:$B,MATCH(D3094,[1]equip.xml!$A:$A,0))=0,0,N3094)</f>
        <v>65</v>
      </c>
      <c r="N3094" s="7">
        <f t="shared" ref="N3094" si="3084">N3006</f>
        <v>65</v>
      </c>
    </row>
    <row r="3095" spans="1:14">
      <c r="A3095" s="7">
        <f t="shared" si="2992"/>
        <v>20007</v>
      </c>
      <c r="B3095" s="7">
        <f t="shared" ref="B3095:C3095" si="3085">B3007</f>
        <v>40000</v>
      </c>
      <c r="C3095" s="7" t="str">
        <f t="shared" si="3085"/>
        <v>装备</v>
      </c>
      <c r="D3095" s="7">
        <v>50151056</v>
      </c>
      <c r="E3095" s="7"/>
      <c r="F3095" s="7">
        <v>1</v>
      </c>
      <c r="G3095" s="8">
        <f>3*INDEX([1]equip.xml!$I:$I,MATCH(D3095,[1]equip.xml!$A:$A,0))</f>
        <v>108000</v>
      </c>
      <c r="H3095" s="7" t="str">
        <f t="shared" si="3083"/>
        <v>10_10,50_20,80_30</v>
      </c>
      <c r="I3095" s="7">
        <v>11</v>
      </c>
      <c r="J3095" s="7">
        <f t="shared" si="3083"/>
        <v>240</v>
      </c>
      <c r="K3095" s="7" t="s">
        <v>312</v>
      </c>
      <c r="L3095" s="7">
        <v>22</v>
      </c>
      <c r="M3095" s="7">
        <f>IF(INDEX([1]equip.xml!$B:$B,MATCH(D3095,[1]equip.xml!$A:$A,0))=0,0,N3095)</f>
        <v>65</v>
      </c>
      <c r="N3095" s="7">
        <f t="shared" ref="N3095" si="3086">N3007</f>
        <v>65</v>
      </c>
    </row>
    <row r="3096" spans="1:14">
      <c r="A3096" s="7">
        <f t="shared" si="2992"/>
        <v>20007</v>
      </c>
      <c r="B3096" s="7">
        <f t="shared" ref="B3096:C3096" si="3087">B3008</f>
        <v>40000</v>
      </c>
      <c r="C3096" s="7" t="str">
        <f t="shared" si="3087"/>
        <v>装备</v>
      </c>
      <c r="D3096" s="7">
        <v>50151065</v>
      </c>
      <c r="E3096" s="7"/>
      <c r="F3096" s="7">
        <v>1</v>
      </c>
      <c r="G3096" s="8">
        <f>3*INDEX([1]equip.xml!$I:$I,MATCH(D3096,[1]equip.xml!$A:$A,0))</f>
        <v>90000</v>
      </c>
      <c r="H3096" s="7" t="str">
        <f t="shared" si="3083"/>
        <v>10_10,50_20,80_30</v>
      </c>
      <c r="I3096" s="7">
        <v>11</v>
      </c>
      <c r="J3096" s="7">
        <f t="shared" si="3083"/>
        <v>240</v>
      </c>
      <c r="K3096" s="7" t="s">
        <v>312</v>
      </c>
      <c r="L3096" s="7">
        <v>22</v>
      </c>
      <c r="M3096" s="7">
        <f>IF(INDEX([1]equip.xml!$B:$B,MATCH(D3096,[1]equip.xml!$A:$A,0))=0,0,N3096)</f>
        <v>65</v>
      </c>
      <c r="N3096" s="7">
        <f t="shared" ref="N3096" si="3088">N3008</f>
        <v>65</v>
      </c>
    </row>
    <row r="3097" spans="1:14">
      <c r="A3097" s="7">
        <f t="shared" si="2992"/>
        <v>20007</v>
      </c>
      <c r="B3097" s="7">
        <f t="shared" ref="B3097:C3097" si="3089">B3009</f>
        <v>40000</v>
      </c>
      <c r="C3097" s="7" t="str">
        <f t="shared" si="3089"/>
        <v>装备</v>
      </c>
      <c r="D3097" s="7">
        <v>50151066</v>
      </c>
      <c r="E3097" s="7"/>
      <c r="F3097" s="7">
        <v>1</v>
      </c>
      <c r="G3097" s="8">
        <f>3*INDEX([1]equip.xml!$I:$I,MATCH(D3097,[1]equip.xml!$A:$A,0))</f>
        <v>108000</v>
      </c>
      <c r="H3097" s="7" t="str">
        <f t="shared" si="3083"/>
        <v>10_10,50_20,80_30</v>
      </c>
      <c r="I3097" s="7">
        <v>11</v>
      </c>
      <c r="J3097" s="7">
        <f t="shared" si="3083"/>
        <v>240</v>
      </c>
      <c r="K3097" s="7" t="s">
        <v>312</v>
      </c>
      <c r="L3097" s="7">
        <v>22</v>
      </c>
      <c r="M3097" s="7">
        <f>IF(INDEX([1]equip.xml!$B:$B,MATCH(D3097,[1]equip.xml!$A:$A,0))=0,0,N3097)</f>
        <v>0</v>
      </c>
      <c r="N3097" s="7">
        <f t="shared" ref="N3097" si="3090">N3009</f>
        <v>65</v>
      </c>
    </row>
    <row r="3098" spans="1:14">
      <c r="A3098" s="7">
        <f t="shared" si="2992"/>
        <v>20007</v>
      </c>
      <c r="B3098" s="7">
        <f t="shared" ref="B3098:C3098" si="3091">B3010</f>
        <v>40000</v>
      </c>
      <c r="C3098" s="7" t="str">
        <f t="shared" si="3091"/>
        <v>装备</v>
      </c>
      <c r="D3098" s="7">
        <v>50152055</v>
      </c>
      <c r="E3098" s="7"/>
      <c r="F3098" s="7">
        <v>1</v>
      </c>
      <c r="G3098" s="8">
        <f>3*INDEX([1]equip.xml!$I:$I,MATCH(D3098,[1]equip.xml!$A:$A,0))</f>
        <v>90000</v>
      </c>
      <c r="H3098" s="7" t="str">
        <f t="shared" si="3083"/>
        <v>10_10,50_20,80_30</v>
      </c>
      <c r="I3098" s="7">
        <v>11</v>
      </c>
      <c r="J3098" s="7">
        <f t="shared" si="3083"/>
        <v>240</v>
      </c>
      <c r="K3098" s="7" t="s">
        <v>312</v>
      </c>
      <c r="L3098" s="7">
        <v>22</v>
      </c>
      <c r="M3098" s="7">
        <f>IF(INDEX([1]equip.xml!$B:$B,MATCH(D3098,[1]equip.xml!$A:$A,0))=0,0,N3098)</f>
        <v>65</v>
      </c>
      <c r="N3098" s="7">
        <f t="shared" ref="N3098" si="3092">N3010</f>
        <v>65</v>
      </c>
    </row>
    <row r="3099" spans="1:14">
      <c r="A3099" s="7">
        <f t="shared" si="2992"/>
        <v>20007</v>
      </c>
      <c r="B3099" s="7">
        <f t="shared" ref="B3099:C3099" si="3093">B3011</f>
        <v>40000</v>
      </c>
      <c r="C3099" s="7" t="str">
        <f t="shared" si="3093"/>
        <v>装备</v>
      </c>
      <c r="D3099" s="7">
        <v>50152056</v>
      </c>
      <c r="E3099" s="7"/>
      <c r="F3099" s="7">
        <v>1</v>
      </c>
      <c r="G3099" s="8">
        <f>3*INDEX([1]equip.xml!$I:$I,MATCH(D3099,[1]equip.xml!$A:$A,0))</f>
        <v>108000</v>
      </c>
      <c r="H3099" s="7" t="str">
        <f t="shared" si="3083"/>
        <v>10_10,50_20,80_30</v>
      </c>
      <c r="I3099" s="7">
        <v>11</v>
      </c>
      <c r="J3099" s="7">
        <f t="shared" si="3083"/>
        <v>240</v>
      </c>
      <c r="K3099" s="7" t="s">
        <v>312</v>
      </c>
      <c r="L3099" s="7">
        <v>22</v>
      </c>
      <c r="M3099" s="7">
        <f>IF(INDEX([1]equip.xml!$B:$B,MATCH(D3099,[1]equip.xml!$A:$A,0))=0,0,N3099)</f>
        <v>65</v>
      </c>
      <c r="N3099" s="7">
        <f t="shared" ref="N3099" si="3094">N3011</f>
        <v>65</v>
      </c>
    </row>
    <row r="3100" spans="1:14">
      <c r="A3100" s="7">
        <f t="shared" si="2992"/>
        <v>20007</v>
      </c>
      <c r="B3100" s="7">
        <f t="shared" ref="B3100:C3100" si="3095">B3012</f>
        <v>40000</v>
      </c>
      <c r="C3100" s="7" t="str">
        <f t="shared" si="3095"/>
        <v>装备</v>
      </c>
      <c r="D3100" s="7">
        <v>50152065</v>
      </c>
      <c r="E3100" s="7"/>
      <c r="F3100" s="7">
        <v>1</v>
      </c>
      <c r="G3100" s="8">
        <f>3*INDEX([1]equip.xml!$I:$I,MATCH(D3100,[1]equip.xml!$A:$A,0))</f>
        <v>90000</v>
      </c>
      <c r="H3100" s="7" t="str">
        <f t="shared" si="3083"/>
        <v>10_10,50_20,80_30</v>
      </c>
      <c r="I3100" s="7">
        <v>11</v>
      </c>
      <c r="J3100" s="7">
        <f t="shared" si="3083"/>
        <v>240</v>
      </c>
      <c r="K3100" s="7" t="s">
        <v>312</v>
      </c>
      <c r="L3100" s="7">
        <v>22</v>
      </c>
      <c r="M3100" s="7">
        <f>IF(INDEX([1]equip.xml!$B:$B,MATCH(D3100,[1]equip.xml!$A:$A,0))=0,0,N3100)</f>
        <v>65</v>
      </c>
      <c r="N3100" s="7">
        <f t="shared" ref="N3100" si="3096">N3012</f>
        <v>65</v>
      </c>
    </row>
    <row r="3101" spans="1:14">
      <c r="A3101" s="7">
        <f t="shared" si="2992"/>
        <v>20007</v>
      </c>
      <c r="B3101" s="7">
        <f t="shared" ref="B3101:C3101" si="3097">B3013</f>
        <v>40000</v>
      </c>
      <c r="C3101" s="7" t="str">
        <f t="shared" si="3097"/>
        <v>装备</v>
      </c>
      <c r="D3101" s="7">
        <v>50152066</v>
      </c>
      <c r="E3101" s="7"/>
      <c r="F3101" s="7">
        <v>1</v>
      </c>
      <c r="G3101" s="8">
        <f>3*INDEX([1]equip.xml!$I:$I,MATCH(D3101,[1]equip.xml!$A:$A,0))</f>
        <v>108000</v>
      </c>
      <c r="H3101" s="7" t="str">
        <f t="shared" si="3083"/>
        <v>10_10,50_20,80_30</v>
      </c>
      <c r="I3101" s="7">
        <v>11</v>
      </c>
      <c r="J3101" s="7">
        <f t="shared" si="3083"/>
        <v>240</v>
      </c>
      <c r="K3101" s="7" t="s">
        <v>312</v>
      </c>
      <c r="L3101" s="7">
        <v>22</v>
      </c>
      <c r="M3101" s="7">
        <f>IF(INDEX([1]equip.xml!$B:$B,MATCH(D3101,[1]equip.xml!$A:$A,0))=0,0,N3101)</f>
        <v>0</v>
      </c>
      <c r="N3101" s="7">
        <f t="shared" ref="N3101" si="3098">N3013</f>
        <v>65</v>
      </c>
    </row>
    <row r="3102" spans="1:14">
      <c r="A3102" s="7">
        <f t="shared" si="2992"/>
        <v>20007</v>
      </c>
      <c r="B3102" s="7">
        <f t="shared" ref="B3102:C3102" si="3099">B3014</f>
        <v>40000</v>
      </c>
      <c r="C3102" s="7" t="str">
        <f t="shared" si="3099"/>
        <v>装备</v>
      </c>
      <c r="D3102" s="7">
        <v>50153055</v>
      </c>
      <c r="E3102" s="7"/>
      <c r="F3102" s="7">
        <v>1</v>
      </c>
      <c r="G3102" s="8">
        <f>3*INDEX([1]equip.xml!$I:$I,MATCH(D3102,[1]equip.xml!$A:$A,0))</f>
        <v>90000</v>
      </c>
      <c r="H3102" s="7" t="str">
        <f t="shared" si="3083"/>
        <v>10_10,50_20,80_30</v>
      </c>
      <c r="I3102" s="7">
        <v>11</v>
      </c>
      <c r="J3102" s="7">
        <f t="shared" si="3083"/>
        <v>240</v>
      </c>
      <c r="K3102" s="7" t="s">
        <v>312</v>
      </c>
      <c r="L3102" s="7">
        <v>22</v>
      </c>
      <c r="M3102" s="7">
        <f>IF(INDEX([1]equip.xml!$B:$B,MATCH(D3102,[1]equip.xml!$A:$A,0))=0,0,N3102)</f>
        <v>65</v>
      </c>
      <c r="N3102" s="7">
        <f t="shared" ref="N3102" si="3100">N3014</f>
        <v>65</v>
      </c>
    </row>
    <row r="3103" spans="1:14">
      <c r="A3103" s="7">
        <f t="shared" ref="A3103:A3166" si="3101">10000+A287</f>
        <v>20007</v>
      </c>
      <c r="B3103" s="7">
        <f t="shared" ref="B3103:C3103" si="3102">B3015</f>
        <v>40000</v>
      </c>
      <c r="C3103" s="7" t="str">
        <f t="shared" si="3102"/>
        <v>装备</v>
      </c>
      <c r="D3103" s="7">
        <v>50153056</v>
      </c>
      <c r="E3103" s="7"/>
      <c r="F3103" s="7">
        <v>1</v>
      </c>
      <c r="G3103" s="8">
        <f>3*INDEX([1]equip.xml!$I:$I,MATCH(D3103,[1]equip.xml!$A:$A,0))</f>
        <v>108000</v>
      </c>
      <c r="H3103" s="7" t="str">
        <f t="shared" si="3083"/>
        <v>10_10,50_20,80_30</v>
      </c>
      <c r="I3103" s="7">
        <v>11</v>
      </c>
      <c r="J3103" s="7">
        <f t="shared" si="3083"/>
        <v>240</v>
      </c>
      <c r="K3103" s="7" t="s">
        <v>312</v>
      </c>
      <c r="L3103" s="7">
        <v>22</v>
      </c>
      <c r="M3103" s="7">
        <f>IF(INDEX([1]equip.xml!$B:$B,MATCH(D3103,[1]equip.xml!$A:$A,0))=0,0,N3103)</f>
        <v>65</v>
      </c>
      <c r="N3103" s="7">
        <f t="shared" ref="N3103" si="3103">N3015</f>
        <v>65</v>
      </c>
    </row>
    <row r="3104" spans="1:14">
      <c r="A3104" s="7">
        <f t="shared" si="3101"/>
        <v>20007</v>
      </c>
      <c r="B3104" s="7">
        <f t="shared" ref="B3104:C3104" si="3104">B3016</f>
        <v>40000</v>
      </c>
      <c r="C3104" s="7" t="str">
        <f t="shared" si="3104"/>
        <v>装备</v>
      </c>
      <c r="D3104" s="7">
        <v>50153065</v>
      </c>
      <c r="E3104" s="7"/>
      <c r="F3104" s="7">
        <v>1</v>
      </c>
      <c r="G3104" s="8">
        <f>3*INDEX([1]equip.xml!$I:$I,MATCH(D3104,[1]equip.xml!$A:$A,0))</f>
        <v>90000</v>
      </c>
      <c r="H3104" s="7" t="str">
        <f t="shared" si="3083"/>
        <v>10_10,50_20,80_30</v>
      </c>
      <c r="I3104" s="7">
        <v>11</v>
      </c>
      <c r="J3104" s="7">
        <f t="shared" si="3083"/>
        <v>240</v>
      </c>
      <c r="K3104" s="7" t="s">
        <v>312</v>
      </c>
      <c r="L3104" s="7">
        <v>22</v>
      </c>
      <c r="M3104" s="7">
        <f>IF(INDEX([1]equip.xml!$B:$B,MATCH(D3104,[1]equip.xml!$A:$A,0))=0,0,N3104)</f>
        <v>65</v>
      </c>
      <c r="N3104" s="7">
        <f t="shared" ref="N3104" si="3105">N3016</f>
        <v>65</v>
      </c>
    </row>
    <row r="3105" spans="1:14">
      <c r="A3105" s="7">
        <f t="shared" si="3101"/>
        <v>20007</v>
      </c>
      <c r="B3105" s="7">
        <f t="shared" ref="B3105:C3105" si="3106">B3017</f>
        <v>40000</v>
      </c>
      <c r="C3105" s="7" t="str">
        <f t="shared" si="3106"/>
        <v>装备</v>
      </c>
      <c r="D3105" s="7">
        <v>50153066</v>
      </c>
      <c r="E3105" s="7"/>
      <c r="F3105" s="7">
        <v>1</v>
      </c>
      <c r="G3105" s="8">
        <f>3*INDEX([1]equip.xml!$I:$I,MATCH(D3105,[1]equip.xml!$A:$A,0))</f>
        <v>108000</v>
      </c>
      <c r="H3105" s="7" t="str">
        <f t="shared" si="3083"/>
        <v>10_10,50_20,80_30</v>
      </c>
      <c r="I3105" s="7">
        <v>11</v>
      </c>
      <c r="J3105" s="7">
        <f t="shared" si="3083"/>
        <v>240</v>
      </c>
      <c r="K3105" s="7" t="s">
        <v>312</v>
      </c>
      <c r="L3105" s="7">
        <v>22</v>
      </c>
      <c r="M3105" s="7">
        <f>IF(INDEX([1]equip.xml!$B:$B,MATCH(D3105,[1]equip.xml!$A:$A,0))=0,0,N3105)</f>
        <v>0</v>
      </c>
      <c r="N3105" s="7">
        <f t="shared" ref="N3105" si="3107">N3017</f>
        <v>65</v>
      </c>
    </row>
    <row r="3106" spans="1:14">
      <c r="A3106" s="7">
        <f t="shared" si="3101"/>
        <v>20007</v>
      </c>
      <c r="B3106" s="7">
        <f t="shared" ref="B3106:C3106" si="3108">B3018</f>
        <v>40000</v>
      </c>
      <c r="C3106" s="7" t="str">
        <f t="shared" si="3108"/>
        <v>装备</v>
      </c>
      <c r="D3106" s="7">
        <v>50150045</v>
      </c>
      <c r="E3106" s="7"/>
      <c r="F3106" s="7">
        <v>1</v>
      </c>
      <c r="G3106" s="8">
        <f>3*INDEX([1]equip.xml!$I:$I,MATCH(D3106,[1]equip.xml!$A:$A,0))</f>
        <v>90000</v>
      </c>
      <c r="H3106" s="7" t="str">
        <f t="shared" si="3083"/>
        <v>10_10,50_20,80_30</v>
      </c>
      <c r="I3106" s="7">
        <v>11</v>
      </c>
      <c r="J3106" s="7">
        <f t="shared" si="3083"/>
        <v>240</v>
      </c>
      <c r="K3106" s="7" t="s">
        <v>312</v>
      </c>
      <c r="L3106" s="7">
        <v>22</v>
      </c>
      <c r="M3106" s="7">
        <f>IF(INDEX([1]equip.xml!$B:$B,MATCH(D3106,[1]equip.xml!$A:$A,0))=0,0,N3106)</f>
        <v>65</v>
      </c>
      <c r="N3106" s="7">
        <f t="shared" ref="N3106" si="3109">N3018</f>
        <v>65</v>
      </c>
    </row>
    <row r="3107" spans="1:14">
      <c r="A3107" s="7">
        <f t="shared" si="3101"/>
        <v>20007</v>
      </c>
      <c r="B3107" s="7">
        <f t="shared" ref="B3107:C3107" si="3110">B3019</f>
        <v>40000</v>
      </c>
      <c r="C3107" s="7" t="str">
        <f t="shared" si="3110"/>
        <v>装备</v>
      </c>
      <c r="D3107" s="7">
        <v>50150046</v>
      </c>
      <c r="E3107" s="7"/>
      <c r="F3107" s="7">
        <v>1</v>
      </c>
      <c r="G3107" s="8">
        <f>3*INDEX([1]equip.xml!$I:$I,MATCH(D3107,[1]equip.xml!$A:$A,0))</f>
        <v>108000</v>
      </c>
      <c r="H3107" s="7" t="str">
        <f t="shared" si="3083"/>
        <v>10_10,50_20,80_30</v>
      </c>
      <c r="I3107" s="7">
        <v>11</v>
      </c>
      <c r="J3107" s="7">
        <f t="shared" si="3083"/>
        <v>240</v>
      </c>
      <c r="K3107" s="7" t="s">
        <v>312</v>
      </c>
      <c r="L3107" s="7">
        <v>22</v>
      </c>
      <c r="M3107" s="7">
        <f>IF(INDEX([1]equip.xml!$B:$B,MATCH(D3107,[1]equip.xml!$A:$A,0))=0,0,N3107)</f>
        <v>0</v>
      </c>
      <c r="N3107" s="7">
        <f t="shared" ref="N3107" si="3111">N3019</f>
        <v>65</v>
      </c>
    </row>
    <row r="3108" spans="1:14">
      <c r="A3108" s="7">
        <f t="shared" si="3101"/>
        <v>20007</v>
      </c>
      <c r="B3108" s="7">
        <f t="shared" ref="B3108:C3108" si="3112">B3020</f>
        <v>40000</v>
      </c>
      <c r="C3108" s="7" t="str">
        <f t="shared" si="3112"/>
        <v>装备</v>
      </c>
      <c r="D3108" s="7">
        <v>50150075</v>
      </c>
      <c r="E3108" s="7"/>
      <c r="F3108" s="7">
        <v>1</v>
      </c>
      <c r="G3108" s="8">
        <f>3*INDEX([1]equip.xml!$I:$I,MATCH(D3108,[1]equip.xml!$A:$A,0))</f>
        <v>90000</v>
      </c>
      <c r="H3108" s="7" t="str">
        <f t="shared" si="3083"/>
        <v>10_10,50_20,80_30</v>
      </c>
      <c r="I3108" s="7">
        <v>11</v>
      </c>
      <c r="J3108" s="7">
        <f t="shared" si="3083"/>
        <v>240</v>
      </c>
      <c r="K3108" s="7" t="s">
        <v>312</v>
      </c>
      <c r="L3108" s="7">
        <v>22</v>
      </c>
      <c r="M3108" s="7">
        <f>IF(INDEX([1]equip.xml!$B:$B,MATCH(D3108,[1]equip.xml!$A:$A,0))=0,0,N3108)</f>
        <v>65</v>
      </c>
      <c r="N3108" s="7">
        <f t="shared" ref="N3108" si="3113">N3020</f>
        <v>65</v>
      </c>
    </row>
    <row r="3109" spans="1:14">
      <c r="A3109" s="7">
        <f t="shared" si="3101"/>
        <v>20007</v>
      </c>
      <c r="B3109" s="7">
        <f t="shared" ref="B3109:C3109" si="3114">B3021</f>
        <v>40000</v>
      </c>
      <c r="C3109" s="7" t="str">
        <f t="shared" si="3114"/>
        <v>装备</v>
      </c>
      <c r="D3109" s="7">
        <v>50150076</v>
      </c>
      <c r="E3109" s="7"/>
      <c r="F3109" s="7">
        <v>1</v>
      </c>
      <c r="G3109" s="8">
        <f>3*INDEX([1]equip.xml!$I:$I,MATCH(D3109,[1]equip.xml!$A:$A,0))</f>
        <v>108000</v>
      </c>
      <c r="H3109" s="7" t="str">
        <f t="shared" si="3083"/>
        <v>10_10,50_20,80_30</v>
      </c>
      <c r="I3109" s="7">
        <v>11</v>
      </c>
      <c r="J3109" s="7">
        <f t="shared" si="3083"/>
        <v>240</v>
      </c>
      <c r="K3109" s="7" t="s">
        <v>312</v>
      </c>
      <c r="L3109" s="7">
        <v>22</v>
      </c>
      <c r="M3109" s="7">
        <f>IF(INDEX([1]equip.xml!$B:$B,MATCH(D3109,[1]equip.xml!$A:$A,0))=0,0,N3109)</f>
        <v>0</v>
      </c>
      <c r="N3109" s="7">
        <f t="shared" ref="N3109" si="3115">N3021</f>
        <v>65</v>
      </c>
    </row>
    <row r="3110" spans="1:14">
      <c r="A3110" s="7">
        <f t="shared" si="3101"/>
        <v>20008</v>
      </c>
      <c r="B3110" s="8">
        <f t="shared" ref="B3110:C3110" si="3116">B3022</f>
        <v>40000</v>
      </c>
      <c r="C3110" s="8" t="str">
        <f t="shared" si="3116"/>
        <v>装备</v>
      </c>
      <c r="D3110" s="8">
        <v>40150010</v>
      </c>
      <c r="E3110" s="8"/>
      <c r="F3110" s="8">
        <v>1</v>
      </c>
      <c r="G3110" s="7">
        <f>3*INDEX([1]equip.xml!$I:$I,MATCH(D3110&amp;"",[1]equip.xml!$A:$A,0))</f>
        <v>45000</v>
      </c>
      <c r="H3110" s="8" t="str">
        <f t="shared" ref="H3110:J3125" si="3117">H3022</f>
        <v>10_10,50_20,80_30</v>
      </c>
      <c r="I3110" s="8">
        <v>10</v>
      </c>
      <c r="J3110" s="8">
        <f t="shared" si="3117"/>
        <v>50</v>
      </c>
      <c r="K3110" s="7" t="s">
        <v>312</v>
      </c>
      <c r="L3110" s="8">
        <v>24</v>
      </c>
      <c r="M3110" s="7">
        <f>IF(INDEX([1]equip.xml!$B:$B,MATCH(D3110&amp;"",[1]equip.xml!$A:$A,0))=0,0,N3110)</f>
        <v>0</v>
      </c>
      <c r="N3110" s="8">
        <f t="shared" ref="N3110" si="3118">N3022</f>
        <v>130</v>
      </c>
    </row>
    <row r="3111" spans="1:14">
      <c r="A3111" s="7">
        <f t="shared" si="3101"/>
        <v>20008</v>
      </c>
      <c r="B3111" s="8">
        <f t="shared" ref="B3111:C3111" si="3119">B3023</f>
        <v>40000</v>
      </c>
      <c r="C3111" s="8" t="str">
        <f t="shared" si="3119"/>
        <v>装备</v>
      </c>
      <c r="D3111" s="8">
        <v>40150020</v>
      </c>
      <c r="E3111" s="8"/>
      <c r="F3111" s="8">
        <v>1</v>
      </c>
      <c r="G3111" s="7">
        <f>3*INDEX([1]equip.xml!$I:$I,MATCH(D3111&amp;"",[1]equip.xml!$A:$A,0))</f>
        <v>45000</v>
      </c>
      <c r="H3111" s="8" t="str">
        <f t="shared" si="3117"/>
        <v>10_10,50_20,80_30</v>
      </c>
      <c r="I3111" s="8">
        <v>10</v>
      </c>
      <c r="J3111" s="8">
        <f t="shared" si="3117"/>
        <v>50</v>
      </c>
      <c r="K3111" s="7" t="s">
        <v>312</v>
      </c>
      <c r="L3111" s="8">
        <v>24</v>
      </c>
      <c r="M3111" s="7">
        <f>IF(INDEX([1]equip.xml!$B:$B,MATCH(D3111&amp;"",[1]equip.xml!$A:$A,0))=0,0,N3111)</f>
        <v>0</v>
      </c>
      <c r="N3111" s="8">
        <f t="shared" ref="N3111" si="3120">N3023</f>
        <v>130</v>
      </c>
    </row>
    <row r="3112" spans="1:14">
      <c r="A3112" s="7">
        <f t="shared" si="3101"/>
        <v>20008</v>
      </c>
      <c r="B3112" s="8">
        <f t="shared" ref="B3112:C3112" si="3121">B3024</f>
        <v>40000</v>
      </c>
      <c r="C3112" s="8" t="str">
        <f t="shared" si="3121"/>
        <v>装备</v>
      </c>
      <c r="D3112" s="8">
        <v>40150030</v>
      </c>
      <c r="E3112" s="8"/>
      <c r="F3112" s="8">
        <v>1</v>
      </c>
      <c r="G3112" s="7">
        <f>3*INDEX([1]equip.xml!$I:$I,MATCH(D3112&amp;"",[1]equip.xml!$A:$A,0))</f>
        <v>45000</v>
      </c>
      <c r="H3112" s="8" t="str">
        <f t="shared" si="3117"/>
        <v>10_10,50_20,80_30</v>
      </c>
      <c r="I3112" s="8">
        <v>10</v>
      </c>
      <c r="J3112" s="8">
        <f t="shared" si="3117"/>
        <v>50</v>
      </c>
      <c r="K3112" s="7" t="s">
        <v>312</v>
      </c>
      <c r="L3112" s="8">
        <v>24</v>
      </c>
      <c r="M3112" s="7">
        <f>IF(INDEX([1]equip.xml!$B:$B,MATCH(D3112&amp;"",[1]equip.xml!$A:$A,0))=0,0,N3112)</f>
        <v>130</v>
      </c>
      <c r="N3112" s="8">
        <f t="shared" ref="N3112" si="3122">N3024</f>
        <v>130</v>
      </c>
    </row>
    <row r="3113" spans="1:14">
      <c r="A3113" s="7">
        <f t="shared" si="3101"/>
        <v>20008</v>
      </c>
      <c r="B3113" s="8">
        <f t="shared" ref="B3113:C3113" si="3123">B3025</f>
        <v>40000</v>
      </c>
      <c r="C3113" s="8" t="str">
        <f t="shared" si="3123"/>
        <v>装备</v>
      </c>
      <c r="D3113" s="8">
        <v>40150080</v>
      </c>
      <c r="E3113" s="8"/>
      <c r="F3113" s="8">
        <v>1</v>
      </c>
      <c r="G3113" s="7">
        <f>3*INDEX([1]equip.xml!$I:$I,MATCH(D3113&amp;"",[1]equip.xml!$A:$A,0))</f>
        <v>45000</v>
      </c>
      <c r="H3113" s="8" t="str">
        <f t="shared" si="3117"/>
        <v>10_10,50_20,80_30</v>
      </c>
      <c r="I3113" s="8">
        <v>10</v>
      </c>
      <c r="J3113" s="8">
        <f t="shared" si="3117"/>
        <v>50</v>
      </c>
      <c r="K3113" s="7" t="s">
        <v>312</v>
      </c>
      <c r="L3113" s="8">
        <v>24</v>
      </c>
      <c r="M3113" s="7">
        <f>IF(INDEX([1]equip.xml!$B:$B,MATCH(D3113&amp;"",[1]equip.xml!$A:$A,0))=0,0,N3113)</f>
        <v>130</v>
      </c>
      <c r="N3113" s="8">
        <f t="shared" ref="N3113" si="3124">N3025</f>
        <v>130</v>
      </c>
    </row>
    <row r="3114" spans="1:14">
      <c r="A3114" s="7">
        <f t="shared" si="3101"/>
        <v>20008</v>
      </c>
      <c r="B3114" s="8">
        <f t="shared" ref="B3114:C3114" si="3125">B3026</f>
        <v>40000</v>
      </c>
      <c r="C3114" s="8" t="str">
        <f t="shared" si="3125"/>
        <v>装备</v>
      </c>
      <c r="D3114" s="8">
        <v>40150090</v>
      </c>
      <c r="E3114" s="8"/>
      <c r="F3114" s="8">
        <v>1</v>
      </c>
      <c r="G3114" s="7">
        <f>3*INDEX([1]equip.xml!$I:$I,MATCH(D3114&amp;"",[1]equip.xml!$A:$A,0))</f>
        <v>45000</v>
      </c>
      <c r="H3114" s="8" t="str">
        <f t="shared" si="3117"/>
        <v>10_10,50_20,80_30</v>
      </c>
      <c r="I3114" s="8">
        <v>10</v>
      </c>
      <c r="J3114" s="8">
        <f t="shared" si="3117"/>
        <v>50</v>
      </c>
      <c r="K3114" s="7" t="s">
        <v>312</v>
      </c>
      <c r="L3114" s="8">
        <v>24</v>
      </c>
      <c r="M3114" s="7">
        <f>IF(INDEX([1]equip.xml!$B:$B,MATCH(D3114&amp;"",[1]equip.xml!$A:$A,0))=0,0,N3114)</f>
        <v>130</v>
      </c>
      <c r="N3114" s="8">
        <f t="shared" ref="N3114" si="3126">N3026</f>
        <v>130</v>
      </c>
    </row>
    <row r="3115" spans="1:14">
      <c r="A3115" s="7">
        <f t="shared" si="3101"/>
        <v>20008</v>
      </c>
      <c r="B3115" s="8">
        <f t="shared" ref="B3115:C3115" si="3127">B3027</f>
        <v>40000</v>
      </c>
      <c r="C3115" s="8" t="str">
        <f t="shared" si="3127"/>
        <v>装备</v>
      </c>
      <c r="D3115" s="8">
        <v>40150100</v>
      </c>
      <c r="E3115" s="8"/>
      <c r="F3115" s="8">
        <v>1</v>
      </c>
      <c r="G3115" s="7">
        <f>3*INDEX([1]equip.xml!$I:$I,MATCH(D3115&amp;"",[1]equip.xml!$A:$A,0))</f>
        <v>45000</v>
      </c>
      <c r="H3115" s="8" t="str">
        <f t="shared" si="3117"/>
        <v>10_10,50_20,80_30</v>
      </c>
      <c r="I3115" s="8">
        <v>10</v>
      </c>
      <c r="J3115" s="8">
        <f t="shared" si="3117"/>
        <v>50</v>
      </c>
      <c r="K3115" s="7" t="s">
        <v>312</v>
      </c>
      <c r="L3115" s="8">
        <v>24</v>
      </c>
      <c r="M3115" s="7">
        <f>IF(INDEX([1]equip.xml!$B:$B,MATCH(D3115&amp;"",[1]equip.xml!$A:$A,0))=0,0,N3115)</f>
        <v>130</v>
      </c>
      <c r="N3115" s="8">
        <f t="shared" ref="N3115" si="3128">N3027</f>
        <v>130</v>
      </c>
    </row>
    <row r="3116" spans="1:14">
      <c r="A3116" s="7">
        <f t="shared" si="3101"/>
        <v>20008</v>
      </c>
      <c r="B3116" s="8">
        <f t="shared" ref="B3116:C3116" si="3129">B3028</f>
        <v>40000</v>
      </c>
      <c r="C3116" s="8" t="str">
        <f t="shared" si="3129"/>
        <v>装备</v>
      </c>
      <c r="D3116" s="8">
        <v>40151050</v>
      </c>
      <c r="E3116" s="8"/>
      <c r="F3116" s="8">
        <v>1</v>
      </c>
      <c r="G3116" s="7">
        <f>3*INDEX([1]equip.xml!$I:$I,MATCH(D3116&amp;"",[1]equip.xml!$A:$A,0))</f>
        <v>45000</v>
      </c>
      <c r="H3116" s="8" t="str">
        <f t="shared" si="3117"/>
        <v>10_10,50_20,80_30</v>
      </c>
      <c r="I3116" s="8">
        <v>10</v>
      </c>
      <c r="J3116" s="8">
        <f t="shared" si="3117"/>
        <v>50</v>
      </c>
      <c r="K3116" s="7" t="s">
        <v>312</v>
      </c>
      <c r="L3116" s="8">
        <v>24</v>
      </c>
      <c r="M3116" s="7">
        <f>IF(INDEX([1]equip.xml!$B:$B,MATCH(D3116&amp;"",[1]equip.xml!$A:$A,0))=0,0,N3116)</f>
        <v>130</v>
      </c>
      <c r="N3116" s="8">
        <f t="shared" ref="N3116" si="3130">N3028</f>
        <v>130</v>
      </c>
    </row>
    <row r="3117" spans="1:14">
      <c r="A3117" s="7">
        <f t="shared" si="3101"/>
        <v>20008</v>
      </c>
      <c r="B3117" s="8">
        <f t="shared" ref="B3117:C3117" si="3131">B3029</f>
        <v>40000</v>
      </c>
      <c r="C3117" s="8" t="str">
        <f t="shared" si="3131"/>
        <v>装备</v>
      </c>
      <c r="D3117" s="8">
        <v>40151051</v>
      </c>
      <c r="E3117" s="8"/>
      <c r="F3117" s="8">
        <v>1</v>
      </c>
      <c r="G3117" s="7">
        <f>3*INDEX([1]equip.xml!$I:$I,MATCH(D3117,[1]equip.xml!$A:$A,0))</f>
        <v>54000</v>
      </c>
      <c r="H3117" s="8" t="str">
        <f t="shared" si="3117"/>
        <v>10_10,50_20,80_30</v>
      </c>
      <c r="I3117" s="8">
        <v>10</v>
      </c>
      <c r="J3117" s="8">
        <f t="shared" si="3117"/>
        <v>50</v>
      </c>
      <c r="K3117" s="7" t="s">
        <v>312</v>
      </c>
      <c r="L3117" s="8">
        <v>24</v>
      </c>
      <c r="M3117" s="7">
        <f>IF(INDEX([1]equip.xml!$B:$B,MATCH(D3117,[1]equip.xml!$A:$A,0))=0,0,N3117)</f>
        <v>130</v>
      </c>
      <c r="N3117" s="8">
        <f t="shared" ref="N3117" si="3132">N3029</f>
        <v>130</v>
      </c>
    </row>
    <row r="3118" spans="1:14">
      <c r="A3118" s="7">
        <f t="shared" si="3101"/>
        <v>20008</v>
      </c>
      <c r="B3118" s="8">
        <f t="shared" ref="B3118:C3118" si="3133">B3030</f>
        <v>40000</v>
      </c>
      <c r="C3118" s="8" t="str">
        <f t="shared" si="3133"/>
        <v>装备</v>
      </c>
      <c r="D3118" s="8">
        <v>40151060</v>
      </c>
      <c r="E3118" s="8"/>
      <c r="F3118" s="8">
        <v>1</v>
      </c>
      <c r="G3118" s="7">
        <f>3*INDEX([1]equip.xml!$I:$I,MATCH(D3118&amp;"",[1]equip.xml!$A:$A,0))</f>
        <v>45000</v>
      </c>
      <c r="H3118" s="8" t="str">
        <f t="shared" si="3117"/>
        <v>10_10,50_20,80_30</v>
      </c>
      <c r="I3118" s="8">
        <v>10</v>
      </c>
      <c r="J3118" s="8">
        <f t="shared" si="3117"/>
        <v>50</v>
      </c>
      <c r="K3118" s="7" t="s">
        <v>312</v>
      </c>
      <c r="L3118" s="8">
        <v>24</v>
      </c>
      <c r="M3118" s="7">
        <f>IF(INDEX([1]equip.xml!$B:$B,MATCH(D3118&amp;"",[1]equip.xml!$A:$A,0))=0,0,N3118)</f>
        <v>130</v>
      </c>
      <c r="N3118" s="8">
        <f t="shared" ref="N3118" si="3134">N3030</f>
        <v>130</v>
      </c>
    </row>
    <row r="3119" spans="1:14">
      <c r="A3119" s="7">
        <f t="shared" si="3101"/>
        <v>20008</v>
      </c>
      <c r="B3119" s="8">
        <f t="shared" ref="B3119:C3119" si="3135">B3031</f>
        <v>40000</v>
      </c>
      <c r="C3119" s="8" t="str">
        <f t="shared" si="3135"/>
        <v>装备</v>
      </c>
      <c r="D3119" s="8">
        <v>40151061</v>
      </c>
      <c r="E3119" s="8"/>
      <c r="F3119" s="8">
        <v>1</v>
      </c>
      <c r="G3119" s="7">
        <f>3*INDEX([1]equip.xml!$I:$I,MATCH(D3119&amp;"",[1]equip.xml!$A:$A,0))</f>
        <v>54000</v>
      </c>
      <c r="H3119" s="8" t="str">
        <f t="shared" si="3117"/>
        <v>10_10,50_20,80_30</v>
      </c>
      <c r="I3119" s="8">
        <v>10</v>
      </c>
      <c r="J3119" s="8">
        <f t="shared" si="3117"/>
        <v>50</v>
      </c>
      <c r="K3119" s="7" t="s">
        <v>312</v>
      </c>
      <c r="L3119" s="8">
        <v>24</v>
      </c>
      <c r="M3119" s="7">
        <f>IF(INDEX([1]equip.xml!$B:$B,MATCH(D3119&amp;"",[1]equip.xml!$A:$A,0))=0,0,N3119)</f>
        <v>0</v>
      </c>
      <c r="N3119" s="8">
        <f t="shared" ref="N3119" si="3136">N3031</f>
        <v>130</v>
      </c>
    </row>
    <row r="3120" spans="1:14">
      <c r="A3120" s="7">
        <f t="shared" si="3101"/>
        <v>20008</v>
      </c>
      <c r="B3120" s="8">
        <f t="shared" ref="B3120:C3120" si="3137">B3032</f>
        <v>40000</v>
      </c>
      <c r="C3120" s="8" t="str">
        <f t="shared" si="3137"/>
        <v>装备</v>
      </c>
      <c r="D3120" s="8">
        <v>40152050</v>
      </c>
      <c r="E3120" s="8"/>
      <c r="F3120" s="8">
        <v>1</v>
      </c>
      <c r="G3120" s="7">
        <f>3*INDEX([1]equip.xml!$I:$I,MATCH(D3120&amp;"",[1]equip.xml!$A:$A,0))</f>
        <v>45000</v>
      </c>
      <c r="H3120" s="8" t="str">
        <f t="shared" si="3117"/>
        <v>10_10,50_20,80_30</v>
      </c>
      <c r="I3120" s="8">
        <v>10</v>
      </c>
      <c r="J3120" s="8">
        <f t="shared" si="3117"/>
        <v>50</v>
      </c>
      <c r="K3120" s="7" t="s">
        <v>312</v>
      </c>
      <c r="L3120" s="8">
        <v>24</v>
      </c>
      <c r="M3120" s="7">
        <f>IF(INDEX([1]equip.xml!$B:$B,MATCH(D3120&amp;"",[1]equip.xml!$A:$A,0))=0,0,N3120)</f>
        <v>130</v>
      </c>
      <c r="N3120" s="8">
        <f t="shared" ref="N3120" si="3138">N3032</f>
        <v>130</v>
      </c>
    </row>
    <row r="3121" spans="1:14">
      <c r="A3121" s="7">
        <f t="shared" si="3101"/>
        <v>20008</v>
      </c>
      <c r="B3121" s="8">
        <f t="shared" ref="B3121:C3121" si="3139">B3033</f>
        <v>40000</v>
      </c>
      <c r="C3121" s="8" t="str">
        <f t="shared" si="3139"/>
        <v>装备</v>
      </c>
      <c r="D3121" s="8">
        <v>40152051</v>
      </c>
      <c r="E3121" s="8"/>
      <c r="F3121" s="8">
        <v>1</v>
      </c>
      <c r="G3121" s="7">
        <f>3*INDEX([1]equip.xml!$I:$I,MATCH(D3121,[1]equip.xml!$A:$A,0))</f>
        <v>54000</v>
      </c>
      <c r="H3121" s="8" t="str">
        <f t="shared" si="3117"/>
        <v>10_10,50_20,80_30</v>
      </c>
      <c r="I3121" s="8">
        <v>10</v>
      </c>
      <c r="J3121" s="8">
        <f t="shared" si="3117"/>
        <v>50</v>
      </c>
      <c r="K3121" s="7" t="s">
        <v>312</v>
      </c>
      <c r="L3121" s="8">
        <v>24</v>
      </c>
      <c r="M3121" s="7">
        <f>IF(INDEX([1]equip.xml!$B:$B,MATCH(D3121,[1]equip.xml!$A:$A,0))=0,0,N3121)</f>
        <v>130</v>
      </c>
      <c r="N3121" s="8">
        <f t="shared" ref="N3121" si="3140">N3033</f>
        <v>130</v>
      </c>
    </row>
    <row r="3122" spans="1:14">
      <c r="A3122" s="7">
        <f t="shared" si="3101"/>
        <v>20008</v>
      </c>
      <c r="B3122" s="8">
        <f t="shared" ref="B3122:C3122" si="3141">B3034</f>
        <v>40000</v>
      </c>
      <c r="C3122" s="8" t="str">
        <f t="shared" si="3141"/>
        <v>装备</v>
      </c>
      <c r="D3122" s="8">
        <v>40152060</v>
      </c>
      <c r="E3122" s="8"/>
      <c r="F3122" s="8">
        <v>1</v>
      </c>
      <c r="G3122" s="7">
        <f>3*INDEX([1]equip.xml!$I:$I,MATCH(D3122&amp;"",[1]equip.xml!$A:$A,0))</f>
        <v>45000</v>
      </c>
      <c r="H3122" s="8" t="str">
        <f t="shared" si="3117"/>
        <v>10_10,50_20,80_30</v>
      </c>
      <c r="I3122" s="8">
        <v>10</v>
      </c>
      <c r="J3122" s="8">
        <f t="shared" si="3117"/>
        <v>50</v>
      </c>
      <c r="K3122" s="7" t="s">
        <v>312</v>
      </c>
      <c r="L3122" s="8">
        <v>24</v>
      </c>
      <c r="M3122" s="7">
        <f>IF(INDEX([1]equip.xml!$B:$B,MATCH(D3122&amp;"",[1]equip.xml!$A:$A,0))=0,0,N3122)</f>
        <v>130</v>
      </c>
      <c r="N3122" s="8">
        <f t="shared" ref="N3122" si="3142">N3034</f>
        <v>130</v>
      </c>
    </row>
    <row r="3123" spans="1:14">
      <c r="A3123" s="7">
        <f t="shared" si="3101"/>
        <v>20008</v>
      </c>
      <c r="B3123" s="8">
        <f t="shared" ref="B3123:C3123" si="3143">B3035</f>
        <v>40000</v>
      </c>
      <c r="C3123" s="8" t="str">
        <f t="shared" si="3143"/>
        <v>装备</v>
      </c>
      <c r="D3123" s="8">
        <v>40152061</v>
      </c>
      <c r="E3123" s="8"/>
      <c r="F3123" s="8">
        <v>1</v>
      </c>
      <c r="G3123" s="7">
        <f>3*INDEX([1]equip.xml!$I:$I,MATCH(D3123&amp;"",[1]equip.xml!$A:$A,0))</f>
        <v>54000</v>
      </c>
      <c r="H3123" s="8" t="str">
        <f t="shared" si="3117"/>
        <v>10_10,50_20,80_30</v>
      </c>
      <c r="I3123" s="8">
        <v>10</v>
      </c>
      <c r="J3123" s="8">
        <f t="shared" si="3117"/>
        <v>50</v>
      </c>
      <c r="K3123" s="7" t="s">
        <v>312</v>
      </c>
      <c r="L3123" s="8">
        <v>24</v>
      </c>
      <c r="M3123" s="7">
        <f>IF(INDEX([1]equip.xml!$B:$B,MATCH(D3123&amp;"",[1]equip.xml!$A:$A,0))=0,0,N3123)</f>
        <v>0</v>
      </c>
      <c r="N3123" s="8">
        <f t="shared" ref="N3123" si="3144">N3035</f>
        <v>130</v>
      </c>
    </row>
    <row r="3124" spans="1:14">
      <c r="A3124" s="7">
        <f t="shared" si="3101"/>
        <v>20008</v>
      </c>
      <c r="B3124" s="8">
        <f t="shared" ref="B3124:C3124" si="3145">B3036</f>
        <v>40000</v>
      </c>
      <c r="C3124" s="8" t="str">
        <f t="shared" si="3145"/>
        <v>装备</v>
      </c>
      <c r="D3124" s="8">
        <v>40153050</v>
      </c>
      <c r="E3124" s="8"/>
      <c r="F3124" s="8">
        <v>1</v>
      </c>
      <c r="G3124" s="7">
        <f>3*INDEX([1]equip.xml!$I:$I,MATCH(D3124&amp;"",[1]equip.xml!$A:$A,0))</f>
        <v>45000</v>
      </c>
      <c r="H3124" s="8" t="str">
        <f t="shared" si="3117"/>
        <v>10_10,50_20,80_30</v>
      </c>
      <c r="I3124" s="8">
        <v>10</v>
      </c>
      <c r="J3124" s="8">
        <f t="shared" si="3117"/>
        <v>50</v>
      </c>
      <c r="K3124" s="7" t="s">
        <v>312</v>
      </c>
      <c r="L3124" s="8">
        <v>24</v>
      </c>
      <c r="M3124" s="7">
        <f>IF(INDEX([1]equip.xml!$B:$B,MATCH(D3124&amp;"",[1]equip.xml!$A:$A,0))=0,0,N3124)</f>
        <v>130</v>
      </c>
      <c r="N3124" s="8">
        <f t="shared" ref="N3124" si="3146">N3036</f>
        <v>130</v>
      </c>
    </row>
    <row r="3125" spans="1:14">
      <c r="A3125" s="7">
        <f t="shared" si="3101"/>
        <v>20008</v>
      </c>
      <c r="B3125" s="8">
        <f t="shared" ref="B3125:C3125" si="3147">B3037</f>
        <v>40000</v>
      </c>
      <c r="C3125" s="8" t="str">
        <f t="shared" si="3147"/>
        <v>装备</v>
      </c>
      <c r="D3125" s="8">
        <v>40153051</v>
      </c>
      <c r="E3125" s="8"/>
      <c r="F3125" s="8">
        <v>1</v>
      </c>
      <c r="G3125" s="7">
        <f>3*INDEX([1]equip.xml!$I:$I,MATCH(D3125,[1]equip.xml!$A:$A,0))</f>
        <v>54000</v>
      </c>
      <c r="H3125" s="8" t="str">
        <f t="shared" si="3117"/>
        <v>10_10,50_20,80_30</v>
      </c>
      <c r="I3125" s="8">
        <v>10</v>
      </c>
      <c r="J3125" s="8">
        <f t="shared" si="3117"/>
        <v>50</v>
      </c>
      <c r="K3125" s="7" t="s">
        <v>312</v>
      </c>
      <c r="L3125" s="8">
        <v>24</v>
      </c>
      <c r="M3125" s="7">
        <f>IF(INDEX([1]equip.xml!$B:$B,MATCH(D3125,[1]equip.xml!$A:$A,0))=0,0,N3125)</f>
        <v>130</v>
      </c>
      <c r="N3125" s="8">
        <f t="shared" ref="N3125" si="3148">N3037</f>
        <v>130</v>
      </c>
    </row>
    <row r="3126" spans="1:14">
      <c r="A3126" s="7">
        <f t="shared" si="3101"/>
        <v>20008</v>
      </c>
      <c r="B3126" s="8">
        <f t="shared" ref="B3126:C3126" si="3149">B3038</f>
        <v>40000</v>
      </c>
      <c r="C3126" s="8" t="str">
        <f t="shared" si="3149"/>
        <v>装备</v>
      </c>
      <c r="D3126" s="8">
        <v>40153060</v>
      </c>
      <c r="E3126" s="8"/>
      <c r="F3126" s="8">
        <v>1</v>
      </c>
      <c r="G3126" s="7">
        <f>3*INDEX([1]equip.xml!$I:$I,MATCH(D3126&amp;"",[1]equip.xml!$A:$A,0))</f>
        <v>45000</v>
      </c>
      <c r="H3126" s="8" t="str">
        <f t="shared" ref="H3126:J3141" si="3150">H3038</f>
        <v>10_10,50_20,80_30</v>
      </c>
      <c r="I3126" s="8">
        <v>10</v>
      </c>
      <c r="J3126" s="8">
        <f t="shared" si="3150"/>
        <v>50</v>
      </c>
      <c r="K3126" s="7" t="s">
        <v>312</v>
      </c>
      <c r="L3126" s="8">
        <v>24</v>
      </c>
      <c r="M3126" s="7">
        <f>IF(INDEX([1]equip.xml!$B:$B,MATCH(D3126&amp;"",[1]equip.xml!$A:$A,0))=0,0,N3126)</f>
        <v>130</v>
      </c>
      <c r="N3126" s="8">
        <f t="shared" ref="N3126" si="3151">N3038</f>
        <v>130</v>
      </c>
    </row>
    <row r="3127" spans="1:14">
      <c r="A3127" s="7">
        <f t="shared" si="3101"/>
        <v>20008</v>
      </c>
      <c r="B3127" s="8">
        <f t="shared" ref="B3127:C3127" si="3152">B3039</f>
        <v>40000</v>
      </c>
      <c r="C3127" s="8" t="str">
        <f t="shared" si="3152"/>
        <v>装备</v>
      </c>
      <c r="D3127" s="8">
        <v>40153061</v>
      </c>
      <c r="E3127" s="8"/>
      <c r="F3127" s="8">
        <v>1</v>
      </c>
      <c r="G3127" s="7">
        <f>3*INDEX([1]equip.xml!$I:$I,MATCH(D3127&amp;"",[1]equip.xml!$A:$A,0))</f>
        <v>54000</v>
      </c>
      <c r="H3127" s="8" t="str">
        <f t="shared" si="3150"/>
        <v>10_10,50_20,80_30</v>
      </c>
      <c r="I3127" s="8">
        <v>10</v>
      </c>
      <c r="J3127" s="8">
        <f t="shared" si="3150"/>
        <v>50</v>
      </c>
      <c r="K3127" s="7" t="s">
        <v>312</v>
      </c>
      <c r="L3127" s="8">
        <v>24</v>
      </c>
      <c r="M3127" s="7">
        <f>IF(INDEX([1]equip.xml!$B:$B,MATCH(D3127&amp;"",[1]equip.xml!$A:$A,0))=0,0,N3127)</f>
        <v>0</v>
      </c>
      <c r="N3127" s="8">
        <f t="shared" ref="N3127" si="3153">N3039</f>
        <v>130</v>
      </c>
    </row>
    <row r="3128" spans="1:14">
      <c r="A3128" s="7">
        <f t="shared" si="3101"/>
        <v>20008</v>
      </c>
      <c r="B3128" s="8">
        <f t="shared" ref="B3128:C3128" si="3154">B3040</f>
        <v>40000</v>
      </c>
      <c r="C3128" s="8" t="str">
        <f t="shared" si="3154"/>
        <v>装备</v>
      </c>
      <c r="D3128" s="8">
        <v>40150040</v>
      </c>
      <c r="E3128" s="8"/>
      <c r="F3128" s="8">
        <v>1</v>
      </c>
      <c r="G3128" s="7">
        <f>3*INDEX([1]equip.xml!$I:$I,MATCH(D3128&amp;"",[1]equip.xml!$A:$A,0))</f>
        <v>45000</v>
      </c>
      <c r="H3128" s="8" t="str">
        <f t="shared" si="3150"/>
        <v>10_10,50_20,80_30</v>
      </c>
      <c r="I3128" s="8">
        <v>10</v>
      </c>
      <c r="J3128" s="8">
        <f t="shared" si="3150"/>
        <v>50</v>
      </c>
      <c r="K3128" s="7" t="s">
        <v>312</v>
      </c>
      <c r="L3128" s="8">
        <v>24</v>
      </c>
      <c r="M3128" s="7">
        <f>IF(INDEX([1]equip.xml!$B:$B,MATCH(D3128&amp;"",[1]equip.xml!$A:$A,0))=0,0,N3128)</f>
        <v>130</v>
      </c>
      <c r="N3128" s="8">
        <f t="shared" ref="N3128" si="3155">N3040</f>
        <v>130</v>
      </c>
    </row>
    <row r="3129" spans="1:14">
      <c r="A3129" s="7">
        <f t="shared" si="3101"/>
        <v>20008</v>
      </c>
      <c r="B3129" s="8">
        <f t="shared" ref="B3129:C3129" si="3156">B3041</f>
        <v>40000</v>
      </c>
      <c r="C3129" s="8" t="str">
        <f t="shared" si="3156"/>
        <v>装备</v>
      </c>
      <c r="D3129" s="8">
        <v>40150041</v>
      </c>
      <c r="E3129" s="8"/>
      <c r="F3129" s="8">
        <v>1</v>
      </c>
      <c r="G3129" s="7">
        <f>3*INDEX([1]equip.xml!$I:$I,MATCH(D3129&amp;"",[1]equip.xml!$A:$A,0))</f>
        <v>54000</v>
      </c>
      <c r="H3129" s="8" t="str">
        <f t="shared" si="3150"/>
        <v>10_10,50_20,80_30</v>
      </c>
      <c r="I3129" s="8">
        <v>10</v>
      </c>
      <c r="J3129" s="8">
        <f t="shared" si="3150"/>
        <v>50</v>
      </c>
      <c r="K3129" s="7" t="s">
        <v>312</v>
      </c>
      <c r="L3129" s="8">
        <v>24</v>
      </c>
      <c r="M3129" s="7">
        <f>IF(INDEX([1]equip.xml!$B:$B,MATCH(D3129&amp;"",[1]equip.xml!$A:$A,0))=0,0,N3129)</f>
        <v>0</v>
      </c>
      <c r="N3129" s="8">
        <f t="shared" ref="N3129" si="3157">N3041</f>
        <v>130</v>
      </c>
    </row>
    <row r="3130" spans="1:14">
      <c r="A3130" s="7">
        <f t="shared" si="3101"/>
        <v>20008</v>
      </c>
      <c r="B3130" s="8">
        <f t="shared" ref="B3130:C3130" si="3158">B3042</f>
        <v>40000</v>
      </c>
      <c r="C3130" s="8" t="str">
        <f t="shared" si="3158"/>
        <v>装备</v>
      </c>
      <c r="D3130" s="8">
        <v>40150070</v>
      </c>
      <c r="E3130" s="8"/>
      <c r="F3130" s="8">
        <v>1</v>
      </c>
      <c r="G3130" s="7">
        <f>3*INDEX([1]equip.xml!$I:$I,MATCH(D3130&amp;"",[1]equip.xml!$A:$A,0))</f>
        <v>45000</v>
      </c>
      <c r="H3130" s="8" t="str">
        <f t="shared" si="3150"/>
        <v>10_10,50_20,80_30</v>
      </c>
      <c r="I3130" s="8">
        <v>10</v>
      </c>
      <c r="J3130" s="8">
        <f t="shared" si="3150"/>
        <v>50</v>
      </c>
      <c r="K3130" s="7" t="s">
        <v>312</v>
      </c>
      <c r="L3130" s="8">
        <v>24</v>
      </c>
      <c r="M3130" s="7">
        <f>IF(INDEX([1]equip.xml!$B:$B,MATCH(D3130&amp;"",[1]equip.xml!$A:$A,0))=0,0,N3130)</f>
        <v>130</v>
      </c>
      <c r="N3130" s="8">
        <f t="shared" ref="N3130" si="3159">N3042</f>
        <v>130</v>
      </c>
    </row>
    <row r="3131" spans="1:14">
      <c r="A3131" s="7">
        <f t="shared" si="3101"/>
        <v>20008</v>
      </c>
      <c r="B3131" s="8">
        <f t="shared" ref="B3131:C3131" si="3160">B3043</f>
        <v>40000</v>
      </c>
      <c r="C3131" s="8" t="str">
        <f t="shared" si="3160"/>
        <v>装备</v>
      </c>
      <c r="D3131" s="8">
        <v>40150071</v>
      </c>
      <c r="E3131" s="8"/>
      <c r="F3131" s="8">
        <v>1</v>
      </c>
      <c r="G3131" s="7">
        <f>3*INDEX([1]equip.xml!$I:$I,MATCH(D3131&amp;"",[1]equip.xml!$A:$A,0))</f>
        <v>54000</v>
      </c>
      <c r="H3131" s="8" t="str">
        <f t="shared" si="3150"/>
        <v>10_10,50_20,80_30</v>
      </c>
      <c r="I3131" s="8">
        <v>10</v>
      </c>
      <c r="J3131" s="8">
        <f t="shared" si="3150"/>
        <v>50</v>
      </c>
      <c r="K3131" s="7" t="s">
        <v>312</v>
      </c>
      <c r="L3131" s="8">
        <v>24</v>
      </c>
      <c r="M3131" s="7">
        <f>IF(INDEX([1]equip.xml!$B:$B,MATCH(D3131&amp;"",[1]equip.xml!$A:$A,0))=0,0,N3131)</f>
        <v>0</v>
      </c>
      <c r="N3131" s="8">
        <f t="shared" ref="N3131" si="3161">N3043</f>
        <v>130</v>
      </c>
    </row>
    <row r="3132" spans="1:14">
      <c r="A3132" s="7">
        <f t="shared" si="3101"/>
        <v>20008</v>
      </c>
      <c r="B3132" s="8">
        <f t="shared" ref="B3132:C3132" si="3162">B3044</f>
        <v>40000</v>
      </c>
      <c r="C3132" s="8" t="str">
        <f t="shared" si="3162"/>
        <v>装备</v>
      </c>
      <c r="D3132" s="8">
        <v>40200010</v>
      </c>
      <c r="E3132" s="8"/>
      <c r="F3132" s="8">
        <v>1</v>
      </c>
      <c r="G3132" s="7">
        <f>3*INDEX([1]equip.xml!$I:$I,MATCH(D3132&amp;"",[1]equip.xml!$A:$A,0))</f>
        <v>60000</v>
      </c>
      <c r="H3132" s="8" t="str">
        <f t="shared" si="3150"/>
        <v>10_10,50_20,80_30</v>
      </c>
      <c r="I3132" s="8">
        <v>10</v>
      </c>
      <c r="J3132" s="8">
        <f t="shared" si="3150"/>
        <v>50</v>
      </c>
      <c r="K3132" s="7" t="s">
        <v>312</v>
      </c>
      <c r="L3132" s="8">
        <v>24</v>
      </c>
      <c r="M3132" s="7">
        <f>IF(INDEX([1]equip.xml!$B:$B,MATCH(D3132&amp;"",[1]equip.xml!$A:$A,0))=0,0,N3132)</f>
        <v>65</v>
      </c>
      <c r="N3132" s="8">
        <f t="shared" ref="N3132" si="3163">N3044</f>
        <v>65</v>
      </c>
    </row>
    <row r="3133" spans="1:14">
      <c r="A3133" s="7">
        <f t="shared" si="3101"/>
        <v>20008</v>
      </c>
      <c r="B3133" s="8">
        <f t="shared" ref="B3133:C3133" si="3164">B3045</f>
        <v>40000</v>
      </c>
      <c r="C3133" s="8" t="str">
        <f t="shared" si="3164"/>
        <v>装备</v>
      </c>
      <c r="D3133" s="8">
        <v>40200020</v>
      </c>
      <c r="E3133" s="8"/>
      <c r="F3133" s="8">
        <v>1</v>
      </c>
      <c r="G3133" s="7">
        <f>3*INDEX([1]equip.xml!$I:$I,MATCH(D3133&amp;"",[1]equip.xml!$A:$A,0))</f>
        <v>60000</v>
      </c>
      <c r="H3133" s="8" t="str">
        <f t="shared" si="3150"/>
        <v>10_10,50_20,80_30</v>
      </c>
      <c r="I3133" s="8">
        <v>10</v>
      </c>
      <c r="J3133" s="8">
        <f t="shared" si="3150"/>
        <v>50</v>
      </c>
      <c r="K3133" s="7" t="s">
        <v>312</v>
      </c>
      <c r="L3133" s="8">
        <v>24</v>
      </c>
      <c r="M3133" s="7">
        <f>IF(INDEX([1]equip.xml!$B:$B,MATCH(D3133&amp;"",[1]equip.xml!$A:$A,0))=0,0,N3133)</f>
        <v>65</v>
      </c>
      <c r="N3133" s="8">
        <f t="shared" ref="N3133" si="3165">N3045</f>
        <v>65</v>
      </c>
    </row>
    <row r="3134" spans="1:14">
      <c r="A3134" s="7">
        <f t="shared" si="3101"/>
        <v>20008</v>
      </c>
      <c r="B3134" s="8">
        <f t="shared" ref="B3134:C3134" si="3166">B3046</f>
        <v>40000</v>
      </c>
      <c r="C3134" s="8" t="str">
        <f t="shared" si="3166"/>
        <v>装备</v>
      </c>
      <c r="D3134" s="8">
        <v>40200030</v>
      </c>
      <c r="E3134" s="8"/>
      <c r="F3134" s="8">
        <v>1</v>
      </c>
      <c r="G3134" s="7">
        <f>3*INDEX([1]equip.xml!$I:$I,MATCH(D3134&amp;"",[1]equip.xml!$A:$A,0))</f>
        <v>60000</v>
      </c>
      <c r="H3134" s="8" t="str">
        <f t="shared" si="3150"/>
        <v>10_10,50_20,80_30</v>
      </c>
      <c r="I3134" s="8">
        <v>10</v>
      </c>
      <c r="J3134" s="8">
        <f t="shared" si="3150"/>
        <v>50</v>
      </c>
      <c r="K3134" s="7" t="s">
        <v>312</v>
      </c>
      <c r="L3134" s="8">
        <v>24</v>
      </c>
      <c r="M3134" s="7">
        <f>IF(INDEX([1]equip.xml!$B:$B,MATCH(D3134&amp;"",[1]equip.xml!$A:$A,0))=0,0,N3134)</f>
        <v>65</v>
      </c>
      <c r="N3134" s="8">
        <f t="shared" ref="N3134" si="3167">N3046</f>
        <v>65</v>
      </c>
    </row>
    <row r="3135" spans="1:14">
      <c r="A3135" s="7">
        <f t="shared" si="3101"/>
        <v>20008</v>
      </c>
      <c r="B3135" s="8">
        <f t="shared" ref="B3135:C3135" si="3168">B3047</f>
        <v>40000</v>
      </c>
      <c r="C3135" s="8" t="str">
        <f t="shared" si="3168"/>
        <v>装备</v>
      </c>
      <c r="D3135" s="8">
        <v>40200080</v>
      </c>
      <c r="E3135" s="8"/>
      <c r="F3135" s="8">
        <v>1</v>
      </c>
      <c r="G3135" s="7">
        <f>3*INDEX([1]equip.xml!$I:$I,MATCH(D3135&amp;"",[1]equip.xml!$A:$A,0))</f>
        <v>60000</v>
      </c>
      <c r="H3135" s="8" t="str">
        <f t="shared" si="3150"/>
        <v>10_10,50_20,80_30</v>
      </c>
      <c r="I3135" s="8">
        <v>10</v>
      </c>
      <c r="J3135" s="8">
        <f t="shared" si="3150"/>
        <v>50</v>
      </c>
      <c r="K3135" s="7" t="s">
        <v>312</v>
      </c>
      <c r="L3135" s="8">
        <v>24</v>
      </c>
      <c r="M3135" s="7">
        <f>IF(INDEX([1]equip.xml!$B:$B,MATCH(D3135&amp;"",[1]equip.xml!$A:$A,0))=0,0,N3135)</f>
        <v>65</v>
      </c>
      <c r="N3135" s="8">
        <f t="shared" ref="N3135" si="3169">N3047</f>
        <v>65</v>
      </c>
    </row>
    <row r="3136" spans="1:14">
      <c r="A3136" s="7">
        <f t="shared" si="3101"/>
        <v>20008</v>
      </c>
      <c r="B3136" s="8">
        <f t="shared" ref="B3136:C3136" si="3170">B3048</f>
        <v>40000</v>
      </c>
      <c r="C3136" s="8" t="str">
        <f t="shared" si="3170"/>
        <v>装备</v>
      </c>
      <c r="D3136" s="8">
        <v>40200090</v>
      </c>
      <c r="E3136" s="8"/>
      <c r="F3136" s="8">
        <v>1</v>
      </c>
      <c r="G3136" s="7">
        <f>3*INDEX([1]equip.xml!$I:$I,MATCH(D3136&amp;"",[1]equip.xml!$A:$A,0))</f>
        <v>60000</v>
      </c>
      <c r="H3136" s="8" t="str">
        <f t="shared" si="3150"/>
        <v>10_10,50_20,80_30</v>
      </c>
      <c r="I3136" s="8">
        <v>10</v>
      </c>
      <c r="J3136" s="8">
        <f t="shared" si="3150"/>
        <v>50</v>
      </c>
      <c r="K3136" s="7" t="s">
        <v>312</v>
      </c>
      <c r="L3136" s="8">
        <v>24</v>
      </c>
      <c r="M3136" s="7">
        <f>IF(INDEX([1]equip.xml!$B:$B,MATCH(D3136&amp;"",[1]equip.xml!$A:$A,0))=0,0,N3136)</f>
        <v>65</v>
      </c>
      <c r="N3136" s="8">
        <f t="shared" ref="N3136" si="3171">N3048</f>
        <v>65</v>
      </c>
    </row>
    <row r="3137" spans="1:14">
      <c r="A3137" s="7">
        <f t="shared" si="3101"/>
        <v>20008</v>
      </c>
      <c r="B3137" s="8">
        <f t="shared" ref="B3137:C3137" si="3172">B3049</f>
        <v>40000</v>
      </c>
      <c r="C3137" s="8" t="str">
        <f t="shared" si="3172"/>
        <v>装备</v>
      </c>
      <c r="D3137" s="8">
        <v>40200100</v>
      </c>
      <c r="E3137" s="8"/>
      <c r="F3137" s="8">
        <v>1</v>
      </c>
      <c r="G3137" s="7">
        <f>3*INDEX([1]equip.xml!$I:$I,MATCH(D3137&amp;"",[1]equip.xml!$A:$A,0))</f>
        <v>60000</v>
      </c>
      <c r="H3137" s="8" t="str">
        <f t="shared" si="3150"/>
        <v>10_10,50_20,80_30</v>
      </c>
      <c r="I3137" s="8">
        <v>10</v>
      </c>
      <c r="J3137" s="8">
        <f t="shared" si="3150"/>
        <v>50</v>
      </c>
      <c r="K3137" s="7" t="s">
        <v>312</v>
      </c>
      <c r="L3137" s="8">
        <v>24</v>
      </c>
      <c r="M3137" s="7">
        <f>IF(INDEX([1]equip.xml!$B:$B,MATCH(D3137&amp;"",[1]equip.xml!$A:$A,0))=0,0,N3137)</f>
        <v>65</v>
      </c>
      <c r="N3137" s="8">
        <f t="shared" ref="N3137" si="3173">N3049</f>
        <v>65</v>
      </c>
    </row>
    <row r="3138" spans="1:14">
      <c r="A3138" s="7">
        <f t="shared" si="3101"/>
        <v>20008</v>
      </c>
      <c r="B3138" s="8">
        <f t="shared" ref="B3138:C3138" si="3174">B3050</f>
        <v>40000</v>
      </c>
      <c r="C3138" s="8" t="str">
        <f t="shared" si="3174"/>
        <v>装备</v>
      </c>
      <c r="D3138" s="8">
        <v>40201050</v>
      </c>
      <c r="E3138" s="8"/>
      <c r="F3138" s="8">
        <v>1</v>
      </c>
      <c r="G3138" s="7">
        <f>3*INDEX([1]equip.xml!$I:$I,MATCH(D3138&amp;"",[1]equip.xml!$A:$A,0))</f>
        <v>60000</v>
      </c>
      <c r="H3138" s="8" t="str">
        <f t="shared" si="3150"/>
        <v>10_10,50_20,80_30</v>
      </c>
      <c r="I3138" s="8">
        <v>10</v>
      </c>
      <c r="J3138" s="8">
        <f t="shared" si="3150"/>
        <v>50</v>
      </c>
      <c r="K3138" s="7" t="s">
        <v>312</v>
      </c>
      <c r="L3138" s="8">
        <v>24</v>
      </c>
      <c r="M3138" s="7">
        <f>IF(INDEX([1]equip.xml!$B:$B,MATCH(D3138&amp;"",[1]equip.xml!$A:$A,0))=0,0,N3138)</f>
        <v>65</v>
      </c>
      <c r="N3138" s="8">
        <f t="shared" ref="N3138" si="3175">N3050</f>
        <v>65</v>
      </c>
    </row>
    <row r="3139" spans="1:14">
      <c r="A3139" s="7">
        <f t="shared" si="3101"/>
        <v>20008</v>
      </c>
      <c r="B3139" s="8">
        <f t="shared" ref="B3139:C3139" si="3176">B3051</f>
        <v>40000</v>
      </c>
      <c r="C3139" s="8" t="str">
        <f t="shared" si="3176"/>
        <v>装备</v>
      </c>
      <c r="D3139" s="8">
        <v>40201051</v>
      </c>
      <c r="E3139" s="8"/>
      <c r="F3139" s="8">
        <v>1</v>
      </c>
      <c r="G3139" s="7">
        <f>3*INDEX([1]equip.xml!$I:$I,MATCH(D3139&amp;"",[1]equip.xml!$A:$A,0))</f>
        <v>69000</v>
      </c>
      <c r="H3139" s="8" t="str">
        <f t="shared" si="3150"/>
        <v>10_10,50_20,80_30</v>
      </c>
      <c r="I3139" s="8">
        <v>10</v>
      </c>
      <c r="J3139" s="8">
        <f t="shared" si="3150"/>
        <v>50</v>
      </c>
      <c r="K3139" s="7" t="s">
        <v>312</v>
      </c>
      <c r="L3139" s="8">
        <v>24</v>
      </c>
      <c r="M3139" s="7">
        <f>IF(INDEX([1]equip.xml!$B:$B,MATCH(D3139&amp;"",[1]equip.xml!$A:$A,0))=0,0,N3139)</f>
        <v>0</v>
      </c>
      <c r="N3139" s="8">
        <f t="shared" ref="N3139" si="3177">N3051</f>
        <v>65</v>
      </c>
    </row>
    <row r="3140" spans="1:14">
      <c r="A3140" s="7">
        <f t="shared" si="3101"/>
        <v>20008</v>
      </c>
      <c r="B3140" s="8">
        <f t="shared" ref="B3140:C3140" si="3178">B3052</f>
        <v>40000</v>
      </c>
      <c r="C3140" s="8" t="str">
        <f t="shared" si="3178"/>
        <v>装备</v>
      </c>
      <c r="D3140" s="8">
        <v>40201060</v>
      </c>
      <c r="E3140" s="8"/>
      <c r="F3140" s="8">
        <v>1</v>
      </c>
      <c r="G3140" s="7">
        <f>3*INDEX([1]equip.xml!$I:$I,MATCH(D3140&amp;"",[1]equip.xml!$A:$A,0))</f>
        <v>60000</v>
      </c>
      <c r="H3140" s="8" t="str">
        <f t="shared" si="3150"/>
        <v>10_10,50_20,80_30</v>
      </c>
      <c r="I3140" s="8">
        <v>10</v>
      </c>
      <c r="J3140" s="8">
        <f t="shared" si="3150"/>
        <v>50</v>
      </c>
      <c r="K3140" s="7" t="s">
        <v>312</v>
      </c>
      <c r="L3140" s="8">
        <v>24</v>
      </c>
      <c r="M3140" s="7">
        <f>IF(INDEX([1]equip.xml!$B:$B,MATCH(D3140&amp;"",[1]equip.xml!$A:$A,0))=0,0,N3140)</f>
        <v>65</v>
      </c>
      <c r="N3140" s="8">
        <f t="shared" ref="N3140" si="3179">N3052</f>
        <v>65</v>
      </c>
    </row>
    <row r="3141" spans="1:14">
      <c r="A3141" s="7">
        <f t="shared" si="3101"/>
        <v>20008</v>
      </c>
      <c r="B3141" s="8">
        <f t="shared" ref="B3141:C3141" si="3180">B3053</f>
        <v>40000</v>
      </c>
      <c r="C3141" s="8" t="str">
        <f t="shared" si="3180"/>
        <v>装备</v>
      </c>
      <c r="D3141" s="8">
        <v>40201061</v>
      </c>
      <c r="E3141" s="8"/>
      <c r="F3141" s="8">
        <v>1</v>
      </c>
      <c r="G3141" s="7">
        <f>3*INDEX([1]equip.xml!$I:$I,MATCH(D3141&amp;"",[1]equip.xml!$A:$A,0))</f>
        <v>69000</v>
      </c>
      <c r="H3141" s="8" t="str">
        <f t="shared" si="3150"/>
        <v>10_10,50_20,80_30</v>
      </c>
      <c r="I3141" s="8">
        <v>10</v>
      </c>
      <c r="J3141" s="8">
        <f t="shared" si="3150"/>
        <v>50</v>
      </c>
      <c r="K3141" s="7" t="s">
        <v>312</v>
      </c>
      <c r="L3141" s="8">
        <v>24</v>
      </c>
      <c r="M3141" s="7">
        <f>IF(INDEX([1]equip.xml!$B:$B,MATCH(D3141&amp;"",[1]equip.xml!$A:$A,0))=0,0,N3141)</f>
        <v>0</v>
      </c>
      <c r="N3141" s="8">
        <f t="shared" ref="N3141" si="3181">N3053</f>
        <v>65</v>
      </c>
    </row>
    <row r="3142" spans="1:14">
      <c r="A3142" s="7">
        <f t="shared" si="3101"/>
        <v>20008</v>
      </c>
      <c r="B3142" s="8">
        <f t="shared" ref="B3142:C3142" si="3182">B3054</f>
        <v>40000</v>
      </c>
      <c r="C3142" s="8" t="str">
        <f t="shared" si="3182"/>
        <v>装备</v>
      </c>
      <c r="D3142" s="8">
        <v>40202050</v>
      </c>
      <c r="E3142" s="8"/>
      <c r="F3142" s="8">
        <v>1</v>
      </c>
      <c r="G3142" s="7">
        <f>3*INDEX([1]equip.xml!$I:$I,MATCH(D3142&amp;"",[1]equip.xml!$A:$A,0))</f>
        <v>60000</v>
      </c>
      <c r="H3142" s="8" t="str">
        <f t="shared" ref="H3142:J3157" si="3183">H3054</f>
        <v>10_10,50_20,80_30</v>
      </c>
      <c r="I3142" s="8">
        <v>10</v>
      </c>
      <c r="J3142" s="8">
        <f t="shared" si="3183"/>
        <v>50</v>
      </c>
      <c r="K3142" s="7" t="s">
        <v>312</v>
      </c>
      <c r="L3142" s="8">
        <v>24</v>
      </c>
      <c r="M3142" s="7">
        <f>IF(INDEX([1]equip.xml!$B:$B,MATCH(D3142&amp;"",[1]equip.xml!$A:$A,0))=0,0,N3142)</f>
        <v>65</v>
      </c>
      <c r="N3142" s="8">
        <f t="shared" ref="N3142" si="3184">N3054</f>
        <v>65</v>
      </c>
    </row>
    <row r="3143" spans="1:14">
      <c r="A3143" s="7">
        <f t="shared" si="3101"/>
        <v>20008</v>
      </c>
      <c r="B3143" s="8">
        <f t="shared" ref="B3143:C3143" si="3185">B3055</f>
        <v>40000</v>
      </c>
      <c r="C3143" s="8" t="str">
        <f t="shared" si="3185"/>
        <v>装备</v>
      </c>
      <c r="D3143" s="8">
        <v>40202051</v>
      </c>
      <c r="E3143" s="8"/>
      <c r="F3143" s="8">
        <v>1</v>
      </c>
      <c r="G3143" s="7">
        <f>3*INDEX([1]equip.xml!$I:$I,MATCH(D3143&amp;"",[1]equip.xml!$A:$A,0))</f>
        <v>69000</v>
      </c>
      <c r="H3143" s="8" t="str">
        <f t="shared" si="3183"/>
        <v>10_10,50_20,80_30</v>
      </c>
      <c r="I3143" s="8">
        <v>10</v>
      </c>
      <c r="J3143" s="8">
        <f t="shared" si="3183"/>
        <v>50</v>
      </c>
      <c r="K3143" s="7" t="s">
        <v>312</v>
      </c>
      <c r="L3143" s="8">
        <v>24</v>
      </c>
      <c r="M3143" s="7">
        <f>IF(INDEX([1]equip.xml!$B:$B,MATCH(D3143&amp;"",[1]equip.xml!$A:$A,0))=0,0,N3143)</f>
        <v>0</v>
      </c>
      <c r="N3143" s="8">
        <f t="shared" ref="N3143" si="3186">N3055</f>
        <v>65</v>
      </c>
    </row>
    <row r="3144" spans="1:14">
      <c r="A3144" s="7">
        <f t="shared" si="3101"/>
        <v>20008</v>
      </c>
      <c r="B3144" s="8">
        <f t="shared" ref="B3144:C3144" si="3187">B3056</f>
        <v>40000</v>
      </c>
      <c r="C3144" s="8" t="str">
        <f t="shared" si="3187"/>
        <v>装备</v>
      </c>
      <c r="D3144" s="8">
        <v>40202060</v>
      </c>
      <c r="E3144" s="8"/>
      <c r="F3144" s="8">
        <v>1</v>
      </c>
      <c r="G3144" s="7">
        <f>3*INDEX([1]equip.xml!$I:$I,MATCH(D3144&amp;"",[1]equip.xml!$A:$A,0))</f>
        <v>60000</v>
      </c>
      <c r="H3144" s="8" t="str">
        <f t="shared" si="3183"/>
        <v>10_10,50_20,80_30</v>
      </c>
      <c r="I3144" s="8">
        <v>10</v>
      </c>
      <c r="J3144" s="8">
        <f t="shared" si="3183"/>
        <v>50</v>
      </c>
      <c r="K3144" s="7" t="s">
        <v>312</v>
      </c>
      <c r="L3144" s="8">
        <v>24</v>
      </c>
      <c r="M3144" s="7">
        <f>IF(INDEX([1]equip.xml!$B:$B,MATCH(D3144&amp;"",[1]equip.xml!$A:$A,0))=0,0,N3144)</f>
        <v>65</v>
      </c>
      <c r="N3144" s="8">
        <f t="shared" ref="N3144" si="3188">N3056</f>
        <v>65</v>
      </c>
    </row>
    <row r="3145" spans="1:14">
      <c r="A3145" s="7">
        <f t="shared" si="3101"/>
        <v>20008</v>
      </c>
      <c r="B3145" s="8">
        <f t="shared" ref="B3145:C3145" si="3189">B3057</f>
        <v>40000</v>
      </c>
      <c r="C3145" s="8" t="str">
        <f t="shared" si="3189"/>
        <v>装备</v>
      </c>
      <c r="D3145" s="8">
        <v>40202061</v>
      </c>
      <c r="E3145" s="8"/>
      <c r="F3145" s="8">
        <v>1</v>
      </c>
      <c r="G3145" s="7">
        <f>3*INDEX([1]equip.xml!$I:$I,MATCH(D3145&amp;"",[1]equip.xml!$A:$A,0))</f>
        <v>69000</v>
      </c>
      <c r="H3145" s="8" t="str">
        <f t="shared" si="3183"/>
        <v>10_10,50_20,80_30</v>
      </c>
      <c r="I3145" s="8">
        <v>10</v>
      </c>
      <c r="J3145" s="8">
        <f t="shared" si="3183"/>
        <v>50</v>
      </c>
      <c r="K3145" s="7" t="s">
        <v>312</v>
      </c>
      <c r="L3145" s="8">
        <v>24</v>
      </c>
      <c r="M3145" s="7">
        <f>IF(INDEX([1]equip.xml!$B:$B,MATCH(D3145&amp;"",[1]equip.xml!$A:$A,0))=0,0,N3145)</f>
        <v>0</v>
      </c>
      <c r="N3145" s="8">
        <f t="shared" ref="N3145" si="3190">N3057</f>
        <v>65</v>
      </c>
    </row>
    <row r="3146" spans="1:14">
      <c r="A3146" s="7">
        <f t="shared" si="3101"/>
        <v>20008</v>
      </c>
      <c r="B3146" s="8">
        <f t="shared" ref="B3146:C3146" si="3191">B3058</f>
        <v>40000</v>
      </c>
      <c r="C3146" s="8" t="str">
        <f t="shared" si="3191"/>
        <v>装备</v>
      </c>
      <c r="D3146" s="8">
        <v>40203050</v>
      </c>
      <c r="E3146" s="8"/>
      <c r="F3146" s="8">
        <v>1</v>
      </c>
      <c r="G3146" s="7">
        <f>3*INDEX([1]equip.xml!$I:$I,MATCH(D3146&amp;"",[1]equip.xml!$A:$A,0))</f>
        <v>60000</v>
      </c>
      <c r="H3146" s="8" t="str">
        <f t="shared" si="3183"/>
        <v>10_10,50_20,80_30</v>
      </c>
      <c r="I3146" s="8">
        <v>10</v>
      </c>
      <c r="J3146" s="8">
        <f t="shared" si="3183"/>
        <v>50</v>
      </c>
      <c r="K3146" s="7" t="s">
        <v>312</v>
      </c>
      <c r="L3146" s="8">
        <v>24</v>
      </c>
      <c r="M3146" s="7">
        <f>IF(INDEX([1]equip.xml!$B:$B,MATCH(D3146&amp;"",[1]equip.xml!$A:$A,0))=0,0,N3146)</f>
        <v>65</v>
      </c>
      <c r="N3146" s="8">
        <f t="shared" ref="N3146" si="3192">N3058</f>
        <v>65</v>
      </c>
    </row>
    <row r="3147" spans="1:14">
      <c r="A3147" s="7">
        <f t="shared" si="3101"/>
        <v>20008</v>
      </c>
      <c r="B3147" s="8">
        <f t="shared" ref="B3147:C3147" si="3193">B3059</f>
        <v>40000</v>
      </c>
      <c r="C3147" s="8" t="str">
        <f t="shared" si="3193"/>
        <v>装备</v>
      </c>
      <c r="D3147" s="8">
        <v>40203051</v>
      </c>
      <c r="E3147" s="8"/>
      <c r="F3147" s="8">
        <v>1</v>
      </c>
      <c r="G3147" s="7">
        <f>3*INDEX([1]equip.xml!$I:$I,MATCH(D3147&amp;"",[1]equip.xml!$A:$A,0))</f>
        <v>69000</v>
      </c>
      <c r="H3147" s="8" t="str">
        <f t="shared" si="3183"/>
        <v>10_10,50_20,80_30</v>
      </c>
      <c r="I3147" s="8">
        <v>10</v>
      </c>
      <c r="J3147" s="8">
        <f t="shared" si="3183"/>
        <v>50</v>
      </c>
      <c r="K3147" s="7" t="s">
        <v>312</v>
      </c>
      <c r="L3147" s="8">
        <v>24</v>
      </c>
      <c r="M3147" s="7">
        <f>IF(INDEX([1]equip.xml!$B:$B,MATCH(D3147&amp;"",[1]equip.xml!$A:$A,0))=0,0,N3147)</f>
        <v>65</v>
      </c>
      <c r="N3147" s="8">
        <f t="shared" ref="N3147" si="3194">N3059</f>
        <v>65</v>
      </c>
    </row>
    <row r="3148" spans="1:14">
      <c r="A3148" s="7">
        <f t="shared" si="3101"/>
        <v>20008</v>
      </c>
      <c r="B3148" s="8">
        <f t="shared" ref="B3148:C3148" si="3195">B3060</f>
        <v>40000</v>
      </c>
      <c r="C3148" s="8" t="str">
        <f t="shared" si="3195"/>
        <v>装备</v>
      </c>
      <c r="D3148" s="8">
        <v>40203060</v>
      </c>
      <c r="E3148" s="8"/>
      <c r="F3148" s="8">
        <v>1</v>
      </c>
      <c r="G3148" s="7">
        <f>3*INDEX([1]equip.xml!$I:$I,MATCH(D3148&amp;"",[1]equip.xml!$A:$A,0))</f>
        <v>60000</v>
      </c>
      <c r="H3148" s="8" t="str">
        <f t="shared" si="3183"/>
        <v>10_10,50_20,80_30</v>
      </c>
      <c r="I3148" s="8">
        <v>10</v>
      </c>
      <c r="J3148" s="8">
        <f t="shared" si="3183"/>
        <v>50</v>
      </c>
      <c r="K3148" s="7" t="s">
        <v>312</v>
      </c>
      <c r="L3148" s="8">
        <v>24</v>
      </c>
      <c r="M3148" s="7">
        <f>IF(INDEX([1]equip.xml!$B:$B,MATCH(D3148&amp;"",[1]equip.xml!$A:$A,0))=0,0,N3148)</f>
        <v>65</v>
      </c>
      <c r="N3148" s="8">
        <f t="shared" ref="N3148" si="3196">N3060</f>
        <v>65</v>
      </c>
    </row>
    <row r="3149" spans="1:14">
      <c r="A3149" s="7">
        <f t="shared" si="3101"/>
        <v>20008</v>
      </c>
      <c r="B3149" s="8">
        <f t="shared" ref="B3149:C3149" si="3197">B3061</f>
        <v>40000</v>
      </c>
      <c r="C3149" s="8" t="str">
        <f t="shared" si="3197"/>
        <v>装备</v>
      </c>
      <c r="D3149" s="8">
        <v>40203061</v>
      </c>
      <c r="E3149" s="8"/>
      <c r="F3149" s="8">
        <v>1</v>
      </c>
      <c r="G3149" s="7">
        <f>3*INDEX([1]equip.xml!$I:$I,MATCH(D3149&amp;"",[1]equip.xml!$A:$A,0))</f>
        <v>69000</v>
      </c>
      <c r="H3149" s="8" t="str">
        <f t="shared" si="3183"/>
        <v>10_10,50_20,80_30</v>
      </c>
      <c r="I3149" s="8">
        <v>10</v>
      </c>
      <c r="J3149" s="8">
        <f t="shared" si="3183"/>
        <v>50</v>
      </c>
      <c r="K3149" s="7" t="s">
        <v>312</v>
      </c>
      <c r="L3149" s="8">
        <v>24</v>
      </c>
      <c r="M3149" s="7">
        <f>IF(INDEX([1]equip.xml!$B:$B,MATCH(D3149&amp;"",[1]equip.xml!$A:$A,0))=0,0,N3149)</f>
        <v>0</v>
      </c>
      <c r="N3149" s="8">
        <f t="shared" ref="N3149" si="3198">N3061</f>
        <v>65</v>
      </c>
    </row>
    <row r="3150" spans="1:14">
      <c r="A3150" s="7">
        <f t="shared" si="3101"/>
        <v>20008</v>
      </c>
      <c r="B3150" s="8">
        <f t="shared" ref="B3150:C3150" si="3199">B3062</f>
        <v>40000</v>
      </c>
      <c r="C3150" s="8" t="str">
        <f t="shared" si="3199"/>
        <v>装备</v>
      </c>
      <c r="D3150" s="8">
        <v>40200040</v>
      </c>
      <c r="E3150" s="8"/>
      <c r="F3150" s="8">
        <v>1</v>
      </c>
      <c r="G3150" s="7">
        <f>3*INDEX([1]equip.xml!$I:$I,MATCH(D3150&amp;"",[1]equip.xml!$A:$A,0))</f>
        <v>60000</v>
      </c>
      <c r="H3150" s="8" t="str">
        <f t="shared" si="3183"/>
        <v>10_10,50_20,80_30</v>
      </c>
      <c r="I3150" s="8">
        <v>10</v>
      </c>
      <c r="J3150" s="8">
        <f t="shared" si="3183"/>
        <v>50</v>
      </c>
      <c r="K3150" s="7" t="s">
        <v>312</v>
      </c>
      <c r="L3150" s="8">
        <v>24</v>
      </c>
      <c r="M3150" s="7">
        <f>IF(INDEX([1]equip.xml!$B:$B,MATCH(D3150&amp;"",[1]equip.xml!$A:$A,0))=0,0,N3150)</f>
        <v>65</v>
      </c>
      <c r="N3150" s="8">
        <f t="shared" ref="N3150" si="3200">N3062</f>
        <v>65</v>
      </c>
    </row>
    <row r="3151" spans="1:14">
      <c r="A3151" s="7">
        <f t="shared" si="3101"/>
        <v>20008</v>
      </c>
      <c r="B3151" s="8">
        <f t="shared" ref="B3151:C3151" si="3201">B3063</f>
        <v>40000</v>
      </c>
      <c r="C3151" s="8" t="str">
        <f t="shared" si="3201"/>
        <v>装备</v>
      </c>
      <c r="D3151" s="8">
        <v>40200041</v>
      </c>
      <c r="E3151" s="8"/>
      <c r="F3151" s="8">
        <v>1</v>
      </c>
      <c r="G3151" s="7">
        <f>3*INDEX([1]equip.xml!$I:$I,MATCH(D3151&amp;"",[1]equip.xml!$A:$A,0))</f>
        <v>69000</v>
      </c>
      <c r="H3151" s="8" t="str">
        <f t="shared" si="3183"/>
        <v>10_10,50_20,80_30</v>
      </c>
      <c r="I3151" s="8">
        <v>10</v>
      </c>
      <c r="J3151" s="8">
        <f t="shared" si="3183"/>
        <v>50</v>
      </c>
      <c r="K3151" s="7" t="s">
        <v>312</v>
      </c>
      <c r="L3151" s="8">
        <v>24</v>
      </c>
      <c r="M3151" s="7">
        <f>IF(INDEX([1]equip.xml!$B:$B,MATCH(D3151&amp;"",[1]equip.xml!$A:$A,0))=0,0,N3151)</f>
        <v>65</v>
      </c>
      <c r="N3151" s="8">
        <f t="shared" ref="N3151" si="3202">N3063</f>
        <v>65</v>
      </c>
    </row>
    <row r="3152" spans="1:14">
      <c r="A3152" s="7">
        <f t="shared" si="3101"/>
        <v>20008</v>
      </c>
      <c r="B3152" s="8">
        <f t="shared" ref="B3152:C3152" si="3203">B3064</f>
        <v>40000</v>
      </c>
      <c r="C3152" s="8" t="str">
        <f t="shared" si="3203"/>
        <v>装备</v>
      </c>
      <c r="D3152" s="8">
        <v>40200070</v>
      </c>
      <c r="E3152" s="8"/>
      <c r="F3152" s="8">
        <v>1</v>
      </c>
      <c r="G3152" s="7">
        <f>3*INDEX([1]equip.xml!$I:$I,MATCH(D3152&amp;"",[1]equip.xml!$A:$A,0))</f>
        <v>60000</v>
      </c>
      <c r="H3152" s="8" t="str">
        <f t="shared" si="3183"/>
        <v>10_10,50_20,80_30</v>
      </c>
      <c r="I3152" s="8">
        <v>10</v>
      </c>
      <c r="J3152" s="8">
        <f t="shared" si="3183"/>
        <v>50</v>
      </c>
      <c r="K3152" s="7" t="s">
        <v>312</v>
      </c>
      <c r="L3152" s="8">
        <v>24</v>
      </c>
      <c r="M3152" s="7">
        <f>IF(INDEX([1]equip.xml!$B:$B,MATCH(D3152&amp;"",[1]equip.xml!$A:$A,0))=0,0,N3152)</f>
        <v>65</v>
      </c>
      <c r="N3152" s="8">
        <f t="shared" ref="N3152" si="3204">N3064</f>
        <v>65</v>
      </c>
    </row>
    <row r="3153" spans="1:14">
      <c r="A3153" s="7">
        <f t="shared" si="3101"/>
        <v>20008</v>
      </c>
      <c r="B3153" s="8">
        <f t="shared" ref="B3153:C3153" si="3205">B3065</f>
        <v>40000</v>
      </c>
      <c r="C3153" s="8" t="str">
        <f t="shared" si="3205"/>
        <v>装备</v>
      </c>
      <c r="D3153" s="8">
        <v>40200071</v>
      </c>
      <c r="E3153" s="8"/>
      <c r="F3153" s="8">
        <v>1</v>
      </c>
      <c r="G3153" s="7">
        <f>3*INDEX([1]equip.xml!$I:$I,MATCH(D3153&amp;"",[1]equip.xml!$A:$A,0))</f>
        <v>69000</v>
      </c>
      <c r="H3153" s="8" t="str">
        <f t="shared" si="3183"/>
        <v>10_10,50_20,80_30</v>
      </c>
      <c r="I3153" s="8">
        <v>10</v>
      </c>
      <c r="J3153" s="8">
        <f t="shared" si="3183"/>
        <v>50</v>
      </c>
      <c r="K3153" s="7" t="s">
        <v>312</v>
      </c>
      <c r="L3153" s="8">
        <v>24</v>
      </c>
      <c r="M3153" s="7">
        <f>IF(INDEX([1]equip.xml!$B:$B,MATCH(D3153&amp;"",[1]equip.xml!$A:$A,0))=0,0,N3153)</f>
        <v>65</v>
      </c>
      <c r="N3153" s="8">
        <f t="shared" ref="N3153" si="3206">N3065</f>
        <v>65</v>
      </c>
    </row>
    <row r="3154" spans="1:14">
      <c r="A3154" s="7">
        <f t="shared" si="3101"/>
        <v>20008</v>
      </c>
      <c r="B3154" s="8">
        <f t="shared" ref="B3154:C3154" si="3207">B3066</f>
        <v>40000</v>
      </c>
      <c r="C3154" s="8" t="str">
        <f t="shared" si="3207"/>
        <v>装备</v>
      </c>
      <c r="D3154" s="8">
        <v>50150015</v>
      </c>
      <c r="E3154" s="8"/>
      <c r="F3154" s="8">
        <v>1</v>
      </c>
      <c r="G3154" s="8">
        <f>3*INDEX([1]equip.xml!$I:$I,MATCH(D3154,[1]equip.xml!$A:$A,0))</f>
        <v>90000</v>
      </c>
      <c r="H3154" s="8" t="str">
        <f t="shared" si="3183"/>
        <v>10_10,50_20,80_30</v>
      </c>
      <c r="I3154" s="8">
        <v>10</v>
      </c>
      <c r="J3154" s="8">
        <f t="shared" si="3183"/>
        <v>240</v>
      </c>
      <c r="K3154" s="7" t="s">
        <v>312</v>
      </c>
      <c r="L3154" s="8">
        <v>24</v>
      </c>
      <c r="M3154" s="7">
        <f>IF(INDEX([1]equip.xml!$B:$B,MATCH(D3154,[1]equip.xml!$A:$A,0))=0,0,N3154)</f>
        <v>0</v>
      </c>
      <c r="N3154" s="8">
        <f t="shared" ref="N3154" si="3208">N3066</f>
        <v>130</v>
      </c>
    </row>
    <row r="3155" spans="1:14">
      <c r="A3155" s="7">
        <f t="shared" si="3101"/>
        <v>20008</v>
      </c>
      <c r="B3155" s="8">
        <f t="shared" ref="B3155:C3155" si="3209">B3067</f>
        <v>40000</v>
      </c>
      <c r="C3155" s="8" t="str">
        <f t="shared" si="3209"/>
        <v>装备</v>
      </c>
      <c r="D3155" s="8">
        <v>50150025</v>
      </c>
      <c r="E3155" s="8"/>
      <c r="F3155" s="8">
        <v>1</v>
      </c>
      <c r="G3155" s="8">
        <f>3*INDEX([1]equip.xml!$I:$I,MATCH(D3155,[1]equip.xml!$A:$A,0))</f>
        <v>90000</v>
      </c>
      <c r="H3155" s="8" t="str">
        <f t="shared" si="3183"/>
        <v>10_10,50_20,80_30</v>
      </c>
      <c r="I3155" s="8">
        <v>10</v>
      </c>
      <c r="J3155" s="8">
        <f t="shared" si="3183"/>
        <v>240</v>
      </c>
      <c r="K3155" s="7" t="s">
        <v>312</v>
      </c>
      <c r="L3155" s="8">
        <v>24</v>
      </c>
      <c r="M3155" s="7">
        <f>IF(INDEX([1]equip.xml!$B:$B,MATCH(D3155,[1]equip.xml!$A:$A,0))=0,0,N3155)</f>
        <v>0</v>
      </c>
      <c r="N3155" s="8">
        <f t="shared" ref="N3155" si="3210">N3067</f>
        <v>130</v>
      </c>
    </row>
    <row r="3156" spans="1:14">
      <c r="A3156" s="7">
        <f t="shared" si="3101"/>
        <v>20008</v>
      </c>
      <c r="B3156" s="8">
        <f t="shared" ref="B3156:C3156" si="3211">B3068</f>
        <v>40000</v>
      </c>
      <c r="C3156" s="8" t="str">
        <f t="shared" si="3211"/>
        <v>装备</v>
      </c>
      <c r="D3156" s="8">
        <v>50150035</v>
      </c>
      <c r="E3156" s="8"/>
      <c r="F3156" s="8">
        <v>1</v>
      </c>
      <c r="G3156" s="8">
        <f>3*INDEX([1]equip.xml!$I:$I,MATCH(D3156,[1]equip.xml!$A:$A,0))</f>
        <v>90000</v>
      </c>
      <c r="H3156" s="8" t="str">
        <f t="shared" si="3183"/>
        <v>10_10,50_20,80_30</v>
      </c>
      <c r="I3156" s="8">
        <v>10</v>
      </c>
      <c r="J3156" s="8">
        <f t="shared" si="3183"/>
        <v>240</v>
      </c>
      <c r="K3156" s="7" t="s">
        <v>312</v>
      </c>
      <c r="L3156" s="8">
        <v>24</v>
      </c>
      <c r="M3156" s="7">
        <f>IF(INDEX([1]equip.xml!$B:$B,MATCH(D3156,[1]equip.xml!$A:$A,0))=0,0,N3156)</f>
        <v>130</v>
      </c>
      <c r="N3156" s="8">
        <f t="shared" ref="N3156" si="3212">N3068</f>
        <v>130</v>
      </c>
    </row>
    <row r="3157" spans="1:14">
      <c r="A3157" s="7">
        <f t="shared" si="3101"/>
        <v>20008</v>
      </c>
      <c r="B3157" s="8">
        <f t="shared" ref="B3157:C3157" si="3213">B3069</f>
        <v>40000</v>
      </c>
      <c r="C3157" s="8" t="str">
        <f t="shared" si="3213"/>
        <v>装备</v>
      </c>
      <c r="D3157" s="8">
        <v>50150085</v>
      </c>
      <c r="E3157" s="8"/>
      <c r="F3157" s="8">
        <v>1</v>
      </c>
      <c r="G3157" s="8">
        <f>3*INDEX([1]equip.xml!$I:$I,MATCH(D3157,[1]equip.xml!$A:$A,0))</f>
        <v>90000</v>
      </c>
      <c r="H3157" s="8" t="str">
        <f t="shared" si="3183"/>
        <v>10_10,50_20,80_30</v>
      </c>
      <c r="I3157" s="8">
        <v>10</v>
      </c>
      <c r="J3157" s="8">
        <f t="shared" si="3183"/>
        <v>240</v>
      </c>
      <c r="K3157" s="7" t="s">
        <v>312</v>
      </c>
      <c r="L3157" s="8">
        <v>24</v>
      </c>
      <c r="M3157" s="7">
        <f>IF(INDEX([1]equip.xml!$B:$B,MATCH(D3157,[1]equip.xml!$A:$A,0))=0,0,N3157)</f>
        <v>130</v>
      </c>
      <c r="N3157" s="8">
        <f t="shared" ref="N3157" si="3214">N3069</f>
        <v>130</v>
      </c>
    </row>
    <row r="3158" spans="1:14">
      <c r="A3158" s="7">
        <f t="shared" si="3101"/>
        <v>20008</v>
      </c>
      <c r="B3158" s="8">
        <f t="shared" ref="B3158:C3158" si="3215">B3070</f>
        <v>40000</v>
      </c>
      <c r="C3158" s="8" t="str">
        <f t="shared" si="3215"/>
        <v>装备</v>
      </c>
      <c r="D3158" s="8">
        <v>50150095</v>
      </c>
      <c r="E3158" s="8"/>
      <c r="F3158" s="8">
        <v>1</v>
      </c>
      <c r="G3158" s="8">
        <f>3*INDEX([1]equip.xml!$I:$I,MATCH(D3158,[1]equip.xml!$A:$A,0))</f>
        <v>90000</v>
      </c>
      <c r="H3158" s="8" t="str">
        <f t="shared" ref="H3158:J3173" si="3216">H3070</f>
        <v>10_10,50_20,80_30</v>
      </c>
      <c r="I3158" s="8">
        <v>10</v>
      </c>
      <c r="J3158" s="8">
        <f t="shared" si="3216"/>
        <v>240</v>
      </c>
      <c r="K3158" s="7" t="s">
        <v>312</v>
      </c>
      <c r="L3158" s="8">
        <v>24</v>
      </c>
      <c r="M3158" s="7">
        <f>IF(INDEX([1]equip.xml!$B:$B,MATCH(D3158,[1]equip.xml!$A:$A,0))=0,0,N3158)</f>
        <v>130</v>
      </c>
      <c r="N3158" s="8">
        <f t="shared" ref="N3158" si="3217">N3070</f>
        <v>130</v>
      </c>
    </row>
    <row r="3159" spans="1:14">
      <c r="A3159" s="7">
        <f t="shared" si="3101"/>
        <v>20008</v>
      </c>
      <c r="B3159" s="8">
        <f t="shared" ref="B3159:C3159" si="3218">B3071</f>
        <v>40000</v>
      </c>
      <c r="C3159" s="8" t="str">
        <f t="shared" si="3218"/>
        <v>装备</v>
      </c>
      <c r="D3159" s="8">
        <v>50150105</v>
      </c>
      <c r="E3159" s="8"/>
      <c r="F3159" s="8">
        <v>1</v>
      </c>
      <c r="G3159" s="8">
        <f>3*INDEX([1]equip.xml!$I:$I,MATCH(D3159,[1]equip.xml!$A:$A,0))</f>
        <v>90000</v>
      </c>
      <c r="H3159" s="8" t="str">
        <f t="shared" si="3216"/>
        <v>10_10,50_20,80_30</v>
      </c>
      <c r="I3159" s="8">
        <v>10</v>
      </c>
      <c r="J3159" s="8">
        <f t="shared" si="3216"/>
        <v>240</v>
      </c>
      <c r="K3159" s="7" t="s">
        <v>312</v>
      </c>
      <c r="L3159" s="8">
        <v>24</v>
      </c>
      <c r="M3159" s="7">
        <f>IF(INDEX([1]equip.xml!$B:$B,MATCH(D3159,[1]equip.xml!$A:$A,0))=0,0,N3159)</f>
        <v>130</v>
      </c>
      <c r="N3159" s="8">
        <f t="shared" ref="N3159" si="3219">N3071</f>
        <v>130</v>
      </c>
    </row>
    <row r="3160" spans="1:14">
      <c r="A3160" s="7">
        <f t="shared" si="3101"/>
        <v>20008</v>
      </c>
      <c r="B3160" s="8">
        <f t="shared" ref="B3160:C3160" si="3220">B3072</f>
        <v>40000</v>
      </c>
      <c r="C3160" s="8" t="str">
        <f t="shared" si="3220"/>
        <v>装备</v>
      </c>
      <c r="D3160" s="8">
        <v>50151055</v>
      </c>
      <c r="E3160" s="8"/>
      <c r="F3160" s="8">
        <v>1</v>
      </c>
      <c r="G3160" s="8">
        <f>3*INDEX([1]equip.xml!$I:$I,MATCH(D3160,[1]equip.xml!$A:$A,0))</f>
        <v>90000</v>
      </c>
      <c r="H3160" s="8" t="str">
        <f t="shared" si="3216"/>
        <v>10_10,50_20,80_30</v>
      </c>
      <c r="I3160" s="8">
        <v>10</v>
      </c>
      <c r="J3160" s="8">
        <f t="shared" si="3216"/>
        <v>240</v>
      </c>
      <c r="K3160" s="7" t="s">
        <v>312</v>
      </c>
      <c r="L3160" s="8">
        <v>24</v>
      </c>
      <c r="M3160" s="7">
        <f>IF(INDEX([1]equip.xml!$B:$B,MATCH(D3160,[1]equip.xml!$A:$A,0))=0,0,N3160)</f>
        <v>130</v>
      </c>
      <c r="N3160" s="8">
        <f t="shared" ref="N3160" si="3221">N3072</f>
        <v>130</v>
      </c>
    </row>
    <row r="3161" spans="1:14">
      <c r="A3161" s="7">
        <f t="shared" si="3101"/>
        <v>20008</v>
      </c>
      <c r="B3161" s="8">
        <f t="shared" ref="B3161:C3161" si="3222">B3073</f>
        <v>40000</v>
      </c>
      <c r="C3161" s="8" t="str">
        <f t="shared" si="3222"/>
        <v>装备</v>
      </c>
      <c r="D3161" s="8">
        <v>50151056</v>
      </c>
      <c r="E3161" s="8"/>
      <c r="F3161" s="8">
        <v>1</v>
      </c>
      <c r="G3161" s="8">
        <f>3*INDEX([1]equip.xml!$I:$I,MATCH(D3161,[1]equip.xml!$A:$A,0))</f>
        <v>108000</v>
      </c>
      <c r="H3161" s="8" t="str">
        <f t="shared" si="3216"/>
        <v>10_10,50_20,80_30</v>
      </c>
      <c r="I3161" s="8">
        <v>10</v>
      </c>
      <c r="J3161" s="8">
        <f t="shared" si="3216"/>
        <v>240</v>
      </c>
      <c r="K3161" s="7" t="s">
        <v>312</v>
      </c>
      <c r="L3161" s="8">
        <v>24</v>
      </c>
      <c r="M3161" s="7">
        <f>IF(INDEX([1]equip.xml!$B:$B,MATCH(D3161,[1]equip.xml!$A:$A,0))=0,0,N3161)</f>
        <v>130</v>
      </c>
      <c r="N3161" s="8">
        <f t="shared" ref="N3161" si="3223">N3073</f>
        <v>130</v>
      </c>
    </row>
    <row r="3162" spans="1:14">
      <c r="A3162" s="7">
        <f t="shared" si="3101"/>
        <v>20008</v>
      </c>
      <c r="B3162" s="8">
        <f t="shared" ref="B3162:C3162" si="3224">B3074</f>
        <v>40000</v>
      </c>
      <c r="C3162" s="8" t="str">
        <f t="shared" si="3224"/>
        <v>装备</v>
      </c>
      <c r="D3162" s="8">
        <v>50151065</v>
      </c>
      <c r="E3162" s="8"/>
      <c r="F3162" s="8">
        <v>1</v>
      </c>
      <c r="G3162" s="8">
        <f>3*INDEX([1]equip.xml!$I:$I,MATCH(D3162,[1]equip.xml!$A:$A,0))</f>
        <v>90000</v>
      </c>
      <c r="H3162" s="8" t="str">
        <f t="shared" si="3216"/>
        <v>10_10,50_20,80_30</v>
      </c>
      <c r="I3162" s="8">
        <v>10</v>
      </c>
      <c r="J3162" s="8">
        <f t="shared" si="3216"/>
        <v>240</v>
      </c>
      <c r="K3162" s="7" t="s">
        <v>312</v>
      </c>
      <c r="L3162" s="8">
        <v>24</v>
      </c>
      <c r="M3162" s="7">
        <f>IF(INDEX([1]equip.xml!$B:$B,MATCH(D3162,[1]equip.xml!$A:$A,0))=0,0,N3162)</f>
        <v>130</v>
      </c>
      <c r="N3162" s="8">
        <f t="shared" ref="N3162" si="3225">N3074</f>
        <v>130</v>
      </c>
    </row>
    <row r="3163" spans="1:14">
      <c r="A3163" s="7">
        <f t="shared" si="3101"/>
        <v>20008</v>
      </c>
      <c r="B3163" s="8">
        <f t="shared" ref="B3163:C3163" si="3226">B3075</f>
        <v>40000</v>
      </c>
      <c r="C3163" s="8" t="str">
        <f t="shared" si="3226"/>
        <v>装备</v>
      </c>
      <c r="D3163" s="8">
        <v>50151066</v>
      </c>
      <c r="E3163" s="8"/>
      <c r="F3163" s="8">
        <v>1</v>
      </c>
      <c r="G3163" s="8">
        <f>3*INDEX([1]equip.xml!$I:$I,MATCH(D3163,[1]equip.xml!$A:$A,0))</f>
        <v>108000</v>
      </c>
      <c r="H3163" s="8" t="str">
        <f t="shared" si="3216"/>
        <v>10_10,50_20,80_30</v>
      </c>
      <c r="I3163" s="8">
        <v>10</v>
      </c>
      <c r="J3163" s="8">
        <f t="shared" si="3216"/>
        <v>240</v>
      </c>
      <c r="K3163" s="7" t="s">
        <v>312</v>
      </c>
      <c r="L3163" s="8">
        <v>24</v>
      </c>
      <c r="M3163" s="7">
        <f>IF(INDEX([1]equip.xml!$B:$B,MATCH(D3163,[1]equip.xml!$A:$A,0))=0,0,N3163)</f>
        <v>0</v>
      </c>
      <c r="N3163" s="8">
        <f t="shared" ref="N3163" si="3227">N3075</f>
        <v>130</v>
      </c>
    </row>
    <row r="3164" spans="1:14">
      <c r="A3164" s="7">
        <f t="shared" si="3101"/>
        <v>20008</v>
      </c>
      <c r="B3164" s="8">
        <f t="shared" ref="B3164:C3164" si="3228">B3076</f>
        <v>40000</v>
      </c>
      <c r="C3164" s="8" t="str">
        <f t="shared" si="3228"/>
        <v>装备</v>
      </c>
      <c r="D3164" s="8">
        <v>50152055</v>
      </c>
      <c r="E3164" s="8"/>
      <c r="F3164" s="8">
        <v>1</v>
      </c>
      <c r="G3164" s="8">
        <f>3*INDEX([1]equip.xml!$I:$I,MATCH(D3164,[1]equip.xml!$A:$A,0))</f>
        <v>90000</v>
      </c>
      <c r="H3164" s="8" t="str">
        <f t="shared" si="3216"/>
        <v>10_10,50_20,80_30</v>
      </c>
      <c r="I3164" s="8">
        <v>10</v>
      </c>
      <c r="J3164" s="8">
        <f t="shared" si="3216"/>
        <v>240</v>
      </c>
      <c r="K3164" s="7" t="s">
        <v>312</v>
      </c>
      <c r="L3164" s="8">
        <v>24</v>
      </c>
      <c r="M3164" s="7">
        <f>IF(INDEX([1]equip.xml!$B:$B,MATCH(D3164,[1]equip.xml!$A:$A,0))=0,0,N3164)</f>
        <v>130</v>
      </c>
      <c r="N3164" s="8">
        <f t="shared" ref="N3164" si="3229">N3076</f>
        <v>130</v>
      </c>
    </row>
    <row r="3165" spans="1:14">
      <c r="A3165" s="7">
        <f t="shared" si="3101"/>
        <v>20008</v>
      </c>
      <c r="B3165" s="8">
        <f t="shared" ref="B3165:C3165" si="3230">B3077</f>
        <v>40000</v>
      </c>
      <c r="C3165" s="8" t="str">
        <f t="shared" si="3230"/>
        <v>装备</v>
      </c>
      <c r="D3165" s="8">
        <v>50152056</v>
      </c>
      <c r="E3165" s="8"/>
      <c r="F3165" s="8">
        <v>1</v>
      </c>
      <c r="G3165" s="8">
        <f>3*INDEX([1]equip.xml!$I:$I,MATCH(D3165,[1]equip.xml!$A:$A,0))</f>
        <v>108000</v>
      </c>
      <c r="H3165" s="8" t="str">
        <f t="shared" si="3216"/>
        <v>10_10,50_20,80_30</v>
      </c>
      <c r="I3165" s="8">
        <v>10</v>
      </c>
      <c r="J3165" s="8">
        <f t="shared" si="3216"/>
        <v>240</v>
      </c>
      <c r="K3165" s="7" t="s">
        <v>312</v>
      </c>
      <c r="L3165" s="8">
        <v>24</v>
      </c>
      <c r="M3165" s="7">
        <f>IF(INDEX([1]equip.xml!$B:$B,MATCH(D3165,[1]equip.xml!$A:$A,0))=0,0,N3165)</f>
        <v>130</v>
      </c>
      <c r="N3165" s="8">
        <f t="shared" ref="N3165" si="3231">N3077</f>
        <v>130</v>
      </c>
    </row>
    <row r="3166" spans="1:14">
      <c r="A3166" s="7">
        <f t="shared" si="3101"/>
        <v>20008</v>
      </c>
      <c r="B3166" s="8">
        <f t="shared" ref="B3166:C3166" si="3232">B3078</f>
        <v>40000</v>
      </c>
      <c r="C3166" s="8" t="str">
        <f t="shared" si="3232"/>
        <v>装备</v>
      </c>
      <c r="D3166" s="8">
        <v>50152065</v>
      </c>
      <c r="E3166" s="8"/>
      <c r="F3166" s="8">
        <v>1</v>
      </c>
      <c r="G3166" s="8">
        <f>3*INDEX([1]equip.xml!$I:$I,MATCH(D3166,[1]equip.xml!$A:$A,0))</f>
        <v>90000</v>
      </c>
      <c r="H3166" s="8" t="str">
        <f t="shared" si="3216"/>
        <v>10_10,50_20,80_30</v>
      </c>
      <c r="I3166" s="8">
        <v>10</v>
      </c>
      <c r="J3166" s="8">
        <f t="shared" si="3216"/>
        <v>240</v>
      </c>
      <c r="K3166" s="7" t="s">
        <v>312</v>
      </c>
      <c r="L3166" s="8">
        <v>24</v>
      </c>
      <c r="M3166" s="7">
        <f>IF(INDEX([1]equip.xml!$B:$B,MATCH(D3166,[1]equip.xml!$A:$A,0))=0,0,N3166)</f>
        <v>130</v>
      </c>
      <c r="N3166" s="8">
        <f t="shared" ref="N3166" si="3233">N3078</f>
        <v>130</v>
      </c>
    </row>
    <row r="3167" spans="1:14">
      <c r="A3167" s="7">
        <f t="shared" ref="A3167:A3230" si="3234">10000+A351</f>
        <v>20008</v>
      </c>
      <c r="B3167" s="8">
        <f t="shared" ref="B3167:C3167" si="3235">B3079</f>
        <v>40000</v>
      </c>
      <c r="C3167" s="8" t="str">
        <f t="shared" si="3235"/>
        <v>装备</v>
      </c>
      <c r="D3167" s="8">
        <v>50152066</v>
      </c>
      <c r="E3167" s="8"/>
      <c r="F3167" s="8">
        <v>1</v>
      </c>
      <c r="G3167" s="8">
        <f>3*INDEX([1]equip.xml!$I:$I,MATCH(D3167,[1]equip.xml!$A:$A,0))</f>
        <v>108000</v>
      </c>
      <c r="H3167" s="8" t="str">
        <f t="shared" si="3216"/>
        <v>10_10,50_20,80_30</v>
      </c>
      <c r="I3167" s="8">
        <v>10</v>
      </c>
      <c r="J3167" s="8">
        <f t="shared" si="3216"/>
        <v>240</v>
      </c>
      <c r="K3167" s="7" t="s">
        <v>312</v>
      </c>
      <c r="L3167" s="8">
        <v>24</v>
      </c>
      <c r="M3167" s="7">
        <f>IF(INDEX([1]equip.xml!$B:$B,MATCH(D3167,[1]equip.xml!$A:$A,0))=0,0,N3167)</f>
        <v>0</v>
      </c>
      <c r="N3167" s="8">
        <f t="shared" ref="N3167" si="3236">N3079</f>
        <v>130</v>
      </c>
    </row>
    <row r="3168" spans="1:14">
      <c r="A3168" s="7">
        <f t="shared" si="3234"/>
        <v>20008</v>
      </c>
      <c r="B3168" s="8">
        <f t="shared" ref="B3168:C3168" si="3237">B3080</f>
        <v>40000</v>
      </c>
      <c r="C3168" s="8" t="str">
        <f t="shared" si="3237"/>
        <v>装备</v>
      </c>
      <c r="D3168" s="8">
        <v>50153055</v>
      </c>
      <c r="E3168" s="8"/>
      <c r="F3168" s="8">
        <v>1</v>
      </c>
      <c r="G3168" s="8">
        <f>3*INDEX([1]equip.xml!$I:$I,MATCH(D3168,[1]equip.xml!$A:$A,0))</f>
        <v>90000</v>
      </c>
      <c r="H3168" s="8" t="str">
        <f t="shared" si="3216"/>
        <v>10_10,50_20,80_30</v>
      </c>
      <c r="I3168" s="8">
        <v>10</v>
      </c>
      <c r="J3168" s="8">
        <f t="shared" si="3216"/>
        <v>240</v>
      </c>
      <c r="K3168" s="7" t="s">
        <v>312</v>
      </c>
      <c r="L3168" s="8">
        <v>24</v>
      </c>
      <c r="M3168" s="7">
        <f>IF(INDEX([1]equip.xml!$B:$B,MATCH(D3168,[1]equip.xml!$A:$A,0))=0,0,N3168)</f>
        <v>130</v>
      </c>
      <c r="N3168" s="8">
        <f t="shared" ref="N3168" si="3238">N3080</f>
        <v>130</v>
      </c>
    </row>
    <row r="3169" spans="1:14">
      <c r="A3169" s="7">
        <f t="shared" si="3234"/>
        <v>20008</v>
      </c>
      <c r="B3169" s="8">
        <f t="shared" ref="B3169:C3169" si="3239">B3081</f>
        <v>40000</v>
      </c>
      <c r="C3169" s="8" t="str">
        <f t="shared" si="3239"/>
        <v>装备</v>
      </c>
      <c r="D3169" s="8">
        <v>50153056</v>
      </c>
      <c r="E3169" s="8"/>
      <c r="F3169" s="8">
        <v>1</v>
      </c>
      <c r="G3169" s="8">
        <f>3*INDEX([1]equip.xml!$I:$I,MATCH(D3169,[1]equip.xml!$A:$A,0))</f>
        <v>108000</v>
      </c>
      <c r="H3169" s="8" t="str">
        <f t="shared" si="3216"/>
        <v>10_10,50_20,80_30</v>
      </c>
      <c r="I3169" s="8">
        <v>10</v>
      </c>
      <c r="J3169" s="8">
        <f t="shared" si="3216"/>
        <v>240</v>
      </c>
      <c r="K3169" s="7" t="s">
        <v>312</v>
      </c>
      <c r="L3169" s="8">
        <v>24</v>
      </c>
      <c r="M3169" s="7">
        <f>IF(INDEX([1]equip.xml!$B:$B,MATCH(D3169,[1]equip.xml!$A:$A,0))=0,0,N3169)</f>
        <v>130</v>
      </c>
      <c r="N3169" s="8">
        <f t="shared" ref="N3169" si="3240">N3081</f>
        <v>130</v>
      </c>
    </row>
    <row r="3170" spans="1:14">
      <c r="A3170" s="7">
        <f t="shared" si="3234"/>
        <v>20008</v>
      </c>
      <c r="B3170" s="8">
        <f t="shared" ref="B3170:C3170" si="3241">B3082</f>
        <v>40000</v>
      </c>
      <c r="C3170" s="8" t="str">
        <f t="shared" si="3241"/>
        <v>装备</v>
      </c>
      <c r="D3170" s="8">
        <v>50153065</v>
      </c>
      <c r="E3170" s="8"/>
      <c r="F3170" s="8">
        <v>1</v>
      </c>
      <c r="G3170" s="8">
        <f>3*INDEX([1]equip.xml!$I:$I,MATCH(D3170,[1]equip.xml!$A:$A,0))</f>
        <v>90000</v>
      </c>
      <c r="H3170" s="8" t="str">
        <f t="shared" si="3216"/>
        <v>10_10,50_20,80_30</v>
      </c>
      <c r="I3170" s="8">
        <v>10</v>
      </c>
      <c r="J3170" s="8">
        <f t="shared" si="3216"/>
        <v>240</v>
      </c>
      <c r="K3170" s="7" t="s">
        <v>312</v>
      </c>
      <c r="L3170" s="8">
        <v>24</v>
      </c>
      <c r="M3170" s="7">
        <f>IF(INDEX([1]equip.xml!$B:$B,MATCH(D3170,[1]equip.xml!$A:$A,0))=0,0,N3170)</f>
        <v>130</v>
      </c>
      <c r="N3170" s="8">
        <f t="shared" ref="N3170" si="3242">N3082</f>
        <v>130</v>
      </c>
    </row>
    <row r="3171" spans="1:14">
      <c r="A3171" s="7">
        <f t="shared" si="3234"/>
        <v>20008</v>
      </c>
      <c r="B3171" s="8">
        <f t="shared" ref="B3171:C3171" si="3243">B3083</f>
        <v>40000</v>
      </c>
      <c r="C3171" s="8" t="str">
        <f t="shared" si="3243"/>
        <v>装备</v>
      </c>
      <c r="D3171" s="8">
        <v>50153066</v>
      </c>
      <c r="E3171" s="8"/>
      <c r="F3171" s="8">
        <v>1</v>
      </c>
      <c r="G3171" s="8">
        <f>3*INDEX([1]equip.xml!$I:$I,MATCH(D3171,[1]equip.xml!$A:$A,0))</f>
        <v>108000</v>
      </c>
      <c r="H3171" s="8" t="str">
        <f t="shared" si="3216"/>
        <v>10_10,50_20,80_30</v>
      </c>
      <c r="I3171" s="8">
        <v>10</v>
      </c>
      <c r="J3171" s="8">
        <f t="shared" si="3216"/>
        <v>240</v>
      </c>
      <c r="K3171" s="7" t="s">
        <v>312</v>
      </c>
      <c r="L3171" s="8">
        <v>24</v>
      </c>
      <c r="M3171" s="7">
        <f>IF(INDEX([1]equip.xml!$B:$B,MATCH(D3171,[1]equip.xml!$A:$A,0))=0,0,N3171)</f>
        <v>0</v>
      </c>
      <c r="N3171" s="8">
        <f t="shared" ref="N3171" si="3244">N3083</f>
        <v>130</v>
      </c>
    </row>
    <row r="3172" spans="1:14">
      <c r="A3172" s="7">
        <f t="shared" si="3234"/>
        <v>20008</v>
      </c>
      <c r="B3172" s="8">
        <f t="shared" ref="B3172:C3172" si="3245">B3084</f>
        <v>40000</v>
      </c>
      <c r="C3172" s="8" t="str">
        <f t="shared" si="3245"/>
        <v>装备</v>
      </c>
      <c r="D3172" s="8">
        <v>50150045</v>
      </c>
      <c r="E3172" s="8"/>
      <c r="F3172" s="8">
        <v>1</v>
      </c>
      <c r="G3172" s="8">
        <f>3*INDEX([1]equip.xml!$I:$I,MATCH(D3172,[1]equip.xml!$A:$A,0))</f>
        <v>90000</v>
      </c>
      <c r="H3172" s="8" t="str">
        <f t="shared" si="3216"/>
        <v>10_10,50_20,80_30</v>
      </c>
      <c r="I3172" s="8">
        <v>10</v>
      </c>
      <c r="J3172" s="8">
        <f t="shared" si="3216"/>
        <v>240</v>
      </c>
      <c r="K3172" s="7" t="s">
        <v>312</v>
      </c>
      <c r="L3172" s="8">
        <v>24</v>
      </c>
      <c r="M3172" s="7">
        <f>IF(INDEX([1]equip.xml!$B:$B,MATCH(D3172,[1]equip.xml!$A:$A,0))=0,0,N3172)</f>
        <v>130</v>
      </c>
      <c r="N3172" s="8">
        <f t="shared" ref="N3172" si="3246">N3084</f>
        <v>130</v>
      </c>
    </row>
    <row r="3173" spans="1:14">
      <c r="A3173" s="7">
        <f t="shared" si="3234"/>
        <v>20008</v>
      </c>
      <c r="B3173" s="8">
        <f t="shared" ref="B3173:C3173" si="3247">B3085</f>
        <v>40000</v>
      </c>
      <c r="C3173" s="8" t="str">
        <f t="shared" si="3247"/>
        <v>装备</v>
      </c>
      <c r="D3173" s="8">
        <v>50150046</v>
      </c>
      <c r="E3173" s="8"/>
      <c r="F3173" s="8">
        <v>1</v>
      </c>
      <c r="G3173" s="8">
        <f>3*INDEX([1]equip.xml!$I:$I,MATCH(D3173,[1]equip.xml!$A:$A,0))</f>
        <v>108000</v>
      </c>
      <c r="H3173" s="8" t="str">
        <f t="shared" si="3216"/>
        <v>10_10,50_20,80_30</v>
      </c>
      <c r="I3173" s="8">
        <v>10</v>
      </c>
      <c r="J3173" s="8">
        <f t="shared" si="3216"/>
        <v>240</v>
      </c>
      <c r="K3173" s="7" t="s">
        <v>312</v>
      </c>
      <c r="L3173" s="8">
        <v>24</v>
      </c>
      <c r="M3173" s="7">
        <f>IF(INDEX([1]equip.xml!$B:$B,MATCH(D3173,[1]equip.xml!$A:$A,0))=0,0,N3173)</f>
        <v>0</v>
      </c>
      <c r="N3173" s="8">
        <f t="shared" ref="N3173" si="3248">N3085</f>
        <v>130</v>
      </c>
    </row>
    <row r="3174" spans="1:14">
      <c r="A3174" s="7">
        <f t="shared" si="3234"/>
        <v>20008</v>
      </c>
      <c r="B3174" s="8">
        <f t="shared" ref="B3174:C3174" si="3249">B3086</f>
        <v>40000</v>
      </c>
      <c r="C3174" s="8" t="str">
        <f t="shared" si="3249"/>
        <v>装备</v>
      </c>
      <c r="D3174" s="8">
        <v>50150075</v>
      </c>
      <c r="E3174" s="8"/>
      <c r="F3174" s="8">
        <v>1</v>
      </c>
      <c r="G3174" s="8">
        <f>3*INDEX([1]equip.xml!$I:$I,MATCH(D3174,[1]equip.xml!$A:$A,0))</f>
        <v>90000</v>
      </c>
      <c r="H3174" s="8" t="str">
        <f t="shared" ref="H3174:J3189" si="3250">H3086</f>
        <v>10_10,50_20,80_30</v>
      </c>
      <c r="I3174" s="8">
        <v>10</v>
      </c>
      <c r="J3174" s="8">
        <f t="shared" si="3250"/>
        <v>240</v>
      </c>
      <c r="K3174" s="7" t="s">
        <v>312</v>
      </c>
      <c r="L3174" s="8">
        <v>24</v>
      </c>
      <c r="M3174" s="7">
        <f>IF(INDEX([1]equip.xml!$B:$B,MATCH(D3174,[1]equip.xml!$A:$A,0))=0,0,N3174)</f>
        <v>130</v>
      </c>
      <c r="N3174" s="8">
        <f t="shared" ref="N3174" si="3251">N3086</f>
        <v>130</v>
      </c>
    </row>
    <row r="3175" spans="1:14">
      <c r="A3175" s="7">
        <f t="shared" si="3234"/>
        <v>20008</v>
      </c>
      <c r="B3175" s="8">
        <f t="shared" ref="B3175:C3175" si="3252">B3087</f>
        <v>40000</v>
      </c>
      <c r="C3175" s="8" t="str">
        <f t="shared" si="3252"/>
        <v>装备</v>
      </c>
      <c r="D3175" s="8">
        <v>50150076</v>
      </c>
      <c r="E3175" s="8"/>
      <c r="F3175" s="8">
        <v>1</v>
      </c>
      <c r="G3175" s="8">
        <f>3*INDEX([1]equip.xml!$I:$I,MATCH(D3175,[1]equip.xml!$A:$A,0))</f>
        <v>108000</v>
      </c>
      <c r="H3175" s="8" t="str">
        <f t="shared" si="3250"/>
        <v>10_10,50_20,80_30</v>
      </c>
      <c r="I3175" s="8">
        <v>10</v>
      </c>
      <c r="J3175" s="8">
        <f t="shared" si="3250"/>
        <v>240</v>
      </c>
      <c r="K3175" s="7" t="s">
        <v>312</v>
      </c>
      <c r="L3175" s="8">
        <v>24</v>
      </c>
      <c r="M3175" s="7">
        <f>IF(INDEX([1]equip.xml!$B:$B,MATCH(D3175,[1]equip.xml!$A:$A,0))=0,0,N3175)</f>
        <v>0</v>
      </c>
      <c r="N3175" s="8">
        <f t="shared" ref="N3175" si="3253">N3087</f>
        <v>130</v>
      </c>
    </row>
    <row r="3176" spans="1:14">
      <c r="A3176" s="7">
        <f t="shared" si="3234"/>
        <v>20008</v>
      </c>
      <c r="B3176" s="8">
        <f t="shared" ref="B3176:C3176" si="3254">B3088</f>
        <v>40000</v>
      </c>
      <c r="C3176" s="8" t="str">
        <f t="shared" si="3254"/>
        <v>装备</v>
      </c>
      <c r="D3176" s="8">
        <v>50200015</v>
      </c>
      <c r="E3176" s="8"/>
      <c r="F3176" s="8">
        <v>1</v>
      </c>
      <c r="G3176" s="8">
        <f>3*INDEX([1]equip.xml!$I:$I,MATCH(D3176,[1]equip.xml!$A:$A,0))</f>
        <v>120000</v>
      </c>
      <c r="H3176" s="8" t="str">
        <f t="shared" si="3250"/>
        <v>10_10,50_20,80_30</v>
      </c>
      <c r="I3176" s="8">
        <v>10</v>
      </c>
      <c r="J3176" s="8">
        <f t="shared" si="3250"/>
        <v>240</v>
      </c>
      <c r="K3176" s="7" t="s">
        <v>312</v>
      </c>
      <c r="L3176" s="8">
        <v>24</v>
      </c>
      <c r="M3176" s="7">
        <f>IF(INDEX([1]equip.xml!$B:$B,MATCH(D3176,[1]equip.xml!$A:$A,0))=0,0,N3176)</f>
        <v>65</v>
      </c>
      <c r="N3176" s="8">
        <f t="shared" ref="N3176" si="3255">N3088</f>
        <v>65</v>
      </c>
    </row>
    <row r="3177" spans="1:14">
      <c r="A3177" s="7">
        <f t="shared" si="3234"/>
        <v>20008</v>
      </c>
      <c r="B3177" s="8">
        <f t="shared" ref="B3177:C3177" si="3256">B3089</f>
        <v>40000</v>
      </c>
      <c r="C3177" s="8" t="str">
        <f t="shared" si="3256"/>
        <v>装备</v>
      </c>
      <c r="D3177" s="8">
        <v>50200025</v>
      </c>
      <c r="E3177" s="8"/>
      <c r="F3177" s="8">
        <v>1</v>
      </c>
      <c r="G3177" s="8">
        <f>3*INDEX([1]equip.xml!$I:$I,MATCH(D3177,[1]equip.xml!$A:$A,0))</f>
        <v>120000</v>
      </c>
      <c r="H3177" s="8" t="str">
        <f t="shared" si="3250"/>
        <v>10_10,50_20,80_30</v>
      </c>
      <c r="I3177" s="8">
        <v>10</v>
      </c>
      <c r="J3177" s="8">
        <f t="shared" si="3250"/>
        <v>240</v>
      </c>
      <c r="K3177" s="7" t="s">
        <v>312</v>
      </c>
      <c r="L3177" s="8">
        <v>24</v>
      </c>
      <c r="M3177" s="7">
        <f>IF(INDEX([1]equip.xml!$B:$B,MATCH(D3177,[1]equip.xml!$A:$A,0))=0,0,N3177)</f>
        <v>65</v>
      </c>
      <c r="N3177" s="8">
        <f t="shared" ref="N3177" si="3257">N3089</f>
        <v>65</v>
      </c>
    </row>
    <row r="3178" spans="1:14">
      <c r="A3178" s="7">
        <f t="shared" si="3234"/>
        <v>20008</v>
      </c>
      <c r="B3178" s="8">
        <f t="shared" ref="B3178:C3178" si="3258">B3090</f>
        <v>40000</v>
      </c>
      <c r="C3178" s="8" t="str">
        <f t="shared" si="3258"/>
        <v>装备</v>
      </c>
      <c r="D3178" s="8">
        <v>50200035</v>
      </c>
      <c r="E3178" s="8"/>
      <c r="F3178" s="8">
        <v>1</v>
      </c>
      <c r="G3178" s="8">
        <f>3*INDEX([1]equip.xml!$I:$I,MATCH(D3178,[1]equip.xml!$A:$A,0))</f>
        <v>120000</v>
      </c>
      <c r="H3178" s="8" t="str">
        <f t="shared" si="3250"/>
        <v>10_10,50_20,80_30</v>
      </c>
      <c r="I3178" s="8">
        <v>10</v>
      </c>
      <c r="J3178" s="8">
        <f t="shared" si="3250"/>
        <v>240</v>
      </c>
      <c r="K3178" s="7" t="s">
        <v>312</v>
      </c>
      <c r="L3178" s="8">
        <v>24</v>
      </c>
      <c r="M3178" s="7">
        <f>IF(INDEX([1]equip.xml!$B:$B,MATCH(D3178,[1]equip.xml!$A:$A,0))=0,0,N3178)</f>
        <v>65</v>
      </c>
      <c r="N3178" s="8">
        <f t="shared" ref="N3178" si="3259">N3090</f>
        <v>65</v>
      </c>
    </row>
    <row r="3179" spans="1:14">
      <c r="A3179" s="7">
        <f t="shared" si="3234"/>
        <v>20008</v>
      </c>
      <c r="B3179" s="8">
        <f t="shared" ref="B3179:C3179" si="3260">B3091</f>
        <v>40000</v>
      </c>
      <c r="C3179" s="8" t="str">
        <f t="shared" si="3260"/>
        <v>装备</v>
      </c>
      <c r="D3179" s="8">
        <v>50200085</v>
      </c>
      <c r="E3179" s="8"/>
      <c r="F3179" s="8">
        <v>1</v>
      </c>
      <c r="G3179" s="8">
        <f>3*INDEX([1]equip.xml!$I:$I,MATCH(D3179,[1]equip.xml!$A:$A,0))</f>
        <v>120000</v>
      </c>
      <c r="H3179" s="8" t="str">
        <f t="shared" si="3250"/>
        <v>10_10,50_20,80_30</v>
      </c>
      <c r="I3179" s="8">
        <v>10</v>
      </c>
      <c r="J3179" s="8">
        <f t="shared" si="3250"/>
        <v>240</v>
      </c>
      <c r="K3179" s="7" t="s">
        <v>312</v>
      </c>
      <c r="L3179" s="8">
        <v>24</v>
      </c>
      <c r="M3179" s="7">
        <f>IF(INDEX([1]equip.xml!$B:$B,MATCH(D3179,[1]equip.xml!$A:$A,0))=0,0,N3179)</f>
        <v>65</v>
      </c>
      <c r="N3179" s="8">
        <f t="shared" ref="N3179" si="3261">N3091</f>
        <v>65</v>
      </c>
    </row>
    <row r="3180" spans="1:14">
      <c r="A3180" s="7">
        <f t="shared" si="3234"/>
        <v>20008</v>
      </c>
      <c r="B3180" s="8">
        <f t="shared" ref="B3180:C3180" si="3262">B3092</f>
        <v>40000</v>
      </c>
      <c r="C3180" s="8" t="str">
        <f t="shared" si="3262"/>
        <v>装备</v>
      </c>
      <c r="D3180" s="8">
        <v>50200095</v>
      </c>
      <c r="E3180" s="8"/>
      <c r="F3180" s="8">
        <v>1</v>
      </c>
      <c r="G3180" s="8">
        <f>3*INDEX([1]equip.xml!$I:$I,MATCH(D3180,[1]equip.xml!$A:$A,0))</f>
        <v>120000</v>
      </c>
      <c r="H3180" s="8" t="str">
        <f t="shared" si="3250"/>
        <v>10_10,50_20,80_30</v>
      </c>
      <c r="I3180" s="8">
        <v>10</v>
      </c>
      <c r="J3180" s="8">
        <f t="shared" si="3250"/>
        <v>240</v>
      </c>
      <c r="K3180" s="7" t="s">
        <v>312</v>
      </c>
      <c r="L3180" s="8">
        <v>24</v>
      </c>
      <c r="M3180" s="7">
        <f>IF(INDEX([1]equip.xml!$B:$B,MATCH(D3180,[1]equip.xml!$A:$A,0))=0,0,N3180)</f>
        <v>65</v>
      </c>
      <c r="N3180" s="8">
        <f t="shared" ref="N3180" si="3263">N3092</f>
        <v>65</v>
      </c>
    </row>
    <row r="3181" spans="1:14">
      <c r="A3181" s="7">
        <f t="shared" si="3234"/>
        <v>20008</v>
      </c>
      <c r="B3181" s="8">
        <f t="shared" ref="B3181:C3181" si="3264">B3093</f>
        <v>40000</v>
      </c>
      <c r="C3181" s="8" t="str">
        <f t="shared" si="3264"/>
        <v>装备</v>
      </c>
      <c r="D3181" s="8">
        <v>50200105</v>
      </c>
      <c r="E3181" s="8"/>
      <c r="F3181" s="8">
        <v>1</v>
      </c>
      <c r="G3181" s="8">
        <f>3*INDEX([1]equip.xml!$I:$I,MATCH(D3181,[1]equip.xml!$A:$A,0))</f>
        <v>120000</v>
      </c>
      <c r="H3181" s="8" t="str">
        <f t="shared" si="3250"/>
        <v>10_10,50_20,80_30</v>
      </c>
      <c r="I3181" s="8">
        <v>10</v>
      </c>
      <c r="J3181" s="8">
        <f t="shared" si="3250"/>
        <v>240</v>
      </c>
      <c r="K3181" s="7" t="s">
        <v>312</v>
      </c>
      <c r="L3181" s="8">
        <v>24</v>
      </c>
      <c r="M3181" s="7">
        <f>IF(INDEX([1]equip.xml!$B:$B,MATCH(D3181,[1]equip.xml!$A:$A,0))=0,0,N3181)</f>
        <v>65</v>
      </c>
      <c r="N3181" s="8">
        <f t="shared" ref="N3181" si="3265">N3093</f>
        <v>65</v>
      </c>
    </row>
    <row r="3182" spans="1:14">
      <c r="A3182" s="7">
        <f t="shared" si="3234"/>
        <v>20008</v>
      </c>
      <c r="B3182" s="8">
        <f t="shared" ref="B3182:C3182" si="3266">B3094</f>
        <v>40000</v>
      </c>
      <c r="C3182" s="8" t="str">
        <f t="shared" si="3266"/>
        <v>装备</v>
      </c>
      <c r="D3182" s="8">
        <v>50201055</v>
      </c>
      <c r="E3182" s="8"/>
      <c r="F3182" s="8">
        <v>1</v>
      </c>
      <c r="G3182" s="8">
        <f>3*INDEX([1]equip.xml!$I:$I,MATCH(D3182,[1]equip.xml!$A:$A,0))</f>
        <v>120000</v>
      </c>
      <c r="H3182" s="8" t="str">
        <f t="shared" si="3250"/>
        <v>10_10,50_20,80_30</v>
      </c>
      <c r="I3182" s="8">
        <v>10</v>
      </c>
      <c r="J3182" s="8">
        <f t="shared" si="3250"/>
        <v>240</v>
      </c>
      <c r="K3182" s="7" t="s">
        <v>312</v>
      </c>
      <c r="L3182" s="8">
        <v>24</v>
      </c>
      <c r="M3182" s="7">
        <f>IF(INDEX([1]equip.xml!$B:$B,MATCH(D3182,[1]equip.xml!$A:$A,0))=0,0,N3182)</f>
        <v>65</v>
      </c>
      <c r="N3182" s="8">
        <f t="shared" ref="N3182" si="3267">N3094</f>
        <v>65</v>
      </c>
    </row>
    <row r="3183" spans="1:14">
      <c r="A3183" s="7">
        <f t="shared" si="3234"/>
        <v>20008</v>
      </c>
      <c r="B3183" s="8">
        <f t="shared" ref="B3183:C3183" si="3268">B3095</f>
        <v>40000</v>
      </c>
      <c r="C3183" s="8" t="str">
        <f t="shared" si="3268"/>
        <v>装备</v>
      </c>
      <c r="D3183" s="8">
        <v>50201056</v>
      </c>
      <c r="E3183" s="8"/>
      <c r="F3183" s="8">
        <v>1</v>
      </c>
      <c r="G3183" s="8">
        <f>3*INDEX([1]equip.xml!$I:$I,MATCH(D3183,[1]equip.xml!$A:$A,0))</f>
        <v>138000</v>
      </c>
      <c r="H3183" s="8" t="str">
        <f t="shared" si="3250"/>
        <v>10_10,50_20,80_30</v>
      </c>
      <c r="I3183" s="8">
        <v>10</v>
      </c>
      <c r="J3183" s="8">
        <f t="shared" si="3250"/>
        <v>240</v>
      </c>
      <c r="K3183" s="7" t="s">
        <v>312</v>
      </c>
      <c r="L3183" s="8">
        <v>24</v>
      </c>
      <c r="M3183" s="7">
        <f>IF(INDEX([1]equip.xml!$B:$B,MATCH(D3183,[1]equip.xml!$A:$A,0))=0,0,N3183)</f>
        <v>0</v>
      </c>
      <c r="N3183" s="8">
        <f t="shared" ref="N3183" si="3269">N3095</f>
        <v>65</v>
      </c>
    </row>
    <row r="3184" spans="1:14">
      <c r="A3184" s="7">
        <f t="shared" si="3234"/>
        <v>20008</v>
      </c>
      <c r="B3184" s="8">
        <f t="shared" ref="B3184:C3184" si="3270">B3096</f>
        <v>40000</v>
      </c>
      <c r="C3184" s="8" t="str">
        <f t="shared" si="3270"/>
        <v>装备</v>
      </c>
      <c r="D3184" s="8">
        <v>50201065</v>
      </c>
      <c r="E3184" s="8"/>
      <c r="F3184" s="8">
        <v>1</v>
      </c>
      <c r="G3184" s="8">
        <f>3*INDEX([1]equip.xml!$I:$I,MATCH(D3184,[1]equip.xml!$A:$A,0))</f>
        <v>120000</v>
      </c>
      <c r="H3184" s="8" t="str">
        <f t="shared" si="3250"/>
        <v>10_10,50_20,80_30</v>
      </c>
      <c r="I3184" s="8">
        <v>10</v>
      </c>
      <c r="J3184" s="8">
        <f t="shared" si="3250"/>
        <v>240</v>
      </c>
      <c r="K3184" s="7" t="s">
        <v>312</v>
      </c>
      <c r="L3184" s="8">
        <v>24</v>
      </c>
      <c r="M3184" s="7">
        <f>IF(INDEX([1]equip.xml!$B:$B,MATCH(D3184,[1]equip.xml!$A:$A,0))=0,0,N3184)</f>
        <v>65</v>
      </c>
      <c r="N3184" s="8">
        <f t="shared" ref="N3184" si="3271">N3096</f>
        <v>65</v>
      </c>
    </row>
    <row r="3185" spans="1:14">
      <c r="A3185" s="7">
        <f t="shared" si="3234"/>
        <v>20008</v>
      </c>
      <c r="B3185" s="8">
        <f t="shared" ref="B3185:C3185" si="3272">B3097</f>
        <v>40000</v>
      </c>
      <c r="C3185" s="8" t="str">
        <f t="shared" si="3272"/>
        <v>装备</v>
      </c>
      <c r="D3185" s="8">
        <v>50201066</v>
      </c>
      <c r="E3185" s="8"/>
      <c r="F3185" s="8">
        <v>1</v>
      </c>
      <c r="G3185" s="8">
        <f>3*INDEX([1]equip.xml!$I:$I,MATCH(D3185,[1]equip.xml!$A:$A,0))</f>
        <v>138000</v>
      </c>
      <c r="H3185" s="8" t="str">
        <f t="shared" si="3250"/>
        <v>10_10,50_20,80_30</v>
      </c>
      <c r="I3185" s="8">
        <v>10</v>
      </c>
      <c r="J3185" s="8">
        <f t="shared" si="3250"/>
        <v>240</v>
      </c>
      <c r="K3185" s="7" t="s">
        <v>312</v>
      </c>
      <c r="L3185" s="8">
        <v>24</v>
      </c>
      <c r="M3185" s="7">
        <f>IF(INDEX([1]equip.xml!$B:$B,MATCH(D3185,[1]equip.xml!$A:$A,0))=0,0,N3185)</f>
        <v>0</v>
      </c>
      <c r="N3185" s="8">
        <f t="shared" ref="N3185" si="3273">N3097</f>
        <v>65</v>
      </c>
    </row>
    <row r="3186" spans="1:14">
      <c r="A3186" s="7">
        <f t="shared" si="3234"/>
        <v>20008</v>
      </c>
      <c r="B3186" s="8">
        <f t="shared" ref="B3186:C3186" si="3274">B3098</f>
        <v>40000</v>
      </c>
      <c r="C3186" s="8" t="str">
        <f t="shared" si="3274"/>
        <v>装备</v>
      </c>
      <c r="D3186" s="8">
        <v>50202055</v>
      </c>
      <c r="E3186" s="8"/>
      <c r="F3186" s="8">
        <v>1</v>
      </c>
      <c r="G3186" s="8">
        <f>3*INDEX([1]equip.xml!$I:$I,MATCH(D3186,[1]equip.xml!$A:$A,0))</f>
        <v>120000</v>
      </c>
      <c r="H3186" s="8" t="str">
        <f t="shared" si="3250"/>
        <v>10_10,50_20,80_30</v>
      </c>
      <c r="I3186" s="8">
        <v>10</v>
      </c>
      <c r="J3186" s="8">
        <f t="shared" si="3250"/>
        <v>240</v>
      </c>
      <c r="K3186" s="7" t="s">
        <v>312</v>
      </c>
      <c r="L3186" s="8">
        <v>24</v>
      </c>
      <c r="M3186" s="7">
        <f>IF(INDEX([1]equip.xml!$B:$B,MATCH(D3186,[1]equip.xml!$A:$A,0))=0,0,N3186)</f>
        <v>65</v>
      </c>
      <c r="N3186" s="8">
        <f t="shared" ref="N3186" si="3275">N3098</f>
        <v>65</v>
      </c>
    </row>
    <row r="3187" spans="1:14">
      <c r="A3187" s="7">
        <f t="shared" si="3234"/>
        <v>20008</v>
      </c>
      <c r="B3187" s="8">
        <f t="shared" ref="B3187:C3187" si="3276">B3099</f>
        <v>40000</v>
      </c>
      <c r="C3187" s="8" t="str">
        <f t="shared" si="3276"/>
        <v>装备</v>
      </c>
      <c r="D3187" s="8">
        <v>50202056</v>
      </c>
      <c r="E3187" s="8"/>
      <c r="F3187" s="8">
        <v>1</v>
      </c>
      <c r="G3187" s="8">
        <f>3*INDEX([1]equip.xml!$I:$I,MATCH(D3187,[1]equip.xml!$A:$A,0))</f>
        <v>138000</v>
      </c>
      <c r="H3187" s="8" t="str">
        <f t="shared" si="3250"/>
        <v>10_10,50_20,80_30</v>
      </c>
      <c r="I3187" s="8">
        <v>10</v>
      </c>
      <c r="J3187" s="8">
        <f t="shared" si="3250"/>
        <v>240</v>
      </c>
      <c r="K3187" s="7" t="s">
        <v>312</v>
      </c>
      <c r="L3187" s="8">
        <v>24</v>
      </c>
      <c r="M3187" s="7">
        <f>IF(INDEX([1]equip.xml!$B:$B,MATCH(D3187,[1]equip.xml!$A:$A,0))=0,0,N3187)</f>
        <v>0</v>
      </c>
      <c r="N3187" s="8">
        <f t="shared" ref="N3187" si="3277">N3099</f>
        <v>65</v>
      </c>
    </row>
    <row r="3188" spans="1:14">
      <c r="A3188" s="7">
        <f t="shared" si="3234"/>
        <v>20008</v>
      </c>
      <c r="B3188" s="8">
        <f t="shared" ref="B3188:C3188" si="3278">B3100</f>
        <v>40000</v>
      </c>
      <c r="C3188" s="8" t="str">
        <f t="shared" si="3278"/>
        <v>装备</v>
      </c>
      <c r="D3188" s="8">
        <v>50202065</v>
      </c>
      <c r="E3188" s="8"/>
      <c r="F3188" s="8">
        <v>1</v>
      </c>
      <c r="G3188" s="8">
        <f>3*INDEX([1]equip.xml!$I:$I,MATCH(D3188,[1]equip.xml!$A:$A,0))</f>
        <v>120000</v>
      </c>
      <c r="H3188" s="8" t="str">
        <f t="shared" si="3250"/>
        <v>10_10,50_20,80_30</v>
      </c>
      <c r="I3188" s="8">
        <v>10</v>
      </c>
      <c r="J3188" s="8">
        <f t="shared" si="3250"/>
        <v>240</v>
      </c>
      <c r="K3188" s="7" t="s">
        <v>312</v>
      </c>
      <c r="L3188" s="8">
        <v>24</v>
      </c>
      <c r="M3188" s="7">
        <f>IF(INDEX([1]equip.xml!$B:$B,MATCH(D3188,[1]equip.xml!$A:$A,0))=0,0,N3188)</f>
        <v>65</v>
      </c>
      <c r="N3188" s="8">
        <f t="shared" ref="N3188" si="3279">N3100</f>
        <v>65</v>
      </c>
    </row>
    <row r="3189" spans="1:14">
      <c r="A3189" s="7">
        <f t="shared" si="3234"/>
        <v>20008</v>
      </c>
      <c r="B3189" s="8">
        <f t="shared" ref="B3189:C3189" si="3280">B3101</f>
        <v>40000</v>
      </c>
      <c r="C3189" s="8" t="str">
        <f t="shared" si="3280"/>
        <v>装备</v>
      </c>
      <c r="D3189" s="8">
        <v>50202066</v>
      </c>
      <c r="E3189" s="8"/>
      <c r="F3189" s="8">
        <v>1</v>
      </c>
      <c r="G3189" s="8">
        <f>3*INDEX([1]equip.xml!$I:$I,MATCH(D3189,[1]equip.xml!$A:$A,0))</f>
        <v>138000</v>
      </c>
      <c r="H3189" s="8" t="str">
        <f t="shared" si="3250"/>
        <v>10_10,50_20,80_30</v>
      </c>
      <c r="I3189" s="8">
        <v>10</v>
      </c>
      <c r="J3189" s="8">
        <f t="shared" si="3250"/>
        <v>240</v>
      </c>
      <c r="K3189" s="7" t="s">
        <v>312</v>
      </c>
      <c r="L3189" s="8">
        <v>24</v>
      </c>
      <c r="M3189" s="7">
        <f>IF(INDEX([1]equip.xml!$B:$B,MATCH(D3189,[1]equip.xml!$A:$A,0))=0,0,N3189)</f>
        <v>0</v>
      </c>
      <c r="N3189" s="8">
        <f t="shared" ref="N3189" si="3281">N3101</f>
        <v>65</v>
      </c>
    </row>
    <row r="3190" spans="1:14">
      <c r="A3190" s="7">
        <f t="shared" si="3234"/>
        <v>20008</v>
      </c>
      <c r="B3190" s="8">
        <f t="shared" ref="B3190:C3190" si="3282">B3102</f>
        <v>40000</v>
      </c>
      <c r="C3190" s="8" t="str">
        <f t="shared" si="3282"/>
        <v>装备</v>
      </c>
      <c r="D3190" s="8">
        <v>50203055</v>
      </c>
      <c r="E3190" s="8"/>
      <c r="F3190" s="8">
        <v>1</v>
      </c>
      <c r="G3190" s="8">
        <f>3*INDEX([1]equip.xml!$I:$I,MATCH(D3190,[1]equip.xml!$A:$A,0))</f>
        <v>120000</v>
      </c>
      <c r="H3190" s="8" t="str">
        <f t="shared" ref="H3190:J3205" si="3283">H3102</f>
        <v>10_10,50_20,80_30</v>
      </c>
      <c r="I3190" s="8">
        <v>10</v>
      </c>
      <c r="J3190" s="8">
        <f t="shared" si="3283"/>
        <v>240</v>
      </c>
      <c r="K3190" s="7" t="s">
        <v>312</v>
      </c>
      <c r="L3190" s="8">
        <v>24</v>
      </c>
      <c r="M3190" s="7">
        <f>IF(INDEX([1]equip.xml!$B:$B,MATCH(D3190,[1]equip.xml!$A:$A,0))=0,0,N3190)</f>
        <v>65</v>
      </c>
      <c r="N3190" s="8">
        <f t="shared" ref="N3190" si="3284">N3102</f>
        <v>65</v>
      </c>
    </row>
    <row r="3191" spans="1:14">
      <c r="A3191" s="7">
        <f t="shared" si="3234"/>
        <v>20008</v>
      </c>
      <c r="B3191" s="8">
        <f t="shared" ref="B3191:C3191" si="3285">B3103</f>
        <v>40000</v>
      </c>
      <c r="C3191" s="8" t="str">
        <f t="shared" si="3285"/>
        <v>装备</v>
      </c>
      <c r="D3191" s="8">
        <v>50203056</v>
      </c>
      <c r="E3191" s="8"/>
      <c r="F3191" s="8">
        <v>1</v>
      </c>
      <c r="G3191" s="8">
        <f>3*INDEX([1]equip.xml!$I:$I,MATCH(D3191,[1]equip.xml!$A:$A,0))</f>
        <v>138000</v>
      </c>
      <c r="H3191" s="8" t="str">
        <f t="shared" si="3283"/>
        <v>10_10,50_20,80_30</v>
      </c>
      <c r="I3191" s="8">
        <v>10</v>
      </c>
      <c r="J3191" s="8">
        <f t="shared" si="3283"/>
        <v>240</v>
      </c>
      <c r="K3191" s="7" t="s">
        <v>312</v>
      </c>
      <c r="L3191" s="8">
        <v>24</v>
      </c>
      <c r="M3191" s="7">
        <f>IF(INDEX([1]equip.xml!$B:$B,MATCH(D3191,[1]equip.xml!$A:$A,0))=0,0,N3191)</f>
        <v>65</v>
      </c>
      <c r="N3191" s="8">
        <f t="shared" ref="N3191" si="3286">N3103</f>
        <v>65</v>
      </c>
    </row>
    <row r="3192" spans="1:14">
      <c r="A3192" s="7">
        <f t="shared" si="3234"/>
        <v>20008</v>
      </c>
      <c r="B3192" s="8">
        <f t="shared" ref="B3192:C3192" si="3287">B3104</f>
        <v>40000</v>
      </c>
      <c r="C3192" s="8" t="str">
        <f t="shared" si="3287"/>
        <v>装备</v>
      </c>
      <c r="D3192" s="8">
        <v>50203065</v>
      </c>
      <c r="E3192" s="8"/>
      <c r="F3192" s="8">
        <v>1</v>
      </c>
      <c r="G3192" s="8">
        <f>3*INDEX([1]equip.xml!$I:$I,MATCH(D3192,[1]equip.xml!$A:$A,0))</f>
        <v>120000</v>
      </c>
      <c r="H3192" s="8" t="str">
        <f t="shared" si="3283"/>
        <v>10_10,50_20,80_30</v>
      </c>
      <c r="I3192" s="8">
        <v>10</v>
      </c>
      <c r="J3192" s="8">
        <f t="shared" si="3283"/>
        <v>240</v>
      </c>
      <c r="K3192" s="7" t="s">
        <v>312</v>
      </c>
      <c r="L3192" s="8">
        <v>24</v>
      </c>
      <c r="M3192" s="7">
        <f>IF(INDEX([1]equip.xml!$B:$B,MATCH(D3192,[1]equip.xml!$A:$A,0))=0,0,N3192)</f>
        <v>65</v>
      </c>
      <c r="N3192" s="8">
        <f t="shared" ref="N3192" si="3288">N3104</f>
        <v>65</v>
      </c>
    </row>
    <row r="3193" spans="1:14">
      <c r="A3193" s="7">
        <f t="shared" si="3234"/>
        <v>20008</v>
      </c>
      <c r="B3193" s="8">
        <f t="shared" ref="B3193:C3193" si="3289">B3105</f>
        <v>40000</v>
      </c>
      <c r="C3193" s="8" t="str">
        <f t="shared" si="3289"/>
        <v>装备</v>
      </c>
      <c r="D3193" s="8">
        <v>50203066</v>
      </c>
      <c r="E3193" s="8"/>
      <c r="F3193" s="8">
        <v>1</v>
      </c>
      <c r="G3193" s="8">
        <f>3*INDEX([1]equip.xml!$I:$I,MATCH(D3193,[1]equip.xml!$A:$A,0))</f>
        <v>138000</v>
      </c>
      <c r="H3193" s="8" t="str">
        <f t="shared" si="3283"/>
        <v>10_10,50_20,80_30</v>
      </c>
      <c r="I3193" s="8">
        <v>10</v>
      </c>
      <c r="J3193" s="8">
        <f t="shared" si="3283"/>
        <v>240</v>
      </c>
      <c r="K3193" s="7" t="s">
        <v>312</v>
      </c>
      <c r="L3193" s="8">
        <v>24</v>
      </c>
      <c r="M3193" s="7">
        <f>IF(INDEX([1]equip.xml!$B:$B,MATCH(D3193,[1]equip.xml!$A:$A,0))=0,0,N3193)</f>
        <v>0</v>
      </c>
      <c r="N3193" s="8">
        <f t="shared" ref="N3193" si="3290">N3105</f>
        <v>65</v>
      </c>
    </row>
    <row r="3194" spans="1:14">
      <c r="A3194" s="7">
        <f t="shared" si="3234"/>
        <v>20008</v>
      </c>
      <c r="B3194" s="8">
        <f t="shared" ref="B3194:C3194" si="3291">B3106</f>
        <v>40000</v>
      </c>
      <c r="C3194" s="8" t="str">
        <f t="shared" si="3291"/>
        <v>装备</v>
      </c>
      <c r="D3194" s="8">
        <v>50200045</v>
      </c>
      <c r="E3194" s="8"/>
      <c r="F3194" s="8">
        <v>1</v>
      </c>
      <c r="G3194" s="8">
        <f>3*INDEX([1]equip.xml!$I:$I,MATCH(D3194,[1]equip.xml!$A:$A,0))</f>
        <v>120000</v>
      </c>
      <c r="H3194" s="8" t="str">
        <f t="shared" si="3283"/>
        <v>10_10,50_20,80_30</v>
      </c>
      <c r="I3194" s="8">
        <v>10</v>
      </c>
      <c r="J3194" s="8">
        <f t="shared" si="3283"/>
        <v>240</v>
      </c>
      <c r="K3194" s="7" t="s">
        <v>312</v>
      </c>
      <c r="L3194" s="8">
        <v>24</v>
      </c>
      <c r="M3194" s="7">
        <f>IF(INDEX([1]equip.xml!$B:$B,MATCH(D3194,[1]equip.xml!$A:$A,0))=0,0,N3194)</f>
        <v>65</v>
      </c>
      <c r="N3194" s="8">
        <f t="shared" ref="N3194" si="3292">N3106</f>
        <v>65</v>
      </c>
    </row>
    <row r="3195" spans="1:14">
      <c r="A3195" s="7">
        <f t="shared" si="3234"/>
        <v>20008</v>
      </c>
      <c r="B3195" s="8">
        <f t="shared" ref="B3195:C3195" si="3293">B3107</f>
        <v>40000</v>
      </c>
      <c r="C3195" s="8" t="str">
        <f t="shared" si="3293"/>
        <v>装备</v>
      </c>
      <c r="D3195" s="8">
        <v>50200046</v>
      </c>
      <c r="E3195" s="8"/>
      <c r="F3195" s="8">
        <v>1</v>
      </c>
      <c r="G3195" s="8">
        <f>3*INDEX([1]equip.xml!$I:$I,MATCH(D3195,[1]equip.xml!$A:$A,0))</f>
        <v>138000</v>
      </c>
      <c r="H3195" s="8" t="str">
        <f t="shared" si="3283"/>
        <v>10_10,50_20,80_30</v>
      </c>
      <c r="I3195" s="8">
        <v>10</v>
      </c>
      <c r="J3195" s="8">
        <f t="shared" si="3283"/>
        <v>240</v>
      </c>
      <c r="K3195" s="7" t="s">
        <v>312</v>
      </c>
      <c r="L3195" s="8">
        <v>24</v>
      </c>
      <c r="M3195" s="7">
        <f>IF(INDEX([1]equip.xml!$B:$B,MATCH(D3195,[1]equip.xml!$A:$A,0))=0,0,N3195)</f>
        <v>65</v>
      </c>
      <c r="N3195" s="8">
        <f t="shared" ref="N3195" si="3294">N3107</f>
        <v>65</v>
      </c>
    </row>
    <row r="3196" spans="1:14">
      <c r="A3196" s="7">
        <f t="shared" si="3234"/>
        <v>20008</v>
      </c>
      <c r="B3196" s="8">
        <f t="shared" ref="B3196:C3196" si="3295">B3108</f>
        <v>40000</v>
      </c>
      <c r="C3196" s="8" t="str">
        <f t="shared" si="3295"/>
        <v>装备</v>
      </c>
      <c r="D3196" s="8">
        <v>50200075</v>
      </c>
      <c r="E3196" s="8"/>
      <c r="F3196" s="8">
        <v>1</v>
      </c>
      <c r="G3196" s="8">
        <f>3*INDEX([1]equip.xml!$I:$I,MATCH(D3196,[1]equip.xml!$A:$A,0))</f>
        <v>120000</v>
      </c>
      <c r="H3196" s="8" t="str">
        <f t="shared" si="3283"/>
        <v>10_10,50_20,80_30</v>
      </c>
      <c r="I3196" s="8">
        <v>10</v>
      </c>
      <c r="J3196" s="8">
        <f t="shared" si="3283"/>
        <v>240</v>
      </c>
      <c r="K3196" s="7" t="s">
        <v>312</v>
      </c>
      <c r="L3196" s="8">
        <v>24</v>
      </c>
      <c r="M3196" s="7">
        <f>IF(INDEX([1]equip.xml!$B:$B,MATCH(D3196,[1]equip.xml!$A:$A,0))=0,0,N3196)</f>
        <v>65</v>
      </c>
      <c r="N3196" s="8">
        <f t="shared" ref="N3196" si="3296">N3108</f>
        <v>65</v>
      </c>
    </row>
    <row r="3197" spans="1:14">
      <c r="A3197" s="7">
        <f t="shared" si="3234"/>
        <v>20008</v>
      </c>
      <c r="B3197" s="8">
        <f t="shared" ref="B3197:C3197" si="3297">B3109</f>
        <v>40000</v>
      </c>
      <c r="C3197" s="8" t="str">
        <f t="shared" si="3297"/>
        <v>装备</v>
      </c>
      <c r="D3197" s="8">
        <v>50200076</v>
      </c>
      <c r="E3197" s="8"/>
      <c r="F3197" s="8">
        <v>1</v>
      </c>
      <c r="G3197" s="8">
        <f>3*INDEX([1]equip.xml!$I:$I,MATCH(D3197,[1]equip.xml!$A:$A,0))</f>
        <v>138000</v>
      </c>
      <c r="H3197" s="8" t="str">
        <f t="shared" si="3283"/>
        <v>10_10,50_20,80_30</v>
      </c>
      <c r="I3197" s="8">
        <v>10</v>
      </c>
      <c r="J3197" s="8">
        <f t="shared" si="3283"/>
        <v>240</v>
      </c>
      <c r="K3197" s="7" t="s">
        <v>312</v>
      </c>
      <c r="L3197" s="8">
        <v>24</v>
      </c>
      <c r="M3197" s="7">
        <f>IF(INDEX([1]equip.xml!$B:$B,MATCH(D3197,[1]equip.xml!$A:$A,0))=0,0,N3197)</f>
        <v>65</v>
      </c>
      <c r="N3197" s="8">
        <f t="shared" ref="N3197" si="3298">N3109</f>
        <v>65</v>
      </c>
    </row>
    <row r="3198" spans="1:14">
      <c r="A3198" s="7">
        <f t="shared" si="3234"/>
        <v>20009</v>
      </c>
      <c r="B3198" s="7">
        <f t="shared" ref="B3198:C3198" si="3299">B3110</f>
        <v>40000</v>
      </c>
      <c r="C3198" s="7" t="str">
        <f t="shared" si="3299"/>
        <v>装备</v>
      </c>
      <c r="D3198" s="7">
        <v>40200010</v>
      </c>
      <c r="E3198" s="7"/>
      <c r="F3198" s="7">
        <v>1</v>
      </c>
      <c r="G3198" s="7">
        <f>3*INDEX([1]equip.xml!$I:$I,MATCH(D3198&amp;"",[1]equip.xml!$A:$A,0))</f>
        <v>60000</v>
      </c>
      <c r="H3198" s="7" t="str">
        <f t="shared" si="3283"/>
        <v>10_10,50_20,80_30</v>
      </c>
      <c r="I3198" s="7">
        <v>9</v>
      </c>
      <c r="J3198" s="7">
        <f t="shared" si="3283"/>
        <v>50</v>
      </c>
      <c r="K3198" s="7" t="s">
        <v>309</v>
      </c>
      <c r="L3198" s="7">
        <v>26</v>
      </c>
      <c r="M3198" s="7">
        <f>IF(INDEX([1]equip.xml!$B:$B,MATCH(D3198&amp;"",[1]equip.xml!$A:$A,0))=0,0,N3198)</f>
        <v>130</v>
      </c>
      <c r="N3198" s="7">
        <f t="shared" ref="N3198" si="3300">N3110</f>
        <v>130</v>
      </c>
    </row>
    <row r="3199" spans="1:14">
      <c r="A3199" s="7">
        <f t="shared" si="3234"/>
        <v>20009</v>
      </c>
      <c r="B3199" s="7">
        <f t="shared" ref="B3199:C3199" si="3301">B3111</f>
        <v>40000</v>
      </c>
      <c r="C3199" s="7" t="str">
        <f t="shared" si="3301"/>
        <v>装备</v>
      </c>
      <c r="D3199" s="7">
        <v>40200020</v>
      </c>
      <c r="E3199" s="7"/>
      <c r="F3199" s="7">
        <v>1</v>
      </c>
      <c r="G3199" s="7">
        <f>3*INDEX([1]equip.xml!$I:$I,MATCH(D3199&amp;"",[1]equip.xml!$A:$A,0))</f>
        <v>60000</v>
      </c>
      <c r="H3199" s="7" t="str">
        <f t="shared" si="3283"/>
        <v>10_10,50_20,80_30</v>
      </c>
      <c r="I3199" s="7">
        <v>9</v>
      </c>
      <c r="J3199" s="7">
        <f t="shared" si="3283"/>
        <v>50</v>
      </c>
      <c r="K3199" s="7" t="s">
        <v>309</v>
      </c>
      <c r="L3199" s="7">
        <v>26</v>
      </c>
      <c r="M3199" s="7">
        <f>IF(INDEX([1]equip.xml!$B:$B,MATCH(D3199&amp;"",[1]equip.xml!$A:$A,0))=0,0,N3199)</f>
        <v>130</v>
      </c>
      <c r="N3199" s="7">
        <f t="shared" ref="N3199" si="3302">N3111</f>
        <v>130</v>
      </c>
    </row>
    <row r="3200" spans="1:14">
      <c r="A3200" s="7">
        <f t="shared" si="3234"/>
        <v>20009</v>
      </c>
      <c r="B3200" s="7">
        <f t="shared" ref="B3200:C3200" si="3303">B3112</f>
        <v>40000</v>
      </c>
      <c r="C3200" s="7" t="str">
        <f t="shared" si="3303"/>
        <v>装备</v>
      </c>
      <c r="D3200" s="7">
        <v>40200030</v>
      </c>
      <c r="E3200" s="7"/>
      <c r="F3200" s="7">
        <v>1</v>
      </c>
      <c r="G3200" s="7">
        <f>3*INDEX([1]equip.xml!$I:$I,MATCH(D3200&amp;"",[1]equip.xml!$A:$A,0))</f>
        <v>60000</v>
      </c>
      <c r="H3200" s="7" t="str">
        <f t="shared" si="3283"/>
        <v>10_10,50_20,80_30</v>
      </c>
      <c r="I3200" s="7">
        <v>9</v>
      </c>
      <c r="J3200" s="7">
        <f t="shared" si="3283"/>
        <v>50</v>
      </c>
      <c r="K3200" s="7" t="s">
        <v>309</v>
      </c>
      <c r="L3200" s="7">
        <v>26</v>
      </c>
      <c r="M3200" s="7">
        <f>IF(INDEX([1]equip.xml!$B:$B,MATCH(D3200&amp;"",[1]equip.xml!$A:$A,0))=0,0,N3200)</f>
        <v>130</v>
      </c>
      <c r="N3200" s="7">
        <f t="shared" ref="N3200" si="3304">N3112</f>
        <v>130</v>
      </c>
    </row>
    <row r="3201" spans="1:14">
      <c r="A3201" s="7">
        <f t="shared" si="3234"/>
        <v>20009</v>
      </c>
      <c r="B3201" s="7">
        <f t="shared" ref="B3201:C3201" si="3305">B3113</f>
        <v>40000</v>
      </c>
      <c r="C3201" s="7" t="str">
        <f t="shared" si="3305"/>
        <v>装备</v>
      </c>
      <c r="D3201" s="7">
        <v>40200080</v>
      </c>
      <c r="E3201" s="7"/>
      <c r="F3201" s="7">
        <v>1</v>
      </c>
      <c r="G3201" s="7">
        <f>3*INDEX([1]equip.xml!$I:$I,MATCH(D3201&amp;"",[1]equip.xml!$A:$A,0))</f>
        <v>60000</v>
      </c>
      <c r="H3201" s="7" t="str">
        <f t="shared" si="3283"/>
        <v>10_10,50_20,80_30</v>
      </c>
      <c r="I3201" s="7">
        <v>9</v>
      </c>
      <c r="J3201" s="7">
        <f t="shared" si="3283"/>
        <v>50</v>
      </c>
      <c r="K3201" s="7" t="s">
        <v>309</v>
      </c>
      <c r="L3201" s="7">
        <v>26</v>
      </c>
      <c r="M3201" s="7">
        <f>IF(INDEX([1]equip.xml!$B:$B,MATCH(D3201&amp;"",[1]equip.xml!$A:$A,0))=0,0,N3201)</f>
        <v>130</v>
      </c>
      <c r="N3201" s="7">
        <f t="shared" ref="N3201" si="3306">N3113</f>
        <v>130</v>
      </c>
    </row>
    <row r="3202" spans="1:14">
      <c r="A3202" s="7">
        <f t="shared" si="3234"/>
        <v>20009</v>
      </c>
      <c r="B3202" s="7">
        <f t="shared" ref="B3202:C3202" si="3307">B3114</f>
        <v>40000</v>
      </c>
      <c r="C3202" s="7" t="str">
        <f t="shared" si="3307"/>
        <v>装备</v>
      </c>
      <c r="D3202" s="7">
        <v>40200090</v>
      </c>
      <c r="E3202" s="7"/>
      <c r="F3202" s="7">
        <v>1</v>
      </c>
      <c r="G3202" s="7">
        <f>3*INDEX([1]equip.xml!$I:$I,MATCH(D3202&amp;"",[1]equip.xml!$A:$A,0))</f>
        <v>60000</v>
      </c>
      <c r="H3202" s="7" t="str">
        <f t="shared" si="3283"/>
        <v>10_10,50_20,80_30</v>
      </c>
      <c r="I3202" s="7">
        <v>9</v>
      </c>
      <c r="J3202" s="7">
        <f t="shared" si="3283"/>
        <v>50</v>
      </c>
      <c r="K3202" s="7" t="s">
        <v>309</v>
      </c>
      <c r="L3202" s="7">
        <v>26</v>
      </c>
      <c r="M3202" s="7">
        <f>IF(INDEX([1]equip.xml!$B:$B,MATCH(D3202&amp;"",[1]equip.xml!$A:$A,0))=0,0,N3202)</f>
        <v>130</v>
      </c>
      <c r="N3202" s="7">
        <f t="shared" ref="N3202" si="3308">N3114</f>
        <v>130</v>
      </c>
    </row>
    <row r="3203" spans="1:14">
      <c r="A3203" s="7">
        <f t="shared" si="3234"/>
        <v>20009</v>
      </c>
      <c r="B3203" s="7">
        <f t="shared" ref="B3203:C3203" si="3309">B3115</f>
        <v>40000</v>
      </c>
      <c r="C3203" s="7" t="str">
        <f t="shared" si="3309"/>
        <v>装备</v>
      </c>
      <c r="D3203" s="7">
        <v>40200100</v>
      </c>
      <c r="E3203" s="7"/>
      <c r="F3203" s="7">
        <v>1</v>
      </c>
      <c r="G3203" s="7">
        <f>3*INDEX([1]equip.xml!$I:$I,MATCH(D3203&amp;"",[1]equip.xml!$A:$A,0))</f>
        <v>60000</v>
      </c>
      <c r="H3203" s="7" t="str">
        <f t="shared" si="3283"/>
        <v>10_10,50_20,80_30</v>
      </c>
      <c r="I3203" s="7">
        <v>9</v>
      </c>
      <c r="J3203" s="7">
        <f t="shared" si="3283"/>
        <v>50</v>
      </c>
      <c r="K3203" s="7" t="s">
        <v>309</v>
      </c>
      <c r="L3203" s="7">
        <v>26</v>
      </c>
      <c r="M3203" s="7">
        <f>IF(INDEX([1]equip.xml!$B:$B,MATCH(D3203&amp;"",[1]equip.xml!$A:$A,0))=0,0,N3203)</f>
        <v>130</v>
      </c>
      <c r="N3203" s="7">
        <f t="shared" ref="N3203" si="3310">N3115</f>
        <v>130</v>
      </c>
    </row>
    <row r="3204" spans="1:14">
      <c r="A3204" s="7">
        <f t="shared" si="3234"/>
        <v>20009</v>
      </c>
      <c r="B3204" s="7">
        <f t="shared" ref="B3204:C3204" si="3311">B3116</f>
        <v>40000</v>
      </c>
      <c r="C3204" s="7" t="str">
        <f t="shared" si="3311"/>
        <v>装备</v>
      </c>
      <c r="D3204" s="7">
        <v>40201050</v>
      </c>
      <c r="E3204" s="7"/>
      <c r="F3204" s="7">
        <v>1</v>
      </c>
      <c r="G3204" s="7">
        <f>3*INDEX([1]equip.xml!$I:$I,MATCH(D3204&amp;"",[1]equip.xml!$A:$A,0))</f>
        <v>60000</v>
      </c>
      <c r="H3204" s="7" t="str">
        <f t="shared" si="3283"/>
        <v>10_10,50_20,80_30</v>
      </c>
      <c r="I3204" s="7">
        <v>9</v>
      </c>
      <c r="J3204" s="7">
        <f t="shared" si="3283"/>
        <v>50</v>
      </c>
      <c r="K3204" s="7" t="s">
        <v>309</v>
      </c>
      <c r="L3204" s="7">
        <v>26</v>
      </c>
      <c r="M3204" s="7">
        <f>IF(INDEX([1]equip.xml!$B:$B,MATCH(D3204&amp;"",[1]equip.xml!$A:$A,0))=0,0,N3204)</f>
        <v>130</v>
      </c>
      <c r="N3204" s="7">
        <f t="shared" ref="N3204" si="3312">N3116</f>
        <v>130</v>
      </c>
    </row>
    <row r="3205" spans="1:14">
      <c r="A3205" s="7">
        <f t="shared" si="3234"/>
        <v>20009</v>
      </c>
      <c r="B3205" s="7">
        <f t="shared" ref="B3205:C3205" si="3313">B3117</f>
        <v>40000</v>
      </c>
      <c r="C3205" s="7" t="str">
        <f t="shared" si="3313"/>
        <v>装备</v>
      </c>
      <c r="D3205" s="7">
        <v>40201051</v>
      </c>
      <c r="E3205" s="7"/>
      <c r="F3205" s="7">
        <v>1</v>
      </c>
      <c r="G3205" s="7">
        <f>3*INDEX([1]equip.xml!$I:$I,MATCH(D3205&amp;"",[1]equip.xml!$A:$A,0))</f>
        <v>69000</v>
      </c>
      <c r="H3205" s="7" t="str">
        <f t="shared" si="3283"/>
        <v>10_10,50_20,80_30</v>
      </c>
      <c r="I3205" s="7">
        <v>9</v>
      </c>
      <c r="J3205" s="7">
        <f t="shared" si="3283"/>
        <v>50</v>
      </c>
      <c r="K3205" s="7" t="s">
        <v>309</v>
      </c>
      <c r="L3205" s="7">
        <v>26</v>
      </c>
      <c r="M3205" s="7">
        <f>IF(INDEX([1]equip.xml!$B:$B,MATCH(D3205&amp;"",[1]equip.xml!$A:$A,0))=0,0,N3205)</f>
        <v>0</v>
      </c>
      <c r="N3205" s="7">
        <f t="shared" ref="N3205" si="3314">N3117</f>
        <v>130</v>
      </c>
    </row>
    <row r="3206" spans="1:14">
      <c r="A3206" s="7">
        <f t="shared" si="3234"/>
        <v>20009</v>
      </c>
      <c r="B3206" s="7">
        <f t="shared" ref="B3206:C3206" si="3315">B3118</f>
        <v>40000</v>
      </c>
      <c r="C3206" s="7" t="str">
        <f t="shared" si="3315"/>
        <v>装备</v>
      </c>
      <c r="D3206" s="7">
        <v>40201060</v>
      </c>
      <c r="E3206" s="7"/>
      <c r="F3206" s="7">
        <v>1</v>
      </c>
      <c r="G3206" s="7">
        <f>3*INDEX([1]equip.xml!$I:$I,MATCH(D3206&amp;"",[1]equip.xml!$A:$A,0))</f>
        <v>60000</v>
      </c>
      <c r="H3206" s="7" t="str">
        <f t="shared" ref="H3206:J3221" si="3316">H3118</f>
        <v>10_10,50_20,80_30</v>
      </c>
      <c r="I3206" s="7">
        <v>9</v>
      </c>
      <c r="J3206" s="7">
        <f t="shared" si="3316"/>
        <v>50</v>
      </c>
      <c r="K3206" s="7" t="s">
        <v>309</v>
      </c>
      <c r="L3206" s="7">
        <v>26</v>
      </c>
      <c r="M3206" s="7">
        <f>IF(INDEX([1]equip.xml!$B:$B,MATCH(D3206&amp;"",[1]equip.xml!$A:$A,0))=0,0,N3206)</f>
        <v>130</v>
      </c>
      <c r="N3206" s="7">
        <f t="shared" ref="N3206" si="3317">N3118</f>
        <v>130</v>
      </c>
    </row>
    <row r="3207" spans="1:14">
      <c r="A3207" s="7">
        <f t="shared" si="3234"/>
        <v>20009</v>
      </c>
      <c r="B3207" s="7">
        <f t="shared" ref="B3207:C3207" si="3318">B3119</f>
        <v>40000</v>
      </c>
      <c r="C3207" s="7" t="str">
        <f t="shared" si="3318"/>
        <v>装备</v>
      </c>
      <c r="D3207" s="7">
        <v>40201061</v>
      </c>
      <c r="E3207" s="7"/>
      <c r="F3207" s="7">
        <v>1</v>
      </c>
      <c r="G3207" s="7">
        <f>3*INDEX([1]equip.xml!$I:$I,MATCH(D3207&amp;"",[1]equip.xml!$A:$A,0))</f>
        <v>69000</v>
      </c>
      <c r="H3207" s="7" t="str">
        <f t="shared" si="3316"/>
        <v>10_10,50_20,80_30</v>
      </c>
      <c r="I3207" s="7">
        <v>9</v>
      </c>
      <c r="J3207" s="7">
        <f t="shared" si="3316"/>
        <v>50</v>
      </c>
      <c r="K3207" s="7" t="s">
        <v>309</v>
      </c>
      <c r="L3207" s="7">
        <v>26</v>
      </c>
      <c r="M3207" s="7">
        <f>IF(INDEX([1]equip.xml!$B:$B,MATCH(D3207&amp;"",[1]equip.xml!$A:$A,0))=0,0,N3207)</f>
        <v>0</v>
      </c>
      <c r="N3207" s="7">
        <f t="shared" ref="N3207" si="3319">N3119</f>
        <v>130</v>
      </c>
    </row>
    <row r="3208" spans="1:14">
      <c r="A3208" s="7">
        <f t="shared" si="3234"/>
        <v>20009</v>
      </c>
      <c r="B3208" s="7">
        <f t="shared" ref="B3208:C3208" si="3320">B3120</f>
        <v>40000</v>
      </c>
      <c r="C3208" s="7" t="str">
        <f t="shared" si="3320"/>
        <v>装备</v>
      </c>
      <c r="D3208" s="7">
        <v>40202050</v>
      </c>
      <c r="E3208" s="7"/>
      <c r="F3208" s="7">
        <v>1</v>
      </c>
      <c r="G3208" s="7">
        <f>3*INDEX([1]equip.xml!$I:$I,MATCH(D3208&amp;"",[1]equip.xml!$A:$A,0))</f>
        <v>60000</v>
      </c>
      <c r="H3208" s="7" t="str">
        <f t="shared" si="3316"/>
        <v>10_10,50_20,80_30</v>
      </c>
      <c r="I3208" s="7">
        <v>9</v>
      </c>
      <c r="J3208" s="7">
        <f t="shared" si="3316"/>
        <v>50</v>
      </c>
      <c r="K3208" s="7" t="s">
        <v>309</v>
      </c>
      <c r="L3208" s="7">
        <v>26</v>
      </c>
      <c r="M3208" s="7">
        <f>IF(INDEX([1]equip.xml!$B:$B,MATCH(D3208&amp;"",[1]equip.xml!$A:$A,0))=0,0,N3208)</f>
        <v>130</v>
      </c>
      <c r="N3208" s="7">
        <f t="shared" ref="N3208" si="3321">N3120</f>
        <v>130</v>
      </c>
    </row>
    <row r="3209" spans="1:14">
      <c r="A3209" s="7">
        <f t="shared" si="3234"/>
        <v>20009</v>
      </c>
      <c r="B3209" s="7">
        <f t="shared" ref="B3209:C3209" si="3322">B3121</f>
        <v>40000</v>
      </c>
      <c r="C3209" s="7" t="str">
        <f t="shared" si="3322"/>
        <v>装备</v>
      </c>
      <c r="D3209" s="7">
        <v>40202051</v>
      </c>
      <c r="E3209" s="7"/>
      <c r="F3209" s="7">
        <v>1</v>
      </c>
      <c r="G3209" s="7">
        <f>3*INDEX([1]equip.xml!$I:$I,MATCH(D3209&amp;"",[1]equip.xml!$A:$A,0))</f>
        <v>69000</v>
      </c>
      <c r="H3209" s="7" t="str">
        <f t="shared" si="3316"/>
        <v>10_10,50_20,80_30</v>
      </c>
      <c r="I3209" s="7">
        <v>9</v>
      </c>
      <c r="J3209" s="7">
        <f t="shared" si="3316"/>
        <v>50</v>
      </c>
      <c r="K3209" s="7" t="s">
        <v>309</v>
      </c>
      <c r="L3209" s="7">
        <v>26</v>
      </c>
      <c r="M3209" s="7">
        <f>IF(INDEX([1]equip.xml!$B:$B,MATCH(D3209&amp;"",[1]equip.xml!$A:$A,0))=0,0,N3209)</f>
        <v>0</v>
      </c>
      <c r="N3209" s="7">
        <f t="shared" ref="N3209" si="3323">N3121</f>
        <v>130</v>
      </c>
    </row>
    <row r="3210" spans="1:14">
      <c r="A3210" s="7">
        <f t="shared" si="3234"/>
        <v>20009</v>
      </c>
      <c r="B3210" s="7">
        <f t="shared" ref="B3210:C3210" si="3324">B3122</f>
        <v>40000</v>
      </c>
      <c r="C3210" s="7" t="str">
        <f t="shared" si="3324"/>
        <v>装备</v>
      </c>
      <c r="D3210" s="7">
        <v>40202060</v>
      </c>
      <c r="E3210" s="7"/>
      <c r="F3210" s="7">
        <v>1</v>
      </c>
      <c r="G3210" s="7">
        <f>3*INDEX([1]equip.xml!$I:$I,MATCH(D3210&amp;"",[1]equip.xml!$A:$A,0))</f>
        <v>60000</v>
      </c>
      <c r="H3210" s="7" t="str">
        <f t="shared" si="3316"/>
        <v>10_10,50_20,80_30</v>
      </c>
      <c r="I3210" s="7">
        <v>9</v>
      </c>
      <c r="J3210" s="7">
        <f t="shared" si="3316"/>
        <v>50</v>
      </c>
      <c r="K3210" s="7" t="s">
        <v>309</v>
      </c>
      <c r="L3210" s="7">
        <v>26</v>
      </c>
      <c r="M3210" s="7">
        <f>IF(INDEX([1]equip.xml!$B:$B,MATCH(D3210&amp;"",[1]equip.xml!$A:$A,0))=0,0,N3210)</f>
        <v>130</v>
      </c>
      <c r="N3210" s="7">
        <f t="shared" ref="N3210" si="3325">N3122</f>
        <v>130</v>
      </c>
    </row>
    <row r="3211" spans="1:14">
      <c r="A3211" s="7">
        <f t="shared" si="3234"/>
        <v>20009</v>
      </c>
      <c r="B3211" s="7">
        <f t="shared" ref="B3211:C3211" si="3326">B3123</f>
        <v>40000</v>
      </c>
      <c r="C3211" s="7" t="str">
        <f t="shared" si="3326"/>
        <v>装备</v>
      </c>
      <c r="D3211" s="7">
        <v>40202061</v>
      </c>
      <c r="E3211" s="7"/>
      <c r="F3211" s="7">
        <v>1</v>
      </c>
      <c r="G3211" s="7">
        <f>3*INDEX([1]equip.xml!$I:$I,MATCH(D3211&amp;"",[1]equip.xml!$A:$A,0))</f>
        <v>69000</v>
      </c>
      <c r="H3211" s="7" t="str">
        <f t="shared" si="3316"/>
        <v>10_10,50_20,80_30</v>
      </c>
      <c r="I3211" s="7">
        <v>9</v>
      </c>
      <c r="J3211" s="7">
        <f t="shared" si="3316"/>
        <v>50</v>
      </c>
      <c r="K3211" s="7" t="s">
        <v>309</v>
      </c>
      <c r="L3211" s="7">
        <v>26</v>
      </c>
      <c r="M3211" s="7">
        <f>IF(INDEX([1]equip.xml!$B:$B,MATCH(D3211&amp;"",[1]equip.xml!$A:$A,0))=0,0,N3211)</f>
        <v>0</v>
      </c>
      <c r="N3211" s="7">
        <f t="shared" ref="N3211" si="3327">N3123</f>
        <v>130</v>
      </c>
    </row>
    <row r="3212" spans="1:14">
      <c r="A3212" s="7">
        <f t="shared" si="3234"/>
        <v>20009</v>
      </c>
      <c r="B3212" s="7">
        <f t="shared" ref="B3212:C3212" si="3328">B3124</f>
        <v>40000</v>
      </c>
      <c r="C3212" s="7" t="str">
        <f t="shared" si="3328"/>
        <v>装备</v>
      </c>
      <c r="D3212" s="7">
        <v>40203050</v>
      </c>
      <c r="E3212" s="7"/>
      <c r="F3212" s="7">
        <v>1</v>
      </c>
      <c r="G3212" s="7">
        <f>3*INDEX([1]equip.xml!$I:$I,MATCH(D3212&amp;"",[1]equip.xml!$A:$A,0))</f>
        <v>60000</v>
      </c>
      <c r="H3212" s="7" t="str">
        <f t="shared" si="3316"/>
        <v>10_10,50_20,80_30</v>
      </c>
      <c r="I3212" s="7">
        <v>9</v>
      </c>
      <c r="J3212" s="7">
        <f t="shared" si="3316"/>
        <v>50</v>
      </c>
      <c r="K3212" s="7" t="s">
        <v>309</v>
      </c>
      <c r="L3212" s="7">
        <v>26</v>
      </c>
      <c r="M3212" s="7">
        <f>IF(INDEX([1]equip.xml!$B:$B,MATCH(D3212&amp;"",[1]equip.xml!$A:$A,0))=0,0,N3212)</f>
        <v>130</v>
      </c>
      <c r="N3212" s="7">
        <f t="shared" ref="N3212" si="3329">N3124</f>
        <v>130</v>
      </c>
    </row>
    <row r="3213" spans="1:14">
      <c r="A3213" s="7">
        <f t="shared" si="3234"/>
        <v>20009</v>
      </c>
      <c r="B3213" s="7">
        <f t="shared" ref="B3213:C3213" si="3330">B3125</f>
        <v>40000</v>
      </c>
      <c r="C3213" s="7" t="str">
        <f t="shared" si="3330"/>
        <v>装备</v>
      </c>
      <c r="D3213" s="7">
        <v>40203051</v>
      </c>
      <c r="E3213" s="7"/>
      <c r="F3213" s="7">
        <v>1</v>
      </c>
      <c r="G3213" s="7">
        <f>3*INDEX([1]equip.xml!$I:$I,MATCH(D3213&amp;"",[1]equip.xml!$A:$A,0))</f>
        <v>69000</v>
      </c>
      <c r="H3213" s="7" t="str">
        <f t="shared" si="3316"/>
        <v>10_10,50_20,80_30</v>
      </c>
      <c r="I3213" s="7">
        <v>9</v>
      </c>
      <c r="J3213" s="7">
        <f t="shared" si="3316"/>
        <v>50</v>
      </c>
      <c r="K3213" s="7" t="s">
        <v>309</v>
      </c>
      <c r="L3213" s="7">
        <v>26</v>
      </c>
      <c r="M3213" s="7">
        <f>IF(INDEX([1]equip.xml!$B:$B,MATCH(D3213&amp;"",[1]equip.xml!$A:$A,0))=0,0,N3213)</f>
        <v>130</v>
      </c>
      <c r="N3213" s="7">
        <f t="shared" ref="N3213" si="3331">N3125</f>
        <v>130</v>
      </c>
    </row>
    <row r="3214" spans="1:14">
      <c r="A3214" s="7">
        <f t="shared" si="3234"/>
        <v>20009</v>
      </c>
      <c r="B3214" s="7">
        <f t="shared" ref="B3214:C3214" si="3332">B3126</f>
        <v>40000</v>
      </c>
      <c r="C3214" s="7" t="str">
        <f t="shared" si="3332"/>
        <v>装备</v>
      </c>
      <c r="D3214" s="7">
        <v>40203060</v>
      </c>
      <c r="E3214" s="7"/>
      <c r="F3214" s="7">
        <v>1</v>
      </c>
      <c r="G3214" s="7">
        <f>3*INDEX([1]equip.xml!$I:$I,MATCH(D3214&amp;"",[1]equip.xml!$A:$A,0))</f>
        <v>60000</v>
      </c>
      <c r="H3214" s="7" t="str">
        <f t="shared" si="3316"/>
        <v>10_10,50_20,80_30</v>
      </c>
      <c r="I3214" s="7">
        <v>9</v>
      </c>
      <c r="J3214" s="7">
        <f t="shared" si="3316"/>
        <v>50</v>
      </c>
      <c r="K3214" s="7" t="s">
        <v>309</v>
      </c>
      <c r="L3214" s="7">
        <v>26</v>
      </c>
      <c r="M3214" s="7">
        <f>IF(INDEX([1]equip.xml!$B:$B,MATCH(D3214&amp;"",[1]equip.xml!$A:$A,0))=0,0,N3214)</f>
        <v>130</v>
      </c>
      <c r="N3214" s="7">
        <f t="shared" ref="N3214" si="3333">N3126</f>
        <v>130</v>
      </c>
    </row>
    <row r="3215" spans="1:14">
      <c r="A3215" s="7">
        <f t="shared" si="3234"/>
        <v>20009</v>
      </c>
      <c r="B3215" s="7">
        <f t="shared" ref="B3215:C3215" si="3334">B3127</f>
        <v>40000</v>
      </c>
      <c r="C3215" s="7" t="str">
        <f t="shared" si="3334"/>
        <v>装备</v>
      </c>
      <c r="D3215" s="7">
        <v>40203061</v>
      </c>
      <c r="E3215" s="7"/>
      <c r="F3215" s="7">
        <v>1</v>
      </c>
      <c r="G3215" s="7">
        <f>3*INDEX([1]equip.xml!$I:$I,MATCH(D3215&amp;"",[1]equip.xml!$A:$A,0))</f>
        <v>69000</v>
      </c>
      <c r="H3215" s="7" t="str">
        <f t="shared" si="3316"/>
        <v>10_10,50_20,80_30</v>
      </c>
      <c r="I3215" s="7">
        <v>9</v>
      </c>
      <c r="J3215" s="7">
        <f t="shared" si="3316"/>
        <v>50</v>
      </c>
      <c r="K3215" s="7" t="s">
        <v>309</v>
      </c>
      <c r="L3215" s="7">
        <v>26</v>
      </c>
      <c r="M3215" s="7">
        <f>IF(INDEX([1]equip.xml!$B:$B,MATCH(D3215&amp;"",[1]equip.xml!$A:$A,0))=0,0,N3215)</f>
        <v>0</v>
      </c>
      <c r="N3215" s="7">
        <f t="shared" ref="N3215" si="3335">N3127</f>
        <v>130</v>
      </c>
    </row>
    <row r="3216" spans="1:14">
      <c r="A3216" s="7">
        <f t="shared" si="3234"/>
        <v>20009</v>
      </c>
      <c r="B3216" s="7">
        <f t="shared" ref="B3216:C3216" si="3336">B3128</f>
        <v>40000</v>
      </c>
      <c r="C3216" s="7" t="str">
        <f t="shared" si="3336"/>
        <v>装备</v>
      </c>
      <c r="D3216" s="7">
        <v>40200040</v>
      </c>
      <c r="E3216" s="7"/>
      <c r="F3216" s="7">
        <v>1</v>
      </c>
      <c r="G3216" s="7">
        <f>3*INDEX([1]equip.xml!$I:$I,MATCH(D3216&amp;"",[1]equip.xml!$A:$A,0))</f>
        <v>60000</v>
      </c>
      <c r="H3216" s="7" t="str">
        <f t="shared" si="3316"/>
        <v>10_10,50_20,80_30</v>
      </c>
      <c r="I3216" s="7">
        <v>9</v>
      </c>
      <c r="J3216" s="7">
        <f t="shared" si="3316"/>
        <v>50</v>
      </c>
      <c r="K3216" s="7" t="s">
        <v>309</v>
      </c>
      <c r="L3216" s="7">
        <v>26</v>
      </c>
      <c r="M3216" s="7">
        <f>IF(INDEX([1]equip.xml!$B:$B,MATCH(D3216&amp;"",[1]equip.xml!$A:$A,0))=0,0,N3216)</f>
        <v>130</v>
      </c>
      <c r="N3216" s="7">
        <f t="shared" ref="N3216" si="3337">N3128</f>
        <v>130</v>
      </c>
    </row>
    <row r="3217" spans="1:14">
      <c r="A3217" s="7">
        <f t="shared" si="3234"/>
        <v>20009</v>
      </c>
      <c r="B3217" s="7">
        <f t="shared" ref="B3217:C3217" si="3338">B3129</f>
        <v>40000</v>
      </c>
      <c r="C3217" s="7" t="str">
        <f t="shared" si="3338"/>
        <v>装备</v>
      </c>
      <c r="D3217" s="7">
        <v>40200041</v>
      </c>
      <c r="E3217" s="7"/>
      <c r="F3217" s="7">
        <v>1</v>
      </c>
      <c r="G3217" s="7">
        <f>3*INDEX([1]equip.xml!$I:$I,MATCH(D3217&amp;"",[1]equip.xml!$A:$A,0))</f>
        <v>69000</v>
      </c>
      <c r="H3217" s="7" t="str">
        <f t="shared" si="3316"/>
        <v>10_10,50_20,80_30</v>
      </c>
      <c r="I3217" s="7">
        <v>9</v>
      </c>
      <c r="J3217" s="7">
        <f t="shared" si="3316"/>
        <v>50</v>
      </c>
      <c r="K3217" s="7" t="s">
        <v>309</v>
      </c>
      <c r="L3217" s="7">
        <v>26</v>
      </c>
      <c r="M3217" s="7">
        <f>IF(INDEX([1]equip.xml!$B:$B,MATCH(D3217&amp;"",[1]equip.xml!$A:$A,0))=0,0,N3217)</f>
        <v>130</v>
      </c>
      <c r="N3217" s="7">
        <f t="shared" ref="N3217" si="3339">N3129</f>
        <v>130</v>
      </c>
    </row>
    <row r="3218" spans="1:14">
      <c r="A3218" s="7">
        <f t="shared" si="3234"/>
        <v>20009</v>
      </c>
      <c r="B3218" s="7">
        <f t="shared" ref="B3218:C3218" si="3340">B3130</f>
        <v>40000</v>
      </c>
      <c r="C3218" s="7" t="str">
        <f t="shared" si="3340"/>
        <v>装备</v>
      </c>
      <c r="D3218" s="7">
        <v>40200070</v>
      </c>
      <c r="E3218" s="7"/>
      <c r="F3218" s="7">
        <v>1</v>
      </c>
      <c r="G3218" s="7">
        <f>3*INDEX([1]equip.xml!$I:$I,MATCH(D3218&amp;"",[1]equip.xml!$A:$A,0))</f>
        <v>60000</v>
      </c>
      <c r="H3218" s="7" t="str">
        <f t="shared" si="3316"/>
        <v>10_10,50_20,80_30</v>
      </c>
      <c r="I3218" s="7">
        <v>9</v>
      </c>
      <c r="J3218" s="7">
        <f t="shared" si="3316"/>
        <v>50</v>
      </c>
      <c r="K3218" s="7" t="s">
        <v>309</v>
      </c>
      <c r="L3218" s="7">
        <v>26</v>
      </c>
      <c r="M3218" s="7">
        <f>IF(INDEX([1]equip.xml!$B:$B,MATCH(D3218&amp;"",[1]equip.xml!$A:$A,0))=0,0,N3218)</f>
        <v>130</v>
      </c>
      <c r="N3218" s="7">
        <f t="shared" ref="N3218" si="3341">N3130</f>
        <v>130</v>
      </c>
    </row>
    <row r="3219" spans="1:14">
      <c r="A3219" s="7">
        <f t="shared" si="3234"/>
        <v>20009</v>
      </c>
      <c r="B3219" s="7">
        <f t="shared" ref="B3219:C3219" si="3342">B3131</f>
        <v>40000</v>
      </c>
      <c r="C3219" s="7" t="str">
        <f t="shared" si="3342"/>
        <v>装备</v>
      </c>
      <c r="D3219" s="7">
        <v>40200071</v>
      </c>
      <c r="E3219" s="7"/>
      <c r="F3219" s="7">
        <v>1</v>
      </c>
      <c r="G3219" s="7">
        <f>3*INDEX([1]equip.xml!$I:$I,MATCH(D3219&amp;"",[1]equip.xml!$A:$A,0))</f>
        <v>69000</v>
      </c>
      <c r="H3219" s="7" t="str">
        <f t="shared" si="3316"/>
        <v>10_10,50_20,80_30</v>
      </c>
      <c r="I3219" s="7">
        <v>9</v>
      </c>
      <c r="J3219" s="7">
        <f t="shared" si="3316"/>
        <v>50</v>
      </c>
      <c r="K3219" s="7" t="s">
        <v>309</v>
      </c>
      <c r="L3219" s="7">
        <v>26</v>
      </c>
      <c r="M3219" s="7">
        <f>IF(INDEX([1]equip.xml!$B:$B,MATCH(D3219&amp;"",[1]equip.xml!$A:$A,0))=0,0,N3219)</f>
        <v>130</v>
      </c>
      <c r="N3219" s="7">
        <f t="shared" ref="N3219" si="3343">N3131</f>
        <v>130</v>
      </c>
    </row>
    <row r="3220" spans="1:14">
      <c r="A3220" s="7">
        <f t="shared" si="3234"/>
        <v>20009</v>
      </c>
      <c r="B3220" s="7">
        <f t="shared" ref="B3220:C3220" si="3344">B3132</f>
        <v>40000</v>
      </c>
      <c r="C3220" s="7" t="str">
        <f t="shared" si="3344"/>
        <v>装备</v>
      </c>
      <c r="D3220" s="7">
        <v>40250010</v>
      </c>
      <c r="E3220" s="7"/>
      <c r="F3220" s="7">
        <v>1</v>
      </c>
      <c r="G3220" s="7">
        <f>3*INDEX([1]equip.xml!$I:$I,MATCH(D3220&amp;"",[1]equip.xml!$A:$A,0))</f>
        <v>75000</v>
      </c>
      <c r="H3220" s="7" t="str">
        <f t="shared" si="3316"/>
        <v>10_10,50_20,80_30</v>
      </c>
      <c r="I3220" s="7">
        <v>9</v>
      </c>
      <c r="J3220" s="7">
        <f t="shared" si="3316"/>
        <v>50</v>
      </c>
      <c r="K3220" s="7" t="s">
        <v>309</v>
      </c>
      <c r="L3220" s="7">
        <v>26</v>
      </c>
      <c r="M3220" s="7">
        <f>IF(INDEX([1]equip.xml!$B:$B,MATCH(D3220&amp;"",[1]equip.xml!$A:$A,0))=0,0,N3220)</f>
        <v>65</v>
      </c>
      <c r="N3220" s="7">
        <f t="shared" ref="N3220" si="3345">N3132</f>
        <v>65</v>
      </c>
    </row>
    <row r="3221" spans="1:14">
      <c r="A3221" s="7">
        <f t="shared" si="3234"/>
        <v>20009</v>
      </c>
      <c r="B3221" s="7">
        <f t="shared" ref="B3221:C3221" si="3346">B3133</f>
        <v>40000</v>
      </c>
      <c r="C3221" s="7" t="str">
        <f t="shared" si="3346"/>
        <v>装备</v>
      </c>
      <c r="D3221" s="7">
        <v>40250020</v>
      </c>
      <c r="E3221" s="7"/>
      <c r="F3221" s="7">
        <v>1</v>
      </c>
      <c r="G3221" s="7">
        <f>3*INDEX([1]equip.xml!$I:$I,MATCH(D3221&amp;"",[1]equip.xml!$A:$A,0))</f>
        <v>75000</v>
      </c>
      <c r="H3221" s="7" t="str">
        <f t="shared" si="3316"/>
        <v>10_10,50_20,80_30</v>
      </c>
      <c r="I3221" s="7">
        <v>9</v>
      </c>
      <c r="J3221" s="7">
        <f t="shared" si="3316"/>
        <v>50</v>
      </c>
      <c r="K3221" s="7" t="s">
        <v>309</v>
      </c>
      <c r="L3221" s="7">
        <v>26</v>
      </c>
      <c r="M3221" s="7">
        <f>IF(INDEX([1]equip.xml!$B:$B,MATCH(D3221&amp;"",[1]equip.xml!$A:$A,0))=0,0,N3221)</f>
        <v>65</v>
      </c>
      <c r="N3221" s="7">
        <f t="shared" ref="N3221" si="3347">N3133</f>
        <v>65</v>
      </c>
    </row>
    <row r="3222" spans="1:14">
      <c r="A3222" s="7">
        <f t="shared" si="3234"/>
        <v>20009</v>
      </c>
      <c r="B3222" s="7">
        <f t="shared" ref="B3222:C3222" si="3348">B3134</f>
        <v>40000</v>
      </c>
      <c r="C3222" s="7" t="str">
        <f t="shared" si="3348"/>
        <v>装备</v>
      </c>
      <c r="D3222" s="7">
        <v>40250030</v>
      </c>
      <c r="E3222" s="7"/>
      <c r="F3222" s="7">
        <v>1</v>
      </c>
      <c r="G3222" s="7">
        <f>3*INDEX([1]equip.xml!$I:$I,MATCH(D3222&amp;"",[1]equip.xml!$A:$A,0))</f>
        <v>75000</v>
      </c>
      <c r="H3222" s="7" t="str">
        <f t="shared" ref="H3222:J3237" si="3349">H3134</f>
        <v>10_10,50_20,80_30</v>
      </c>
      <c r="I3222" s="7">
        <v>9</v>
      </c>
      <c r="J3222" s="7">
        <f t="shared" si="3349"/>
        <v>50</v>
      </c>
      <c r="K3222" s="7" t="s">
        <v>309</v>
      </c>
      <c r="L3222" s="7">
        <v>26</v>
      </c>
      <c r="M3222" s="7">
        <f>IF(INDEX([1]equip.xml!$B:$B,MATCH(D3222&amp;"",[1]equip.xml!$A:$A,0))=0,0,N3222)</f>
        <v>65</v>
      </c>
      <c r="N3222" s="7">
        <f t="shared" ref="N3222" si="3350">N3134</f>
        <v>65</v>
      </c>
    </row>
    <row r="3223" spans="1:14">
      <c r="A3223" s="7">
        <f t="shared" si="3234"/>
        <v>20009</v>
      </c>
      <c r="B3223" s="7">
        <f t="shared" ref="B3223:C3223" si="3351">B3135</f>
        <v>40000</v>
      </c>
      <c r="C3223" s="7" t="str">
        <f t="shared" si="3351"/>
        <v>装备</v>
      </c>
      <c r="D3223" s="7">
        <v>40250080</v>
      </c>
      <c r="E3223" s="7"/>
      <c r="F3223" s="7">
        <v>1</v>
      </c>
      <c r="G3223" s="7">
        <f>3*INDEX([1]equip.xml!$I:$I,MATCH(D3223&amp;"",[1]equip.xml!$A:$A,0))</f>
        <v>75000</v>
      </c>
      <c r="H3223" s="7" t="str">
        <f t="shared" si="3349"/>
        <v>10_10,50_20,80_30</v>
      </c>
      <c r="I3223" s="7">
        <v>9</v>
      </c>
      <c r="J3223" s="7">
        <f t="shared" si="3349"/>
        <v>50</v>
      </c>
      <c r="K3223" s="7" t="s">
        <v>309</v>
      </c>
      <c r="L3223" s="7">
        <v>26</v>
      </c>
      <c r="M3223" s="7">
        <f>IF(INDEX([1]equip.xml!$B:$B,MATCH(D3223&amp;"",[1]equip.xml!$A:$A,0))=0,0,N3223)</f>
        <v>65</v>
      </c>
      <c r="N3223" s="7">
        <f t="shared" ref="N3223" si="3352">N3135</f>
        <v>65</v>
      </c>
    </row>
    <row r="3224" spans="1:14">
      <c r="A3224" s="7">
        <f t="shared" si="3234"/>
        <v>20009</v>
      </c>
      <c r="B3224" s="7">
        <f t="shared" ref="B3224:C3224" si="3353">B3136</f>
        <v>40000</v>
      </c>
      <c r="C3224" s="7" t="str">
        <f t="shared" si="3353"/>
        <v>装备</v>
      </c>
      <c r="D3224" s="7">
        <v>40250090</v>
      </c>
      <c r="E3224" s="7"/>
      <c r="F3224" s="7">
        <v>1</v>
      </c>
      <c r="G3224" s="7">
        <f>3*INDEX([1]equip.xml!$I:$I,MATCH(D3224&amp;"",[1]equip.xml!$A:$A,0))</f>
        <v>75000</v>
      </c>
      <c r="H3224" s="7" t="str">
        <f t="shared" si="3349"/>
        <v>10_10,50_20,80_30</v>
      </c>
      <c r="I3224" s="7">
        <v>9</v>
      </c>
      <c r="J3224" s="7">
        <f t="shared" si="3349"/>
        <v>50</v>
      </c>
      <c r="K3224" s="7" t="s">
        <v>309</v>
      </c>
      <c r="L3224" s="7">
        <v>26</v>
      </c>
      <c r="M3224" s="7">
        <f>IF(INDEX([1]equip.xml!$B:$B,MATCH(D3224&amp;"",[1]equip.xml!$A:$A,0))=0,0,N3224)</f>
        <v>65</v>
      </c>
      <c r="N3224" s="7">
        <f t="shared" ref="N3224" si="3354">N3136</f>
        <v>65</v>
      </c>
    </row>
    <row r="3225" spans="1:14">
      <c r="A3225" s="7">
        <f t="shared" si="3234"/>
        <v>20009</v>
      </c>
      <c r="B3225" s="7">
        <f t="shared" ref="B3225:C3225" si="3355">B3137</f>
        <v>40000</v>
      </c>
      <c r="C3225" s="7" t="str">
        <f t="shared" si="3355"/>
        <v>装备</v>
      </c>
      <c r="D3225" s="7">
        <v>40250100</v>
      </c>
      <c r="E3225" s="7"/>
      <c r="F3225" s="7">
        <v>1</v>
      </c>
      <c r="G3225" s="7">
        <f>3*INDEX([1]equip.xml!$I:$I,MATCH(D3225&amp;"",[1]equip.xml!$A:$A,0))</f>
        <v>75000</v>
      </c>
      <c r="H3225" s="7" t="str">
        <f t="shared" si="3349"/>
        <v>10_10,50_20,80_30</v>
      </c>
      <c r="I3225" s="7">
        <v>9</v>
      </c>
      <c r="J3225" s="7">
        <f t="shared" si="3349"/>
        <v>50</v>
      </c>
      <c r="K3225" s="7" t="s">
        <v>309</v>
      </c>
      <c r="L3225" s="7">
        <v>26</v>
      </c>
      <c r="M3225" s="7">
        <f>IF(INDEX([1]equip.xml!$B:$B,MATCH(D3225&amp;"",[1]equip.xml!$A:$A,0))=0,0,N3225)</f>
        <v>65</v>
      </c>
      <c r="N3225" s="7">
        <f t="shared" ref="N3225" si="3356">N3137</f>
        <v>65</v>
      </c>
    </row>
    <row r="3226" spans="1:14">
      <c r="A3226" s="7">
        <f t="shared" si="3234"/>
        <v>20009</v>
      </c>
      <c r="B3226" s="7">
        <f t="shared" ref="B3226:C3226" si="3357">B3138</f>
        <v>40000</v>
      </c>
      <c r="C3226" s="7" t="str">
        <f t="shared" si="3357"/>
        <v>装备</v>
      </c>
      <c r="D3226" s="7">
        <v>40251050</v>
      </c>
      <c r="E3226" s="7"/>
      <c r="F3226" s="7">
        <v>1</v>
      </c>
      <c r="G3226" s="7">
        <f>3*INDEX([1]equip.xml!$I:$I,MATCH(D3226&amp;"",[1]equip.xml!$A:$A,0))</f>
        <v>75000</v>
      </c>
      <c r="H3226" s="7" t="str">
        <f t="shared" si="3349"/>
        <v>10_10,50_20,80_30</v>
      </c>
      <c r="I3226" s="7">
        <v>9</v>
      </c>
      <c r="J3226" s="7">
        <f t="shared" si="3349"/>
        <v>50</v>
      </c>
      <c r="K3226" s="7" t="s">
        <v>309</v>
      </c>
      <c r="L3226" s="7">
        <v>26</v>
      </c>
      <c r="M3226" s="7">
        <f>IF(INDEX([1]equip.xml!$B:$B,MATCH(D3226&amp;"",[1]equip.xml!$A:$A,0))=0,0,N3226)</f>
        <v>65</v>
      </c>
      <c r="N3226" s="7">
        <f t="shared" ref="N3226" si="3358">N3138</f>
        <v>65</v>
      </c>
    </row>
    <row r="3227" spans="1:14">
      <c r="A3227" s="7">
        <f t="shared" si="3234"/>
        <v>20009</v>
      </c>
      <c r="B3227" s="7">
        <f t="shared" ref="B3227:C3227" si="3359">B3139</f>
        <v>40000</v>
      </c>
      <c r="C3227" s="7" t="str">
        <f t="shared" si="3359"/>
        <v>装备</v>
      </c>
      <c r="D3227" s="7">
        <v>40251051</v>
      </c>
      <c r="E3227" s="7"/>
      <c r="F3227" s="7">
        <v>1</v>
      </c>
      <c r="G3227" s="7">
        <f>3*INDEX([1]equip.xml!$I:$I,MATCH(D3227&amp;"",[1]equip.xml!$A:$A,0))</f>
        <v>84000</v>
      </c>
      <c r="H3227" s="7" t="str">
        <f t="shared" si="3349"/>
        <v>10_10,50_20,80_30</v>
      </c>
      <c r="I3227" s="7">
        <v>9</v>
      </c>
      <c r="J3227" s="7">
        <f t="shared" si="3349"/>
        <v>50</v>
      </c>
      <c r="K3227" s="7" t="s">
        <v>309</v>
      </c>
      <c r="L3227" s="7">
        <v>26</v>
      </c>
      <c r="M3227" s="7">
        <f>IF(INDEX([1]equip.xml!$B:$B,MATCH(D3227&amp;"",[1]equip.xml!$A:$A,0))=0,0,N3227)</f>
        <v>65</v>
      </c>
      <c r="N3227" s="7">
        <f t="shared" ref="N3227" si="3360">N3139</f>
        <v>65</v>
      </c>
    </row>
    <row r="3228" spans="1:14">
      <c r="A3228" s="7">
        <f t="shared" si="3234"/>
        <v>20009</v>
      </c>
      <c r="B3228" s="7">
        <f t="shared" ref="B3228:C3228" si="3361">B3140</f>
        <v>40000</v>
      </c>
      <c r="C3228" s="7" t="str">
        <f t="shared" si="3361"/>
        <v>装备</v>
      </c>
      <c r="D3228" s="7">
        <v>40251060</v>
      </c>
      <c r="E3228" s="7"/>
      <c r="F3228" s="7">
        <v>1</v>
      </c>
      <c r="G3228" s="7">
        <f>3*INDEX([1]equip.xml!$I:$I,MATCH(D3228&amp;"",[1]equip.xml!$A:$A,0))</f>
        <v>75000</v>
      </c>
      <c r="H3228" s="7" t="str">
        <f t="shared" si="3349"/>
        <v>10_10,50_20,80_30</v>
      </c>
      <c r="I3228" s="7">
        <v>9</v>
      </c>
      <c r="J3228" s="7">
        <f t="shared" si="3349"/>
        <v>50</v>
      </c>
      <c r="K3228" s="7" t="s">
        <v>309</v>
      </c>
      <c r="L3228" s="7">
        <v>26</v>
      </c>
      <c r="M3228" s="7">
        <f>IF(INDEX([1]equip.xml!$B:$B,MATCH(D3228&amp;"",[1]equip.xml!$A:$A,0))=0,0,N3228)</f>
        <v>65</v>
      </c>
      <c r="N3228" s="7">
        <f t="shared" ref="N3228" si="3362">N3140</f>
        <v>65</v>
      </c>
    </row>
    <row r="3229" spans="1:14">
      <c r="A3229" s="7">
        <f t="shared" si="3234"/>
        <v>20009</v>
      </c>
      <c r="B3229" s="7">
        <f t="shared" ref="B3229:C3229" si="3363">B3141</f>
        <v>40000</v>
      </c>
      <c r="C3229" s="7" t="str">
        <f t="shared" si="3363"/>
        <v>装备</v>
      </c>
      <c r="D3229" s="7">
        <v>40251061</v>
      </c>
      <c r="E3229" s="7"/>
      <c r="F3229" s="7">
        <v>1</v>
      </c>
      <c r="G3229" s="7">
        <f>3*INDEX([1]equip.xml!$I:$I,MATCH(D3229&amp;"",[1]equip.xml!$A:$A,0))</f>
        <v>84000</v>
      </c>
      <c r="H3229" s="7" t="str">
        <f t="shared" si="3349"/>
        <v>10_10,50_20,80_30</v>
      </c>
      <c r="I3229" s="7">
        <v>9</v>
      </c>
      <c r="J3229" s="7">
        <f t="shared" si="3349"/>
        <v>50</v>
      </c>
      <c r="K3229" s="7" t="s">
        <v>309</v>
      </c>
      <c r="L3229" s="7">
        <v>26</v>
      </c>
      <c r="M3229" s="7">
        <f>IF(INDEX([1]equip.xml!$B:$B,MATCH(D3229&amp;"",[1]equip.xml!$A:$A,0))=0,0,N3229)</f>
        <v>0</v>
      </c>
      <c r="N3229" s="7">
        <f t="shared" ref="N3229" si="3364">N3141</f>
        <v>65</v>
      </c>
    </row>
    <row r="3230" spans="1:14">
      <c r="A3230" s="7">
        <f t="shared" si="3234"/>
        <v>20009</v>
      </c>
      <c r="B3230" s="7">
        <f t="shared" ref="B3230:C3230" si="3365">B3142</f>
        <v>40000</v>
      </c>
      <c r="C3230" s="7" t="str">
        <f t="shared" si="3365"/>
        <v>装备</v>
      </c>
      <c r="D3230" s="7">
        <v>40252050</v>
      </c>
      <c r="E3230" s="7"/>
      <c r="F3230" s="7">
        <v>1</v>
      </c>
      <c r="G3230" s="7">
        <f>3*INDEX([1]equip.xml!$I:$I,MATCH(D3230&amp;"",[1]equip.xml!$A:$A,0))</f>
        <v>75000</v>
      </c>
      <c r="H3230" s="7" t="str">
        <f t="shared" si="3349"/>
        <v>10_10,50_20,80_30</v>
      </c>
      <c r="I3230" s="7">
        <v>9</v>
      </c>
      <c r="J3230" s="7">
        <f t="shared" si="3349"/>
        <v>50</v>
      </c>
      <c r="K3230" s="7" t="s">
        <v>309</v>
      </c>
      <c r="L3230" s="7">
        <v>26</v>
      </c>
      <c r="M3230" s="7">
        <f>IF(INDEX([1]equip.xml!$B:$B,MATCH(D3230&amp;"",[1]equip.xml!$A:$A,0))=0,0,N3230)</f>
        <v>65</v>
      </c>
      <c r="N3230" s="7">
        <f t="shared" ref="N3230" si="3366">N3142</f>
        <v>65</v>
      </c>
    </row>
    <row r="3231" spans="1:14">
      <c r="A3231" s="7">
        <f t="shared" ref="A3231:A3294" si="3367">10000+A415</f>
        <v>20009</v>
      </c>
      <c r="B3231" s="7">
        <f t="shared" ref="B3231:C3231" si="3368">B3143</f>
        <v>40000</v>
      </c>
      <c r="C3231" s="7" t="str">
        <f t="shared" si="3368"/>
        <v>装备</v>
      </c>
      <c r="D3231" s="7">
        <v>40252051</v>
      </c>
      <c r="E3231" s="7"/>
      <c r="F3231" s="7">
        <v>1</v>
      </c>
      <c r="G3231" s="7">
        <f>3*INDEX([1]equip.xml!$I:$I,MATCH(D3231&amp;"",[1]equip.xml!$A:$A,0))</f>
        <v>84000</v>
      </c>
      <c r="H3231" s="7" t="str">
        <f t="shared" si="3349"/>
        <v>10_10,50_20,80_30</v>
      </c>
      <c r="I3231" s="7">
        <v>9</v>
      </c>
      <c r="J3231" s="7">
        <f t="shared" si="3349"/>
        <v>50</v>
      </c>
      <c r="K3231" s="7" t="s">
        <v>309</v>
      </c>
      <c r="L3231" s="7">
        <v>26</v>
      </c>
      <c r="M3231" s="7">
        <f>IF(INDEX([1]equip.xml!$B:$B,MATCH(D3231&amp;"",[1]equip.xml!$A:$A,0))=0,0,N3231)</f>
        <v>65</v>
      </c>
      <c r="N3231" s="7">
        <f t="shared" ref="N3231" si="3369">N3143</f>
        <v>65</v>
      </c>
    </row>
    <row r="3232" spans="1:14">
      <c r="A3232" s="7">
        <f t="shared" si="3367"/>
        <v>20009</v>
      </c>
      <c r="B3232" s="7">
        <f t="shared" ref="B3232:C3232" si="3370">B3144</f>
        <v>40000</v>
      </c>
      <c r="C3232" s="7" t="str">
        <f t="shared" si="3370"/>
        <v>装备</v>
      </c>
      <c r="D3232" s="7">
        <v>40252060</v>
      </c>
      <c r="E3232" s="7"/>
      <c r="F3232" s="7">
        <v>1</v>
      </c>
      <c r="G3232" s="7">
        <f>3*INDEX([1]equip.xml!$I:$I,MATCH(D3232&amp;"",[1]equip.xml!$A:$A,0))</f>
        <v>75000</v>
      </c>
      <c r="H3232" s="7" t="str">
        <f t="shared" si="3349"/>
        <v>10_10,50_20,80_30</v>
      </c>
      <c r="I3232" s="7">
        <v>9</v>
      </c>
      <c r="J3232" s="7">
        <f t="shared" si="3349"/>
        <v>50</v>
      </c>
      <c r="K3232" s="7" t="s">
        <v>309</v>
      </c>
      <c r="L3232" s="7">
        <v>26</v>
      </c>
      <c r="M3232" s="7">
        <f>IF(INDEX([1]equip.xml!$B:$B,MATCH(D3232&amp;"",[1]equip.xml!$A:$A,0))=0,0,N3232)</f>
        <v>65</v>
      </c>
      <c r="N3232" s="7">
        <f t="shared" ref="N3232" si="3371">N3144</f>
        <v>65</v>
      </c>
    </row>
    <row r="3233" spans="1:14">
      <c r="A3233" s="7">
        <f t="shared" si="3367"/>
        <v>20009</v>
      </c>
      <c r="B3233" s="7">
        <f t="shared" ref="B3233:C3233" si="3372">B3145</f>
        <v>40000</v>
      </c>
      <c r="C3233" s="7" t="str">
        <f t="shared" si="3372"/>
        <v>装备</v>
      </c>
      <c r="D3233" s="7">
        <v>40252061</v>
      </c>
      <c r="E3233" s="7"/>
      <c r="F3233" s="7">
        <v>1</v>
      </c>
      <c r="G3233" s="7">
        <f>3*INDEX([1]equip.xml!$I:$I,MATCH(D3233&amp;"",[1]equip.xml!$A:$A,0))</f>
        <v>84000</v>
      </c>
      <c r="H3233" s="7" t="str">
        <f t="shared" si="3349"/>
        <v>10_10,50_20,80_30</v>
      </c>
      <c r="I3233" s="7">
        <v>9</v>
      </c>
      <c r="J3233" s="7">
        <f t="shared" si="3349"/>
        <v>50</v>
      </c>
      <c r="K3233" s="7" t="s">
        <v>309</v>
      </c>
      <c r="L3233" s="7">
        <v>26</v>
      </c>
      <c r="M3233" s="7">
        <f>IF(INDEX([1]equip.xml!$B:$B,MATCH(D3233&amp;"",[1]equip.xml!$A:$A,0))=0,0,N3233)</f>
        <v>0</v>
      </c>
      <c r="N3233" s="7">
        <f t="shared" ref="N3233" si="3373">N3145</f>
        <v>65</v>
      </c>
    </row>
    <row r="3234" spans="1:14">
      <c r="A3234" s="7">
        <f t="shared" si="3367"/>
        <v>20009</v>
      </c>
      <c r="B3234" s="7">
        <f t="shared" ref="B3234:C3234" si="3374">B3146</f>
        <v>40000</v>
      </c>
      <c r="C3234" s="7" t="str">
        <f t="shared" si="3374"/>
        <v>装备</v>
      </c>
      <c r="D3234" s="7">
        <v>40253050</v>
      </c>
      <c r="E3234" s="7"/>
      <c r="F3234" s="7">
        <v>1</v>
      </c>
      <c r="G3234" s="7">
        <f>3*INDEX([1]equip.xml!$I:$I,MATCH(D3234&amp;"",[1]equip.xml!$A:$A,0))</f>
        <v>75000</v>
      </c>
      <c r="H3234" s="7" t="str">
        <f t="shared" si="3349"/>
        <v>10_10,50_20,80_30</v>
      </c>
      <c r="I3234" s="7">
        <v>9</v>
      </c>
      <c r="J3234" s="7">
        <f t="shared" si="3349"/>
        <v>50</v>
      </c>
      <c r="K3234" s="7" t="s">
        <v>309</v>
      </c>
      <c r="L3234" s="7">
        <v>26</v>
      </c>
      <c r="M3234" s="7">
        <f>IF(INDEX([1]equip.xml!$B:$B,MATCH(D3234&amp;"",[1]equip.xml!$A:$A,0))=0,0,N3234)</f>
        <v>65</v>
      </c>
      <c r="N3234" s="7">
        <f t="shared" ref="N3234" si="3375">N3146</f>
        <v>65</v>
      </c>
    </row>
    <row r="3235" spans="1:14">
      <c r="A3235" s="7">
        <f t="shared" si="3367"/>
        <v>20009</v>
      </c>
      <c r="B3235" s="7">
        <f t="shared" ref="B3235:C3235" si="3376">B3147</f>
        <v>40000</v>
      </c>
      <c r="C3235" s="7" t="str">
        <f t="shared" si="3376"/>
        <v>装备</v>
      </c>
      <c r="D3235" s="7">
        <v>40253051</v>
      </c>
      <c r="E3235" s="7"/>
      <c r="F3235" s="7">
        <v>1</v>
      </c>
      <c r="G3235" s="7">
        <f>3*INDEX([1]equip.xml!$I:$I,MATCH(D3235&amp;"",[1]equip.xml!$A:$A,0))</f>
        <v>84000</v>
      </c>
      <c r="H3235" s="7" t="str">
        <f t="shared" si="3349"/>
        <v>10_10,50_20,80_30</v>
      </c>
      <c r="I3235" s="7">
        <v>9</v>
      </c>
      <c r="J3235" s="7">
        <f t="shared" si="3349"/>
        <v>50</v>
      </c>
      <c r="K3235" s="7" t="s">
        <v>309</v>
      </c>
      <c r="L3235" s="7">
        <v>26</v>
      </c>
      <c r="M3235" s="7">
        <f>IF(INDEX([1]equip.xml!$B:$B,MATCH(D3235&amp;"",[1]equip.xml!$A:$A,0))=0,0,N3235)</f>
        <v>0</v>
      </c>
      <c r="N3235" s="7">
        <f t="shared" ref="N3235" si="3377">N3147</f>
        <v>65</v>
      </c>
    </row>
    <row r="3236" spans="1:14">
      <c r="A3236" s="7">
        <f t="shared" si="3367"/>
        <v>20009</v>
      </c>
      <c r="B3236" s="7">
        <f t="shared" ref="B3236:C3236" si="3378">B3148</f>
        <v>40000</v>
      </c>
      <c r="C3236" s="7" t="str">
        <f t="shared" si="3378"/>
        <v>装备</v>
      </c>
      <c r="D3236" s="7">
        <v>40253060</v>
      </c>
      <c r="E3236" s="7"/>
      <c r="F3236" s="7">
        <v>1</v>
      </c>
      <c r="G3236" s="7">
        <f>3*INDEX([1]equip.xml!$I:$I,MATCH(D3236&amp;"",[1]equip.xml!$A:$A,0))</f>
        <v>75000</v>
      </c>
      <c r="H3236" s="7" t="str">
        <f t="shared" si="3349"/>
        <v>10_10,50_20,80_30</v>
      </c>
      <c r="I3236" s="7">
        <v>9</v>
      </c>
      <c r="J3236" s="7">
        <f t="shared" si="3349"/>
        <v>50</v>
      </c>
      <c r="K3236" s="7" t="s">
        <v>309</v>
      </c>
      <c r="L3236" s="7">
        <v>26</v>
      </c>
      <c r="M3236" s="7">
        <f>IF(INDEX([1]equip.xml!$B:$B,MATCH(D3236&amp;"",[1]equip.xml!$A:$A,0))=0,0,N3236)</f>
        <v>65</v>
      </c>
      <c r="N3236" s="7">
        <f t="shared" ref="N3236" si="3379">N3148</f>
        <v>65</v>
      </c>
    </row>
    <row r="3237" spans="1:14">
      <c r="A3237" s="7">
        <f t="shared" si="3367"/>
        <v>20009</v>
      </c>
      <c r="B3237" s="7">
        <f t="shared" ref="B3237:C3237" si="3380">B3149</f>
        <v>40000</v>
      </c>
      <c r="C3237" s="7" t="str">
        <f t="shared" si="3380"/>
        <v>装备</v>
      </c>
      <c r="D3237" s="7">
        <v>40253061</v>
      </c>
      <c r="E3237" s="7"/>
      <c r="F3237" s="7">
        <v>1</v>
      </c>
      <c r="G3237" s="7">
        <f>3*INDEX([1]equip.xml!$I:$I,MATCH(D3237&amp;"",[1]equip.xml!$A:$A,0))</f>
        <v>84000</v>
      </c>
      <c r="H3237" s="7" t="str">
        <f t="shared" si="3349"/>
        <v>10_10,50_20,80_30</v>
      </c>
      <c r="I3237" s="7">
        <v>9</v>
      </c>
      <c r="J3237" s="7">
        <f t="shared" si="3349"/>
        <v>50</v>
      </c>
      <c r="K3237" s="7" t="s">
        <v>309</v>
      </c>
      <c r="L3237" s="7">
        <v>26</v>
      </c>
      <c r="M3237" s="7">
        <f>IF(INDEX([1]equip.xml!$B:$B,MATCH(D3237&amp;"",[1]equip.xml!$A:$A,0))=0,0,N3237)</f>
        <v>0</v>
      </c>
      <c r="N3237" s="7">
        <f t="shared" ref="N3237" si="3381">N3149</f>
        <v>65</v>
      </c>
    </row>
    <row r="3238" spans="1:14">
      <c r="A3238" s="7">
        <f t="shared" si="3367"/>
        <v>20009</v>
      </c>
      <c r="B3238" s="7">
        <f t="shared" ref="B3238:C3238" si="3382">B3150</f>
        <v>40000</v>
      </c>
      <c r="C3238" s="7" t="str">
        <f t="shared" si="3382"/>
        <v>装备</v>
      </c>
      <c r="D3238" s="7">
        <v>40250040</v>
      </c>
      <c r="E3238" s="7"/>
      <c r="F3238" s="7">
        <v>1</v>
      </c>
      <c r="G3238" s="7">
        <f>3*INDEX([1]equip.xml!$I:$I,MATCH(D3238&amp;"",[1]equip.xml!$A:$A,0))</f>
        <v>75000</v>
      </c>
      <c r="H3238" s="7" t="str">
        <f t="shared" ref="H3238:J3253" si="3383">H3150</f>
        <v>10_10,50_20,80_30</v>
      </c>
      <c r="I3238" s="7">
        <v>9</v>
      </c>
      <c r="J3238" s="7">
        <f t="shared" si="3383"/>
        <v>50</v>
      </c>
      <c r="K3238" s="7" t="s">
        <v>309</v>
      </c>
      <c r="L3238" s="7">
        <v>26</v>
      </c>
      <c r="M3238" s="7">
        <f>IF(INDEX([1]equip.xml!$B:$B,MATCH(D3238&amp;"",[1]equip.xml!$A:$A,0))=0,0,N3238)</f>
        <v>65</v>
      </c>
      <c r="N3238" s="7">
        <f t="shared" ref="N3238" si="3384">N3150</f>
        <v>65</v>
      </c>
    </row>
    <row r="3239" spans="1:14">
      <c r="A3239" s="7">
        <f t="shared" si="3367"/>
        <v>20009</v>
      </c>
      <c r="B3239" s="7">
        <f t="shared" ref="B3239:C3239" si="3385">B3151</f>
        <v>40000</v>
      </c>
      <c r="C3239" s="7" t="str">
        <f t="shared" si="3385"/>
        <v>装备</v>
      </c>
      <c r="D3239" s="7">
        <v>40250041</v>
      </c>
      <c r="E3239" s="7"/>
      <c r="F3239" s="7">
        <v>1</v>
      </c>
      <c r="G3239" s="7">
        <f>3*INDEX([1]equip.xml!$I:$I,MATCH(D3239&amp;"",[1]equip.xml!$A:$A,0))</f>
        <v>84000</v>
      </c>
      <c r="H3239" s="7" t="str">
        <f t="shared" si="3383"/>
        <v>10_10,50_20,80_30</v>
      </c>
      <c r="I3239" s="7">
        <v>9</v>
      </c>
      <c r="J3239" s="7">
        <f t="shared" si="3383"/>
        <v>50</v>
      </c>
      <c r="K3239" s="7" t="s">
        <v>309</v>
      </c>
      <c r="L3239" s="7">
        <v>26</v>
      </c>
      <c r="M3239" s="7">
        <f>IF(INDEX([1]equip.xml!$B:$B,MATCH(D3239&amp;"",[1]equip.xml!$A:$A,0))=0,0,N3239)</f>
        <v>0</v>
      </c>
      <c r="N3239" s="7">
        <f t="shared" ref="N3239" si="3386">N3151</f>
        <v>65</v>
      </c>
    </row>
    <row r="3240" spans="1:14">
      <c r="A3240" s="7">
        <f t="shared" si="3367"/>
        <v>20009</v>
      </c>
      <c r="B3240" s="7">
        <f t="shared" ref="B3240:C3240" si="3387">B3152</f>
        <v>40000</v>
      </c>
      <c r="C3240" s="7" t="str">
        <f t="shared" si="3387"/>
        <v>装备</v>
      </c>
      <c r="D3240" s="7">
        <v>40250070</v>
      </c>
      <c r="E3240" s="7"/>
      <c r="F3240" s="7">
        <v>1</v>
      </c>
      <c r="G3240" s="7">
        <f>3*INDEX([1]equip.xml!$I:$I,MATCH(D3240&amp;"",[1]equip.xml!$A:$A,0))</f>
        <v>75000</v>
      </c>
      <c r="H3240" s="7" t="str">
        <f t="shared" si="3383"/>
        <v>10_10,50_20,80_30</v>
      </c>
      <c r="I3240" s="7">
        <v>9</v>
      </c>
      <c r="J3240" s="7">
        <f t="shared" si="3383"/>
        <v>50</v>
      </c>
      <c r="K3240" s="7" t="s">
        <v>309</v>
      </c>
      <c r="L3240" s="7">
        <v>26</v>
      </c>
      <c r="M3240" s="7">
        <f>IF(INDEX([1]equip.xml!$B:$B,MATCH(D3240&amp;"",[1]equip.xml!$A:$A,0))=0,0,N3240)</f>
        <v>65</v>
      </c>
      <c r="N3240" s="7">
        <f t="shared" ref="N3240" si="3388">N3152</f>
        <v>65</v>
      </c>
    </row>
    <row r="3241" spans="1:14">
      <c r="A3241" s="7">
        <f t="shared" si="3367"/>
        <v>20009</v>
      </c>
      <c r="B3241" s="7">
        <f t="shared" ref="B3241:C3241" si="3389">B3153</f>
        <v>40000</v>
      </c>
      <c r="C3241" s="7" t="str">
        <f t="shared" si="3389"/>
        <v>装备</v>
      </c>
      <c r="D3241" s="7">
        <v>40250071</v>
      </c>
      <c r="E3241" s="7"/>
      <c r="F3241" s="7">
        <v>1</v>
      </c>
      <c r="G3241" s="7">
        <f>3*INDEX([1]equip.xml!$I:$I,MATCH(D3241&amp;"",[1]equip.xml!$A:$A,0))</f>
        <v>84000</v>
      </c>
      <c r="H3241" s="7" t="str">
        <f t="shared" si="3383"/>
        <v>10_10,50_20,80_30</v>
      </c>
      <c r="I3241" s="7">
        <v>9</v>
      </c>
      <c r="J3241" s="7">
        <f t="shared" si="3383"/>
        <v>50</v>
      </c>
      <c r="K3241" s="7" t="s">
        <v>309</v>
      </c>
      <c r="L3241" s="7">
        <v>26</v>
      </c>
      <c r="M3241" s="7">
        <f>IF(INDEX([1]equip.xml!$B:$B,MATCH(D3241&amp;"",[1]equip.xml!$A:$A,0))=0,0,N3241)</f>
        <v>0</v>
      </c>
      <c r="N3241" s="7">
        <f t="shared" ref="N3241" si="3390">N3153</f>
        <v>65</v>
      </c>
    </row>
    <row r="3242" spans="1:14">
      <c r="A3242" s="7">
        <f t="shared" si="3367"/>
        <v>20009</v>
      </c>
      <c r="B3242" s="7">
        <f t="shared" ref="B3242:C3242" si="3391">B3154</f>
        <v>40000</v>
      </c>
      <c r="C3242" s="7" t="str">
        <f t="shared" si="3391"/>
        <v>装备</v>
      </c>
      <c r="D3242" s="7">
        <v>50200015</v>
      </c>
      <c r="E3242" s="7"/>
      <c r="F3242" s="7">
        <v>1</v>
      </c>
      <c r="G3242" s="8">
        <f>3*INDEX([1]equip.xml!$I:$I,MATCH(D3242,[1]equip.xml!$A:$A,0))</f>
        <v>120000</v>
      </c>
      <c r="H3242" s="7" t="str">
        <f t="shared" si="3383"/>
        <v>10_10,50_20,80_30</v>
      </c>
      <c r="I3242" s="7">
        <v>9</v>
      </c>
      <c r="J3242" s="7">
        <f t="shared" si="3383"/>
        <v>240</v>
      </c>
      <c r="K3242" s="7" t="s">
        <v>309</v>
      </c>
      <c r="L3242" s="7">
        <v>26</v>
      </c>
      <c r="M3242" s="7">
        <f>IF(INDEX([1]equip.xml!$B:$B,MATCH(D3242,[1]equip.xml!$A:$A,0))=0,0,N3242)</f>
        <v>130</v>
      </c>
      <c r="N3242" s="7">
        <f t="shared" ref="N3242" si="3392">N3154</f>
        <v>130</v>
      </c>
    </row>
    <row r="3243" spans="1:14">
      <c r="A3243" s="7">
        <f t="shared" si="3367"/>
        <v>20009</v>
      </c>
      <c r="B3243" s="7">
        <f t="shared" ref="B3243:C3243" si="3393">B3155</f>
        <v>40000</v>
      </c>
      <c r="C3243" s="7" t="str">
        <f t="shared" si="3393"/>
        <v>装备</v>
      </c>
      <c r="D3243" s="7">
        <v>50200025</v>
      </c>
      <c r="E3243" s="7"/>
      <c r="F3243" s="7">
        <v>1</v>
      </c>
      <c r="G3243" s="8">
        <f>3*INDEX([1]equip.xml!$I:$I,MATCH(D3243,[1]equip.xml!$A:$A,0))</f>
        <v>120000</v>
      </c>
      <c r="H3243" s="7" t="str">
        <f t="shared" si="3383"/>
        <v>10_10,50_20,80_30</v>
      </c>
      <c r="I3243" s="7">
        <v>9</v>
      </c>
      <c r="J3243" s="7">
        <f t="shared" si="3383"/>
        <v>240</v>
      </c>
      <c r="K3243" s="7" t="s">
        <v>309</v>
      </c>
      <c r="L3243" s="7">
        <v>26</v>
      </c>
      <c r="M3243" s="7">
        <f>IF(INDEX([1]equip.xml!$B:$B,MATCH(D3243,[1]equip.xml!$A:$A,0))=0,0,N3243)</f>
        <v>130</v>
      </c>
      <c r="N3243" s="7">
        <f t="shared" ref="N3243" si="3394">N3155</f>
        <v>130</v>
      </c>
    </row>
    <row r="3244" spans="1:14">
      <c r="A3244" s="7">
        <f t="shared" si="3367"/>
        <v>20009</v>
      </c>
      <c r="B3244" s="7">
        <f t="shared" ref="B3244:C3244" si="3395">B3156</f>
        <v>40000</v>
      </c>
      <c r="C3244" s="7" t="str">
        <f t="shared" si="3395"/>
        <v>装备</v>
      </c>
      <c r="D3244" s="7">
        <v>50200035</v>
      </c>
      <c r="E3244" s="7"/>
      <c r="F3244" s="7">
        <v>1</v>
      </c>
      <c r="G3244" s="8">
        <f>3*INDEX([1]equip.xml!$I:$I,MATCH(D3244,[1]equip.xml!$A:$A,0))</f>
        <v>120000</v>
      </c>
      <c r="H3244" s="7" t="str">
        <f t="shared" si="3383"/>
        <v>10_10,50_20,80_30</v>
      </c>
      <c r="I3244" s="7">
        <v>9</v>
      </c>
      <c r="J3244" s="7">
        <f t="shared" si="3383"/>
        <v>240</v>
      </c>
      <c r="K3244" s="7" t="s">
        <v>309</v>
      </c>
      <c r="L3244" s="7">
        <v>26</v>
      </c>
      <c r="M3244" s="7">
        <f>IF(INDEX([1]equip.xml!$B:$B,MATCH(D3244,[1]equip.xml!$A:$A,0))=0,0,N3244)</f>
        <v>130</v>
      </c>
      <c r="N3244" s="7">
        <f t="shared" ref="N3244" si="3396">N3156</f>
        <v>130</v>
      </c>
    </row>
    <row r="3245" spans="1:14">
      <c r="A3245" s="7">
        <f t="shared" si="3367"/>
        <v>20009</v>
      </c>
      <c r="B3245" s="7">
        <f t="shared" ref="B3245:C3245" si="3397">B3157</f>
        <v>40000</v>
      </c>
      <c r="C3245" s="7" t="str">
        <f t="shared" si="3397"/>
        <v>装备</v>
      </c>
      <c r="D3245" s="7">
        <v>50200085</v>
      </c>
      <c r="E3245" s="7"/>
      <c r="F3245" s="7">
        <v>1</v>
      </c>
      <c r="G3245" s="8">
        <f>3*INDEX([1]equip.xml!$I:$I,MATCH(D3245,[1]equip.xml!$A:$A,0))</f>
        <v>120000</v>
      </c>
      <c r="H3245" s="7" t="str">
        <f t="shared" si="3383"/>
        <v>10_10,50_20,80_30</v>
      </c>
      <c r="I3245" s="7">
        <v>9</v>
      </c>
      <c r="J3245" s="7">
        <f t="shared" si="3383"/>
        <v>240</v>
      </c>
      <c r="K3245" s="7" t="s">
        <v>309</v>
      </c>
      <c r="L3245" s="7">
        <v>26</v>
      </c>
      <c r="M3245" s="7">
        <f>IF(INDEX([1]equip.xml!$B:$B,MATCH(D3245,[1]equip.xml!$A:$A,0))=0,0,N3245)</f>
        <v>130</v>
      </c>
      <c r="N3245" s="7">
        <f t="shared" ref="N3245" si="3398">N3157</f>
        <v>130</v>
      </c>
    </row>
    <row r="3246" spans="1:14">
      <c r="A3246" s="7">
        <f t="shared" si="3367"/>
        <v>20009</v>
      </c>
      <c r="B3246" s="7">
        <f t="shared" ref="B3246:C3246" si="3399">B3158</f>
        <v>40000</v>
      </c>
      <c r="C3246" s="7" t="str">
        <f t="shared" si="3399"/>
        <v>装备</v>
      </c>
      <c r="D3246" s="7">
        <v>50200095</v>
      </c>
      <c r="E3246" s="7"/>
      <c r="F3246" s="7">
        <v>1</v>
      </c>
      <c r="G3246" s="8">
        <f>3*INDEX([1]equip.xml!$I:$I,MATCH(D3246,[1]equip.xml!$A:$A,0))</f>
        <v>120000</v>
      </c>
      <c r="H3246" s="7" t="str">
        <f t="shared" si="3383"/>
        <v>10_10,50_20,80_30</v>
      </c>
      <c r="I3246" s="7">
        <v>9</v>
      </c>
      <c r="J3246" s="7">
        <f t="shared" si="3383"/>
        <v>240</v>
      </c>
      <c r="K3246" s="7" t="s">
        <v>309</v>
      </c>
      <c r="L3246" s="7">
        <v>26</v>
      </c>
      <c r="M3246" s="7">
        <f>IF(INDEX([1]equip.xml!$B:$B,MATCH(D3246,[1]equip.xml!$A:$A,0))=0,0,N3246)</f>
        <v>130</v>
      </c>
      <c r="N3246" s="7">
        <f t="shared" ref="N3246" si="3400">N3158</f>
        <v>130</v>
      </c>
    </row>
    <row r="3247" spans="1:14">
      <c r="A3247" s="7">
        <f t="shared" si="3367"/>
        <v>20009</v>
      </c>
      <c r="B3247" s="7">
        <f t="shared" ref="B3247:C3247" si="3401">B3159</f>
        <v>40000</v>
      </c>
      <c r="C3247" s="7" t="str">
        <f t="shared" si="3401"/>
        <v>装备</v>
      </c>
      <c r="D3247" s="7">
        <v>50200105</v>
      </c>
      <c r="E3247" s="7"/>
      <c r="F3247" s="7">
        <v>1</v>
      </c>
      <c r="G3247" s="8">
        <f>3*INDEX([1]equip.xml!$I:$I,MATCH(D3247,[1]equip.xml!$A:$A,0))</f>
        <v>120000</v>
      </c>
      <c r="H3247" s="7" t="str">
        <f t="shared" si="3383"/>
        <v>10_10,50_20,80_30</v>
      </c>
      <c r="I3247" s="7">
        <v>9</v>
      </c>
      <c r="J3247" s="7">
        <f t="shared" si="3383"/>
        <v>240</v>
      </c>
      <c r="K3247" s="7" t="s">
        <v>309</v>
      </c>
      <c r="L3247" s="7">
        <v>26</v>
      </c>
      <c r="M3247" s="7">
        <f>IF(INDEX([1]equip.xml!$B:$B,MATCH(D3247,[1]equip.xml!$A:$A,0))=0,0,N3247)</f>
        <v>130</v>
      </c>
      <c r="N3247" s="7">
        <f t="shared" ref="N3247" si="3402">N3159</f>
        <v>130</v>
      </c>
    </row>
    <row r="3248" spans="1:14">
      <c r="A3248" s="7">
        <f t="shared" si="3367"/>
        <v>20009</v>
      </c>
      <c r="B3248" s="7">
        <f t="shared" ref="B3248:C3248" si="3403">B3160</f>
        <v>40000</v>
      </c>
      <c r="C3248" s="7" t="str">
        <f t="shared" si="3403"/>
        <v>装备</v>
      </c>
      <c r="D3248" s="7">
        <v>50201055</v>
      </c>
      <c r="E3248" s="7"/>
      <c r="F3248" s="7">
        <v>1</v>
      </c>
      <c r="G3248" s="8">
        <f>3*INDEX([1]equip.xml!$I:$I,MATCH(D3248,[1]equip.xml!$A:$A,0))</f>
        <v>120000</v>
      </c>
      <c r="H3248" s="7" t="str">
        <f t="shared" si="3383"/>
        <v>10_10,50_20,80_30</v>
      </c>
      <c r="I3248" s="7">
        <v>9</v>
      </c>
      <c r="J3248" s="7">
        <f t="shared" si="3383"/>
        <v>240</v>
      </c>
      <c r="K3248" s="7" t="s">
        <v>309</v>
      </c>
      <c r="L3248" s="7">
        <v>26</v>
      </c>
      <c r="M3248" s="7">
        <f>IF(INDEX([1]equip.xml!$B:$B,MATCH(D3248,[1]equip.xml!$A:$A,0))=0,0,N3248)</f>
        <v>130</v>
      </c>
      <c r="N3248" s="7">
        <f t="shared" ref="N3248" si="3404">N3160</f>
        <v>130</v>
      </c>
    </row>
    <row r="3249" spans="1:14">
      <c r="A3249" s="7">
        <f t="shared" si="3367"/>
        <v>20009</v>
      </c>
      <c r="B3249" s="7">
        <f t="shared" ref="B3249:C3249" si="3405">B3161</f>
        <v>40000</v>
      </c>
      <c r="C3249" s="7" t="str">
        <f t="shared" si="3405"/>
        <v>装备</v>
      </c>
      <c r="D3249" s="7">
        <v>50201056</v>
      </c>
      <c r="E3249" s="7"/>
      <c r="F3249" s="7">
        <v>1</v>
      </c>
      <c r="G3249" s="8">
        <f>3*INDEX([1]equip.xml!$I:$I,MATCH(D3249,[1]equip.xml!$A:$A,0))</f>
        <v>138000</v>
      </c>
      <c r="H3249" s="7" t="str">
        <f t="shared" si="3383"/>
        <v>10_10,50_20,80_30</v>
      </c>
      <c r="I3249" s="7">
        <v>9</v>
      </c>
      <c r="J3249" s="7">
        <f t="shared" si="3383"/>
        <v>240</v>
      </c>
      <c r="K3249" s="7" t="s">
        <v>309</v>
      </c>
      <c r="L3249" s="7">
        <v>26</v>
      </c>
      <c r="M3249" s="7">
        <f>IF(INDEX([1]equip.xml!$B:$B,MATCH(D3249,[1]equip.xml!$A:$A,0))=0,0,N3249)</f>
        <v>0</v>
      </c>
      <c r="N3249" s="7">
        <f t="shared" ref="N3249" si="3406">N3161</f>
        <v>130</v>
      </c>
    </row>
    <row r="3250" spans="1:14">
      <c r="A3250" s="7">
        <f t="shared" si="3367"/>
        <v>20009</v>
      </c>
      <c r="B3250" s="7">
        <f t="shared" ref="B3250:C3250" si="3407">B3162</f>
        <v>40000</v>
      </c>
      <c r="C3250" s="7" t="str">
        <f t="shared" si="3407"/>
        <v>装备</v>
      </c>
      <c r="D3250" s="7">
        <v>50201065</v>
      </c>
      <c r="E3250" s="7"/>
      <c r="F3250" s="7">
        <v>1</v>
      </c>
      <c r="G3250" s="8">
        <f>3*INDEX([1]equip.xml!$I:$I,MATCH(D3250,[1]equip.xml!$A:$A,0))</f>
        <v>120000</v>
      </c>
      <c r="H3250" s="7" t="str">
        <f t="shared" si="3383"/>
        <v>10_10,50_20,80_30</v>
      </c>
      <c r="I3250" s="7">
        <v>9</v>
      </c>
      <c r="J3250" s="7">
        <f t="shared" si="3383"/>
        <v>240</v>
      </c>
      <c r="K3250" s="7" t="s">
        <v>309</v>
      </c>
      <c r="L3250" s="7">
        <v>26</v>
      </c>
      <c r="M3250" s="7">
        <f>IF(INDEX([1]equip.xml!$B:$B,MATCH(D3250,[1]equip.xml!$A:$A,0))=0,0,N3250)</f>
        <v>130</v>
      </c>
      <c r="N3250" s="7">
        <f t="shared" ref="N3250" si="3408">N3162</f>
        <v>130</v>
      </c>
    </row>
    <row r="3251" spans="1:14">
      <c r="A3251" s="7">
        <f t="shared" si="3367"/>
        <v>20009</v>
      </c>
      <c r="B3251" s="7">
        <f t="shared" ref="B3251:C3251" si="3409">B3163</f>
        <v>40000</v>
      </c>
      <c r="C3251" s="7" t="str">
        <f t="shared" si="3409"/>
        <v>装备</v>
      </c>
      <c r="D3251" s="7">
        <v>50201066</v>
      </c>
      <c r="E3251" s="7"/>
      <c r="F3251" s="7">
        <v>1</v>
      </c>
      <c r="G3251" s="8">
        <f>3*INDEX([1]equip.xml!$I:$I,MATCH(D3251,[1]equip.xml!$A:$A,0))</f>
        <v>138000</v>
      </c>
      <c r="H3251" s="7" t="str">
        <f t="shared" si="3383"/>
        <v>10_10,50_20,80_30</v>
      </c>
      <c r="I3251" s="7">
        <v>9</v>
      </c>
      <c r="J3251" s="7">
        <f t="shared" si="3383"/>
        <v>240</v>
      </c>
      <c r="K3251" s="7" t="s">
        <v>309</v>
      </c>
      <c r="L3251" s="7">
        <v>26</v>
      </c>
      <c r="M3251" s="7">
        <f>IF(INDEX([1]equip.xml!$B:$B,MATCH(D3251,[1]equip.xml!$A:$A,0))=0,0,N3251)</f>
        <v>0</v>
      </c>
      <c r="N3251" s="7">
        <f t="shared" ref="N3251" si="3410">N3163</f>
        <v>130</v>
      </c>
    </row>
    <row r="3252" spans="1:14">
      <c r="A3252" s="7">
        <f t="shared" si="3367"/>
        <v>20009</v>
      </c>
      <c r="B3252" s="7">
        <f t="shared" ref="B3252:C3252" si="3411">B3164</f>
        <v>40000</v>
      </c>
      <c r="C3252" s="7" t="str">
        <f t="shared" si="3411"/>
        <v>装备</v>
      </c>
      <c r="D3252" s="7">
        <v>50202055</v>
      </c>
      <c r="E3252" s="7"/>
      <c r="F3252" s="7">
        <v>1</v>
      </c>
      <c r="G3252" s="8">
        <f>3*INDEX([1]equip.xml!$I:$I,MATCH(D3252,[1]equip.xml!$A:$A,0))</f>
        <v>120000</v>
      </c>
      <c r="H3252" s="7" t="str">
        <f t="shared" si="3383"/>
        <v>10_10,50_20,80_30</v>
      </c>
      <c r="I3252" s="7">
        <v>9</v>
      </c>
      <c r="J3252" s="7">
        <f t="shared" si="3383"/>
        <v>240</v>
      </c>
      <c r="K3252" s="7" t="s">
        <v>309</v>
      </c>
      <c r="L3252" s="7">
        <v>26</v>
      </c>
      <c r="M3252" s="7">
        <f>IF(INDEX([1]equip.xml!$B:$B,MATCH(D3252,[1]equip.xml!$A:$A,0))=0,0,N3252)</f>
        <v>130</v>
      </c>
      <c r="N3252" s="7">
        <f t="shared" ref="N3252" si="3412">N3164</f>
        <v>130</v>
      </c>
    </row>
    <row r="3253" spans="1:14">
      <c r="A3253" s="7">
        <f t="shared" si="3367"/>
        <v>20009</v>
      </c>
      <c r="B3253" s="7">
        <f t="shared" ref="B3253:C3253" si="3413">B3165</f>
        <v>40000</v>
      </c>
      <c r="C3253" s="7" t="str">
        <f t="shared" si="3413"/>
        <v>装备</v>
      </c>
      <c r="D3253" s="7">
        <v>50202056</v>
      </c>
      <c r="E3253" s="7"/>
      <c r="F3253" s="7">
        <v>1</v>
      </c>
      <c r="G3253" s="8">
        <f>3*INDEX([1]equip.xml!$I:$I,MATCH(D3253,[1]equip.xml!$A:$A,0))</f>
        <v>138000</v>
      </c>
      <c r="H3253" s="7" t="str">
        <f t="shared" si="3383"/>
        <v>10_10,50_20,80_30</v>
      </c>
      <c r="I3253" s="7">
        <v>9</v>
      </c>
      <c r="J3253" s="7">
        <f t="shared" si="3383"/>
        <v>240</v>
      </c>
      <c r="K3253" s="7" t="s">
        <v>309</v>
      </c>
      <c r="L3253" s="7">
        <v>26</v>
      </c>
      <c r="M3253" s="7">
        <f>IF(INDEX([1]equip.xml!$B:$B,MATCH(D3253,[1]equip.xml!$A:$A,0))=0,0,N3253)</f>
        <v>0</v>
      </c>
      <c r="N3253" s="7">
        <f t="shared" ref="N3253" si="3414">N3165</f>
        <v>130</v>
      </c>
    </row>
    <row r="3254" spans="1:14">
      <c r="A3254" s="7">
        <f t="shared" si="3367"/>
        <v>20009</v>
      </c>
      <c r="B3254" s="7">
        <f t="shared" ref="B3254:C3254" si="3415">B3166</f>
        <v>40000</v>
      </c>
      <c r="C3254" s="7" t="str">
        <f t="shared" si="3415"/>
        <v>装备</v>
      </c>
      <c r="D3254" s="7">
        <v>50202065</v>
      </c>
      <c r="E3254" s="7"/>
      <c r="F3254" s="7">
        <v>1</v>
      </c>
      <c r="G3254" s="8">
        <f>3*INDEX([1]equip.xml!$I:$I,MATCH(D3254,[1]equip.xml!$A:$A,0))</f>
        <v>120000</v>
      </c>
      <c r="H3254" s="7" t="str">
        <f t="shared" ref="H3254:J3269" si="3416">H3166</f>
        <v>10_10,50_20,80_30</v>
      </c>
      <c r="I3254" s="7">
        <v>9</v>
      </c>
      <c r="J3254" s="7">
        <f t="shared" si="3416"/>
        <v>240</v>
      </c>
      <c r="K3254" s="7" t="s">
        <v>309</v>
      </c>
      <c r="L3254" s="7">
        <v>26</v>
      </c>
      <c r="M3254" s="7">
        <f>IF(INDEX([1]equip.xml!$B:$B,MATCH(D3254,[1]equip.xml!$A:$A,0))=0,0,N3254)</f>
        <v>130</v>
      </c>
      <c r="N3254" s="7">
        <f t="shared" ref="N3254" si="3417">N3166</f>
        <v>130</v>
      </c>
    </row>
    <row r="3255" spans="1:14">
      <c r="A3255" s="7">
        <f t="shared" si="3367"/>
        <v>20009</v>
      </c>
      <c r="B3255" s="7">
        <f t="shared" ref="B3255:C3255" si="3418">B3167</f>
        <v>40000</v>
      </c>
      <c r="C3255" s="7" t="str">
        <f t="shared" si="3418"/>
        <v>装备</v>
      </c>
      <c r="D3255" s="7">
        <v>50202066</v>
      </c>
      <c r="E3255" s="7"/>
      <c r="F3255" s="7">
        <v>1</v>
      </c>
      <c r="G3255" s="8">
        <f>3*INDEX([1]equip.xml!$I:$I,MATCH(D3255,[1]equip.xml!$A:$A,0))</f>
        <v>138000</v>
      </c>
      <c r="H3255" s="7" t="str">
        <f t="shared" si="3416"/>
        <v>10_10,50_20,80_30</v>
      </c>
      <c r="I3255" s="7">
        <v>9</v>
      </c>
      <c r="J3255" s="7">
        <f t="shared" si="3416"/>
        <v>240</v>
      </c>
      <c r="K3255" s="7" t="s">
        <v>309</v>
      </c>
      <c r="L3255" s="7">
        <v>26</v>
      </c>
      <c r="M3255" s="7">
        <f>IF(INDEX([1]equip.xml!$B:$B,MATCH(D3255,[1]equip.xml!$A:$A,0))=0,0,N3255)</f>
        <v>0</v>
      </c>
      <c r="N3255" s="7">
        <f t="shared" ref="N3255" si="3419">N3167</f>
        <v>130</v>
      </c>
    </row>
    <row r="3256" spans="1:14">
      <c r="A3256" s="7">
        <f t="shared" si="3367"/>
        <v>20009</v>
      </c>
      <c r="B3256" s="7">
        <f t="shared" ref="B3256:C3256" si="3420">B3168</f>
        <v>40000</v>
      </c>
      <c r="C3256" s="7" t="str">
        <f t="shared" si="3420"/>
        <v>装备</v>
      </c>
      <c r="D3256" s="7">
        <v>50203055</v>
      </c>
      <c r="E3256" s="7"/>
      <c r="F3256" s="7">
        <v>1</v>
      </c>
      <c r="G3256" s="8">
        <f>3*INDEX([1]equip.xml!$I:$I,MATCH(D3256,[1]equip.xml!$A:$A,0))</f>
        <v>120000</v>
      </c>
      <c r="H3256" s="7" t="str">
        <f t="shared" si="3416"/>
        <v>10_10,50_20,80_30</v>
      </c>
      <c r="I3256" s="7">
        <v>9</v>
      </c>
      <c r="J3256" s="7">
        <f t="shared" si="3416"/>
        <v>240</v>
      </c>
      <c r="K3256" s="7" t="s">
        <v>309</v>
      </c>
      <c r="L3256" s="7">
        <v>26</v>
      </c>
      <c r="M3256" s="7">
        <f>IF(INDEX([1]equip.xml!$B:$B,MATCH(D3256,[1]equip.xml!$A:$A,0))=0,0,N3256)</f>
        <v>130</v>
      </c>
      <c r="N3256" s="7">
        <f t="shared" ref="N3256" si="3421">N3168</f>
        <v>130</v>
      </c>
    </row>
    <row r="3257" spans="1:14">
      <c r="A3257" s="7">
        <f t="shared" si="3367"/>
        <v>20009</v>
      </c>
      <c r="B3257" s="7">
        <f t="shared" ref="B3257:C3257" si="3422">B3169</f>
        <v>40000</v>
      </c>
      <c r="C3257" s="7" t="str">
        <f t="shared" si="3422"/>
        <v>装备</v>
      </c>
      <c r="D3257" s="7">
        <v>50203056</v>
      </c>
      <c r="E3257" s="7"/>
      <c r="F3257" s="7">
        <v>1</v>
      </c>
      <c r="G3257" s="8">
        <f>3*INDEX([1]equip.xml!$I:$I,MATCH(D3257,[1]equip.xml!$A:$A,0))</f>
        <v>138000</v>
      </c>
      <c r="H3257" s="7" t="str">
        <f t="shared" si="3416"/>
        <v>10_10,50_20,80_30</v>
      </c>
      <c r="I3257" s="7">
        <v>9</v>
      </c>
      <c r="J3257" s="7">
        <f t="shared" si="3416"/>
        <v>240</v>
      </c>
      <c r="K3257" s="7" t="s">
        <v>309</v>
      </c>
      <c r="L3257" s="7">
        <v>26</v>
      </c>
      <c r="M3257" s="7">
        <f>IF(INDEX([1]equip.xml!$B:$B,MATCH(D3257,[1]equip.xml!$A:$A,0))=0,0,N3257)</f>
        <v>130</v>
      </c>
      <c r="N3257" s="7">
        <f t="shared" ref="N3257" si="3423">N3169</f>
        <v>130</v>
      </c>
    </row>
    <row r="3258" spans="1:14">
      <c r="A3258" s="7">
        <f t="shared" si="3367"/>
        <v>20009</v>
      </c>
      <c r="B3258" s="7">
        <f t="shared" ref="B3258:C3258" si="3424">B3170</f>
        <v>40000</v>
      </c>
      <c r="C3258" s="7" t="str">
        <f t="shared" si="3424"/>
        <v>装备</v>
      </c>
      <c r="D3258" s="7">
        <v>50203065</v>
      </c>
      <c r="E3258" s="7"/>
      <c r="F3258" s="7">
        <v>1</v>
      </c>
      <c r="G3258" s="8">
        <f>3*INDEX([1]equip.xml!$I:$I,MATCH(D3258,[1]equip.xml!$A:$A,0))</f>
        <v>120000</v>
      </c>
      <c r="H3258" s="7" t="str">
        <f t="shared" si="3416"/>
        <v>10_10,50_20,80_30</v>
      </c>
      <c r="I3258" s="7">
        <v>9</v>
      </c>
      <c r="J3258" s="7">
        <f t="shared" si="3416"/>
        <v>240</v>
      </c>
      <c r="K3258" s="7" t="s">
        <v>309</v>
      </c>
      <c r="L3258" s="7">
        <v>26</v>
      </c>
      <c r="M3258" s="7">
        <f>IF(INDEX([1]equip.xml!$B:$B,MATCH(D3258,[1]equip.xml!$A:$A,0))=0,0,N3258)</f>
        <v>130</v>
      </c>
      <c r="N3258" s="7">
        <f t="shared" ref="N3258" si="3425">N3170</f>
        <v>130</v>
      </c>
    </row>
    <row r="3259" spans="1:14">
      <c r="A3259" s="7">
        <f t="shared" si="3367"/>
        <v>20009</v>
      </c>
      <c r="B3259" s="7">
        <f t="shared" ref="B3259:C3259" si="3426">B3171</f>
        <v>40000</v>
      </c>
      <c r="C3259" s="7" t="str">
        <f t="shared" si="3426"/>
        <v>装备</v>
      </c>
      <c r="D3259" s="7">
        <v>50203066</v>
      </c>
      <c r="E3259" s="7"/>
      <c r="F3259" s="7">
        <v>1</v>
      </c>
      <c r="G3259" s="8">
        <f>3*INDEX([1]equip.xml!$I:$I,MATCH(D3259,[1]equip.xml!$A:$A,0))</f>
        <v>138000</v>
      </c>
      <c r="H3259" s="7" t="str">
        <f t="shared" si="3416"/>
        <v>10_10,50_20,80_30</v>
      </c>
      <c r="I3259" s="7">
        <v>9</v>
      </c>
      <c r="J3259" s="7">
        <f t="shared" si="3416"/>
        <v>240</v>
      </c>
      <c r="K3259" s="7" t="s">
        <v>309</v>
      </c>
      <c r="L3259" s="7">
        <v>26</v>
      </c>
      <c r="M3259" s="7">
        <f>IF(INDEX([1]equip.xml!$B:$B,MATCH(D3259,[1]equip.xml!$A:$A,0))=0,0,N3259)</f>
        <v>0</v>
      </c>
      <c r="N3259" s="7">
        <f t="shared" ref="N3259" si="3427">N3171</f>
        <v>130</v>
      </c>
    </row>
    <row r="3260" spans="1:14">
      <c r="A3260" s="7">
        <f t="shared" si="3367"/>
        <v>20009</v>
      </c>
      <c r="B3260" s="7">
        <f t="shared" ref="B3260:C3260" si="3428">B3172</f>
        <v>40000</v>
      </c>
      <c r="C3260" s="7" t="str">
        <f t="shared" si="3428"/>
        <v>装备</v>
      </c>
      <c r="D3260" s="7">
        <v>50200045</v>
      </c>
      <c r="E3260" s="7"/>
      <c r="F3260" s="7">
        <v>1</v>
      </c>
      <c r="G3260" s="8">
        <f>3*INDEX([1]equip.xml!$I:$I,MATCH(D3260,[1]equip.xml!$A:$A,0))</f>
        <v>120000</v>
      </c>
      <c r="H3260" s="7" t="str">
        <f t="shared" si="3416"/>
        <v>10_10,50_20,80_30</v>
      </c>
      <c r="I3260" s="7">
        <v>9</v>
      </c>
      <c r="J3260" s="7">
        <f t="shared" si="3416"/>
        <v>240</v>
      </c>
      <c r="K3260" s="7" t="s">
        <v>309</v>
      </c>
      <c r="L3260" s="7">
        <v>26</v>
      </c>
      <c r="M3260" s="7">
        <f>IF(INDEX([1]equip.xml!$B:$B,MATCH(D3260,[1]equip.xml!$A:$A,0))=0,0,N3260)</f>
        <v>130</v>
      </c>
      <c r="N3260" s="7">
        <f t="shared" ref="N3260" si="3429">N3172</f>
        <v>130</v>
      </c>
    </row>
    <row r="3261" spans="1:14">
      <c r="A3261" s="7">
        <f t="shared" si="3367"/>
        <v>20009</v>
      </c>
      <c r="B3261" s="7">
        <f t="shared" ref="B3261:C3261" si="3430">B3173</f>
        <v>40000</v>
      </c>
      <c r="C3261" s="7" t="str">
        <f t="shared" si="3430"/>
        <v>装备</v>
      </c>
      <c r="D3261" s="7">
        <v>50200046</v>
      </c>
      <c r="E3261" s="7"/>
      <c r="F3261" s="7">
        <v>1</v>
      </c>
      <c r="G3261" s="8">
        <f>3*INDEX([1]equip.xml!$I:$I,MATCH(D3261,[1]equip.xml!$A:$A,0))</f>
        <v>138000</v>
      </c>
      <c r="H3261" s="7" t="str">
        <f t="shared" si="3416"/>
        <v>10_10,50_20,80_30</v>
      </c>
      <c r="I3261" s="7">
        <v>9</v>
      </c>
      <c r="J3261" s="7">
        <f t="shared" si="3416"/>
        <v>240</v>
      </c>
      <c r="K3261" s="7" t="s">
        <v>309</v>
      </c>
      <c r="L3261" s="7">
        <v>26</v>
      </c>
      <c r="M3261" s="7">
        <f>IF(INDEX([1]equip.xml!$B:$B,MATCH(D3261,[1]equip.xml!$A:$A,0))=0,0,N3261)</f>
        <v>130</v>
      </c>
      <c r="N3261" s="7">
        <f t="shared" ref="N3261" si="3431">N3173</f>
        <v>130</v>
      </c>
    </row>
    <row r="3262" spans="1:14">
      <c r="A3262" s="7">
        <f t="shared" si="3367"/>
        <v>20009</v>
      </c>
      <c r="B3262" s="7">
        <f t="shared" ref="B3262:C3262" si="3432">B3174</f>
        <v>40000</v>
      </c>
      <c r="C3262" s="7" t="str">
        <f t="shared" si="3432"/>
        <v>装备</v>
      </c>
      <c r="D3262" s="7">
        <v>50200075</v>
      </c>
      <c r="E3262" s="7"/>
      <c r="F3262" s="7">
        <v>1</v>
      </c>
      <c r="G3262" s="8">
        <f>3*INDEX([1]equip.xml!$I:$I,MATCH(D3262,[1]equip.xml!$A:$A,0))</f>
        <v>120000</v>
      </c>
      <c r="H3262" s="7" t="str">
        <f t="shared" si="3416"/>
        <v>10_10,50_20,80_30</v>
      </c>
      <c r="I3262" s="7">
        <v>9</v>
      </c>
      <c r="J3262" s="7">
        <f t="shared" si="3416"/>
        <v>240</v>
      </c>
      <c r="K3262" s="7" t="s">
        <v>309</v>
      </c>
      <c r="L3262" s="7">
        <v>26</v>
      </c>
      <c r="M3262" s="7">
        <f>IF(INDEX([1]equip.xml!$B:$B,MATCH(D3262,[1]equip.xml!$A:$A,0))=0,0,N3262)</f>
        <v>130</v>
      </c>
      <c r="N3262" s="7">
        <f t="shared" ref="N3262" si="3433">N3174</f>
        <v>130</v>
      </c>
    </row>
    <row r="3263" spans="1:14">
      <c r="A3263" s="7">
        <f t="shared" si="3367"/>
        <v>20009</v>
      </c>
      <c r="B3263" s="7">
        <f t="shared" ref="B3263:C3263" si="3434">B3175</f>
        <v>40000</v>
      </c>
      <c r="C3263" s="7" t="str">
        <f t="shared" si="3434"/>
        <v>装备</v>
      </c>
      <c r="D3263" s="7">
        <v>50200076</v>
      </c>
      <c r="E3263" s="7"/>
      <c r="F3263" s="7">
        <v>1</v>
      </c>
      <c r="G3263" s="8">
        <f>3*INDEX([1]equip.xml!$I:$I,MATCH(D3263,[1]equip.xml!$A:$A,0))</f>
        <v>138000</v>
      </c>
      <c r="H3263" s="7" t="str">
        <f t="shared" si="3416"/>
        <v>10_10,50_20,80_30</v>
      </c>
      <c r="I3263" s="7">
        <v>9</v>
      </c>
      <c r="J3263" s="7">
        <f t="shared" si="3416"/>
        <v>240</v>
      </c>
      <c r="K3263" s="7" t="s">
        <v>309</v>
      </c>
      <c r="L3263" s="7">
        <v>26</v>
      </c>
      <c r="M3263" s="7">
        <f>IF(INDEX([1]equip.xml!$B:$B,MATCH(D3263,[1]equip.xml!$A:$A,0))=0,0,N3263)</f>
        <v>130</v>
      </c>
      <c r="N3263" s="7">
        <f t="shared" ref="N3263" si="3435">N3175</f>
        <v>130</v>
      </c>
    </row>
    <row r="3264" spans="1:14">
      <c r="A3264" s="7">
        <f t="shared" si="3367"/>
        <v>20009</v>
      </c>
      <c r="B3264" s="7">
        <f t="shared" ref="B3264:C3264" si="3436">B3176</f>
        <v>40000</v>
      </c>
      <c r="C3264" s="7" t="str">
        <f t="shared" si="3436"/>
        <v>装备</v>
      </c>
      <c r="D3264" s="7">
        <v>50250015</v>
      </c>
      <c r="E3264" s="7"/>
      <c r="F3264" s="7">
        <v>1</v>
      </c>
      <c r="G3264" s="8">
        <f>3*INDEX([1]equip.xml!$I:$I,MATCH(D3264,[1]equip.xml!$A:$A,0))</f>
        <v>150000</v>
      </c>
      <c r="H3264" s="7" t="str">
        <f t="shared" si="3416"/>
        <v>10_10,50_20,80_30</v>
      </c>
      <c r="I3264" s="7">
        <v>9</v>
      </c>
      <c r="J3264" s="7">
        <f t="shared" si="3416"/>
        <v>240</v>
      </c>
      <c r="K3264" s="7" t="s">
        <v>309</v>
      </c>
      <c r="L3264" s="7">
        <v>26</v>
      </c>
      <c r="M3264" s="7">
        <f>IF(INDEX([1]equip.xml!$B:$B,MATCH(D3264,[1]equip.xml!$A:$A,0))=0,0,N3264)</f>
        <v>65</v>
      </c>
      <c r="N3264" s="7">
        <f t="shared" ref="N3264" si="3437">N3176</f>
        <v>65</v>
      </c>
    </row>
    <row r="3265" spans="1:14">
      <c r="A3265" s="7">
        <f t="shared" si="3367"/>
        <v>20009</v>
      </c>
      <c r="B3265" s="7">
        <f t="shared" ref="B3265:C3265" si="3438">B3177</f>
        <v>40000</v>
      </c>
      <c r="C3265" s="7" t="str">
        <f t="shared" si="3438"/>
        <v>装备</v>
      </c>
      <c r="D3265" s="7">
        <v>50250025</v>
      </c>
      <c r="E3265" s="7"/>
      <c r="F3265" s="7">
        <v>1</v>
      </c>
      <c r="G3265" s="8">
        <f>3*INDEX([1]equip.xml!$I:$I,MATCH(D3265,[1]equip.xml!$A:$A,0))</f>
        <v>150000</v>
      </c>
      <c r="H3265" s="7" t="str">
        <f t="shared" si="3416"/>
        <v>10_10,50_20,80_30</v>
      </c>
      <c r="I3265" s="7">
        <v>9</v>
      </c>
      <c r="J3265" s="7">
        <f t="shared" si="3416"/>
        <v>240</v>
      </c>
      <c r="K3265" s="7" t="s">
        <v>309</v>
      </c>
      <c r="L3265" s="7">
        <v>26</v>
      </c>
      <c r="M3265" s="7">
        <f>IF(INDEX([1]equip.xml!$B:$B,MATCH(D3265,[1]equip.xml!$A:$A,0))=0,0,N3265)</f>
        <v>65</v>
      </c>
      <c r="N3265" s="7">
        <f t="shared" ref="N3265" si="3439">N3177</f>
        <v>65</v>
      </c>
    </row>
    <row r="3266" spans="1:14">
      <c r="A3266" s="7">
        <f t="shared" si="3367"/>
        <v>20009</v>
      </c>
      <c r="B3266" s="7">
        <f t="shared" ref="B3266:C3266" si="3440">B3178</f>
        <v>40000</v>
      </c>
      <c r="C3266" s="7" t="str">
        <f t="shared" si="3440"/>
        <v>装备</v>
      </c>
      <c r="D3266" s="7">
        <v>50250035</v>
      </c>
      <c r="E3266" s="7"/>
      <c r="F3266" s="7">
        <v>1</v>
      </c>
      <c r="G3266" s="8">
        <f>3*INDEX([1]equip.xml!$I:$I,MATCH(D3266,[1]equip.xml!$A:$A,0))</f>
        <v>150000</v>
      </c>
      <c r="H3266" s="7" t="str">
        <f t="shared" si="3416"/>
        <v>10_10,50_20,80_30</v>
      </c>
      <c r="I3266" s="7">
        <v>9</v>
      </c>
      <c r="J3266" s="7">
        <f t="shared" si="3416"/>
        <v>240</v>
      </c>
      <c r="K3266" s="7" t="s">
        <v>309</v>
      </c>
      <c r="L3266" s="7">
        <v>26</v>
      </c>
      <c r="M3266" s="7">
        <f>IF(INDEX([1]equip.xml!$B:$B,MATCH(D3266,[1]equip.xml!$A:$A,0))=0,0,N3266)</f>
        <v>65</v>
      </c>
      <c r="N3266" s="7">
        <f t="shared" ref="N3266" si="3441">N3178</f>
        <v>65</v>
      </c>
    </row>
    <row r="3267" spans="1:14">
      <c r="A3267" s="7">
        <f t="shared" si="3367"/>
        <v>20009</v>
      </c>
      <c r="B3267" s="7">
        <f t="shared" ref="B3267:C3267" si="3442">B3179</f>
        <v>40000</v>
      </c>
      <c r="C3267" s="7" t="str">
        <f t="shared" si="3442"/>
        <v>装备</v>
      </c>
      <c r="D3267" s="7">
        <v>50250085</v>
      </c>
      <c r="E3267" s="7"/>
      <c r="F3267" s="7">
        <v>1</v>
      </c>
      <c r="G3267" s="8">
        <f>3*INDEX([1]equip.xml!$I:$I,MATCH(D3267,[1]equip.xml!$A:$A,0))</f>
        <v>150000</v>
      </c>
      <c r="H3267" s="7" t="str">
        <f t="shared" si="3416"/>
        <v>10_10,50_20,80_30</v>
      </c>
      <c r="I3267" s="7">
        <v>9</v>
      </c>
      <c r="J3267" s="7">
        <f t="shared" si="3416"/>
        <v>240</v>
      </c>
      <c r="K3267" s="7" t="s">
        <v>309</v>
      </c>
      <c r="L3267" s="7">
        <v>26</v>
      </c>
      <c r="M3267" s="7">
        <f>IF(INDEX([1]equip.xml!$B:$B,MATCH(D3267,[1]equip.xml!$A:$A,0))=0,0,N3267)</f>
        <v>65</v>
      </c>
      <c r="N3267" s="7">
        <f t="shared" ref="N3267" si="3443">N3179</f>
        <v>65</v>
      </c>
    </row>
    <row r="3268" spans="1:14">
      <c r="A3268" s="7">
        <f t="shared" si="3367"/>
        <v>20009</v>
      </c>
      <c r="B3268" s="7">
        <f t="shared" ref="B3268:C3268" si="3444">B3180</f>
        <v>40000</v>
      </c>
      <c r="C3268" s="7" t="str">
        <f t="shared" si="3444"/>
        <v>装备</v>
      </c>
      <c r="D3268" s="7">
        <v>50250095</v>
      </c>
      <c r="E3268" s="7"/>
      <c r="F3268" s="7">
        <v>1</v>
      </c>
      <c r="G3268" s="8">
        <f>3*INDEX([1]equip.xml!$I:$I,MATCH(D3268,[1]equip.xml!$A:$A,0))</f>
        <v>150000</v>
      </c>
      <c r="H3268" s="7" t="str">
        <f t="shared" si="3416"/>
        <v>10_10,50_20,80_30</v>
      </c>
      <c r="I3268" s="7">
        <v>9</v>
      </c>
      <c r="J3268" s="7">
        <f t="shared" si="3416"/>
        <v>240</v>
      </c>
      <c r="K3268" s="7" t="s">
        <v>309</v>
      </c>
      <c r="L3268" s="7">
        <v>26</v>
      </c>
      <c r="M3268" s="7">
        <f>IF(INDEX([1]equip.xml!$B:$B,MATCH(D3268,[1]equip.xml!$A:$A,0))=0,0,N3268)</f>
        <v>65</v>
      </c>
      <c r="N3268" s="7">
        <f t="shared" ref="N3268" si="3445">N3180</f>
        <v>65</v>
      </c>
    </row>
    <row r="3269" spans="1:14">
      <c r="A3269" s="7">
        <f t="shared" si="3367"/>
        <v>20009</v>
      </c>
      <c r="B3269" s="7">
        <f t="shared" ref="B3269:C3269" si="3446">B3181</f>
        <v>40000</v>
      </c>
      <c r="C3269" s="7" t="str">
        <f t="shared" si="3446"/>
        <v>装备</v>
      </c>
      <c r="D3269" s="7">
        <v>50250105</v>
      </c>
      <c r="E3269" s="7"/>
      <c r="F3269" s="7">
        <v>1</v>
      </c>
      <c r="G3269" s="8">
        <f>3*INDEX([1]equip.xml!$I:$I,MATCH(D3269,[1]equip.xml!$A:$A,0))</f>
        <v>150000</v>
      </c>
      <c r="H3269" s="7" t="str">
        <f t="shared" si="3416"/>
        <v>10_10,50_20,80_30</v>
      </c>
      <c r="I3269" s="7">
        <v>9</v>
      </c>
      <c r="J3269" s="7">
        <f t="shared" si="3416"/>
        <v>240</v>
      </c>
      <c r="K3269" s="7" t="s">
        <v>309</v>
      </c>
      <c r="L3269" s="7">
        <v>26</v>
      </c>
      <c r="M3269" s="7">
        <f>IF(INDEX([1]equip.xml!$B:$B,MATCH(D3269,[1]equip.xml!$A:$A,0))=0,0,N3269)</f>
        <v>65</v>
      </c>
      <c r="N3269" s="7">
        <f t="shared" ref="N3269" si="3447">N3181</f>
        <v>65</v>
      </c>
    </row>
    <row r="3270" spans="1:14">
      <c r="A3270" s="7">
        <f t="shared" si="3367"/>
        <v>20009</v>
      </c>
      <c r="B3270" s="7">
        <f t="shared" ref="B3270:C3270" si="3448">B3182</f>
        <v>40000</v>
      </c>
      <c r="C3270" s="7" t="str">
        <f t="shared" si="3448"/>
        <v>装备</v>
      </c>
      <c r="D3270" s="7">
        <v>50251055</v>
      </c>
      <c r="E3270" s="7"/>
      <c r="F3270" s="7">
        <v>1</v>
      </c>
      <c r="G3270" s="8">
        <f>3*INDEX([1]equip.xml!$I:$I,MATCH(D3270,[1]equip.xml!$A:$A,0))</f>
        <v>150000</v>
      </c>
      <c r="H3270" s="7" t="str">
        <f t="shared" ref="H3270:J3285" si="3449">H3182</f>
        <v>10_10,50_20,80_30</v>
      </c>
      <c r="I3270" s="7">
        <v>9</v>
      </c>
      <c r="J3270" s="7">
        <f t="shared" si="3449"/>
        <v>240</v>
      </c>
      <c r="K3270" s="7" t="s">
        <v>309</v>
      </c>
      <c r="L3270" s="7">
        <v>26</v>
      </c>
      <c r="M3270" s="7">
        <f>IF(INDEX([1]equip.xml!$B:$B,MATCH(D3270,[1]equip.xml!$A:$A,0))=0,0,N3270)</f>
        <v>65</v>
      </c>
      <c r="N3270" s="7">
        <f t="shared" ref="N3270" si="3450">N3182</f>
        <v>65</v>
      </c>
    </row>
    <row r="3271" spans="1:14">
      <c r="A3271" s="7">
        <f t="shared" si="3367"/>
        <v>20009</v>
      </c>
      <c r="B3271" s="7">
        <f t="shared" ref="B3271:C3271" si="3451">B3183</f>
        <v>40000</v>
      </c>
      <c r="C3271" s="7" t="str">
        <f t="shared" si="3451"/>
        <v>装备</v>
      </c>
      <c r="D3271" s="7">
        <v>50251056</v>
      </c>
      <c r="E3271" s="7"/>
      <c r="F3271" s="7">
        <v>1</v>
      </c>
      <c r="G3271" s="8">
        <f>3*INDEX([1]equip.xml!$I:$I,MATCH(D3271,[1]equip.xml!$A:$A,0))</f>
        <v>168000</v>
      </c>
      <c r="H3271" s="7" t="str">
        <f t="shared" si="3449"/>
        <v>10_10,50_20,80_30</v>
      </c>
      <c r="I3271" s="7">
        <v>9</v>
      </c>
      <c r="J3271" s="7">
        <f t="shared" si="3449"/>
        <v>240</v>
      </c>
      <c r="K3271" s="7" t="s">
        <v>309</v>
      </c>
      <c r="L3271" s="7">
        <v>26</v>
      </c>
      <c r="M3271" s="7">
        <f>IF(INDEX([1]equip.xml!$B:$B,MATCH(D3271,[1]equip.xml!$A:$A,0))=0,0,N3271)</f>
        <v>65</v>
      </c>
      <c r="N3271" s="7">
        <f t="shared" ref="N3271" si="3452">N3183</f>
        <v>65</v>
      </c>
    </row>
    <row r="3272" spans="1:14">
      <c r="A3272" s="7">
        <f t="shared" si="3367"/>
        <v>20009</v>
      </c>
      <c r="B3272" s="7">
        <f t="shared" ref="B3272:C3272" si="3453">B3184</f>
        <v>40000</v>
      </c>
      <c r="C3272" s="7" t="str">
        <f t="shared" si="3453"/>
        <v>装备</v>
      </c>
      <c r="D3272" s="7">
        <v>50251065</v>
      </c>
      <c r="E3272" s="7"/>
      <c r="F3272" s="7">
        <v>1</v>
      </c>
      <c r="G3272" s="8">
        <f>3*INDEX([1]equip.xml!$I:$I,MATCH(D3272,[1]equip.xml!$A:$A,0))</f>
        <v>150000</v>
      </c>
      <c r="H3272" s="7" t="str">
        <f t="shared" si="3449"/>
        <v>10_10,50_20,80_30</v>
      </c>
      <c r="I3272" s="7">
        <v>9</v>
      </c>
      <c r="J3272" s="7">
        <f t="shared" si="3449"/>
        <v>240</v>
      </c>
      <c r="K3272" s="7" t="s">
        <v>309</v>
      </c>
      <c r="L3272" s="7">
        <v>26</v>
      </c>
      <c r="M3272" s="7">
        <f>IF(INDEX([1]equip.xml!$B:$B,MATCH(D3272,[1]equip.xml!$A:$A,0))=0,0,N3272)</f>
        <v>65</v>
      </c>
      <c r="N3272" s="7">
        <f t="shared" ref="N3272" si="3454">N3184</f>
        <v>65</v>
      </c>
    </row>
    <row r="3273" spans="1:14">
      <c r="A3273" s="7">
        <f t="shared" si="3367"/>
        <v>20009</v>
      </c>
      <c r="B3273" s="7">
        <f t="shared" ref="B3273:C3273" si="3455">B3185</f>
        <v>40000</v>
      </c>
      <c r="C3273" s="7" t="str">
        <f t="shared" si="3455"/>
        <v>装备</v>
      </c>
      <c r="D3273" s="7">
        <v>50251066</v>
      </c>
      <c r="E3273" s="7"/>
      <c r="F3273" s="7">
        <v>1</v>
      </c>
      <c r="G3273" s="8">
        <f>3*INDEX([1]equip.xml!$I:$I,MATCH(D3273,[1]equip.xml!$A:$A,0))</f>
        <v>168000</v>
      </c>
      <c r="H3273" s="7" t="str">
        <f t="shared" si="3449"/>
        <v>10_10,50_20,80_30</v>
      </c>
      <c r="I3273" s="7">
        <v>9</v>
      </c>
      <c r="J3273" s="7">
        <f t="shared" si="3449"/>
        <v>240</v>
      </c>
      <c r="K3273" s="7" t="s">
        <v>309</v>
      </c>
      <c r="L3273" s="7">
        <v>26</v>
      </c>
      <c r="M3273" s="7">
        <f>IF(INDEX([1]equip.xml!$B:$B,MATCH(D3273,[1]equip.xml!$A:$A,0))=0,0,N3273)</f>
        <v>0</v>
      </c>
      <c r="N3273" s="7">
        <f t="shared" ref="N3273" si="3456">N3185</f>
        <v>65</v>
      </c>
    </row>
    <row r="3274" spans="1:14">
      <c r="A3274" s="7">
        <f t="shared" si="3367"/>
        <v>20009</v>
      </c>
      <c r="B3274" s="7">
        <f t="shared" ref="B3274:C3274" si="3457">B3186</f>
        <v>40000</v>
      </c>
      <c r="C3274" s="7" t="str">
        <f t="shared" si="3457"/>
        <v>装备</v>
      </c>
      <c r="D3274" s="7">
        <v>50252055</v>
      </c>
      <c r="E3274" s="7"/>
      <c r="F3274" s="7">
        <v>1</v>
      </c>
      <c r="G3274" s="8">
        <f>3*INDEX([1]equip.xml!$I:$I,MATCH(D3274,[1]equip.xml!$A:$A,0))</f>
        <v>150000</v>
      </c>
      <c r="H3274" s="7" t="str">
        <f t="shared" si="3449"/>
        <v>10_10,50_20,80_30</v>
      </c>
      <c r="I3274" s="7">
        <v>9</v>
      </c>
      <c r="J3274" s="7">
        <f t="shared" si="3449"/>
        <v>240</v>
      </c>
      <c r="K3274" s="7" t="s">
        <v>309</v>
      </c>
      <c r="L3274" s="7">
        <v>26</v>
      </c>
      <c r="M3274" s="7">
        <f>IF(INDEX([1]equip.xml!$B:$B,MATCH(D3274,[1]equip.xml!$A:$A,0))=0,0,N3274)</f>
        <v>65</v>
      </c>
      <c r="N3274" s="7">
        <f t="shared" ref="N3274" si="3458">N3186</f>
        <v>65</v>
      </c>
    </row>
    <row r="3275" spans="1:14">
      <c r="A3275" s="7">
        <f t="shared" si="3367"/>
        <v>20009</v>
      </c>
      <c r="B3275" s="7">
        <f t="shared" ref="B3275:C3275" si="3459">B3187</f>
        <v>40000</v>
      </c>
      <c r="C3275" s="7" t="str">
        <f t="shared" si="3459"/>
        <v>装备</v>
      </c>
      <c r="D3275" s="7">
        <v>50252056</v>
      </c>
      <c r="E3275" s="7"/>
      <c r="F3275" s="7">
        <v>1</v>
      </c>
      <c r="G3275" s="8">
        <f>3*INDEX([1]equip.xml!$I:$I,MATCH(D3275,[1]equip.xml!$A:$A,0))</f>
        <v>168000</v>
      </c>
      <c r="H3275" s="7" t="str">
        <f t="shared" si="3449"/>
        <v>10_10,50_20,80_30</v>
      </c>
      <c r="I3275" s="7">
        <v>9</v>
      </c>
      <c r="J3275" s="7">
        <f t="shared" si="3449"/>
        <v>240</v>
      </c>
      <c r="K3275" s="7" t="s">
        <v>309</v>
      </c>
      <c r="L3275" s="7">
        <v>26</v>
      </c>
      <c r="M3275" s="7">
        <f>IF(INDEX([1]equip.xml!$B:$B,MATCH(D3275,[1]equip.xml!$A:$A,0))=0,0,N3275)</f>
        <v>65</v>
      </c>
      <c r="N3275" s="7">
        <f t="shared" ref="N3275" si="3460">N3187</f>
        <v>65</v>
      </c>
    </row>
    <row r="3276" spans="1:14">
      <c r="A3276" s="7">
        <f t="shared" si="3367"/>
        <v>20009</v>
      </c>
      <c r="B3276" s="7">
        <f t="shared" ref="B3276:C3276" si="3461">B3188</f>
        <v>40000</v>
      </c>
      <c r="C3276" s="7" t="str">
        <f t="shared" si="3461"/>
        <v>装备</v>
      </c>
      <c r="D3276" s="7">
        <v>50252065</v>
      </c>
      <c r="E3276" s="7"/>
      <c r="F3276" s="7">
        <v>1</v>
      </c>
      <c r="G3276" s="8">
        <f>3*INDEX([1]equip.xml!$I:$I,MATCH(D3276,[1]equip.xml!$A:$A,0))</f>
        <v>150000</v>
      </c>
      <c r="H3276" s="7" t="str">
        <f t="shared" si="3449"/>
        <v>10_10,50_20,80_30</v>
      </c>
      <c r="I3276" s="7">
        <v>9</v>
      </c>
      <c r="J3276" s="7">
        <f t="shared" si="3449"/>
        <v>240</v>
      </c>
      <c r="K3276" s="7" t="s">
        <v>309</v>
      </c>
      <c r="L3276" s="7">
        <v>26</v>
      </c>
      <c r="M3276" s="7">
        <f>IF(INDEX([1]equip.xml!$B:$B,MATCH(D3276,[1]equip.xml!$A:$A,0))=0,0,N3276)</f>
        <v>65</v>
      </c>
      <c r="N3276" s="7">
        <f t="shared" ref="N3276" si="3462">N3188</f>
        <v>65</v>
      </c>
    </row>
    <row r="3277" spans="1:14">
      <c r="A3277" s="7">
        <f t="shared" si="3367"/>
        <v>20009</v>
      </c>
      <c r="B3277" s="7">
        <f t="shared" ref="B3277:C3277" si="3463">B3189</f>
        <v>40000</v>
      </c>
      <c r="C3277" s="7" t="str">
        <f t="shared" si="3463"/>
        <v>装备</v>
      </c>
      <c r="D3277" s="7">
        <v>50252066</v>
      </c>
      <c r="E3277" s="7"/>
      <c r="F3277" s="7">
        <v>1</v>
      </c>
      <c r="G3277" s="8">
        <f>3*INDEX([1]equip.xml!$I:$I,MATCH(D3277,[1]equip.xml!$A:$A,0))</f>
        <v>168000</v>
      </c>
      <c r="H3277" s="7" t="str">
        <f t="shared" si="3449"/>
        <v>10_10,50_20,80_30</v>
      </c>
      <c r="I3277" s="7">
        <v>9</v>
      </c>
      <c r="J3277" s="7">
        <f t="shared" si="3449"/>
        <v>240</v>
      </c>
      <c r="K3277" s="7" t="s">
        <v>309</v>
      </c>
      <c r="L3277" s="7">
        <v>26</v>
      </c>
      <c r="M3277" s="7">
        <f>IF(INDEX([1]equip.xml!$B:$B,MATCH(D3277,[1]equip.xml!$A:$A,0))=0,0,N3277)</f>
        <v>0</v>
      </c>
      <c r="N3277" s="7">
        <f t="shared" ref="N3277" si="3464">N3189</f>
        <v>65</v>
      </c>
    </row>
    <row r="3278" spans="1:14">
      <c r="A3278" s="7">
        <f t="shared" si="3367"/>
        <v>20009</v>
      </c>
      <c r="B3278" s="7">
        <f t="shared" ref="B3278:C3278" si="3465">B3190</f>
        <v>40000</v>
      </c>
      <c r="C3278" s="7" t="str">
        <f t="shared" si="3465"/>
        <v>装备</v>
      </c>
      <c r="D3278" s="7">
        <v>50253055</v>
      </c>
      <c r="E3278" s="7"/>
      <c r="F3278" s="7">
        <v>1</v>
      </c>
      <c r="G3278" s="8">
        <f>3*INDEX([1]equip.xml!$I:$I,MATCH(D3278,[1]equip.xml!$A:$A,0))</f>
        <v>150000</v>
      </c>
      <c r="H3278" s="7" t="str">
        <f t="shared" si="3449"/>
        <v>10_10,50_20,80_30</v>
      </c>
      <c r="I3278" s="7">
        <v>9</v>
      </c>
      <c r="J3278" s="7">
        <f t="shared" si="3449"/>
        <v>240</v>
      </c>
      <c r="K3278" s="7" t="s">
        <v>309</v>
      </c>
      <c r="L3278" s="7">
        <v>26</v>
      </c>
      <c r="M3278" s="7">
        <f>IF(INDEX([1]equip.xml!$B:$B,MATCH(D3278,[1]equip.xml!$A:$A,0))=0,0,N3278)</f>
        <v>65</v>
      </c>
      <c r="N3278" s="7">
        <f t="shared" ref="N3278" si="3466">N3190</f>
        <v>65</v>
      </c>
    </row>
    <row r="3279" spans="1:14">
      <c r="A3279" s="7">
        <f t="shared" si="3367"/>
        <v>20009</v>
      </c>
      <c r="B3279" s="7">
        <f t="shared" ref="B3279:C3279" si="3467">B3191</f>
        <v>40000</v>
      </c>
      <c r="C3279" s="7" t="str">
        <f t="shared" si="3467"/>
        <v>装备</v>
      </c>
      <c r="D3279" s="7">
        <v>50253056</v>
      </c>
      <c r="E3279" s="7"/>
      <c r="F3279" s="7">
        <v>1</v>
      </c>
      <c r="G3279" s="8">
        <f>3*INDEX([1]equip.xml!$I:$I,MATCH(D3279,[1]equip.xml!$A:$A,0))</f>
        <v>168000</v>
      </c>
      <c r="H3279" s="7" t="str">
        <f t="shared" si="3449"/>
        <v>10_10,50_20,80_30</v>
      </c>
      <c r="I3279" s="7">
        <v>9</v>
      </c>
      <c r="J3279" s="7">
        <f t="shared" si="3449"/>
        <v>240</v>
      </c>
      <c r="K3279" s="7" t="s">
        <v>309</v>
      </c>
      <c r="L3279" s="7">
        <v>26</v>
      </c>
      <c r="M3279" s="7">
        <f>IF(INDEX([1]equip.xml!$B:$B,MATCH(D3279,[1]equip.xml!$A:$A,0))=0,0,N3279)</f>
        <v>0</v>
      </c>
      <c r="N3279" s="7">
        <f t="shared" ref="N3279" si="3468">N3191</f>
        <v>65</v>
      </c>
    </row>
    <row r="3280" spans="1:14">
      <c r="A3280" s="7">
        <f t="shared" si="3367"/>
        <v>20009</v>
      </c>
      <c r="B3280" s="7">
        <f t="shared" ref="B3280:C3280" si="3469">B3192</f>
        <v>40000</v>
      </c>
      <c r="C3280" s="7" t="str">
        <f t="shared" si="3469"/>
        <v>装备</v>
      </c>
      <c r="D3280" s="7">
        <v>50253065</v>
      </c>
      <c r="E3280" s="7"/>
      <c r="F3280" s="7">
        <v>1</v>
      </c>
      <c r="G3280" s="8">
        <f>3*INDEX([1]equip.xml!$I:$I,MATCH(D3280,[1]equip.xml!$A:$A,0))</f>
        <v>150000</v>
      </c>
      <c r="H3280" s="7" t="str">
        <f t="shared" si="3449"/>
        <v>10_10,50_20,80_30</v>
      </c>
      <c r="I3280" s="7">
        <v>9</v>
      </c>
      <c r="J3280" s="7">
        <f t="shared" si="3449"/>
        <v>240</v>
      </c>
      <c r="K3280" s="7" t="s">
        <v>309</v>
      </c>
      <c r="L3280" s="7">
        <v>26</v>
      </c>
      <c r="M3280" s="7">
        <f>IF(INDEX([1]equip.xml!$B:$B,MATCH(D3280,[1]equip.xml!$A:$A,0))=0,0,N3280)</f>
        <v>65</v>
      </c>
      <c r="N3280" s="7">
        <f t="shared" ref="N3280" si="3470">N3192</f>
        <v>65</v>
      </c>
    </row>
    <row r="3281" spans="1:14">
      <c r="A3281" s="7">
        <f t="shared" si="3367"/>
        <v>20009</v>
      </c>
      <c r="B3281" s="7">
        <f t="shared" ref="B3281:C3281" si="3471">B3193</f>
        <v>40000</v>
      </c>
      <c r="C3281" s="7" t="str">
        <f t="shared" si="3471"/>
        <v>装备</v>
      </c>
      <c r="D3281" s="7">
        <v>50253066</v>
      </c>
      <c r="E3281" s="7"/>
      <c r="F3281" s="7">
        <v>1</v>
      </c>
      <c r="G3281" s="8">
        <f>3*INDEX([1]equip.xml!$I:$I,MATCH(D3281,[1]equip.xml!$A:$A,0))</f>
        <v>168000</v>
      </c>
      <c r="H3281" s="7" t="str">
        <f t="shared" si="3449"/>
        <v>10_10,50_20,80_30</v>
      </c>
      <c r="I3281" s="7">
        <v>9</v>
      </c>
      <c r="J3281" s="7">
        <f t="shared" si="3449"/>
        <v>240</v>
      </c>
      <c r="K3281" s="7" t="s">
        <v>309</v>
      </c>
      <c r="L3281" s="7">
        <v>26</v>
      </c>
      <c r="M3281" s="7">
        <f>IF(INDEX([1]equip.xml!$B:$B,MATCH(D3281,[1]equip.xml!$A:$A,0))=0,0,N3281)</f>
        <v>0</v>
      </c>
      <c r="N3281" s="7">
        <f t="shared" ref="N3281" si="3472">N3193</f>
        <v>65</v>
      </c>
    </row>
    <row r="3282" spans="1:14">
      <c r="A3282" s="7">
        <f t="shared" si="3367"/>
        <v>20009</v>
      </c>
      <c r="B3282" s="7">
        <f t="shared" ref="B3282:C3282" si="3473">B3194</f>
        <v>40000</v>
      </c>
      <c r="C3282" s="7" t="str">
        <f t="shared" si="3473"/>
        <v>装备</v>
      </c>
      <c r="D3282" s="7">
        <v>50250045</v>
      </c>
      <c r="E3282" s="7"/>
      <c r="F3282" s="7">
        <v>1</v>
      </c>
      <c r="G3282" s="8">
        <f>3*INDEX([1]equip.xml!$I:$I,MATCH(D3282,[1]equip.xml!$A:$A,0))</f>
        <v>150000</v>
      </c>
      <c r="H3282" s="7" t="str">
        <f t="shared" si="3449"/>
        <v>10_10,50_20,80_30</v>
      </c>
      <c r="I3282" s="7">
        <v>9</v>
      </c>
      <c r="J3282" s="7">
        <f t="shared" si="3449"/>
        <v>240</v>
      </c>
      <c r="K3282" s="7" t="s">
        <v>309</v>
      </c>
      <c r="L3282" s="7">
        <v>26</v>
      </c>
      <c r="M3282" s="7">
        <f>IF(INDEX([1]equip.xml!$B:$B,MATCH(D3282,[1]equip.xml!$A:$A,0))=0,0,N3282)</f>
        <v>65</v>
      </c>
      <c r="N3282" s="7">
        <f t="shared" ref="N3282" si="3474">N3194</f>
        <v>65</v>
      </c>
    </row>
    <row r="3283" spans="1:14">
      <c r="A3283" s="7">
        <f t="shared" si="3367"/>
        <v>20009</v>
      </c>
      <c r="B3283" s="7">
        <f t="shared" ref="B3283:C3283" si="3475">B3195</f>
        <v>40000</v>
      </c>
      <c r="C3283" s="7" t="str">
        <f t="shared" si="3475"/>
        <v>装备</v>
      </c>
      <c r="D3283" s="7">
        <v>50250046</v>
      </c>
      <c r="E3283" s="7"/>
      <c r="F3283" s="7">
        <v>1</v>
      </c>
      <c r="G3283" s="8">
        <f>3*INDEX([1]equip.xml!$I:$I,MATCH(D3283,[1]equip.xml!$A:$A,0))</f>
        <v>168000</v>
      </c>
      <c r="H3283" s="7" t="str">
        <f t="shared" si="3449"/>
        <v>10_10,50_20,80_30</v>
      </c>
      <c r="I3283" s="7">
        <v>9</v>
      </c>
      <c r="J3283" s="7">
        <f t="shared" si="3449"/>
        <v>240</v>
      </c>
      <c r="K3283" s="7" t="s">
        <v>309</v>
      </c>
      <c r="L3283" s="7">
        <v>26</v>
      </c>
      <c r="M3283" s="7">
        <f>IF(INDEX([1]equip.xml!$B:$B,MATCH(D3283,[1]equip.xml!$A:$A,0))=0,0,N3283)</f>
        <v>0</v>
      </c>
      <c r="N3283" s="7">
        <f t="shared" ref="N3283" si="3476">N3195</f>
        <v>65</v>
      </c>
    </row>
    <row r="3284" spans="1:14">
      <c r="A3284" s="7">
        <f t="shared" si="3367"/>
        <v>20009</v>
      </c>
      <c r="B3284" s="7">
        <f t="shared" ref="B3284:C3284" si="3477">B3196</f>
        <v>40000</v>
      </c>
      <c r="C3284" s="7" t="str">
        <f t="shared" si="3477"/>
        <v>装备</v>
      </c>
      <c r="D3284" s="7">
        <v>50250075</v>
      </c>
      <c r="E3284" s="7"/>
      <c r="F3284" s="7">
        <v>1</v>
      </c>
      <c r="G3284" s="8">
        <f>3*INDEX([1]equip.xml!$I:$I,MATCH(D3284,[1]equip.xml!$A:$A,0))</f>
        <v>150000</v>
      </c>
      <c r="H3284" s="7" t="str">
        <f t="shared" si="3449"/>
        <v>10_10,50_20,80_30</v>
      </c>
      <c r="I3284" s="7">
        <v>9</v>
      </c>
      <c r="J3284" s="7">
        <f t="shared" si="3449"/>
        <v>240</v>
      </c>
      <c r="K3284" s="7" t="s">
        <v>309</v>
      </c>
      <c r="L3284" s="7">
        <v>26</v>
      </c>
      <c r="M3284" s="7">
        <f>IF(INDEX([1]equip.xml!$B:$B,MATCH(D3284,[1]equip.xml!$A:$A,0))=0,0,N3284)</f>
        <v>65</v>
      </c>
      <c r="N3284" s="7">
        <f t="shared" ref="N3284" si="3478">N3196</f>
        <v>65</v>
      </c>
    </row>
    <row r="3285" spans="1:14">
      <c r="A3285" s="7">
        <f t="shared" si="3367"/>
        <v>20009</v>
      </c>
      <c r="B3285" s="7">
        <f t="shared" ref="B3285:C3285" si="3479">B3197</f>
        <v>40000</v>
      </c>
      <c r="C3285" s="7" t="str">
        <f t="shared" si="3479"/>
        <v>装备</v>
      </c>
      <c r="D3285" s="7">
        <v>50250076</v>
      </c>
      <c r="E3285" s="7"/>
      <c r="F3285" s="7">
        <v>1</v>
      </c>
      <c r="G3285" s="8">
        <f>3*INDEX([1]equip.xml!$I:$I,MATCH(D3285,[1]equip.xml!$A:$A,0))</f>
        <v>168000</v>
      </c>
      <c r="H3285" s="7" t="str">
        <f t="shared" si="3449"/>
        <v>10_10,50_20,80_30</v>
      </c>
      <c r="I3285" s="7">
        <v>9</v>
      </c>
      <c r="J3285" s="7">
        <f t="shared" si="3449"/>
        <v>240</v>
      </c>
      <c r="K3285" s="7" t="s">
        <v>309</v>
      </c>
      <c r="L3285" s="7">
        <v>26</v>
      </c>
      <c r="M3285" s="7">
        <f>IF(INDEX([1]equip.xml!$B:$B,MATCH(D3285,[1]equip.xml!$A:$A,0))=0,0,N3285)</f>
        <v>0</v>
      </c>
      <c r="N3285" s="7">
        <f t="shared" ref="N3285" si="3480">N3197</f>
        <v>65</v>
      </c>
    </row>
    <row r="3286" spans="1:14">
      <c r="A3286" s="7">
        <f t="shared" si="3367"/>
        <v>20010</v>
      </c>
      <c r="B3286" s="8">
        <f t="shared" ref="B3286:C3286" si="3481">B3198</f>
        <v>40000</v>
      </c>
      <c r="C3286" s="8" t="str">
        <f t="shared" si="3481"/>
        <v>装备</v>
      </c>
      <c r="D3286" s="8">
        <v>40250010</v>
      </c>
      <c r="E3286" s="8"/>
      <c r="F3286" s="8">
        <v>1</v>
      </c>
      <c r="G3286" s="7">
        <f>3*INDEX([1]equip.xml!$I:$I,MATCH(D3286&amp;"",[1]equip.xml!$A:$A,0))</f>
        <v>75000</v>
      </c>
      <c r="H3286" s="8" t="str">
        <f t="shared" ref="H3286:J3301" si="3482">H3198</f>
        <v>10_10,50_20,80_30</v>
      </c>
      <c r="I3286" s="8">
        <v>8</v>
      </c>
      <c r="J3286" s="8">
        <f t="shared" si="3482"/>
        <v>50</v>
      </c>
      <c r="K3286" s="7" t="s">
        <v>309</v>
      </c>
      <c r="L3286" s="8">
        <v>28</v>
      </c>
      <c r="M3286" s="7">
        <f>IF(INDEX([1]equip.xml!$B:$B,MATCH(D3286&amp;"",[1]equip.xml!$A:$A,0))=0,0,N3286)</f>
        <v>130</v>
      </c>
      <c r="N3286" s="8">
        <f t="shared" ref="N3286" si="3483">N3198</f>
        <v>130</v>
      </c>
    </row>
    <row r="3287" spans="1:14">
      <c r="A3287" s="7">
        <f t="shared" si="3367"/>
        <v>20010</v>
      </c>
      <c r="B3287" s="8">
        <f t="shared" ref="B3287:C3287" si="3484">B3199</f>
        <v>40000</v>
      </c>
      <c r="C3287" s="8" t="str">
        <f t="shared" si="3484"/>
        <v>装备</v>
      </c>
      <c r="D3287" s="8">
        <v>40250020</v>
      </c>
      <c r="E3287" s="8"/>
      <c r="F3287" s="8">
        <v>1</v>
      </c>
      <c r="G3287" s="7">
        <f>3*INDEX([1]equip.xml!$I:$I,MATCH(D3287&amp;"",[1]equip.xml!$A:$A,0))</f>
        <v>75000</v>
      </c>
      <c r="H3287" s="8" t="str">
        <f t="shared" si="3482"/>
        <v>10_10,50_20,80_30</v>
      </c>
      <c r="I3287" s="8">
        <v>8</v>
      </c>
      <c r="J3287" s="8">
        <f t="shared" si="3482"/>
        <v>50</v>
      </c>
      <c r="K3287" s="7" t="s">
        <v>309</v>
      </c>
      <c r="L3287" s="8">
        <v>28</v>
      </c>
      <c r="M3287" s="7">
        <f>IF(INDEX([1]equip.xml!$B:$B,MATCH(D3287&amp;"",[1]equip.xml!$A:$A,0))=0,0,N3287)</f>
        <v>130</v>
      </c>
      <c r="N3287" s="8">
        <f t="shared" ref="N3287" si="3485">N3199</f>
        <v>130</v>
      </c>
    </row>
    <row r="3288" spans="1:14">
      <c r="A3288" s="7">
        <f t="shared" si="3367"/>
        <v>20010</v>
      </c>
      <c r="B3288" s="8">
        <f t="shared" ref="B3288:C3288" si="3486">B3200</f>
        <v>40000</v>
      </c>
      <c r="C3288" s="8" t="str">
        <f t="shared" si="3486"/>
        <v>装备</v>
      </c>
      <c r="D3288" s="8">
        <v>40250030</v>
      </c>
      <c r="E3288" s="8"/>
      <c r="F3288" s="8">
        <v>1</v>
      </c>
      <c r="G3288" s="7">
        <f>3*INDEX([1]equip.xml!$I:$I,MATCH(D3288&amp;"",[1]equip.xml!$A:$A,0))</f>
        <v>75000</v>
      </c>
      <c r="H3288" s="8" t="str">
        <f t="shared" si="3482"/>
        <v>10_10,50_20,80_30</v>
      </c>
      <c r="I3288" s="8">
        <v>8</v>
      </c>
      <c r="J3288" s="8">
        <f t="shared" si="3482"/>
        <v>50</v>
      </c>
      <c r="K3288" s="7" t="s">
        <v>309</v>
      </c>
      <c r="L3288" s="8">
        <v>28</v>
      </c>
      <c r="M3288" s="7">
        <f>IF(INDEX([1]equip.xml!$B:$B,MATCH(D3288&amp;"",[1]equip.xml!$A:$A,0))=0,0,N3288)</f>
        <v>130</v>
      </c>
      <c r="N3288" s="8">
        <f t="shared" ref="N3288" si="3487">N3200</f>
        <v>130</v>
      </c>
    </row>
    <row r="3289" spans="1:14">
      <c r="A3289" s="7">
        <f t="shared" si="3367"/>
        <v>20010</v>
      </c>
      <c r="B3289" s="8">
        <f t="shared" ref="B3289:C3289" si="3488">B3201</f>
        <v>40000</v>
      </c>
      <c r="C3289" s="8" t="str">
        <f t="shared" si="3488"/>
        <v>装备</v>
      </c>
      <c r="D3289" s="8">
        <v>40250080</v>
      </c>
      <c r="E3289" s="8"/>
      <c r="F3289" s="8">
        <v>1</v>
      </c>
      <c r="G3289" s="7">
        <f>3*INDEX([1]equip.xml!$I:$I,MATCH(D3289&amp;"",[1]equip.xml!$A:$A,0))</f>
        <v>75000</v>
      </c>
      <c r="H3289" s="8" t="str">
        <f t="shared" si="3482"/>
        <v>10_10,50_20,80_30</v>
      </c>
      <c r="I3289" s="8">
        <v>8</v>
      </c>
      <c r="J3289" s="8">
        <f t="shared" si="3482"/>
        <v>50</v>
      </c>
      <c r="K3289" s="7" t="s">
        <v>309</v>
      </c>
      <c r="L3289" s="8">
        <v>28</v>
      </c>
      <c r="M3289" s="7">
        <f>IF(INDEX([1]equip.xml!$B:$B,MATCH(D3289&amp;"",[1]equip.xml!$A:$A,0))=0,0,N3289)</f>
        <v>130</v>
      </c>
      <c r="N3289" s="8">
        <f t="shared" ref="N3289" si="3489">N3201</f>
        <v>130</v>
      </c>
    </row>
    <row r="3290" spans="1:14">
      <c r="A3290" s="7">
        <f t="shared" si="3367"/>
        <v>20010</v>
      </c>
      <c r="B3290" s="8">
        <f t="shared" ref="B3290:C3290" si="3490">B3202</f>
        <v>40000</v>
      </c>
      <c r="C3290" s="8" t="str">
        <f t="shared" si="3490"/>
        <v>装备</v>
      </c>
      <c r="D3290" s="8">
        <v>40250090</v>
      </c>
      <c r="E3290" s="8"/>
      <c r="F3290" s="8">
        <v>1</v>
      </c>
      <c r="G3290" s="7">
        <f>3*INDEX([1]equip.xml!$I:$I,MATCH(D3290&amp;"",[1]equip.xml!$A:$A,0))</f>
        <v>75000</v>
      </c>
      <c r="H3290" s="8" t="str">
        <f t="shared" si="3482"/>
        <v>10_10,50_20,80_30</v>
      </c>
      <c r="I3290" s="8">
        <v>8</v>
      </c>
      <c r="J3290" s="8">
        <f t="shared" si="3482"/>
        <v>50</v>
      </c>
      <c r="K3290" s="7" t="s">
        <v>309</v>
      </c>
      <c r="L3290" s="8">
        <v>28</v>
      </c>
      <c r="M3290" s="7">
        <f>IF(INDEX([1]equip.xml!$B:$B,MATCH(D3290&amp;"",[1]equip.xml!$A:$A,0))=0,0,N3290)</f>
        <v>130</v>
      </c>
      <c r="N3290" s="8">
        <f t="shared" ref="N3290" si="3491">N3202</f>
        <v>130</v>
      </c>
    </row>
    <row r="3291" spans="1:14">
      <c r="A3291" s="7">
        <f t="shared" si="3367"/>
        <v>20010</v>
      </c>
      <c r="B3291" s="8">
        <f t="shared" ref="B3291:C3291" si="3492">B3203</f>
        <v>40000</v>
      </c>
      <c r="C3291" s="8" t="str">
        <f t="shared" si="3492"/>
        <v>装备</v>
      </c>
      <c r="D3291" s="8">
        <v>40250100</v>
      </c>
      <c r="E3291" s="8"/>
      <c r="F3291" s="8">
        <v>1</v>
      </c>
      <c r="G3291" s="7">
        <f>3*INDEX([1]equip.xml!$I:$I,MATCH(D3291&amp;"",[1]equip.xml!$A:$A,0))</f>
        <v>75000</v>
      </c>
      <c r="H3291" s="8" t="str">
        <f t="shared" si="3482"/>
        <v>10_10,50_20,80_30</v>
      </c>
      <c r="I3291" s="8">
        <v>8</v>
      </c>
      <c r="J3291" s="8">
        <f t="shared" si="3482"/>
        <v>50</v>
      </c>
      <c r="K3291" s="7" t="s">
        <v>309</v>
      </c>
      <c r="L3291" s="8">
        <v>28</v>
      </c>
      <c r="M3291" s="7">
        <f>IF(INDEX([1]equip.xml!$B:$B,MATCH(D3291&amp;"",[1]equip.xml!$A:$A,0))=0,0,N3291)</f>
        <v>130</v>
      </c>
      <c r="N3291" s="8">
        <f t="shared" ref="N3291" si="3493">N3203</f>
        <v>130</v>
      </c>
    </row>
    <row r="3292" spans="1:14">
      <c r="A3292" s="7">
        <f t="shared" si="3367"/>
        <v>20010</v>
      </c>
      <c r="B3292" s="8">
        <f t="shared" ref="B3292:C3292" si="3494">B3204</f>
        <v>40000</v>
      </c>
      <c r="C3292" s="8" t="str">
        <f t="shared" si="3494"/>
        <v>装备</v>
      </c>
      <c r="D3292" s="8">
        <v>40251050</v>
      </c>
      <c r="E3292" s="8"/>
      <c r="F3292" s="8">
        <v>1</v>
      </c>
      <c r="G3292" s="7">
        <f>3*INDEX([1]equip.xml!$I:$I,MATCH(D3292&amp;"",[1]equip.xml!$A:$A,0))</f>
        <v>75000</v>
      </c>
      <c r="H3292" s="8" t="str">
        <f t="shared" si="3482"/>
        <v>10_10,50_20,80_30</v>
      </c>
      <c r="I3292" s="8">
        <v>8</v>
      </c>
      <c r="J3292" s="8">
        <f t="shared" si="3482"/>
        <v>50</v>
      </c>
      <c r="K3292" s="7" t="s">
        <v>309</v>
      </c>
      <c r="L3292" s="8">
        <v>28</v>
      </c>
      <c r="M3292" s="7">
        <f>IF(INDEX([1]equip.xml!$B:$B,MATCH(D3292&amp;"",[1]equip.xml!$A:$A,0))=0,0,N3292)</f>
        <v>130</v>
      </c>
      <c r="N3292" s="8">
        <f t="shared" ref="N3292" si="3495">N3204</f>
        <v>130</v>
      </c>
    </row>
    <row r="3293" spans="1:14">
      <c r="A3293" s="7">
        <f t="shared" si="3367"/>
        <v>20010</v>
      </c>
      <c r="B3293" s="8">
        <f t="shared" ref="B3293:C3293" si="3496">B3205</f>
        <v>40000</v>
      </c>
      <c r="C3293" s="8" t="str">
        <f t="shared" si="3496"/>
        <v>装备</v>
      </c>
      <c r="D3293" s="8">
        <v>40251051</v>
      </c>
      <c r="E3293" s="8"/>
      <c r="F3293" s="8">
        <v>1</v>
      </c>
      <c r="G3293" s="7">
        <f>3*INDEX([1]equip.xml!$I:$I,MATCH(D3293&amp;"",[1]equip.xml!$A:$A,0))</f>
        <v>84000</v>
      </c>
      <c r="H3293" s="8" t="str">
        <f t="shared" si="3482"/>
        <v>10_10,50_20,80_30</v>
      </c>
      <c r="I3293" s="8">
        <v>8</v>
      </c>
      <c r="J3293" s="8">
        <f t="shared" si="3482"/>
        <v>50</v>
      </c>
      <c r="K3293" s="7" t="s">
        <v>309</v>
      </c>
      <c r="L3293" s="8">
        <v>28</v>
      </c>
      <c r="M3293" s="7">
        <f>IF(INDEX([1]equip.xml!$B:$B,MATCH(D3293&amp;"",[1]equip.xml!$A:$A,0))=0,0,N3293)</f>
        <v>130</v>
      </c>
      <c r="N3293" s="8">
        <f t="shared" ref="N3293" si="3497">N3205</f>
        <v>130</v>
      </c>
    </row>
    <row r="3294" spans="1:14">
      <c r="A3294" s="7">
        <f t="shared" si="3367"/>
        <v>20010</v>
      </c>
      <c r="B3294" s="8">
        <f t="shared" ref="B3294:C3294" si="3498">B3206</f>
        <v>40000</v>
      </c>
      <c r="C3294" s="8" t="str">
        <f t="shared" si="3498"/>
        <v>装备</v>
      </c>
      <c r="D3294" s="8">
        <v>40251060</v>
      </c>
      <c r="E3294" s="8"/>
      <c r="F3294" s="8">
        <v>1</v>
      </c>
      <c r="G3294" s="7">
        <f>3*INDEX([1]equip.xml!$I:$I,MATCH(D3294&amp;"",[1]equip.xml!$A:$A,0))</f>
        <v>75000</v>
      </c>
      <c r="H3294" s="8" t="str">
        <f t="shared" si="3482"/>
        <v>10_10,50_20,80_30</v>
      </c>
      <c r="I3294" s="8">
        <v>8</v>
      </c>
      <c r="J3294" s="8">
        <f t="shared" si="3482"/>
        <v>50</v>
      </c>
      <c r="K3294" s="7" t="s">
        <v>309</v>
      </c>
      <c r="L3294" s="8">
        <v>28</v>
      </c>
      <c r="M3294" s="7">
        <f>IF(INDEX([1]equip.xml!$B:$B,MATCH(D3294&amp;"",[1]equip.xml!$A:$A,0))=0,0,N3294)</f>
        <v>130</v>
      </c>
      <c r="N3294" s="8">
        <f t="shared" ref="N3294" si="3499">N3206</f>
        <v>130</v>
      </c>
    </row>
    <row r="3295" spans="1:14">
      <c r="A3295" s="7">
        <f t="shared" ref="A3295:A3358" si="3500">10000+A479</f>
        <v>20010</v>
      </c>
      <c r="B3295" s="8">
        <f t="shared" ref="B3295:C3295" si="3501">B3207</f>
        <v>40000</v>
      </c>
      <c r="C3295" s="8" t="str">
        <f t="shared" si="3501"/>
        <v>装备</v>
      </c>
      <c r="D3295" s="8">
        <v>40251061</v>
      </c>
      <c r="E3295" s="8"/>
      <c r="F3295" s="8">
        <v>1</v>
      </c>
      <c r="G3295" s="7">
        <f>3*INDEX([1]equip.xml!$I:$I,MATCH(D3295&amp;"",[1]equip.xml!$A:$A,0))</f>
        <v>84000</v>
      </c>
      <c r="H3295" s="8" t="str">
        <f t="shared" si="3482"/>
        <v>10_10,50_20,80_30</v>
      </c>
      <c r="I3295" s="8">
        <v>8</v>
      </c>
      <c r="J3295" s="8">
        <f t="shared" si="3482"/>
        <v>50</v>
      </c>
      <c r="K3295" s="7" t="s">
        <v>309</v>
      </c>
      <c r="L3295" s="8">
        <v>28</v>
      </c>
      <c r="M3295" s="7">
        <f>IF(INDEX([1]equip.xml!$B:$B,MATCH(D3295&amp;"",[1]equip.xml!$A:$A,0))=0,0,N3295)</f>
        <v>0</v>
      </c>
      <c r="N3295" s="8">
        <f t="shared" ref="N3295" si="3502">N3207</f>
        <v>130</v>
      </c>
    </row>
    <row r="3296" spans="1:14">
      <c r="A3296" s="7">
        <f t="shared" si="3500"/>
        <v>20010</v>
      </c>
      <c r="B3296" s="8">
        <f t="shared" ref="B3296:C3296" si="3503">B3208</f>
        <v>40000</v>
      </c>
      <c r="C3296" s="8" t="str">
        <f t="shared" si="3503"/>
        <v>装备</v>
      </c>
      <c r="D3296" s="8">
        <v>40252050</v>
      </c>
      <c r="E3296" s="8"/>
      <c r="F3296" s="8">
        <v>1</v>
      </c>
      <c r="G3296" s="7">
        <f>3*INDEX([1]equip.xml!$I:$I,MATCH(D3296&amp;"",[1]equip.xml!$A:$A,0))</f>
        <v>75000</v>
      </c>
      <c r="H3296" s="8" t="str">
        <f t="shared" si="3482"/>
        <v>10_10,50_20,80_30</v>
      </c>
      <c r="I3296" s="8">
        <v>8</v>
      </c>
      <c r="J3296" s="8">
        <f t="shared" si="3482"/>
        <v>50</v>
      </c>
      <c r="K3296" s="7" t="s">
        <v>309</v>
      </c>
      <c r="L3296" s="8">
        <v>28</v>
      </c>
      <c r="M3296" s="7">
        <f>IF(INDEX([1]equip.xml!$B:$B,MATCH(D3296&amp;"",[1]equip.xml!$A:$A,0))=0,0,N3296)</f>
        <v>130</v>
      </c>
      <c r="N3296" s="8">
        <f t="shared" ref="N3296" si="3504">N3208</f>
        <v>130</v>
      </c>
    </row>
    <row r="3297" spans="1:14">
      <c r="A3297" s="7">
        <f t="shared" si="3500"/>
        <v>20010</v>
      </c>
      <c r="B3297" s="8">
        <f t="shared" ref="B3297:C3297" si="3505">B3209</f>
        <v>40000</v>
      </c>
      <c r="C3297" s="8" t="str">
        <f t="shared" si="3505"/>
        <v>装备</v>
      </c>
      <c r="D3297" s="8">
        <v>40252051</v>
      </c>
      <c r="E3297" s="8"/>
      <c r="F3297" s="8">
        <v>1</v>
      </c>
      <c r="G3297" s="7">
        <f>3*INDEX([1]equip.xml!$I:$I,MATCH(D3297&amp;"",[1]equip.xml!$A:$A,0))</f>
        <v>84000</v>
      </c>
      <c r="H3297" s="8" t="str">
        <f t="shared" si="3482"/>
        <v>10_10,50_20,80_30</v>
      </c>
      <c r="I3297" s="8">
        <v>8</v>
      </c>
      <c r="J3297" s="8">
        <f t="shared" si="3482"/>
        <v>50</v>
      </c>
      <c r="K3297" s="7" t="s">
        <v>309</v>
      </c>
      <c r="L3297" s="8">
        <v>28</v>
      </c>
      <c r="M3297" s="7">
        <f>IF(INDEX([1]equip.xml!$B:$B,MATCH(D3297&amp;"",[1]equip.xml!$A:$A,0))=0,0,N3297)</f>
        <v>130</v>
      </c>
      <c r="N3297" s="8">
        <f t="shared" ref="N3297" si="3506">N3209</f>
        <v>130</v>
      </c>
    </row>
    <row r="3298" spans="1:14">
      <c r="A3298" s="7">
        <f t="shared" si="3500"/>
        <v>20010</v>
      </c>
      <c r="B3298" s="8">
        <f t="shared" ref="B3298:C3298" si="3507">B3210</f>
        <v>40000</v>
      </c>
      <c r="C3298" s="8" t="str">
        <f t="shared" si="3507"/>
        <v>装备</v>
      </c>
      <c r="D3298" s="8">
        <v>40252060</v>
      </c>
      <c r="E3298" s="8"/>
      <c r="F3298" s="8">
        <v>1</v>
      </c>
      <c r="G3298" s="7">
        <f>3*INDEX([1]equip.xml!$I:$I,MATCH(D3298&amp;"",[1]equip.xml!$A:$A,0))</f>
        <v>75000</v>
      </c>
      <c r="H3298" s="8" t="str">
        <f t="shared" si="3482"/>
        <v>10_10,50_20,80_30</v>
      </c>
      <c r="I3298" s="8">
        <v>8</v>
      </c>
      <c r="J3298" s="8">
        <f t="shared" si="3482"/>
        <v>50</v>
      </c>
      <c r="K3298" s="7" t="s">
        <v>309</v>
      </c>
      <c r="L3298" s="8">
        <v>28</v>
      </c>
      <c r="M3298" s="7">
        <f>IF(INDEX([1]equip.xml!$B:$B,MATCH(D3298&amp;"",[1]equip.xml!$A:$A,0))=0,0,N3298)</f>
        <v>130</v>
      </c>
      <c r="N3298" s="8">
        <f t="shared" ref="N3298" si="3508">N3210</f>
        <v>130</v>
      </c>
    </row>
    <row r="3299" spans="1:14">
      <c r="A3299" s="7">
        <f t="shared" si="3500"/>
        <v>20010</v>
      </c>
      <c r="B3299" s="8">
        <f t="shared" ref="B3299:C3299" si="3509">B3211</f>
        <v>40000</v>
      </c>
      <c r="C3299" s="8" t="str">
        <f t="shared" si="3509"/>
        <v>装备</v>
      </c>
      <c r="D3299" s="8">
        <v>40252061</v>
      </c>
      <c r="E3299" s="8"/>
      <c r="F3299" s="8">
        <v>1</v>
      </c>
      <c r="G3299" s="7">
        <f>3*INDEX([1]equip.xml!$I:$I,MATCH(D3299&amp;"",[1]equip.xml!$A:$A,0))</f>
        <v>84000</v>
      </c>
      <c r="H3299" s="8" t="str">
        <f t="shared" si="3482"/>
        <v>10_10,50_20,80_30</v>
      </c>
      <c r="I3299" s="8">
        <v>8</v>
      </c>
      <c r="J3299" s="8">
        <f t="shared" si="3482"/>
        <v>50</v>
      </c>
      <c r="K3299" s="7" t="s">
        <v>309</v>
      </c>
      <c r="L3299" s="8">
        <v>28</v>
      </c>
      <c r="M3299" s="7">
        <f>IF(INDEX([1]equip.xml!$B:$B,MATCH(D3299&amp;"",[1]equip.xml!$A:$A,0))=0,0,N3299)</f>
        <v>0</v>
      </c>
      <c r="N3299" s="8">
        <f t="shared" ref="N3299" si="3510">N3211</f>
        <v>130</v>
      </c>
    </row>
    <row r="3300" spans="1:14">
      <c r="A3300" s="7">
        <f t="shared" si="3500"/>
        <v>20010</v>
      </c>
      <c r="B3300" s="8">
        <f t="shared" ref="B3300:C3300" si="3511">B3212</f>
        <v>40000</v>
      </c>
      <c r="C3300" s="8" t="str">
        <f t="shared" si="3511"/>
        <v>装备</v>
      </c>
      <c r="D3300" s="8">
        <v>40253050</v>
      </c>
      <c r="E3300" s="8"/>
      <c r="F3300" s="8">
        <v>1</v>
      </c>
      <c r="G3300" s="7">
        <f>3*INDEX([1]equip.xml!$I:$I,MATCH(D3300&amp;"",[1]equip.xml!$A:$A,0))</f>
        <v>75000</v>
      </c>
      <c r="H3300" s="8" t="str">
        <f t="shared" si="3482"/>
        <v>10_10,50_20,80_30</v>
      </c>
      <c r="I3300" s="8">
        <v>8</v>
      </c>
      <c r="J3300" s="8">
        <f t="shared" si="3482"/>
        <v>50</v>
      </c>
      <c r="K3300" s="7" t="s">
        <v>309</v>
      </c>
      <c r="L3300" s="8">
        <v>28</v>
      </c>
      <c r="M3300" s="7">
        <f>IF(INDEX([1]equip.xml!$B:$B,MATCH(D3300&amp;"",[1]equip.xml!$A:$A,0))=0,0,N3300)</f>
        <v>130</v>
      </c>
      <c r="N3300" s="8">
        <f t="shared" ref="N3300" si="3512">N3212</f>
        <v>130</v>
      </c>
    </row>
    <row r="3301" spans="1:14">
      <c r="A3301" s="7">
        <f t="shared" si="3500"/>
        <v>20010</v>
      </c>
      <c r="B3301" s="8">
        <f t="shared" ref="B3301:C3301" si="3513">B3213</f>
        <v>40000</v>
      </c>
      <c r="C3301" s="8" t="str">
        <f t="shared" si="3513"/>
        <v>装备</v>
      </c>
      <c r="D3301" s="8">
        <v>40253051</v>
      </c>
      <c r="E3301" s="8"/>
      <c r="F3301" s="8">
        <v>1</v>
      </c>
      <c r="G3301" s="7">
        <f>3*INDEX([1]equip.xml!$I:$I,MATCH(D3301&amp;"",[1]equip.xml!$A:$A,0))</f>
        <v>84000</v>
      </c>
      <c r="H3301" s="8" t="str">
        <f t="shared" si="3482"/>
        <v>10_10,50_20,80_30</v>
      </c>
      <c r="I3301" s="8">
        <v>8</v>
      </c>
      <c r="J3301" s="8">
        <f t="shared" si="3482"/>
        <v>50</v>
      </c>
      <c r="K3301" s="7" t="s">
        <v>309</v>
      </c>
      <c r="L3301" s="8">
        <v>28</v>
      </c>
      <c r="M3301" s="7">
        <f>IF(INDEX([1]equip.xml!$B:$B,MATCH(D3301&amp;"",[1]equip.xml!$A:$A,0))=0,0,N3301)</f>
        <v>0</v>
      </c>
      <c r="N3301" s="8">
        <f t="shared" ref="N3301" si="3514">N3213</f>
        <v>130</v>
      </c>
    </row>
    <row r="3302" spans="1:14">
      <c r="A3302" s="7">
        <f t="shared" si="3500"/>
        <v>20010</v>
      </c>
      <c r="B3302" s="8">
        <f t="shared" ref="B3302:C3302" si="3515">B3214</f>
        <v>40000</v>
      </c>
      <c r="C3302" s="8" t="str">
        <f t="shared" si="3515"/>
        <v>装备</v>
      </c>
      <c r="D3302" s="8">
        <v>40253060</v>
      </c>
      <c r="E3302" s="8"/>
      <c r="F3302" s="8">
        <v>1</v>
      </c>
      <c r="G3302" s="7">
        <f>3*INDEX([1]equip.xml!$I:$I,MATCH(D3302&amp;"",[1]equip.xml!$A:$A,0))</f>
        <v>75000</v>
      </c>
      <c r="H3302" s="8" t="str">
        <f t="shared" ref="H3302:J3317" si="3516">H3214</f>
        <v>10_10,50_20,80_30</v>
      </c>
      <c r="I3302" s="8">
        <v>8</v>
      </c>
      <c r="J3302" s="8">
        <f t="shared" si="3516"/>
        <v>50</v>
      </c>
      <c r="K3302" s="7" t="s">
        <v>309</v>
      </c>
      <c r="L3302" s="8">
        <v>28</v>
      </c>
      <c r="M3302" s="7">
        <f>IF(INDEX([1]equip.xml!$B:$B,MATCH(D3302&amp;"",[1]equip.xml!$A:$A,0))=0,0,N3302)</f>
        <v>130</v>
      </c>
      <c r="N3302" s="8">
        <f t="shared" ref="N3302" si="3517">N3214</f>
        <v>130</v>
      </c>
    </row>
    <row r="3303" spans="1:14">
      <c r="A3303" s="7">
        <f t="shared" si="3500"/>
        <v>20010</v>
      </c>
      <c r="B3303" s="8">
        <f t="shared" ref="B3303:C3303" si="3518">B3215</f>
        <v>40000</v>
      </c>
      <c r="C3303" s="8" t="str">
        <f t="shared" si="3518"/>
        <v>装备</v>
      </c>
      <c r="D3303" s="8">
        <v>40253061</v>
      </c>
      <c r="E3303" s="8"/>
      <c r="F3303" s="8">
        <v>1</v>
      </c>
      <c r="G3303" s="7">
        <f>3*INDEX([1]equip.xml!$I:$I,MATCH(D3303&amp;"",[1]equip.xml!$A:$A,0))</f>
        <v>84000</v>
      </c>
      <c r="H3303" s="8" t="str">
        <f t="shared" si="3516"/>
        <v>10_10,50_20,80_30</v>
      </c>
      <c r="I3303" s="8">
        <v>8</v>
      </c>
      <c r="J3303" s="8">
        <f t="shared" si="3516"/>
        <v>50</v>
      </c>
      <c r="K3303" s="7" t="s">
        <v>309</v>
      </c>
      <c r="L3303" s="8">
        <v>28</v>
      </c>
      <c r="M3303" s="7">
        <f>IF(INDEX([1]equip.xml!$B:$B,MATCH(D3303&amp;"",[1]equip.xml!$A:$A,0))=0,0,N3303)</f>
        <v>0</v>
      </c>
      <c r="N3303" s="8">
        <f t="shared" ref="N3303" si="3519">N3215</f>
        <v>130</v>
      </c>
    </row>
    <row r="3304" spans="1:14">
      <c r="A3304" s="7">
        <f t="shared" si="3500"/>
        <v>20010</v>
      </c>
      <c r="B3304" s="8">
        <f t="shared" ref="B3304:C3304" si="3520">B3216</f>
        <v>40000</v>
      </c>
      <c r="C3304" s="8" t="str">
        <f t="shared" si="3520"/>
        <v>装备</v>
      </c>
      <c r="D3304" s="8">
        <v>40250040</v>
      </c>
      <c r="E3304" s="8"/>
      <c r="F3304" s="8">
        <v>1</v>
      </c>
      <c r="G3304" s="7">
        <f>3*INDEX([1]equip.xml!$I:$I,MATCH(D3304&amp;"",[1]equip.xml!$A:$A,0))</f>
        <v>75000</v>
      </c>
      <c r="H3304" s="8" t="str">
        <f t="shared" si="3516"/>
        <v>10_10,50_20,80_30</v>
      </c>
      <c r="I3304" s="8">
        <v>8</v>
      </c>
      <c r="J3304" s="8">
        <f t="shared" si="3516"/>
        <v>50</v>
      </c>
      <c r="K3304" s="7" t="s">
        <v>309</v>
      </c>
      <c r="L3304" s="8">
        <v>28</v>
      </c>
      <c r="M3304" s="7">
        <f>IF(INDEX([1]equip.xml!$B:$B,MATCH(D3304&amp;"",[1]equip.xml!$A:$A,0))=0,0,N3304)</f>
        <v>130</v>
      </c>
      <c r="N3304" s="8">
        <f t="shared" ref="N3304" si="3521">N3216</f>
        <v>130</v>
      </c>
    </row>
    <row r="3305" spans="1:14">
      <c r="A3305" s="7">
        <f t="shared" si="3500"/>
        <v>20010</v>
      </c>
      <c r="B3305" s="8">
        <f t="shared" ref="B3305:C3305" si="3522">B3217</f>
        <v>40000</v>
      </c>
      <c r="C3305" s="8" t="str">
        <f t="shared" si="3522"/>
        <v>装备</v>
      </c>
      <c r="D3305" s="8">
        <v>40250041</v>
      </c>
      <c r="E3305" s="8"/>
      <c r="F3305" s="8">
        <v>1</v>
      </c>
      <c r="G3305" s="7">
        <f>3*INDEX([1]equip.xml!$I:$I,MATCH(D3305&amp;"",[1]equip.xml!$A:$A,0))</f>
        <v>84000</v>
      </c>
      <c r="H3305" s="8" t="str">
        <f t="shared" si="3516"/>
        <v>10_10,50_20,80_30</v>
      </c>
      <c r="I3305" s="8">
        <v>8</v>
      </c>
      <c r="J3305" s="8">
        <f t="shared" si="3516"/>
        <v>50</v>
      </c>
      <c r="K3305" s="7" t="s">
        <v>309</v>
      </c>
      <c r="L3305" s="8">
        <v>28</v>
      </c>
      <c r="M3305" s="7">
        <f>IF(INDEX([1]equip.xml!$B:$B,MATCH(D3305&amp;"",[1]equip.xml!$A:$A,0))=0,0,N3305)</f>
        <v>0</v>
      </c>
      <c r="N3305" s="8">
        <f t="shared" ref="N3305" si="3523">N3217</f>
        <v>130</v>
      </c>
    </row>
    <row r="3306" spans="1:14">
      <c r="A3306" s="7">
        <f t="shared" si="3500"/>
        <v>20010</v>
      </c>
      <c r="B3306" s="8">
        <f t="shared" ref="B3306:C3306" si="3524">B3218</f>
        <v>40000</v>
      </c>
      <c r="C3306" s="8" t="str">
        <f t="shared" si="3524"/>
        <v>装备</v>
      </c>
      <c r="D3306" s="8">
        <v>40250070</v>
      </c>
      <c r="E3306" s="8"/>
      <c r="F3306" s="8">
        <v>1</v>
      </c>
      <c r="G3306" s="7">
        <f>3*INDEX([1]equip.xml!$I:$I,MATCH(D3306&amp;"",[1]equip.xml!$A:$A,0))</f>
        <v>75000</v>
      </c>
      <c r="H3306" s="8" t="str">
        <f t="shared" si="3516"/>
        <v>10_10,50_20,80_30</v>
      </c>
      <c r="I3306" s="8">
        <v>8</v>
      </c>
      <c r="J3306" s="8">
        <f t="shared" si="3516"/>
        <v>50</v>
      </c>
      <c r="K3306" s="7" t="s">
        <v>309</v>
      </c>
      <c r="L3306" s="8">
        <v>28</v>
      </c>
      <c r="M3306" s="7">
        <f>IF(INDEX([1]equip.xml!$B:$B,MATCH(D3306&amp;"",[1]equip.xml!$A:$A,0))=0,0,N3306)</f>
        <v>130</v>
      </c>
      <c r="N3306" s="8">
        <f t="shared" ref="N3306" si="3525">N3218</f>
        <v>130</v>
      </c>
    </row>
    <row r="3307" spans="1:14">
      <c r="A3307" s="7">
        <f t="shared" si="3500"/>
        <v>20010</v>
      </c>
      <c r="B3307" s="8">
        <f t="shared" ref="B3307:C3307" si="3526">B3219</f>
        <v>40000</v>
      </c>
      <c r="C3307" s="8" t="str">
        <f t="shared" si="3526"/>
        <v>装备</v>
      </c>
      <c r="D3307" s="8">
        <v>40250071</v>
      </c>
      <c r="E3307" s="8"/>
      <c r="F3307" s="8">
        <v>1</v>
      </c>
      <c r="G3307" s="7">
        <f>3*INDEX([1]equip.xml!$I:$I,MATCH(D3307&amp;"",[1]equip.xml!$A:$A,0))</f>
        <v>84000</v>
      </c>
      <c r="H3307" s="8" t="str">
        <f t="shared" si="3516"/>
        <v>10_10,50_20,80_30</v>
      </c>
      <c r="I3307" s="8">
        <v>8</v>
      </c>
      <c r="J3307" s="8">
        <f t="shared" si="3516"/>
        <v>50</v>
      </c>
      <c r="K3307" s="7" t="s">
        <v>309</v>
      </c>
      <c r="L3307" s="8">
        <v>28</v>
      </c>
      <c r="M3307" s="7">
        <f>IF(INDEX([1]equip.xml!$B:$B,MATCH(D3307&amp;"",[1]equip.xml!$A:$A,0))=0,0,N3307)</f>
        <v>0</v>
      </c>
      <c r="N3307" s="8">
        <f t="shared" ref="N3307" si="3527">N3219</f>
        <v>130</v>
      </c>
    </row>
    <row r="3308" spans="1:14">
      <c r="A3308" s="7">
        <f t="shared" si="3500"/>
        <v>20010</v>
      </c>
      <c r="B3308" s="8">
        <f t="shared" ref="B3308:C3308" si="3528">B3220</f>
        <v>40000</v>
      </c>
      <c r="C3308" s="8" t="str">
        <f t="shared" si="3528"/>
        <v>装备</v>
      </c>
      <c r="D3308" s="8">
        <v>40300010</v>
      </c>
      <c r="E3308" s="8"/>
      <c r="F3308" s="8">
        <v>1</v>
      </c>
      <c r="G3308" s="7">
        <f>3*INDEX([1]equip.xml!$I:$I,MATCH(D3308&amp;"",[1]equip.xml!$A:$A,0))</f>
        <v>90000</v>
      </c>
      <c r="H3308" s="8" t="str">
        <f t="shared" si="3516"/>
        <v>10_10,50_20,80_30</v>
      </c>
      <c r="I3308" s="8">
        <v>8</v>
      </c>
      <c r="J3308" s="8">
        <f t="shared" si="3516"/>
        <v>50</v>
      </c>
      <c r="K3308" s="7" t="s">
        <v>309</v>
      </c>
      <c r="L3308" s="8">
        <v>28</v>
      </c>
      <c r="M3308" s="7">
        <f>IF(INDEX([1]equip.xml!$B:$B,MATCH(D3308&amp;"",[1]equip.xml!$A:$A,0))=0,0,N3308)</f>
        <v>65</v>
      </c>
      <c r="N3308" s="8">
        <f t="shared" ref="N3308" si="3529">N3220</f>
        <v>65</v>
      </c>
    </row>
    <row r="3309" spans="1:14">
      <c r="A3309" s="7">
        <f t="shared" si="3500"/>
        <v>20010</v>
      </c>
      <c r="B3309" s="8">
        <f t="shared" ref="B3309:C3309" si="3530">B3221</f>
        <v>40000</v>
      </c>
      <c r="C3309" s="8" t="str">
        <f t="shared" si="3530"/>
        <v>装备</v>
      </c>
      <c r="D3309" s="8">
        <v>40300020</v>
      </c>
      <c r="E3309" s="8"/>
      <c r="F3309" s="8">
        <v>1</v>
      </c>
      <c r="G3309" s="7">
        <f>3*INDEX([1]equip.xml!$I:$I,MATCH(D3309&amp;"",[1]equip.xml!$A:$A,0))</f>
        <v>90000</v>
      </c>
      <c r="H3309" s="8" t="str">
        <f t="shared" si="3516"/>
        <v>10_10,50_20,80_30</v>
      </c>
      <c r="I3309" s="8">
        <v>8</v>
      </c>
      <c r="J3309" s="8">
        <f t="shared" si="3516"/>
        <v>50</v>
      </c>
      <c r="K3309" s="7" t="s">
        <v>309</v>
      </c>
      <c r="L3309" s="8">
        <v>28</v>
      </c>
      <c r="M3309" s="7">
        <f>IF(INDEX([1]equip.xml!$B:$B,MATCH(D3309&amp;"",[1]equip.xml!$A:$A,0))=0,0,N3309)</f>
        <v>65</v>
      </c>
      <c r="N3309" s="8">
        <f t="shared" ref="N3309" si="3531">N3221</f>
        <v>65</v>
      </c>
    </row>
    <row r="3310" spans="1:14">
      <c r="A3310" s="7">
        <f t="shared" si="3500"/>
        <v>20010</v>
      </c>
      <c r="B3310" s="8">
        <f t="shared" ref="B3310:C3310" si="3532">B3222</f>
        <v>40000</v>
      </c>
      <c r="C3310" s="8" t="str">
        <f t="shared" si="3532"/>
        <v>装备</v>
      </c>
      <c r="D3310" s="8">
        <v>40300030</v>
      </c>
      <c r="E3310" s="8"/>
      <c r="F3310" s="8">
        <v>1</v>
      </c>
      <c r="G3310" s="7">
        <f>3*INDEX([1]equip.xml!$I:$I,MATCH(D3310&amp;"",[1]equip.xml!$A:$A,0))</f>
        <v>90000</v>
      </c>
      <c r="H3310" s="8" t="str">
        <f t="shared" si="3516"/>
        <v>10_10,50_20,80_30</v>
      </c>
      <c r="I3310" s="8">
        <v>8</v>
      </c>
      <c r="J3310" s="8">
        <f t="shared" si="3516"/>
        <v>50</v>
      </c>
      <c r="K3310" s="7" t="s">
        <v>309</v>
      </c>
      <c r="L3310" s="8">
        <v>28</v>
      </c>
      <c r="M3310" s="7">
        <f>IF(INDEX([1]equip.xml!$B:$B,MATCH(D3310&amp;"",[1]equip.xml!$A:$A,0))=0,0,N3310)</f>
        <v>65</v>
      </c>
      <c r="N3310" s="8">
        <f t="shared" ref="N3310" si="3533">N3222</f>
        <v>65</v>
      </c>
    </row>
    <row r="3311" spans="1:14">
      <c r="A3311" s="7">
        <f t="shared" si="3500"/>
        <v>20010</v>
      </c>
      <c r="B3311" s="8">
        <f t="shared" ref="B3311:C3311" si="3534">B3223</f>
        <v>40000</v>
      </c>
      <c r="C3311" s="8" t="str">
        <f t="shared" si="3534"/>
        <v>装备</v>
      </c>
      <c r="D3311" s="8">
        <v>40300080</v>
      </c>
      <c r="E3311" s="8"/>
      <c r="F3311" s="8">
        <v>1</v>
      </c>
      <c r="G3311" s="7">
        <f>3*INDEX([1]equip.xml!$I:$I,MATCH(D3311&amp;"",[1]equip.xml!$A:$A,0))</f>
        <v>90000</v>
      </c>
      <c r="H3311" s="8" t="str">
        <f t="shared" si="3516"/>
        <v>10_10,50_20,80_30</v>
      </c>
      <c r="I3311" s="8">
        <v>8</v>
      </c>
      <c r="J3311" s="8">
        <f t="shared" si="3516"/>
        <v>50</v>
      </c>
      <c r="K3311" s="7" t="s">
        <v>309</v>
      </c>
      <c r="L3311" s="8">
        <v>28</v>
      </c>
      <c r="M3311" s="7">
        <f>IF(INDEX([1]equip.xml!$B:$B,MATCH(D3311&amp;"",[1]equip.xml!$A:$A,0))=0,0,N3311)</f>
        <v>65</v>
      </c>
      <c r="N3311" s="8">
        <f t="shared" ref="N3311" si="3535">N3223</f>
        <v>65</v>
      </c>
    </row>
    <row r="3312" spans="1:14">
      <c r="A3312" s="7">
        <f t="shared" si="3500"/>
        <v>20010</v>
      </c>
      <c r="B3312" s="8">
        <f t="shared" ref="B3312:C3312" si="3536">B3224</f>
        <v>40000</v>
      </c>
      <c r="C3312" s="8" t="str">
        <f t="shared" si="3536"/>
        <v>装备</v>
      </c>
      <c r="D3312" s="8">
        <v>40300090</v>
      </c>
      <c r="E3312" s="8"/>
      <c r="F3312" s="8">
        <v>1</v>
      </c>
      <c r="G3312" s="7">
        <f>3*INDEX([1]equip.xml!$I:$I,MATCH(D3312&amp;"",[1]equip.xml!$A:$A,0))</f>
        <v>90000</v>
      </c>
      <c r="H3312" s="8" t="str">
        <f t="shared" si="3516"/>
        <v>10_10,50_20,80_30</v>
      </c>
      <c r="I3312" s="8">
        <v>8</v>
      </c>
      <c r="J3312" s="8">
        <f t="shared" si="3516"/>
        <v>50</v>
      </c>
      <c r="K3312" s="7" t="s">
        <v>309</v>
      </c>
      <c r="L3312" s="8">
        <v>28</v>
      </c>
      <c r="M3312" s="7">
        <f>IF(INDEX([1]equip.xml!$B:$B,MATCH(D3312&amp;"",[1]equip.xml!$A:$A,0))=0,0,N3312)</f>
        <v>65</v>
      </c>
      <c r="N3312" s="8">
        <f t="shared" ref="N3312" si="3537">N3224</f>
        <v>65</v>
      </c>
    </row>
    <row r="3313" spans="1:14">
      <c r="A3313" s="7">
        <f t="shared" si="3500"/>
        <v>20010</v>
      </c>
      <c r="B3313" s="8">
        <f t="shared" ref="B3313:C3313" si="3538">B3225</f>
        <v>40000</v>
      </c>
      <c r="C3313" s="8" t="str">
        <f t="shared" si="3538"/>
        <v>装备</v>
      </c>
      <c r="D3313" s="8">
        <v>40300100</v>
      </c>
      <c r="E3313" s="8"/>
      <c r="F3313" s="8">
        <v>1</v>
      </c>
      <c r="G3313" s="7">
        <f>3*INDEX([1]equip.xml!$I:$I,MATCH(D3313&amp;"",[1]equip.xml!$A:$A,0))</f>
        <v>90000</v>
      </c>
      <c r="H3313" s="8" t="str">
        <f t="shared" si="3516"/>
        <v>10_10,50_20,80_30</v>
      </c>
      <c r="I3313" s="8">
        <v>8</v>
      </c>
      <c r="J3313" s="8">
        <f t="shared" si="3516"/>
        <v>50</v>
      </c>
      <c r="K3313" s="7" t="s">
        <v>309</v>
      </c>
      <c r="L3313" s="8">
        <v>28</v>
      </c>
      <c r="M3313" s="7">
        <f>IF(INDEX([1]equip.xml!$B:$B,MATCH(D3313&amp;"",[1]equip.xml!$A:$A,0))=0,0,N3313)</f>
        <v>65</v>
      </c>
      <c r="N3313" s="8">
        <f t="shared" ref="N3313" si="3539">N3225</f>
        <v>65</v>
      </c>
    </row>
    <row r="3314" spans="1:14">
      <c r="A3314" s="7">
        <f t="shared" si="3500"/>
        <v>20010</v>
      </c>
      <c r="B3314" s="8">
        <f t="shared" ref="B3314:C3314" si="3540">B3226</f>
        <v>40000</v>
      </c>
      <c r="C3314" s="8" t="str">
        <f t="shared" si="3540"/>
        <v>装备</v>
      </c>
      <c r="D3314" s="8">
        <v>40301050</v>
      </c>
      <c r="E3314" s="8"/>
      <c r="F3314" s="8">
        <v>1</v>
      </c>
      <c r="G3314" s="7">
        <f>3*INDEX([1]equip.xml!$I:$I,MATCH(D3314&amp;"",[1]equip.xml!$A:$A,0))</f>
        <v>90000</v>
      </c>
      <c r="H3314" s="8" t="str">
        <f t="shared" si="3516"/>
        <v>10_10,50_20,80_30</v>
      </c>
      <c r="I3314" s="8">
        <v>8</v>
      </c>
      <c r="J3314" s="8">
        <f t="shared" si="3516"/>
        <v>50</v>
      </c>
      <c r="K3314" s="7" t="s">
        <v>309</v>
      </c>
      <c r="L3314" s="8">
        <v>28</v>
      </c>
      <c r="M3314" s="7">
        <f>IF(INDEX([1]equip.xml!$B:$B,MATCH(D3314&amp;"",[1]equip.xml!$A:$A,0))=0,0,N3314)</f>
        <v>65</v>
      </c>
      <c r="N3314" s="8">
        <f t="shared" ref="N3314" si="3541">N3226</f>
        <v>65</v>
      </c>
    </row>
    <row r="3315" spans="1:14">
      <c r="A3315" s="7">
        <f t="shared" si="3500"/>
        <v>20010</v>
      </c>
      <c r="B3315" s="8">
        <f t="shared" ref="B3315:C3315" si="3542">B3227</f>
        <v>40000</v>
      </c>
      <c r="C3315" s="8" t="str">
        <f t="shared" si="3542"/>
        <v>装备</v>
      </c>
      <c r="D3315" s="8">
        <v>40301051</v>
      </c>
      <c r="E3315" s="8"/>
      <c r="F3315" s="8">
        <v>1</v>
      </c>
      <c r="G3315" s="7">
        <f>3*INDEX([1]equip.xml!$I:$I,MATCH(D3315&amp;"",[1]equip.xml!$A:$A,0))</f>
        <v>99000</v>
      </c>
      <c r="H3315" s="8" t="str">
        <f t="shared" si="3516"/>
        <v>10_10,50_20,80_30</v>
      </c>
      <c r="I3315" s="8">
        <v>8</v>
      </c>
      <c r="J3315" s="8">
        <f t="shared" si="3516"/>
        <v>50</v>
      </c>
      <c r="K3315" s="7" t="s">
        <v>309</v>
      </c>
      <c r="L3315" s="8">
        <v>28</v>
      </c>
      <c r="M3315" s="7">
        <f>IF(INDEX([1]equip.xml!$B:$B,MATCH(D3315&amp;"",[1]equip.xml!$A:$A,0))=0,0,N3315)</f>
        <v>65</v>
      </c>
      <c r="N3315" s="8">
        <f t="shared" ref="N3315" si="3543">N3227</f>
        <v>65</v>
      </c>
    </row>
    <row r="3316" spans="1:14">
      <c r="A3316" s="7">
        <f t="shared" si="3500"/>
        <v>20010</v>
      </c>
      <c r="B3316" s="8">
        <f t="shared" ref="B3316:C3316" si="3544">B3228</f>
        <v>40000</v>
      </c>
      <c r="C3316" s="8" t="str">
        <f t="shared" si="3544"/>
        <v>装备</v>
      </c>
      <c r="D3316" s="8">
        <v>40301060</v>
      </c>
      <c r="E3316" s="8"/>
      <c r="F3316" s="8">
        <v>1</v>
      </c>
      <c r="G3316" s="7">
        <f>3*INDEX([1]equip.xml!$I:$I,MATCH(D3316&amp;"",[1]equip.xml!$A:$A,0))</f>
        <v>90000</v>
      </c>
      <c r="H3316" s="8" t="str">
        <f t="shared" si="3516"/>
        <v>10_10,50_20,80_30</v>
      </c>
      <c r="I3316" s="8">
        <v>8</v>
      </c>
      <c r="J3316" s="8">
        <f t="shared" si="3516"/>
        <v>50</v>
      </c>
      <c r="K3316" s="7" t="s">
        <v>309</v>
      </c>
      <c r="L3316" s="8">
        <v>28</v>
      </c>
      <c r="M3316" s="7">
        <f>IF(INDEX([1]equip.xml!$B:$B,MATCH(D3316&amp;"",[1]equip.xml!$A:$A,0))=0,0,N3316)</f>
        <v>65</v>
      </c>
      <c r="N3316" s="8">
        <f t="shared" ref="N3316" si="3545">N3228</f>
        <v>65</v>
      </c>
    </row>
    <row r="3317" spans="1:14">
      <c r="A3317" s="7">
        <f t="shared" si="3500"/>
        <v>20010</v>
      </c>
      <c r="B3317" s="8">
        <f t="shared" ref="B3317:C3317" si="3546">B3229</f>
        <v>40000</v>
      </c>
      <c r="C3317" s="8" t="str">
        <f t="shared" si="3546"/>
        <v>装备</v>
      </c>
      <c r="D3317" s="8">
        <v>40301061</v>
      </c>
      <c r="E3317" s="8"/>
      <c r="F3317" s="8">
        <v>1</v>
      </c>
      <c r="G3317" s="7">
        <f>3*INDEX([1]equip.xml!$I:$I,MATCH(D3317&amp;"",[1]equip.xml!$A:$A,0))</f>
        <v>99000</v>
      </c>
      <c r="H3317" s="8" t="str">
        <f t="shared" si="3516"/>
        <v>10_10,50_20,80_30</v>
      </c>
      <c r="I3317" s="8">
        <v>8</v>
      </c>
      <c r="J3317" s="8">
        <f t="shared" si="3516"/>
        <v>50</v>
      </c>
      <c r="K3317" s="7" t="s">
        <v>309</v>
      </c>
      <c r="L3317" s="8">
        <v>28</v>
      </c>
      <c r="M3317" s="7">
        <f>IF(INDEX([1]equip.xml!$B:$B,MATCH(D3317&amp;"",[1]equip.xml!$A:$A,0))=0,0,N3317)</f>
        <v>0</v>
      </c>
      <c r="N3317" s="8">
        <f t="shared" ref="N3317" si="3547">N3229</f>
        <v>65</v>
      </c>
    </row>
    <row r="3318" spans="1:14">
      <c r="A3318" s="7">
        <f t="shared" si="3500"/>
        <v>20010</v>
      </c>
      <c r="B3318" s="8">
        <f t="shared" ref="B3318:C3318" si="3548">B3230</f>
        <v>40000</v>
      </c>
      <c r="C3318" s="8" t="str">
        <f t="shared" si="3548"/>
        <v>装备</v>
      </c>
      <c r="D3318" s="8">
        <v>40302050</v>
      </c>
      <c r="E3318" s="8"/>
      <c r="F3318" s="8">
        <v>1</v>
      </c>
      <c r="G3318" s="7">
        <f>3*INDEX([1]equip.xml!$I:$I,MATCH(D3318&amp;"",[1]equip.xml!$A:$A,0))</f>
        <v>90000</v>
      </c>
      <c r="H3318" s="8" t="str">
        <f t="shared" ref="H3318:J3333" si="3549">H3230</f>
        <v>10_10,50_20,80_30</v>
      </c>
      <c r="I3318" s="8">
        <v>8</v>
      </c>
      <c r="J3318" s="8">
        <f t="shared" si="3549"/>
        <v>50</v>
      </c>
      <c r="K3318" s="7" t="s">
        <v>309</v>
      </c>
      <c r="L3318" s="8">
        <v>28</v>
      </c>
      <c r="M3318" s="7">
        <f>IF(INDEX([1]equip.xml!$B:$B,MATCH(D3318&amp;"",[1]equip.xml!$A:$A,0))=0,0,N3318)</f>
        <v>65</v>
      </c>
      <c r="N3318" s="8">
        <f t="shared" ref="N3318" si="3550">N3230</f>
        <v>65</v>
      </c>
    </row>
    <row r="3319" spans="1:14">
      <c r="A3319" s="7">
        <f t="shared" si="3500"/>
        <v>20010</v>
      </c>
      <c r="B3319" s="8">
        <f t="shared" ref="B3319:C3319" si="3551">B3231</f>
        <v>40000</v>
      </c>
      <c r="C3319" s="8" t="str">
        <f t="shared" si="3551"/>
        <v>装备</v>
      </c>
      <c r="D3319" s="8">
        <v>40302051</v>
      </c>
      <c r="E3319" s="8"/>
      <c r="F3319" s="8">
        <v>1</v>
      </c>
      <c r="G3319" s="7">
        <f>3*INDEX([1]equip.xml!$I:$I,MATCH(D3319&amp;"",[1]equip.xml!$A:$A,0))</f>
        <v>99000</v>
      </c>
      <c r="H3319" s="8" t="str">
        <f t="shared" si="3549"/>
        <v>10_10,50_20,80_30</v>
      </c>
      <c r="I3319" s="8">
        <v>8</v>
      </c>
      <c r="J3319" s="8">
        <f t="shared" si="3549"/>
        <v>50</v>
      </c>
      <c r="K3319" s="7" t="s">
        <v>309</v>
      </c>
      <c r="L3319" s="8">
        <v>28</v>
      </c>
      <c r="M3319" s="7">
        <f>IF(INDEX([1]equip.xml!$B:$B,MATCH(D3319&amp;"",[1]equip.xml!$A:$A,0))=0,0,N3319)</f>
        <v>65</v>
      </c>
      <c r="N3319" s="8">
        <f t="shared" ref="N3319" si="3552">N3231</f>
        <v>65</v>
      </c>
    </row>
    <row r="3320" spans="1:14">
      <c r="A3320" s="7">
        <f t="shared" si="3500"/>
        <v>20010</v>
      </c>
      <c r="B3320" s="8">
        <f t="shared" ref="B3320:C3320" si="3553">B3232</f>
        <v>40000</v>
      </c>
      <c r="C3320" s="8" t="str">
        <f t="shared" si="3553"/>
        <v>装备</v>
      </c>
      <c r="D3320" s="8">
        <v>40302060</v>
      </c>
      <c r="E3320" s="8"/>
      <c r="F3320" s="8">
        <v>1</v>
      </c>
      <c r="G3320" s="7">
        <f>3*INDEX([1]equip.xml!$I:$I,MATCH(D3320&amp;"",[1]equip.xml!$A:$A,0))</f>
        <v>90000</v>
      </c>
      <c r="H3320" s="8" t="str">
        <f t="shared" si="3549"/>
        <v>10_10,50_20,80_30</v>
      </c>
      <c r="I3320" s="8">
        <v>8</v>
      </c>
      <c r="J3320" s="8">
        <f t="shared" si="3549"/>
        <v>50</v>
      </c>
      <c r="K3320" s="7" t="s">
        <v>309</v>
      </c>
      <c r="L3320" s="8">
        <v>28</v>
      </c>
      <c r="M3320" s="7">
        <f>IF(INDEX([1]equip.xml!$B:$B,MATCH(D3320&amp;"",[1]equip.xml!$A:$A,0))=0,0,N3320)</f>
        <v>65</v>
      </c>
      <c r="N3320" s="8">
        <f t="shared" ref="N3320" si="3554">N3232</f>
        <v>65</v>
      </c>
    </row>
    <row r="3321" spans="1:14">
      <c r="A3321" s="7">
        <f t="shared" si="3500"/>
        <v>20010</v>
      </c>
      <c r="B3321" s="8">
        <f t="shared" ref="B3321:C3321" si="3555">B3233</f>
        <v>40000</v>
      </c>
      <c r="C3321" s="8" t="str">
        <f t="shared" si="3555"/>
        <v>装备</v>
      </c>
      <c r="D3321" s="8">
        <v>40302061</v>
      </c>
      <c r="E3321" s="8"/>
      <c r="F3321" s="8">
        <v>1</v>
      </c>
      <c r="G3321" s="7">
        <f>3*INDEX([1]equip.xml!$I:$I,MATCH(D3321&amp;"",[1]equip.xml!$A:$A,0))</f>
        <v>99000</v>
      </c>
      <c r="H3321" s="8" t="str">
        <f t="shared" si="3549"/>
        <v>10_10,50_20,80_30</v>
      </c>
      <c r="I3321" s="8">
        <v>8</v>
      </c>
      <c r="J3321" s="8">
        <f t="shared" si="3549"/>
        <v>50</v>
      </c>
      <c r="K3321" s="7" t="s">
        <v>309</v>
      </c>
      <c r="L3321" s="8">
        <v>28</v>
      </c>
      <c r="M3321" s="7">
        <f>IF(INDEX([1]equip.xml!$B:$B,MATCH(D3321&amp;"",[1]equip.xml!$A:$A,0))=0,0,N3321)</f>
        <v>0</v>
      </c>
      <c r="N3321" s="8">
        <f t="shared" ref="N3321" si="3556">N3233</f>
        <v>65</v>
      </c>
    </row>
    <row r="3322" spans="1:14">
      <c r="A3322" s="7">
        <f t="shared" si="3500"/>
        <v>20010</v>
      </c>
      <c r="B3322" s="8">
        <f t="shared" ref="B3322:C3322" si="3557">B3234</f>
        <v>40000</v>
      </c>
      <c r="C3322" s="8" t="str">
        <f t="shared" si="3557"/>
        <v>装备</v>
      </c>
      <c r="D3322" s="8">
        <v>40303050</v>
      </c>
      <c r="E3322" s="8"/>
      <c r="F3322" s="8">
        <v>1</v>
      </c>
      <c r="G3322" s="7">
        <f>3*INDEX([1]equip.xml!$I:$I,MATCH(D3322&amp;"",[1]equip.xml!$A:$A,0))</f>
        <v>90000</v>
      </c>
      <c r="H3322" s="8" t="str">
        <f t="shared" si="3549"/>
        <v>10_10,50_20,80_30</v>
      </c>
      <c r="I3322" s="8">
        <v>8</v>
      </c>
      <c r="J3322" s="8">
        <f t="shared" si="3549"/>
        <v>50</v>
      </c>
      <c r="K3322" s="7" t="s">
        <v>309</v>
      </c>
      <c r="L3322" s="8">
        <v>28</v>
      </c>
      <c r="M3322" s="7">
        <f>IF(INDEX([1]equip.xml!$B:$B,MATCH(D3322&amp;"",[1]equip.xml!$A:$A,0))=0,0,N3322)</f>
        <v>65</v>
      </c>
      <c r="N3322" s="8">
        <f t="shared" ref="N3322" si="3558">N3234</f>
        <v>65</v>
      </c>
    </row>
    <row r="3323" spans="1:14">
      <c r="A3323" s="7">
        <f t="shared" si="3500"/>
        <v>20010</v>
      </c>
      <c r="B3323" s="8">
        <f t="shared" ref="B3323:C3323" si="3559">B3235</f>
        <v>40000</v>
      </c>
      <c r="C3323" s="8" t="str">
        <f t="shared" si="3559"/>
        <v>装备</v>
      </c>
      <c r="D3323" s="8">
        <v>40303051</v>
      </c>
      <c r="E3323" s="8"/>
      <c r="F3323" s="8">
        <v>1</v>
      </c>
      <c r="G3323" s="7">
        <f>3*INDEX([1]equip.xml!$I:$I,MATCH(D3323&amp;"",[1]equip.xml!$A:$A,0))</f>
        <v>99000</v>
      </c>
      <c r="H3323" s="8" t="str">
        <f t="shared" si="3549"/>
        <v>10_10,50_20,80_30</v>
      </c>
      <c r="I3323" s="8">
        <v>8</v>
      </c>
      <c r="J3323" s="8">
        <f t="shared" si="3549"/>
        <v>50</v>
      </c>
      <c r="K3323" s="7" t="s">
        <v>309</v>
      </c>
      <c r="L3323" s="8">
        <v>28</v>
      </c>
      <c r="M3323" s="7">
        <f>IF(INDEX([1]equip.xml!$B:$B,MATCH(D3323&amp;"",[1]equip.xml!$A:$A,0))=0,0,N3323)</f>
        <v>65</v>
      </c>
      <c r="N3323" s="8">
        <f t="shared" ref="N3323" si="3560">N3235</f>
        <v>65</v>
      </c>
    </row>
    <row r="3324" spans="1:14">
      <c r="A3324" s="7">
        <f t="shared" si="3500"/>
        <v>20010</v>
      </c>
      <c r="B3324" s="8">
        <f t="shared" ref="B3324:C3324" si="3561">B3236</f>
        <v>40000</v>
      </c>
      <c r="C3324" s="8" t="str">
        <f t="shared" si="3561"/>
        <v>装备</v>
      </c>
      <c r="D3324" s="8">
        <v>40303060</v>
      </c>
      <c r="E3324" s="8"/>
      <c r="F3324" s="8">
        <v>1</v>
      </c>
      <c r="G3324" s="7">
        <f>3*INDEX([1]equip.xml!$I:$I,MATCH(D3324&amp;"",[1]equip.xml!$A:$A,0))</f>
        <v>90000</v>
      </c>
      <c r="H3324" s="8" t="str">
        <f t="shared" si="3549"/>
        <v>10_10,50_20,80_30</v>
      </c>
      <c r="I3324" s="8">
        <v>8</v>
      </c>
      <c r="J3324" s="8">
        <f t="shared" si="3549"/>
        <v>50</v>
      </c>
      <c r="K3324" s="7" t="s">
        <v>309</v>
      </c>
      <c r="L3324" s="8">
        <v>28</v>
      </c>
      <c r="M3324" s="7">
        <f>IF(INDEX([1]equip.xml!$B:$B,MATCH(D3324&amp;"",[1]equip.xml!$A:$A,0))=0,0,N3324)</f>
        <v>65</v>
      </c>
      <c r="N3324" s="8">
        <f t="shared" ref="N3324" si="3562">N3236</f>
        <v>65</v>
      </c>
    </row>
    <row r="3325" spans="1:14">
      <c r="A3325" s="7">
        <f t="shared" si="3500"/>
        <v>20010</v>
      </c>
      <c r="B3325" s="8">
        <f t="shared" ref="B3325:C3325" si="3563">B3237</f>
        <v>40000</v>
      </c>
      <c r="C3325" s="8" t="str">
        <f t="shared" si="3563"/>
        <v>装备</v>
      </c>
      <c r="D3325" s="8">
        <v>40303061</v>
      </c>
      <c r="E3325" s="8"/>
      <c r="F3325" s="8">
        <v>1</v>
      </c>
      <c r="G3325" s="7">
        <f>3*INDEX([1]equip.xml!$I:$I,MATCH(D3325&amp;"",[1]equip.xml!$A:$A,0))</f>
        <v>99000</v>
      </c>
      <c r="H3325" s="8" t="str">
        <f t="shared" si="3549"/>
        <v>10_10,50_20,80_30</v>
      </c>
      <c r="I3325" s="8">
        <v>8</v>
      </c>
      <c r="J3325" s="8">
        <f t="shared" si="3549"/>
        <v>50</v>
      </c>
      <c r="K3325" s="7" t="s">
        <v>309</v>
      </c>
      <c r="L3325" s="8">
        <v>28</v>
      </c>
      <c r="M3325" s="7">
        <f>IF(INDEX([1]equip.xml!$B:$B,MATCH(D3325&amp;"",[1]equip.xml!$A:$A,0))=0,0,N3325)</f>
        <v>0</v>
      </c>
      <c r="N3325" s="8">
        <f t="shared" ref="N3325" si="3564">N3237</f>
        <v>65</v>
      </c>
    </row>
    <row r="3326" spans="1:14">
      <c r="A3326" s="7">
        <f t="shared" si="3500"/>
        <v>20010</v>
      </c>
      <c r="B3326" s="8">
        <f t="shared" ref="B3326:C3326" si="3565">B3238</f>
        <v>40000</v>
      </c>
      <c r="C3326" s="8" t="str">
        <f t="shared" si="3565"/>
        <v>装备</v>
      </c>
      <c r="D3326" s="8">
        <v>40300040</v>
      </c>
      <c r="E3326" s="8"/>
      <c r="F3326" s="8">
        <v>1</v>
      </c>
      <c r="G3326" s="7">
        <f>3*INDEX([1]equip.xml!$I:$I,MATCH(D3326&amp;"",[1]equip.xml!$A:$A,0))</f>
        <v>90000</v>
      </c>
      <c r="H3326" s="8" t="str">
        <f t="shared" si="3549"/>
        <v>10_10,50_20,80_30</v>
      </c>
      <c r="I3326" s="8">
        <v>8</v>
      </c>
      <c r="J3326" s="8">
        <f t="shared" si="3549"/>
        <v>50</v>
      </c>
      <c r="K3326" s="7" t="s">
        <v>309</v>
      </c>
      <c r="L3326" s="8">
        <v>28</v>
      </c>
      <c r="M3326" s="7">
        <f>IF(INDEX([1]equip.xml!$B:$B,MATCH(D3326&amp;"",[1]equip.xml!$A:$A,0))=0,0,N3326)</f>
        <v>65</v>
      </c>
      <c r="N3326" s="8">
        <f t="shared" ref="N3326" si="3566">N3238</f>
        <v>65</v>
      </c>
    </row>
    <row r="3327" spans="1:14">
      <c r="A3327" s="7">
        <f t="shared" si="3500"/>
        <v>20010</v>
      </c>
      <c r="B3327" s="8">
        <f t="shared" ref="B3327:C3327" si="3567">B3239</f>
        <v>40000</v>
      </c>
      <c r="C3327" s="8" t="str">
        <f t="shared" si="3567"/>
        <v>装备</v>
      </c>
      <c r="D3327" s="8">
        <v>40300041</v>
      </c>
      <c r="E3327" s="8"/>
      <c r="F3327" s="8">
        <v>1</v>
      </c>
      <c r="G3327" s="7">
        <f>3*INDEX([1]equip.xml!$I:$I,MATCH(D3327&amp;"",[1]equip.xml!$A:$A,0))</f>
        <v>99000</v>
      </c>
      <c r="H3327" s="8" t="str">
        <f t="shared" si="3549"/>
        <v>10_10,50_20,80_30</v>
      </c>
      <c r="I3327" s="8">
        <v>8</v>
      </c>
      <c r="J3327" s="8">
        <f t="shared" si="3549"/>
        <v>50</v>
      </c>
      <c r="K3327" s="7" t="s">
        <v>309</v>
      </c>
      <c r="L3327" s="8">
        <v>28</v>
      </c>
      <c r="M3327" s="7">
        <f>IF(INDEX([1]equip.xml!$B:$B,MATCH(D3327&amp;"",[1]equip.xml!$A:$A,0))=0,0,N3327)</f>
        <v>65</v>
      </c>
      <c r="N3327" s="8">
        <f t="shared" ref="N3327" si="3568">N3239</f>
        <v>65</v>
      </c>
    </row>
    <row r="3328" spans="1:14">
      <c r="A3328" s="7">
        <f t="shared" si="3500"/>
        <v>20010</v>
      </c>
      <c r="B3328" s="8">
        <f t="shared" ref="B3328:C3328" si="3569">B3240</f>
        <v>40000</v>
      </c>
      <c r="C3328" s="8" t="str">
        <f t="shared" si="3569"/>
        <v>装备</v>
      </c>
      <c r="D3328" s="8">
        <v>40300070</v>
      </c>
      <c r="E3328" s="8"/>
      <c r="F3328" s="8">
        <v>1</v>
      </c>
      <c r="G3328" s="7">
        <f>3*INDEX([1]equip.xml!$I:$I,MATCH(D3328&amp;"",[1]equip.xml!$A:$A,0))</f>
        <v>90000</v>
      </c>
      <c r="H3328" s="8" t="str">
        <f t="shared" si="3549"/>
        <v>10_10,50_20,80_30</v>
      </c>
      <c r="I3328" s="8">
        <v>8</v>
      </c>
      <c r="J3328" s="8">
        <f t="shared" si="3549"/>
        <v>50</v>
      </c>
      <c r="K3328" s="7" t="s">
        <v>309</v>
      </c>
      <c r="L3328" s="8">
        <v>28</v>
      </c>
      <c r="M3328" s="7">
        <f>IF(INDEX([1]equip.xml!$B:$B,MATCH(D3328&amp;"",[1]equip.xml!$A:$A,0))=0,0,N3328)</f>
        <v>65</v>
      </c>
      <c r="N3328" s="8">
        <f t="shared" ref="N3328" si="3570">N3240</f>
        <v>65</v>
      </c>
    </row>
    <row r="3329" spans="1:14">
      <c r="A3329" s="7">
        <f t="shared" si="3500"/>
        <v>20010</v>
      </c>
      <c r="B3329" s="8">
        <f t="shared" ref="B3329:C3329" si="3571">B3241</f>
        <v>40000</v>
      </c>
      <c r="C3329" s="8" t="str">
        <f t="shared" si="3571"/>
        <v>装备</v>
      </c>
      <c r="D3329" s="8">
        <v>40300071</v>
      </c>
      <c r="E3329" s="8"/>
      <c r="F3329" s="8">
        <v>1</v>
      </c>
      <c r="G3329" s="7">
        <f>3*INDEX([1]equip.xml!$I:$I,MATCH(D3329&amp;"",[1]equip.xml!$A:$A,0))</f>
        <v>99000</v>
      </c>
      <c r="H3329" s="8" t="str">
        <f t="shared" si="3549"/>
        <v>10_10,50_20,80_30</v>
      </c>
      <c r="I3329" s="8">
        <v>8</v>
      </c>
      <c r="J3329" s="8">
        <f t="shared" si="3549"/>
        <v>50</v>
      </c>
      <c r="K3329" s="7" t="s">
        <v>309</v>
      </c>
      <c r="L3329" s="8">
        <v>28</v>
      </c>
      <c r="M3329" s="7">
        <f>IF(INDEX([1]equip.xml!$B:$B,MATCH(D3329&amp;"",[1]equip.xml!$A:$A,0))=0,0,N3329)</f>
        <v>65</v>
      </c>
      <c r="N3329" s="8">
        <f t="shared" ref="N3329" si="3572">N3241</f>
        <v>65</v>
      </c>
    </row>
    <row r="3330" spans="1:14">
      <c r="A3330" s="7">
        <f t="shared" si="3500"/>
        <v>20010</v>
      </c>
      <c r="B3330" s="8">
        <f t="shared" ref="B3330:C3330" si="3573">B3242</f>
        <v>40000</v>
      </c>
      <c r="C3330" s="8" t="str">
        <f t="shared" si="3573"/>
        <v>装备</v>
      </c>
      <c r="D3330" s="8">
        <v>50250015</v>
      </c>
      <c r="E3330" s="8"/>
      <c r="F3330" s="8">
        <v>1</v>
      </c>
      <c r="G3330" s="8">
        <f>3*INDEX([1]equip.xml!$I:$I,MATCH(D3330,[1]equip.xml!$A:$A,0))</f>
        <v>150000</v>
      </c>
      <c r="H3330" s="8" t="str">
        <f t="shared" si="3549"/>
        <v>10_10,50_20,80_30</v>
      </c>
      <c r="I3330" s="8">
        <v>8</v>
      </c>
      <c r="J3330" s="8">
        <f t="shared" si="3549"/>
        <v>240</v>
      </c>
      <c r="K3330" s="7" t="s">
        <v>309</v>
      </c>
      <c r="L3330" s="8">
        <v>28</v>
      </c>
      <c r="M3330" s="7">
        <f>IF(INDEX([1]equip.xml!$B:$B,MATCH(D3330,[1]equip.xml!$A:$A,0))=0,0,N3330)</f>
        <v>130</v>
      </c>
      <c r="N3330" s="8">
        <v>130</v>
      </c>
    </row>
    <row r="3331" spans="1:14">
      <c r="A3331" s="7">
        <f t="shared" si="3500"/>
        <v>20010</v>
      </c>
      <c r="B3331" s="8">
        <f t="shared" ref="B3331:C3331" si="3574">B3243</f>
        <v>40000</v>
      </c>
      <c r="C3331" s="8" t="str">
        <f t="shared" si="3574"/>
        <v>装备</v>
      </c>
      <c r="D3331" s="8">
        <v>50250025</v>
      </c>
      <c r="E3331" s="8"/>
      <c r="F3331" s="8">
        <v>1</v>
      </c>
      <c r="G3331" s="8">
        <f>3*INDEX([1]equip.xml!$I:$I,MATCH(D3331,[1]equip.xml!$A:$A,0))</f>
        <v>150000</v>
      </c>
      <c r="H3331" s="8" t="str">
        <f t="shared" si="3549"/>
        <v>10_10,50_20,80_30</v>
      </c>
      <c r="I3331" s="8">
        <v>8</v>
      </c>
      <c r="J3331" s="8">
        <f t="shared" si="3549"/>
        <v>240</v>
      </c>
      <c r="K3331" s="7" t="s">
        <v>309</v>
      </c>
      <c r="L3331" s="8">
        <v>28</v>
      </c>
      <c r="M3331" s="7">
        <f>IF(INDEX([1]equip.xml!$B:$B,MATCH(D3331,[1]equip.xml!$A:$A,0))=0,0,N3331)</f>
        <v>130</v>
      </c>
      <c r="N3331" s="8">
        <v>130</v>
      </c>
    </row>
    <row r="3332" spans="1:14">
      <c r="A3332" s="7">
        <f t="shared" si="3500"/>
        <v>20010</v>
      </c>
      <c r="B3332" s="8">
        <f t="shared" ref="B3332:C3332" si="3575">B3244</f>
        <v>40000</v>
      </c>
      <c r="C3332" s="8" t="str">
        <f t="shared" si="3575"/>
        <v>装备</v>
      </c>
      <c r="D3332" s="8">
        <v>50250035</v>
      </c>
      <c r="E3332" s="8"/>
      <c r="F3332" s="8">
        <v>1</v>
      </c>
      <c r="G3332" s="8">
        <f>3*INDEX([1]equip.xml!$I:$I,MATCH(D3332,[1]equip.xml!$A:$A,0))</f>
        <v>150000</v>
      </c>
      <c r="H3332" s="8" t="str">
        <f t="shared" si="3549"/>
        <v>10_10,50_20,80_30</v>
      </c>
      <c r="I3332" s="8">
        <v>8</v>
      </c>
      <c r="J3332" s="8">
        <f t="shared" si="3549"/>
        <v>240</v>
      </c>
      <c r="K3332" s="7" t="s">
        <v>309</v>
      </c>
      <c r="L3332" s="8">
        <v>28</v>
      </c>
      <c r="M3332" s="7">
        <f>IF(INDEX([1]equip.xml!$B:$B,MATCH(D3332,[1]equip.xml!$A:$A,0))=0,0,N3332)</f>
        <v>130</v>
      </c>
      <c r="N3332" s="8">
        <v>130</v>
      </c>
    </row>
    <row r="3333" spans="1:14">
      <c r="A3333" s="7">
        <f t="shared" si="3500"/>
        <v>20010</v>
      </c>
      <c r="B3333" s="8">
        <f t="shared" ref="B3333:C3333" si="3576">B3245</f>
        <v>40000</v>
      </c>
      <c r="C3333" s="8" t="str">
        <f t="shared" si="3576"/>
        <v>装备</v>
      </c>
      <c r="D3333" s="8">
        <v>50250085</v>
      </c>
      <c r="E3333" s="8"/>
      <c r="F3333" s="8">
        <v>1</v>
      </c>
      <c r="G3333" s="8">
        <f>3*INDEX([1]equip.xml!$I:$I,MATCH(D3333,[1]equip.xml!$A:$A,0))</f>
        <v>150000</v>
      </c>
      <c r="H3333" s="8" t="str">
        <f t="shared" si="3549"/>
        <v>10_10,50_20,80_30</v>
      </c>
      <c r="I3333" s="8">
        <v>8</v>
      </c>
      <c r="J3333" s="8">
        <f t="shared" si="3549"/>
        <v>240</v>
      </c>
      <c r="K3333" s="7" t="s">
        <v>309</v>
      </c>
      <c r="L3333" s="8">
        <v>28</v>
      </c>
      <c r="M3333" s="7">
        <f>IF(INDEX([1]equip.xml!$B:$B,MATCH(D3333,[1]equip.xml!$A:$A,0))=0,0,N3333)</f>
        <v>130</v>
      </c>
      <c r="N3333" s="8">
        <v>130</v>
      </c>
    </row>
    <row r="3334" spans="1:14">
      <c r="A3334" s="7">
        <f t="shared" si="3500"/>
        <v>20010</v>
      </c>
      <c r="B3334" s="8">
        <f t="shared" ref="B3334:C3334" si="3577">B3246</f>
        <v>40000</v>
      </c>
      <c r="C3334" s="8" t="str">
        <f t="shared" si="3577"/>
        <v>装备</v>
      </c>
      <c r="D3334" s="8">
        <v>50250095</v>
      </c>
      <c r="E3334" s="8"/>
      <c r="F3334" s="8">
        <v>1</v>
      </c>
      <c r="G3334" s="8">
        <f>3*INDEX([1]equip.xml!$I:$I,MATCH(D3334,[1]equip.xml!$A:$A,0))</f>
        <v>150000</v>
      </c>
      <c r="H3334" s="8" t="str">
        <f t="shared" ref="H3334:J3349" si="3578">H3246</f>
        <v>10_10,50_20,80_30</v>
      </c>
      <c r="I3334" s="8">
        <v>8</v>
      </c>
      <c r="J3334" s="8">
        <f t="shared" si="3578"/>
        <v>240</v>
      </c>
      <c r="K3334" s="7" t="s">
        <v>309</v>
      </c>
      <c r="L3334" s="8">
        <v>28</v>
      </c>
      <c r="M3334" s="7">
        <f>IF(INDEX([1]equip.xml!$B:$B,MATCH(D3334,[1]equip.xml!$A:$A,0))=0,0,N3334)</f>
        <v>130</v>
      </c>
      <c r="N3334" s="8">
        <v>130</v>
      </c>
    </row>
    <row r="3335" spans="1:14">
      <c r="A3335" s="7">
        <f t="shared" si="3500"/>
        <v>20010</v>
      </c>
      <c r="B3335" s="8">
        <f t="shared" ref="B3335:C3335" si="3579">B3247</f>
        <v>40000</v>
      </c>
      <c r="C3335" s="8" t="str">
        <f t="shared" si="3579"/>
        <v>装备</v>
      </c>
      <c r="D3335" s="8">
        <v>50250105</v>
      </c>
      <c r="E3335" s="8"/>
      <c r="F3335" s="8">
        <v>1</v>
      </c>
      <c r="G3335" s="8">
        <f>3*INDEX([1]equip.xml!$I:$I,MATCH(D3335,[1]equip.xml!$A:$A,0))</f>
        <v>150000</v>
      </c>
      <c r="H3335" s="8" t="str">
        <f t="shared" si="3578"/>
        <v>10_10,50_20,80_30</v>
      </c>
      <c r="I3335" s="8">
        <v>8</v>
      </c>
      <c r="J3335" s="8">
        <f t="shared" si="3578"/>
        <v>240</v>
      </c>
      <c r="K3335" s="7" t="s">
        <v>309</v>
      </c>
      <c r="L3335" s="8">
        <v>28</v>
      </c>
      <c r="M3335" s="7">
        <f>IF(INDEX([1]equip.xml!$B:$B,MATCH(D3335,[1]equip.xml!$A:$A,0))=0,0,N3335)</f>
        <v>130</v>
      </c>
      <c r="N3335" s="8">
        <v>130</v>
      </c>
    </row>
    <row r="3336" spans="1:14">
      <c r="A3336" s="7">
        <f t="shared" si="3500"/>
        <v>20010</v>
      </c>
      <c r="B3336" s="8">
        <f t="shared" ref="B3336:C3336" si="3580">B3248</f>
        <v>40000</v>
      </c>
      <c r="C3336" s="8" t="str">
        <f t="shared" si="3580"/>
        <v>装备</v>
      </c>
      <c r="D3336" s="8">
        <v>50251055</v>
      </c>
      <c r="E3336" s="8"/>
      <c r="F3336" s="8">
        <v>1</v>
      </c>
      <c r="G3336" s="8">
        <f>3*INDEX([1]equip.xml!$I:$I,MATCH(D3336,[1]equip.xml!$A:$A,0))</f>
        <v>150000</v>
      </c>
      <c r="H3336" s="8" t="str">
        <f t="shared" si="3578"/>
        <v>10_10,50_20,80_30</v>
      </c>
      <c r="I3336" s="8">
        <v>8</v>
      </c>
      <c r="J3336" s="8">
        <f t="shared" si="3578"/>
        <v>240</v>
      </c>
      <c r="K3336" s="7" t="s">
        <v>309</v>
      </c>
      <c r="L3336" s="8">
        <v>28</v>
      </c>
      <c r="M3336" s="7">
        <f>IF(INDEX([1]equip.xml!$B:$B,MATCH(D3336,[1]equip.xml!$A:$A,0))=0,0,N3336)</f>
        <v>130</v>
      </c>
      <c r="N3336" s="8">
        <v>130</v>
      </c>
    </row>
    <row r="3337" spans="1:14">
      <c r="A3337" s="7">
        <f t="shared" si="3500"/>
        <v>20010</v>
      </c>
      <c r="B3337" s="8">
        <f t="shared" ref="B3337:C3337" si="3581">B3249</f>
        <v>40000</v>
      </c>
      <c r="C3337" s="8" t="str">
        <f t="shared" si="3581"/>
        <v>装备</v>
      </c>
      <c r="D3337" s="8">
        <v>50251056</v>
      </c>
      <c r="E3337" s="8"/>
      <c r="F3337" s="8">
        <v>1</v>
      </c>
      <c r="G3337" s="8">
        <f>3*INDEX([1]equip.xml!$I:$I,MATCH(D3337,[1]equip.xml!$A:$A,0))</f>
        <v>168000</v>
      </c>
      <c r="H3337" s="8" t="str">
        <f t="shared" si="3578"/>
        <v>10_10,50_20,80_30</v>
      </c>
      <c r="I3337" s="8">
        <v>8</v>
      </c>
      <c r="J3337" s="8">
        <f t="shared" si="3578"/>
        <v>240</v>
      </c>
      <c r="K3337" s="7" t="s">
        <v>309</v>
      </c>
      <c r="L3337" s="8">
        <v>28</v>
      </c>
      <c r="M3337" s="7">
        <f>IF(INDEX([1]equip.xml!$B:$B,MATCH(D3337,[1]equip.xml!$A:$A,0))=0,0,N3337)</f>
        <v>130</v>
      </c>
      <c r="N3337" s="8">
        <v>130</v>
      </c>
    </row>
    <row r="3338" spans="1:14">
      <c r="A3338" s="7">
        <f t="shared" si="3500"/>
        <v>20010</v>
      </c>
      <c r="B3338" s="8">
        <f t="shared" ref="B3338:C3338" si="3582">B3250</f>
        <v>40000</v>
      </c>
      <c r="C3338" s="8" t="str">
        <f t="shared" si="3582"/>
        <v>装备</v>
      </c>
      <c r="D3338" s="8">
        <v>50251065</v>
      </c>
      <c r="E3338" s="8"/>
      <c r="F3338" s="8">
        <v>1</v>
      </c>
      <c r="G3338" s="8">
        <f>3*INDEX([1]equip.xml!$I:$I,MATCH(D3338,[1]equip.xml!$A:$A,0))</f>
        <v>150000</v>
      </c>
      <c r="H3338" s="8" t="str">
        <f t="shared" si="3578"/>
        <v>10_10,50_20,80_30</v>
      </c>
      <c r="I3338" s="8">
        <v>8</v>
      </c>
      <c r="J3338" s="8">
        <f t="shared" si="3578"/>
        <v>240</v>
      </c>
      <c r="K3338" s="7" t="s">
        <v>309</v>
      </c>
      <c r="L3338" s="8">
        <v>28</v>
      </c>
      <c r="M3338" s="7">
        <f>IF(INDEX([1]equip.xml!$B:$B,MATCH(D3338,[1]equip.xml!$A:$A,0))=0,0,N3338)</f>
        <v>130</v>
      </c>
      <c r="N3338" s="8">
        <v>130</v>
      </c>
    </row>
    <row r="3339" spans="1:14">
      <c r="A3339" s="7">
        <f t="shared" si="3500"/>
        <v>20010</v>
      </c>
      <c r="B3339" s="8">
        <f t="shared" ref="B3339:C3339" si="3583">B3251</f>
        <v>40000</v>
      </c>
      <c r="C3339" s="8" t="str">
        <f t="shared" si="3583"/>
        <v>装备</v>
      </c>
      <c r="D3339" s="8">
        <v>50251066</v>
      </c>
      <c r="E3339" s="8"/>
      <c r="F3339" s="8">
        <v>1</v>
      </c>
      <c r="G3339" s="8">
        <f>3*INDEX([1]equip.xml!$I:$I,MATCH(D3339,[1]equip.xml!$A:$A,0))</f>
        <v>168000</v>
      </c>
      <c r="H3339" s="8" t="str">
        <f t="shared" si="3578"/>
        <v>10_10,50_20,80_30</v>
      </c>
      <c r="I3339" s="8">
        <v>8</v>
      </c>
      <c r="J3339" s="8">
        <f t="shared" si="3578"/>
        <v>240</v>
      </c>
      <c r="K3339" s="7" t="s">
        <v>309</v>
      </c>
      <c r="L3339" s="8">
        <v>28</v>
      </c>
      <c r="M3339" s="7">
        <f>IF(INDEX([1]equip.xml!$B:$B,MATCH(D3339,[1]equip.xml!$A:$A,0))=0,0,N3339)</f>
        <v>0</v>
      </c>
      <c r="N3339" s="8">
        <v>130</v>
      </c>
    </row>
    <row r="3340" spans="1:14">
      <c r="A3340" s="7">
        <f t="shared" si="3500"/>
        <v>20010</v>
      </c>
      <c r="B3340" s="8">
        <f t="shared" ref="B3340:C3340" si="3584">B3252</f>
        <v>40000</v>
      </c>
      <c r="C3340" s="8" t="str">
        <f t="shared" si="3584"/>
        <v>装备</v>
      </c>
      <c r="D3340" s="8">
        <v>50252055</v>
      </c>
      <c r="E3340" s="8"/>
      <c r="F3340" s="8">
        <v>1</v>
      </c>
      <c r="G3340" s="8">
        <f>3*INDEX([1]equip.xml!$I:$I,MATCH(D3340,[1]equip.xml!$A:$A,0))</f>
        <v>150000</v>
      </c>
      <c r="H3340" s="8" t="str">
        <f t="shared" si="3578"/>
        <v>10_10,50_20,80_30</v>
      </c>
      <c r="I3340" s="8">
        <v>8</v>
      </c>
      <c r="J3340" s="8">
        <f t="shared" si="3578"/>
        <v>240</v>
      </c>
      <c r="K3340" s="7" t="s">
        <v>309</v>
      </c>
      <c r="L3340" s="8">
        <v>28</v>
      </c>
      <c r="M3340" s="7">
        <f>IF(INDEX([1]equip.xml!$B:$B,MATCH(D3340,[1]equip.xml!$A:$A,0))=0,0,N3340)</f>
        <v>130</v>
      </c>
      <c r="N3340" s="8">
        <v>130</v>
      </c>
    </row>
    <row r="3341" spans="1:14">
      <c r="A3341" s="7">
        <f t="shared" si="3500"/>
        <v>20010</v>
      </c>
      <c r="B3341" s="8">
        <f t="shared" ref="B3341:C3341" si="3585">B3253</f>
        <v>40000</v>
      </c>
      <c r="C3341" s="8" t="str">
        <f t="shared" si="3585"/>
        <v>装备</v>
      </c>
      <c r="D3341" s="8">
        <v>50252056</v>
      </c>
      <c r="E3341" s="8"/>
      <c r="F3341" s="8">
        <v>1</v>
      </c>
      <c r="G3341" s="8">
        <f>3*INDEX([1]equip.xml!$I:$I,MATCH(D3341,[1]equip.xml!$A:$A,0))</f>
        <v>168000</v>
      </c>
      <c r="H3341" s="8" t="str">
        <f t="shared" si="3578"/>
        <v>10_10,50_20,80_30</v>
      </c>
      <c r="I3341" s="8">
        <v>8</v>
      </c>
      <c r="J3341" s="8">
        <f t="shared" si="3578"/>
        <v>240</v>
      </c>
      <c r="K3341" s="7" t="s">
        <v>309</v>
      </c>
      <c r="L3341" s="8">
        <v>28</v>
      </c>
      <c r="M3341" s="7">
        <f>IF(INDEX([1]equip.xml!$B:$B,MATCH(D3341,[1]equip.xml!$A:$A,0))=0,0,N3341)</f>
        <v>130</v>
      </c>
      <c r="N3341" s="8">
        <v>130</v>
      </c>
    </row>
    <row r="3342" spans="1:14">
      <c r="A3342" s="7">
        <f t="shared" si="3500"/>
        <v>20010</v>
      </c>
      <c r="B3342" s="8">
        <f t="shared" ref="B3342:C3342" si="3586">B3254</f>
        <v>40000</v>
      </c>
      <c r="C3342" s="8" t="str">
        <f t="shared" si="3586"/>
        <v>装备</v>
      </c>
      <c r="D3342" s="8">
        <v>50252065</v>
      </c>
      <c r="E3342" s="8"/>
      <c r="F3342" s="8">
        <v>1</v>
      </c>
      <c r="G3342" s="8">
        <f>3*INDEX([1]equip.xml!$I:$I,MATCH(D3342,[1]equip.xml!$A:$A,0))</f>
        <v>150000</v>
      </c>
      <c r="H3342" s="8" t="str">
        <f t="shared" si="3578"/>
        <v>10_10,50_20,80_30</v>
      </c>
      <c r="I3342" s="8">
        <v>8</v>
      </c>
      <c r="J3342" s="8">
        <f t="shared" si="3578"/>
        <v>240</v>
      </c>
      <c r="K3342" s="7" t="s">
        <v>309</v>
      </c>
      <c r="L3342" s="8">
        <v>28</v>
      </c>
      <c r="M3342" s="7">
        <f>IF(INDEX([1]equip.xml!$B:$B,MATCH(D3342,[1]equip.xml!$A:$A,0))=0,0,N3342)</f>
        <v>130</v>
      </c>
      <c r="N3342" s="8">
        <v>130</v>
      </c>
    </row>
    <row r="3343" spans="1:14">
      <c r="A3343" s="7">
        <f t="shared" si="3500"/>
        <v>20010</v>
      </c>
      <c r="B3343" s="8">
        <f t="shared" ref="B3343:C3343" si="3587">B3255</f>
        <v>40000</v>
      </c>
      <c r="C3343" s="8" t="str">
        <f t="shared" si="3587"/>
        <v>装备</v>
      </c>
      <c r="D3343" s="8">
        <v>50252066</v>
      </c>
      <c r="E3343" s="8"/>
      <c r="F3343" s="8">
        <v>1</v>
      </c>
      <c r="G3343" s="8">
        <f>3*INDEX([1]equip.xml!$I:$I,MATCH(D3343,[1]equip.xml!$A:$A,0))</f>
        <v>168000</v>
      </c>
      <c r="H3343" s="8" t="str">
        <f t="shared" si="3578"/>
        <v>10_10,50_20,80_30</v>
      </c>
      <c r="I3343" s="8">
        <v>8</v>
      </c>
      <c r="J3343" s="8">
        <f t="shared" si="3578"/>
        <v>240</v>
      </c>
      <c r="K3343" s="7" t="s">
        <v>309</v>
      </c>
      <c r="L3343" s="8">
        <v>28</v>
      </c>
      <c r="M3343" s="7">
        <f>IF(INDEX([1]equip.xml!$B:$B,MATCH(D3343,[1]equip.xml!$A:$A,0))=0,0,N3343)</f>
        <v>0</v>
      </c>
      <c r="N3343" s="8">
        <v>130</v>
      </c>
    </row>
    <row r="3344" spans="1:14">
      <c r="A3344" s="7">
        <f t="shared" si="3500"/>
        <v>20010</v>
      </c>
      <c r="B3344" s="8">
        <f t="shared" ref="B3344:C3344" si="3588">B3256</f>
        <v>40000</v>
      </c>
      <c r="C3344" s="8" t="str">
        <f t="shared" si="3588"/>
        <v>装备</v>
      </c>
      <c r="D3344" s="8">
        <v>50253055</v>
      </c>
      <c r="E3344" s="8"/>
      <c r="F3344" s="8">
        <v>1</v>
      </c>
      <c r="G3344" s="8">
        <f>3*INDEX([1]equip.xml!$I:$I,MATCH(D3344,[1]equip.xml!$A:$A,0))</f>
        <v>150000</v>
      </c>
      <c r="H3344" s="8" t="str">
        <f t="shared" si="3578"/>
        <v>10_10,50_20,80_30</v>
      </c>
      <c r="I3344" s="8">
        <v>8</v>
      </c>
      <c r="J3344" s="8">
        <f t="shared" si="3578"/>
        <v>240</v>
      </c>
      <c r="K3344" s="7" t="s">
        <v>309</v>
      </c>
      <c r="L3344" s="8">
        <v>28</v>
      </c>
      <c r="M3344" s="7">
        <f>IF(INDEX([1]equip.xml!$B:$B,MATCH(D3344,[1]equip.xml!$A:$A,0))=0,0,N3344)</f>
        <v>130</v>
      </c>
      <c r="N3344" s="8">
        <v>130</v>
      </c>
    </row>
    <row r="3345" spans="1:14">
      <c r="A3345" s="7">
        <f t="shared" si="3500"/>
        <v>20010</v>
      </c>
      <c r="B3345" s="8">
        <f t="shared" ref="B3345:C3345" si="3589">B3257</f>
        <v>40000</v>
      </c>
      <c r="C3345" s="8" t="str">
        <f t="shared" si="3589"/>
        <v>装备</v>
      </c>
      <c r="D3345" s="8">
        <v>50253056</v>
      </c>
      <c r="E3345" s="8"/>
      <c r="F3345" s="8">
        <v>1</v>
      </c>
      <c r="G3345" s="8">
        <f>3*INDEX([1]equip.xml!$I:$I,MATCH(D3345,[1]equip.xml!$A:$A,0))</f>
        <v>168000</v>
      </c>
      <c r="H3345" s="8" t="str">
        <f t="shared" si="3578"/>
        <v>10_10,50_20,80_30</v>
      </c>
      <c r="I3345" s="8">
        <v>8</v>
      </c>
      <c r="J3345" s="8">
        <f t="shared" si="3578"/>
        <v>240</v>
      </c>
      <c r="K3345" s="7" t="s">
        <v>309</v>
      </c>
      <c r="L3345" s="8">
        <v>28</v>
      </c>
      <c r="M3345" s="7">
        <f>IF(INDEX([1]equip.xml!$B:$B,MATCH(D3345,[1]equip.xml!$A:$A,0))=0,0,N3345)</f>
        <v>0</v>
      </c>
      <c r="N3345" s="8">
        <v>130</v>
      </c>
    </row>
    <row r="3346" spans="1:14">
      <c r="A3346" s="7">
        <f t="shared" si="3500"/>
        <v>20010</v>
      </c>
      <c r="B3346" s="8">
        <f t="shared" ref="B3346:C3346" si="3590">B3258</f>
        <v>40000</v>
      </c>
      <c r="C3346" s="8" t="str">
        <f t="shared" si="3590"/>
        <v>装备</v>
      </c>
      <c r="D3346" s="8">
        <v>50253065</v>
      </c>
      <c r="E3346" s="8"/>
      <c r="F3346" s="8">
        <v>1</v>
      </c>
      <c r="G3346" s="8">
        <f>3*INDEX([1]equip.xml!$I:$I,MATCH(D3346,[1]equip.xml!$A:$A,0))</f>
        <v>150000</v>
      </c>
      <c r="H3346" s="8" t="str">
        <f t="shared" si="3578"/>
        <v>10_10,50_20,80_30</v>
      </c>
      <c r="I3346" s="8">
        <v>8</v>
      </c>
      <c r="J3346" s="8">
        <f t="shared" si="3578"/>
        <v>240</v>
      </c>
      <c r="K3346" s="7" t="s">
        <v>309</v>
      </c>
      <c r="L3346" s="8">
        <v>28</v>
      </c>
      <c r="M3346" s="7">
        <f>IF(INDEX([1]equip.xml!$B:$B,MATCH(D3346,[1]equip.xml!$A:$A,0))=0,0,N3346)</f>
        <v>130</v>
      </c>
      <c r="N3346" s="8">
        <v>130</v>
      </c>
    </row>
    <row r="3347" spans="1:14">
      <c r="A3347" s="7">
        <f t="shared" si="3500"/>
        <v>20010</v>
      </c>
      <c r="B3347" s="8">
        <f t="shared" ref="B3347:C3347" si="3591">B3259</f>
        <v>40000</v>
      </c>
      <c r="C3347" s="8" t="str">
        <f t="shared" si="3591"/>
        <v>装备</v>
      </c>
      <c r="D3347" s="8">
        <v>50253066</v>
      </c>
      <c r="E3347" s="8"/>
      <c r="F3347" s="8">
        <v>1</v>
      </c>
      <c r="G3347" s="8">
        <f>3*INDEX([1]equip.xml!$I:$I,MATCH(D3347,[1]equip.xml!$A:$A,0))</f>
        <v>168000</v>
      </c>
      <c r="H3347" s="8" t="str">
        <f t="shared" si="3578"/>
        <v>10_10,50_20,80_30</v>
      </c>
      <c r="I3347" s="8">
        <v>8</v>
      </c>
      <c r="J3347" s="8">
        <f t="shared" si="3578"/>
        <v>240</v>
      </c>
      <c r="K3347" s="7" t="s">
        <v>309</v>
      </c>
      <c r="L3347" s="8">
        <v>28</v>
      </c>
      <c r="M3347" s="7">
        <f>IF(INDEX([1]equip.xml!$B:$B,MATCH(D3347,[1]equip.xml!$A:$A,0))=0,0,N3347)</f>
        <v>0</v>
      </c>
      <c r="N3347" s="8">
        <v>130</v>
      </c>
    </row>
    <row r="3348" spans="1:14">
      <c r="A3348" s="7">
        <f t="shared" si="3500"/>
        <v>20010</v>
      </c>
      <c r="B3348" s="8">
        <f t="shared" ref="B3348:C3348" si="3592">B3260</f>
        <v>40000</v>
      </c>
      <c r="C3348" s="8" t="str">
        <f t="shared" si="3592"/>
        <v>装备</v>
      </c>
      <c r="D3348" s="8">
        <v>50250045</v>
      </c>
      <c r="E3348" s="8"/>
      <c r="F3348" s="8">
        <v>1</v>
      </c>
      <c r="G3348" s="8">
        <f>3*INDEX([1]equip.xml!$I:$I,MATCH(D3348,[1]equip.xml!$A:$A,0))</f>
        <v>150000</v>
      </c>
      <c r="H3348" s="8" t="str">
        <f t="shared" si="3578"/>
        <v>10_10,50_20,80_30</v>
      </c>
      <c r="I3348" s="8">
        <v>8</v>
      </c>
      <c r="J3348" s="8">
        <f t="shared" si="3578"/>
        <v>240</v>
      </c>
      <c r="K3348" s="7" t="s">
        <v>309</v>
      </c>
      <c r="L3348" s="8">
        <v>28</v>
      </c>
      <c r="M3348" s="7">
        <f>IF(INDEX([1]equip.xml!$B:$B,MATCH(D3348,[1]equip.xml!$A:$A,0))=0,0,N3348)</f>
        <v>130</v>
      </c>
      <c r="N3348" s="8">
        <v>130</v>
      </c>
    </row>
    <row r="3349" spans="1:14">
      <c r="A3349" s="7">
        <f t="shared" si="3500"/>
        <v>20010</v>
      </c>
      <c r="B3349" s="8">
        <f t="shared" ref="B3349:C3349" si="3593">B3261</f>
        <v>40000</v>
      </c>
      <c r="C3349" s="8" t="str">
        <f t="shared" si="3593"/>
        <v>装备</v>
      </c>
      <c r="D3349" s="8">
        <v>50250046</v>
      </c>
      <c r="E3349" s="8"/>
      <c r="F3349" s="8">
        <v>1</v>
      </c>
      <c r="G3349" s="8">
        <f>3*INDEX([1]equip.xml!$I:$I,MATCH(D3349,[1]equip.xml!$A:$A,0))</f>
        <v>168000</v>
      </c>
      <c r="H3349" s="8" t="str">
        <f t="shared" si="3578"/>
        <v>10_10,50_20,80_30</v>
      </c>
      <c r="I3349" s="8">
        <v>8</v>
      </c>
      <c r="J3349" s="8">
        <f t="shared" si="3578"/>
        <v>240</v>
      </c>
      <c r="K3349" s="7" t="s">
        <v>309</v>
      </c>
      <c r="L3349" s="8">
        <v>28</v>
      </c>
      <c r="M3349" s="7">
        <f>IF(INDEX([1]equip.xml!$B:$B,MATCH(D3349,[1]equip.xml!$A:$A,0))=0,0,N3349)</f>
        <v>0</v>
      </c>
      <c r="N3349" s="8">
        <v>130</v>
      </c>
    </row>
    <row r="3350" spans="1:14">
      <c r="A3350" s="7">
        <f t="shared" si="3500"/>
        <v>20010</v>
      </c>
      <c r="B3350" s="8">
        <f t="shared" ref="B3350:C3350" si="3594">B3262</f>
        <v>40000</v>
      </c>
      <c r="C3350" s="8" t="str">
        <f t="shared" si="3594"/>
        <v>装备</v>
      </c>
      <c r="D3350" s="8">
        <v>50250075</v>
      </c>
      <c r="E3350" s="8"/>
      <c r="F3350" s="8">
        <v>1</v>
      </c>
      <c r="G3350" s="8">
        <f>3*INDEX([1]equip.xml!$I:$I,MATCH(D3350,[1]equip.xml!$A:$A,0))</f>
        <v>150000</v>
      </c>
      <c r="H3350" s="8" t="str">
        <f t="shared" ref="H3350:J3365" si="3595">H3262</f>
        <v>10_10,50_20,80_30</v>
      </c>
      <c r="I3350" s="8">
        <v>8</v>
      </c>
      <c r="J3350" s="8">
        <f t="shared" si="3595"/>
        <v>240</v>
      </c>
      <c r="K3350" s="7" t="s">
        <v>309</v>
      </c>
      <c r="L3350" s="8">
        <v>28</v>
      </c>
      <c r="M3350" s="7">
        <f>IF(INDEX([1]equip.xml!$B:$B,MATCH(D3350,[1]equip.xml!$A:$A,0))=0,0,N3350)</f>
        <v>130</v>
      </c>
      <c r="N3350" s="8">
        <v>130</v>
      </c>
    </row>
    <row r="3351" spans="1:14">
      <c r="A3351" s="7">
        <f t="shared" si="3500"/>
        <v>20010</v>
      </c>
      <c r="B3351" s="8">
        <f t="shared" ref="B3351:C3351" si="3596">B3263</f>
        <v>40000</v>
      </c>
      <c r="C3351" s="8" t="str">
        <f t="shared" si="3596"/>
        <v>装备</v>
      </c>
      <c r="D3351" s="8">
        <v>50250076</v>
      </c>
      <c r="E3351" s="8"/>
      <c r="F3351" s="8">
        <v>1</v>
      </c>
      <c r="G3351" s="8">
        <f>3*INDEX([1]equip.xml!$I:$I,MATCH(D3351,[1]equip.xml!$A:$A,0))</f>
        <v>168000</v>
      </c>
      <c r="H3351" s="8" t="str">
        <f t="shared" si="3595"/>
        <v>10_10,50_20,80_30</v>
      </c>
      <c r="I3351" s="8">
        <v>8</v>
      </c>
      <c r="J3351" s="8">
        <f t="shared" si="3595"/>
        <v>240</v>
      </c>
      <c r="K3351" s="7" t="s">
        <v>309</v>
      </c>
      <c r="L3351" s="8">
        <v>28</v>
      </c>
      <c r="M3351" s="7">
        <f>IF(INDEX([1]equip.xml!$B:$B,MATCH(D3351,[1]equip.xml!$A:$A,0))=0,0,N3351)</f>
        <v>0</v>
      </c>
      <c r="N3351" s="8">
        <v>130</v>
      </c>
    </row>
    <row r="3352" spans="1:14">
      <c r="A3352" s="7">
        <f t="shared" si="3500"/>
        <v>20010</v>
      </c>
      <c r="B3352" s="8">
        <f t="shared" ref="B3352:C3352" si="3597">B3264</f>
        <v>40000</v>
      </c>
      <c r="C3352" s="8" t="str">
        <f t="shared" si="3597"/>
        <v>装备</v>
      </c>
      <c r="D3352" s="8">
        <v>50300015</v>
      </c>
      <c r="E3352" s="8"/>
      <c r="F3352" s="8">
        <v>1</v>
      </c>
      <c r="G3352" s="8">
        <f>3*INDEX([1]equip.xml!$I:$I,MATCH(D3352,[1]equip.xml!$A:$A,0))</f>
        <v>180000</v>
      </c>
      <c r="H3352" s="8" t="str">
        <f t="shared" si="3595"/>
        <v>10_10,50_20,80_30</v>
      </c>
      <c r="I3352" s="8">
        <v>8</v>
      </c>
      <c r="J3352" s="8">
        <f t="shared" si="3595"/>
        <v>240</v>
      </c>
      <c r="K3352" s="7" t="s">
        <v>309</v>
      </c>
      <c r="L3352" s="8">
        <v>28</v>
      </c>
      <c r="M3352" s="7">
        <f>IF(INDEX([1]equip.xml!$B:$B,MATCH(D3352,[1]equip.xml!$A:$A,0))=0,0,N3352)</f>
        <v>65</v>
      </c>
      <c r="N3352" s="8">
        <v>65</v>
      </c>
    </row>
    <row r="3353" spans="1:14">
      <c r="A3353" s="7">
        <f t="shared" si="3500"/>
        <v>20010</v>
      </c>
      <c r="B3353" s="8">
        <f t="shared" ref="B3353:C3353" si="3598">B3265</f>
        <v>40000</v>
      </c>
      <c r="C3353" s="8" t="str">
        <f t="shared" si="3598"/>
        <v>装备</v>
      </c>
      <c r="D3353" s="8">
        <v>50300025</v>
      </c>
      <c r="E3353" s="8"/>
      <c r="F3353" s="8">
        <v>1</v>
      </c>
      <c r="G3353" s="8">
        <f>3*INDEX([1]equip.xml!$I:$I,MATCH(D3353,[1]equip.xml!$A:$A,0))</f>
        <v>180000</v>
      </c>
      <c r="H3353" s="8" t="str">
        <f t="shared" si="3595"/>
        <v>10_10,50_20,80_30</v>
      </c>
      <c r="I3353" s="8">
        <v>8</v>
      </c>
      <c r="J3353" s="8">
        <f t="shared" si="3595"/>
        <v>240</v>
      </c>
      <c r="K3353" s="7" t="s">
        <v>309</v>
      </c>
      <c r="L3353" s="8">
        <v>28</v>
      </c>
      <c r="M3353" s="7">
        <f>IF(INDEX([1]equip.xml!$B:$B,MATCH(D3353,[1]equip.xml!$A:$A,0))=0,0,N3353)</f>
        <v>65</v>
      </c>
      <c r="N3353" s="8">
        <v>65</v>
      </c>
    </row>
    <row r="3354" spans="1:14">
      <c r="A3354" s="7">
        <f t="shared" si="3500"/>
        <v>20010</v>
      </c>
      <c r="B3354" s="8">
        <f t="shared" ref="B3354:C3354" si="3599">B3266</f>
        <v>40000</v>
      </c>
      <c r="C3354" s="8" t="str">
        <f t="shared" si="3599"/>
        <v>装备</v>
      </c>
      <c r="D3354" s="8">
        <v>50300035</v>
      </c>
      <c r="E3354" s="8"/>
      <c r="F3354" s="8">
        <v>1</v>
      </c>
      <c r="G3354" s="8">
        <f>3*INDEX([1]equip.xml!$I:$I,MATCH(D3354,[1]equip.xml!$A:$A,0))</f>
        <v>180000</v>
      </c>
      <c r="H3354" s="8" t="str">
        <f t="shared" si="3595"/>
        <v>10_10,50_20,80_30</v>
      </c>
      <c r="I3354" s="8">
        <v>8</v>
      </c>
      <c r="J3354" s="8">
        <f t="shared" si="3595"/>
        <v>240</v>
      </c>
      <c r="K3354" s="7" t="s">
        <v>309</v>
      </c>
      <c r="L3354" s="8">
        <v>28</v>
      </c>
      <c r="M3354" s="7">
        <f>IF(INDEX([1]equip.xml!$B:$B,MATCH(D3354,[1]equip.xml!$A:$A,0))=0,0,N3354)</f>
        <v>65</v>
      </c>
      <c r="N3354" s="8">
        <v>65</v>
      </c>
    </row>
    <row r="3355" spans="1:14">
      <c r="A3355" s="7">
        <f t="shared" si="3500"/>
        <v>20010</v>
      </c>
      <c r="B3355" s="8">
        <f t="shared" ref="B3355:C3355" si="3600">B3267</f>
        <v>40000</v>
      </c>
      <c r="C3355" s="8" t="str">
        <f t="shared" si="3600"/>
        <v>装备</v>
      </c>
      <c r="D3355" s="8">
        <v>50300085</v>
      </c>
      <c r="E3355" s="8"/>
      <c r="F3355" s="8">
        <v>1</v>
      </c>
      <c r="G3355" s="8">
        <f>3*INDEX([1]equip.xml!$I:$I,MATCH(D3355,[1]equip.xml!$A:$A,0))</f>
        <v>180000</v>
      </c>
      <c r="H3355" s="8" t="str">
        <f t="shared" si="3595"/>
        <v>10_10,50_20,80_30</v>
      </c>
      <c r="I3355" s="8">
        <v>8</v>
      </c>
      <c r="J3355" s="8">
        <f t="shared" si="3595"/>
        <v>240</v>
      </c>
      <c r="K3355" s="7" t="s">
        <v>309</v>
      </c>
      <c r="L3355" s="8">
        <v>28</v>
      </c>
      <c r="M3355" s="7">
        <f>IF(INDEX([1]equip.xml!$B:$B,MATCH(D3355,[1]equip.xml!$A:$A,0))=0,0,N3355)</f>
        <v>65</v>
      </c>
      <c r="N3355" s="8">
        <v>65</v>
      </c>
    </row>
    <row r="3356" spans="1:14">
      <c r="A3356" s="7">
        <f t="shared" si="3500"/>
        <v>20010</v>
      </c>
      <c r="B3356" s="8">
        <f t="shared" ref="B3356:C3356" si="3601">B3268</f>
        <v>40000</v>
      </c>
      <c r="C3356" s="8" t="str">
        <f t="shared" si="3601"/>
        <v>装备</v>
      </c>
      <c r="D3356" s="8">
        <v>50300095</v>
      </c>
      <c r="E3356" s="8"/>
      <c r="F3356" s="8">
        <v>1</v>
      </c>
      <c r="G3356" s="8">
        <f>3*INDEX([1]equip.xml!$I:$I,MATCH(D3356,[1]equip.xml!$A:$A,0))</f>
        <v>180000</v>
      </c>
      <c r="H3356" s="8" t="str">
        <f t="shared" si="3595"/>
        <v>10_10,50_20,80_30</v>
      </c>
      <c r="I3356" s="8">
        <v>8</v>
      </c>
      <c r="J3356" s="8">
        <f t="shared" si="3595"/>
        <v>240</v>
      </c>
      <c r="K3356" s="7" t="s">
        <v>309</v>
      </c>
      <c r="L3356" s="8">
        <v>28</v>
      </c>
      <c r="M3356" s="7">
        <f>IF(INDEX([1]equip.xml!$B:$B,MATCH(D3356,[1]equip.xml!$A:$A,0))=0,0,N3356)</f>
        <v>65</v>
      </c>
      <c r="N3356" s="8">
        <v>65</v>
      </c>
    </row>
    <row r="3357" spans="1:14">
      <c r="A3357" s="7">
        <f t="shared" si="3500"/>
        <v>20010</v>
      </c>
      <c r="B3357" s="8">
        <f t="shared" ref="B3357:C3357" si="3602">B3269</f>
        <v>40000</v>
      </c>
      <c r="C3357" s="8" t="str">
        <f t="shared" si="3602"/>
        <v>装备</v>
      </c>
      <c r="D3357" s="8">
        <v>50300105</v>
      </c>
      <c r="E3357" s="8"/>
      <c r="F3357" s="8">
        <v>1</v>
      </c>
      <c r="G3357" s="8">
        <f>3*INDEX([1]equip.xml!$I:$I,MATCH(D3357,[1]equip.xml!$A:$A,0))</f>
        <v>180000</v>
      </c>
      <c r="H3357" s="8" t="str">
        <f t="shared" si="3595"/>
        <v>10_10,50_20,80_30</v>
      </c>
      <c r="I3357" s="8">
        <v>8</v>
      </c>
      <c r="J3357" s="8">
        <f t="shared" si="3595"/>
        <v>240</v>
      </c>
      <c r="K3357" s="7" t="s">
        <v>309</v>
      </c>
      <c r="L3357" s="8">
        <v>28</v>
      </c>
      <c r="M3357" s="7">
        <f>IF(INDEX([1]equip.xml!$B:$B,MATCH(D3357,[1]equip.xml!$A:$A,0))=0,0,N3357)</f>
        <v>65</v>
      </c>
      <c r="N3357" s="8">
        <v>65</v>
      </c>
    </row>
    <row r="3358" spans="1:14">
      <c r="A3358" s="7">
        <f t="shared" si="3500"/>
        <v>20010</v>
      </c>
      <c r="B3358" s="8">
        <f t="shared" ref="B3358:C3358" si="3603">B3270</f>
        <v>40000</v>
      </c>
      <c r="C3358" s="8" t="str">
        <f t="shared" si="3603"/>
        <v>装备</v>
      </c>
      <c r="D3358" s="8">
        <v>50301055</v>
      </c>
      <c r="E3358" s="8"/>
      <c r="F3358" s="8">
        <v>1</v>
      </c>
      <c r="G3358" s="8">
        <f>3*INDEX([1]equip.xml!$I:$I,MATCH(D3358,[1]equip.xml!$A:$A,0))</f>
        <v>180000</v>
      </c>
      <c r="H3358" s="8" t="str">
        <f t="shared" si="3595"/>
        <v>10_10,50_20,80_30</v>
      </c>
      <c r="I3358" s="8">
        <v>8</v>
      </c>
      <c r="J3358" s="8">
        <f t="shared" si="3595"/>
        <v>240</v>
      </c>
      <c r="K3358" s="7" t="s">
        <v>309</v>
      </c>
      <c r="L3358" s="8">
        <v>28</v>
      </c>
      <c r="M3358" s="7">
        <f>IF(INDEX([1]equip.xml!$B:$B,MATCH(D3358,[1]equip.xml!$A:$A,0))=0,0,N3358)</f>
        <v>65</v>
      </c>
      <c r="N3358" s="8">
        <v>65</v>
      </c>
    </row>
    <row r="3359" spans="1:14">
      <c r="A3359" s="7">
        <f t="shared" ref="A3359:A3422" si="3604">10000+A543</f>
        <v>20010</v>
      </c>
      <c r="B3359" s="8">
        <f t="shared" ref="B3359:C3359" si="3605">B3271</f>
        <v>40000</v>
      </c>
      <c r="C3359" s="8" t="str">
        <f t="shared" si="3605"/>
        <v>装备</v>
      </c>
      <c r="D3359" s="8">
        <v>50301056</v>
      </c>
      <c r="E3359" s="8"/>
      <c r="F3359" s="8">
        <v>1</v>
      </c>
      <c r="G3359" s="8">
        <f>3*INDEX([1]equip.xml!$I:$I,MATCH(D3359,[1]equip.xml!$A:$A,0))</f>
        <v>198000</v>
      </c>
      <c r="H3359" s="8" t="str">
        <f t="shared" si="3595"/>
        <v>10_10,50_20,80_30</v>
      </c>
      <c r="I3359" s="8">
        <v>8</v>
      </c>
      <c r="J3359" s="8">
        <f t="shared" si="3595"/>
        <v>240</v>
      </c>
      <c r="K3359" s="7" t="s">
        <v>309</v>
      </c>
      <c r="L3359" s="8">
        <v>28</v>
      </c>
      <c r="M3359" s="7">
        <f>IF(INDEX([1]equip.xml!$B:$B,MATCH(D3359,[1]equip.xml!$A:$A,0))=0,0,N3359)</f>
        <v>65</v>
      </c>
      <c r="N3359" s="8">
        <v>65</v>
      </c>
    </row>
    <row r="3360" spans="1:14">
      <c r="A3360" s="7">
        <f t="shared" si="3604"/>
        <v>20010</v>
      </c>
      <c r="B3360" s="8">
        <f t="shared" ref="B3360:C3360" si="3606">B3272</f>
        <v>40000</v>
      </c>
      <c r="C3360" s="8" t="str">
        <f t="shared" si="3606"/>
        <v>装备</v>
      </c>
      <c r="D3360" s="8">
        <v>50301065</v>
      </c>
      <c r="E3360" s="8"/>
      <c r="F3360" s="8">
        <v>1</v>
      </c>
      <c r="G3360" s="8">
        <f>3*INDEX([1]equip.xml!$I:$I,MATCH(D3360,[1]equip.xml!$A:$A,0))</f>
        <v>180000</v>
      </c>
      <c r="H3360" s="8" t="str">
        <f t="shared" si="3595"/>
        <v>10_10,50_20,80_30</v>
      </c>
      <c r="I3360" s="8">
        <v>8</v>
      </c>
      <c r="J3360" s="8">
        <f t="shared" si="3595"/>
        <v>240</v>
      </c>
      <c r="K3360" s="7" t="s">
        <v>309</v>
      </c>
      <c r="L3360" s="8">
        <v>28</v>
      </c>
      <c r="M3360" s="7">
        <f>IF(INDEX([1]equip.xml!$B:$B,MATCH(D3360,[1]equip.xml!$A:$A,0))=0,0,N3360)</f>
        <v>65</v>
      </c>
      <c r="N3360" s="8">
        <v>65</v>
      </c>
    </row>
    <row r="3361" spans="1:14">
      <c r="A3361" s="7">
        <f t="shared" si="3604"/>
        <v>20010</v>
      </c>
      <c r="B3361" s="8">
        <f t="shared" ref="B3361:C3361" si="3607">B3273</f>
        <v>40000</v>
      </c>
      <c r="C3361" s="8" t="str">
        <f t="shared" si="3607"/>
        <v>装备</v>
      </c>
      <c r="D3361" s="8">
        <v>50301066</v>
      </c>
      <c r="E3361" s="8"/>
      <c r="F3361" s="8">
        <v>1</v>
      </c>
      <c r="G3361" s="8">
        <f>3*INDEX([1]equip.xml!$I:$I,MATCH(D3361,[1]equip.xml!$A:$A,0))</f>
        <v>198000</v>
      </c>
      <c r="H3361" s="8" t="str">
        <f t="shared" si="3595"/>
        <v>10_10,50_20,80_30</v>
      </c>
      <c r="I3361" s="8">
        <v>8</v>
      </c>
      <c r="J3361" s="8">
        <f t="shared" si="3595"/>
        <v>240</v>
      </c>
      <c r="K3361" s="7" t="s">
        <v>309</v>
      </c>
      <c r="L3361" s="8">
        <v>28</v>
      </c>
      <c r="M3361" s="7">
        <f>IF(INDEX([1]equip.xml!$B:$B,MATCH(D3361,[1]equip.xml!$A:$A,0))=0,0,N3361)</f>
        <v>0</v>
      </c>
      <c r="N3361" s="8">
        <v>65</v>
      </c>
    </row>
    <row r="3362" spans="1:14">
      <c r="A3362" s="7">
        <f t="shared" si="3604"/>
        <v>20010</v>
      </c>
      <c r="B3362" s="8">
        <f t="shared" ref="B3362:C3362" si="3608">B3274</f>
        <v>40000</v>
      </c>
      <c r="C3362" s="8" t="str">
        <f t="shared" si="3608"/>
        <v>装备</v>
      </c>
      <c r="D3362" s="8">
        <v>50302055</v>
      </c>
      <c r="E3362" s="8"/>
      <c r="F3362" s="8">
        <v>1</v>
      </c>
      <c r="G3362" s="8">
        <f>3*INDEX([1]equip.xml!$I:$I,MATCH(D3362,[1]equip.xml!$A:$A,0))</f>
        <v>180000</v>
      </c>
      <c r="H3362" s="8" t="str">
        <f t="shared" si="3595"/>
        <v>10_10,50_20,80_30</v>
      </c>
      <c r="I3362" s="8">
        <v>8</v>
      </c>
      <c r="J3362" s="8">
        <f t="shared" si="3595"/>
        <v>240</v>
      </c>
      <c r="K3362" s="7" t="s">
        <v>309</v>
      </c>
      <c r="L3362" s="8">
        <v>28</v>
      </c>
      <c r="M3362" s="7">
        <f>IF(INDEX([1]equip.xml!$B:$B,MATCH(D3362,[1]equip.xml!$A:$A,0))=0,0,N3362)</f>
        <v>65</v>
      </c>
      <c r="N3362" s="8">
        <v>65</v>
      </c>
    </row>
    <row r="3363" spans="1:14">
      <c r="A3363" s="7">
        <f t="shared" si="3604"/>
        <v>20010</v>
      </c>
      <c r="B3363" s="8">
        <f t="shared" ref="B3363:C3363" si="3609">B3275</f>
        <v>40000</v>
      </c>
      <c r="C3363" s="8" t="str">
        <f t="shared" si="3609"/>
        <v>装备</v>
      </c>
      <c r="D3363" s="8">
        <v>50302056</v>
      </c>
      <c r="E3363" s="8"/>
      <c r="F3363" s="8">
        <v>1</v>
      </c>
      <c r="G3363" s="8">
        <f>3*INDEX([1]equip.xml!$I:$I,MATCH(D3363,[1]equip.xml!$A:$A,0))</f>
        <v>198000</v>
      </c>
      <c r="H3363" s="8" t="str">
        <f t="shared" si="3595"/>
        <v>10_10,50_20,80_30</v>
      </c>
      <c r="I3363" s="8">
        <v>8</v>
      </c>
      <c r="J3363" s="8">
        <f t="shared" si="3595"/>
        <v>240</v>
      </c>
      <c r="K3363" s="7" t="s">
        <v>309</v>
      </c>
      <c r="L3363" s="8">
        <v>28</v>
      </c>
      <c r="M3363" s="7">
        <f>IF(INDEX([1]equip.xml!$B:$B,MATCH(D3363,[1]equip.xml!$A:$A,0))=0,0,N3363)</f>
        <v>65</v>
      </c>
      <c r="N3363" s="8">
        <v>65</v>
      </c>
    </row>
    <row r="3364" spans="1:14">
      <c r="A3364" s="7">
        <f t="shared" si="3604"/>
        <v>20010</v>
      </c>
      <c r="B3364" s="8">
        <f t="shared" ref="B3364:C3364" si="3610">B3276</f>
        <v>40000</v>
      </c>
      <c r="C3364" s="8" t="str">
        <f t="shared" si="3610"/>
        <v>装备</v>
      </c>
      <c r="D3364" s="8">
        <v>50302065</v>
      </c>
      <c r="E3364" s="8"/>
      <c r="F3364" s="8">
        <v>1</v>
      </c>
      <c r="G3364" s="8">
        <f>3*INDEX([1]equip.xml!$I:$I,MATCH(D3364,[1]equip.xml!$A:$A,0))</f>
        <v>180000</v>
      </c>
      <c r="H3364" s="8" t="str">
        <f t="shared" si="3595"/>
        <v>10_10,50_20,80_30</v>
      </c>
      <c r="I3364" s="8">
        <v>8</v>
      </c>
      <c r="J3364" s="8">
        <f t="shared" si="3595"/>
        <v>240</v>
      </c>
      <c r="K3364" s="7" t="s">
        <v>309</v>
      </c>
      <c r="L3364" s="8">
        <v>28</v>
      </c>
      <c r="M3364" s="7">
        <f>IF(INDEX([1]equip.xml!$B:$B,MATCH(D3364,[1]equip.xml!$A:$A,0))=0,0,N3364)</f>
        <v>65</v>
      </c>
      <c r="N3364" s="8">
        <v>65</v>
      </c>
    </row>
    <row r="3365" spans="1:14">
      <c r="A3365" s="7">
        <f t="shared" si="3604"/>
        <v>20010</v>
      </c>
      <c r="B3365" s="8">
        <f t="shared" ref="B3365:C3365" si="3611">B3277</f>
        <v>40000</v>
      </c>
      <c r="C3365" s="8" t="str">
        <f t="shared" si="3611"/>
        <v>装备</v>
      </c>
      <c r="D3365" s="8">
        <v>50302066</v>
      </c>
      <c r="E3365" s="8"/>
      <c r="F3365" s="8">
        <v>1</v>
      </c>
      <c r="G3365" s="8">
        <f>3*INDEX([1]equip.xml!$I:$I,MATCH(D3365,[1]equip.xml!$A:$A,0))</f>
        <v>198000</v>
      </c>
      <c r="H3365" s="8" t="str">
        <f t="shared" si="3595"/>
        <v>10_10,50_20,80_30</v>
      </c>
      <c r="I3365" s="8">
        <v>8</v>
      </c>
      <c r="J3365" s="8">
        <f t="shared" si="3595"/>
        <v>240</v>
      </c>
      <c r="K3365" s="7" t="s">
        <v>309</v>
      </c>
      <c r="L3365" s="8">
        <v>28</v>
      </c>
      <c r="M3365" s="7">
        <f>IF(INDEX([1]equip.xml!$B:$B,MATCH(D3365,[1]equip.xml!$A:$A,0))=0,0,N3365)</f>
        <v>0</v>
      </c>
      <c r="N3365" s="8">
        <v>65</v>
      </c>
    </row>
    <row r="3366" spans="1:14">
      <c r="A3366" s="7">
        <f t="shared" si="3604"/>
        <v>20010</v>
      </c>
      <c r="B3366" s="8">
        <f t="shared" ref="B3366:C3366" si="3612">B3278</f>
        <v>40000</v>
      </c>
      <c r="C3366" s="8" t="str">
        <f t="shared" si="3612"/>
        <v>装备</v>
      </c>
      <c r="D3366" s="8">
        <v>50303055</v>
      </c>
      <c r="E3366" s="8"/>
      <c r="F3366" s="8">
        <v>1</v>
      </c>
      <c r="G3366" s="8">
        <f>3*INDEX([1]equip.xml!$I:$I,MATCH(D3366,[1]equip.xml!$A:$A,0))</f>
        <v>180000</v>
      </c>
      <c r="H3366" s="8" t="str">
        <f t="shared" ref="H3366:J3381" si="3613">H3278</f>
        <v>10_10,50_20,80_30</v>
      </c>
      <c r="I3366" s="8">
        <v>8</v>
      </c>
      <c r="J3366" s="8">
        <f t="shared" si="3613"/>
        <v>240</v>
      </c>
      <c r="K3366" s="7" t="s">
        <v>309</v>
      </c>
      <c r="L3366" s="8">
        <v>28</v>
      </c>
      <c r="M3366" s="7">
        <f>IF(INDEX([1]equip.xml!$B:$B,MATCH(D3366,[1]equip.xml!$A:$A,0))=0,0,N3366)</f>
        <v>65</v>
      </c>
      <c r="N3366" s="8">
        <v>65</v>
      </c>
    </row>
    <row r="3367" spans="1:14">
      <c r="A3367" s="7">
        <f t="shared" si="3604"/>
        <v>20010</v>
      </c>
      <c r="B3367" s="8">
        <f t="shared" ref="B3367:C3367" si="3614">B3279</f>
        <v>40000</v>
      </c>
      <c r="C3367" s="8" t="str">
        <f t="shared" si="3614"/>
        <v>装备</v>
      </c>
      <c r="D3367" s="8">
        <v>50303056</v>
      </c>
      <c r="E3367" s="8"/>
      <c r="F3367" s="8">
        <v>1</v>
      </c>
      <c r="G3367" s="8">
        <f>3*INDEX([1]equip.xml!$I:$I,MATCH(D3367,[1]equip.xml!$A:$A,0))</f>
        <v>198000</v>
      </c>
      <c r="H3367" s="8" t="str">
        <f t="shared" si="3613"/>
        <v>10_10,50_20,80_30</v>
      </c>
      <c r="I3367" s="8">
        <v>8</v>
      </c>
      <c r="J3367" s="8">
        <f t="shared" si="3613"/>
        <v>240</v>
      </c>
      <c r="K3367" s="7" t="s">
        <v>309</v>
      </c>
      <c r="L3367" s="8">
        <v>28</v>
      </c>
      <c r="M3367" s="7">
        <f>IF(INDEX([1]equip.xml!$B:$B,MATCH(D3367,[1]equip.xml!$A:$A,0))=0,0,N3367)</f>
        <v>65</v>
      </c>
      <c r="N3367" s="8">
        <v>65</v>
      </c>
    </row>
    <row r="3368" spans="1:14">
      <c r="A3368" s="7">
        <f t="shared" si="3604"/>
        <v>20010</v>
      </c>
      <c r="B3368" s="8">
        <f t="shared" ref="B3368:C3368" si="3615">B3280</f>
        <v>40000</v>
      </c>
      <c r="C3368" s="8" t="str">
        <f t="shared" si="3615"/>
        <v>装备</v>
      </c>
      <c r="D3368" s="8">
        <v>50303065</v>
      </c>
      <c r="E3368" s="8"/>
      <c r="F3368" s="8">
        <v>1</v>
      </c>
      <c r="G3368" s="8">
        <f>3*INDEX([1]equip.xml!$I:$I,MATCH(D3368,[1]equip.xml!$A:$A,0))</f>
        <v>180000</v>
      </c>
      <c r="H3368" s="8" t="str">
        <f t="shared" si="3613"/>
        <v>10_10,50_20,80_30</v>
      </c>
      <c r="I3368" s="8">
        <v>8</v>
      </c>
      <c r="J3368" s="8">
        <f t="shared" si="3613"/>
        <v>240</v>
      </c>
      <c r="K3368" s="7" t="s">
        <v>309</v>
      </c>
      <c r="L3368" s="8">
        <v>28</v>
      </c>
      <c r="M3368" s="7">
        <f>IF(INDEX([1]equip.xml!$B:$B,MATCH(D3368,[1]equip.xml!$A:$A,0))=0,0,N3368)</f>
        <v>65</v>
      </c>
      <c r="N3368" s="8">
        <v>65</v>
      </c>
    </row>
    <row r="3369" spans="1:14">
      <c r="A3369" s="7">
        <f t="shared" si="3604"/>
        <v>20010</v>
      </c>
      <c r="B3369" s="8">
        <f t="shared" ref="B3369:C3369" si="3616">B3281</f>
        <v>40000</v>
      </c>
      <c r="C3369" s="8" t="str">
        <f t="shared" si="3616"/>
        <v>装备</v>
      </c>
      <c r="D3369" s="8">
        <v>50303066</v>
      </c>
      <c r="E3369" s="8"/>
      <c r="F3369" s="8">
        <v>1</v>
      </c>
      <c r="G3369" s="8">
        <f>3*INDEX([1]equip.xml!$I:$I,MATCH(D3369,[1]equip.xml!$A:$A,0))</f>
        <v>198000</v>
      </c>
      <c r="H3369" s="8" t="str">
        <f t="shared" si="3613"/>
        <v>10_10,50_20,80_30</v>
      </c>
      <c r="I3369" s="8">
        <v>8</v>
      </c>
      <c r="J3369" s="8">
        <f t="shared" si="3613"/>
        <v>240</v>
      </c>
      <c r="K3369" s="7" t="s">
        <v>309</v>
      </c>
      <c r="L3369" s="8">
        <v>28</v>
      </c>
      <c r="M3369" s="7">
        <f>IF(INDEX([1]equip.xml!$B:$B,MATCH(D3369,[1]equip.xml!$A:$A,0))=0,0,N3369)</f>
        <v>0</v>
      </c>
      <c r="N3369" s="8">
        <v>65</v>
      </c>
    </row>
    <row r="3370" spans="1:14">
      <c r="A3370" s="7">
        <f t="shared" si="3604"/>
        <v>20010</v>
      </c>
      <c r="B3370" s="8">
        <f t="shared" ref="B3370:C3370" si="3617">B3282</f>
        <v>40000</v>
      </c>
      <c r="C3370" s="8" t="str">
        <f t="shared" si="3617"/>
        <v>装备</v>
      </c>
      <c r="D3370" s="8">
        <v>50300045</v>
      </c>
      <c r="E3370" s="8"/>
      <c r="F3370" s="8">
        <v>1</v>
      </c>
      <c r="G3370" s="8">
        <f>3*INDEX([1]equip.xml!$I:$I,MATCH(D3370,[1]equip.xml!$A:$A,0))</f>
        <v>180000</v>
      </c>
      <c r="H3370" s="8" t="str">
        <f t="shared" si="3613"/>
        <v>10_10,50_20,80_30</v>
      </c>
      <c r="I3370" s="8">
        <v>8</v>
      </c>
      <c r="J3370" s="8">
        <f t="shared" si="3613"/>
        <v>240</v>
      </c>
      <c r="K3370" s="7" t="s">
        <v>309</v>
      </c>
      <c r="L3370" s="8">
        <v>28</v>
      </c>
      <c r="M3370" s="7">
        <f>IF(INDEX([1]equip.xml!$B:$B,MATCH(D3370,[1]equip.xml!$A:$A,0))=0,0,N3370)</f>
        <v>65</v>
      </c>
      <c r="N3370" s="8">
        <v>65</v>
      </c>
    </row>
    <row r="3371" spans="1:14">
      <c r="A3371" s="7">
        <f t="shared" si="3604"/>
        <v>20010</v>
      </c>
      <c r="B3371" s="8">
        <f t="shared" ref="B3371:C3371" si="3618">B3283</f>
        <v>40000</v>
      </c>
      <c r="C3371" s="8" t="str">
        <f t="shared" si="3618"/>
        <v>装备</v>
      </c>
      <c r="D3371" s="8">
        <v>50300046</v>
      </c>
      <c r="E3371" s="8"/>
      <c r="F3371" s="8">
        <v>1</v>
      </c>
      <c r="G3371" s="8">
        <f>3*INDEX([1]equip.xml!$I:$I,MATCH(D3371,[1]equip.xml!$A:$A,0))</f>
        <v>198000</v>
      </c>
      <c r="H3371" s="8" t="str">
        <f t="shared" si="3613"/>
        <v>10_10,50_20,80_30</v>
      </c>
      <c r="I3371" s="8">
        <v>8</v>
      </c>
      <c r="J3371" s="8">
        <f t="shared" si="3613"/>
        <v>240</v>
      </c>
      <c r="K3371" s="7" t="s">
        <v>309</v>
      </c>
      <c r="L3371" s="8">
        <v>28</v>
      </c>
      <c r="M3371" s="7">
        <f>IF(INDEX([1]equip.xml!$B:$B,MATCH(D3371,[1]equip.xml!$A:$A,0))=0,0,N3371)</f>
        <v>65</v>
      </c>
      <c r="N3371" s="8">
        <v>65</v>
      </c>
    </row>
    <row r="3372" spans="1:14">
      <c r="A3372" s="7">
        <f t="shared" si="3604"/>
        <v>20010</v>
      </c>
      <c r="B3372" s="8">
        <f t="shared" ref="B3372:C3372" si="3619">B3284</f>
        <v>40000</v>
      </c>
      <c r="C3372" s="8" t="str">
        <f t="shared" si="3619"/>
        <v>装备</v>
      </c>
      <c r="D3372" s="8">
        <v>50300075</v>
      </c>
      <c r="E3372" s="8"/>
      <c r="F3372" s="8">
        <v>1</v>
      </c>
      <c r="G3372" s="8">
        <f>3*INDEX([1]equip.xml!$I:$I,MATCH(D3372,[1]equip.xml!$A:$A,0))</f>
        <v>180000</v>
      </c>
      <c r="H3372" s="8" t="str">
        <f t="shared" si="3613"/>
        <v>10_10,50_20,80_30</v>
      </c>
      <c r="I3372" s="8">
        <v>8</v>
      </c>
      <c r="J3372" s="8">
        <f t="shared" si="3613"/>
        <v>240</v>
      </c>
      <c r="K3372" s="7" t="s">
        <v>309</v>
      </c>
      <c r="L3372" s="8">
        <v>28</v>
      </c>
      <c r="M3372" s="7">
        <f>IF(INDEX([1]equip.xml!$B:$B,MATCH(D3372,[1]equip.xml!$A:$A,0))=0,0,N3372)</f>
        <v>65</v>
      </c>
      <c r="N3372" s="8">
        <v>65</v>
      </c>
    </row>
    <row r="3373" spans="1:14">
      <c r="A3373" s="7">
        <f t="shared" si="3604"/>
        <v>20010</v>
      </c>
      <c r="B3373" s="8">
        <f t="shared" ref="B3373:C3373" si="3620">B3285</f>
        <v>40000</v>
      </c>
      <c r="C3373" s="8" t="str">
        <f t="shared" si="3620"/>
        <v>装备</v>
      </c>
      <c r="D3373" s="8">
        <v>50300076</v>
      </c>
      <c r="E3373" s="8"/>
      <c r="F3373" s="8">
        <v>1</v>
      </c>
      <c r="G3373" s="8">
        <f>3*INDEX([1]equip.xml!$I:$I,MATCH(D3373,[1]equip.xml!$A:$A,0))</f>
        <v>198000</v>
      </c>
      <c r="H3373" s="8" t="str">
        <f t="shared" si="3613"/>
        <v>10_10,50_20,80_30</v>
      </c>
      <c r="I3373" s="8">
        <v>8</v>
      </c>
      <c r="J3373" s="8">
        <f t="shared" si="3613"/>
        <v>240</v>
      </c>
      <c r="K3373" s="7" t="s">
        <v>309</v>
      </c>
      <c r="L3373" s="8">
        <v>28</v>
      </c>
      <c r="M3373" s="7">
        <f>IF(INDEX([1]equip.xml!$B:$B,MATCH(D3373,[1]equip.xml!$A:$A,0))=0,0,N3373)</f>
        <v>65</v>
      </c>
      <c r="N3373" s="8">
        <v>65</v>
      </c>
    </row>
    <row r="3374" spans="1:14">
      <c r="A3374" s="7">
        <f t="shared" si="3604"/>
        <v>20011</v>
      </c>
      <c r="B3374" s="7">
        <f t="shared" ref="B3374:C3374" si="3621">B3286</f>
        <v>40000</v>
      </c>
      <c r="C3374" s="7" t="str">
        <f t="shared" si="3621"/>
        <v>装备</v>
      </c>
      <c r="D3374" s="7">
        <v>40300010</v>
      </c>
      <c r="E3374" s="7"/>
      <c r="F3374" s="7">
        <v>1</v>
      </c>
      <c r="G3374" s="7">
        <f>3*INDEX([1]equip.xml!$I:$I,MATCH(D3374&amp;"",[1]equip.xml!$A:$A,0))</f>
        <v>90000</v>
      </c>
      <c r="H3374" s="7" t="str">
        <f t="shared" si="3613"/>
        <v>10_10,50_20,80_30</v>
      </c>
      <c r="I3374" s="7">
        <v>7</v>
      </c>
      <c r="J3374" s="7">
        <f t="shared" si="3613"/>
        <v>50</v>
      </c>
      <c r="K3374" s="7" t="s">
        <v>310</v>
      </c>
      <c r="L3374" s="7">
        <v>30</v>
      </c>
      <c r="M3374" s="7">
        <f>IF(INDEX([1]equip.xml!$B:$B,MATCH(D3374&amp;"",[1]equip.xml!$A:$A,0))=0,0,N3374)</f>
        <v>130</v>
      </c>
      <c r="N3374" s="7">
        <f t="shared" ref="N3374" si="3622">N3286</f>
        <v>130</v>
      </c>
    </row>
    <row r="3375" spans="1:14">
      <c r="A3375" s="7">
        <f t="shared" si="3604"/>
        <v>20011</v>
      </c>
      <c r="B3375" s="7">
        <f t="shared" ref="B3375:C3375" si="3623">B3287</f>
        <v>40000</v>
      </c>
      <c r="C3375" s="7" t="str">
        <f t="shared" si="3623"/>
        <v>装备</v>
      </c>
      <c r="D3375" s="7">
        <v>40300020</v>
      </c>
      <c r="E3375" s="7"/>
      <c r="F3375" s="7">
        <v>1</v>
      </c>
      <c r="G3375" s="7">
        <f>3*INDEX([1]equip.xml!$I:$I,MATCH(D3375&amp;"",[1]equip.xml!$A:$A,0))</f>
        <v>90000</v>
      </c>
      <c r="H3375" s="7" t="str">
        <f t="shared" si="3613"/>
        <v>10_10,50_20,80_30</v>
      </c>
      <c r="I3375" s="7">
        <v>7</v>
      </c>
      <c r="J3375" s="7">
        <f t="shared" si="3613"/>
        <v>50</v>
      </c>
      <c r="K3375" s="7" t="s">
        <v>310</v>
      </c>
      <c r="L3375" s="7">
        <v>30</v>
      </c>
      <c r="M3375" s="7">
        <f>IF(INDEX([1]equip.xml!$B:$B,MATCH(D3375&amp;"",[1]equip.xml!$A:$A,0))=0,0,N3375)</f>
        <v>130</v>
      </c>
      <c r="N3375" s="7">
        <f t="shared" ref="N3375" si="3624">N3287</f>
        <v>130</v>
      </c>
    </row>
    <row r="3376" spans="1:14">
      <c r="A3376" s="7">
        <f t="shared" si="3604"/>
        <v>20011</v>
      </c>
      <c r="B3376" s="7">
        <f t="shared" ref="B3376:C3376" si="3625">B3288</f>
        <v>40000</v>
      </c>
      <c r="C3376" s="7" t="str">
        <f t="shared" si="3625"/>
        <v>装备</v>
      </c>
      <c r="D3376" s="7">
        <v>40300030</v>
      </c>
      <c r="E3376" s="7"/>
      <c r="F3376" s="7">
        <v>1</v>
      </c>
      <c r="G3376" s="7">
        <f>3*INDEX([1]equip.xml!$I:$I,MATCH(D3376&amp;"",[1]equip.xml!$A:$A,0))</f>
        <v>90000</v>
      </c>
      <c r="H3376" s="7" t="str">
        <f t="shared" si="3613"/>
        <v>10_10,50_20,80_30</v>
      </c>
      <c r="I3376" s="7">
        <v>7</v>
      </c>
      <c r="J3376" s="7">
        <f t="shared" si="3613"/>
        <v>50</v>
      </c>
      <c r="K3376" s="7" t="s">
        <v>310</v>
      </c>
      <c r="L3376" s="7">
        <v>30</v>
      </c>
      <c r="M3376" s="7">
        <f>IF(INDEX([1]equip.xml!$B:$B,MATCH(D3376&amp;"",[1]equip.xml!$A:$A,0))=0,0,N3376)</f>
        <v>130</v>
      </c>
      <c r="N3376" s="7">
        <f t="shared" ref="N3376" si="3626">N3288</f>
        <v>130</v>
      </c>
    </row>
    <row r="3377" spans="1:14">
      <c r="A3377" s="7">
        <f t="shared" si="3604"/>
        <v>20011</v>
      </c>
      <c r="B3377" s="7">
        <f t="shared" ref="B3377:C3377" si="3627">B3289</f>
        <v>40000</v>
      </c>
      <c r="C3377" s="7" t="str">
        <f t="shared" si="3627"/>
        <v>装备</v>
      </c>
      <c r="D3377" s="7">
        <v>40300080</v>
      </c>
      <c r="E3377" s="7"/>
      <c r="F3377" s="7">
        <v>1</v>
      </c>
      <c r="G3377" s="7">
        <f>3*INDEX([1]equip.xml!$I:$I,MATCH(D3377&amp;"",[1]equip.xml!$A:$A,0))</f>
        <v>90000</v>
      </c>
      <c r="H3377" s="7" t="str">
        <f t="shared" si="3613"/>
        <v>10_10,50_20,80_30</v>
      </c>
      <c r="I3377" s="7">
        <v>7</v>
      </c>
      <c r="J3377" s="7">
        <f t="shared" si="3613"/>
        <v>50</v>
      </c>
      <c r="K3377" s="7" t="s">
        <v>310</v>
      </c>
      <c r="L3377" s="7">
        <v>30</v>
      </c>
      <c r="M3377" s="7">
        <f>IF(INDEX([1]equip.xml!$B:$B,MATCH(D3377&amp;"",[1]equip.xml!$A:$A,0))=0,0,N3377)</f>
        <v>130</v>
      </c>
      <c r="N3377" s="7">
        <f t="shared" ref="N3377" si="3628">N3289</f>
        <v>130</v>
      </c>
    </row>
    <row r="3378" spans="1:14">
      <c r="A3378" s="7">
        <f t="shared" si="3604"/>
        <v>20011</v>
      </c>
      <c r="B3378" s="7">
        <f t="shared" ref="B3378:C3378" si="3629">B3290</f>
        <v>40000</v>
      </c>
      <c r="C3378" s="7" t="str">
        <f t="shared" si="3629"/>
        <v>装备</v>
      </c>
      <c r="D3378" s="7">
        <v>40300090</v>
      </c>
      <c r="E3378" s="7"/>
      <c r="F3378" s="7">
        <v>1</v>
      </c>
      <c r="G3378" s="7">
        <f>3*INDEX([1]equip.xml!$I:$I,MATCH(D3378&amp;"",[1]equip.xml!$A:$A,0))</f>
        <v>90000</v>
      </c>
      <c r="H3378" s="7" t="str">
        <f t="shared" si="3613"/>
        <v>10_10,50_20,80_30</v>
      </c>
      <c r="I3378" s="7">
        <v>7</v>
      </c>
      <c r="J3378" s="7">
        <f t="shared" si="3613"/>
        <v>50</v>
      </c>
      <c r="K3378" s="7" t="s">
        <v>310</v>
      </c>
      <c r="L3378" s="7">
        <v>30</v>
      </c>
      <c r="M3378" s="7">
        <f>IF(INDEX([1]equip.xml!$B:$B,MATCH(D3378&amp;"",[1]equip.xml!$A:$A,0))=0,0,N3378)</f>
        <v>130</v>
      </c>
      <c r="N3378" s="7">
        <f t="shared" ref="N3378" si="3630">N3290</f>
        <v>130</v>
      </c>
    </row>
    <row r="3379" spans="1:14">
      <c r="A3379" s="7">
        <f t="shared" si="3604"/>
        <v>20011</v>
      </c>
      <c r="B3379" s="7">
        <f t="shared" ref="B3379:C3379" si="3631">B3291</f>
        <v>40000</v>
      </c>
      <c r="C3379" s="7" t="str">
        <f t="shared" si="3631"/>
        <v>装备</v>
      </c>
      <c r="D3379" s="7">
        <v>40300100</v>
      </c>
      <c r="E3379" s="7"/>
      <c r="F3379" s="7">
        <v>1</v>
      </c>
      <c r="G3379" s="7">
        <f>3*INDEX([1]equip.xml!$I:$I,MATCH(D3379&amp;"",[1]equip.xml!$A:$A,0))</f>
        <v>90000</v>
      </c>
      <c r="H3379" s="7" t="str">
        <f t="shared" si="3613"/>
        <v>10_10,50_20,80_30</v>
      </c>
      <c r="I3379" s="7">
        <v>7</v>
      </c>
      <c r="J3379" s="7">
        <f t="shared" si="3613"/>
        <v>50</v>
      </c>
      <c r="K3379" s="7" t="s">
        <v>310</v>
      </c>
      <c r="L3379" s="7">
        <v>30</v>
      </c>
      <c r="M3379" s="7">
        <f>IF(INDEX([1]equip.xml!$B:$B,MATCH(D3379&amp;"",[1]equip.xml!$A:$A,0))=0,0,N3379)</f>
        <v>130</v>
      </c>
      <c r="N3379" s="7">
        <f t="shared" ref="N3379" si="3632">N3291</f>
        <v>130</v>
      </c>
    </row>
    <row r="3380" spans="1:14">
      <c r="A3380" s="7">
        <f t="shared" si="3604"/>
        <v>20011</v>
      </c>
      <c r="B3380" s="7">
        <f t="shared" ref="B3380:C3380" si="3633">B3292</f>
        <v>40000</v>
      </c>
      <c r="C3380" s="7" t="str">
        <f t="shared" si="3633"/>
        <v>装备</v>
      </c>
      <c r="D3380" s="7">
        <v>40301050</v>
      </c>
      <c r="E3380" s="7"/>
      <c r="F3380" s="7">
        <v>1</v>
      </c>
      <c r="G3380" s="7">
        <f>3*INDEX([1]equip.xml!$I:$I,MATCH(D3380&amp;"",[1]equip.xml!$A:$A,0))</f>
        <v>90000</v>
      </c>
      <c r="H3380" s="7" t="str">
        <f t="shared" si="3613"/>
        <v>10_10,50_20,80_30</v>
      </c>
      <c r="I3380" s="7">
        <v>7</v>
      </c>
      <c r="J3380" s="7">
        <f t="shared" si="3613"/>
        <v>50</v>
      </c>
      <c r="K3380" s="7" t="s">
        <v>310</v>
      </c>
      <c r="L3380" s="7">
        <v>30</v>
      </c>
      <c r="M3380" s="7">
        <f>IF(INDEX([1]equip.xml!$B:$B,MATCH(D3380&amp;"",[1]equip.xml!$A:$A,0))=0,0,N3380)</f>
        <v>130</v>
      </c>
      <c r="N3380" s="7">
        <f t="shared" ref="N3380" si="3634">N3292</f>
        <v>130</v>
      </c>
    </row>
    <row r="3381" spans="1:14">
      <c r="A3381" s="7">
        <f t="shared" si="3604"/>
        <v>20011</v>
      </c>
      <c r="B3381" s="7">
        <f t="shared" ref="B3381:C3381" si="3635">B3293</f>
        <v>40000</v>
      </c>
      <c r="C3381" s="7" t="str">
        <f t="shared" si="3635"/>
        <v>装备</v>
      </c>
      <c r="D3381" s="7">
        <v>40301051</v>
      </c>
      <c r="E3381" s="7"/>
      <c r="F3381" s="7">
        <v>1</v>
      </c>
      <c r="G3381" s="7">
        <f>3*INDEX([1]equip.xml!$I:$I,MATCH(D3381&amp;"",[1]equip.xml!$A:$A,0))</f>
        <v>99000</v>
      </c>
      <c r="H3381" s="7" t="str">
        <f t="shared" si="3613"/>
        <v>10_10,50_20,80_30</v>
      </c>
      <c r="I3381" s="7">
        <v>7</v>
      </c>
      <c r="J3381" s="7">
        <f t="shared" si="3613"/>
        <v>50</v>
      </c>
      <c r="K3381" s="7" t="s">
        <v>310</v>
      </c>
      <c r="L3381" s="7">
        <v>30</v>
      </c>
      <c r="M3381" s="7">
        <f>IF(INDEX([1]equip.xml!$B:$B,MATCH(D3381&amp;"",[1]equip.xml!$A:$A,0))=0,0,N3381)</f>
        <v>130</v>
      </c>
      <c r="N3381" s="7">
        <f t="shared" ref="N3381" si="3636">N3293</f>
        <v>130</v>
      </c>
    </row>
    <row r="3382" spans="1:14">
      <c r="A3382" s="7">
        <f t="shared" si="3604"/>
        <v>20011</v>
      </c>
      <c r="B3382" s="7">
        <f t="shared" ref="B3382:C3382" si="3637">B3294</f>
        <v>40000</v>
      </c>
      <c r="C3382" s="7" t="str">
        <f t="shared" si="3637"/>
        <v>装备</v>
      </c>
      <c r="D3382" s="7">
        <v>40301060</v>
      </c>
      <c r="E3382" s="7"/>
      <c r="F3382" s="7">
        <v>1</v>
      </c>
      <c r="G3382" s="7">
        <f>3*INDEX([1]equip.xml!$I:$I,MATCH(D3382&amp;"",[1]equip.xml!$A:$A,0))</f>
        <v>90000</v>
      </c>
      <c r="H3382" s="7" t="str">
        <f t="shared" ref="H3382:J3397" si="3638">H3294</f>
        <v>10_10,50_20,80_30</v>
      </c>
      <c r="I3382" s="7">
        <v>7</v>
      </c>
      <c r="J3382" s="7">
        <f t="shared" si="3638"/>
        <v>50</v>
      </c>
      <c r="K3382" s="7" t="s">
        <v>310</v>
      </c>
      <c r="L3382" s="7">
        <v>30</v>
      </c>
      <c r="M3382" s="7">
        <f>IF(INDEX([1]equip.xml!$B:$B,MATCH(D3382&amp;"",[1]equip.xml!$A:$A,0))=0,0,N3382)</f>
        <v>130</v>
      </c>
      <c r="N3382" s="7">
        <f t="shared" ref="N3382" si="3639">N3294</f>
        <v>130</v>
      </c>
    </row>
    <row r="3383" spans="1:14">
      <c r="A3383" s="7">
        <f t="shared" si="3604"/>
        <v>20011</v>
      </c>
      <c r="B3383" s="7">
        <f t="shared" ref="B3383:C3383" si="3640">B3295</f>
        <v>40000</v>
      </c>
      <c r="C3383" s="7" t="str">
        <f t="shared" si="3640"/>
        <v>装备</v>
      </c>
      <c r="D3383" s="7">
        <v>40301061</v>
      </c>
      <c r="E3383" s="7"/>
      <c r="F3383" s="7">
        <v>1</v>
      </c>
      <c r="G3383" s="7">
        <f>3*INDEX([1]equip.xml!$I:$I,MATCH(D3383&amp;"",[1]equip.xml!$A:$A,0))</f>
        <v>99000</v>
      </c>
      <c r="H3383" s="7" t="str">
        <f t="shared" si="3638"/>
        <v>10_10,50_20,80_30</v>
      </c>
      <c r="I3383" s="7">
        <v>7</v>
      </c>
      <c r="J3383" s="7">
        <f t="shared" si="3638"/>
        <v>50</v>
      </c>
      <c r="K3383" s="7" t="s">
        <v>310</v>
      </c>
      <c r="L3383" s="7">
        <v>30</v>
      </c>
      <c r="M3383" s="7">
        <f>IF(INDEX([1]equip.xml!$B:$B,MATCH(D3383&amp;"",[1]equip.xml!$A:$A,0))=0,0,N3383)</f>
        <v>0</v>
      </c>
      <c r="N3383" s="7">
        <f t="shared" ref="N3383" si="3641">N3295</f>
        <v>130</v>
      </c>
    </row>
    <row r="3384" spans="1:14">
      <c r="A3384" s="7">
        <f t="shared" si="3604"/>
        <v>20011</v>
      </c>
      <c r="B3384" s="7">
        <f t="shared" ref="B3384:C3384" si="3642">B3296</f>
        <v>40000</v>
      </c>
      <c r="C3384" s="7" t="str">
        <f t="shared" si="3642"/>
        <v>装备</v>
      </c>
      <c r="D3384" s="7">
        <v>40302050</v>
      </c>
      <c r="E3384" s="7"/>
      <c r="F3384" s="7">
        <v>1</v>
      </c>
      <c r="G3384" s="7">
        <f>3*INDEX([1]equip.xml!$I:$I,MATCH(D3384&amp;"",[1]equip.xml!$A:$A,0))</f>
        <v>90000</v>
      </c>
      <c r="H3384" s="7" t="str">
        <f t="shared" si="3638"/>
        <v>10_10,50_20,80_30</v>
      </c>
      <c r="I3384" s="7">
        <v>7</v>
      </c>
      <c r="J3384" s="7">
        <f t="shared" si="3638"/>
        <v>50</v>
      </c>
      <c r="K3384" s="7" t="s">
        <v>310</v>
      </c>
      <c r="L3384" s="7">
        <v>30</v>
      </c>
      <c r="M3384" s="7">
        <f>IF(INDEX([1]equip.xml!$B:$B,MATCH(D3384&amp;"",[1]equip.xml!$A:$A,0))=0,0,N3384)</f>
        <v>130</v>
      </c>
      <c r="N3384" s="7">
        <f t="shared" ref="N3384" si="3643">N3296</f>
        <v>130</v>
      </c>
    </row>
    <row r="3385" spans="1:14">
      <c r="A3385" s="7">
        <f t="shared" si="3604"/>
        <v>20011</v>
      </c>
      <c r="B3385" s="7">
        <f t="shared" ref="B3385:C3385" si="3644">B3297</f>
        <v>40000</v>
      </c>
      <c r="C3385" s="7" t="str">
        <f t="shared" si="3644"/>
        <v>装备</v>
      </c>
      <c r="D3385" s="7">
        <v>40302051</v>
      </c>
      <c r="E3385" s="7"/>
      <c r="F3385" s="7">
        <v>1</v>
      </c>
      <c r="G3385" s="7">
        <f>3*INDEX([1]equip.xml!$I:$I,MATCH(D3385&amp;"",[1]equip.xml!$A:$A,0))</f>
        <v>99000</v>
      </c>
      <c r="H3385" s="7" t="str">
        <f t="shared" si="3638"/>
        <v>10_10,50_20,80_30</v>
      </c>
      <c r="I3385" s="7">
        <v>7</v>
      </c>
      <c r="J3385" s="7">
        <f t="shared" si="3638"/>
        <v>50</v>
      </c>
      <c r="K3385" s="7" t="s">
        <v>310</v>
      </c>
      <c r="L3385" s="7">
        <v>30</v>
      </c>
      <c r="M3385" s="7">
        <f>IF(INDEX([1]equip.xml!$B:$B,MATCH(D3385&amp;"",[1]equip.xml!$A:$A,0))=0,0,N3385)</f>
        <v>130</v>
      </c>
      <c r="N3385" s="7">
        <f t="shared" ref="N3385" si="3645">N3297</f>
        <v>130</v>
      </c>
    </row>
    <row r="3386" spans="1:14">
      <c r="A3386" s="7">
        <f t="shared" si="3604"/>
        <v>20011</v>
      </c>
      <c r="B3386" s="7">
        <f t="shared" ref="B3386:C3386" si="3646">B3298</f>
        <v>40000</v>
      </c>
      <c r="C3386" s="7" t="str">
        <f t="shared" si="3646"/>
        <v>装备</v>
      </c>
      <c r="D3386" s="7">
        <v>40302060</v>
      </c>
      <c r="E3386" s="7"/>
      <c r="F3386" s="7">
        <v>1</v>
      </c>
      <c r="G3386" s="7">
        <f>3*INDEX([1]equip.xml!$I:$I,MATCH(D3386&amp;"",[1]equip.xml!$A:$A,0))</f>
        <v>90000</v>
      </c>
      <c r="H3386" s="7" t="str">
        <f t="shared" si="3638"/>
        <v>10_10,50_20,80_30</v>
      </c>
      <c r="I3386" s="7">
        <v>7</v>
      </c>
      <c r="J3386" s="7">
        <f t="shared" si="3638"/>
        <v>50</v>
      </c>
      <c r="K3386" s="7" t="s">
        <v>310</v>
      </c>
      <c r="L3386" s="7">
        <v>30</v>
      </c>
      <c r="M3386" s="7">
        <f>IF(INDEX([1]equip.xml!$B:$B,MATCH(D3386&amp;"",[1]equip.xml!$A:$A,0))=0,0,N3386)</f>
        <v>130</v>
      </c>
      <c r="N3386" s="7">
        <f t="shared" ref="N3386" si="3647">N3298</f>
        <v>130</v>
      </c>
    </row>
    <row r="3387" spans="1:14">
      <c r="A3387" s="7">
        <f t="shared" si="3604"/>
        <v>20011</v>
      </c>
      <c r="B3387" s="7">
        <f t="shared" ref="B3387:C3387" si="3648">B3299</f>
        <v>40000</v>
      </c>
      <c r="C3387" s="7" t="str">
        <f t="shared" si="3648"/>
        <v>装备</v>
      </c>
      <c r="D3387" s="7">
        <v>40302061</v>
      </c>
      <c r="E3387" s="7"/>
      <c r="F3387" s="7">
        <v>1</v>
      </c>
      <c r="G3387" s="7">
        <f>3*INDEX([1]equip.xml!$I:$I,MATCH(D3387&amp;"",[1]equip.xml!$A:$A,0))</f>
        <v>99000</v>
      </c>
      <c r="H3387" s="7" t="str">
        <f t="shared" si="3638"/>
        <v>10_10,50_20,80_30</v>
      </c>
      <c r="I3387" s="7">
        <v>7</v>
      </c>
      <c r="J3387" s="7">
        <f t="shared" si="3638"/>
        <v>50</v>
      </c>
      <c r="K3387" s="7" t="s">
        <v>310</v>
      </c>
      <c r="L3387" s="7">
        <v>30</v>
      </c>
      <c r="M3387" s="7">
        <f>IF(INDEX([1]equip.xml!$B:$B,MATCH(D3387&amp;"",[1]equip.xml!$A:$A,0))=0,0,N3387)</f>
        <v>0</v>
      </c>
      <c r="N3387" s="7">
        <f t="shared" ref="N3387" si="3649">N3299</f>
        <v>130</v>
      </c>
    </row>
    <row r="3388" spans="1:14">
      <c r="A3388" s="7">
        <f t="shared" si="3604"/>
        <v>20011</v>
      </c>
      <c r="B3388" s="7">
        <f t="shared" ref="B3388:C3388" si="3650">B3300</f>
        <v>40000</v>
      </c>
      <c r="C3388" s="7" t="str">
        <f t="shared" si="3650"/>
        <v>装备</v>
      </c>
      <c r="D3388" s="7">
        <v>40303050</v>
      </c>
      <c r="E3388" s="7"/>
      <c r="F3388" s="7">
        <v>1</v>
      </c>
      <c r="G3388" s="7">
        <f>3*INDEX([1]equip.xml!$I:$I,MATCH(D3388&amp;"",[1]equip.xml!$A:$A,0))</f>
        <v>90000</v>
      </c>
      <c r="H3388" s="7" t="str">
        <f t="shared" si="3638"/>
        <v>10_10,50_20,80_30</v>
      </c>
      <c r="I3388" s="7">
        <v>7</v>
      </c>
      <c r="J3388" s="7">
        <f t="shared" si="3638"/>
        <v>50</v>
      </c>
      <c r="K3388" s="7" t="s">
        <v>310</v>
      </c>
      <c r="L3388" s="7">
        <v>30</v>
      </c>
      <c r="M3388" s="7">
        <f>IF(INDEX([1]equip.xml!$B:$B,MATCH(D3388&amp;"",[1]equip.xml!$A:$A,0))=0,0,N3388)</f>
        <v>130</v>
      </c>
      <c r="N3388" s="7">
        <f t="shared" ref="N3388" si="3651">N3300</f>
        <v>130</v>
      </c>
    </row>
    <row r="3389" spans="1:14">
      <c r="A3389" s="7">
        <f t="shared" si="3604"/>
        <v>20011</v>
      </c>
      <c r="B3389" s="7">
        <f t="shared" ref="B3389:C3389" si="3652">B3301</f>
        <v>40000</v>
      </c>
      <c r="C3389" s="7" t="str">
        <f t="shared" si="3652"/>
        <v>装备</v>
      </c>
      <c r="D3389" s="7">
        <v>40303051</v>
      </c>
      <c r="E3389" s="7"/>
      <c r="F3389" s="7">
        <v>1</v>
      </c>
      <c r="G3389" s="7">
        <f>3*INDEX([1]equip.xml!$I:$I,MATCH(D3389&amp;"",[1]equip.xml!$A:$A,0))</f>
        <v>99000</v>
      </c>
      <c r="H3389" s="7" t="str">
        <f t="shared" si="3638"/>
        <v>10_10,50_20,80_30</v>
      </c>
      <c r="I3389" s="7">
        <v>7</v>
      </c>
      <c r="J3389" s="7">
        <f t="shared" si="3638"/>
        <v>50</v>
      </c>
      <c r="K3389" s="7" t="s">
        <v>310</v>
      </c>
      <c r="L3389" s="7">
        <v>30</v>
      </c>
      <c r="M3389" s="7">
        <f>IF(INDEX([1]equip.xml!$B:$B,MATCH(D3389&amp;"",[1]equip.xml!$A:$A,0))=0,0,N3389)</f>
        <v>130</v>
      </c>
      <c r="N3389" s="7">
        <f t="shared" ref="N3389" si="3653">N3301</f>
        <v>130</v>
      </c>
    </row>
    <row r="3390" spans="1:14">
      <c r="A3390" s="7">
        <f t="shared" si="3604"/>
        <v>20011</v>
      </c>
      <c r="B3390" s="7">
        <f t="shared" ref="B3390:C3390" si="3654">B3302</f>
        <v>40000</v>
      </c>
      <c r="C3390" s="7" t="str">
        <f t="shared" si="3654"/>
        <v>装备</v>
      </c>
      <c r="D3390" s="7">
        <v>40303060</v>
      </c>
      <c r="E3390" s="7"/>
      <c r="F3390" s="7">
        <v>1</v>
      </c>
      <c r="G3390" s="7">
        <f>3*INDEX([1]equip.xml!$I:$I,MATCH(D3390&amp;"",[1]equip.xml!$A:$A,0))</f>
        <v>90000</v>
      </c>
      <c r="H3390" s="7" t="str">
        <f t="shared" si="3638"/>
        <v>10_10,50_20,80_30</v>
      </c>
      <c r="I3390" s="7">
        <v>7</v>
      </c>
      <c r="J3390" s="7">
        <f t="shared" si="3638"/>
        <v>50</v>
      </c>
      <c r="K3390" s="7" t="s">
        <v>310</v>
      </c>
      <c r="L3390" s="7">
        <v>30</v>
      </c>
      <c r="M3390" s="7">
        <f>IF(INDEX([1]equip.xml!$B:$B,MATCH(D3390&amp;"",[1]equip.xml!$A:$A,0))=0,0,N3390)</f>
        <v>130</v>
      </c>
      <c r="N3390" s="7">
        <f t="shared" ref="N3390" si="3655">N3302</f>
        <v>130</v>
      </c>
    </row>
    <row r="3391" spans="1:14">
      <c r="A3391" s="7">
        <f t="shared" si="3604"/>
        <v>20011</v>
      </c>
      <c r="B3391" s="7">
        <f t="shared" ref="B3391:C3391" si="3656">B3303</f>
        <v>40000</v>
      </c>
      <c r="C3391" s="7" t="str">
        <f t="shared" si="3656"/>
        <v>装备</v>
      </c>
      <c r="D3391" s="7">
        <v>40303061</v>
      </c>
      <c r="E3391" s="7"/>
      <c r="F3391" s="7">
        <v>1</v>
      </c>
      <c r="G3391" s="7">
        <f>3*INDEX([1]equip.xml!$I:$I,MATCH(D3391&amp;"",[1]equip.xml!$A:$A,0))</f>
        <v>99000</v>
      </c>
      <c r="H3391" s="7" t="str">
        <f t="shared" si="3638"/>
        <v>10_10,50_20,80_30</v>
      </c>
      <c r="I3391" s="7">
        <v>7</v>
      </c>
      <c r="J3391" s="7">
        <f t="shared" si="3638"/>
        <v>50</v>
      </c>
      <c r="K3391" s="7" t="s">
        <v>310</v>
      </c>
      <c r="L3391" s="7">
        <v>30</v>
      </c>
      <c r="M3391" s="7">
        <f>IF(INDEX([1]equip.xml!$B:$B,MATCH(D3391&amp;"",[1]equip.xml!$A:$A,0))=0,0,N3391)</f>
        <v>0</v>
      </c>
      <c r="N3391" s="7">
        <f t="shared" ref="N3391" si="3657">N3303</f>
        <v>130</v>
      </c>
    </row>
    <row r="3392" spans="1:14">
      <c r="A3392" s="7">
        <f t="shared" si="3604"/>
        <v>20011</v>
      </c>
      <c r="B3392" s="7">
        <f t="shared" ref="B3392:C3392" si="3658">B3304</f>
        <v>40000</v>
      </c>
      <c r="C3392" s="7" t="str">
        <f t="shared" si="3658"/>
        <v>装备</v>
      </c>
      <c r="D3392" s="7">
        <v>40300040</v>
      </c>
      <c r="E3392" s="7"/>
      <c r="F3392" s="7">
        <v>1</v>
      </c>
      <c r="G3392" s="7">
        <f>3*INDEX([1]equip.xml!$I:$I,MATCH(D3392&amp;"",[1]equip.xml!$A:$A,0))</f>
        <v>90000</v>
      </c>
      <c r="H3392" s="7" t="str">
        <f t="shared" si="3638"/>
        <v>10_10,50_20,80_30</v>
      </c>
      <c r="I3392" s="7">
        <v>7</v>
      </c>
      <c r="J3392" s="7">
        <f t="shared" si="3638"/>
        <v>50</v>
      </c>
      <c r="K3392" s="7" t="s">
        <v>310</v>
      </c>
      <c r="L3392" s="7">
        <v>30</v>
      </c>
      <c r="M3392" s="7">
        <f>IF(INDEX([1]equip.xml!$B:$B,MATCH(D3392&amp;"",[1]equip.xml!$A:$A,0))=0,0,N3392)</f>
        <v>130</v>
      </c>
      <c r="N3392" s="7">
        <f t="shared" ref="N3392" si="3659">N3304</f>
        <v>130</v>
      </c>
    </row>
    <row r="3393" spans="1:14">
      <c r="A3393" s="7">
        <f t="shared" si="3604"/>
        <v>20011</v>
      </c>
      <c r="B3393" s="7">
        <f t="shared" ref="B3393:C3393" si="3660">B3305</f>
        <v>40000</v>
      </c>
      <c r="C3393" s="7" t="str">
        <f t="shared" si="3660"/>
        <v>装备</v>
      </c>
      <c r="D3393" s="7">
        <v>40300041</v>
      </c>
      <c r="E3393" s="7"/>
      <c r="F3393" s="7">
        <v>1</v>
      </c>
      <c r="G3393" s="7">
        <f>3*INDEX([1]equip.xml!$I:$I,MATCH(D3393&amp;"",[1]equip.xml!$A:$A,0))</f>
        <v>99000</v>
      </c>
      <c r="H3393" s="7" t="str">
        <f t="shared" si="3638"/>
        <v>10_10,50_20,80_30</v>
      </c>
      <c r="I3393" s="7">
        <v>7</v>
      </c>
      <c r="J3393" s="7">
        <f t="shared" si="3638"/>
        <v>50</v>
      </c>
      <c r="K3393" s="7" t="s">
        <v>310</v>
      </c>
      <c r="L3393" s="7">
        <v>30</v>
      </c>
      <c r="M3393" s="7">
        <f>IF(INDEX([1]equip.xml!$B:$B,MATCH(D3393&amp;"",[1]equip.xml!$A:$A,0))=0,0,N3393)</f>
        <v>130</v>
      </c>
      <c r="N3393" s="7">
        <f t="shared" ref="N3393" si="3661">N3305</f>
        <v>130</v>
      </c>
    </row>
    <row r="3394" spans="1:14">
      <c r="A3394" s="7">
        <f t="shared" si="3604"/>
        <v>20011</v>
      </c>
      <c r="B3394" s="7">
        <f t="shared" ref="B3394:C3394" si="3662">B3306</f>
        <v>40000</v>
      </c>
      <c r="C3394" s="7" t="str">
        <f t="shared" si="3662"/>
        <v>装备</v>
      </c>
      <c r="D3394" s="7">
        <v>40300070</v>
      </c>
      <c r="E3394" s="7"/>
      <c r="F3394" s="7">
        <v>1</v>
      </c>
      <c r="G3394" s="7">
        <f>3*INDEX([1]equip.xml!$I:$I,MATCH(D3394&amp;"",[1]equip.xml!$A:$A,0))</f>
        <v>90000</v>
      </c>
      <c r="H3394" s="7" t="str">
        <f t="shared" si="3638"/>
        <v>10_10,50_20,80_30</v>
      </c>
      <c r="I3394" s="7">
        <v>7</v>
      </c>
      <c r="J3394" s="7">
        <f t="shared" si="3638"/>
        <v>50</v>
      </c>
      <c r="K3394" s="7" t="s">
        <v>310</v>
      </c>
      <c r="L3394" s="7">
        <v>30</v>
      </c>
      <c r="M3394" s="7">
        <f>IF(INDEX([1]equip.xml!$B:$B,MATCH(D3394&amp;"",[1]equip.xml!$A:$A,0))=0,0,N3394)</f>
        <v>130</v>
      </c>
      <c r="N3394" s="7">
        <f t="shared" ref="N3394" si="3663">N3306</f>
        <v>130</v>
      </c>
    </row>
    <row r="3395" spans="1:14">
      <c r="A3395" s="7">
        <f t="shared" si="3604"/>
        <v>20011</v>
      </c>
      <c r="B3395" s="7">
        <f t="shared" ref="B3395:C3395" si="3664">B3307</f>
        <v>40000</v>
      </c>
      <c r="C3395" s="7" t="str">
        <f t="shared" si="3664"/>
        <v>装备</v>
      </c>
      <c r="D3395" s="7">
        <v>40300071</v>
      </c>
      <c r="E3395" s="7"/>
      <c r="F3395" s="7">
        <v>1</v>
      </c>
      <c r="G3395" s="7">
        <f>3*INDEX([1]equip.xml!$I:$I,MATCH(D3395&amp;"",[1]equip.xml!$A:$A,0))</f>
        <v>99000</v>
      </c>
      <c r="H3395" s="7" t="str">
        <f t="shared" si="3638"/>
        <v>10_10,50_20,80_30</v>
      </c>
      <c r="I3395" s="7">
        <v>7</v>
      </c>
      <c r="J3395" s="7">
        <f t="shared" si="3638"/>
        <v>50</v>
      </c>
      <c r="K3395" s="7" t="s">
        <v>310</v>
      </c>
      <c r="L3395" s="7">
        <v>30</v>
      </c>
      <c r="M3395" s="7">
        <f>IF(INDEX([1]equip.xml!$B:$B,MATCH(D3395&amp;"",[1]equip.xml!$A:$A,0))=0,0,N3395)</f>
        <v>130</v>
      </c>
      <c r="N3395" s="7">
        <f t="shared" ref="N3395" si="3665">N3307</f>
        <v>130</v>
      </c>
    </row>
    <row r="3396" spans="1:14">
      <c r="A3396" s="7">
        <f t="shared" si="3604"/>
        <v>20011</v>
      </c>
      <c r="B3396" s="7">
        <f t="shared" ref="B3396:C3396" si="3666">B3308</f>
        <v>40000</v>
      </c>
      <c r="C3396" s="7" t="str">
        <f t="shared" si="3666"/>
        <v>装备</v>
      </c>
      <c r="D3396" s="7">
        <v>40350010</v>
      </c>
      <c r="E3396" s="7"/>
      <c r="F3396" s="7">
        <v>1</v>
      </c>
      <c r="G3396" s="7">
        <f>3*INDEX([1]equip.xml!$I:$I,MATCH(D3396&amp;"",[1]equip.xml!$A:$A,0))</f>
        <v>105000</v>
      </c>
      <c r="H3396" s="7" t="str">
        <f t="shared" si="3638"/>
        <v>10_10,50_20,80_30</v>
      </c>
      <c r="I3396" s="7">
        <v>7</v>
      </c>
      <c r="J3396" s="7">
        <f t="shared" si="3638"/>
        <v>50</v>
      </c>
      <c r="K3396" s="7" t="s">
        <v>310</v>
      </c>
      <c r="L3396" s="7">
        <v>30</v>
      </c>
      <c r="M3396" s="7">
        <f>IF(INDEX([1]equip.xml!$B:$B,MATCH(D3396&amp;"",[1]equip.xml!$A:$A,0))=0,0,N3396)</f>
        <v>65</v>
      </c>
      <c r="N3396" s="7">
        <f t="shared" ref="N3396" si="3667">N3308</f>
        <v>65</v>
      </c>
    </row>
    <row r="3397" spans="1:14">
      <c r="A3397" s="7">
        <f t="shared" si="3604"/>
        <v>20011</v>
      </c>
      <c r="B3397" s="7">
        <f t="shared" ref="B3397:C3397" si="3668">B3309</f>
        <v>40000</v>
      </c>
      <c r="C3397" s="7" t="str">
        <f t="shared" si="3668"/>
        <v>装备</v>
      </c>
      <c r="D3397" s="7">
        <v>40350020</v>
      </c>
      <c r="E3397" s="7"/>
      <c r="F3397" s="7">
        <v>1</v>
      </c>
      <c r="G3397" s="7">
        <f>3*INDEX([1]equip.xml!$I:$I,MATCH(D3397&amp;"",[1]equip.xml!$A:$A,0))</f>
        <v>105000</v>
      </c>
      <c r="H3397" s="7" t="str">
        <f t="shared" si="3638"/>
        <v>10_10,50_20,80_30</v>
      </c>
      <c r="I3397" s="7">
        <v>7</v>
      </c>
      <c r="J3397" s="7">
        <f t="shared" si="3638"/>
        <v>50</v>
      </c>
      <c r="K3397" s="7" t="s">
        <v>310</v>
      </c>
      <c r="L3397" s="7">
        <v>30</v>
      </c>
      <c r="M3397" s="7">
        <f>IF(INDEX([1]equip.xml!$B:$B,MATCH(D3397&amp;"",[1]equip.xml!$A:$A,0))=0,0,N3397)</f>
        <v>65</v>
      </c>
      <c r="N3397" s="7">
        <f t="shared" ref="N3397" si="3669">N3309</f>
        <v>65</v>
      </c>
    </row>
    <row r="3398" spans="1:14">
      <c r="A3398" s="7">
        <f t="shared" si="3604"/>
        <v>20011</v>
      </c>
      <c r="B3398" s="7">
        <f t="shared" ref="B3398:C3398" si="3670">B3310</f>
        <v>40000</v>
      </c>
      <c r="C3398" s="7" t="str">
        <f t="shared" si="3670"/>
        <v>装备</v>
      </c>
      <c r="D3398" s="7">
        <v>40350030</v>
      </c>
      <c r="E3398" s="7"/>
      <c r="F3398" s="7">
        <v>1</v>
      </c>
      <c r="G3398" s="7">
        <f>3*INDEX([1]equip.xml!$I:$I,MATCH(D3398&amp;"",[1]equip.xml!$A:$A,0))</f>
        <v>105000</v>
      </c>
      <c r="H3398" s="7" t="str">
        <f t="shared" ref="H3398:J3413" si="3671">H3310</f>
        <v>10_10,50_20,80_30</v>
      </c>
      <c r="I3398" s="7">
        <v>7</v>
      </c>
      <c r="J3398" s="7">
        <f t="shared" si="3671"/>
        <v>50</v>
      </c>
      <c r="K3398" s="7" t="s">
        <v>310</v>
      </c>
      <c r="L3398" s="7">
        <v>30</v>
      </c>
      <c r="M3398" s="7">
        <f>IF(INDEX([1]equip.xml!$B:$B,MATCH(D3398&amp;"",[1]equip.xml!$A:$A,0))=0,0,N3398)</f>
        <v>65</v>
      </c>
      <c r="N3398" s="7">
        <f t="shared" ref="N3398" si="3672">N3310</f>
        <v>65</v>
      </c>
    </row>
    <row r="3399" spans="1:14">
      <c r="A3399" s="7">
        <f t="shared" si="3604"/>
        <v>20011</v>
      </c>
      <c r="B3399" s="7">
        <f t="shared" ref="B3399:C3399" si="3673">B3311</f>
        <v>40000</v>
      </c>
      <c r="C3399" s="7" t="str">
        <f t="shared" si="3673"/>
        <v>装备</v>
      </c>
      <c r="D3399" s="7">
        <v>40350080</v>
      </c>
      <c r="E3399" s="7"/>
      <c r="F3399" s="7">
        <v>1</v>
      </c>
      <c r="G3399" s="7">
        <f>3*INDEX([1]equip.xml!$I:$I,MATCH(D3399&amp;"",[1]equip.xml!$A:$A,0))</f>
        <v>105000</v>
      </c>
      <c r="H3399" s="7" t="str">
        <f t="shared" si="3671"/>
        <v>10_10,50_20,80_30</v>
      </c>
      <c r="I3399" s="7">
        <v>7</v>
      </c>
      <c r="J3399" s="7">
        <f t="shared" si="3671"/>
        <v>50</v>
      </c>
      <c r="K3399" s="7" t="s">
        <v>310</v>
      </c>
      <c r="L3399" s="7">
        <v>30</v>
      </c>
      <c r="M3399" s="7">
        <f>IF(INDEX([1]equip.xml!$B:$B,MATCH(D3399&amp;"",[1]equip.xml!$A:$A,0))=0,0,N3399)</f>
        <v>65</v>
      </c>
      <c r="N3399" s="7">
        <f t="shared" ref="N3399" si="3674">N3311</f>
        <v>65</v>
      </c>
    </row>
    <row r="3400" spans="1:14">
      <c r="A3400" s="7">
        <f t="shared" si="3604"/>
        <v>20011</v>
      </c>
      <c r="B3400" s="7">
        <f t="shared" ref="B3400:C3400" si="3675">B3312</f>
        <v>40000</v>
      </c>
      <c r="C3400" s="7" t="str">
        <f t="shared" si="3675"/>
        <v>装备</v>
      </c>
      <c r="D3400" s="7">
        <v>40350090</v>
      </c>
      <c r="E3400" s="7"/>
      <c r="F3400" s="7">
        <v>1</v>
      </c>
      <c r="G3400" s="7">
        <f>3*INDEX([1]equip.xml!$I:$I,MATCH(D3400&amp;"",[1]equip.xml!$A:$A,0))</f>
        <v>105000</v>
      </c>
      <c r="H3400" s="7" t="str">
        <f t="shared" si="3671"/>
        <v>10_10,50_20,80_30</v>
      </c>
      <c r="I3400" s="7">
        <v>7</v>
      </c>
      <c r="J3400" s="7">
        <f t="shared" si="3671"/>
        <v>50</v>
      </c>
      <c r="K3400" s="7" t="s">
        <v>310</v>
      </c>
      <c r="L3400" s="7">
        <v>30</v>
      </c>
      <c r="M3400" s="7">
        <f>IF(INDEX([1]equip.xml!$B:$B,MATCH(D3400&amp;"",[1]equip.xml!$A:$A,0))=0,0,N3400)</f>
        <v>65</v>
      </c>
      <c r="N3400" s="7">
        <f t="shared" ref="N3400" si="3676">N3312</f>
        <v>65</v>
      </c>
    </row>
    <row r="3401" spans="1:14">
      <c r="A3401" s="7">
        <f t="shared" si="3604"/>
        <v>20011</v>
      </c>
      <c r="B3401" s="7">
        <f t="shared" ref="B3401:C3401" si="3677">B3313</f>
        <v>40000</v>
      </c>
      <c r="C3401" s="7" t="str">
        <f t="shared" si="3677"/>
        <v>装备</v>
      </c>
      <c r="D3401" s="7">
        <v>40350100</v>
      </c>
      <c r="E3401" s="7"/>
      <c r="F3401" s="7">
        <v>1</v>
      </c>
      <c r="G3401" s="7">
        <f>3*INDEX([1]equip.xml!$I:$I,MATCH(D3401&amp;"",[1]equip.xml!$A:$A,0))</f>
        <v>105000</v>
      </c>
      <c r="H3401" s="7" t="str">
        <f t="shared" si="3671"/>
        <v>10_10,50_20,80_30</v>
      </c>
      <c r="I3401" s="7">
        <v>7</v>
      </c>
      <c r="J3401" s="7">
        <f t="shared" si="3671"/>
        <v>50</v>
      </c>
      <c r="K3401" s="7" t="s">
        <v>310</v>
      </c>
      <c r="L3401" s="7">
        <v>30</v>
      </c>
      <c r="M3401" s="7">
        <f>IF(INDEX([1]equip.xml!$B:$B,MATCH(D3401&amp;"",[1]equip.xml!$A:$A,0))=0,0,N3401)</f>
        <v>65</v>
      </c>
      <c r="N3401" s="7">
        <f t="shared" ref="N3401" si="3678">N3313</f>
        <v>65</v>
      </c>
    </row>
    <row r="3402" spans="1:14">
      <c r="A3402" s="7">
        <f t="shared" si="3604"/>
        <v>20011</v>
      </c>
      <c r="B3402" s="7">
        <f t="shared" ref="B3402:C3402" si="3679">B3314</f>
        <v>40000</v>
      </c>
      <c r="C3402" s="7" t="str">
        <f t="shared" si="3679"/>
        <v>装备</v>
      </c>
      <c r="D3402" s="7">
        <v>40351050</v>
      </c>
      <c r="E3402" s="7"/>
      <c r="F3402" s="7">
        <v>1</v>
      </c>
      <c r="G3402" s="7">
        <f>3*INDEX([1]equip.xml!$I:$I,MATCH(D3402&amp;"",[1]equip.xml!$A:$A,0))</f>
        <v>105000</v>
      </c>
      <c r="H3402" s="7" t="str">
        <f t="shared" si="3671"/>
        <v>10_10,50_20,80_30</v>
      </c>
      <c r="I3402" s="7">
        <v>7</v>
      </c>
      <c r="J3402" s="7">
        <f t="shared" si="3671"/>
        <v>50</v>
      </c>
      <c r="K3402" s="7" t="s">
        <v>310</v>
      </c>
      <c r="L3402" s="7">
        <v>30</v>
      </c>
      <c r="M3402" s="7">
        <f>IF(INDEX([1]equip.xml!$B:$B,MATCH(D3402&amp;"",[1]equip.xml!$A:$A,0))=0,0,N3402)</f>
        <v>65</v>
      </c>
      <c r="N3402" s="7">
        <f t="shared" ref="N3402" si="3680">N3314</f>
        <v>65</v>
      </c>
    </row>
    <row r="3403" spans="1:14">
      <c r="A3403" s="7">
        <f t="shared" si="3604"/>
        <v>20011</v>
      </c>
      <c r="B3403" s="7">
        <f t="shared" ref="B3403:C3403" si="3681">B3315</f>
        <v>40000</v>
      </c>
      <c r="C3403" s="7" t="str">
        <f t="shared" si="3681"/>
        <v>装备</v>
      </c>
      <c r="D3403" s="7">
        <v>40351051</v>
      </c>
      <c r="E3403" s="7"/>
      <c r="F3403" s="7">
        <v>1</v>
      </c>
      <c r="G3403" s="7">
        <f>3*INDEX([1]equip.xml!$I:$I,MATCH(D3403&amp;"",[1]equip.xml!$A:$A,0))</f>
        <v>114000</v>
      </c>
      <c r="H3403" s="7" t="str">
        <f t="shared" si="3671"/>
        <v>10_10,50_20,80_30</v>
      </c>
      <c r="I3403" s="7">
        <v>7</v>
      </c>
      <c r="J3403" s="7">
        <f t="shared" si="3671"/>
        <v>50</v>
      </c>
      <c r="K3403" s="7" t="s">
        <v>310</v>
      </c>
      <c r="L3403" s="7">
        <v>30</v>
      </c>
      <c r="M3403" s="7">
        <f>IF(INDEX([1]equip.xml!$B:$B,MATCH(D3403&amp;"",[1]equip.xml!$A:$A,0))=0,0,N3403)</f>
        <v>0</v>
      </c>
      <c r="N3403" s="7">
        <f t="shared" ref="N3403" si="3682">N3315</f>
        <v>65</v>
      </c>
    </row>
    <row r="3404" spans="1:14">
      <c r="A3404" s="7">
        <f t="shared" si="3604"/>
        <v>20011</v>
      </c>
      <c r="B3404" s="7">
        <f t="shared" ref="B3404:C3404" si="3683">B3316</f>
        <v>40000</v>
      </c>
      <c r="C3404" s="7" t="str">
        <f t="shared" si="3683"/>
        <v>装备</v>
      </c>
      <c r="D3404" s="7">
        <v>40351060</v>
      </c>
      <c r="E3404" s="7"/>
      <c r="F3404" s="7">
        <v>1</v>
      </c>
      <c r="G3404" s="7">
        <f>3*INDEX([1]equip.xml!$I:$I,MATCH(D3404&amp;"",[1]equip.xml!$A:$A,0))</f>
        <v>105000</v>
      </c>
      <c r="H3404" s="7" t="str">
        <f t="shared" si="3671"/>
        <v>10_10,50_20,80_30</v>
      </c>
      <c r="I3404" s="7">
        <v>7</v>
      </c>
      <c r="J3404" s="7">
        <f t="shared" si="3671"/>
        <v>50</v>
      </c>
      <c r="K3404" s="7" t="s">
        <v>310</v>
      </c>
      <c r="L3404" s="7">
        <v>30</v>
      </c>
      <c r="M3404" s="7">
        <f>IF(INDEX([1]equip.xml!$B:$B,MATCH(D3404&amp;"",[1]equip.xml!$A:$A,0))=0,0,N3404)</f>
        <v>65</v>
      </c>
      <c r="N3404" s="7">
        <f t="shared" ref="N3404" si="3684">N3316</f>
        <v>65</v>
      </c>
    </row>
    <row r="3405" spans="1:14">
      <c r="A3405" s="7">
        <f t="shared" si="3604"/>
        <v>20011</v>
      </c>
      <c r="B3405" s="7">
        <f t="shared" ref="B3405:C3405" si="3685">B3317</f>
        <v>40000</v>
      </c>
      <c r="C3405" s="7" t="str">
        <f t="shared" si="3685"/>
        <v>装备</v>
      </c>
      <c r="D3405" s="7">
        <v>40351061</v>
      </c>
      <c r="E3405" s="7"/>
      <c r="F3405" s="7">
        <v>1</v>
      </c>
      <c r="G3405" s="7">
        <f>3*INDEX([1]equip.xml!$I:$I,MATCH(D3405&amp;"",[1]equip.xml!$A:$A,0))</f>
        <v>114000</v>
      </c>
      <c r="H3405" s="7" t="str">
        <f t="shared" si="3671"/>
        <v>10_10,50_20,80_30</v>
      </c>
      <c r="I3405" s="7">
        <v>7</v>
      </c>
      <c r="J3405" s="7">
        <f t="shared" si="3671"/>
        <v>50</v>
      </c>
      <c r="K3405" s="7" t="s">
        <v>310</v>
      </c>
      <c r="L3405" s="7">
        <v>30</v>
      </c>
      <c r="M3405" s="7">
        <f>IF(INDEX([1]equip.xml!$B:$B,MATCH(D3405&amp;"",[1]equip.xml!$A:$A,0))=0,0,N3405)</f>
        <v>65</v>
      </c>
      <c r="N3405" s="7">
        <f t="shared" ref="N3405" si="3686">N3317</f>
        <v>65</v>
      </c>
    </row>
    <row r="3406" spans="1:14">
      <c r="A3406" s="7">
        <f t="shared" si="3604"/>
        <v>20011</v>
      </c>
      <c r="B3406" s="7">
        <f t="shared" ref="B3406:C3406" si="3687">B3318</f>
        <v>40000</v>
      </c>
      <c r="C3406" s="7" t="str">
        <f t="shared" si="3687"/>
        <v>装备</v>
      </c>
      <c r="D3406" s="7">
        <v>40352050</v>
      </c>
      <c r="E3406" s="7"/>
      <c r="F3406" s="7">
        <v>1</v>
      </c>
      <c r="G3406" s="7">
        <f>3*INDEX([1]equip.xml!$I:$I,MATCH(D3406&amp;"",[1]equip.xml!$A:$A,0))</f>
        <v>105000</v>
      </c>
      <c r="H3406" s="7" t="str">
        <f t="shared" si="3671"/>
        <v>10_10,50_20,80_30</v>
      </c>
      <c r="I3406" s="7">
        <v>7</v>
      </c>
      <c r="J3406" s="7">
        <f t="shared" si="3671"/>
        <v>50</v>
      </c>
      <c r="K3406" s="7" t="s">
        <v>310</v>
      </c>
      <c r="L3406" s="7">
        <v>30</v>
      </c>
      <c r="M3406" s="7">
        <f>IF(INDEX([1]equip.xml!$B:$B,MATCH(D3406&amp;"",[1]equip.xml!$A:$A,0))=0,0,N3406)</f>
        <v>65</v>
      </c>
      <c r="N3406" s="7">
        <f t="shared" ref="N3406" si="3688">N3318</f>
        <v>65</v>
      </c>
    </row>
    <row r="3407" spans="1:14">
      <c r="A3407" s="7">
        <f t="shared" si="3604"/>
        <v>20011</v>
      </c>
      <c r="B3407" s="7">
        <f t="shared" ref="B3407:C3407" si="3689">B3319</f>
        <v>40000</v>
      </c>
      <c r="C3407" s="7" t="str">
        <f t="shared" si="3689"/>
        <v>装备</v>
      </c>
      <c r="D3407" s="7">
        <v>40352051</v>
      </c>
      <c r="E3407" s="7"/>
      <c r="F3407" s="7">
        <v>1</v>
      </c>
      <c r="G3407" s="7">
        <f>3*INDEX([1]equip.xml!$I:$I,MATCH(D3407&amp;"",[1]equip.xml!$A:$A,0))</f>
        <v>114000</v>
      </c>
      <c r="H3407" s="7" t="str">
        <f t="shared" si="3671"/>
        <v>10_10,50_20,80_30</v>
      </c>
      <c r="I3407" s="7">
        <v>7</v>
      </c>
      <c r="J3407" s="7">
        <f t="shared" si="3671"/>
        <v>50</v>
      </c>
      <c r="K3407" s="7" t="s">
        <v>310</v>
      </c>
      <c r="L3407" s="7">
        <v>30</v>
      </c>
      <c r="M3407" s="7">
        <f>IF(INDEX([1]equip.xml!$B:$B,MATCH(D3407&amp;"",[1]equip.xml!$A:$A,0))=0,0,N3407)</f>
        <v>0</v>
      </c>
      <c r="N3407" s="7">
        <f t="shared" ref="N3407" si="3690">N3319</f>
        <v>65</v>
      </c>
    </row>
    <row r="3408" spans="1:14">
      <c r="A3408" s="7">
        <f t="shared" si="3604"/>
        <v>20011</v>
      </c>
      <c r="B3408" s="7">
        <f t="shared" ref="B3408:C3408" si="3691">B3320</f>
        <v>40000</v>
      </c>
      <c r="C3408" s="7" t="str">
        <f t="shared" si="3691"/>
        <v>装备</v>
      </c>
      <c r="D3408" s="7">
        <v>40352060</v>
      </c>
      <c r="E3408" s="7"/>
      <c r="F3408" s="7">
        <v>1</v>
      </c>
      <c r="G3408" s="7">
        <f>3*INDEX([1]equip.xml!$I:$I,MATCH(D3408&amp;"",[1]equip.xml!$A:$A,0))</f>
        <v>105000</v>
      </c>
      <c r="H3408" s="7" t="str">
        <f t="shared" si="3671"/>
        <v>10_10,50_20,80_30</v>
      </c>
      <c r="I3408" s="7">
        <v>7</v>
      </c>
      <c r="J3408" s="7">
        <f t="shared" si="3671"/>
        <v>50</v>
      </c>
      <c r="K3408" s="7" t="s">
        <v>310</v>
      </c>
      <c r="L3408" s="7">
        <v>30</v>
      </c>
      <c r="M3408" s="7">
        <f>IF(INDEX([1]equip.xml!$B:$B,MATCH(D3408&amp;"",[1]equip.xml!$A:$A,0))=0,0,N3408)</f>
        <v>65</v>
      </c>
      <c r="N3408" s="7">
        <f t="shared" ref="N3408" si="3692">N3320</f>
        <v>65</v>
      </c>
    </row>
    <row r="3409" spans="1:14">
      <c r="A3409" s="7">
        <f t="shared" si="3604"/>
        <v>20011</v>
      </c>
      <c r="B3409" s="7">
        <f t="shared" ref="B3409:C3409" si="3693">B3321</f>
        <v>40000</v>
      </c>
      <c r="C3409" s="7" t="str">
        <f t="shared" si="3693"/>
        <v>装备</v>
      </c>
      <c r="D3409" s="7">
        <v>40352061</v>
      </c>
      <c r="E3409" s="7"/>
      <c r="F3409" s="7">
        <v>1</v>
      </c>
      <c r="G3409" s="7">
        <f>3*INDEX([1]equip.xml!$I:$I,MATCH(D3409&amp;"",[1]equip.xml!$A:$A,0))</f>
        <v>114000</v>
      </c>
      <c r="H3409" s="7" t="str">
        <f t="shared" si="3671"/>
        <v>10_10,50_20,80_30</v>
      </c>
      <c r="I3409" s="7">
        <v>7</v>
      </c>
      <c r="J3409" s="7">
        <f t="shared" si="3671"/>
        <v>50</v>
      </c>
      <c r="K3409" s="7" t="s">
        <v>310</v>
      </c>
      <c r="L3409" s="7">
        <v>30</v>
      </c>
      <c r="M3409" s="7">
        <f>IF(INDEX([1]equip.xml!$B:$B,MATCH(D3409&amp;"",[1]equip.xml!$A:$A,0))=0,0,N3409)</f>
        <v>65</v>
      </c>
      <c r="N3409" s="7">
        <f t="shared" ref="N3409" si="3694">N3321</f>
        <v>65</v>
      </c>
    </row>
    <row r="3410" spans="1:14">
      <c r="A3410" s="7">
        <f t="shared" si="3604"/>
        <v>20011</v>
      </c>
      <c r="B3410" s="7">
        <f t="shared" ref="B3410:C3410" si="3695">B3322</f>
        <v>40000</v>
      </c>
      <c r="C3410" s="7" t="str">
        <f t="shared" si="3695"/>
        <v>装备</v>
      </c>
      <c r="D3410" s="7">
        <v>40353050</v>
      </c>
      <c r="E3410" s="7"/>
      <c r="F3410" s="7">
        <v>1</v>
      </c>
      <c r="G3410" s="7">
        <f>3*INDEX([1]equip.xml!$I:$I,MATCH(D3410&amp;"",[1]equip.xml!$A:$A,0))</f>
        <v>105000</v>
      </c>
      <c r="H3410" s="7" t="str">
        <f t="shared" si="3671"/>
        <v>10_10,50_20,80_30</v>
      </c>
      <c r="I3410" s="7">
        <v>7</v>
      </c>
      <c r="J3410" s="7">
        <f t="shared" si="3671"/>
        <v>50</v>
      </c>
      <c r="K3410" s="7" t="s">
        <v>310</v>
      </c>
      <c r="L3410" s="7">
        <v>30</v>
      </c>
      <c r="M3410" s="7">
        <f>IF(INDEX([1]equip.xml!$B:$B,MATCH(D3410&amp;"",[1]equip.xml!$A:$A,0))=0,0,N3410)</f>
        <v>65</v>
      </c>
      <c r="N3410" s="7">
        <f t="shared" ref="N3410" si="3696">N3322</f>
        <v>65</v>
      </c>
    </row>
    <row r="3411" spans="1:14">
      <c r="A3411" s="7">
        <f t="shared" si="3604"/>
        <v>20011</v>
      </c>
      <c r="B3411" s="7">
        <f t="shared" ref="B3411:C3411" si="3697">B3323</f>
        <v>40000</v>
      </c>
      <c r="C3411" s="7" t="str">
        <f t="shared" si="3697"/>
        <v>装备</v>
      </c>
      <c r="D3411" s="7">
        <v>40353051</v>
      </c>
      <c r="E3411" s="7"/>
      <c r="F3411" s="7">
        <v>1</v>
      </c>
      <c r="G3411" s="7">
        <f>3*INDEX([1]equip.xml!$I:$I,MATCH(D3411&amp;"",[1]equip.xml!$A:$A,0))</f>
        <v>114000</v>
      </c>
      <c r="H3411" s="7" t="str">
        <f t="shared" si="3671"/>
        <v>10_10,50_20,80_30</v>
      </c>
      <c r="I3411" s="7">
        <v>7</v>
      </c>
      <c r="J3411" s="7">
        <f t="shared" si="3671"/>
        <v>50</v>
      </c>
      <c r="K3411" s="7" t="s">
        <v>310</v>
      </c>
      <c r="L3411" s="7">
        <v>30</v>
      </c>
      <c r="M3411" s="7">
        <f>IF(INDEX([1]equip.xml!$B:$B,MATCH(D3411&amp;"",[1]equip.xml!$A:$A,0))=0,0,N3411)</f>
        <v>0</v>
      </c>
      <c r="N3411" s="7">
        <f t="shared" ref="N3411" si="3698">N3323</f>
        <v>65</v>
      </c>
    </row>
    <row r="3412" spans="1:14">
      <c r="A3412" s="7">
        <f t="shared" si="3604"/>
        <v>20011</v>
      </c>
      <c r="B3412" s="7">
        <f t="shared" ref="B3412:C3412" si="3699">B3324</f>
        <v>40000</v>
      </c>
      <c r="C3412" s="7" t="str">
        <f t="shared" si="3699"/>
        <v>装备</v>
      </c>
      <c r="D3412" s="7">
        <v>40353060</v>
      </c>
      <c r="E3412" s="7"/>
      <c r="F3412" s="7">
        <v>1</v>
      </c>
      <c r="G3412" s="7">
        <f>3*INDEX([1]equip.xml!$I:$I,MATCH(D3412&amp;"",[1]equip.xml!$A:$A,0))</f>
        <v>105000</v>
      </c>
      <c r="H3412" s="7" t="str">
        <f t="shared" si="3671"/>
        <v>10_10,50_20,80_30</v>
      </c>
      <c r="I3412" s="7">
        <v>7</v>
      </c>
      <c r="J3412" s="7">
        <f t="shared" si="3671"/>
        <v>50</v>
      </c>
      <c r="K3412" s="7" t="s">
        <v>310</v>
      </c>
      <c r="L3412" s="7">
        <v>30</v>
      </c>
      <c r="M3412" s="7">
        <f>IF(INDEX([1]equip.xml!$B:$B,MATCH(D3412&amp;"",[1]equip.xml!$A:$A,0))=0,0,N3412)</f>
        <v>65</v>
      </c>
      <c r="N3412" s="7">
        <f t="shared" ref="N3412" si="3700">N3324</f>
        <v>65</v>
      </c>
    </row>
    <row r="3413" spans="1:14">
      <c r="A3413" s="7">
        <f t="shared" si="3604"/>
        <v>20011</v>
      </c>
      <c r="B3413" s="7">
        <f t="shared" ref="B3413:C3413" si="3701">B3325</f>
        <v>40000</v>
      </c>
      <c r="C3413" s="7" t="str">
        <f t="shared" si="3701"/>
        <v>装备</v>
      </c>
      <c r="D3413" s="7">
        <v>40353061</v>
      </c>
      <c r="E3413" s="7"/>
      <c r="F3413" s="7">
        <v>1</v>
      </c>
      <c r="G3413" s="7">
        <f>3*INDEX([1]equip.xml!$I:$I,MATCH(D3413&amp;"",[1]equip.xml!$A:$A,0))</f>
        <v>114000</v>
      </c>
      <c r="H3413" s="7" t="str">
        <f t="shared" si="3671"/>
        <v>10_10,50_20,80_30</v>
      </c>
      <c r="I3413" s="7">
        <v>7</v>
      </c>
      <c r="J3413" s="7">
        <f t="shared" si="3671"/>
        <v>50</v>
      </c>
      <c r="K3413" s="7" t="s">
        <v>310</v>
      </c>
      <c r="L3413" s="7">
        <v>30</v>
      </c>
      <c r="M3413" s="7">
        <f>IF(INDEX([1]equip.xml!$B:$B,MATCH(D3413&amp;"",[1]equip.xml!$A:$A,0))=0,0,N3413)</f>
        <v>65</v>
      </c>
      <c r="N3413" s="7">
        <f t="shared" ref="N3413" si="3702">N3325</f>
        <v>65</v>
      </c>
    </row>
    <row r="3414" spans="1:14">
      <c r="A3414" s="7">
        <f t="shared" si="3604"/>
        <v>20011</v>
      </c>
      <c r="B3414" s="7">
        <f t="shared" ref="B3414:C3414" si="3703">B3326</f>
        <v>40000</v>
      </c>
      <c r="C3414" s="7" t="str">
        <f t="shared" si="3703"/>
        <v>装备</v>
      </c>
      <c r="D3414" s="7">
        <v>40350040</v>
      </c>
      <c r="E3414" s="7"/>
      <c r="F3414" s="7">
        <v>1</v>
      </c>
      <c r="G3414" s="7">
        <f>3*INDEX([1]equip.xml!$I:$I,MATCH(D3414&amp;"",[1]equip.xml!$A:$A,0))</f>
        <v>105000</v>
      </c>
      <c r="H3414" s="7" t="str">
        <f t="shared" ref="H3414:J3429" si="3704">H3326</f>
        <v>10_10,50_20,80_30</v>
      </c>
      <c r="I3414" s="7">
        <v>7</v>
      </c>
      <c r="J3414" s="7">
        <f t="shared" si="3704"/>
        <v>50</v>
      </c>
      <c r="K3414" s="7" t="s">
        <v>310</v>
      </c>
      <c r="L3414" s="7">
        <v>30</v>
      </c>
      <c r="M3414" s="7">
        <f>IF(INDEX([1]equip.xml!$B:$B,MATCH(D3414&amp;"",[1]equip.xml!$A:$A,0))=0,0,N3414)</f>
        <v>65</v>
      </c>
      <c r="N3414" s="7">
        <f t="shared" ref="N3414" si="3705">N3326</f>
        <v>65</v>
      </c>
    </row>
    <row r="3415" spans="1:14">
      <c r="A3415" s="7">
        <f t="shared" si="3604"/>
        <v>20011</v>
      </c>
      <c r="B3415" s="7">
        <f t="shared" ref="B3415:C3415" si="3706">B3327</f>
        <v>40000</v>
      </c>
      <c r="C3415" s="7" t="str">
        <f t="shared" si="3706"/>
        <v>装备</v>
      </c>
      <c r="D3415" s="7">
        <v>40350041</v>
      </c>
      <c r="E3415" s="7"/>
      <c r="F3415" s="7">
        <v>1</v>
      </c>
      <c r="G3415" s="7">
        <f>3*INDEX([1]equip.xml!$I:$I,MATCH(D3415&amp;"",[1]equip.xml!$A:$A,0))</f>
        <v>114000</v>
      </c>
      <c r="H3415" s="7" t="str">
        <f t="shared" si="3704"/>
        <v>10_10,50_20,80_30</v>
      </c>
      <c r="I3415" s="7">
        <v>7</v>
      </c>
      <c r="J3415" s="7">
        <f t="shared" si="3704"/>
        <v>50</v>
      </c>
      <c r="K3415" s="7" t="s">
        <v>310</v>
      </c>
      <c r="L3415" s="7">
        <v>30</v>
      </c>
      <c r="M3415" s="7">
        <f>IF(INDEX([1]equip.xml!$B:$B,MATCH(D3415&amp;"",[1]equip.xml!$A:$A,0))=0,0,N3415)</f>
        <v>65</v>
      </c>
      <c r="N3415" s="7">
        <f t="shared" ref="N3415" si="3707">N3327</f>
        <v>65</v>
      </c>
    </row>
    <row r="3416" spans="1:14">
      <c r="A3416" s="7">
        <f t="shared" si="3604"/>
        <v>20011</v>
      </c>
      <c r="B3416" s="7">
        <f t="shared" ref="B3416:C3416" si="3708">B3328</f>
        <v>40000</v>
      </c>
      <c r="C3416" s="7" t="str">
        <f t="shared" si="3708"/>
        <v>装备</v>
      </c>
      <c r="D3416" s="7">
        <v>40350070</v>
      </c>
      <c r="E3416" s="7"/>
      <c r="F3416" s="7">
        <v>1</v>
      </c>
      <c r="G3416" s="7">
        <f>3*INDEX([1]equip.xml!$I:$I,MATCH(D3416&amp;"",[1]equip.xml!$A:$A,0))</f>
        <v>105000</v>
      </c>
      <c r="H3416" s="7" t="str">
        <f t="shared" si="3704"/>
        <v>10_10,50_20,80_30</v>
      </c>
      <c r="I3416" s="7">
        <v>7</v>
      </c>
      <c r="J3416" s="7">
        <f t="shared" si="3704"/>
        <v>50</v>
      </c>
      <c r="K3416" s="7" t="s">
        <v>310</v>
      </c>
      <c r="L3416" s="7">
        <v>30</v>
      </c>
      <c r="M3416" s="7">
        <f>IF(INDEX([1]equip.xml!$B:$B,MATCH(D3416&amp;"",[1]equip.xml!$A:$A,0))=0,0,N3416)</f>
        <v>65</v>
      </c>
      <c r="N3416" s="7">
        <f t="shared" ref="N3416" si="3709">N3328</f>
        <v>65</v>
      </c>
    </row>
    <row r="3417" spans="1:14">
      <c r="A3417" s="7">
        <f t="shared" si="3604"/>
        <v>20011</v>
      </c>
      <c r="B3417" s="7">
        <f t="shared" ref="B3417:C3417" si="3710">B3329</f>
        <v>40000</v>
      </c>
      <c r="C3417" s="7" t="str">
        <f t="shared" si="3710"/>
        <v>装备</v>
      </c>
      <c r="D3417" s="7">
        <v>40350071</v>
      </c>
      <c r="E3417" s="7"/>
      <c r="F3417" s="7">
        <v>1</v>
      </c>
      <c r="G3417" s="7">
        <f>3*INDEX([1]equip.xml!$I:$I,MATCH(D3417&amp;"",[1]equip.xml!$A:$A,0))</f>
        <v>114000</v>
      </c>
      <c r="H3417" s="7" t="str">
        <f t="shared" si="3704"/>
        <v>10_10,50_20,80_30</v>
      </c>
      <c r="I3417" s="7">
        <v>7</v>
      </c>
      <c r="J3417" s="7">
        <f t="shared" si="3704"/>
        <v>50</v>
      </c>
      <c r="K3417" s="7" t="s">
        <v>310</v>
      </c>
      <c r="L3417" s="7">
        <v>30</v>
      </c>
      <c r="M3417" s="7">
        <f>IF(INDEX([1]equip.xml!$B:$B,MATCH(D3417&amp;"",[1]equip.xml!$A:$A,0))=0,0,N3417)</f>
        <v>0</v>
      </c>
      <c r="N3417" s="7">
        <f t="shared" ref="N3417" si="3711">N3329</f>
        <v>65</v>
      </c>
    </row>
    <row r="3418" spans="1:14">
      <c r="A3418" s="7">
        <f t="shared" si="3604"/>
        <v>20011</v>
      </c>
      <c r="B3418" s="7">
        <f t="shared" ref="B3418:C3418" si="3712">B3330</f>
        <v>40000</v>
      </c>
      <c r="C3418" s="7" t="str">
        <f t="shared" si="3712"/>
        <v>装备</v>
      </c>
      <c r="D3418" s="7">
        <v>50300015</v>
      </c>
      <c r="E3418" s="7"/>
      <c r="F3418" s="7">
        <v>1</v>
      </c>
      <c r="G3418" s="8">
        <f>3*INDEX([1]equip.xml!$I:$I,MATCH(D3418,[1]equip.xml!$A:$A,0))</f>
        <v>180000</v>
      </c>
      <c r="H3418" s="7" t="str">
        <f t="shared" si="3704"/>
        <v>10_10,50_20,80_30</v>
      </c>
      <c r="I3418" s="7">
        <v>7</v>
      </c>
      <c r="J3418" s="7">
        <f t="shared" si="3704"/>
        <v>240</v>
      </c>
      <c r="K3418" s="7" t="s">
        <v>310</v>
      </c>
      <c r="L3418" s="7">
        <v>30</v>
      </c>
      <c r="M3418" s="7">
        <f>IF(INDEX([1]equip.xml!$B:$B,MATCH(D3418,[1]equip.xml!$A:$A,0))=0,0,N3418)</f>
        <v>130</v>
      </c>
      <c r="N3418" s="7">
        <f t="shared" ref="N3418" si="3713">N3330</f>
        <v>130</v>
      </c>
    </row>
    <row r="3419" spans="1:14">
      <c r="A3419" s="7">
        <f t="shared" si="3604"/>
        <v>20011</v>
      </c>
      <c r="B3419" s="7">
        <f t="shared" ref="B3419:C3419" si="3714">B3331</f>
        <v>40000</v>
      </c>
      <c r="C3419" s="7" t="str">
        <f t="shared" si="3714"/>
        <v>装备</v>
      </c>
      <c r="D3419" s="7">
        <v>50300025</v>
      </c>
      <c r="E3419" s="7"/>
      <c r="F3419" s="7">
        <v>1</v>
      </c>
      <c r="G3419" s="8">
        <f>3*INDEX([1]equip.xml!$I:$I,MATCH(D3419,[1]equip.xml!$A:$A,0))</f>
        <v>180000</v>
      </c>
      <c r="H3419" s="7" t="str">
        <f t="shared" si="3704"/>
        <v>10_10,50_20,80_30</v>
      </c>
      <c r="I3419" s="7">
        <v>7</v>
      </c>
      <c r="J3419" s="7">
        <f t="shared" si="3704"/>
        <v>240</v>
      </c>
      <c r="K3419" s="7" t="s">
        <v>310</v>
      </c>
      <c r="L3419" s="7">
        <v>30</v>
      </c>
      <c r="M3419" s="7">
        <f>IF(INDEX([1]equip.xml!$B:$B,MATCH(D3419,[1]equip.xml!$A:$A,0))=0,0,N3419)</f>
        <v>130</v>
      </c>
      <c r="N3419" s="7">
        <f t="shared" ref="N3419" si="3715">N3331</f>
        <v>130</v>
      </c>
    </row>
    <row r="3420" spans="1:14">
      <c r="A3420" s="7">
        <f t="shared" si="3604"/>
        <v>20011</v>
      </c>
      <c r="B3420" s="7">
        <f t="shared" ref="B3420:C3420" si="3716">B3332</f>
        <v>40000</v>
      </c>
      <c r="C3420" s="7" t="str">
        <f t="shared" si="3716"/>
        <v>装备</v>
      </c>
      <c r="D3420" s="7">
        <v>50300035</v>
      </c>
      <c r="E3420" s="7"/>
      <c r="F3420" s="7">
        <v>1</v>
      </c>
      <c r="G3420" s="8">
        <f>3*INDEX([1]equip.xml!$I:$I,MATCH(D3420,[1]equip.xml!$A:$A,0))</f>
        <v>180000</v>
      </c>
      <c r="H3420" s="7" t="str">
        <f t="shared" si="3704"/>
        <v>10_10,50_20,80_30</v>
      </c>
      <c r="I3420" s="7">
        <v>7</v>
      </c>
      <c r="J3420" s="7">
        <f t="shared" si="3704"/>
        <v>240</v>
      </c>
      <c r="K3420" s="7" t="s">
        <v>310</v>
      </c>
      <c r="L3420" s="7">
        <v>30</v>
      </c>
      <c r="M3420" s="7">
        <f>IF(INDEX([1]equip.xml!$B:$B,MATCH(D3420,[1]equip.xml!$A:$A,0))=0,0,N3420)</f>
        <v>130</v>
      </c>
      <c r="N3420" s="7">
        <f t="shared" ref="N3420" si="3717">N3332</f>
        <v>130</v>
      </c>
    </row>
    <row r="3421" spans="1:14">
      <c r="A3421" s="7">
        <f t="shared" si="3604"/>
        <v>20011</v>
      </c>
      <c r="B3421" s="7">
        <f t="shared" ref="B3421:C3421" si="3718">B3333</f>
        <v>40000</v>
      </c>
      <c r="C3421" s="7" t="str">
        <f t="shared" si="3718"/>
        <v>装备</v>
      </c>
      <c r="D3421" s="7">
        <v>50300085</v>
      </c>
      <c r="E3421" s="7"/>
      <c r="F3421" s="7">
        <v>1</v>
      </c>
      <c r="G3421" s="8">
        <f>3*INDEX([1]equip.xml!$I:$I,MATCH(D3421,[1]equip.xml!$A:$A,0))</f>
        <v>180000</v>
      </c>
      <c r="H3421" s="7" t="str">
        <f t="shared" si="3704"/>
        <v>10_10,50_20,80_30</v>
      </c>
      <c r="I3421" s="7">
        <v>7</v>
      </c>
      <c r="J3421" s="7">
        <f t="shared" si="3704"/>
        <v>240</v>
      </c>
      <c r="K3421" s="7" t="s">
        <v>310</v>
      </c>
      <c r="L3421" s="7">
        <v>30</v>
      </c>
      <c r="M3421" s="7">
        <f>IF(INDEX([1]equip.xml!$B:$B,MATCH(D3421,[1]equip.xml!$A:$A,0))=0,0,N3421)</f>
        <v>130</v>
      </c>
      <c r="N3421" s="7">
        <f t="shared" ref="N3421" si="3719">N3333</f>
        <v>130</v>
      </c>
    </row>
    <row r="3422" spans="1:14">
      <c r="A3422" s="7">
        <f t="shared" si="3604"/>
        <v>20011</v>
      </c>
      <c r="B3422" s="7">
        <f t="shared" ref="B3422:C3422" si="3720">B3334</f>
        <v>40000</v>
      </c>
      <c r="C3422" s="7" t="str">
        <f t="shared" si="3720"/>
        <v>装备</v>
      </c>
      <c r="D3422" s="7">
        <v>50300095</v>
      </c>
      <c r="E3422" s="7"/>
      <c r="F3422" s="7">
        <v>1</v>
      </c>
      <c r="G3422" s="8">
        <f>3*INDEX([1]equip.xml!$I:$I,MATCH(D3422,[1]equip.xml!$A:$A,0))</f>
        <v>180000</v>
      </c>
      <c r="H3422" s="7" t="str">
        <f t="shared" si="3704"/>
        <v>10_10,50_20,80_30</v>
      </c>
      <c r="I3422" s="7">
        <v>7</v>
      </c>
      <c r="J3422" s="7">
        <f t="shared" si="3704"/>
        <v>240</v>
      </c>
      <c r="K3422" s="7" t="s">
        <v>310</v>
      </c>
      <c r="L3422" s="7">
        <v>30</v>
      </c>
      <c r="M3422" s="7">
        <f>IF(INDEX([1]equip.xml!$B:$B,MATCH(D3422,[1]equip.xml!$A:$A,0))=0,0,N3422)</f>
        <v>130</v>
      </c>
      <c r="N3422" s="7">
        <f t="shared" ref="N3422" si="3721">N3334</f>
        <v>130</v>
      </c>
    </row>
    <row r="3423" spans="1:14">
      <c r="A3423" s="7">
        <f t="shared" ref="A3423:A3486" si="3722">10000+A607</f>
        <v>20011</v>
      </c>
      <c r="B3423" s="7">
        <f t="shared" ref="B3423:C3423" si="3723">B3335</f>
        <v>40000</v>
      </c>
      <c r="C3423" s="7" t="str">
        <f t="shared" si="3723"/>
        <v>装备</v>
      </c>
      <c r="D3423" s="7">
        <v>50300105</v>
      </c>
      <c r="E3423" s="7"/>
      <c r="F3423" s="7">
        <v>1</v>
      </c>
      <c r="G3423" s="8">
        <f>3*INDEX([1]equip.xml!$I:$I,MATCH(D3423,[1]equip.xml!$A:$A,0))</f>
        <v>180000</v>
      </c>
      <c r="H3423" s="7" t="str">
        <f t="shared" si="3704"/>
        <v>10_10,50_20,80_30</v>
      </c>
      <c r="I3423" s="7">
        <v>7</v>
      </c>
      <c r="J3423" s="7">
        <f t="shared" si="3704"/>
        <v>240</v>
      </c>
      <c r="K3423" s="7" t="s">
        <v>310</v>
      </c>
      <c r="L3423" s="7">
        <v>30</v>
      </c>
      <c r="M3423" s="7">
        <f>IF(INDEX([1]equip.xml!$B:$B,MATCH(D3423,[1]equip.xml!$A:$A,0))=0,0,N3423)</f>
        <v>130</v>
      </c>
      <c r="N3423" s="7">
        <f t="shared" ref="N3423" si="3724">N3335</f>
        <v>130</v>
      </c>
    </row>
    <row r="3424" spans="1:14">
      <c r="A3424" s="7">
        <f t="shared" si="3722"/>
        <v>20011</v>
      </c>
      <c r="B3424" s="7">
        <f t="shared" ref="B3424:C3424" si="3725">B3336</f>
        <v>40000</v>
      </c>
      <c r="C3424" s="7" t="str">
        <f t="shared" si="3725"/>
        <v>装备</v>
      </c>
      <c r="D3424" s="7">
        <v>50301055</v>
      </c>
      <c r="E3424" s="7"/>
      <c r="F3424" s="7">
        <v>1</v>
      </c>
      <c r="G3424" s="8">
        <f>3*INDEX([1]equip.xml!$I:$I,MATCH(D3424,[1]equip.xml!$A:$A,0))</f>
        <v>180000</v>
      </c>
      <c r="H3424" s="7" t="str">
        <f t="shared" si="3704"/>
        <v>10_10,50_20,80_30</v>
      </c>
      <c r="I3424" s="7">
        <v>7</v>
      </c>
      <c r="J3424" s="7">
        <f t="shared" si="3704"/>
        <v>240</v>
      </c>
      <c r="K3424" s="7" t="s">
        <v>310</v>
      </c>
      <c r="L3424" s="7">
        <v>30</v>
      </c>
      <c r="M3424" s="7">
        <f>IF(INDEX([1]equip.xml!$B:$B,MATCH(D3424,[1]equip.xml!$A:$A,0))=0,0,N3424)</f>
        <v>130</v>
      </c>
      <c r="N3424" s="7">
        <f t="shared" ref="N3424" si="3726">N3336</f>
        <v>130</v>
      </c>
    </row>
    <row r="3425" spans="1:14">
      <c r="A3425" s="7">
        <f t="shared" si="3722"/>
        <v>20011</v>
      </c>
      <c r="B3425" s="7">
        <f t="shared" ref="B3425:C3425" si="3727">B3337</f>
        <v>40000</v>
      </c>
      <c r="C3425" s="7" t="str">
        <f t="shared" si="3727"/>
        <v>装备</v>
      </c>
      <c r="D3425" s="7">
        <v>50301056</v>
      </c>
      <c r="E3425" s="7"/>
      <c r="F3425" s="7">
        <v>1</v>
      </c>
      <c r="G3425" s="8">
        <f>3*INDEX([1]equip.xml!$I:$I,MATCH(D3425,[1]equip.xml!$A:$A,0))</f>
        <v>198000</v>
      </c>
      <c r="H3425" s="7" t="str">
        <f t="shared" si="3704"/>
        <v>10_10,50_20,80_30</v>
      </c>
      <c r="I3425" s="7">
        <v>7</v>
      </c>
      <c r="J3425" s="7">
        <f t="shared" si="3704"/>
        <v>240</v>
      </c>
      <c r="K3425" s="7" t="s">
        <v>310</v>
      </c>
      <c r="L3425" s="7">
        <v>30</v>
      </c>
      <c r="M3425" s="7">
        <f>IF(INDEX([1]equip.xml!$B:$B,MATCH(D3425,[1]equip.xml!$A:$A,0))=0,0,N3425)</f>
        <v>130</v>
      </c>
      <c r="N3425" s="7">
        <f t="shared" ref="N3425" si="3728">N3337</f>
        <v>130</v>
      </c>
    </row>
    <row r="3426" spans="1:14">
      <c r="A3426" s="7">
        <f t="shared" si="3722"/>
        <v>20011</v>
      </c>
      <c r="B3426" s="7">
        <f t="shared" ref="B3426:C3426" si="3729">B3338</f>
        <v>40000</v>
      </c>
      <c r="C3426" s="7" t="str">
        <f t="shared" si="3729"/>
        <v>装备</v>
      </c>
      <c r="D3426" s="7">
        <v>50301065</v>
      </c>
      <c r="E3426" s="7"/>
      <c r="F3426" s="7">
        <v>1</v>
      </c>
      <c r="G3426" s="8">
        <f>3*INDEX([1]equip.xml!$I:$I,MATCH(D3426,[1]equip.xml!$A:$A,0))</f>
        <v>180000</v>
      </c>
      <c r="H3426" s="7" t="str">
        <f t="shared" si="3704"/>
        <v>10_10,50_20,80_30</v>
      </c>
      <c r="I3426" s="7">
        <v>7</v>
      </c>
      <c r="J3426" s="7">
        <f t="shared" si="3704"/>
        <v>240</v>
      </c>
      <c r="K3426" s="7" t="s">
        <v>310</v>
      </c>
      <c r="L3426" s="7">
        <v>30</v>
      </c>
      <c r="M3426" s="7">
        <f>IF(INDEX([1]equip.xml!$B:$B,MATCH(D3426,[1]equip.xml!$A:$A,0))=0,0,N3426)</f>
        <v>130</v>
      </c>
      <c r="N3426" s="7">
        <f t="shared" ref="N3426" si="3730">N3338</f>
        <v>130</v>
      </c>
    </row>
    <row r="3427" spans="1:14">
      <c r="A3427" s="7">
        <f t="shared" si="3722"/>
        <v>20011</v>
      </c>
      <c r="B3427" s="7">
        <f t="shared" ref="B3427:C3427" si="3731">B3339</f>
        <v>40000</v>
      </c>
      <c r="C3427" s="7" t="str">
        <f t="shared" si="3731"/>
        <v>装备</v>
      </c>
      <c r="D3427" s="7">
        <v>50301066</v>
      </c>
      <c r="E3427" s="7"/>
      <c r="F3427" s="7">
        <v>1</v>
      </c>
      <c r="G3427" s="8">
        <f>3*INDEX([1]equip.xml!$I:$I,MATCH(D3427,[1]equip.xml!$A:$A,0))</f>
        <v>198000</v>
      </c>
      <c r="H3427" s="7" t="str">
        <f t="shared" si="3704"/>
        <v>10_10,50_20,80_30</v>
      </c>
      <c r="I3427" s="7">
        <v>7</v>
      </c>
      <c r="J3427" s="7">
        <f t="shared" si="3704"/>
        <v>240</v>
      </c>
      <c r="K3427" s="7" t="s">
        <v>310</v>
      </c>
      <c r="L3427" s="7">
        <v>30</v>
      </c>
      <c r="M3427" s="7">
        <f>IF(INDEX([1]equip.xml!$B:$B,MATCH(D3427,[1]equip.xml!$A:$A,0))=0,0,N3427)</f>
        <v>0</v>
      </c>
      <c r="N3427" s="7">
        <f t="shared" ref="N3427" si="3732">N3339</f>
        <v>130</v>
      </c>
    </row>
    <row r="3428" spans="1:14">
      <c r="A3428" s="7">
        <f t="shared" si="3722"/>
        <v>20011</v>
      </c>
      <c r="B3428" s="7">
        <f t="shared" ref="B3428:C3428" si="3733">B3340</f>
        <v>40000</v>
      </c>
      <c r="C3428" s="7" t="str">
        <f t="shared" si="3733"/>
        <v>装备</v>
      </c>
      <c r="D3428" s="7">
        <v>50302055</v>
      </c>
      <c r="E3428" s="7"/>
      <c r="F3428" s="7">
        <v>1</v>
      </c>
      <c r="G3428" s="8">
        <f>3*INDEX([1]equip.xml!$I:$I,MATCH(D3428,[1]equip.xml!$A:$A,0))</f>
        <v>180000</v>
      </c>
      <c r="H3428" s="7" t="str">
        <f t="shared" si="3704"/>
        <v>10_10,50_20,80_30</v>
      </c>
      <c r="I3428" s="7">
        <v>7</v>
      </c>
      <c r="J3428" s="7">
        <f t="shared" si="3704"/>
        <v>240</v>
      </c>
      <c r="K3428" s="7" t="s">
        <v>310</v>
      </c>
      <c r="L3428" s="7">
        <v>30</v>
      </c>
      <c r="M3428" s="7">
        <f>IF(INDEX([1]equip.xml!$B:$B,MATCH(D3428,[1]equip.xml!$A:$A,0))=0,0,N3428)</f>
        <v>130</v>
      </c>
      <c r="N3428" s="7">
        <f t="shared" ref="N3428" si="3734">N3340</f>
        <v>130</v>
      </c>
    </row>
    <row r="3429" spans="1:14">
      <c r="A3429" s="7">
        <f t="shared" si="3722"/>
        <v>20011</v>
      </c>
      <c r="B3429" s="7">
        <f t="shared" ref="B3429:C3429" si="3735">B3341</f>
        <v>40000</v>
      </c>
      <c r="C3429" s="7" t="str">
        <f t="shared" si="3735"/>
        <v>装备</v>
      </c>
      <c r="D3429" s="7">
        <v>50302056</v>
      </c>
      <c r="E3429" s="7"/>
      <c r="F3429" s="7">
        <v>1</v>
      </c>
      <c r="G3429" s="8">
        <f>3*INDEX([1]equip.xml!$I:$I,MATCH(D3429,[1]equip.xml!$A:$A,0))</f>
        <v>198000</v>
      </c>
      <c r="H3429" s="7" t="str">
        <f t="shared" si="3704"/>
        <v>10_10,50_20,80_30</v>
      </c>
      <c r="I3429" s="7">
        <v>7</v>
      </c>
      <c r="J3429" s="7">
        <f t="shared" si="3704"/>
        <v>240</v>
      </c>
      <c r="K3429" s="7" t="s">
        <v>310</v>
      </c>
      <c r="L3429" s="7">
        <v>30</v>
      </c>
      <c r="M3429" s="7">
        <f>IF(INDEX([1]equip.xml!$B:$B,MATCH(D3429,[1]equip.xml!$A:$A,0))=0,0,N3429)</f>
        <v>130</v>
      </c>
      <c r="N3429" s="7">
        <f t="shared" ref="N3429" si="3736">N3341</f>
        <v>130</v>
      </c>
    </row>
    <row r="3430" spans="1:14">
      <c r="A3430" s="7">
        <f t="shared" si="3722"/>
        <v>20011</v>
      </c>
      <c r="B3430" s="7">
        <f t="shared" ref="B3430:C3430" si="3737">B3342</f>
        <v>40000</v>
      </c>
      <c r="C3430" s="7" t="str">
        <f t="shared" si="3737"/>
        <v>装备</v>
      </c>
      <c r="D3430" s="7">
        <v>50302065</v>
      </c>
      <c r="E3430" s="7"/>
      <c r="F3430" s="7">
        <v>1</v>
      </c>
      <c r="G3430" s="8">
        <f>3*INDEX([1]equip.xml!$I:$I,MATCH(D3430,[1]equip.xml!$A:$A,0))</f>
        <v>180000</v>
      </c>
      <c r="H3430" s="7" t="str">
        <f t="shared" ref="H3430:J3445" si="3738">H3342</f>
        <v>10_10,50_20,80_30</v>
      </c>
      <c r="I3430" s="7">
        <v>7</v>
      </c>
      <c r="J3430" s="7">
        <f t="shared" si="3738"/>
        <v>240</v>
      </c>
      <c r="K3430" s="7" t="s">
        <v>310</v>
      </c>
      <c r="L3430" s="7">
        <v>30</v>
      </c>
      <c r="M3430" s="7">
        <f>IF(INDEX([1]equip.xml!$B:$B,MATCH(D3430,[1]equip.xml!$A:$A,0))=0,0,N3430)</f>
        <v>130</v>
      </c>
      <c r="N3430" s="7">
        <f t="shared" ref="N3430" si="3739">N3342</f>
        <v>130</v>
      </c>
    </row>
    <row r="3431" spans="1:14">
      <c r="A3431" s="7">
        <f t="shared" si="3722"/>
        <v>20011</v>
      </c>
      <c r="B3431" s="7">
        <f t="shared" ref="B3431:C3431" si="3740">B3343</f>
        <v>40000</v>
      </c>
      <c r="C3431" s="7" t="str">
        <f t="shared" si="3740"/>
        <v>装备</v>
      </c>
      <c r="D3431" s="7">
        <v>50302066</v>
      </c>
      <c r="E3431" s="7"/>
      <c r="F3431" s="7">
        <v>1</v>
      </c>
      <c r="G3431" s="8">
        <f>3*INDEX([1]equip.xml!$I:$I,MATCH(D3431,[1]equip.xml!$A:$A,0))</f>
        <v>198000</v>
      </c>
      <c r="H3431" s="7" t="str">
        <f t="shared" si="3738"/>
        <v>10_10,50_20,80_30</v>
      </c>
      <c r="I3431" s="7">
        <v>7</v>
      </c>
      <c r="J3431" s="7">
        <f t="shared" si="3738"/>
        <v>240</v>
      </c>
      <c r="K3431" s="7" t="s">
        <v>310</v>
      </c>
      <c r="L3431" s="7">
        <v>30</v>
      </c>
      <c r="M3431" s="7">
        <f>IF(INDEX([1]equip.xml!$B:$B,MATCH(D3431,[1]equip.xml!$A:$A,0))=0,0,N3431)</f>
        <v>0</v>
      </c>
      <c r="N3431" s="7">
        <f t="shared" ref="N3431" si="3741">N3343</f>
        <v>130</v>
      </c>
    </row>
    <row r="3432" spans="1:14">
      <c r="A3432" s="7">
        <f t="shared" si="3722"/>
        <v>20011</v>
      </c>
      <c r="B3432" s="7">
        <f t="shared" ref="B3432:C3432" si="3742">B3344</f>
        <v>40000</v>
      </c>
      <c r="C3432" s="7" t="str">
        <f t="shared" si="3742"/>
        <v>装备</v>
      </c>
      <c r="D3432" s="7">
        <v>50303055</v>
      </c>
      <c r="E3432" s="7"/>
      <c r="F3432" s="7">
        <v>1</v>
      </c>
      <c r="G3432" s="8">
        <f>3*INDEX([1]equip.xml!$I:$I,MATCH(D3432,[1]equip.xml!$A:$A,0))</f>
        <v>180000</v>
      </c>
      <c r="H3432" s="7" t="str">
        <f t="shared" si="3738"/>
        <v>10_10,50_20,80_30</v>
      </c>
      <c r="I3432" s="7">
        <v>7</v>
      </c>
      <c r="J3432" s="7">
        <f t="shared" si="3738"/>
        <v>240</v>
      </c>
      <c r="K3432" s="7" t="s">
        <v>310</v>
      </c>
      <c r="L3432" s="7">
        <v>30</v>
      </c>
      <c r="M3432" s="7">
        <f>IF(INDEX([1]equip.xml!$B:$B,MATCH(D3432,[1]equip.xml!$A:$A,0))=0,0,N3432)</f>
        <v>130</v>
      </c>
      <c r="N3432" s="7">
        <f t="shared" ref="N3432" si="3743">N3344</f>
        <v>130</v>
      </c>
    </row>
    <row r="3433" spans="1:14">
      <c r="A3433" s="7">
        <f t="shared" si="3722"/>
        <v>20011</v>
      </c>
      <c r="B3433" s="7">
        <f t="shared" ref="B3433:C3433" si="3744">B3345</f>
        <v>40000</v>
      </c>
      <c r="C3433" s="7" t="str">
        <f t="shared" si="3744"/>
        <v>装备</v>
      </c>
      <c r="D3433" s="7">
        <v>50303056</v>
      </c>
      <c r="E3433" s="7"/>
      <c r="F3433" s="7">
        <v>1</v>
      </c>
      <c r="G3433" s="8">
        <f>3*INDEX([1]equip.xml!$I:$I,MATCH(D3433,[1]equip.xml!$A:$A,0))</f>
        <v>198000</v>
      </c>
      <c r="H3433" s="7" t="str">
        <f t="shared" si="3738"/>
        <v>10_10,50_20,80_30</v>
      </c>
      <c r="I3433" s="7">
        <v>7</v>
      </c>
      <c r="J3433" s="7">
        <f t="shared" si="3738"/>
        <v>240</v>
      </c>
      <c r="K3433" s="7" t="s">
        <v>310</v>
      </c>
      <c r="L3433" s="7">
        <v>30</v>
      </c>
      <c r="M3433" s="7">
        <f>IF(INDEX([1]equip.xml!$B:$B,MATCH(D3433,[1]equip.xml!$A:$A,0))=0,0,N3433)</f>
        <v>130</v>
      </c>
      <c r="N3433" s="7">
        <f t="shared" ref="N3433" si="3745">N3345</f>
        <v>130</v>
      </c>
    </row>
    <row r="3434" spans="1:14">
      <c r="A3434" s="7">
        <f t="shared" si="3722"/>
        <v>20011</v>
      </c>
      <c r="B3434" s="7">
        <f t="shared" ref="B3434:C3434" si="3746">B3346</f>
        <v>40000</v>
      </c>
      <c r="C3434" s="7" t="str">
        <f t="shared" si="3746"/>
        <v>装备</v>
      </c>
      <c r="D3434" s="7">
        <v>50303065</v>
      </c>
      <c r="E3434" s="7"/>
      <c r="F3434" s="7">
        <v>1</v>
      </c>
      <c r="G3434" s="8">
        <f>3*INDEX([1]equip.xml!$I:$I,MATCH(D3434,[1]equip.xml!$A:$A,0))</f>
        <v>180000</v>
      </c>
      <c r="H3434" s="7" t="str">
        <f t="shared" si="3738"/>
        <v>10_10,50_20,80_30</v>
      </c>
      <c r="I3434" s="7">
        <v>7</v>
      </c>
      <c r="J3434" s="7">
        <f t="shared" si="3738"/>
        <v>240</v>
      </c>
      <c r="K3434" s="7" t="s">
        <v>310</v>
      </c>
      <c r="L3434" s="7">
        <v>30</v>
      </c>
      <c r="M3434" s="7">
        <f>IF(INDEX([1]equip.xml!$B:$B,MATCH(D3434,[1]equip.xml!$A:$A,0))=0,0,N3434)</f>
        <v>130</v>
      </c>
      <c r="N3434" s="7">
        <f t="shared" ref="N3434" si="3747">N3346</f>
        <v>130</v>
      </c>
    </row>
    <row r="3435" spans="1:14">
      <c r="A3435" s="7">
        <f t="shared" si="3722"/>
        <v>20011</v>
      </c>
      <c r="B3435" s="7">
        <f t="shared" ref="B3435:C3435" si="3748">B3347</f>
        <v>40000</v>
      </c>
      <c r="C3435" s="7" t="str">
        <f t="shared" si="3748"/>
        <v>装备</v>
      </c>
      <c r="D3435" s="7">
        <v>50303066</v>
      </c>
      <c r="E3435" s="7"/>
      <c r="F3435" s="7">
        <v>1</v>
      </c>
      <c r="G3435" s="8">
        <f>3*INDEX([1]equip.xml!$I:$I,MATCH(D3435,[1]equip.xml!$A:$A,0))</f>
        <v>198000</v>
      </c>
      <c r="H3435" s="7" t="str">
        <f t="shared" si="3738"/>
        <v>10_10,50_20,80_30</v>
      </c>
      <c r="I3435" s="7">
        <v>7</v>
      </c>
      <c r="J3435" s="7">
        <f t="shared" si="3738"/>
        <v>240</v>
      </c>
      <c r="K3435" s="7" t="s">
        <v>310</v>
      </c>
      <c r="L3435" s="7">
        <v>30</v>
      </c>
      <c r="M3435" s="7">
        <f>IF(INDEX([1]equip.xml!$B:$B,MATCH(D3435,[1]equip.xml!$A:$A,0))=0,0,N3435)</f>
        <v>0</v>
      </c>
      <c r="N3435" s="7">
        <f t="shared" ref="N3435" si="3749">N3347</f>
        <v>130</v>
      </c>
    </row>
    <row r="3436" spans="1:14">
      <c r="A3436" s="7">
        <f t="shared" si="3722"/>
        <v>20011</v>
      </c>
      <c r="B3436" s="7">
        <f t="shared" ref="B3436:C3436" si="3750">B3348</f>
        <v>40000</v>
      </c>
      <c r="C3436" s="7" t="str">
        <f t="shared" si="3750"/>
        <v>装备</v>
      </c>
      <c r="D3436" s="7">
        <v>50300045</v>
      </c>
      <c r="E3436" s="7"/>
      <c r="F3436" s="7">
        <v>1</v>
      </c>
      <c r="G3436" s="8">
        <f>3*INDEX([1]equip.xml!$I:$I,MATCH(D3436,[1]equip.xml!$A:$A,0))</f>
        <v>180000</v>
      </c>
      <c r="H3436" s="7" t="str">
        <f t="shared" si="3738"/>
        <v>10_10,50_20,80_30</v>
      </c>
      <c r="I3436" s="7">
        <v>7</v>
      </c>
      <c r="J3436" s="7">
        <f t="shared" si="3738"/>
        <v>240</v>
      </c>
      <c r="K3436" s="7" t="s">
        <v>310</v>
      </c>
      <c r="L3436" s="7">
        <v>30</v>
      </c>
      <c r="M3436" s="7">
        <f>IF(INDEX([1]equip.xml!$B:$B,MATCH(D3436,[1]equip.xml!$A:$A,0))=0,0,N3436)</f>
        <v>130</v>
      </c>
      <c r="N3436" s="7">
        <f t="shared" ref="N3436" si="3751">N3348</f>
        <v>130</v>
      </c>
    </row>
    <row r="3437" spans="1:14">
      <c r="A3437" s="7">
        <f t="shared" si="3722"/>
        <v>20011</v>
      </c>
      <c r="B3437" s="7">
        <f t="shared" ref="B3437:C3437" si="3752">B3349</f>
        <v>40000</v>
      </c>
      <c r="C3437" s="7" t="str">
        <f t="shared" si="3752"/>
        <v>装备</v>
      </c>
      <c r="D3437" s="7">
        <v>50300046</v>
      </c>
      <c r="E3437" s="7"/>
      <c r="F3437" s="7">
        <v>1</v>
      </c>
      <c r="G3437" s="8">
        <f>3*INDEX([1]equip.xml!$I:$I,MATCH(D3437,[1]equip.xml!$A:$A,0))</f>
        <v>198000</v>
      </c>
      <c r="H3437" s="7" t="str">
        <f t="shared" si="3738"/>
        <v>10_10,50_20,80_30</v>
      </c>
      <c r="I3437" s="7">
        <v>7</v>
      </c>
      <c r="J3437" s="7">
        <f t="shared" si="3738"/>
        <v>240</v>
      </c>
      <c r="K3437" s="7" t="s">
        <v>310</v>
      </c>
      <c r="L3437" s="7">
        <v>30</v>
      </c>
      <c r="M3437" s="7">
        <f>IF(INDEX([1]equip.xml!$B:$B,MATCH(D3437,[1]equip.xml!$A:$A,0))=0,0,N3437)</f>
        <v>130</v>
      </c>
      <c r="N3437" s="7">
        <f t="shared" ref="N3437" si="3753">N3349</f>
        <v>130</v>
      </c>
    </row>
    <row r="3438" spans="1:14">
      <c r="A3438" s="7">
        <f t="shared" si="3722"/>
        <v>20011</v>
      </c>
      <c r="B3438" s="7">
        <f t="shared" ref="B3438:C3438" si="3754">B3350</f>
        <v>40000</v>
      </c>
      <c r="C3438" s="7" t="str">
        <f t="shared" si="3754"/>
        <v>装备</v>
      </c>
      <c r="D3438" s="7">
        <v>50300075</v>
      </c>
      <c r="E3438" s="7"/>
      <c r="F3438" s="7">
        <v>1</v>
      </c>
      <c r="G3438" s="8">
        <f>3*INDEX([1]equip.xml!$I:$I,MATCH(D3438,[1]equip.xml!$A:$A,0))</f>
        <v>180000</v>
      </c>
      <c r="H3438" s="7" t="str">
        <f t="shared" si="3738"/>
        <v>10_10,50_20,80_30</v>
      </c>
      <c r="I3438" s="7">
        <v>7</v>
      </c>
      <c r="J3438" s="7">
        <f t="shared" si="3738"/>
        <v>240</v>
      </c>
      <c r="K3438" s="7" t="s">
        <v>310</v>
      </c>
      <c r="L3438" s="7">
        <v>30</v>
      </c>
      <c r="M3438" s="7">
        <f>IF(INDEX([1]equip.xml!$B:$B,MATCH(D3438,[1]equip.xml!$A:$A,0))=0,0,N3438)</f>
        <v>130</v>
      </c>
      <c r="N3438" s="7">
        <f t="shared" ref="N3438" si="3755">N3350</f>
        <v>130</v>
      </c>
    </row>
    <row r="3439" spans="1:14">
      <c r="A3439" s="7">
        <f t="shared" si="3722"/>
        <v>20011</v>
      </c>
      <c r="B3439" s="7">
        <f t="shared" ref="B3439:C3439" si="3756">B3351</f>
        <v>40000</v>
      </c>
      <c r="C3439" s="7" t="str">
        <f t="shared" si="3756"/>
        <v>装备</v>
      </c>
      <c r="D3439" s="7">
        <v>50300076</v>
      </c>
      <c r="E3439" s="7"/>
      <c r="F3439" s="7">
        <v>1</v>
      </c>
      <c r="G3439" s="8">
        <f>3*INDEX([1]equip.xml!$I:$I,MATCH(D3439,[1]equip.xml!$A:$A,0))</f>
        <v>198000</v>
      </c>
      <c r="H3439" s="7" t="str">
        <f t="shared" si="3738"/>
        <v>10_10,50_20,80_30</v>
      </c>
      <c r="I3439" s="7">
        <v>7</v>
      </c>
      <c r="J3439" s="7">
        <f t="shared" si="3738"/>
        <v>240</v>
      </c>
      <c r="K3439" s="7" t="s">
        <v>310</v>
      </c>
      <c r="L3439" s="7">
        <v>30</v>
      </c>
      <c r="M3439" s="7">
        <f>IF(INDEX([1]equip.xml!$B:$B,MATCH(D3439,[1]equip.xml!$A:$A,0))=0,0,N3439)</f>
        <v>130</v>
      </c>
      <c r="N3439" s="7">
        <f t="shared" ref="N3439" si="3757">N3351</f>
        <v>130</v>
      </c>
    </row>
    <row r="3440" spans="1:14">
      <c r="A3440" s="7">
        <f t="shared" si="3722"/>
        <v>20011</v>
      </c>
      <c r="B3440" s="7">
        <f t="shared" ref="B3440:C3440" si="3758">B3352</f>
        <v>40000</v>
      </c>
      <c r="C3440" s="7" t="str">
        <f t="shared" si="3758"/>
        <v>装备</v>
      </c>
      <c r="D3440" s="7">
        <v>50350015</v>
      </c>
      <c r="E3440" s="7"/>
      <c r="F3440" s="7">
        <v>1</v>
      </c>
      <c r="G3440" s="8">
        <f>3*INDEX([1]equip.xml!$I:$I,MATCH(D3440,[1]equip.xml!$A:$A,0))</f>
        <v>210000</v>
      </c>
      <c r="H3440" s="7" t="str">
        <f t="shared" si="3738"/>
        <v>10_10,50_20,80_30</v>
      </c>
      <c r="I3440" s="7">
        <v>7</v>
      </c>
      <c r="J3440" s="7">
        <f t="shared" si="3738"/>
        <v>240</v>
      </c>
      <c r="K3440" s="7" t="s">
        <v>310</v>
      </c>
      <c r="L3440" s="7">
        <v>30</v>
      </c>
      <c r="M3440" s="7">
        <f>IF(INDEX([1]equip.xml!$B:$B,MATCH(D3440,[1]equip.xml!$A:$A,0))=0,0,N3440)</f>
        <v>65</v>
      </c>
      <c r="N3440" s="7">
        <f t="shared" ref="N3440" si="3759">N3352</f>
        <v>65</v>
      </c>
    </row>
    <row r="3441" spans="1:14">
      <c r="A3441" s="7">
        <f t="shared" si="3722"/>
        <v>20011</v>
      </c>
      <c r="B3441" s="7">
        <f t="shared" ref="B3441:C3441" si="3760">B3353</f>
        <v>40000</v>
      </c>
      <c r="C3441" s="7" t="str">
        <f t="shared" si="3760"/>
        <v>装备</v>
      </c>
      <c r="D3441" s="7">
        <v>50350025</v>
      </c>
      <c r="E3441" s="7"/>
      <c r="F3441" s="7">
        <v>1</v>
      </c>
      <c r="G3441" s="8">
        <f>3*INDEX([1]equip.xml!$I:$I,MATCH(D3441,[1]equip.xml!$A:$A,0))</f>
        <v>210000</v>
      </c>
      <c r="H3441" s="7" t="str">
        <f t="shared" si="3738"/>
        <v>10_10,50_20,80_30</v>
      </c>
      <c r="I3441" s="7">
        <v>7</v>
      </c>
      <c r="J3441" s="7">
        <f t="shared" si="3738"/>
        <v>240</v>
      </c>
      <c r="K3441" s="7" t="s">
        <v>310</v>
      </c>
      <c r="L3441" s="7">
        <v>30</v>
      </c>
      <c r="M3441" s="7">
        <f>IF(INDEX([1]equip.xml!$B:$B,MATCH(D3441,[1]equip.xml!$A:$A,0))=0,0,N3441)</f>
        <v>65</v>
      </c>
      <c r="N3441" s="7">
        <f t="shared" ref="N3441" si="3761">N3353</f>
        <v>65</v>
      </c>
    </row>
    <row r="3442" spans="1:14">
      <c r="A3442" s="7">
        <f t="shared" si="3722"/>
        <v>20011</v>
      </c>
      <c r="B3442" s="7">
        <f t="shared" ref="B3442:C3442" si="3762">B3354</f>
        <v>40000</v>
      </c>
      <c r="C3442" s="7" t="str">
        <f t="shared" si="3762"/>
        <v>装备</v>
      </c>
      <c r="D3442" s="7">
        <v>50350035</v>
      </c>
      <c r="E3442" s="7"/>
      <c r="F3442" s="7">
        <v>1</v>
      </c>
      <c r="G3442" s="8">
        <f>3*INDEX([1]equip.xml!$I:$I,MATCH(D3442,[1]equip.xml!$A:$A,0))</f>
        <v>210000</v>
      </c>
      <c r="H3442" s="7" t="str">
        <f t="shared" si="3738"/>
        <v>10_10,50_20,80_30</v>
      </c>
      <c r="I3442" s="7">
        <v>7</v>
      </c>
      <c r="J3442" s="7">
        <f t="shared" si="3738"/>
        <v>240</v>
      </c>
      <c r="K3442" s="7" t="s">
        <v>310</v>
      </c>
      <c r="L3442" s="7">
        <v>30</v>
      </c>
      <c r="M3442" s="7">
        <f>IF(INDEX([1]equip.xml!$B:$B,MATCH(D3442,[1]equip.xml!$A:$A,0))=0,0,N3442)</f>
        <v>65</v>
      </c>
      <c r="N3442" s="7">
        <f t="shared" ref="N3442" si="3763">N3354</f>
        <v>65</v>
      </c>
    </row>
    <row r="3443" spans="1:14">
      <c r="A3443" s="7">
        <f t="shared" si="3722"/>
        <v>20011</v>
      </c>
      <c r="B3443" s="7">
        <f t="shared" ref="B3443:C3443" si="3764">B3355</f>
        <v>40000</v>
      </c>
      <c r="C3443" s="7" t="str">
        <f t="shared" si="3764"/>
        <v>装备</v>
      </c>
      <c r="D3443" s="7">
        <v>50350085</v>
      </c>
      <c r="E3443" s="7"/>
      <c r="F3443" s="7">
        <v>1</v>
      </c>
      <c r="G3443" s="8">
        <f>3*INDEX([1]equip.xml!$I:$I,MATCH(D3443,[1]equip.xml!$A:$A,0))</f>
        <v>210000</v>
      </c>
      <c r="H3443" s="7" t="str">
        <f t="shared" si="3738"/>
        <v>10_10,50_20,80_30</v>
      </c>
      <c r="I3443" s="7">
        <v>7</v>
      </c>
      <c r="J3443" s="7">
        <f t="shared" si="3738"/>
        <v>240</v>
      </c>
      <c r="K3443" s="7" t="s">
        <v>310</v>
      </c>
      <c r="L3443" s="7">
        <v>30</v>
      </c>
      <c r="M3443" s="7">
        <f>IF(INDEX([1]equip.xml!$B:$B,MATCH(D3443,[1]equip.xml!$A:$A,0))=0,0,N3443)</f>
        <v>65</v>
      </c>
      <c r="N3443" s="7">
        <f t="shared" ref="N3443" si="3765">N3355</f>
        <v>65</v>
      </c>
    </row>
    <row r="3444" spans="1:14">
      <c r="A3444" s="7">
        <f t="shared" si="3722"/>
        <v>20011</v>
      </c>
      <c r="B3444" s="7">
        <f t="shared" ref="B3444:C3444" si="3766">B3356</f>
        <v>40000</v>
      </c>
      <c r="C3444" s="7" t="str">
        <f t="shared" si="3766"/>
        <v>装备</v>
      </c>
      <c r="D3444" s="7">
        <v>50350095</v>
      </c>
      <c r="E3444" s="7"/>
      <c r="F3444" s="7">
        <v>1</v>
      </c>
      <c r="G3444" s="8">
        <f>3*INDEX([1]equip.xml!$I:$I,MATCH(D3444,[1]equip.xml!$A:$A,0))</f>
        <v>210000</v>
      </c>
      <c r="H3444" s="7" t="str">
        <f t="shared" si="3738"/>
        <v>10_10,50_20,80_30</v>
      </c>
      <c r="I3444" s="7">
        <v>7</v>
      </c>
      <c r="J3444" s="7">
        <f t="shared" si="3738"/>
        <v>240</v>
      </c>
      <c r="K3444" s="7" t="s">
        <v>310</v>
      </c>
      <c r="L3444" s="7">
        <v>30</v>
      </c>
      <c r="M3444" s="7">
        <f>IF(INDEX([1]equip.xml!$B:$B,MATCH(D3444,[1]equip.xml!$A:$A,0))=0,0,N3444)</f>
        <v>65</v>
      </c>
      <c r="N3444" s="7">
        <f t="shared" ref="N3444" si="3767">N3356</f>
        <v>65</v>
      </c>
    </row>
    <row r="3445" spans="1:14">
      <c r="A3445" s="7">
        <f t="shared" si="3722"/>
        <v>20011</v>
      </c>
      <c r="B3445" s="7">
        <f t="shared" ref="B3445:C3445" si="3768">B3357</f>
        <v>40000</v>
      </c>
      <c r="C3445" s="7" t="str">
        <f t="shared" si="3768"/>
        <v>装备</v>
      </c>
      <c r="D3445" s="7">
        <v>50350105</v>
      </c>
      <c r="E3445" s="7"/>
      <c r="F3445" s="7">
        <v>1</v>
      </c>
      <c r="G3445" s="8">
        <f>3*INDEX([1]equip.xml!$I:$I,MATCH(D3445,[1]equip.xml!$A:$A,0))</f>
        <v>210000</v>
      </c>
      <c r="H3445" s="7" t="str">
        <f t="shared" si="3738"/>
        <v>10_10,50_20,80_30</v>
      </c>
      <c r="I3445" s="7">
        <v>7</v>
      </c>
      <c r="J3445" s="7">
        <f t="shared" si="3738"/>
        <v>240</v>
      </c>
      <c r="K3445" s="7" t="s">
        <v>310</v>
      </c>
      <c r="L3445" s="7">
        <v>30</v>
      </c>
      <c r="M3445" s="7">
        <f>IF(INDEX([1]equip.xml!$B:$B,MATCH(D3445,[1]equip.xml!$A:$A,0))=0,0,N3445)</f>
        <v>65</v>
      </c>
      <c r="N3445" s="7">
        <f t="shared" ref="N3445" si="3769">N3357</f>
        <v>65</v>
      </c>
    </row>
    <row r="3446" spans="1:14">
      <c r="A3446" s="7">
        <f t="shared" si="3722"/>
        <v>20011</v>
      </c>
      <c r="B3446" s="7">
        <f t="shared" ref="B3446:C3446" si="3770">B3358</f>
        <v>40000</v>
      </c>
      <c r="C3446" s="7" t="str">
        <f t="shared" si="3770"/>
        <v>装备</v>
      </c>
      <c r="D3446" s="7">
        <v>50351055</v>
      </c>
      <c r="E3446" s="7"/>
      <c r="F3446" s="7">
        <v>1</v>
      </c>
      <c r="G3446" s="8">
        <f>3*INDEX([1]equip.xml!$I:$I,MATCH(D3446,[1]equip.xml!$A:$A,0))</f>
        <v>210000</v>
      </c>
      <c r="H3446" s="7" t="str">
        <f t="shared" ref="H3446:J3461" si="3771">H3358</f>
        <v>10_10,50_20,80_30</v>
      </c>
      <c r="I3446" s="7">
        <v>7</v>
      </c>
      <c r="J3446" s="7">
        <f t="shared" si="3771"/>
        <v>240</v>
      </c>
      <c r="K3446" s="7" t="s">
        <v>310</v>
      </c>
      <c r="L3446" s="7">
        <v>30</v>
      </c>
      <c r="M3446" s="7">
        <f>IF(INDEX([1]equip.xml!$B:$B,MATCH(D3446,[1]equip.xml!$A:$A,0))=0,0,N3446)</f>
        <v>65</v>
      </c>
      <c r="N3446" s="7">
        <f t="shared" ref="N3446" si="3772">N3358</f>
        <v>65</v>
      </c>
    </row>
    <row r="3447" spans="1:14">
      <c r="A3447" s="7">
        <f t="shared" si="3722"/>
        <v>20011</v>
      </c>
      <c r="B3447" s="7">
        <f t="shared" ref="B3447:C3447" si="3773">B3359</f>
        <v>40000</v>
      </c>
      <c r="C3447" s="7" t="str">
        <f t="shared" si="3773"/>
        <v>装备</v>
      </c>
      <c r="D3447" s="7">
        <v>50351056</v>
      </c>
      <c r="E3447" s="7"/>
      <c r="F3447" s="7">
        <v>1</v>
      </c>
      <c r="G3447" s="8">
        <f>3*INDEX([1]equip.xml!$I:$I,MATCH(D3447,[1]equip.xml!$A:$A,0))</f>
        <v>228000</v>
      </c>
      <c r="H3447" s="7" t="str">
        <f t="shared" si="3771"/>
        <v>10_10,50_20,80_30</v>
      </c>
      <c r="I3447" s="7">
        <v>7</v>
      </c>
      <c r="J3447" s="7">
        <f t="shared" si="3771"/>
        <v>240</v>
      </c>
      <c r="K3447" s="7" t="s">
        <v>310</v>
      </c>
      <c r="L3447" s="7">
        <v>30</v>
      </c>
      <c r="M3447" s="7">
        <f>IF(INDEX([1]equip.xml!$B:$B,MATCH(D3447,[1]equip.xml!$A:$A,0))=0,0,N3447)</f>
        <v>0</v>
      </c>
      <c r="N3447" s="7">
        <f t="shared" ref="N3447" si="3774">N3359</f>
        <v>65</v>
      </c>
    </row>
    <row r="3448" spans="1:14">
      <c r="A3448" s="7">
        <f t="shared" si="3722"/>
        <v>20011</v>
      </c>
      <c r="B3448" s="7">
        <f t="shared" ref="B3448:C3448" si="3775">B3360</f>
        <v>40000</v>
      </c>
      <c r="C3448" s="7" t="str">
        <f t="shared" si="3775"/>
        <v>装备</v>
      </c>
      <c r="D3448" s="7">
        <v>50351065</v>
      </c>
      <c r="E3448" s="7"/>
      <c r="F3448" s="7">
        <v>1</v>
      </c>
      <c r="G3448" s="8">
        <f>3*INDEX([1]equip.xml!$I:$I,MATCH(D3448,[1]equip.xml!$A:$A,0))</f>
        <v>210000</v>
      </c>
      <c r="H3448" s="7" t="str">
        <f t="shared" si="3771"/>
        <v>10_10,50_20,80_30</v>
      </c>
      <c r="I3448" s="7">
        <v>7</v>
      </c>
      <c r="J3448" s="7">
        <f t="shared" si="3771"/>
        <v>240</v>
      </c>
      <c r="K3448" s="7" t="s">
        <v>310</v>
      </c>
      <c r="L3448" s="7">
        <v>30</v>
      </c>
      <c r="M3448" s="7">
        <f>IF(INDEX([1]equip.xml!$B:$B,MATCH(D3448,[1]equip.xml!$A:$A,0))=0,0,N3448)</f>
        <v>65</v>
      </c>
      <c r="N3448" s="7">
        <f t="shared" ref="N3448" si="3776">N3360</f>
        <v>65</v>
      </c>
    </row>
    <row r="3449" spans="1:14">
      <c r="A3449" s="7">
        <f t="shared" si="3722"/>
        <v>20011</v>
      </c>
      <c r="B3449" s="7">
        <f t="shared" ref="B3449:C3449" si="3777">B3361</f>
        <v>40000</v>
      </c>
      <c r="C3449" s="7" t="str">
        <f t="shared" si="3777"/>
        <v>装备</v>
      </c>
      <c r="D3449" s="7">
        <v>50351066</v>
      </c>
      <c r="E3449" s="7"/>
      <c r="F3449" s="7">
        <v>1</v>
      </c>
      <c r="G3449" s="8">
        <f>3*INDEX([1]equip.xml!$I:$I,MATCH(D3449,[1]equip.xml!$A:$A,0))</f>
        <v>228000</v>
      </c>
      <c r="H3449" s="7" t="str">
        <f t="shared" si="3771"/>
        <v>10_10,50_20,80_30</v>
      </c>
      <c r="I3449" s="7">
        <v>7</v>
      </c>
      <c r="J3449" s="7">
        <f t="shared" si="3771"/>
        <v>240</v>
      </c>
      <c r="K3449" s="7" t="s">
        <v>310</v>
      </c>
      <c r="L3449" s="7">
        <v>30</v>
      </c>
      <c r="M3449" s="7">
        <f>IF(INDEX([1]equip.xml!$B:$B,MATCH(D3449,[1]equip.xml!$A:$A,0))=0,0,N3449)</f>
        <v>65</v>
      </c>
      <c r="N3449" s="7">
        <f t="shared" ref="N3449" si="3778">N3361</f>
        <v>65</v>
      </c>
    </row>
    <row r="3450" spans="1:14">
      <c r="A3450" s="7">
        <f t="shared" si="3722"/>
        <v>20011</v>
      </c>
      <c r="B3450" s="7">
        <f t="shared" ref="B3450:C3450" si="3779">B3362</f>
        <v>40000</v>
      </c>
      <c r="C3450" s="7" t="str">
        <f t="shared" si="3779"/>
        <v>装备</v>
      </c>
      <c r="D3450" s="7">
        <v>50352055</v>
      </c>
      <c r="E3450" s="7"/>
      <c r="F3450" s="7">
        <v>1</v>
      </c>
      <c r="G3450" s="8">
        <f>3*INDEX([1]equip.xml!$I:$I,MATCH(D3450,[1]equip.xml!$A:$A,0))</f>
        <v>210000</v>
      </c>
      <c r="H3450" s="7" t="str">
        <f t="shared" si="3771"/>
        <v>10_10,50_20,80_30</v>
      </c>
      <c r="I3450" s="7">
        <v>7</v>
      </c>
      <c r="J3450" s="7">
        <f t="shared" si="3771"/>
        <v>240</v>
      </c>
      <c r="K3450" s="7" t="s">
        <v>310</v>
      </c>
      <c r="L3450" s="7">
        <v>30</v>
      </c>
      <c r="M3450" s="7">
        <f>IF(INDEX([1]equip.xml!$B:$B,MATCH(D3450,[1]equip.xml!$A:$A,0))=0,0,N3450)</f>
        <v>65</v>
      </c>
      <c r="N3450" s="7">
        <f t="shared" ref="N3450" si="3780">N3362</f>
        <v>65</v>
      </c>
    </row>
    <row r="3451" spans="1:14">
      <c r="A3451" s="7">
        <f t="shared" si="3722"/>
        <v>20011</v>
      </c>
      <c r="B3451" s="7">
        <f t="shared" ref="B3451:C3451" si="3781">B3363</f>
        <v>40000</v>
      </c>
      <c r="C3451" s="7" t="str">
        <f t="shared" si="3781"/>
        <v>装备</v>
      </c>
      <c r="D3451" s="7">
        <v>50352056</v>
      </c>
      <c r="E3451" s="7"/>
      <c r="F3451" s="7">
        <v>1</v>
      </c>
      <c r="G3451" s="8">
        <f>3*INDEX([1]equip.xml!$I:$I,MATCH(D3451,[1]equip.xml!$A:$A,0))</f>
        <v>228000</v>
      </c>
      <c r="H3451" s="7" t="str">
        <f t="shared" si="3771"/>
        <v>10_10,50_20,80_30</v>
      </c>
      <c r="I3451" s="7">
        <v>7</v>
      </c>
      <c r="J3451" s="7">
        <f t="shared" si="3771"/>
        <v>240</v>
      </c>
      <c r="K3451" s="7" t="s">
        <v>310</v>
      </c>
      <c r="L3451" s="7">
        <v>30</v>
      </c>
      <c r="M3451" s="7">
        <f>IF(INDEX([1]equip.xml!$B:$B,MATCH(D3451,[1]equip.xml!$A:$A,0))=0,0,N3451)</f>
        <v>0</v>
      </c>
      <c r="N3451" s="7">
        <f t="shared" ref="N3451" si="3782">N3363</f>
        <v>65</v>
      </c>
    </row>
    <row r="3452" spans="1:14">
      <c r="A3452" s="7">
        <f t="shared" si="3722"/>
        <v>20011</v>
      </c>
      <c r="B3452" s="7">
        <f t="shared" ref="B3452:C3452" si="3783">B3364</f>
        <v>40000</v>
      </c>
      <c r="C3452" s="7" t="str">
        <f t="shared" si="3783"/>
        <v>装备</v>
      </c>
      <c r="D3452" s="7">
        <v>50352065</v>
      </c>
      <c r="E3452" s="7"/>
      <c r="F3452" s="7">
        <v>1</v>
      </c>
      <c r="G3452" s="8">
        <f>3*INDEX([1]equip.xml!$I:$I,MATCH(D3452,[1]equip.xml!$A:$A,0))</f>
        <v>210000</v>
      </c>
      <c r="H3452" s="7" t="str">
        <f t="shared" si="3771"/>
        <v>10_10,50_20,80_30</v>
      </c>
      <c r="I3452" s="7">
        <v>7</v>
      </c>
      <c r="J3452" s="7">
        <f t="shared" si="3771"/>
        <v>240</v>
      </c>
      <c r="K3452" s="7" t="s">
        <v>310</v>
      </c>
      <c r="L3452" s="7">
        <v>30</v>
      </c>
      <c r="M3452" s="7">
        <f>IF(INDEX([1]equip.xml!$B:$B,MATCH(D3452,[1]equip.xml!$A:$A,0))=0,0,N3452)</f>
        <v>65</v>
      </c>
      <c r="N3452" s="7">
        <f t="shared" ref="N3452" si="3784">N3364</f>
        <v>65</v>
      </c>
    </row>
    <row r="3453" spans="1:14">
      <c r="A3453" s="7">
        <f t="shared" si="3722"/>
        <v>20011</v>
      </c>
      <c r="B3453" s="7">
        <f t="shared" ref="B3453:C3453" si="3785">B3365</f>
        <v>40000</v>
      </c>
      <c r="C3453" s="7" t="str">
        <f t="shared" si="3785"/>
        <v>装备</v>
      </c>
      <c r="D3453" s="7">
        <v>50352066</v>
      </c>
      <c r="E3453" s="7"/>
      <c r="F3453" s="7">
        <v>1</v>
      </c>
      <c r="G3453" s="8">
        <f>3*INDEX([1]equip.xml!$I:$I,MATCH(D3453,[1]equip.xml!$A:$A,0))</f>
        <v>228000</v>
      </c>
      <c r="H3453" s="7" t="str">
        <f t="shared" si="3771"/>
        <v>10_10,50_20,80_30</v>
      </c>
      <c r="I3453" s="7">
        <v>7</v>
      </c>
      <c r="J3453" s="7">
        <f t="shared" si="3771"/>
        <v>240</v>
      </c>
      <c r="K3453" s="7" t="s">
        <v>310</v>
      </c>
      <c r="L3453" s="7">
        <v>30</v>
      </c>
      <c r="M3453" s="7">
        <f>IF(INDEX([1]equip.xml!$B:$B,MATCH(D3453,[1]equip.xml!$A:$A,0))=0,0,N3453)</f>
        <v>65</v>
      </c>
      <c r="N3453" s="7">
        <f t="shared" ref="N3453" si="3786">N3365</f>
        <v>65</v>
      </c>
    </row>
    <row r="3454" spans="1:14">
      <c r="A3454" s="7">
        <f t="shared" si="3722"/>
        <v>20011</v>
      </c>
      <c r="B3454" s="7">
        <f t="shared" ref="B3454:C3454" si="3787">B3366</f>
        <v>40000</v>
      </c>
      <c r="C3454" s="7" t="str">
        <f t="shared" si="3787"/>
        <v>装备</v>
      </c>
      <c r="D3454" s="7">
        <v>50353055</v>
      </c>
      <c r="E3454" s="7"/>
      <c r="F3454" s="7">
        <v>1</v>
      </c>
      <c r="G3454" s="8">
        <f>3*INDEX([1]equip.xml!$I:$I,MATCH(D3454,[1]equip.xml!$A:$A,0))</f>
        <v>210000</v>
      </c>
      <c r="H3454" s="7" t="str">
        <f t="shared" si="3771"/>
        <v>10_10,50_20,80_30</v>
      </c>
      <c r="I3454" s="7">
        <v>7</v>
      </c>
      <c r="J3454" s="7">
        <f t="shared" si="3771"/>
        <v>240</v>
      </c>
      <c r="K3454" s="7" t="s">
        <v>310</v>
      </c>
      <c r="L3454" s="7">
        <v>30</v>
      </c>
      <c r="M3454" s="7">
        <f>IF(INDEX([1]equip.xml!$B:$B,MATCH(D3454,[1]equip.xml!$A:$A,0))=0,0,N3454)</f>
        <v>65</v>
      </c>
      <c r="N3454" s="7">
        <f t="shared" ref="N3454" si="3788">N3366</f>
        <v>65</v>
      </c>
    </row>
    <row r="3455" spans="1:14">
      <c r="A3455" s="7">
        <f t="shared" si="3722"/>
        <v>20011</v>
      </c>
      <c r="B3455" s="7">
        <f t="shared" ref="B3455:C3455" si="3789">B3367</f>
        <v>40000</v>
      </c>
      <c r="C3455" s="7" t="str">
        <f t="shared" si="3789"/>
        <v>装备</v>
      </c>
      <c r="D3455" s="7">
        <v>50353056</v>
      </c>
      <c r="E3455" s="7"/>
      <c r="F3455" s="7">
        <v>1</v>
      </c>
      <c r="G3455" s="8">
        <f>3*INDEX([1]equip.xml!$I:$I,MATCH(D3455,[1]equip.xml!$A:$A,0))</f>
        <v>228000</v>
      </c>
      <c r="H3455" s="7" t="str">
        <f t="shared" si="3771"/>
        <v>10_10,50_20,80_30</v>
      </c>
      <c r="I3455" s="7">
        <v>7</v>
      </c>
      <c r="J3455" s="7">
        <f t="shared" si="3771"/>
        <v>240</v>
      </c>
      <c r="K3455" s="7" t="s">
        <v>310</v>
      </c>
      <c r="L3455" s="7">
        <v>30</v>
      </c>
      <c r="M3455" s="7">
        <f>IF(INDEX([1]equip.xml!$B:$B,MATCH(D3455,[1]equip.xml!$A:$A,0))=0,0,N3455)</f>
        <v>0</v>
      </c>
      <c r="N3455" s="7">
        <f t="shared" ref="N3455" si="3790">N3367</f>
        <v>65</v>
      </c>
    </row>
    <row r="3456" spans="1:14">
      <c r="A3456" s="7">
        <f t="shared" si="3722"/>
        <v>20011</v>
      </c>
      <c r="B3456" s="7">
        <f t="shared" ref="B3456:C3456" si="3791">B3368</f>
        <v>40000</v>
      </c>
      <c r="C3456" s="7" t="str">
        <f t="shared" si="3791"/>
        <v>装备</v>
      </c>
      <c r="D3456" s="7">
        <v>50353065</v>
      </c>
      <c r="E3456" s="7"/>
      <c r="F3456" s="7">
        <v>1</v>
      </c>
      <c r="G3456" s="8">
        <f>3*INDEX([1]equip.xml!$I:$I,MATCH(D3456,[1]equip.xml!$A:$A,0))</f>
        <v>210000</v>
      </c>
      <c r="H3456" s="7" t="str">
        <f t="shared" si="3771"/>
        <v>10_10,50_20,80_30</v>
      </c>
      <c r="I3456" s="7">
        <v>7</v>
      </c>
      <c r="J3456" s="7">
        <f t="shared" si="3771"/>
        <v>240</v>
      </c>
      <c r="K3456" s="7" t="s">
        <v>310</v>
      </c>
      <c r="L3456" s="7">
        <v>30</v>
      </c>
      <c r="M3456" s="7">
        <f>IF(INDEX([1]equip.xml!$B:$B,MATCH(D3456,[1]equip.xml!$A:$A,0))=0,0,N3456)</f>
        <v>65</v>
      </c>
      <c r="N3456" s="7">
        <f t="shared" ref="N3456" si="3792">N3368</f>
        <v>65</v>
      </c>
    </row>
    <row r="3457" spans="1:14">
      <c r="A3457" s="7">
        <f t="shared" si="3722"/>
        <v>20011</v>
      </c>
      <c r="B3457" s="7">
        <f t="shared" ref="B3457:C3457" si="3793">B3369</f>
        <v>40000</v>
      </c>
      <c r="C3457" s="7" t="str">
        <f t="shared" si="3793"/>
        <v>装备</v>
      </c>
      <c r="D3457" s="7">
        <v>50353066</v>
      </c>
      <c r="E3457" s="7"/>
      <c r="F3457" s="7">
        <v>1</v>
      </c>
      <c r="G3457" s="8">
        <f>3*INDEX([1]equip.xml!$I:$I,MATCH(D3457,[1]equip.xml!$A:$A,0))</f>
        <v>228000</v>
      </c>
      <c r="H3457" s="7" t="str">
        <f t="shared" si="3771"/>
        <v>10_10,50_20,80_30</v>
      </c>
      <c r="I3457" s="7">
        <v>7</v>
      </c>
      <c r="J3457" s="7">
        <f t="shared" si="3771"/>
        <v>240</v>
      </c>
      <c r="K3457" s="7" t="s">
        <v>310</v>
      </c>
      <c r="L3457" s="7">
        <v>30</v>
      </c>
      <c r="M3457" s="7">
        <f>IF(INDEX([1]equip.xml!$B:$B,MATCH(D3457,[1]equip.xml!$A:$A,0))=0,0,N3457)</f>
        <v>65</v>
      </c>
      <c r="N3457" s="7">
        <f t="shared" ref="N3457" si="3794">N3369</f>
        <v>65</v>
      </c>
    </row>
    <row r="3458" spans="1:14">
      <c r="A3458" s="7">
        <f t="shared" si="3722"/>
        <v>20011</v>
      </c>
      <c r="B3458" s="7">
        <f t="shared" ref="B3458:C3458" si="3795">B3370</f>
        <v>40000</v>
      </c>
      <c r="C3458" s="7" t="str">
        <f t="shared" si="3795"/>
        <v>装备</v>
      </c>
      <c r="D3458" s="7">
        <v>50350045</v>
      </c>
      <c r="E3458" s="7"/>
      <c r="F3458" s="7">
        <v>1</v>
      </c>
      <c r="G3458" s="8">
        <f>3*INDEX([1]equip.xml!$I:$I,MATCH(D3458,[1]equip.xml!$A:$A,0))</f>
        <v>210000</v>
      </c>
      <c r="H3458" s="7" t="str">
        <f t="shared" si="3771"/>
        <v>10_10,50_20,80_30</v>
      </c>
      <c r="I3458" s="7">
        <v>7</v>
      </c>
      <c r="J3458" s="7">
        <f t="shared" si="3771"/>
        <v>240</v>
      </c>
      <c r="K3458" s="7" t="s">
        <v>310</v>
      </c>
      <c r="L3458" s="7">
        <v>30</v>
      </c>
      <c r="M3458" s="7">
        <f>IF(INDEX([1]equip.xml!$B:$B,MATCH(D3458,[1]equip.xml!$A:$A,0))=0,0,N3458)</f>
        <v>65</v>
      </c>
      <c r="N3458" s="7">
        <f t="shared" ref="N3458" si="3796">N3370</f>
        <v>65</v>
      </c>
    </row>
    <row r="3459" spans="1:14">
      <c r="A3459" s="7">
        <f t="shared" si="3722"/>
        <v>20011</v>
      </c>
      <c r="B3459" s="7">
        <f t="shared" ref="B3459:C3459" si="3797">B3371</f>
        <v>40000</v>
      </c>
      <c r="C3459" s="7" t="str">
        <f t="shared" si="3797"/>
        <v>装备</v>
      </c>
      <c r="D3459" s="7">
        <v>50350046</v>
      </c>
      <c r="E3459" s="7"/>
      <c r="F3459" s="7">
        <v>1</v>
      </c>
      <c r="G3459" s="8">
        <f>3*INDEX([1]equip.xml!$I:$I,MATCH(D3459,[1]equip.xml!$A:$A,0))</f>
        <v>228000</v>
      </c>
      <c r="H3459" s="7" t="str">
        <f t="shared" si="3771"/>
        <v>10_10,50_20,80_30</v>
      </c>
      <c r="I3459" s="7">
        <v>7</v>
      </c>
      <c r="J3459" s="7">
        <f t="shared" si="3771"/>
        <v>240</v>
      </c>
      <c r="K3459" s="7" t="s">
        <v>310</v>
      </c>
      <c r="L3459" s="7">
        <v>30</v>
      </c>
      <c r="M3459" s="7">
        <f>IF(INDEX([1]equip.xml!$B:$B,MATCH(D3459,[1]equip.xml!$A:$A,0))=0,0,N3459)</f>
        <v>65</v>
      </c>
      <c r="N3459" s="7">
        <f t="shared" ref="N3459" si="3798">N3371</f>
        <v>65</v>
      </c>
    </row>
    <row r="3460" spans="1:14">
      <c r="A3460" s="7">
        <f t="shared" si="3722"/>
        <v>20011</v>
      </c>
      <c r="B3460" s="7">
        <f t="shared" ref="B3460:C3460" si="3799">B3372</f>
        <v>40000</v>
      </c>
      <c r="C3460" s="7" t="str">
        <f t="shared" si="3799"/>
        <v>装备</v>
      </c>
      <c r="D3460" s="7">
        <v>50350075</v>
      </c>
      <c r="E3460" s="7"/>
      <c r="F3460" s="7">
        <v>1</v>
      </c>
      <c r="G3460" s="8">
        <f>3*INDEX([1]equip.xml!$I:$I,MATCH(D3460,[1]equip.xml!$A:$A,0))</f>
        <v>210000</v>
      </c>
      <c r="H3460" s="7" t="str">
        <f t="shared" si="3771"/>
        <v>10_10,50_20,80_30</v>
      </c>
      <c r="I3460" s="7">
        <v>7</v>
      </c>
      <c r="J3460" s="7">
        <f t="shared" si="3771"/>
        <v>240</v>
      </c>
      <c r="K3460" s="7" t="s">
        <v>310</v>
      </c>
      <c r="L3460" s="7">
        <v>30</v>
      </c>
      <c r="M3460" s="7">
        <f>IF(INDEX([1]equip.xml!$B:$B,MATCH(D3460,[1]equip.xml!$A:$A,0))=0,0,N3460)</f>
        <v>65</v>
      </c>
      <c r="N3460" s="7">
        <f t="shared" ref="N3460" si="3800">N3372</f>
        <v>65</v>
      </c>
    </row>
    <row r="3461" spans="1:14">
      <c r="A3461" s="7">
        <f t="shared" si="3722"/>
        <v>20011</v>
      </c>
      <c r="B3461" s="7">
        <f t="shared" ref="B3461:C3461" si="3801">B3373</f>
        <v>40000</v>
      </c>
      <c r="C3461" s="7" t="str">
        <f t="shared" si="3801"/>
        <v>装备</v>
      </c>
      <c r="D3461" s="7">
        <v>50350076</v>
      </c>
      <c r="E3461" s="7"/>
      <c r="F3461" s="7">
        <v>1</v>
      </c>
      <c r="G3461" s="8">
        <f>3*INDEX([1]equip.xml!$I:$I,MATCH(D3461,[1]equip.xml!$A:$A,0))</f>
        <v>228000</v>
      </c>
      <c r="H3461" s="7" t="str">
        <f t="shared" si="3771"/>
        <v>10_10,50_20,80_30</v>
      </c>
      <c r="I3461" s="7">
        <v>7</v>
      </c>
      <c r="J3461" s="7">
        <f t="shared" si="3771"/>
        <v>240</v>
      </c>
      <c r="K3461" s="7" t="s">
        <v>310</v>
      </c>
      <c r="L3461" s="7">
        <v>30</v>
      </c>
      <c r="M3461" s="7">
        <f>IF(INDEX([1]equip.xml!$B:$B,MATCH(D3461,[1]equip.xml!$A:$A,0))=0,0,N3461)</f>
        <v>0</v>
      </c>
      <c r="N3461" s="7">
        <f t="shared" ref="N3461" si="3802">N3373</f>
        <v>65</v>
      </c>
    </row>
    <row r="3462" spans="1:14">
      <c r="A3462" s="7">
        <f t="shared" si="3722"/>
        <v>20012</v>
      </c>
      <c r="B3462" s="8">
        <f t="shared" ref="B3462:C3462" si="3803">B3374</f>
        <v>40000</v>
      </c>
      <c r="C3462" s="8" t="str">
        <f t="shared" si="3803"/>
        <v>装备</v>
      </c>
      <c r="D3462" s="8">
        <v>40350010</v>
      </c>
      <c r="E3462" s="8"/>
      <c r="F3462" s="8">
        <v>1</v>
      </c>
      <c r="G3462" s="7">
        <f>3*INDEX([1]equip.xml!$I:$I,MATCH(D3462&amp;"",[1]equip.xml!$A:$A,0))</f>
        <v>105000</v>
      </c>
      <c r="H3462" s="8" t="str">
        <f t="shared" ref="H3462:J3477" si="3804">H3374</f>
        <v>10_10,50_20,80_30</v>
      </c>
      <c r="I3462" s="8">
        <v>6</v>
      </c>
      <c r="J3462" s="8">
        <f t="shared" si="3804"/>
        <v>50</v>
      </c>
      <c r="K3462" s="7" t="s">
        <v>310</v>
      </c>
      <c r="L3462" s="8">
        <v>32</v>
      </c>
      <c r="M3462" s="7">
        <f>IF(INDEX([1]equip.xml!$B:$B,MATCH(D3462&amp;"",[1]equip.xml!$A:$A,0))=0,0,N3462)</f>
        <v>130</v>
      </c>
      <c r="N3462" s="8">
        <f t="shared" ref="N3462" si="3805">N3374</f>
        <v>130</v>
      </c>
    </row>
    <row r="3463" spans="1:14">
      <c r="A3463" s="7">
        <f t="shared" si="3722"/>
        <v>20012</v>
      </c>
      <c r="B3463" s="8">
        <f t="shared" ref="B3463:C3463" si="3806">B3375</f>
        <v>40000</v>
      </c>
      <c r="C3463" s="8" t="str">
        <f t="shared" si="3806"/>
        <v>装备</v>
      </c>
      <c r="D3463" s="8">
        <v>40350020</v>
      </c>
      <c r="E3463" s="8"/>
      <c r="F3463" s="8">
        <v>1</v>
      </c>
      <c r="G3463" s="7">
        <f>3*INDEX([1]equip.xml!$I:$I,MATCH(D3463&amp;"",[1]equip.xml!$A:$A,0))</f>
        <v>105000</v>
      </c>
      <c r="H3463" s="8" t="str">
        <f t="shared" si="3804"/>
        <v>10_10,50_20,80_30</v>
      </c>
      <c r="I3463" s="8">
        <v>6</v>
      </c>
      <c r="J3463" s="8">
        <f t="shared" si="3804"/>
        <v>50</v>
      </c>
      <c r="K3463" s="7" t="s">
        <v>310</v>
      </c>
      <c r="L3463" s="8">
        <v>32</v>
      </c>
      <c r="M3463" s="7">
        <f>IF(INDEX([1]equip.xml!$B:$B,MATCH(D3463&amp;"",[1]equip.xml!$A:$A,0))=0,0,N3463)</f>
        <v>130</v>
      </c>
      <c r="N3463" s="8">
        <f t="shared" ref="N3463" si="3807">N3375</f>
        <v>130</v>
      </c>
    </row>
    <row r="3464" spans="1:14">
      <c r="A3464" s="7">
        <f t="shared" si="3722"/>
        <v>20012</v>
      </c>
      <c r="B3464" s="8">
        <f t="shared" ref="B3464:C3464" si="3808">B3376</f>
        <v>40000</v>
      </c>
      <c r="C3464" s="8" t="str">
        <f t="shared" si="3808"/>
        <v>装备</v>
      </c>
      <c r="D3464" s="8">
        <v>40350030</v>
      </c>
      <c r="E3464" s="8"/>
      <c r="F3464" s="8">
        <v>1</v>
      </c>
      <c r="G3464" s="7">
        <f>3*INDEX([1]equip.xml!$I:$I,MATCH(D3464&amp;"",[1]equip.xml!$A:$A,0))</f>
        <v>105000</v>
      </c>
      <c r="H3464" s="8" t="str">
        <f t="shared" si="3804"/>
        <v>10_10,50_20,80_30</v>
      </c>
      <c r="I3464" s="8">
        <v>6</v>
      </c>
      <c r="J3464" s="8">
        <f t="shared" si="3804"/>
        <v>50</v>
      </c>
      <c r="K3464" s="7" t="s">
        <v>310</v>
      </c>
      <c r="L3464" s="8">
        <v>32</v>
      </c>
      <c r="M3464" s="7">
        <f>IF(INDEX([1]equip.xml!$B:$B,MATCH(D3464&amp;"",[1]equip.xml!$A:$A,0))=0,0,N3464)</f>
        <v>130</v>
      </c>
      <c r="N3464" s="8">
        <f t="shared" ref="N3464" si="3809">N3376</f>
        <v>130</v>
      </c>
    </row>
    <row r="3465" spans="1:14">
      <c r="A3465" s="7">
        <f t="shared" si="3722"/>
        <v>20012</v>
      </c>
      <c r="B3465" s="8">
        <f t="shared" ref="B3465:C3465" si="3810">B3377</f>
        <v>40000</v>
      </c>
      <c r="C3465" s="8" t="str">
        <f t="shared" si="3810"/>
        <v>装备</v>
      </c>
      <c r="D3465" s="8">
        <v>40350080</v>
      </c>
      <c r="E3465" s="8"/>
      <c r="F3465" s="8">
        <v>1</v>
      </c>
      <c r="G3465" s="7">
        <f>3*INDEX([1]equip.xml!$I:$I,MATCH(D3465&amp;"",[1]equip.xml!$A:$A,0))</f>
        <v>105000</v>
      </c>
      <c r="H3465" s="8" t="str">
        <f t="shared" si="3804"/>
        <v>10_10,50_20,80_30</v>
      </c>
      <c r="I3465" s="8">
        <v>6</v>
      </c>
      <c r="J3465" s="8">
        <f t="shared" si="3804"/>
        <v>50</v>
      </c>
      <c r="K3465" s="7" t="s">
        <v>310</v>
      </c>
      <c r="L3465" s="8">
        <v>32</v>
      </c>
      <c r="M3465" s="7">
        <f>IF(INDEX([1]equip.xml!$B:$B,MATCH(D3465&amp;"",[1]equip.xml!$A:$A,0))=0,0,N3465)</f>
        <v>130</v>
      </c>
      <c r="N3465" s="8">
        <f t="shared" ref="N3465" si="3811">N3377</f>
        <v>130</v>
      </c>
    </row>
    <row r="3466" spans="1:14">
      <c r="A3466" s="7">
        <f t="shared" si="3722"/>
        <v>20012</v>
      </c>
      <c r="B3466" s="8">
        <f t="shared" ref="B3466:C3466" si="3812">B3378</f>
        <v>40000</v>
      </c>
      <c r="C3466" s="8" t="str">
        <f t="shared" si="3812"/>
        <v>装备</v>
      </c>
      <c r="D3466" s="8">
        <v>40350090</v>
      </c>
      <c r="E3466" s="8"/>
      <c r="F3466" s="8">
        <v>1</v>
      </c>
      <c r="G3466" s="7">
        <f>3*INDEX([1]equip.xml!$I:$I,MATCH(D3466&amp;"",[1]equip.xml!$A:$A,0))</f>
        <v>105000</v>
      </c>
      <c r="H3466" s="8" t="str">
        <f t="shared" si="3804"/>
        <v>10_10,50_20,80_30</v>
      </c>
      <c r="I3466" s="8">
        <v>6</v>
      </c>
      <c r="J3466" s="8">
        <f t="shared" si="3804"/>
        <v>50</v>
      </c>
      <c r="K3466" s="7" t="s">
        <v>310</v>
      </c>
      <c r="L3466" s="8">
        <v>32</v>
      </c>
      <c r="M3466" s="7">
        <f>IF(INDEX([1]equip.xml!$B:$B,MATCH(D3466&amp;"",[1]equip.xml!$A:$A,0))=0,0,N3466)</f>
        <v>130</v>
      </c>
      <c r="N3466" s="8">
        <f t="shared" ref="N3466" si="3813">N3378</f>
        <v>130</v>
      </c>
    </row>
    <row r="3467" spans="1:14">
      <c r="A3467" s="7">
        <f t="shared" si="3722"/>
        <v>20012</v>
      </c>
      <c r="B3467" s="8">
        <f t="shared" ref="B3467:C3467" si="3814">B3379</f>
        <v>40000</v>
      </c>
      <c r="C3467" s="8" t="str">
        <f t="shared" si="3814"/>
        <v>装备</v>
      </c>
      <c r="D3467" s="8">
        <v>40350100</v>
      </c>
      <c r="E3467" s="8"/>
      <c r="F3467" s="8">
        <v>1</v>
      </c>
      <c r="G3467" s="7">
        <f>3*INDEX([1]equip.xml!$I:$I,MATCH(D3467&amp;"",[1]equip.xml!$A:$A,0))</f>
        <v>105000</v>
      </c>
      <c r="H3467" s="8" t="str">
        <f t="shared" si="3804"/>
        <v>10_10,50_20,80_30</v>
      </c>
      <c r="I3467" s="8">
        <v>6</v>
      </c>
      <c r="J3467" s="8">
        <f t="shared" si="3804"/>
        <v>50</v>
      </c>
      <c r="K3467" s="7" t="s">
        <v>310</v>
      </c>
      <c r="L3467" s="8">
        <v>32</v>
      </c>
      <c r="M3467" s="7">
        <f>IF(INDEX([1]equip.xml!$B:$B,MATCH(D3467&amp;"",[1]equip.xml!$A:$A,0))=0,0,N3467)</f>
        <v>130</v>
      </c>
      <c r="N3467" s="8">
        <f t="shared" ref="N3467" si="3815">N3379</f>
        <v>130</v>
      </c>
    </row>
    <row r="3468" spans="1:14">
      <c r="A3468" s="7">
        <f t="shared" si="3722"/>
        <v>20012</v>
      </c>
      <c r="B3468" s="8">
        <f t="shared" ref="B3468:C3468" si="3816">B3380</f>
        <v>40000</v>
      </c>
      <c r="C3468" s="8" t="str">
        <f t="shared" si="3816"/>
        <v>装备</v>
      </c>
      <c r="D3468" s="8">
        <v>40351050</v>
      </c>
      <c r="E3468" s="8"/>
      <c r="F3468" s="8">
        <v>1</v>
      </c>
      <c r="G3468" s="7">
        <f>3*INDEX([1]equip.xml!$I:$I,MATCH(D3468&amp;"",[1]equip.xml!$A:$A,0))</f>
        <v>105000</v>
      </c>
      <c r="H3468" s="8" t="str">
        <f t="shared" si="3804"/>
        <v>10_10,50_20,80_30</v>
      </c>
      <c r="I3468" s="8">
        <v>6</v>
      </c>
      <c r="J3468" s="8">
        <f t="shared" si="3804"/>
        <v>50</v>
      </c>
      <c r="K3468" s="7" t="s">
        <v>310</v>
      </c>
      <c r="L3468" s="8">
        <v>32</v>
      </c>
      <c r="M3468" s="7">
        <f>IF(INDEX([1]equip.xml!$B:$B,MATCH(D3468&amp;"",[1]equip.xml!$A:$A,0))=0,0,N3468)</f>
        <v>130</v>
      </c>
      <c r="N3468" s="8">
        <f t="shared" ref="N3468" si="3817">N3380</f>
        <v>130</v>
      </c>
    </row>
    <row r="3469" spans="1:14">
      <c r="A3469" s="7">
        <f t="shared" si="3722"/>
        <v>20012</v>
      </c>
      <c r="B3469" s="8">
        <f t="shared" ref="B3469:C3469" si="3818">B3381</f>
        <v>40000</v>
      </c>
      <c r="C3469" s="8" t="str">
        <f t="shared" si="3818"/>
        <v>装备</v>
      </c>
      <c r="D3469" s="8">
        <v>40351051</v>
      </c>
      <c r="E3469" s="8"/>
      <c r="F3469" s="8">
        <v>1</v>
      </c>
      <c r="G3469" s="7">
        <f>3*INDEX([1]equip.xml!$I:$I,MATCH(D3469&amp;"",[1]equip.xml!$A:$A,0))</f>
        <v>114000</v>
      </c>
      <c r="H3469" s="8" t="str">
        <f t="shared" si="3804"/>
        <v>10_10,50_20,80_30</v>
      </c>
      <c r="I3469" s="8">
        <v>6</v>
      </c>
      <c r="J3469" s="8">
        <f t="shared" si="3804"/>
        <v>50</v>
      </c>
      <c r="K3469" s="7" t="s">
        <v>310</v>
      </c>
      <c r="L3469" s="8">
        <v>32</v>
      </c>
      <c r="M3469" s="7">
        <f>IF(INDEX([1]equip.xml!$B:$B,MATCH(D3469&amp;"",[1]equip.xml!$A:$A,0))=0,0,N3469)</f>
        <v>0</v>
      </c>
      <c r="N3469" s="8">
        <f t="shared" ref="N3469" si="3819">N3381</f>
        <v>130</v>
      </c>
    </row>
    <row r="3470" spans="1:14">
      <c r="A3470" s="7">
        <f t="shared" si="3722"/>
        <v>20012</v>
      </c>
      <c r="B3470" s="8">
        <f t="shared" ref="B3470:C3470" si="3820">B3382</f>
        <v>40000</v>
      </c>
      <c r="C3470" s="8" t="str">
        <f t="shared" si="3820"/>
        <v>装备</v>
      </c>
      <c r="D3470" s="8">
        <v>40351060</v>
      </c>
      <c r="E3470" s="8"/>
      <c r="F3470" s="8">
        <v>1</v>
      </c>
      <c r="G3470" s="7">
        <f>3*INDEX([1]equip.xml!$I:$I,MATCH(D3470&amp;"",[1]equip.xml!$A:$A,0))</f>
        <v>105000</v>
      </c>
      <c r="H3470" s="8" t="str">
        <f t="shared" si="3804"/>
        <v>10_10,50_20,80_30</v>
      </c>
      <c r="I3470" s="8">
        <v>6</v>
      </c>
      <c r="J3470" s="8">
        <f t="shared" si="3804"/>
        <v>50</v>
      </c>
      <c r="K3470" s="7" t="s">
        <v>310</v>
      </c>
      <c r="L3470" s="8">
        <v>32</v>
      </c>
      <c r="M3470" s="7">
        <f>IF(INDEX([1]equip.xml!$B:$B,MATCH(D3470&amp;"",[1]equip.xml!$A:$A,0))=0,0,N3470)</f>
        <v>130</v>
      </c>
      <c r="N3470" s="8">
        <f t="shared" ref="N3470" si="3821">N3382</f>
        <v>130</v>
      </c>
    </row>
    <row r="3471" spans="1:14">
      <c r="A3471" s="7">
        <f t="shared" si="3722"/>
        <v>20012</v>
      </c>
      <c r="B3471" s="8">
        <f t="shared" ref="B3471:C3471" si="3822">B3383</f>
        <v>40000</v>
      </c>
      <c r="C3471" s="8" t="str">
        <f t="shared" si="3822"/>
        <v>装备</v>
      </c>
      <c r="D3471" s="8">
        <v>40351061</v>
      </c>
      <c r="E3471" s="8"/>
      <c r="F3471" s="8">
        <v>1</v>
      </c>
      <c r="G3471" s="7">
        <f>3*INDEX([1]equip.xml!$I:$I,MATCH(D3471&amp;"",[1]equip.xml!$A:$A,0))</f>
        <v>114000</v>
      </c>
      <c r="H3471" s="8" t="str">
        <f t="shared" si="3804"/>
        <v>10_10,50_20,80_30</v>
      </c>
      <c r="I3471" s="8">
        <v>6</v>
      </c>
      <c r="J3471" s="8">
        <f t="shared" si="3804"/>
        <v>50</v>
      </c>
      <c r="K3471" s="7" t="s">
        <v>310</v>
      </c>
      <c r="L3471" s="8">
        <v>32</v>
      </c>
      <c r="M3471" s="7">
        <f>IF(INDEX([1]equip.xml!$B:$B,MATCH(D3471&amp;"",[1]equip.xml!$A:$A,0))=0,0,N3471)</f>
        <v>130</v>
      </c>
      <c r="N3471" s="8">
        <f t="shared" ref="N3471" si="3823">N3383</f>
        <v>130</v>
      </c>
    </row>
    <row r="3472" spans="1:14">
      <c r="A3472" s="7">
        <f t="shared" si="3722"/>
        <v>20012</v>
      </c>
      <c r="B3472" s="8">
        <f t="shared" ref="B3472:C3472" si="3824">B3384</f>
        <v>40000</v>
      </c>
      <c r="C3472" s="8" t="str">
        <f t="shared" si="3824"/>
        <v>装备</v>
      </c>
      <c r="D3472" s="8">
        <v>40352050</v>
      </c>
      <c r="E3472" s="8"/>
      <c r="F3472" s="8">
        <v>1</v>
      </c>
      <c r="G3472" s="7">
        <f>3*INDEX([1]equip.xml!$I:$I,MATCH(D3472&amp;"",[1]equip.xml!$A:$A,0))</f>
        <v>105000</v>
      </c>
      <c r="H3472" s="8" t="str">
        <f t="shared" si="3804"/>
        <v>10_10,50_20,80_30</v>
      </c>
      <c r="I3472" s="8">
        <v>6</v>
      </c>
      <c r="J3472" s="8">
        <f t="shared" si="3804"/>
        <v>50</v>
      </c>
      <c r="K3472" s="7" t="s">
        <v>310</v>
      </c>
      <c r="L3472" s="8">
        <v>32</v>
      </c>
      <c r="M3472" s="7">
        <f>IF(INDEX([1]equip.xml!$B:$B,MATCH(D3472&amp;"",[1]equip.xml!$A:$A,0))=0,0,N3472)</f>
        <v>130</v>
      </c>
      <c r="N3472" s="8">
        <f t="shared" ref="N3472" si="3825">N3384</f>
        <v>130</v>
      </c>
    </row>
    <row r="3473" spans="1:14">
      <c r="A3473" s="7">
        <f t="shared" si="3722"/>
        <v>20012</v>
      </c>
      <c r="B3473" s="8">
        <f t="shared" ref="B3473:C3473" si="3826">B3385</f>
        <v>40000</v>
      </c>
      <c r="C3473" s="8" t="str">
        <f t="shared" si="3826"/>
        <v>装备</v>
      </c>
      <c r="D3473" s="8">
        <v>40352051</v>
      </c>
      <c r="E3473" s="8"/>
      <c r="F3473" s="8">
        <v>1</v>
      </c>
      <c r="G3473" s="7">
        <f>3*INDEX([1]equip.xml!$I:$I,MATCH(D3473&amp;"",[1]equip.xml!$A:$A,0))</f>
        <v>114000</v>
      </c>
      <c r="H3473" s="8" t="str">
        <f t="shared" si="3804"/>
        <v>10_10,50_20,80_30</v>
      </c>
      <c r="I3473" s="8">
        <v>6</v>
      </c>
      <c r="J3473" s="8">
        <f t="shared" si="3804"/>
        <v>50</v>
      </c>
      <c r="K3473" s="7" t="s">
        <v>310</v>
      </c>
      <c r="L3473" s="8">
        <v>32</v>
      </c>
      <c r="M3473" s="7">
        <f>IF(INDEX([1]equip.xml!$B:$B,MATCH(D3473&amp;"",[1]equip.xml!$A:$A,0))=0,0,N3473)</f>
        <v>0</v>
      </c>
      <c r="N3473" s="8">
        <f t="shared" ref="N3473" si="3827">N3385</f>
        <v>130</v>
      </c>
    </row>
    <row r="3474" spans="1:14">
      <c r="A3474" s="7">
        <f t="shared" si="3722"/>
        <v>20012</v>
      </c>
      <c r="B3474" s="8">
        <f t="shared" ref="B3474:C3474" si="3828">B3386</f>
        <v>40000</v>
      </c>
      <c r="C3474" s="8" t="str">
        <f t="shared" si="3828"/>
        <v>装备</v>
      </c>
      <c r="D3474" s="8">
        <v>40352060</v>
      </c>
      <c r="E3474" s="8"/>
      <c r="F3474" s="8">
        <v>1</v>
      </c>
      <c r="G3474" s="7">
        <f>3*INDEX([1]equip.xml!$I:$I,MATCH(D3474&amp;"",[1]equip.xml!$A:$A,0))</f>
        <v>105000</v>
      </c>
      <c r="H3474" s="8" t="str">
        <f t="shared" si="3804"/>
        <v>10_10,50_20,80_30</v>
      </c>
      <c r="I3474" s="8">
        <v>6</v>
      </c>
      <c r="J3474" s="8">
        <f t="shared" si="3804"/>
        <v>50</v>
      </c>
      <c r="K3474" s="7" t="s">
        <v>310</v>
      </c>
      <c r="L3474" s="8">
        <v>32</v>
      </c>
      <c r="M3474" s="7">
        <f>IF(INDEX([1]equip.xml!$B:$B,MATCH(D3474&amp;"",[1]equip.xml!$A:$A,0))=0,0,N3474)</f>
        <v>130</v>
      </c>
      <c r="N3474" s="8">
        <f t="shared" ref="N3474" si="3829">N3386</f>
        <v>130</v>
      </c>
    </row>
    <row r="3475" spans="1:14">
      <c r="A3475" s="7">
        <f t="shared" si="3722"/>
        <v>20012</v>
      </c>
      <c r="B3475" s="8">
        <f t="shared" ref="B3475:C3475" si="3830">B3387</f>
        <v>40000</v>
      </c>
      <c r="C3475" s="8" t="str">
        <f t="shared" si="3830"/>
        <v>装备</v>
      </c>
      <c r="D3475" s="8">
        <v>40352061</v>
      </c>
      <c r="E3475" s="8"/>
      <c r="F3475" s="8">
        <v>1</v>
      </c>
      <c r="G3475" s="7">
        <f>3*INDEX([1]equip.xml!$I:$I,MATCH(D3475&amp;"",[1]equip.xml!$A:$A,0))</f>
        <v>114000</v>
      </c>
      <c r="H3475" s="8" t="str">
        <f t="shared" si="3804"/>
        <v>10_10,50_20,80_30</v>
      </c>
      <c r="I3475" s="8">
        <v>6</v>
      </c>
      <c r="J3475" s="8">
        <f t="shared" si="3804"/>
        <v>50</v>
      </c>
      <c r="K3475" s="7" t="s">
        <v>310</v>
      </c>
      <c r="L3475" s="8">
        <v>32</v>
      </c>
      <c r="M3475" s="7">
        <f>IF(INDEX([1]equip.xml!$B:$B,MATCH(D3475&amp;"",[1]equip.xml!$A:$A,0))=0,0,N3475)</f>
        <v>130</v>
      </c>
      <c r="N3475" s="8">
        <f t="shared" ref="N3475" si="3831">N3387</f>
        <v>130</v>
      </c>
    </row>
    <row r="3476" spans="1:14">
      <c r="A3476" s="7">
        <f t="shared" si="3722"/>
        <v>20012</v>
      </c>
      <c r="B3476" s="8">
        <f t="shared" ref="B3476:C3476" si="3832">B3388</f>
        <v>40000</v>
      </c>
      <c r="C3476" s="8" t="str">
        <f t="shared" si="3832"/>
        <v>装备</v>
      </c>
      <c r="D3476" s="8">
        <v>40353050</v>
      </c>
      <c r="E3476" s="8"/>
      <c r="F3476" s="8">
        <v>1</v>
      </c>
      <c r="G3476" s="7">
        <f>3*INDEX([1]equip.xml!$I:$I,MATCH(D3476&amp;"",[1]equip.xml!$A:$A,0))</f>
        <v>105000</v>
      </c>
      <c r="H3476" s="8" t="str">
        <f t="shared" si="3804"/>
        <v>10_10,50_20,80_30</v>
      </c>
      <c r="I3476" s="8">
        <v>6</v>
      </c>
      <c r="J3476" s="8">
        <f t="shared" si="3804"/>
        <v>50</v>
      </c>
      <c r="K3476" s="7" t="s">
        <v>310</v>
      </c>
      <c r="L3476" s="8">
        <v>32</v>
      </c>
      <c r="M3476" s="7">
        <f>IF(INDEX([1]equip.xml!$B:$B,MATCH(D3476&amp;"",[1]equip.xml!$A:$A,0))=0,0,N3476)</f>
        <v>130</v>
      </c>
      <c r="N3476" s="8">
        <f t="shared" ref="N3476" si="3833">N3388</f>
        <v>130</v>
      </c>
    </row>
    <row r="3477" spans="1:14">
      <c r="A3477" s="7">
        <f t="shared" si="3722"/>
        <v>20012</v>
      </c>
      <c r="B3477" s="8">
        <f t="shared" ref="B3477:C3477" si="3834">B3389</f>
        <v>40000</v>
      </c>
      <c r="C3477" s="8" t="str">
        <f t="shared" si="3834"/>
        <v>装备</v>
      </c>
      <c r="D3477" s="8">
        <v>40353051</v>
      </c>
      <c r="E3477" s="8"/>
      <c r="F3477" s="8">
        <v>1</v>
      </c>
      <c r="G3477" s="7">
        <f>3*INDEX([1]equip.xml!$I:$I,MATCH(D3477&amp;"",[1]equip.xml!$A:$A,0))</f>
        <v>114000</v>
      </c>
      <c r="H3477" s="8" t="str">
        <f t="shared" si="3804"/>
        <v>10_10,50_20,80_30</v>
      </c>
      <c r="I3477" s="8">
        <v>6</v>
      </c>
      <c r="J3477" s="8">
        <f t="shared" si="3804"/>
        <v>50</v>
      </c>
      <c r="K3477" s="7" t="s">
        <v>310</v>
      </c>
      <c r="L3477" s="8">
        <v>32</v>
      </c>
      <c r="M3477" s="7">
        <f>IF(INDEX([1]equip.xml!$B:$B,MATCH(D3477&amp;"",[1]equip.xml!$A:$A,0))=0,0,N3477)</f>
        <v>0</v>
      </c>
      <c r="N3477" s="8">
        <f t="shared" ref="N3477" si="3835">N3389</f>
        <v>130</v>
      </c>
    </row>
    <row r="3478" spans="1:14">
      <c r="A3478" s="7">
        <f t="shared" si="3722"/>
        <v>20012</v>
      </c>
      <c r="B3478" s="8">
        <f t="shared" ref="B3478:C3478" si="3836">B3390</f>
        <v>40000</v>
      </c>
      <c r="C3478" s="8" t="str">
        <f t="shared" si="3836"/>
        <v>装备</v>
      </c>
      <c r="D3478" s="8">
        <v>40353060</v>
      </c>
      <c r="E3478" s="8"/>
      <c r="F3478" s="8">
        <v>1</v>
      </c>
      <c r="G3478" s="7">
        <f>3*INDEX([1]equip.xml!$I:$I,MATCH(D3478&amp;"",[1]equip.xml!$A:$A,0))</f>
        <v>105000</v>
      </c>
      <c r="H3478" s="8" t="str">
        <f t="shared" ref="H3478:J3493" si="3837">H3390</f>
        <v>10_10,50_20,80_30</v>
      </c>
      <c r="I3478" s="8">
        <v>6</v>
      </c>
      <c r="J3478" s="8">
        <f t="shared" si="3837"/>
        <v>50</v>
      </c>
      <c r="K3478" s="7" t="s">
        <v>310</v>
      </c>
      <c r="L3478" s="8">
        <v>32</v>
      </c>
      <c r="M3478" s="7">
        <f>IF(INDEX([1]equip.xml!$B:$B,MATCH(D3478&amp;"",[1]equip.xml!$A:$A,0))=0,0,N3478)</f>
        <v>130</v>
      </c>
      <c r="N3478" s="8">
        <f t="shared" ref="N3478" si="3838">N3390</f>
        <v>130</v>
      </c>
    </row>
    <row r="3479" spans="1:14">
      <c r="A3479" s="7">
        <f t="shared" si="3722"/>
        <v>20012</v>
      </c>
      <c r="B3479" s="8">
        <f t="shared" ref="B3479:C3479" si="3839">B3391</f>
        <v>40000</v>
      </c>
      <c r="C3479" s="8" t="str">
        <f t="shared" si="3839"/>
        <v>装备</v>
      </c>
      <c r="D3479" s="8">
        <v>40353061</v>
      </c>
      <c r="E3479" s="8"/>
      <c r="F3479" s="8">
        <v>1</v>
      </c>
      <c r="G3479" s="7">
        <f>3*INDEX([1]equip.xml!$I:$I,MATCH(D3479&amp;"",[1]equip.xml!$A:$A,0))</f>
        <v>114000</v>
      </c>
      <c r="H3479" s="8" t="str">
        <f t="shared" si="3837"/>
        <v>10_10,50_20,80_30</v>
      </c>
      <c r="I3479" s="8">
        <v>6</v>
      </c>
      <c r="J3479" s="8">
        <f t="shared" si="3837"/>
        <v>50</v>
      </c>
      <c r="K3479" s="7" t="s">
        <v>310</v>
      </c>
      <c r="L3479" s="8">
        <v>32</v>
      </c>
      <c r="M3479" s="7">
        <f>IF(INDEX([1]equip.xml!$B:$B,MATCH(D3479&amp;"",[1]equip.xml!$A:$A,0))=0,0,N3479)</f>
        <v>130</v>
      </c>
      <c r="N3479" s="8">
        <f t="shared" ref="N3479" si="3840">N3391</f>
        <v>130</v>
      </c>
    </row>
    <row r="3480" spans="1:14">
      <c r="A3480" s="7">
        <f t="shared" si="3722"/>
        <v>20012</v>
      </c>
      <c r="B3480" s="8">
        <f t="shared" ref="B3480:C3480" si="3841">B3392</f>
        <v>40000</v>
      </c>
      <c r="C3480" s="8" t="str">
        <f t="shared" si="3841"/>
        <v>装备</v>
      </c>
      <c r="D3480" s="8">
        <v>40350040</v>
      </c>
      <c r="E3480" s="8"/>
      <c r="F3480" s="8">
        <v>1</v>
      </c>
      <c r="G3480" s="7">
        <f>3*INDEX([1]equip.xml!$I:$I,MATCH(D3480&amp;"",[1]equip.xml!$A:$A,0))</f>
        <v>105000</v>
      </c>
      <c r="H3480" s="8" t="str">
        <f t="shared" si="3837"/>
        <v>10_10,50_20,80_30</v>
      </c>
      <c r="I3480" s="8">
        <v>6</v>
      </c>
      <c r="J3480" s="8">
        <f t="shared" si="3837"/>
        <v>50</v>
      </c>
      <c r="K3480" s="7" t="s">
        <v>310</v>
      </c>
      <c r="L3480" s="8">
        <v>32</v>
      </c>
      <c r="M3480" s="7">
        <f>IF(INDEX([1]equip.xml!$B:$B,MATCH(D3480&amp;"",[1]equip.xml!$A:$A,0))=0,0,N3480)</f>
        <v>130</v>
      </c>
      <c r="N3480" s="8">
        <f t="shared" ref="N3480" si="3842">N3392</f>
        <v>130</v>
      </c>
    </row>
    <row r="3481" spans="1:14">
      <c r="A3481" s="7">
        <f t="shared" si="3722"/>
        <v>20012</v>
      </c>
      <c r="B3481" s="8">
        <f t="shared" ref="B3481:C3481" si="3843">B3393</f>
        <v>40000</v>
      </c>
      <c r="C3481" s="8" t="str">
        <f t="shared" si="3843"/>
        <v>装备</v>
      </c>
      <c r="D3481" s="8">
        <v>40350041</v>
      </c>
      <c r="E3481" s="8"/>
      <c r="F3481" s="8">
        <v>1</v>
      </c>
      <c r="G3481" s="7">
        <f>3*INDEX([1]equip.xml!$I:$I,MATCH(D3481&amp;"",[1]equip.xml!$A:$A,0))</f>
        <v>114000</v>
      </c>
      <c r="H3481" s="8" t="str">
        <f t="shared" si="3837"/>
        <v>10_10,50_20,80_30</v>
      </c>
      <c r="I3481" s="8">
        <v>6</v>
      </c>
      <c r="J3481" s="8">
        <f t="shared" si="3837"/>
        <v>50</v>
      </c>
      <c r="K3481" s="7" t="s">
        <v>310</v>
      </c>
      <c r="L3481" s="8">
        <v>32</v>
      </c>
      <c r="M3481" s="7">
        <f>IF(INDEX([1]equip.xml!$B:$B,MATCH(D3481&amp;"",[1]equip.xml!$A:$A,0))=0,0,N3481)</f>
        <v>130</v>
      </c>
      <c r="N3481" s="8">
        <f t="shared" ref="N3481" si="3844">N3393</f>
        <v>130</v>
      </c>
    </row>
    <row r="3482" spans="1:14">
      <c r="A3482" s="7">
        <f t="shared" si="3722"/>
        <v>20012</v>
      </c>
      <c r="B3482" s="8">
        <f t="shared" ref="B3482:C3482" si="3845">B3394</f>
        <v>40000</v>
      </c>
      <c r="C3482" s="8" t="str">
        <f t="shared" si="3845"/>
        <v>装备</v>
      </c>
      <c r="D3482" s="8">
        <v>40350070</v>
      </c>
      <c r="E3482" s="8"/>
      <c r="F3482" s="8">
        <v>1</v>
      </c>
      <c r="G3482" s="7">
        <f>3*INDEX([1]equip.xml!$I:$I,MATCH(D3482&amp;"",[1]equip.xml!$A:$A,0))</f>
        <v>105000</v>
      </c>
      <c r="H3482" s="8" t="str">
        <f t="shared" si="3837"/>
        <v>10_10,50_20,80_30</v>
      </c>
      <c r="I3482" s="8">
        <v>6</v>
      </c>
      <c r="J3482" s="8">
        <f t="shared" si="3837"/>
        <v>50</v>
      </c>
      <c r="K3482" s="7" t="s">
        <v>310</v>
      </c>
      <c r="L3482" s="8">
        <v>32</v>
      </c>
      <c r="M3482" s="7">
        <f>IF(INDEX([1]equip.xml!$B:$B,MATCH(D3482&amp;"",[1]equip.xml!$A:$A,0))=0,0,N3482)</f>
        <v>130</v>
      </c>
      <c r="N3482" s="8">
        <f t="shared" ref="N3482" si="3846">N3394</f>
        <v>130</v>
      </c>
    </row>
    <row r="3483" spans="1:14">
      <c r="A3483" s="7">
        <f t="shared" si="3722"/>
        <v>20012</v>
      </c>
      <c r="B3483" s="8">
        <f t="shared" ref="B3483:C3483" si="3847">B3395</f>
        <v>40000</v>
      </c>
      <c r="C3483" s="8" t="str">
        <f t="shared" si="3847"/>
        <v>装备</v>
      </c>
      <c r="D3483" s="8">
        <v>40350071</v>
      </c>
      <c r="E3483" s="8"/>
      <c r="F3483" s="8">
        <v>1</v>
      </c>
      <c r="G3483" s="7">
        <f>3*INDEX([1]equip.xml!$I:$I,MATCH(D3483&amp;"",[1]equip.xml!$A:$A,0))</f>
        <v>114000</v>
      </c>
      <c r="H3483" s="8" t="str">
        <f t="shared" si="3837"/>
        <v>10_10,50_20,80_30</v>
      </c>
      <c r="I3483" s="8">
        <v>6</v>
      </c>
      <c r="J3483" s="8">
        <f t="shared" si="3837"/>
        <v>50</v>
      </c>
      <c r="K3483" s="7" t="s">
        <v>310</v>
      </c>
      <c r="L3483" s="8">
        <v>32</v>
      </c>
      <c r="M3483" s="7">
        <f>IF(INDEX([1]equip.xml!$B:$B,MATCH(D3483&amp;"",[1]equip.xml!$A:$A,0))=0,0,N3483)</f>
        <v>0</v>
      </c>
      <c r="N3483" s="8">
        <f t="shared" ref="N3483" si="3848">N3395</f>
        <v>130</v>
      </c>
    </row>
    <row r="3484" spans="1:14">
      <c r="A3484" s="7">
        <f t="shared" si="3722"/>
        <v>20012</v>
      </c>
      <c r="B3484" s="8">
        <f t="shared" ref="B3484:C3484" si="3849">B3396</f>
        <v>40000</v>
      </c>
      <c r="C3484" s="8" t="str">
        <f t="shared" si="3849"/>
        <v>装备</v>
      </c>
      <c r="D3484" s="8">
        <v>40400010</v>
      </c>
      <c r="E3484" s="8"/>
      <c r="F3484" s="8">
        <v>1</v>
      </c>
      <c r="G3484" s="7">
        <f>3*INDEX([1]equip.xml!$I:$I,MATCH(D3484&amp;"",[1]equip.xml!$A:$A,0))</f>
        <v>120000</v>
      </c>
      <c r="H3484" s="8" t="str">
        <f t="shared" si="3837"/>
        <v>10_10,50_20,80_30</v>
      </c>
      <c r="I3484" s="8">
        <v>6</v>
      </c>
      <c r="J3484" s="8">
        <f t="shared" si="3837"/>
        <v>50</v>
      </c>
      <c r="K3484" s="7" t="s">
        <v>310</v>
      </c>
      <c r="L3484" s="8">
        <v>32</v>
      </c>
      <c r="M3484" s="7">
        <f>IF(INDEX([1]equip.xml!$B:$B,MATCH(D3484&amp;"",[1]equip.xml!$A:$A,0))=0,0,N3484)</f>
        <v>65</v>
      </c>
      <c r="N3484" s="8">
        <f t="shared" ref="N3484" si="3850">N3396</f>
        <v>65</v>
      </c>
    </row>
    <row r="3485" spans="1:14">
      <c r="A3485" s="7">
        <f t="shared" si="3722"/>
        <v>20012</v>
      </c>
      <c r="B3485" s="8">
        <f t="shared" ref="B3485:C3485" si="3851">B3397</f>
        <v>40000</v>
      </c>
      <c r="C3485" s="8" t="str">
        <f t="shared" si="3851"/>
        <v>装备</v>
      </c>
      <c r="D3485" s="8">
        <v>40400020</v>
      </c>
      <c r="E3485" s="8"/>
      <c r="F3485" s="8">
        <v>1</v>
      </c>
      <c r="G3485" s="7">
        <f>3*INDEX([1]equip.xml!$I:$I,MATCH(D3485&amp;"",[1]equip.xml!$A:$A,0))</f>
        <v>120000</v>
      </c>
      <c r="H3485" s="8" t="str">
        <f t="shared" si="3837"/>
        <v>10_10,50_20,80_30</v>
      </c>
      <c r="I3485" s="8">
        <v>6</v>
      </c>
      <c r="J3485" s="8">
        <f t="shared" si="3837"/>
        <v>50</v>
      </c>
      <c r="K3485" s="7" t="s">
        <v>310</v>
      </c>
      <c r="L3485" s="8">
        <v>32</v>
      </c>
      <c r="M3485" s="7">
        <f>IF(INDEX([1]equip.xml!$B:$B,MATCH(D3485&amp;"",[1]equip.xml!$A:$A,0))=0,0,N3485)</f>
        <v>65</v>
      </c>
      <c r="N3485" s="8">
        <f t="shared" ref="N3485" si="3852">N3397</f>
        <v>65</v>
      </c>
    </row>
    <row r="3486" spans="1:14">
      <c r="A3486" s="7">
        <f t="shared" si="3722"/>
        <v>20012</v>
      </c>
      <c r="B3486" s="8">
        <f t="shared" ref="B3486:C3486" si="3853">B3398</f>
        <v>40000</v>
      </c>
      <c r="C3486" s="8" t="str">
        <f t="shared" si="3853"/>
        <v>装备</v>
      </c>
      <c r="D3486" s="8">
        <v>40400030</v>
      </c>
      <c r="E3486" s="8"/>
      <c r="F3486" s="8">
        <v>1</v>
      </c>
      <c r="G3486" s="7">
        <f>3*INDEX([1]equip.xml!$I:$I,MATCH(D3486&amp;"",[1]equip.xml!$A:$A,0))</f>
        <v>120000</v>
      </c>
      <c r="H3486" s="8" t="str">
        <f t="shared" si="3837"/>
        <v>10_10,50_20,80_30</v>
      </c>
      <c r="I3486" s="8">
        <v>6</v>
      </c>
      <c r="J3486" s="8">
        <f t="shared" si="3837"/>
        <v>50</v>
      </c>
      <c r="K3486" s="7" t="s">
        <v>310</v>
      </c>
      <c r="L3486" s="8">
        <v>32</v>
      </c>
      <c r="M3486" s="7">
        <f>IF(INDEX([1]equip.xml!$B:$B,MATCH(D3486&amp;"",[1]equip.xml!$A:$A,0))=0,0,N3486)</f>
        <v>65</v>
      </c>
      <c r="N3486" s="8">
        <f t="shared" ref="N3486" si="3854">N3398</f>
        <v>65</v>
      </c>
    </row>
    <row r="3487" spans="1:14">
      <c r="A3487" s="7">
        <f t="shared" ref="A3487:A3550" si="3855">10000+A671</f>
        <v>20012</v>
      </c>
      <c r="B3487" s="8">
        <f t="shared" ref="B3487:C3487" si="3856">B3399</f>
        <v>40000</v>
      </c>
      <c r="C3487" s="8" t="str">
        <f t="shared" si="3856"/>
        <v>装备</v>
      </c>
      <c r="D3487" s="8">
        <v>40400080</v>
      </c>
      <c r="E3487" s="8"/>
      <c r="F3487" s="8">
        <v>1</v>
      </c>
      <c r="G3487" s="7">
        <f>3*INDEX([1]equip.xml!$I:$I,MATCH(D3487&amp;"",[1]equip.xml!$A:$A,0))</f>
        <v>120000</v>
      </c>
      <c r="H3487" s="8" t="str">
        <f t="shared" si="3837"/>
        <v>10_10,50_20,80_30</v>
      </c>
      <c r="I3487" s="8">
        <v>6</v>
      </c>
      <c r="J3487" s="8">
        <f t="shared" si="3837"/>
        <v>50</v>
      </c>
      <c r="K3487" s="7" t="s">
        <v>310</v>
      </c>
      <c r="L3487" s="8">
        <v>32</v>
      </c>
      <c r="M3487" s="7">
        <f>IF(INDEX([1]equip.xml!$B:$B,MATCH(D3487&amp;"",[1]equip.xml!$A:$A,0))=0,0,N3487)</f>
        <v>65</v>
      </c>
      <c r="N3487" s="8">
        <f t="shared" ref="N3487" si="3857">N3399</f>
        <v>65</v>
      </c>
    </row>
    <row r="3488" spans="1:14">
      <c r="A3488" s="7">
        <f t="shared" si="3855"/>
        <v>20012</v>
      </c>
      <c r="B3488" s="8">
        <f t="shared" ref="B3488:C3488" si="3858">B3400</f>
        <v>40000</v>
      </c>
      <c r="C3488" s="8" t="str">
        <f t="shared" si="3858"/>
        <v>装备</v>
      </c>
      <c r="D3488" s="8">
        <v>40400090</v>
      </c>
      <c r="E3488" s="8"/>
      <c r="F3488" s="8">
        <v>1</v>
      </c>
      <c r="G3488" s="7">
        <f>3*INDEX([1]equip.xml!$I:$I,MATCH(D3488&amp;"",[1]equip.xml!$A:$A,0))</f>
        <v>120000</v>
      </c>
      <c r="H3488" s="8" t="str">
        <f t="shared" si="3837"/>
        <v>10_10,50_20,80_30</v>
      </c>
      <c r="I3488" s="8">
        <v>6</v>
      </c>
      <c r="J3488" s="8">
        <f t="shared" si="3837"/>
        <v>50</v>
      </c>
      <c r="K3488" s="7" t="s">
        <v>310</v>
      </c>
      <c r="L3488" s="8">
        <v>32</v>
      </c>
      <c r="M3488" s="7">
        <f>IF(INDEX([1]equip.xml!$B:$B,MATCH(D3488&amp;"",[1]equip.xml!$A:$A,0))=0,0,N3488)</f>
        <v>65</v>
      </c>
      <c r="N3488" s="8">
        <f t="shared" ref="N3488" si="3859">N3400</f>
        <v>65</v>
      </c>
    </row>
    <row r="3489" spans="1:14">
      <c r="A3489" s="7">
        <f t="shared" si="3855"/>
        <v>20012</v>
      </c>
      <c r="B3489" s="8">
        <f t="shared" ref="B3489:C3489" si="3860">B3401</f>
        <v>40000</v>
      </c>
      <c r="C3489" s="8" t="str">
        <f t="shared" si="3860"/>
        <v>装备</v>
      </c>
      <c r="D3489" s="8">
        <v>40400100</v>
      </c>
      <c r="E3489" s="8"/>
      <c r="F3489" s="8">
        <v>1</v>
      </c>
      <c r="G3489" s="7">
        <f>3*INDEX([1]equip.xml!$I:$I,MATCH(D3489&amp;"",[1]equip.xml!$A:$A,0))</f>
        <v>120000</v>
      </c>
      <c r="H3489" s="8" t="str">
        <f t="shared" si="3837"/>
        <v>10_10,50_20,80_30</v>
      </c>
      <c r="I3489" s="8">
        <v>6</v>
      </c>
      <c r="J3489" s="8">
        <f t="shared" si="3837"/>
        <v>50</v>
      </c>
      <c r="K3489" s="7" t="s">
        <v>310</v>
      </c>
      <c r="L3489" s="8">
        <v>32</v>
      </c>
      <c r="M3489" s="7">
        <f>IF(INDEX([1]equip.xml!$B:$B,MATCH(D3489&amp;"",[1]equip.xml!$A:$A,0))=0,0,N3489)</f>
        <v>65</v>
      </c>
      <c r="N3489" s="8">
        <f t="shared" ref="N3489" si="3861">N3401</f>
        <v>65</v>
      </c>
    </row>
    <row r="3490" spans="1:14">
      <c r="A3490" s="7">
        <f t="shared" si="3855"/>
        <v>20012</v>
      </c>
      <c r="B3490" s="8">
        <f t="shared" ref="B3490:C3490" si="3862">B3402</f>
        <v>40000</v>
      </c>
      <c r="C3490" s="8" t="str">
        <f t="shared" si="3862"/>
        <v>装备</v>
      </c>
      <c r="D3490" s="8">
        <v>40401050</v>
      </c>
      <c r="E3490" s="8"/>
      <c r="F3490" s="8">
        <v>1</v>
      </c>
      <c r="G3490" s="7">
        <f>3*INDEX([1]equip.xml!$I:$I,MATCH(D3490&amp;"",[1]equip.xml!$A:$A,0))</f>
        <v>120000</v>
      </c>
      <c r="H3490" s="8" t="str">
        <f t="shared" si="3837"/>
        <v>10_10,50_20,80_30</v>
      </c>
      <c r="I3490" s="8">
        <v>6</v>
      </c>
      <c r="J3490" s="8">
        <f t="shared" si="3837"/>
        <v>50</v>
      </c>
      <c r="K3490" s="7" t="s">
        <v>310</v>
      </c>
      <c r="L3490" s="8">
        <v>32</v>
      </c>
      <c r="M3490" s="7">
        <f>IF(INDEX([1]equip.xml!$B:$B,MATCH(D3490&amp;"",[1]equip.xml!$A:$A,0))=0,0,N3490)</f>
        <v>65</v>
      </c>
      <c r="N3490" s="8">
        <f t="shared" ref="N3490" si="3863">N3402</f>
        <v>65</v>
      </c>
    </row>
    <row r="3491" spans="1:14">
      <c r="A3491" s="7">
        <f t="shared" si="3855"/>
        <v>20012</v>
      </c>
      <c r="B3491" s="8">
        <f t="shared" ref="B3491:C3491" si="3864">B3403</f>
        <v>40000</v>
      </c>
      <c r="C3491" s="8" t="str">
        <f t="shared" si="3864"/>
        <v>装备</v>
      </c>
      <c r="D3491" s="8">
        <v>40401051</v>
      </c>
      <c r="E3491" s="8"/>
      <c r="F3491" s="8">
        <v>1</v>
      </c>
      <c r="G3491" s="7">
        <f>3*INDEX([1]equip.xml!$I:$I,MATCH(D3491&amp;"",[1]equip.xml!$A:$A,0))</f>
        <v>129000</v>
      </c>
      <c r="H3491" s="8" t="str">
        <f t="shared" si="3837"/>
        <v>10_10,50_20,80_30</v>
      </c>
      <c r="I3491" s="8">
        <v>6</v>
      </c>
      <c r="J3491" s="8">
        <f t="shared" si="3837"/>
        <v>50</v>
      </c>
      <c r="K3491" s="7" t="s">
        <v>310</v>
      </c>
      <c r="L3491" s="8">
        <v>32</v>
      </c>
      <c r="M3491" s="7">
        <f>IF(INDEX([1]equip.xml!$B:$B,MATCH(D3491&amp;"",[1]equip.xml!$A:$A,0))=0,0,N3491)</f>
        <v>65</v>
      </c>
      <c r="N3491" s="8">
        <f t="shared" ref="N3491" si="3865">N3403</f>
        <v>65</v>
      </c>
    </row>
    <row r="3492" spans="1:14">
      <c r="A3492" s="7">
        <f t="shared" si="3855"/>
        <v>20012</v>
      </c>
      <c r="B3492" s="8">
        <f t="shared" ref="B3492:C3492" si="3866">B3404</f>
        <v>40000</v>
      </c>
      <c r="C3492" s="8" t="str">
        <f t="shared" si="3866"/>
        <v>装备</v>
      </c>
      <c r="D3492" s="8">
        <v>40401060</v>
      </c>
      <c r="E3492" s="8"/>
      <c r="F3492" s="8">
        <v>1</v>
      </c>
      <c r="G3492" s="7">
        <f>3*INDEX([1]equip.xml!$I:$I,MATCH(D3492&amp;"",[1]equip.xml!$A:$A,0))</f>
        <v>120000</v>
      </c>
      <c r="H3492" s="8" t="str">
        <f t="shared" si="3837"/>
        <v>10_10,50_20,80_30</v>
      </c>
      <c r="I3492" s="8">
        <v>6</v>
      </c>
      <c r="J3492" s="8">
        <f t="shared" si="3837"/>
        <v>50</v>
      </c>
      <c r="K3492" s="7" t="s">
        <v>310</v>
      </c>
      <c r="L3492" s="8">
        <v>32</v>
      </c>
      <c r="M3492" s="7">
        <f>IF(INDEX([1]equip.xml!$B:$B,MATCH(D3492&amp;"",[1]equip.xml!$A:$A,0))=0,0,N3492)</f>
        <v>65</v>
      </c>
      <c r="N3492" s="8">
        <f t="shared" ref="N3492" si="3867">N3404</f>
        <v>65</v>
      </c>
    </row>
    <row r="3493" spans="1:14">
      <c r="A3493" s="7">
        <f t="shared" si="3855"/>
        <v>20012</v>
      </c>
      <c r="B3493" s="8">
        <f t="shared" ref="B3493:C3493" si="3868">B3405</f>
        <v>40000</v>
      </c>
      <c r="C3493" s="8" t="str">
        <f t="shared" si="3868"/>
        <v>装备</v>
      </c>
      <c r="D3493" s="8">
        <v>40401061</v>
      </c>
      <c r="E3493" s="8"/>
      <c r="F3493" s="8">
        <v>1</v>
      </c>
      <c r="G3493" s="7">
        <f>3*INDEX([1]equip.xml!$I:$I,MATCH(D3493&amp;"",[1]equip.xml!$A:$A,0))</f>
        <v>129000</v>
      </c>
      <c r="H3493" s="8" t="str">
        <f t="shared" si="3837"/>
        <v>10_10,50_20,80_30</v>
      </c>
      <c r="I3493" s="8">
        <v>6</v>
      </c>
      <c r="J3493" s="8">
        <f t="shared" si="3837"/>
        <v>50</v>
      </c>
      <c r="K3493" s="7" t="s">
        <v>310</v>
      </c>
      <c r="L3493" s="8">
        <v>32</v>
      </c>
      <c r="M3493" s="7">
        <f>IF(INDEX([1]equip.xml!$B:$B,MATCH(D3493&amp;"",[1]equip.xml!$A:$A,0))=0,0,N3493)</f>
        <v>0</v>
      </c>
      <c r="N3493" s="8">
        <f t="shared" ref="N3493" si="3869">N3405</f>
        <v>65</v>
      </c>
    </row>
    <row r="3494" spans="1:14">
      <c r="A3494" s="7">
        <f t="shared" si="3855"/>
        <v>20012</v>
      </c>
      <c r="B3494" s="8">
        <f t="shared" ref="B3494:C3494" si="3870">B3406</f>
        <v>40000</v>
      </c>
      <c r="C3494" s="8" t="str">
        <f t="shared" si="3870"/>
        <v>装备</v>
      </c>
      <c r="D3494" s="8">
        <v>40402050</v>
      </c>
      <c r="E3494" s="8"/>
      <c r="F3494" s="8">
        <v>1</v>
      </c>
      <c r="G3494" s="7">
        <f>3*INDEX([1]equip.xml!$I:$I,MATCH(D3494&amp;"",[1]equip.xml!$A:$A,0))</f>
        <v>120000</v>
      </c>
      <c r="H3494" s="8" t="str">
        <f t="shared" ref="H3494:J3509" si="3871">H3406</f>
        <v>10_10,50_20,80_30</v>
      </c>
      <c r="I3494" s="8">
        <v>6</v>
      </c>
      <c r="J3494" s="8">
        <f t="shared" si="3871"/>
        <v>50</v>
      </c>
      <c r="K3494" s="7" t="s">
        <v>310</v>
      </c>
      <c r="L3494" s="8">
        <v>32</v>
      </c>
      <c r="M3494" s="7">
        <f>IF(INDEX([1]equip.xml!$B:$B,MATCH(D3494&amp;"",[1]equip.xml!$A:$A,0))=0,0,N3494)</f>
        <v>65</v>
      </c>
      <c r="N3494" s="8">
        <f t="shared" ref="N3494" si="3872">N3406</f>
        <v>65</v>
      </c>
    </row>
    <row r="3495" spans="1:14">
      <c r="A3495" s="7">
        <f t="shared" si="3855"/>
        <v>20012</v>
      </c>
      <c r="B3495" s="8">
        <f t="shared" ref="B3495:C3495" si="3873">B3407</f>
        <v>40000</v>
      </c>
      <c r="C3495" s="8" t="str">
        <f t="shared" si="3873"/>
        <v>装备</v>
      </c>
      <c r="D3495" s="8">
        <v>40402051</v>
      </c>
      <c r="E3495" s="8"/>
      <c r="F3495" s="8">
        <v>1</v>
      </c>
      <c r="G3495" s="7">
        <f>3*INDEX([1]equip.xml!$I:$I,MATCH(D3495&amp;"",[1]equip.xml!$A:$A,0))</f>
        <v>129000</v>
      </c>
      <c r="H3495" s="8" t="str">
        <f t="shared" si="3871"/>
        <v>10_10,50_20,80_30</v>
      </c>
      <c r="I3495" s="8">
        <v>6</v>
      </c>
      <c r="J3495" s="8">
        <f t="shared" si="3871"/>
        <v>50</v>
      </c>
      <c r="K3495" s="7" t="s">
        <v>310</v>
      </c>
      <c r="L3495" s="8">
        <v>32</v>
      </c>
      <c r="M3495" s="7">
        <f>IF(INDEX([1]equip.xml!$B:$B,MATCH(D3495&amp;"",[1]equip.xml!$A:$A,0))=0,0,N3495)</f>
        <v>65</v>
      </c>
      <c r="N3495" s="8">
        <f t="shared" ref="N3495" si="3874">N3407</f>
        <v>65</v>
      </c>
    </row>
    <row r="3496" spans="1:14">
      <c r="A3496" s="7">
        <f t="shared" si="3855"/>
        <v>20012</v>
      </c>
      <c r="B3496" s="8">
        <f t="shared" ref="B3496:C3496" si="3875">B3408</f>
        <v>40000</v>
      </c>
      <c r="C3496" s="8" t="str">
        <f t="shared" si="3875"/>
        <v>装备</v>
      </c>
      <c r="D3496" s="8">
        <v>40402060</v>
      </c>
      <c r="E3496" s="8"/>
      <c r="F3496" s="8">
        <v>1</v>
      </c>
      <c r="G3496" s="7">
        <f>3*INDEX([1]equip.xml!$I:$I,MATCH(D3496&amp;"",[1]equip.xml!$A:$A,0))</f>
        <v>120000</v>
      </c>
      <c r="H3496" s="8" t="str">
        <f t="shared" si="3871"/>
        <v>10_10,50_20,80_30</v>
      </c>
      <c r="I3496" s="8">
        <v>6</v>
      </c>
      <c r="J3496" s="8">
        <f t="shared" si="3871"/>
        <v>50</v>
      </c>
      <c r="K3496" s="7" t="s">
        <v>310</v>
      </c>
      <c r="L3496" s="8">
        <v>32</v>
      </c>
      <c r="M3496" s="7">
        <f>IF(INDEX([1]equip.xml!$B:$B,MATCH(D3496&amp;"",[1]equip.xml!$A:$A,0))=0,0,N3496)</f>
        <v>65</v>
      </c>
      <c r="N3496" s="8">
        <f t="shared" ref="N3496" si="3876">N3408</f>
        <v>65</v>
      </c>
    </row>
    <row r="3497" spans="1:14">
      <c r="A3497" s="7">
        <f t="shared" si="3855"/>
        <v>20012</v>
      </c>
      <c r="B3497" s="8">
        <f t="shared" ref="B3497:C3497" si="3877">B3409</f>
        <v>40000</v>
      </c>
      <c r="C3497" s="8" t="str">
        <f t="shared" si="3877"/>
        <v>装备</v>
      </c>
      <c r="D3497" s="8">
        <v>40402061</v>
      </c>
      <c r="E3497" s="8"/>
      <c r="F3497" s="8">
        <v>1</v>
      </c>
      <c r="G3497" s="7">
        <f>3*INDEX([1]equip.xml!$I:$I,MATCH(D3497&amp;"",[1]equip.xml!$A:$A,0))</f>
        <v>129000</v>
      </c>
      <c r="H3497" s="8" t="str">
        <f t="shared" si="3871"/>
        <v>10_10,50_20,80_30</v>
      </c>
      <c r="I3497" s="8">
        <v>6</v>
      </c>
      <c r="J3497" s="8">
        <f t="shared" si="3871"/>
        <v>50</v>
      </c>
      <c r="K3497" s="7" t="s">
        <v>310</v>
      </c>
      <c r="L3497" s="8">
        <v>32</v>
      </c>
      <c r="M3497" s="7">
        <f>IF(INDEX([1]equip.xml!$B:$B,MATCH(D3497&amp;"",[1]equip.xml!$A:$A,0))=0,0,N3497)</f>
        <v>0</v>
      </c>
      <c r="N3497" s="8">
        <f t="shared" ref="N3497" si="3878">N3409</f>
        <v>65</v>
      </c>
    </row>
    <row r="3498" spans="1:14">
      <c r="A3498" s="7">
        <f t="shared" si="3855"/>
        <v>20012</v>
      </c>
      <c r="B3498" s="8">
        <f t="shared" ref="B3498:C3498" si="3879">B3410</f>
        <v>40000</v>
      </c>
      <c r="C3498" s="8" t="str">
        <f t="shared" si="3879"/>
        <v>装备</v>
      </c>
      <c r="D3498" s="8">
        <v>40403050</v>
      </c>
      <c r="E3498" s="8"/>
      <c r="F3498" s="8">
        <v>1</v>
      </c>
      <c r="G3498" s="7">
        <f>3*INDEX([1]equip.xml!$I:$I,MATCH(D3498&amp;"",[1]equip.xml!$A:$A,0))</f>
        <v>120000</v>
      </c>
      <c r="H3498" s="8" t="str">
        <f t="shared" si="3871"/>
        <v>10_10,50_20,80_30</v>
      </c>
      <c r="I3498" s="8">
        <v>6</v>
      </c>
      <c r="J3498" s="8">
        <f t="shared" si="3871"/>
        <v>50</v>
      </c>
      <c r="K3498" s="7" t="s">
        <v>310</v>
      </c>
      <c r="L3498" s="8">
        <v>32</v>
      </c>
      <c r="M3498" s="7">
        <f>IF(INDEX([1]equip.xml!$B:$B,MATCH(D3498&amp;"",[1]equip.xml!$A:$A,0))=0,0,N3498)</f>
        <v>65</v>
      </c>
      <c r="N3498" s="8">
        <f t="shared" ref="N3498" si="3880">N3410</f>
        <v>65</v>
      </c>
    </row>
    <row r="3499" spans="1:14">
      <c r="A3499" s="7">
        <f t="shared" si="3855"/>
        <v>20012</v>
      </c>
      <c r="B3499" s="8">
        <f t="shared" ref="B3499:C3499" si="3881">B3411</f>
        <v>40000</v>
      </c>
      <c r="C3499" s="8" t="str">
        <f t="shared" si="3881"/>
        <v>装备</v>
      </c>
      <c r="D3499" s="8">
        <v>40403051</v>
      </c>
      <c r="E3499" s="8"/>
      <c r="F3499" s="8">
        <v>1</v>
      </c>
      <c r="G3499" s="7">
        <f>3*INDEX([1]equip.xml!$I:$I,MATCH(D3499&amp;"",[1]equip.xml!$A:$A,0))</f>
        <v>129000</v>
      </c>
      <c r="H3499" s="8" t="str">
        <f t="shared" si="3871"/>
        <v>10_10,50_20,80_30</v>
      </c>
      <c r="I3499" s="8">
        <v>6</v>
      </c>
      <c r="J3499" s="8">
        <f t="shared" si="3871"/>
        <v>50</v>
      </c>
      <c r="K3499" s="7" t="s">
        <v>310</v>
      </c>
      <c r="L3499" s="8">
        <v>32</v>
      </c>
      <c r="M3499" s="7">
        <f>IF(INDEX([1]equip.xml!$B:$B,MATCH(D3499&amp;"",[1]equip.xml!$A:$A,0))=0,0,N3499)</f>
        <v>65</v>
      </c>
      <c r="N3499" s="8">
        <f t="shared" ref="N3499" si="3882">N3411</f>
        <v>65</v>
      </c>
    </row>
    <row r="3500" spans="1:14">
      <c r="A3500" s="7">
        <f t="shared" si="3855"/>
        <v>20012</v>
      </c>
      <c r="B3500" s="8">
        <f t="shared" ref="B3500:C3500" si="3883">B3412</f>
        <v>40000</v>
      </c>
      <c r="C3500" s="8" t="str">
        <f t="shared" si="3883"/>
        <v>装备</v>
      </c>
      <c r="D3500" s="8">
        <v>40403060</v>
      </c>
      <c r="E3500" s="8"/>
      <c r="F3500" s="8">
        <v>1</v>
      </c>
      <c r="G3500" s="7">
        <f>3*INDEX([1]equip.xml!$I:$I,MATCH(D3500&amp;"",[1]equip.xml!$A:$A,0))</f>
        <v>120000</v>
      </c>
      <c r="H3500" s="8" t="str">
        <f t="shared" si="3871"/>
        <v>10_10,50_20,80_30</v>
      </c>
      <c r="I3500" s="8">
        <v>6</v>
      </c>
      <c r="J3500" s="8">
        <f t="shared" si="3871"/>
        <v>50</v>
      </c>
      <c r="K3500" s="7" t="s">
        <v>310</v>
      </c>
      <c r="L3500" s="8">
        <v>32</v>
      </c>
      <c r="M3500" s="7">
        <f>IF(INDEX([1]equip.xml!$B:$B,MATCH(D3500&amp;"",[1]equip.xml!$A:$A,0))=0,0,N3500)</f>
        <v>65</v>
      </c>
      <c r="N3500" s="8">
        <f t="shared" ref="N3500" si="3884">N3412</f>
        <v>65</v>
      </c>
    </row>
    <row r="3501" spans="1:14">
      <c r="A3501" s="7">
        <f t="shared" si="3855"/>
        <v>20012</v>
      </c>
      <c r="B3501" s="8">
        <f t="shared" ref="B3501:C3501" si="3885">B3413</f>
        <v>40000</v>
      </c>
      <c r="C3501" s="8" t="str">
        <f t="shared" si="3885"/>
        <v>装备</v>
      </c>
      <c r="D3501" s="8">
        <v>40403061</v>
      </c>
      <c r="E3501" s="8"/>
      <c r="F3501" s="8">
        <v>1</v>
      </c>
      <c r="G3501" s="7">
        <f>3*INDEX([1]equip.xml!$I:$I,MATCH(D3501&amp;"",[1]equip.xml!$A:$A,0))</f>
        <v>129000</v>
      </c>
      <c r="H3501" s="8" t="str">
        <f t="shared" si="3871"/>
        <v>10_10,50_20,80_30</v>
      </c>
      <c r="I3501" s="8">
        <v>6</v>
      </c>
      <c r="J3501" s="8">
        <f t="shared" si="3871"/>
        <v>50</v>
      </c>
      <c r="K3501" s="7" t="s">
        <v>310</v>
      </c>
      <c r="L3501" s="8">
        <v>32</v>
      </c>
      <c r="M3501" s="7">
        <f>IF(INDEX([1]equip.xml!$B:$B,MATCH(D3501&amp;"",[1]equip.xml!$A:$A,0))=0,0,N3501)</f>
        <v>0</v>
      </c>
      <c r="N3501" s="8">
        <f t="shared" ref="N3501" si="3886">N3413</f>
        <v>65</v>
      </c>
    </row>
    <row r="3502" spans="1:14">
      <c r="A3502" s="7">
        <f t="shared" si="3855"/>
        <v>20012</v>
      </c>
      <c r="B3502" s="8">
        <f t="shared" ref="B3502:C3502" si="3887">B3414</f>
        <v>40000</v>
      </c>
      <c r="C3502" s="8" t="str">
        <f t="shared" si="3887"/>
        <v>装备</v>
      </c>
      <c r="D3502" s="8">
        <v>40400040</v>
      </c>
      <c r="E3502" s="8"/>
      <c r="F3502" s="8">
        <v>1</v>
      </c>
      <c r="G3502" s="7">
        <f>3*INDEX([1]equip.xml!$I:$I,MATCH(D3502&amp;"",[1]equip.xml!$A:$A,0))</f>
        <v>120000</v>
      </c>
      <c r="H3502" s="8" t="str">
        <f t="shared" si="3871"/>
        <v>10_10,50_20,80_30</v>
      </c>
      <c r="I3502" s="8">
        <v>6</v>
      </c>
      <c r="J3502" s="8">
        <f t="shared" si="3871"/>
        <v>50</v>
      </c>
      <c r="K3502" s="7" t="s">
        <v>310</v>
      </c>
      <c r="L3502" s="8">
        <v>32</v>
      </c>
      <c r="M3502" s="7">
        <f>IF(INDEX([1]equip.xml!$B:$B,MATCH(D3502&amp;"",[1]equip.xml!$A:$A,0))=0,0,N3502)</f>
        <v>65</v>
      </c>
      <c r="N3502" s="8">
        <f t="shared" ref="N3502" si="3888">N3414</f>
        <v>65</v>
      </c>
    </row>
    <row r="3503" spans="1:14">
      <c r="A3503" s="7">
        <f t="shared" si="3855"/>
        <v>20012</v>
      </c>
      <c r="B3503" s="8">
        <f t="shared" ref="B3503:C3503" si="3889">B3415</f>
        <v>40000</v>
      </c>
      <c r="C3503" s="8" t="str">
        <f t="shared" si="3889"/>
        <v>装备</v>
      </c>
      <c r="D3503" s="8">
        <v>40400041</v>
      </c>
      <c r="E3503" s="8"/>
      <c r="F3503" s="8">
        <v>1</v>
      </c>
      <c r="G3503" s="7">
        <f>3*INDEX([1]equip.xml!$I:$I,MATCH(D3503&amp;"",[1]equip.xml!$A:$A,0))</f>
        <v>129000</v>
      </c>
      <c r="H3503" s="8" t="str">
        <f t="shared" si="3871"/>
        <v>10_10,50_20,80_30</v>
      </c>
      <c r="I3503" s="8">
        <v>6</v>
      </c>
      <c r="J3503" s="8">
        <f t="shared" si="3871"/>
        <v>50</v>
      </c>
      <c r="K3503" s="7" t="s">
        <v>310</v>
      </c>
      <c r="L3503" s="8">
        <v>32</v>
      </c>
      <c r="M3503" s="7">
        <f>IF(INDEX([1]equip.xml!$B:$B,MATCH(D3503&amp;"",[1]equip.xml!$A:$A,0))=0,0,N3503)</f>
        <v>0</v>
      </c>
      <c r="N3503" s="8">
        <f t="shared" ref="N3503" si="3890">N3415</f>
        <v>65</v>
      </c>
    </row>
    <row r="3504" spans="1:14">
      <c r="A3504" s="7">
        <f t="shared" si="3855"/>
        <v>20012</v>
      </c>
      <c r="B3504" s="8">
        <f t="shared" ref="B3504:C3504" si="3891">B3416</f>
        <v>40000</v>
      </c>
      <c r="C3504" s="8" t="str">
        <f t="shared" si="3891"/>
        <v>装备</v>
      </c>
      <c r="D3504" s="8">
        <v>40400070</v>
      </c>
      <c r="E3504" s="8"/>
      <c r="F3504" s="8">
        <v>1</v>
      </c>
      <c r="G3504" s="7">
        <f>3*INDEX([1]equip.xml!$I:$I,MATCH(D3504&amp;"",[1]equip.xml!$A:$A,0))</f>
        <v>120000</v>
      </c>
      <c r="H3504" s="8" t="str">
        <f t="shared" si="3871"/>
        <v>10_10,50_20,80_30</v>
      </c>
      <c r="I3504" s="8">
        <v>6</v>
      </c>
      <c r="J3504" s="8">
        <f t="shared" si="3871"/>
        <v>50</v>
      </c>
      <c r="K3504" s="7" t="s">
        <v>310</v>
      </c>
      <c r="L3504" s="8">
        <v>32</v>
      </c>
      <c r="M3504" s="7">
        <f>IF(INDEX([1]equip.xml!$B:$B,MATCH(D3504&amp;"",[1]equip.xml!$A:$A,0))=0,0,N3504)</f>
        <v>65</v>
      </c>
      <c r="N3504" s="8">
        <f t="shared" ref="N3504" si="3892">N3416</f>
        <v>65</v>
      </c>
    </row>
    <row r="3505" spans="1:14">
      <c r="A3505" s="7">
        <f t="shared" si="3855"/>
        <v>20012</v>
      </c>
      <c r="B3505" s="8">
        <f t="shared" ref="B3505:C3505" si="3893">B3417</f>
        <v>40000</v>
      </c>
      <c r="C3505" s="8" t="str">
        <f t="shared" si="3893"/>
        <v>装备</v>
      </c>
      <c r="D3505" s="8">
        <v>40400071</v>
      </c>
      <c r="E3505" s="8"/>
      <c r="F3505" s="8">
        <v>1</v>
      </c>
      <c r="G3505" s="7">
        <f>3*INDEX([1]equip.xml!$I:$I,MATCH(D3505&amp;"",[1]equip.xml!$A:$A,0))</f>
        <v>129000</v>
      </c>
      <c r="H3505" s="8" t="str">
        <f t="shared" si="3871"/>
        <v>10_10,50_20,80_30</v>
      </c>
      <c r="I3505" s="8">
        <v>6</v>
      </c>
      <c r="J3505" s="8">
        <f t="shared" si="3871"/>
        <v>50</v>
      </c>
      <c r="K3505" s="7" t="s">
        <v>310</v>
      </c>
      <c r="L3505" s="8">
        <v>32</v>
      </c>
      <c r="M3505" s="7">
        <f>IF(INDEX([1]equip.xml!$B:$B,MATCH(D3505&amp;"",[1]equip.xml!$A:$A,0))=0,0,N3505)</f>
        <v>0</v>
      </c>
      <c r="N3505" s="8">
        <f t="shared" ref="N3505" si="3894">N3417</f>
        <v>65</v>
      </c>
    </row>
    <row r="3506" spans="1:14">
      <c r="A3506" s="7">
        <f t="shared" si="3855"/>
        <v>20012</v>
      </c>
      <c r="B3506" s="8">
        <f t="shared" ref="B3506:C3506" si="3895">B3418</f>
        <v>40000</v>
      </c>
      <c r="C3506" s="8" t="str">
        <f t="shared" si="3895"/>
        <v>装备</v>
      </c>
      <c r="D3506" s="8">
        <v>50350015</v>
      </c>
      <c r="E3506" s="8"/>
      <c r="F3506" s="8">
        <v>1</v>
      </c>
      <c r="G3506" s="8">
        <f>3*INDEX([1]equip.xml!$I:$I,MATCH(D3506,[1]equip.xml!$A:$A,0))</f>
        <v>210000</v>
      </c>
      <c r="H3506" s="8" t="str">
        <f t="shared" si="3871"/>
        <v>10_10,50_20,80_30</v>
      </c>
      <c r="I3506" s="8">
        <v>6</v>
      </c>
      <c r="J3506" s="8">
        <f t="shared" si="3871"/>
        <v>240</v>
      </c>
      <c r="K3506" s="7" t="s">
        <v>310</v>
      </c>
      <c r="L3506" s="8">
        <v>32</v>
      </c>
      <c r="M3506" s="7">
        <f>IF(INDEX([1]equip.xml!$B:$B,MATCH(D3506,[1]equip.xml!$A:$A,0))=0,0,N3506)</f>
        <v>130</v>
      </c>
      <c r="N3506" s="8">
        <f t="shared" ref="N3506" si="3896">N3418</f>
        <v>130</v>
      </c>
    </row>
    <row r="3507" spans="1:14">
      <c r="A3507" s="7">
        <f t="shared" si="3855"/>
        <v>20012</v>
      </c>
      <c r="B3507" s="8">
        <f t="shared" ref="B3507:C3507" si="3897">B3419</f>
        <v>40000</v>
      </c>
      <c r="C3507" s="8" t="str">
        <f t="shared" si="3897"/>
        <v>装备</v>
      </c>
      <c r="D3507" s="8">
        <v>50350025</v>
      </c>
      <c r="E3507" s="8"/>
      <c r="F3507" s="8">
        <v>1</v>
      </c>
      <c r="G3507" s="8">
        <f>3*INDEX([1]equip.xml!$I:$I,MATCH(D3507,[1]equip.xml!$A:$A,0))</f>
        <v>210000</v>
      </c>
      <c r="H3507" s="8" t="str">
        <f t="shared" si="3871"/>
        <v>10_10,50_20,80_30</v>
      </c>
      <c r="I3507" s="8">
        <v>6</v>
      </c>
      <c r="J3507" s="8">
        <f t="shared" si="3871"/>
        <v>240</v>
      </c>
      <c r="K3507" s="7" t="s">
        <v>310</v>
      </c>
      <c r="L3507" s="8">
        <v>32</v>
      </c>
      <c r="M3507" s="7">
        <f>IF(INDEX([1]equip.xml!$B:$B,MATCH(D3507,[1]equip.xml!$A:$A,0))=0,0,N3507)</f>
        <v>130</v>
      </c>
      <c r="N3507" s="8">
        <f t="shared" ref="N3507" si="3898">N3419</f>
        <v>130</v>
      </c>
    </row>
    <row r="3508" spans="1:14">
      <c r="A3508" s="7">
        <f t="shared" si="3855"/>
        <v>20012</v>
      </c>
      <c r="B3508" s="8">
        <f t="shared" ref="B3508:C3508" si="3899">B3420</f>
        <v>40000</v>
      </c>
      <c r="C3508" s="8" t="str">
        <f t="shared" si="3899"/>
        <v>装备</v>
      </c>
      <c r="D3508" s="8">
        <v>50350035</v>
      </c>
      <c r="E3508" s="8"/>
      <c r="F3508" s="8">
        <v>1</v>
      </c>
      <c r="G3508" s="8">
        <f>3*INDEX([1]equip.xml!$I:$I,MATCH(D3508,[1]equip.xml!$A:$A,0))</f>
        <v>210000</v>
      </c>
      <c r="H3508" s="8" t="str">
        <f t="shared" si="3871"/>
        <v>10_10,50_20,80_30</v>
      </c>
      <c r="I3508" s="8">
        <v>6</v>
      </c>
      <c r="J3508" s="8">
        <f t="shared" si="3871"/>
        <v>240</v>
      </c>
      <c r="K3508" s="7" t="s">
        <v>310</v>
      </c>
      <c r="L3508" s="8">
        <v>32</v>
      </c>
      <c r="M3508" s="7">
        <f>IF(INDEX([1]equip.xml!$B:$B,MATCH(D3508,[1]equip.xml!$A:$A,0))=0,0,N3508)</f>
        <v>130</v>
      </c>
      <c r="N3508" s="8">
        <f t="shared" ref="N3508" si="3900">N3420</f>
        <v>130</v>
      </c>
    </row>
    <row r="3509" spans="1:14">
      <c r="A3509" s="7">
        <f t="shared" si="3855"/>
        <v>20012</v>
      </c>
      <c r="B3509" s="8">
        <f t="shared" ref="B3509:C3509" si="3901">B3421</f>
        <v>40000</v>
      </c>
      <c r="C3509" s="8" t="str">
        <f t="shared" si="3901"/>
        <v>装备</v>
      </c>
      <c r="D3509" s="8">
        <v>50350085</v>
      </c>
      <c r="E3509" s="8"/>
      <c r="F3509" s="8">
        <v>1</v>
      </c>
      <c r="G3509" s="8">
        <f>3*INDEX([1]equip.xml!$I:$I,MATCH(D3509,[1]equip.xml!$A:$A,0))</f>
        <v>210000</v>
      </c>
      <c r="H3509" s="8" t="str">
        <f t="shared" si="3871"/>
        <v>10_10,50_20,80_30</v>
      </c>
      <c r="I3509" s="8">
        <v>6</v>
      </c>
      <c r="J3509" s="8">
        <f t="shared" si="3871"/>
        <v>240</v>
      </c>
      <c r="K3509" s="7" t="s">
        <v>310</v>
      </c>
      <c r="L3509" s="8">
        <v>32</v>
      </c>
      <c r="M3509" s="7">
        <f>IF(INDEX([1]equip.xml!$B:$B,MATCH(D3509,[1]equip.xml!$A:$A,0))=0,0,N3509)</f>
        <v>130</v>
      </c>
      <c r="N3509" s="8">
        <f t="shared" ref="N3509" si="3902">N3421</f>
        <v>130</v>
      </c>
    </row>
    <row r="3510" spans="1:14">
      <c r="A3510" s="7">
        <f t="shared" si="3855"/>
        <v>20012</v>
      </c>
      <c r="B3510" s="8">
        <f t="shared" ref="B3510:C3510" si="3903">B3422</f>
        <v>40000</v>
      </c>
      <c r="C3510" s="8" t="str">
        <f t="shared" si="3903"/>
        <v>装备</v>
      </c>
      <c r="D3510" s="8">
        <v>50350095</v>
      </c>
      <c r="E3510" s="8"/>
      <c r="F3510" s="8">
        <v>1</v>
      </c>
      <c r="G3510" s="8">
        <f>3*INDEX([1]equip.xml!$I:$I,MATCH(D3510,[1]equip.xml!$A:$A,0))</f>
        <v>210000</v>
      </c>
      <c r="H3510" s="8" t="str">
        <f t="shared" ref="H3510:J3525" si="3904">H3422</f>
        <v>10_10,50_20,80_30</v>
      </c>
      <c r="I3510" s="8">
        <v>6</v>
      </c>
      <c r="J3510" s="8">
        <f t="shared" si="3904"/>
        <v>240</v>
      </c>
      <c r="K3510" s="7" t="s">
        <v>310</v>
      </c>
      <c r="L3510" s="8">
        <v>32</v>
      </c>
      <c r="M3510" s="7">
        <f>IF(INDEX([1]equip.xml!$B:$B,MATCH(D3510,[1]equip.xml!$A:$A,0))=0,0,N3510)</f>
        <v>130</v>
      </c>
      <c r="N3510" s="8">
        <f t="shared" ref="N3510" si="3905">N3422</f>
        <v>130</v>
      </c>
    </row>
    <row r="3511" spans="1:14">
      <c r="A3511" s="7">
        <f t="shared" si="3855"/>
        <v>20012</v>
      </c>
      <c r="B3511" s="8">
        <f t="shared" ref="B3511:C3511" si="3906">B3423</f>
        <v>40000</v>
      </c>
      <c r="C3511" s="8" t="str">
        <f t="shared" si="3906"/>
        <v>装备</v>
      </c>
      <c r="D3511" s="8">
        <v>50350105</v>
      </c>
      <c r="E3511" s="8"/>
      <c r="F3511" s="8">
        <v>1</v>
      </c>
      <c r="G3511" s="8">
        <f>3*INDEX([1]equip.xml!$I:$I,MATCH(D3511,[1]equip.xml!$A:$A,0))</f>
        <v>210000</v>
      </c>
      <c r="H3511" s="8" t="str">
        <f t="shared" si="3904"/>
        <v>10_10,50_20,80_30</v>
      </c>
      <c r="I3511" s="8">
        <v>6</v>
      </c>
      <c r="J3511" s="8">
        <f t="shared" si="3904"/>
        <v>240</v>
      </c>
      <c r="K3511" s="7" t="s">
        <v>310</v>
      </c>
      <c r="L3511" s="8">
        <v>32</v>
      </c>
      <c r="M3511" s="7">
        <f>IF(INDEX([1]equip.xml!$B:$B,MATCH(D3511,[1]equip.xml!$A:$A,0))=0,0,N3511)</f>
        <v>130</v>
      </c>
      <c r="N3511" s="8">
        <f t="shared" ref="N3511" si="3907">N3423</f>
        <v>130</v>
      </c>
    </row>
    <row r="3512" spans="1:14">
      <c r="A3512" s="7">
        <f t="shared" si="3855"/>
        <v>20012</v>
      </c>
      <c r="B3512" s="8">
        <f t="shared" ref="B3512:C3512" si="3908">B3424</f>
        <v>40000</v>
      </c>
      <c r="C3512" s="8" t="str">
        <f t="shared" si="3908"/>
        <v>装备</v>
      </c>
      <c r="D3512" s="8">
        <v>50351055</v>
      </c>
      <c r="E3512" s="8"/>
      <c r="F3512" s="8">
        <v>1</v>
      </c>
      <c r="G3512" s="8">
        <f>3*INDEX([1]equip.xml!$I:$I,MATCH(D3512,[1]equip.xml!$A:$A,0))</f>
        <v>210000</v>
      </c>
      <c r="H3512" s="8" t="str">
        <f t="shared" si="3904"/>
        <v>10_10,50_20,80_30</v>
      </c>
      <c r="I3512" s="8">
        <v>6</v>
      </c>
      <c r="J3512" s="8">
        <f t="shared" si="3904"/>
        <v>240</v>
      </c>
      <c r="K3512" s="7" t="s">
        <v>310</v>
      </c>
      <c r="L3512" s="8">
        <v>32</v>
      </c>
      <c r="M3512" s="7">
        <f>IF(INDEX([1]equip.xml!$B:$B,MATCH(D3512,[1]equip.xml!$A:$A,0))=0,0,N3512)</f>
        <v>130</v>
      </c>
      <c r="N3512" s="8">
        <f t="shared" ref="N3512" si="3909">N3424</f>
        <v>130</v>
      </c>
    </row>
    <row r="3513" spans="1:14">
      <c r="A3513" s="7">
        <f t="shared" si="3855"/>
        <v>20012</v>
      </c>
      <c r="B3513" s="8">
        <f t="shared" ref="B3513:C3513" si="3910">B3425</f>
        <v>40000</v>
      </c>
      <c r="C3513" s="8" t="str">
        <f t="shared" si="3910"/>
        <v>装备</v>
      </c>
      <c r="D3513" s="8">
        <v>50351056</v>
      </c>
      <c r="E3513" s="8"/>
      <c r="F3513" s="8">
        <v>1</v>
      </c>
      <c r="G3513" s="8">
        <f>3*INDEX([1]equip.xml!$I:$I,MATCH(D3513,[1]equip.xml!$A:$A,0))</f>
        <v>228000</v>
      </c>
      <c r="H3513" s="8" t="str">
        <f t="shared" si="3904"/>
        <v>10_10,50_20,80_30</v>
      </c>
      <c r="I3513" s="8">
        <v>6</v>
      </c>
      <c r="J3513" s="8">
        <f t="shared" si="3904"/>
        <v>240</v>
      </c>
      <c r="K3513" s="7" t="s">
        <v>310</v>
      </c>
      <c r="L3513" s="8">
        <v>32</v>
      </c>
      <c r="M3513" s="7">
        <f>IF(INDEX([1]equip.xml!$B:$B,MATCH(D3513,[1]equip.xml!$A:$A,0))=0,0,N3513)</f>
        <v>0</v>
      </c>
      <c r="N3513" s="8">
        <f t="shared" ref="N3513" si="3911">N3425</f>
        <v>130</v>
      </c>
    </row>
    <row r="3514" spans="1:14">
      <c r="A3514" s="7">
        <f t="shared" si="3855"/>
        <v>20012</v>
      </c>
      <c r="B3514" s="8">
        <f t="shared" ref="B3514:C3514" si="3912">B3426</f>
        <v>40000</v>
      </c>
      <c r="C3514" s="8" t="str">
        <f t="shared" si="3912"/>
        <v>装备</v>
      </c>
      <c r="D3514" s="8">
        <v>50351065</v>
      </c>
      <c r="E3514" s="8"/>
      <c r="F3514" s="8">
        <v>1</v>
      </c>
      <c r="G3514" s="8">
        <f>3*INDEX([1]equip.xml!$I:$I,MATCH(D3514,[1]equip.xml!$A:$A,0))</f>
        <v>210000</v>
      </c>
      <c r="H3514" s="8" t="str">
        <f t="shared" si="3904"/>
        <v>10_10,50_20,80_30</v>
      </c>
      <c r="I3514" s="8">
        <v>6</v>
      </c>
      <c r="J3514" s="8">
        <f t="shared" si="3904"/>
        <v>240</v>
      </c>
      <c r="K3514" s="7" t="s">
        <v>310</v>
      </c>
      <c r="L3514" s="8">
        <v>32</v>
      </c>
      <c r="M3514" s="7">
        <f>IF(INDEX([1]equip.xml!$B:$B,MATCH(D3514,[1]equip.xml!$A:$A,0))=0,0,N3514)</f>
        <v>130</v>
      </c>
      <c r="N3514" s="8">
        <f t="shared" ref="N3514" si="3913">N3426</f>
        <v>130</v>
      </c>
    </row>
    <row r="3515" spans="1:14">
      <c r="A3515" s="7">
        <f t="shared" si="3855"/>
        <v>20012</v>
      </c>
      <c r="B3515" s="8">
        <f t="shared" ref="B3515:C3515" si="3914">B3427</f>
        <v>40000</v>
      </c>
      <c r="C3515" s="8" t="str">
        <f t="shared" si="3914"/>
        <v>装备</v>
      </c>
      <c r="D3515" s="8">
        <v>50351066</v>
      </c>
      <c r="E3515" s="8"/>
      <c r="F3515" s="8">
        <v>1</v>
      </c>
      <c r="G3515" s="8">
        <f>3*INDEX([1]equip.xml!$I:$I,MATCH(D3515,[1]equip.xml!$A:$A,0))</f>
        <v>228000</v>
      </c>
      <c r="H3515" s="8" t="str">
        <f t="shared" si="3904"/>
        <v>10_10,50_20,80_30</v>
      </c>
      <c r="I3515" s="8">
        <v>6</v>
      </c>
      <c r="J3515" s="8">
        <f t="shared" si="3904"/>
        <v>240</v>
      </c>
      <c r="K3515" s="7" t="s">
        <v>310</v>
      </c>
      <c r="L3515" s="8">
        <v>32</v>
      </c>
      <c r="M3515" s="7">
        <f>IF(INDEX([1]equip.xml!$B:$B,MATCH(D3515,[1]equip.xml!$A:$A,0))=0,0,N3515)</f>
        <v>130</v>
      </c>
      <c r="N3515" s="8">
        <f t="shared" ref="N3515" si="3915">N3427</f>
        <v>130</v>
      </c>
    </row>
    <row r="3516" spans="1:14">
      <c r="A3516" s="7">
        <f t="shared" si="3855"/>
        <v>20012</v>
      </c>
      <c r="B3516" s="8">
        <f t="shared" ref="B3516:C3516" si="3916">B3428</f>
        <v>40000</v>
      </c>
      <c r="C3516" s="8" t="str">
        <f t="shared" si="3916"/>
        <v>装备</v>
      </c>
      <c r="D3516" s="8">
        <v>50352055</v>
      </c>
      <c r="E3516" s="8"/>
      <c r="F3516" s="8">
        <v>1</v>
      </c>
      <c r="G3516" s="8">
        <f>3*INDEX([1]equip.xml!$I:$I,MATCH(D3516,[1]equip.xml!$A:$A,0))</f>
        <v>210000</v>
      </c>
      <c r="H3516" s="8" t="str">
        <f t="shared" si="3904"/>
        <v>10_10,50_20,80_30</v>
      </c>
      <c r="I3516" s="8">
        <v>6</v>
      </c>
      <c r="J3516" s="8">
        <f t="shared" si="3904"/>
        <v>240</v>
      </c>
      <c r="K3516" s="7" t="s">
        <v>310</v>
      </c>
      <c r="L3516" s="8">
        <v>32</v>
      </c>
      <c r="M3516" s="7">
        <f>IF(INDEX([1]equip.xml!$B:$B,MATCH(D3516,[1]equip.xml!$A:$A,0))=0,0,N3516)</f>
        <v>130</v>
      </c>
      <c r="N3516" s="8">
        <f t="shared" ref="N3516" si="3917">N3428</f>
        <v>130</v>
      </c>
    </row>
    <row r="3517" spans="1:14">
      <c r="A3517" s="7">
        <f t="shared" si="3855"/>
        <v>20012</v>
      </c>
      <c r="B3517" s="8">
        <f t="shared" ref="B3517:C3517" si="3918">B3429</f>
        <v>40000</v>
      </c>
      <c r="C3517" s="8" t="str">
        <f t="shared" si="3918"/>
        <v>装备</v>
      </c>
      <c r="D3517" s="8">
        <v>50352056</v>
      </c>
      <c r="E3517" s="8"/>
      <c r="F3517" s="8">
        <v>1</v>
      </c>
      <c r="G3517" s="8">
        <f>3*INDEX([1]equip.xml!$I:$I,MATCH(D3517,[1]equip.xml!$A:$A,0))</f>
        <v>228000</v>
      </c>
      <c r="H3517" s="8" t="str">
        <f t="shared" si="3904"/>
        <v>10_10,50_20,80_30</v>
      </c>
      <c r="I3517" s="8">
        <v>6</v>
      </c>
      <c r="J3517" s="8">
        <f t="shared" si="3904"/>
        <v>240</v>
      </c>
      <c r="K3517" s="7" t="s">
        <v>310</v>
      </c>
      <c r="L3517" s="8">
        <v>32</v>
      </c>
      <c r="M3517" s="7">
        <f>IF(INDEX([1]equip.xml!$B:$B,MATCH(D3517,[1]equip.xml!$A:$A,0))=0,0,N3517)</f>
        <v>0</v>
      </c>
      <c r="N3517" s="8">
        <f t="shared" ref="N3517" si="3919">N3429</f>
        <v>130</v>
      </c>
    </row>
    <row r="3518" spans="1:14">
      <c r="A3518" s="7">
        <f t="shared" si="3855"/>
        <v>20012</v>
      </c>
      <c r="B3518" s="8">
        <f t="shared" ref="B3518:C3518" si="3920">B3430</f>
        <v>40000</v>
      </c>
      <c r="C3518" s="8" t="str">
        <f t="shared" si="3920"/>
        <v>装备</v>
      </c>
      <c r="D3518" s="8">
        <v>50352065</v>
      </c>
      <c r="E3518" s="8"/>
      <c r="F3518" s="8">
        <v>1</v>
      </c>
      <c r="G3518" s="8">
        <f>3*INDEX([1]equip.xml!$I:$I,MATCH(D3518,[1]equip.xml!$A:$A,0))</f>
        <v>210000</v>
      </c>
      <c r="H3518" s="8" t="str">
        <f t="shared" si="3904"/>
        <v>10_10,50_20,80_30</v>
      </c>
      <c r="I3518" s="8">
        <v>6</v>
      </c>
      <c r="J3518" s="8">
        <f t="shared" si="3904"/>
        <v>240</v>
      </c>
      <c r="K3518" s="7" t="s">
        <v>310</v>
      </c>
      <c r="L3518" s="8">
        <v>32</v>
      </c>
      <c r="M3518" s="7">
        <f>IF(INDEX([1]equip.xml!$B:$B,MATCH(D3518,[1]equip.xml!$A:$A,0))=0,0,N3518)</f>
        <v>130</v>
      </c>
      <c r="N3518" s="8">
        <f t="shared" ref="N3518" si="3921">N3430</f>
        <v>130</v>
      </c>
    </row>
    <row r="3519" spans="1:14">
      <c r="A3519" s="7">
        <f t="shared" si="3855"/>
        <v>20012</v>
      </c>
      <c r="B3519" s="8">
        <f t="shared" ref="B3519:C3519" si="3922">B3431</f>
        <v>40000</v>
      </c>
      <c r="C3519" s="8" t="str">
        <f t="shared" si="3922"/>
        <v>装备</v>
      </c>
      <c r="D3519" s="8">
        <v>50352066</v>
      </c>
      <c r="E3519" s="8"/>
      <c r="F3519" s="8">
        <v>1</v>
      </c>
      <c r="G3519" s="8">
        <f>3*INDEX([1]equip.xml!$I:$I,MATCH(D3519,[1]equip.xml!$A:$A,0))</f>
        <v>228000</v>
      </c>
      <c r="H3519" s="8" t="str">
        <f t="shared" si="3904"/>
        <v>10_10,50_20,80_30</v>
      </c>
      <c r="I3519" s="8">
        <v>6</v>
      </c>
      <c r="J3519" s="8">
        <f t="shared" si="3904"/>
        <v>240</v>
      </c>
      <c r="K3519" s="7" t="s">
        <v>310</v>
      </c>
      <c r="L3519" s="8">
        <v>32</v>
      </c>
      <c r="M3519" s="7">
        <f>IF(INDEX([1]equip.xml!$B:$B,MATCH(D3519,[1]equip.xml!$A:$A,0))=0,0,N3519)</f>
        <v>130</v>
      </c>
      <c r="N3519" s="8">
        <f t="shared" ref="N3519" si="3923">N3431</f>
        <v>130</v>
      </c>
    </row>
    <row r="3520" spans="1:14">
      <c r="A3520" s="7">
        <f t="shared" si="3855"/>
        <v>20012</v>
      </c>
      <c r="B3520" s="8">
        <f t="shared" ref="B3520:C3520" si="3924">B3432</f>
        <v>40000</v>
      </c>
      <c r="C3520" s="8" t="str">
        <f t="shared" si="3924"/>
        <v>装备</v>
      </c>
      <c r="D3520" s="8">
        <v>50353055</v>
      </c>
      <c r="E3520" s="8"/>
      <c r="F3520" s="8">
        <v>1</v>
      </c>
      <c r="G3520" s="8">
        <f>3*INDEX([1]equip.xml!$I:$I,MATCH(D3520,[1]equip.xml!$A:$A,0))</f>
        <v>210000</v>
      </c>
      <c r="H3520" s="8" t="str">
        <f t="shared" si="3904"/>
        <v>10_10,50_20,80_30</v>
      </c>
      <c r="I3520" s="8">
        <v>6</v>
      </c>
      <c r="J3520" s="8">
        <f t="shared" si="3904"/>
        <v>240</v>
      </c>
      <c r="K3520" s="7" t="s">
        <v>310</v>
      </c>
      <c r="L3520" s="8">
        <v>32</v>
      </c>
      <c r="M3520" s="7">
        <f>IF(INDEX([1]equip.xml!$B:$B,MATCH(D3520,[1]equip.xml!$A:$A,0))=0,0,N3520)</f>
        <v>130</v>
      </c>
      <c r="N3520" s="8">
        <f t="shared" ref="N3520" si="3925">N3432</f>
        <v>130</v>
      </c>
    </row>
    <row r="3521" spans="1:14">
      <c r="A3521" s="7">
        <f t="shared" si="3855"/>
        <v>20012</v>
      </c>
      <c r="B3521" s="8">
        <f t="shared" ref="B3521:C3521" si="3926">B3433</f>
        <v>40000</v>
      </c>
      <c r="C3521" s="8" t="str">
        <f t="shared" si="3926"/>
        <v>装备</v>
      </c>
      <c r="D3521" s="8">
        <v>50353056</v>
      </c>
      <c r="E3521" s="8"/>
      <c r="F3521" s="8">
        <v>1</v>
      </c>
      <c r="G3521" s="8">
        <f>3*INDEX([1]equip.xml!$I:$I,MATCH(D3521,[1]equip.xml!$A:$A,0))</f>
        <v>228000</v>
      </c>
      <c r="H3521" s="8" t="str">
        <f t="shared" si="3904"/>
        <v>10_10,50_20,80_30</v>
      </c>
      <c r="I3521" s="8">
        <v>6</v>
      </c>
      <c r="J3521" s="8">
        <f t="shared" si="3904"/>
        <v>240</v>
      </c>
      <c r="K3521" s="7" t="s">
        <v>310</v>
      </c>
      <c r="L3521" s="8">
        <v>32</v>
      </c>
      <c r="M3521" s="7">
        <f>IF(INDEX([1]equip.xml!$B:$B,MATCH(D3521,[1]equip.xml!$A:$A,0))=0,0,N3521)</f>
        <v>0</v>
      </c>
      <c r="N3521" s="8">
        <f t="shared" ref="N3521" si="3927">N3433</f>
        <v>130</v>
      </c>
    </row>
    <row r="3522" spans="1:14">
      <c r="A3522" s="7">
        <f t="shared" si="3855"/>
        <v>20012</v>
      </c>
      <c r="B3522" s="8">
        <f t="shared" ref="B3522:C3522" si="3928">B3434</f>
        <v>40000</v>
      </c>
      <c r="C3522" s="8" t="str">
        <f t="shared" si="3928"/>
        <v>装备</v>
      </c>
      <c r="D3522" s="8">
        <v>50353065</v>
      </c>
      <c r="E3522" s="8"/>
      <c r="F3522" s="8">
        <v>1</v>
      </c>
      <c r="G3522" s="8">
        <f>3*INDEX([1]equip.xml!$I:$I,MATCH(D3522,[1]equip.xml!$A:$A,0))</f>
        <v>210000</v>
      </c>
      <c r="H3522" s="8" t="str">
        <f t="shared" si="3904"/>
        <v>10_10,50_20,80_30</v>
      </c>
      <c r="I3522" s="8">
        <v>6</v>
      </c>
      <c r="J3522" s="8">
        <f t="shared" si="3904"/>
        <v>240</v>
      </c>
      <c r="K3522" s="7" t="s">
        <v>310</v>
      </c>
      <c r="L3522" s="8">
        <v>32</v>
      </c>
      <c r="M3522" s="7">
        <f>IF(INDEX([1]equip.xml!$B:$B,MATCH(D3522,[1]equip.xml!$A:$A,0))=0,0,N3522)</f>
        <v>130</v>
      </c>
      <c r="N3522" s="8">
        <f t="shared" ref="N3522" si="3929">N3434</f>
        <v>130</v>
      </c>
    </row>
    <row r="3523" spans="1:14">
      <c r="A3523" s="7">
        <f t="shared" si="3855"/>
        <v>20012</v>
      </c>
      <c r="B3523" s="8">
        <f t="shared" ref="B3523:C3523" si="3930">B3435</f>
        <v>40000</v>
      </c>
      <c r="C3523" s="8" t="str">
        <f t="shared" si="3930"/>
        <v>装备</v>
      </c>
      <c r="D3523" s="8">
        <v>50353066</v>
      </c>
      <c r="E3523" s="8"/>
      <c r="F3523" s="8">
        <v>1</v>
      </c>
      <c r="G3523" s="8">
        <f>3*INDEX([1]equip.xml!$I:$I,MATCH(D3523,[1]equip.xml!$A:$A,0))</f>
        <v>228000</v>
      </c>
      <c r="H3523" s="8" t="str">
        <f t="shared" si="3904"/>
        <v>10_10,50_20,80_30</v>
      </c>
      <c r="I3523" s="8">
        <v>6</v>
      </c>
      <c r="J3523" s="8">
        <f t="shared" si="3904"/>
        <v>240</v>
      </c>
      <c r="K3523" s="7" t="s">
        <v>310</v>
      </c>
      <c r="L3523" s="8">
        <v>32</v>
      </c>
      <c r="M3523" s="7">
        <f>IF(INDEX([1]equip.xml!$B:$B,MATCH(D3523,[1]equip.xml!$A:$A,0))=0,0,N3523)</f>
        <v>130</v>
      </c>
      <c r="N3523" s="8">
        <f t="shared" ref="N3523" si="3931">N3435</f>
        <v>130</v>
      </c>
    </row>
    <row r="3524" spans="1:14">
      <c r="A3524" s="7">
        <f t="shared" si="3855"/>
        <v>20012</v>
      </c>
      <c r="B3524" s="8">
        <f t="shared" ref="B3524:C3524" si="3932">B3436</f>
        <v>40000</v>
      </c>
      <c r="C3524" s="8" t="str">
        <f t="shared" si="3932"/>
        <v>装备</v>
      </c>
      <c r="D3524" s="8">
        <v>50350045</v>
      </c>
      <c r="E3524" s="8"/>
      <c r="F3524" s="8">
        <v>1</v>
      </c>
      <c r="G3524" s="8">
        <f>3*INDEX([1]equip.xml!$I:$I,MATCH(D3524,[1]equip.xml!$A:$A,0))</f>
        <v>210000</v>
      </c>
      <c r="H3524" s="8" t="str">
        <f t="shared" si="3904"/>
        <v>10_10,50_20,80_30</v>
      </c>
      <c r="I3524" s="8">
        <v>6</v>
      </c>
      <c r="J3524" s="8">
        <f t="shared" si="3904"/>
        <v>240</v>
      </c>
      <c r="K3524" s="7" t="s">
        <v>310</v>
      </c>
      <c r="L3524" s="8">
        <v>32</v>
      </c>
      <c r="M3524" s="7">
        <f>IF(INDEX([1]equip.xml!$B:$B,MATCH(D3524,[1]equip.xml!$A:$A,0))=0,0,N3524)</f>
        <v>130</v>
      </c>
      <c r="N3524" s="8">
        <f t="shared" ref="N3524" si="3933">N3436</f>
        <v>130</v>
      </c>
    </row>
    <row r="3525" spans="1:14">
      <c r="A3525" s="7">
        <f t="shared" si="3855"/>
        <v>20012</v>
      </c>
      <c r="B3525" s="8">
        <f t="shared" ref="B3525:C3525" si="3934">B3437</f>
        <v>40000</v>
      </c>
      <c r="C3525" s="8" t="str">
        <f t="shared" si="3934"/>
        <v>装备</v>
      </c>
      <c r="D3525" s="8">
        <v>50350046</v>
      </c>
      <c r="E3525" s="8"/>
      <c r="F3525" s="8">
        <v>1</v>
      </c>
      <c r="G3525" s="8">
        <f>3*INDEX([1]equip.xml!$I:$I,MATCH(D3525,[1]equip.xml!$A:$A,0))</f>
        <v>228000</v>
      </c>
      <c r="H3525" s="8" t="str">
        <f t="shared" si="3904"/>
        <v>10_10,50_20,80_30</v>
      </c>
      <c r="I3525" s="8">
        <v>6</v>
      </c>
      <c r="J3525" s="8">
        <f t="shared" si="3904"/>
        <v>240</v>
      </c>
      <c r="K3525" s="7" t="s">
        <v>310</v>
      </c>
      <c r="L3525" s="8">
        <v>32</v>
      </c>
      <c r="M3525" s="7">
        <f>IF(INDEX([1]equip.xml!$B:$B,MATCH(D3525,[1]equip.xml!$A:$A,0))=0,0,N3525)</f>
        <v>130</v>
      </c>
      <c r="N3525" s="8">
        <f t="shared" ref="N3525" si="3935">N3437</f>
        <v>130</v>
      </c>
    </row>
    <row r="3526" spans="1:14">
      <c r="A3526" s="7">
        <f t="shared" si="3855"/>
        <v>20012</v>
      </c>
      <c r="B3526" s="8">
        <f t="shared" ref="B3526:C3526" si="3936">B3438</f>
        <v>40000</v>
      </c>
      <c r="C3526" s="8" t="str">
        <f t="shared" si="3936"/>
        <v>装备</v>
      </c>
      <c r="D3526" s="8">
        <v>50350075</v>
      </c>
      <c r="E3526" s="8"/>
      <c r="F3526" s="8">
        <v>1</v>
      </c>
      <c r="G3526" s="8">
        <f>3*INDEX([1]equip.xml!$I:$I,MATCH(D3526,[1]equip.xml!$A:$A,0))</f>
        <v>210000</v>
      </c>
      <c r="H3526" s="8" t="str">
        <f t="shared" ref="H3526:J3541" si="3937">H3438</f>
        <v>10_10,50_20,80_30</v>
      </c>
      <c r="I3526" s="8">
        <v>6</v>
      </c>
      <c r="J3526" s="8">
        <f t="shared" si="3937"/>
        <v>240</v>
      </c>
      <c r="K3526" s="7" t="s">
        <v>310</v>
      </c>
      <c r="L3526" s="8">
        <v>32</v>
      </c>
      <c r="M3526" s="7">
        <f>IF(INDEX([1]equip.xml!$B:$B,MATCH(D3526,[1]equip.xml!$A:$A,0))=0,0,N3526)</f>
        <v>130</v>
      </c>
      <c r="N3526" s="8">
        <f t="shared" ref="N3526" si="3938">N3438</f>
        <v>130</v>
      </c>
    </row>
    <row r="3527" spans="1:14">
      <c r="A3527" s="7">
        <f t="shared" si="3855"/>
        <v>20012</v>
      </c>
      <c r="B3527" s="8">
        <f t="shared" ref="B3527:C3527" si="3939">B3439</f>
        <v>40000</v>
      </c>
      <c r="C3527" s="8" t="str">
        <f t="shared" si="3939"/>
        <v>装备</v>
      </c>
      <c r="D3527" s="8">
        <v>50350076</v>
      </c>
      <c r="E3527" s="8"/>
      <c r="F3527" s="8">
        <v>1</v>
      </c>
      <c r="G3527" s="8">
        <f>3*INDEX([1]equip.xml!$I:$I,MATCH(D3527,[1]equip.xml!$A:$A,0))</f>
        <v>228000</v>
      </c>
      <c r="H3527" s="8" t="str">
        <f t="shared" si="3937"/>
        <v>10_10,50_20,80_30</v>
      </c>
      <c r="I3527" s="8">
        <v>6</v>
      </c>
      <c r="J3527" s="8">
        <f t="shared" si="3937"/>
        <v>240</v>
      </c>
      <c r="K3527" s="7" t="s">
        <v>310</v>
      </c>
      <c r="L3527" s="8">
        <v>32</v>
      </c>
      <c r="M3527" s="7">
        <f>IF(INDEX([1]equip.xml!$B:$B,MATCH(D3527,[1]equip.xml!$A:$A,0))=0,0,N3527)</f>
        <v>0</v>
      </c>
      <c r="N3527" s="8">
        <f t="shared" ref="N3527" si="3940">N3439</f>
        <v>130</v>
      </c>
    </row>
    <row r="3528" spans="1:14">
      <c r="A3528" s="7">
        <f t="shared" si="3855"/>
        <v>20012</v>
      </c>
      <c r="B3528" s="8">
        <f t="shared" ref="B3528:C3528" si="3941">B3440</f>
        <v>40000</v>
      </c>
      <c r="C3528" s="8" t="str">
        <f t="shared" si="3941"/>
        <v>装备</v>
      </c>
      <c r="D3528" s="8">
        <v>50400015</v>
      </c>
      <c r="E3528" s="8"/>
      <c r="F3528" s="8">
        <v>1</v>
      </c>
      <c r="G3528" s="8">
        <f>3*INDEX([1]equip.xml!$I:$I,MATCH(D3528,[1]equip.xml!$A:$A,0))</f>
        <v>240000</v>
      </c>
      <c r="H3528" s="8" t="str">
        <f t="shared" si="3937"/>
        <v>10_10,50_20,80_30</v>
      </c>
      <c r="I3528" s="8">
        <v>6</v>
      </c>
      <c r="J3528" s="8">
        <f t="shared" si="3937"/>
        <v>240</v>
      </c>
      <c r="K3528" s="7" t="s">
        <v>310</v>
      </c>
      <c r="L3528" s="8">
        <v>32</v>
      </c>
      <c r="M3528" s="7">
        <f>IF(INDEX([1]equip.xml!$B:$B,MATCH(D3528,[1]equip.xml!$A:$A,0))=0,0,N3528)</f>
        <v>65</v>
      </c>
      <c r="N3528" s="8">
        <f t="shared" ref="N3528" si="3942">N3440</f>
        <v>65</v>
      </c>
    </row>
    <row r="3529" spans="1:14">
      <c r="A3529" s="7">
        <f t="shared" si="3855"/>
        <v>20012</v>
      </c>
      <c r="B3529" s="8">
        <f t="shared" ref="B3529:C3529" si="3943">B3441</f>
        <v>40000</v>
      </c>
      <c r="C3529" s="8" t="str">
        <f t="shared" si="3943"/>
        <v>装备</v>
      </c>
      <c r="D3529" s="8">
        <v>50400025</v>
      </c>
      <c r="E3529" s="8"/>
      <c r="F3529" s="8">
        <v>1</v>
      </c>
      <c r="G3529" s="8">
        <f>3*INDEX([1]equip.xml!$I:$I,MATCH(D3529,[1]equip.xml!$A:$A,0))</f>
        <v>240000</v>
      </c>
      <c r="H3529" s="8" t="str">
        <f t="shared" si="3937"/>
        <v>10_10,50_20,80_30</v>
      </c>
      <c r="I3529" s="8">
        <v>6</v>
      </c>
      <c r="J3529" s="8">
        <f t="shared" si="3937"/>
        <v>240</v>
      </c>
      <c r="K3529" s="7" t="s">
        <v>310</v>
      </c>
      <c r="L3529" s="8">
        <v>32</v>
      </c>
      <c r="M3529" s="7">
        <f>IF(INDEX([1]equip.xml!$B:$B,MATCH(D3529,[1]equip.xml!$A:$A,0))=0,0,N3529)</f>
        <v>65</v>
      </c>
      <c r="N3529" s="8">
        <f t="shared" ref="N3529" si="3944">N3441</f>
        <v>65</v>
      </c>
    </row>
    <row r="3530" spans="1:14">
      <c r="A3530" s="7">
        <f t="shared" si="3855"/>
        <v>20012</v>
      </c>
      <c r="B3530" s="8">
        <f t="shared" ref="B3530:C3530" si="3945">B3442</f>
        <v>40000</v>
      </c>
      <c r="C3530" s="8" t="str">
        <f t="shared" si="3945"/>
        <v>装备</v>
      </c>
      <c r="D3530" s="8">
        <v>50400035</v>
      </c>
      <c r="E3530" s="8"/>
      <c r="F3530" s="8">
        <v>1</v>
      </c>
      <c r="G3530" s="8">
        <f>3*INDEX([1]equip.xml!$I:$I,MATCH(D3530,[1]equip.xml!$A:$A,0))</f>
        <v>240000</v>
      </c>
      <c r="H3530" s="8" t="str">
        <f t="shared" si="3937"/>
        <v>10_10,50_20,80_30</v>
      </c>
      <c r="I3530" s="8">
        <v>6</v>
      </c>
      <c r="J3530" s="8">
        <f t="shared" si="3937"/>
        <v>240</v>
      </c>
      <c r="K3530" s="7" t="s">
        <v>310</v>
      </c>
      <c r="L3530" s="8">
        <v>32</v>
      </c>
      <c r="M3530" s="7">
        <f>IF(INDEX([1]equip.xml!$B:$B,MATCH(D3530,[1]equip.xml!$A:$A,0))=0,0,N3530)</f>
        <v>65</v>
      </c>
      <c r="N3530" s="8">
        <f t="shared" ref="N3530" si="3946">N3442</f>
        <v>65</v>
      </c>
    </row>
    <row r="3531" spans="1:14">
      <c r="A3531" s="7">
        <f t="shared" si="3855"/>
        <v>20012</v>
      </c>
      <c r="B3531" s="8">
        <f t="shared" ref="B3531:C3531" si="3947">B3443</f>
        <v>40000</v>
      </c>
      <c r="C3531" s="8" t="str">
        <f t="shared" si="3947"/>
        <v>装备</v>
      </c>
      <c r="D3531" s="8">
        <v>50400085</v>
      </c>
      <c r="E3531" s="8"/>
      <c r="F3531" s="8">
        <v>1</v>
      </c>
      <c r="G3531" s="8">
        <f>3*INDEX([1]equip.xml!$I:$I,MATCH(D3531,[1]equip.xml!$A:$A,0))</f>
        <v>240000</v>
      </c>
      <c r="H3531" s="8" t="str">
        <f t="shared" si="3937"/>
        <v>10_10,50_20,80_30</v>
      </c>
      <c r="I3531" s="8">
        <v>6</v>
      </c>
      <c r="J3531" s="8">
        <f t="shared" si="3937"/>
        <v>240</v>
      </c>
      <c r="K3531" s="7" t="s">
        <v>310</v>
      </c>
      <c r="L3531" s="8">
        <v>32</v>
      </c>
      <c r="M3531" s="7">
        <f>IF(INDEX([1]equip.xml!$B:$B,MATCH(D3531,[1]equip.xml!$A:$A,0))=0,0,N3531)</f>
        <v>65</v>
      </c>
      <c r="N3531" s="8">
        <f t="shared" ref="N3531" si="3948">N3443</f>
        <v>65</v>
      </c>
    </row>
    <row r="3532" spans="1:14">
      <c r="A3532" s="7">
        <f t="shared" si="3855"/>
        <v>20012</v>
      </c>
      <c r="B3532" s="8">
        <f t="shared" ref="B3532:C3532" si="3949">B3444</f>
        <v>40000</v>
      </c>
      <c r="C3532" s="8" t="str">
        <f t="shared" si="3949"/>
        <v>装备</v>
      </c>
      <c r="D3532" s="8">
        <v>50400095</v>
      </c>
      <c r="E3532" s="8"/>
      <c r="F3532" s="8">
        <v>1</v>
      </c>
      <c r="G3532" s="8">
        <f>3*INDEX([1]equip.xml!$I:$I,MATCH(D3532,[1]equip.xml!$A:$A,0))</f>
        <v>240000</v>
      </c>
      <c r="H3532" s="8" t="str">
        <f t="shared" si="3937"/>
        <v>10_10,50_20,80_30</v>
      </c>
      <c r="I3532" s="8">
        <v>6</v>
      </c>
      <c r="J3532" s="8">
        <f t="shared" si="3937"/>
        <v>240</v>
      </c>
      <c r="K3532" s="7" t="s">
        <v>310</v>
      </c>
      <c r="L3532" s="8">
        <v>32</v>
      </c>
      <c r="M3532" s="7">
        <f>IF(INDEX([1]equip.xml!$B:$B,MATCH(D3532,[1]equip.xml!$A:$A,0))=0,0,N3532)</f>
        <v>65</v>
      </c>
      <c r="N3532" s="8">
        <f t="shared" ref="N3532" si="3950">N3444</f>
        <v>65</v>
      </c>
    </row>
    <row r="3533" spans="1:14">
      <c r="A3533" s="7">
        <f t="shared" si="3855"/>
        <v>20012</v>
      </c>
      <c r="B3533" s="8">
        <f t="shared" ref="B3533:C3533" si="3951">B3445</f>
        <v>40000</v>
      </c>
      <c r="C3533" s="8" t="str">
        <f t="shared" si="3951"/>
        <v>装备</v>
      </c>
      <c r="D3533" s="8">
        <v>50400105</v>
      </c>
      <c r="E3533" s="8"/>
      <c r="F3533" s="8">
        <v>1</v>
      </c>
      <c r="G3533" s="8">
        <f>3*INDEX([1]equip.xml!$I:$I,MATCH(D3533,[1]equip.xml!$A:$A,0))</f>
        <v>240000</v>
      </c>
      <c r="H3533" s="8" t="str">
        <f t="shared" si="3937"/>
        <v>10_10,50_20,80_30</v>
      </c>
      <c r="I3533" s="8">
        <v>6</v>
      </c>
      <c r="J3533" s="8">
        <f t="shared" si="3937"/>
        <v>240</v>
      </c>
      <c r="K3533" s="7" t="s">
        <v>310</v>
      </c>
      <c r="L3533" s="8">
        <v>32</v>
      </c>
      <c r="M3533" s="7">
        <f>IF(INDEX([1]equip.xml!$B:$B,MATCH(D3533,[1]equip.xml!$A:$A,0))=0,0,N3533)</f>
        <v>65</v>
      </c>
      <c r="N3533" s="8">
        <f t="shared" ref="N3533" si="3952">N3445</f>
        <v>65</v>
      </c>
    </row>
    <row r="3534" spans="1:14">
      <c r="A3534" s="7">
        <f t="shared" si="3855"/>
        <v>20012</v>
      </c>
      <c r="B3534" s="8">
        <f t="shared" ref="B3534:C3534" si="3953">B3446</f>
        <v>40000</v>
      </c>
      <c r="C3534" s="8" t="str">
        <f t="shared" si="3953"/>
        <v>装备</v>
      </c>
      <c r="D3534" s="8">
        <v>50401055</v>
      </c>
      <c r="E3534" s="8"/>
      <c r="F3534" s="8">
        <v>1</v>
      </c>
      <c r="G3534" s="8">
        <f>3*INDEX([1]equip.xml!$I:$I,MATCH(D3534,[1]equip.xml!$A:$A,0))</f>
        <v>240000</v>
      </c>
      <c r="H3534" s="8" t="str">
        <f t="shared" si="3937"/>
        <v>10_10,50_20,80_30</v>
      </c>
      <c r="I3534" s="8">
        <v>6</v>
      </c>
      <c r="J3534" s="8">
        <f t="shared" si="3937"/>
        <v>240</v>
      </c>
      <c r="K3534" s="7" t="s">
        <v>310</v>
      </c>
      <c r="L3534" s="8">
        <v>32</v>
      </c>
      <c r="M3534" s="7">
        <f>IF(INDEX([1]equip.xml!$B:$B,MATCH(D3534,[1]equip.xml!$A:$A,0))=0,0,N3534)</f>
        <v>65</v>
      </c>
      <c r="N3534" s="8">
        <f t="shared" ref="N3534" si="3954">N3446</f>
        <v>65</v>
      </c>
    </row>
    <row r="3535" spans="1:14">
      <c r="A3535" s="7">
        <f t="shared" si="3855"/>
        <v>20012</v>
      </c>
      <c r="B3535" s="8">
        <f t="shared" ref="B3535:C3535" si="3955">B3447</f>
        <v>40000</v>
      </c>
      <c r="C3535" s="8" t="str">
        <f t="shared" si="3955"/>
        <v>装备</v>
      </c>
      <c r="D3535" s="8">
        <v>50401056</v>
      </c>
      <c r="E3535" s="8"/>
      <c r="F3535" s="8">
        <v>1</v>
      </c>
      <c r="G3535" s="8">
        <f>3*INDEX([1]equip.xml!$I:$I,MATCH(D3535,[1]equip.xml!$A:$A,0))</f>
        <v>258000</v>
      </c>
      <c r="H3535" s="8" t="str">
        <f t="shared" si="3937"/>
        <v>10_10,50_20,80_30</v>
      </c>
      <c r="I3535" s="8">
        <v>6</v>
      </c>
      <c r="J3535" s="8">
        <f t="shared" si="3937"/>
        <v>240</v>
      </c>
      <c r="K3535" s="7" t="s">
        <v>310</v>
      </c>
      <c r="L3535" s="8">
        <v>32</v>
      </c>
      <c r="M3535" s="7">
        <f>IF(INDEX([1]equip.xml!$B:$B,MATCH(D3535,[1]equip.xml!$A:$A,0))=0,0,N3535)</f>
        <v>65</v>
      </c>
      <c r="N3535" s="8">
        <f t="shared" ref="N3535" si="3956">N3447</f>
        <v>65</v>
      </c>
    </row>
    <row r="3536" spans="1:14">
      <c r="A3536" s="7">
        <f t="shared" si="3855"/>
        <v>20012</v>
      </c>
      <c r="B3536" s="8">
        <f t="shared" ref="B3536:C3536" si="3957">B3448</f>
        <v>40000</v>
      </c>
      <c r="C3536" s="8" t="str">
        <f t="shared" si="3957"/>
        <v>装备</v>
      </c>
      <c r="D3536" s="8">
        <v>50401065</v>
      </c>
      <c r="E3536" s="8"/>
      <c r="F3536" s="8">
        <v>1</v>
      </c>
      <c r="G3536" s="8">
        <f>3*INDEX([1]equip.xml!$I:$I,MATCH(D3536,[1]equip.xml!$A:$A,0))</f>
        <v>240000</v>
      </c>
      <c r="H3536" s="8" t="str">
        <f t="shared" si="3937"/>
        <v>10_10,50_20,80_30</v>
      </c>
      <c r="I3536" s="8">
        <v>6</v>
      </c>
      <c r="J3536" s="8">
        <f t="shared" si="3937"/>
        <v>240</v>
      </c>
      <c r="K3536" s="7" t="s">
        <v>310</v>
      </c>
      <c r="L3536" s="8">
        <v>32</v>
      </c>
      <c r="M3536" s="7">
        <f>IF(INDEX([1]equip.xml!$B:$B,MATCH(D3536,[1]equip.xml!$A:$A,0))=0,0,N3536)</f>
        <v>65</v>
      </c>
      <c r="N3536" s="8">
        <f t="shared" ref="N3536" si="3958">N3448</f>
        <v>65</v>
      </c>
    </row>
    <row r="3537" spans="1:14">
      <c r="A3537" s="7">
        <f t="shared" si="3855"/>
        <v>20012</v>
      </c>
      <c r="B3537" s="8">
        <f t="shared" ref="B3537:C3537" si="3959">B3449</f>
        <v>40000</v>
      </c>
      <c r="C3537" s="8" t="str">
        <f t="shared" si="3959"/>
        <v>装备</v>
      </c>
      <c r="D3537" s="8">
        <v>50401066</v>
      </c>
      <c r="E3537" s="8"/>
      <c r="F3537" s="8">
        <v>1</v>
      </c>
      <c r="G3537" s="8">
        <f>3*INDEX([1]equip.xml!$I:$I,MATCH(D3537,[1]equip.xml!$A:$A,0))</f>
        <v>258000</v>
      </c>
      <c r="H3537" s="8" t="str">
        <f t="shared" si="3937"/>
        <v>10_10,50_20,80_30</v>
      </c>
      <c r="I3537" s="8">
        <v>6</v>
      </c>
      <c r="J3537" s="8">
        <f t="shared" si="3937"/>
        <v>240</v>
      </c>
      <c r="K3537" s="7" t="s">
        <v>310</v>
      </c>
      <c r="L3537" s="8">
        <v>32</v>
      </c>
      <c r="M3537" s="7">
        <f>IF(INDEX([1]equip.xml!$B:$B,MATCH(D3537,[1]equip.xml!$A:$A,0))=0,0,N3537)</f>
        <v>0</v>
      </c>
      <c r="N3537" s="8">
        <f t="shared" ref="N3537" si="3960">N3449</f>
        <v>65</v>
      </c>
    </row>
    <row r="3538" spans="1:14">
      <c r="A3538" s="7">
        <f t="shared" si="3855"/>
        <v>20012</v>
      </c>
      <c r="B3538" s="8">
        <f t="shared" ref="B3538:C3538" si="3961">B3450</f>
        <v>40000</v>
      </c>
      <c r="C3538" s="8" t="str">
        <f t="shared" si="3961"/>
        <v>装备</v>
      </c>
      <c r="D3538" s="8">
        <v>50402055</v>
      </c>
      <c r="E3538" s="8"/>
      <c r="F3538" s="8">
        <v>1</v>
      </c>
      <c r="G3538" s="8">
        <f>3*INDEX([1]equip.xml!$I:$I,MATCH(D3538,[1]equip.xml!$A:$A,0))</f>
        <v>240000</v>
      </c>
      <c r="H3538" s="8" t="str">
        <f t="shared" si="3937"/>
        <v>10_10,50_20,80_30</v>
      </c>
      <c r="I3538" s="8">
        <v>6</v>
      </c>
      <c r="J3538" s="8">
        <f t="shared" si="3937"/>
        <v>240</v>
      </c>
      <c r="K3538" s="7" t="s">
        <v>310</v>
      </c>
      <c r="L3538" s="8">
        <v>32</v>
      </c>
      <c r="M3538" s="7">
        <f>IF(INDEX([1]equip.xml!$B:$B,MATCH(D3538,[1]equip.xml!$A:$A,0))=0,0,N3538)</f>
        <v>65</v>
      </c>
      <c r="N3538" s="8">
        <f t="shared" ref="N3538" si="3962">N3450</f>
        <v>65</v>
      </c>
    </row>
    <row r="3539" spans="1:14">
      <c r="A3539" s="7">
        <f t="shared" si="3855"/>
        <v>20012</v>
      </c>
      <c r="B3539" s="8">
        <f t="shared" ref="B3539:C3539" si="3963">B3451</f>
        <v>40000</v>
      </c>
      <c r="C3539" s="8" t="str">
        <f t="shared" si="3963"/>
        <v>装备</v>
      </c>
      <c r="D3539" s="8">
        <v>50402056</v>
      </c>
      <c r="E3539" s="8"/>
      <c r="F3539" s="8">
        <v>1</v>
      </c>
      <c r="G3539" s="8">
        <f>3*INDEX([1]equip.xml!$I:$I,MATCH(D3539,[1]equip.xml!$A:$A,0))</f>
        <v>258000</v>
      </c>
      <c r="H3539" s="8" t="str">
        <f t="shared" si="3937"/>
        <v>10_10,50_20,80_30</v>
      </c>
      <c r="I3539" s="8">
        <v>6</v>
      </c>
      <c r="J3539" s="8">
        <f t="shared" si="3937"/>
        <v>240</v>
      </c>
      <c r="K3539" s="7" t="s">
        <v>310</v>
      </c>
      <c r="L3539" s="8">
        <v>32</v>
      </c>
      <c r="M3539" s="7">
        <f>IF(INDEX([1]equip.xml!$B:$B,MATCH(D3539,[1]equip.xml!$A:$A,0))=0,0,N3539)</f>
        <v>65</v>
      </c>
      <c r="N3539" s="8">
        <f t="shared" ref="N3539" si="3964">N3451</f>
        <v>65</v>
      </c>
    </row>
    <row r="3540" spans="1:14">
      <c r="A3540" s="7">
        <f t="shared" si="3855"/>
        <v>20012</v>
      </c>
      <c r="B3540" s="8">
        <f t="shared" ref="B3540:C3540" si="3965">B3452</f>
        <v>40000</v>
      </c>
      <c r="C3540" s="8" t="str">
        <f t="shared" si="3965"/>
        <v>装备</v>
      </c>
      <c r="D3540" s="8">
        <v>50402065</v>
      </c>
      <c r="E3540" s="8"/>
      <c r="F3540" s="8">
        <v>1</v>
      </c>
      <c r="G3540" s="8">
        <f>3*INDEX([1]equip.xml!$I:$I,MATCH(D3540,[1]equip.xml!$A:$A,0))</f>
        <v>240000</v>
      </c>
      <c r="H3540" s="8" t="str">
        <f t="shared" si="3937"/>
        <v>10_10,50_20,80_30</v>
      </c>
      <c r="I3540" s="8">
        <v>6</v>
      </c>
      <c r="J3540" s="8">
        <f t="shared" si="3937"/>
        <v>240</v>
      </c>
      <c r="K3540" s="7" t="s">
        <v>310</v>
      </c>
      <c r="L3540" s="8">
        <v>32</v>
      </c>
      <c r="M3540" s="7">
        <f>IF(INDEX([1]equip.xml!$B:$B,MATCH(D3540,[1]equip.xml!$A:$A,0))=0,0,N3540)</f>
        <v>65</v>
      </c>
      <c r="N3540" s="8">
        <f t="shared" ref="N3540" si="3966">N3452</f>
        <v>65</v>
      </c>
    </row>
    <row r="3541" spans="1:14">
      <c r="A3541" s="7">
        <f t="shared" si="3855"/>
        <v>20012</v>
      </c>
      <c r="B3541" s="8">
        <f t="shared" ref="B3541:C3541" si="3967">B3453</f>
        <v>40000</v>
      </c>
      <c r="C3541" s="8" t="str">
        <f t="shared" si="3967"/>
        <v>装备</v>
      </c>
      <c r="D3541" s="8">
        <v>50402066</v>
      </c>
      <c r="E3541" s="8"/>
      <c r="F3541" s="8">
        <v>1</v>
      </c>
      <c r="G3541" s="8">
        <f>3*INDEX([1]equip.xml!$I:$I,MATCH(D3541,[1]equip.xml!$A:$A,0))</f>
        <v>258000</v>
      </c>
      <c r="H3541" s="8" t="str">
        <f t="shared" si="3937"/>
        <v>10_10,50_20,80_30</v>
      </c>
      <c r="I3541" s="8">
        <v>6</v>
      </c>
      <c r="J3541" s="8">
        <f t="shared" si="3937"/>
        <v>240</v>
      </c>
      <c r="K3541" s="7" t="s">
        <v>310</v>
      </c>
      <c r="L3541" s="8">
        <v>32</v>
      </c>
      <c r="M3541" s="7">
        <f>IF(INDEX([1]equip.xml!$B:$B,MATCH(D3541,[1]equip.xml!$A:$A,0))=0,0,N3541)</f>
        <v>0</v>
      </c>
      <c r="N3541" s="8">
        <f t="shared" ref="N3541" si="3968">N3453</f>
        <v>65</v>
      </c>
    </row>
    <row r="3542" spans="1:14">
      <c r="A3542" s="7">
        <f t="shared" si="3855"/>
        <v>20012</v>
      </c>
      <c r="B3542" s="8">
        <f t="shared" ref="B3542:C3542" si="3969">B3454</f>
        <v>40000</v>
      </c>
      <c r="C3542" s="8" t="str">
        <f t="shared" si="3969"/>
        <v>装备</v>
      </c>
      <c r="D3542" s="8">
        <v>50403055</v>
      </c>
      <c r="E3542" s="8"/>
      <c r="F3542" s="8">
        <v>1</v>
      </c>
      <c r="G3542" s="8">
        <f>3*INDEX([1]equip.xml!$I:$I,MATCH(D3542,[1]equip.xml!$A:$A,0))</f>
        <v>240000</v>
      </c>
      <c r="H3542" s="8" t="str">
        <f t="shared" ref="H3542:J3557" si="3970">H3454</f>
        <v>10_10,50_20,80_30</v>
      </c>
      <c r="I3542" s="8">
        <v>6</v>
      </c>
      <c r="J3542" s="8">
        <f t="shared" si="3970"/>
        <v>240</v>
      </c>
      <c r="K3542" s="7" t="s">
        <v>310</v>
      </c>
      <c r="L3542" s="8">
        <v>32</v>
      </c>
      <c r="M3542" s="7">
        <f>IF(INDEX([1]equip.xml!$B:$B,MATCH(D3542,[1]equip.xml!$A:$A,0))=0,0,N3542)</f>
        <v>65</v>
      </c>
      <c r="N3542" s="8">
        <f t="shared" ref="N3542" si="3971">N3454</f>
        <v>65</v>
      </c>
    </row>
    <row r="3543" spans="1:14">
      <c r="A3543" s="7">
        <f t="shared" si="3855"/>
        <v>20012</v>
      </c>
      <c r="B3543" s="8">
        <f t="shared" ref="B3543:C3543" si="3972">B3455</f>
        <v>40000</v>
      </c>
      <c r="C3543" s="8" t="str">
        <f t="shared" si="3972"/>
        <v>装备</v>
      </c>
      <c r="D3543" s="8">
        <v>50403056</v>
      </c>
      <c r="E3543" s="8"/>
      <c r="F3543" s="8">
        <v>1</v>
      </c>
      <c r="G3543" s="8">
        <f>3*INDEX([1]equip.xml!$I:$I,MATCH(D3543,[1]equip.xml!$A:$A,0))</f>
        <v>258000</v>
      </c>
      <c r="H3543" s="8" t="str">
        <f t="shared" si="3970"/>
        <v>10_10,50_20,80_30</v>
      </c>
      <c r="I3543" s="8">
        <v>6</v>
      </c>
      <c r="J3543" s="8">
        <f t="shared" si="3970"/>
        <v>240</v>
      </c>
      <c r="K3543" s="7" t="s">
        <v>310</v>
      </c>
      <c r="L3543" s="8">
        <v>32</v>
      </c>
      <c r="M3543" s="7">
        <f>IF(INDEX([1]equip.xml!$B:$B,MATCH(D3543,[1]equip.xml!$A:$A,0))=0,0,N3543)</f>
        <v>65</v>
      </c>
      <c r="N3543" s="8">
        <f t="shared" ref="N3543" si="3973">N3455</f>
        <v>65</v>
      </c>
    </row>
    <row r="3544" spans="1:14">
      <c r="A3544" s="7">
        <f t="shared" si="3855"/>
        <v>20012</v>
      </c>
      <c r="B3544" s="8">
        <f t="shared" ref="B3544:C3544" si="3974">B3456</f>
        <v>40000</v>
      </c>
      <c r="C3544" s="8" t="str">
        <f t="shared" si="3974"/>
        <v>装备</v>
      </c>
      <c r="D3544" s="8">
        <v>50403065</v>
      </c>
      <c r="E3544" s="8"/>
      <c r="F3544" s="8">
        <v>1</v>
      </c>
      <c r="G3544" s="8">
        <f>3*INDEX([1]equip.xml!$I:$I,MATCH(D3544,[1]equip.xml!$A:$A,0))</f>
        <v>240000</v>
      </c>
      <c r="H3544" s="8" t="str">
        <f t="shared" si="3970"/>
        <v>10_10,50_20,80_30</v>
      </c>
      <c r="I3544" s="8">
        <v>6</v>
      </c>
      <c r="J3544" s="8">
        <f t="shared" si="3970"/>
        <v>240</v>
      </c>
      <c r="K3544" s="7" t="s">
        <v>310</v>
      </c>
      <c r="L3544" s="8">
        <v>32</v>
      </c>
      <c r="M3544" s="7">
        <f>IF(INDEX([1]equip.xml!$B:$B,MATCH(D3544,[1]equip.xml!$A:$A,0))=0,0,N3544)</f>
        <v>65</v>
      </c>
      <c r="N3544" s="8">
        <f t="shared" ref="N3544" si="3975">N3456</f>
        <v>65</v>
      </c>
    </row>
    <row r="3545" spans="1:14">
      <c r="A3545" s="7">
        <f t="shared" si="3855"/>
        <v>20012</v>
      </c>
      <c r="B3545" s="8">
        <f t="shared" ref="B3545:C3545" si="3976">B3457</f>
        <v>40000</v>
      </c>
      <c r="C3545" s="8" t="str">
        <f t="shared" si="3976"/>
        <v>装备</v>
      </c>
      <c r="D3545" s="8">
        <v>50403066</v>
      </c>
      <c r="E3545" s="8"/>
      <c r="F3545" s="8">
        <v>1</v>
      </c>
      <c r="G3545" s="8">
        <f>3*INDEX([1]equip.xml!$I:$I,MATCH(D3545,[1]equip.xml!$A:$A,0))</f>
        <v>258000</v>
      </c>
      <c r="H3545" s="8" t="str">
        <f t="shared" si="3970"/>
        <v>10_10,50_20,80_30</v>
      </c>
      <c r="I3545" s="8">
        <v>6</v>
      </c>
      <c r="J3545" s="8">
        <f t="shared" si="3970"/>
        <v>240</v>
      </c>
      <c r="K3545" s="7" t="s">
        <v>310</v>
      </c>
      <c r="L3545" s="8">
        <v>32</v>
      </c>
      <c r="M3545" s="7">
        <f>IF(INDEX([1]equip.xml!$B:$B,MATCH(D3545,[1]equip.xml!$A:$A,0))=0,0,N3545)</f>
        <v>0</v>
      </c>
      <c r="N3545" s="8">
        <f t="shared" ref="N3545" si="3977">N3457</f>
        <v>65</v>
      </c>
    </row>
    <row r="3546" spans="1:14">
      <c r="A3546" s="7">
        <f t="shared" si="3855"/>
        <v>20012</v>
      </c>
      <c r="B3546" s="8">
        <f t="shared" ref="B3546:C3546" si="3978">B3458</f>
        <v>40000</v>
      </c>
      <c r="C3546" s="8" t="str">
        <f t="shared" si="3978"/>
        <v>装备</v>
      </c>
      <c r="D3546" s="8">
        <v>50400045</v>
      </c>
      <c r="E3546" s="8"/>
      <c r="F3546" s="8">
        <v>1</v>
      </c>
      <c r="G3546" s="8">
        <f>3*INDEX([1]equip.xml!$I:$I,MATCH(D3546,[1]equip.xml!$A:$A,0))</f>
        <v>240000</v>
      </c>
      <c r="H3546" s="8" t="str">
        <f t="shared" si="3970"/>
        <v>10_10,50_20,80_30</v>
      </c>
      <c r="I3546" s="8">
        <v>6</v>
      </c>
      <c r="J3546" s="8">
        <f t="shared" si="3970"/>
        <v>240</v>
      </c>
      <c r="K3546" s="7" t="s">
        <v>310</v>
      </c>
      <c r="L3546" s="8">
        <v>32</v>
      </c>
      <c r="M3546" s="7">
        <f>IF(INDEX([1]equip.xml!$B:$B,MATCH(D3546,[1]equip.xml!$A:$A,0))=0,0,N3546)</f>
        <v>65</v>
      </c>
      <c r="N3546" s="8">
        <f t="shared" ref="N3546" si="3979">N3458</f>
        <v>65</v>
      </c>
    </row>
    <row r="3547" spans="1:14">
      <c r="A3547" s="7">
        <f t="shared" si="3855"/>
        <v>20012</v>
      </c>
      <c r="B3547" s="8">
        <f t="shared" ref="B3547:C3547" si="3980">B3459</f>
        <v>40000</v>
      </c>
      <c r="C3547" s="8" t="str">
        <f t="shared" si="3980"/>
        <v>装备</v>
      </c>
      <c r="D3547" s="8">
        <v>50400046</v>
      </c>
      <c r="E3547" s="8"/>
      <c r="F3547" s="8">
        <v>1</v>
      </c>
      <c r="G3547" s="8">
        <f>3*INDEX([1]equip.xml!$I:$I,MATCH(D3547,[1]equip.xml!$A:$A,0))</f>
        <v>258000</v>
      </c>
      <c r="H3547" s="8" t="str">
        <f t="shared" si="3970"/>
        <v>10_10,50_20,80_30</v>
      </c>
      <c r="I3547" s="8">
        <v>6</v>
      </c>
      <c r="J3547" s="8">
        <f t="shared" si="3970"/>
        <v>240</v>
      </c>
      <c r="K3547" s="7" t="s">
        <v>310</v>
      </c>
      <c r="L3547" s="8">
        <v>32</v>
      </c>
      <c r="M3547" s="7">
        <f>IF(INDEX([1]equip.xml!$B:$B,MATCH(D3547,[1]equip.xml!$A:$A,0))=0,0,N3547)</f>
        <v>0</v>
      </c>
      <c r="N3547" s="8">
        <f t="shared" ref="N3547" si="3981">N3459</f>
        <v>65</v>
      </c>
    </row>
    <row r="3548" spans="1:14">
      <c r="A3548" s="7">
        <f t="shared" si="3855"/>
        <v>20012</v>
      </c>
      <c r="B3548" s="8">
        <f t="shared" ref="B3548:C3548" si="3982">B3460</f>
        <v>40000</v>
      </c>
      <c r="C3548" s="8" t="str">
        <f t="shared" si="3982"/>
        <v>装备</v>
      </c>
      <c r="D3548" s="8">
        <v>50400075</v>
      </c>
      <c r="E3548" s="8"/>
      <c r="F3548" s="8">
        <v>1</v>
      </c>
      <c r="G3548" s="8">
        <f>3*INDEX([1]equip.xml!$I:$I,MATCH(D3548,[1]equip.xml!$A:$A,0))</f>
        <v>240000</v>
      </c>
      <c r="H3548" s="8" t="str">
        <f t="shared" si="3970"/>
        <v>10_10,50_20,80_30</v>
      </c>
      <c r="I3548" s="8">
        <v>6</v>
      </c>
      <c r="J3548" s="8">
        <f t="shared" si="3970"/>
        <v>240</v>
      </c>
      <c r="K3548" s="7" t="s">
        <v>310</v>
      </c>
      <c r="L3548" s="8">
        <v>32</v>
      </c>
      <c r="M3548" s="7">
        <f>IF(INDEX([1]equip.xml!$B:$B,MATCH(D3548,[1]equip.xml!$A:$A,0))=0,0,N3548)</f>
        <v>65</v>
      </c>
      <c r="N3548" s="8">
        <f t="shared" ref="N3548" si="3983">N3460</f>
        <v>65</v>
      </c>
    </row>
    <row r="3549" spans="1:14">
      <c r="A3549" s="7">
        <f t="shared" si="3855"/>
        <v>20012</v>
      </c>
      <c r="B3549" s="8">
        <f t="shared" ref="B3549:C3549" si="3984">B3461</f>
        <v>40000</v>
      </c>
      <c r="C3549" s="8" t="str">
        <f t="shared" si="3984"/>
        <v>装备</v>
      </c>
      <c r="D3549" s="8">
        <v>50400076</v>
      </c>
      <c r="E3549" s="8"/>
      <c r="F3549" s="8">
        <v>1</v>
      </c>
      <c r="G3549" s="8">
        <f>3*INDEX([1]equip.xml!$I:$I,MATCH(D3549,[1]equip.xml!$A:$A,0))</f>
        <v>258000</v>
      </c>
      <c r="H3549" s="8" t="str">
        <f t="shared" si="3970"/>
        <v>10_10,50_20,80_30</v>
      </c>
      <c r="I3549" s="8">
        <v>6</v>
      </c>
      <c r="J3549" s="8">
        <f t="shared" si="3970"/>
        <v>240</v>
      </c>
      <c r="K3549" s="7" t="s">
        <v>310</v>
      </c>
      <c r="L3549" s="8">
        <v>32</v>
      </c>
      <c r="M3549" s="7">
        <f>IF(INDEX([1]equip.xml!$B:$B,MATCH(D3549,[1]equip.xml!$A:$A,0))=0,0,N3549)</f>
        <v>0</v>
      </c>
      <c r="N3549" s="8">
        <f t="shared" ref="N3549" si="3985">N3461</f>
        <v>65</v>
      </c>
    </row>
    <row r="3550" spans="1:14">
      <c r="A3550" s="7">
        <f t="shared" si="3855"/>
        <v>20013</v>
      </c>
      <c r="B3550" s="7">
        <f t="shared" ref="B3550:C3550" si="3986">B3462</f>
        <v>40000</v>
      </c>
      <c r="C3550" s="7" t="str">
        <f t="shared" si="3986"/>
        <v>装备</v>
      </c>
      <c r="D3550" s="7">
        <v>40400010</v>
      </c>
      <c r="E3550" s="7"/>
      <c r="F3550" s="7">
        <v>1</v>
      </c>
      <c r="G3550" s="7">
        <f>3*INDEX([1]equip.xml!$I:$I,MATCH(D3550&amp;"",[1]equip.xml!$A:$A,0))</f>
        <v>120000</v>
      </c>
      <c r="H3550" s="7" t="str">
        <f t="shared" si="3970"/>
        <v>10_10,50_20,80_30</v>
      </c>
      <c r="I3550" s="7">
        <v>6</v>
      </c>
      <c r="J3550" s="7">
        <f t="shared" si="3970"/>
        <v>50</v>
      </c>
      <c r="K3550" s="7" t="s">
        <v>310</v>
      </c>
      <c r="L3550" s="7">
        <v>34</v>
      </c>
      <c r="M3550" s="7">
        <f>IF(INDEX([1]equip.xml!$B:$B,MATCH(D3550&amp;"",[1]equip.xml!$A:$A,0))=0,0,N3550)</f>
        <v>130</v>
      </c>
      <c r="N3550" s="7">
        <f t="shared" ref="N3550" si="3987">N3462</f>
        <v>130</v>
      </c>
    </row>
    <row r="3551" spans="1:14">
      <c r="A3551" s="7">
        <f t="shared" ref="A3551:A3614" si="3988">10000+A735</f>
        <v>20013</v>
      </c>
      <c r="B3551" s="7">
        <f t="shared" ref="B3551:C3551" si="3989">B3463</f>
        <v>40000</v>
      </c>
      <c r="C3551" s="7" t="str">
        <f t="shared" si="3989"/>
        <v>装备</v>
      </c>
      <c r="D3551" s="7">
        <v>40400020</v>
      </c>
      <c r="E3551" s="7"/>
      <c r="F3551" s="7">
        <v>1</v>
      </c>
      <c r="G3551" s="7">
        <f>3*INDEX([1]equip.xml!$I:$I,MATCH(D3551&amp;"",[1]equip.xml!$A:$A,0))</f>
        <v>120000</v>
      </c>
      <c r="H3551" s="7" t="str">
        <f t="shared" si="3970"/>
        <v>10_10,50_20,80_30</v>
      </c>
      <c r="I3551" s="7">
        <v>6</v>
      </c>
      <c r="J3551" s="7">
        <f t="shared" si="3970"/>
        <v>50</v>
      </c>
      <c r="K3551" s="7" t="s">
        <v>310</v>
      </c>
      <c r="L3551" s="7">
        <v>34</v>
      </c>
      <c r="M3551" s="7">
        <f>IF(INDEX([1]equip.xml!$B:$B,MATCH(D3551&amp;"",[1]equip.xml!$A:$A,0))=0,0,N3551)</f>
        <v>130</v>
      </c>
      <c r="N3551" s="7">
        <f t="shared" ref="N3551" si="3990">N3463</f>
        <v>130</v>
      </c>
    </row>
    <row r="3552" spans="1:14">
      <c r="A3552" s="7">
        <f t="shared" si="3988"/>
        <v>20013</v>
      </c>
      <c r="B3552" s="7">
        <f t="shared" ref="B3552:C3552" si="3991">B3464</f>
        <v>40000</v>
      </c>
      <c r="C3552" s="7" t="str">
        <f t="shared" si="3991"/>
        <v>装备</v>
      </c>
      <c r="D3552" s="7">
        <v>40400030</v>
      </c>
      <c r="E3552" s="7"/>
      <c r="F3552" s="7">
        <v>1</v>
      </c>
      <c r="G3552" s="7">
        <f>3*INDEX([1]equip.xml!$I:$I,MATCH(D3552&amp;"",[1]equip.xml!$A:$A,0))</f>
        <v>120000</v>
      </c>
      <c r="H3552" s="7" t="str">
        <f t="shared" si="3970"/>
        <v>10_10,50_20,80_30</v>
      </c>
      <c r="I3552" s="7">
        <v>6</v>
      </c>
      <c r="J3552" s="7">
        <f t="shared" si="3970"/>
        <v>50</v>
      </c>
      <c r="K3552" s="7" t="s">
        <v>310</v>
      </c>
      <c r="L3552" s="7">
        <v>34</v>
      </c>
      <c r="M3552" s="7">
        <f>IF(INDEX([1]equip.xml!$B:$B,MATCH(D3552&amp;"",[1]equip.xml!$A:$A,0))=0,0,N3552)</f>
        <v>130</v>
      </c>
      <c r="N3552" s="7">
        <f t="shared" ref="N3552" si="3992">N3464</f>
        <v>130</v>
      </c>
    </row>
    <row r="3553" spans="1:14">
      <c r="A3553" s="7">
        <f t="shared" si="3988"/>
        <v>20013</v>
      </c>
      <c r="B3553" s="7">
        <f t="shared" ref="B3553:C3553" si="3993">B3465</f>
        <v>40000</v>
      </c>
      <c r="C3553" s="7" t="str">
        <f t="shared" si="3993"/>
        <v>装备</v>
      </c>
      <c r="D3553" s="7">
        <v>40400080</v>
      </c>
      <c r="E3553" s="7"/>
      <c r="F3553" s="7">
        <v>1</v>
      </c>
      <c r="G3553" s="7">
        <f>3*INDEX([1]equip.xml!$I:$I,MATCH(D3553&amp;"",[1]equip.xml!$A:$A,0))</f>
        <v>120000</v>
      </c>
      <c r="H3553" s="7" t="str">
        <f t="shared" si="3970"/>
        <v>10_10,50_20,80_30</v>
      </c>
      <c r="I3553" s="7">
        <v>6</v>
      </c>
      <c r="J3553" s="7">
        <f t="shared" si="3970"/>
        <v>50</v>
      </c>
      <c r="K3553" s="7" t="s">
        <v>310</v>
      </c>
      <c r="L3553" s="7">
        <v>34</v>
      </c>
      <c r="M3553" s="7">
        <f>IF(INDEX([1]equip.xml!$B:$B,MATCH(D3553&amp;"",[1]equip.xml!$A:$A,0))=0,0,N3553)</f>
        <v>130</v>
      </c>
      <c r="N3553" s="7">
        <f t="shared" ref="N3553" si="3994">N3465</f>
        <v>130</v>
      </c>
    </row>
    <row r="3554" spans="1:14">
      <c r="A3554" s="7">
        <f t="shared" si="3988"/>
        <v>20013</v>
      </c>
      <c r="B3554" s="7">
        <f t="shared" ref="B3554:C3554" si="3995">B3466</f>
        <v>40000</v>
      </c>
      <c r="C3554" s="7" t="str">
        <f t="shared" si="3995"/>
        <v>装备</v>
      </c>
      <c r="D3554" s="7">
        <v>40400090</v>
      </c>
      <c r="E3554" s="7"/>
      <c r="F3554" s="7">
        <v>1</v>
      </c>
      <c r="G3554" s="7">
        <f>3*INDEX([1]equip.xml!$I:$I,MATCH(D3554&amp;"",[1]equip.xml!$A:$A,0))</f>
        <v>120000</v>
      </c>
      <c r="H3554" s="7" t="str">
        <f t="shared" si="3970"/>
        <v>10_10,50_20,80_30</v>
      </c>
      <c r="I3554" s="7">
        <v>6</v>
      </c>
      <c r="J3554" s="7">
        <f t="shared" si="3970"/>
        <v>50</v>
      </c>
      <c r="K3554" s="7" t="s">
        <v>310</v>
      </c>
      <c r="L3554" s="7">
        <v>34</v>
      </c>
      <c r="M3554" s="7">
        <f>IF(INDEX([1]equip.xml!$B:$B,MATCH(D3554&amp;"",[1]equip.xml!$A:$A,0))=0,0,N3554)</f>
        <v>130</v>
      </c>
      <c r="N3554" s="7">
        <f t="shared" ref="N3554" si="3996">N3466</f>
        <v>130</v>
      </c>
    </row>
    <row r="3555" spans="1:14">
      <c r="A3555" s="7">
        <f t="shared" si="3988"/>
        <v>20013</v>
      </c>
      <c r="B3555" s="7">
        <f t="shared" ref="B3555:C3555" si="3997">B3467</f>
        <v>40000</v>
      </c>
      <c r="C3555" s="7" t="str">
        <f t="shared" si="3997"/>
        <v>装备</v>
      </c>
      <c r="D3555" s="7">
        <v>40400100</v>
      </c>
      <c r="E3555" s="7"/>
      <c r="F3555" s="7">
        <v>1</v>
      </c>
      <c r="G3555" s="7">
        <f>3*INDEX([1]equip.xml!$I:$I,MATCH(D3555&amp;"",[1]equip.xml!$A:$A,0))</f>
        <v>120000</v>
      </c>
      <c r="H3555" s="7" t="str">
        <f t="shared" si="3970"/>
        <v>10_10,50_20,80_30</v>
      </c>
      <c r="I3555" s="7">
        <v>6</v>
      </c>
      <c r="J3555" s="7">
        <f t="shared" si="3970"/>
        <v>50</v>
      </c>
      <c r="K3555" s="7" t="s">
        <v>310</v>
      </c>
      <c r="L3555" s="7">
        <v>34</v>
      </c>
      <c r="M3555" s="7">
        <f>IF(INDEX([1]equip.xml!$B:$B,MATCH(D3555&amp;"",[1]equip.xml!$A:$A,0))=0,0,N3555)</f>
        <v>130</v>
      </c>
      <c r="N3555" s="7">
        <f t="shared" ref="N3555" si="3998">N3467</f>
        <v>130</v>
      </c>
    </row>
    <row r="3556" spans="1:14">
      <c r="A3556" s="7">
        <f t="shared" si="3988"/>
        <v>20013</v>
      </c>
      <c r="B3556" s="7">
        <f t="shared" ref="B3556:C3556" si="3999">B3468</f>
        <v>40000</v>
      </c>
      <c r="C3556" s="7" t="str">
        <f t="shared" si="3999"/>
        <v>装备</v>
      </c>
      <c r="D3556" s="7">
        <v>40401050</v>
      </c>
      <c r="E3556" s="7"/>
      <c r="F3556" s="7">
        <v>1</v>
      </c>
      <c r="G3556" s="7">
        <f>3*INDEX([1]equip.xml!$I:$I,MATCH(D3556&amp;"",[1]equip.xml!$A:$A,0))</f>
        <v>120000</v>
      </c>
      <c r="H3556" s="7" t="str">
        <f t="shared" si="3970"/>
        <v>10_10,50_20,80_30</v>
      </c>
      <c r="I3556" s="7">
        <v>6</v>
      </c>
      <c r="J3556" s="7">
        <f t="shared" si="3970"/>
        <v>50</v>
      </c>
      <c r="K3556" s="7" t="s">
        <v>310</v>
      </c>
      <c r="L3556" s="7">
        <v>34</v>
      </c>
      <c r="M3556" s="7">
        <f>IF(INDEX([1]equip.xml!$B:$B,MATCH(D3556&amp;"",[1]equip.xml!$A:$A,0))=0,0,N3556)</f>
        <v>130</v>
      </c>
      <c r="N3556" s="7">
        <f t="shared" ref="N3556" si="4000">N3468</f>
        <v>130</v>
      </c>
    </row>
    <row r="3557" spans="1:14">
      <c r="A3557" s="7">
        <f t="shared" si="3988"/>
        <v>20013</v>
      </c>
      <c r="B3557" s="7">
        <f t="shared" ref="B3557:C3557" si="4001">B3469</f>
        <v>40000</v>
      </c>
      <c r="C3557" s="7" t="str">
        <f t="shared" si="4001"/>
        <v>装备</v>
      </c>
      <c r="D3557" s="7">
        <v>40401051</v>
      </c>
      <c r="E3557" s="7"/>
      <c r="F3557" s="7">
        <v>1</v>
      </c>
      <c r="G3557" s="7">
        <f>3*INDEX([1]equip.xml!$I:$I,MATCH(D3557&amp;"",[1]equip.xml!$A:$A,0))</f>
        <v>129000</v>
      </c>
      <c r="H3557" s="7" t="str">
        <f t="shared" si="3970"/>
        <v>10_10,50_20,80_30</v>
      </c>
      <c r="I3557" s="7">
        <v>6</v>
      </c>
      <c r="J3557" s="7">
        <f t="shared" si="3970"/>
        <v>50</v>
      </c>
      <c r="K3557" s="7" t="s">
        <v>310</v>
      </c>
      <c r="L3557" s="7">
        <v>34</v>
      </c>
      <c r="M3557" s="7">
        <f>IF(INDEX([1]equip.xml!$B:$B,MATCH(D3557&amp;"",[1]equip.xml!$A:$A,0))=0,0,N3557)</f>
        <v>130</v>
      </c>
      <c r="N3557" s="7">
        <f t="shared" ref="N3557" si="4002">N3469</f>
        <v>130</v>
      </c>
    </row>
    <row r="3558" spans="1:14">
      <c r="A3558" s="7">
        <f t="shared" si="3988"/>
        <v>20013</v>
      </c>
      <c r="B3558" s="7">
        <f t="shared" ref="B3558:C3558" si="4003">B3470</f>
        <v>40000</v>
      </c>
      <c r="C3558" s="7" t="str">
        <f t="shared" si="4003"/>
        <v>装备</v>
      </c>
      <c r="D3558" s="7">
        <v>40401060</v>
      </c>
      <c r="E3558" s="7"/>
      <c r="F3558" s="7">
        <v>1</v>
      </c>
      <c r="G3558" s="7">
        <f>3*INDEX([1]equip.xml!$I:$I,MATCH(D3558&amp;"",[1]equip.xml!$A:$A,0))</f>
        <v>120000</v>
      </c>
      <c r="H3558" s="7" t="str">
        <f t="shared" ref="H3558:J3573" si="4004">H3470</f>
        <v>10_10,50_20,80_30</v>
      </c>
      <c r="I3558" s="7">
        <v>6</v>
      </c>
      <c r="J3558" s="7">
        <f t="shared" si="4004"/>
        <v>50</v>
      </c>
      <c r="K3558" s="7" t="s">
        <v>310</v>
      </c>
      <c r="L3558" s="7">
        <v>34</v>
      </c>
      <c r="M3558" s="7">
        <f>IF(INDEX([1]equip.xml!$B:$B,MATCH(D3558&amp;"",[1]equip.xml!$A:$A,0))=0,0,N3558)</f>
        <v>130</v>
      </c>
      <c r="N3558" s="7">
        <f t="shared" ref="N3558" si="4005">N3470</f>
        <v>130</v>
      </c>
    </row>
    <row r="3559" spans="1:14">
      <c r="A3559" s="7">
        <f t="shared" si="3988"/>
        <v>20013</v>
      </c>
      <c r="B3559" s="7">
        <f t="shared" ref="B3559:C3559" si="4006">B3471</f>
        <v>40000</v>
      </c>
      <c r="C3559" s="7" t="str">
        <f t="shared" si="4006"/>
        <v>装备</v>
      </c>
      <c r="D3559" s="7">
        <v>40401061</v>
      </c>
      <c r="E3559" s="7"/>
      <c r="F3559" s="7">
        <v>1</v>
      </c>
      <c r="G3559" s="7">
        <f>3*INDEX([1]equip.xml!$I:$I,MATCH(D3559&amp;"",[1]equip.xml!$A:$A,0))</f>
        <v>129000</v>
      </c>
      <c r="H3559" s="7" t="str">
        <f t="shared" si="4004"/>
        <v>10_10,50_20,80_30</v>
      </c>
      <c r="I3559" s="7">
        <v>6</v>
      </c>
      <c r="J3559" s="7">
        <f t="shared" si="4004"/>
        <v>50</v>
      </c>
      <c r="K3559" s="7" t="s">
        <v>310</v>
      </c>
      <c r="L3559" s="7">
        <v>34</v>
      </c>
      <c r="M3559" s="7">
        <f>IF(INDEX([1]equip.xml!$B:$B,MATCH(D3559&amp;"",[1]equip.xml!$A:$A,0))=0,0,N3559)</f>
        <v>0</v>
      </c>
      <c r="N3559" s="7">
        <f t="shared" ref="N3559" si="4007">N3471</f>
        <v>130</v>
      </c>
    </row>
    <row r="3560" spans="1:14">
      <c r="A3560" s="7">
        <f t="shared" si="3988"/>
        <v>20013</v>
      </c>
      <c r="B3560" s="7">
        <f t="shared" ref="B3560:C3560" si="4008">B3472</f>
        <v>40000</v>
      </c>
      <c r="C3560" s="7" t="str">
        <f t="shared" si="4008"/>
        <v>装备</v>
      </c>
      <c r="D3560" s="7">
        <v>40402050</v>
      </c>
      <c r="E3560" s="7"/>
      <c r="F3560" s="7">
        <v>1</v>
      </c>
      <c r="G3560" s="7">
        <f>3*INDEX([1]equip.xml!$I:$I,MATCH(D3560&amp;"",[1]equip.xml!$A:$A,0))</f>
        <v>120000</v>
      </c>
      <c r="H3560" s="7" t="str">
        <f t="shared" si="4004"/>
        <v>10_10,50_20,80_30</v>
      </c>
      <c r="I3560" s="7">
        <v>6</v>
      </c>
      <c r="J3560" s="7">
        <f t="shared" si="4004"/>
        <v>50</v>
      </c>
      <c r="K3560" s="7" t="s">
        <v>310</v>
      </c>
      <c r="L3560" s="7">
        <v>34</v>
      </c>
      <c r="M3560" s="7">
        <f>IF(INDEX([1]equip.xml!$B:$B,MATCH(D3560&amp;"",[1]equip.xml!$A:$A,0))=0,0,N3560)</f>
        <v>130</v>
      </c>
      <c r="N3560" s="7">
        <f t="shared" ref="N3560" si="4009">N3472</f>
        <v>130</v>
      </c>
    </row>
    <row r="3561" spans="1:14">
      <c r="A3561" s="7">
        <f t="shared" si="3988"/>
        <v>20013</v>
      </c>
      <c r="B3561" s="7">
        <f t="shared" ref="B3561:C3561" si="4010">B3473</f>
        <v>40000</v>
      </c>
      <c r="C3561" s="7" t="str">
        <f t="shared" si="4010"/>
        <v>装备</v>
      </c>
      <c r="D3561" s="7">
        <v>40402051</v>
      </c>
      <c r="E3561" s="7"/>
      <c r="F3561" s="7">
        <v>1</v>
      </c>
      <c r="G3561" s="7">
        <f>3*INDEX([1]equip.xml!$I:$I,MATCH(D3561&amp;"",[1]equip.xml!$A:$A,0))</f>
        <v>129000</v>
      </c>
      <c r="H3561" s="7" t="str">
        <f t="shared" si="4004"/>
        <v>10_10,50_20,80_30</v>
      </c>
      <c r="I3561" s="7">
        <v>6</v>
      </c>
      <c r="J3561" s="7">
        <f t="shared" si="4004"/>
        <v>50</v>
      </c>
      <c r="K3561" s="7" t="s">
        <v>310</v>
      </c>
      <c r="L3561" s="7">
        <v>34</v>
      </c>
      <c r="M3561" s="7">
        <f>IF(INDEX([1]equip.xml!$B:$B,MATCH(D3561&amp;"",[1]equip.xml!$A:$A,0))=0,0,N3561)</f>
        <v>130</v>
      </c>
      <c r="N3561" s="7">
        <f t="shared" ref="N3561" si="4011">N3473</f>
        <v>130</v>
      </c>
    </row>
    <row r="3562" spans="1:14">
      <c r="A3562" s="7">
        <f t="shared" si="3988"/>
        <v>20013</v>
      </c>
      <c r="B3562" s="7">
        <f t="shared" ref="B3562:C3562" si="4012">B3474</f>
        <v>40000</v>
      </c>
      <c r="C3562" s="7" t="str">
        <f t="shared" si="4012"/>
        <v>装备</v>
      </c>
      <c r="D3562" s="7">
        <v>40402060</v>
      </c>
      <c r="E3562" s="7"/>
      <c r="F3562" s="7">
        <v>1</v>
      </c>
      <c r="G3562" s="7">
        <f>3*INDEX([1]equip.xml!$I:$I,MATCH(D3562&amp;"",[1]equip.xml!$A:$A,0))</f>
        <v>120000</v>
      </c>
      <c r="H3562" s="7" t="str">
        <f t="shared" si="4004"/>
        <v>10_10,50_20,80_30</v>
      </c>
      <c r="I3562" s="7">
        <v>6</v>
      </c>
      <c r="J3562" s="7">
        <f t="shared" si="4004"/>
        <v>50</v>
      </c>
      <c r="K3562" s="7" t="s">
        <v>310</v>
      </c>
      <c r="L3562" s="7">
        <v>34</v>
      </c>
      <c r="M3562" s="7">
        <f>IF(INDEX([1]equip.xml!$B:$B,MATCH(D3562&amp;"",[1]equip.xml!$A:$A,0))=0,0,N3562)</f>
        <v>130</v>
      </c>
      <c r="N3562" s="7">
        <f t="shared" ref="N3562" si="4013">N3474</f>
        <v>130</v>
      </c>
    </row>
    <row r="3563" spans="1:14">
      <c r="A3563" s="7">
        <f t="shared" si="3988"/>
        <v>20013</v>
      </c>
      <c r="B3563" s="7">
        <f t="shared" ref="B3563:C3563" si="4014">B3475</f>
        <v>40000</v>
      </c>
      <c r="C3563" s="7" t="str">
        <f t="shared" si="4014"/>
        <v>装备</v>
      </c>
      <c r="D3563" s="7">
        <v>40402061</v>
      </c>
      <c r="E3563" s="7"/>
      <c r="F3563" s="7">
        <v>1</v>
      </c>
      <c r="G3563" s="7">
        <f>3*INDEX([1]equip.xml!$I:$I,MATCH(D3563&amp;"",[1]equip.xml!$A:$A,0))</f>
        <v>129000</v>
      </c>
      <c r="H3563" s="7" t="str">
        <f t="shared" si="4004"/>
        <v>10_10,50_20,80_30</v>
      </c>
      <c r="I3563" s="7">
        <v>6</v>
      </c>
      <c r="J3563" s="7">
        <f t="shared" si="4004"/>
        <v>50</v>
      </c>
      <c r="K3563" s="7" t="s">
        <v>310</v>
      </c>
      <c r="L3563" s="7">
        <v>34</v>
      </c>
      <c r="M3563" s="7">
        <f>IF(INDEX([1]equip.xml!$B:$B,MATCH(D3563&amp;"",[1]equip.xml!$A:$A,0))=0,0,N3563)</f>
        <v>0</v>
      </c>
      <c r="N3563" s="7">
        <f t="shared" ref="N3563" si="4015">N3475</f>
        <v>130</v>
      </c>
    </row>
    <row r="3564" spans="1:14">
      <c r="A3564" s="7">
        <f t="shared" si="3988"/>
        <v>20013</v>
      </c>
      <c r="B3564" s="7">
        <f t="shared" ref="B3564:C3564" si="4016">B3476</f>
        <v>40000</v>
      </c>
      <c r="C3564" s="7" t="str">
        <f t="shared" si="4016"/>
        <v>装备</v>
      </c>
      <c r="D3564" s="7">
        <v>40403050</v>
      </c>
      <c r="E3564" s="7"/>
      <c r="F3564" s="7">
        <v>1</v>
      </c>
      <c r="G3564" s="7">
        <f>3*INDEX([1]equip.xml!$I:$I,MATCH(D3564&amp;"",[1]equip.xml!$A:$A,0))</f>
        <v>120000</v>
      </c>
      <c r="H3564" s="7" t="str">
        <f t="shared" si="4004"/>
        <v>10_10,50_20,80_30</v>
      </c>
      <c r="I3564" s="7">
        <v>6</v>
      </c>
      <c r="J3564" s="7">
        <f t="shared" si="4004"/>
        <v>50</v>
      </c>
      <c r="K3564" s="7" t="s">
        <v>310</v>
      </c>
      <c r="L3564" s="7">
        <v>34</v>
      </c>
      <c r="M3564" s="7">
        <f>IF(INDEX([1]equip.xml!$B:$B,MATCH(D3564&amp;"",[1]equip.xml!$A:$A,0))=0,0,N3564)</f>
        <v>130</v>
      </c>
      <c r="N3564" s="7">
        <f t="shared" ref="N3564" si="4017">N3476</f>
        <v>130</v>
      </c>
    </row>
    <row r="3565" spans="1:14">
      <c r="A3565" s="7">
        <f t="shared" si="3988"/>
        <v>20013</v>
      </c>
      <c r="B3565" s="7">
        <f t="shared" ref="B3565:C3565" si="4018">B3477</f>
        <v>40000</v>
      </c>
      <c r="C3565" s="7" t="str">
        <f t="shared" si="4018"/>
        <v>装备</v>
      </c>
      <c r="D3565" s="7">
        <v>40403051</v>
      </c>
      <c r="E3565" s="7"/>
      <c r="F3565" s="7">
        <v>1</v>
      </c>
      <c r="G3565" s="7">
        <f>3*INDEX([1]equip.xml!$I:$I,MATCH(D3565&amp;"",[1]equip.xml!$A:$A,0))</f>
        <v>129000</v>
      </c>
      <c r="H3565" s="7" t="str">
        <f t="shared" si="4004"/>
        <v>10_10,50_20,80_30</v>
      </c>
      <c r="I3565" s="7">
        <v>6</v>
      </c>
      <c r="J3565" s="7">
        <f t="shared" si="4004"/>
        <v>50</v>
      </c>
      <c r="K3565" s="7" t="s">
        <v>310</v>
      </c>
      <c r="L3565" s="7">
        <v>34</v>
      </c>
      <c r="M3565" s="7">
        <f>IF(INDEX([1]equip.xml!$B:$B,MATCH(D3565&amp;"",[1]equip.xml!$A:$A,0))=0,0,N3565)</f>
        <v>130</v>
      </c>
      <c r="N3565" s="7">
        <f t="shared" ref="N3565" si="4019">N3477</f>
        <v>130</v>
      </c>
    </row>
    <row r="3566" spans="1:14">
      <c r="A3566" s="7">
        <f t="shared" si="3988"/>
        <v>20013</v>
      </c>
      <c r="B3566" s="7">
        <f t="shared" ref="B3566:C3566" si="4020">B3478</f>
        <v>40000</v>
      </c>
      <c r="C3566" s="7" t="str">
        <f t="shared" si="4020"/>
        <v>装备</v>
      </c>
      <c r="D3566" s="7">
        <v>40403060</v>
      </c>
      <c r="E3566" s="7"/>
      <c r="F3566" s="7">
        <v>1</v>
      </c>
      <c r="G3566" s="7">
        <f>3*INDEX([1]equip.xml!$I:$I,MATCH(D3566&amp;"",[1]equip.xml!$A:$A,0))</f>
        <v>120000</v>
      </c>
      <c r="H3566" s="7" t="str">
        <f t="shared" si="4004"/>
        <v>10_10,50_20,80_30</v>
      </c>
      <c r="I3566" s="7">
        <v>6</v>
      </c>
      <c r="J3566" s="7">
        <f t="shared" si="4004"/>
        <v>50</v>
      </c>
      <c r="K3566" s="7" t="s">
        <v>310</v>
      </c>
      <c r="L3566" s="7">
        <v>34</v>
      </c>
      <c r="M3566" s="7">
        <f>IF(INDEX([1]equip.xml!$B:$B,MATCH(D3566&amp;"",[1]equip.xml!$A:$A,0))=0,0,N3566)</f>
        <v>130</v>
      </c>
      <c r="N3566" s="7">
        <f t="shared" ref="N3566" si="4021">N3478</f>
        <v>130</v>
      </c>
    </row>
    <row r="3567" spans="1:14">
      <c r="A3567" s="7">
        <f t="shared" si="3988"/>
        <v>20013</v>
      </c>
      <c r="B3567" s="7">
        <f t="shared" ref="B3567:C3567" si="4022">B3479</f>
        <v>40000</v>
      </c>
      <c r="C3567" s="7" t="str">
        <f t="shared" si="4022"/>
        <v>装备</v>
      </c>
      <c r="D3567" s="7">
        <v>40403061</v>
      </c>
      <c r="E3567" s="7"/>
      <c r="F3567" s="7">
        <v>1</v>
      </c>
      <c r="G3567" s="7">
        <f>3*INDEX([1]equip.xml!$I:$I,MATCH(D3567&amp;"",[1]equip.xml!$A:$A,0))</f>
        <v>129000</v>
      </c>
      <c r="H3567" s="7" t="str">
        <f t="shared" si="4004"/>
        <v>10_10,50_20,80_30</v>
      </c>
      <c r="I3567" s="7">
        <v>6</v>
      </c>
      <c r="J3567" s="7">
        <f t="shared" si="4004"/>
        <v>50</v>
      </c>
      <c r="K3567" s="7" t="s">
        <v>310</v>
      </c>
      <c r="L3567" s="7">
        <v>34</v>
      </c>
      <c r="M3567" s="7">
        <f>IF(INDEX([1]equip.xml!$B:$B,MATCH(D3567&amp;"",[1]equip.xml!$A:$A,0))=0,0,N3567)</f>
        <v>0</v>
      </c>
      <c r="N3567" s="7">
        <f t="shared" ref="N3567" si="4023">N3479</f>
        <v>130</v>
      </c>
    </row>
    <row r="3568" spans="1:14">
      <c r="A3568" s="7">
        <f t="shared" si="3988"/>
        <v>20013</v>
      </c>
      <c r="B3568" s="7">
        <f t="shared" ref="B3568:C3568" si="4024">B3480</f>
        <v>40000</v>
      </c>
      <c r="C3568" s="7" t="str">
        <f t="shared" si="4024"/>
        <v>装备</v>
      </c>
      <c r="D3568" s="7">
        <v>40400040</v>
      </c>
      <c r="E3568" s="7"/>
      <c r="F3568" s="7">
        <v>1</v>
      </c>
      <c r="G3568" s="7">
        <f>3*INDEX([1]equip.xml!$I:$I,MATCH(D3568&amp;"",[1]equip.xml!$A:$A,0))</f>
        <v>120000</v>
      </c>
      <c r="H3568" s="7" t="str">
        <f t="shared" si="4004"/>
        <v>10_10,50_20,80_30</v>
      </c>
      <c r="I3568" s="7">
        <v>6</v>
      </c>
      <c r="J3568" s="7">
        <f t="shared" si="4004"/>
        <v>50</v>
      </c>
      <c r="K3568" s="7" t="s">
        <v>310</v>
      </c>
      <c r="L3568" s="7">
        <v>34</v>
      </c>
      <c r="M3568" s="7">
        <f>IF(INDEX([1]equip.xml!$B:$B,MATCH(D3568&amp;"",[1]equip.xml!$A:$A,0))=0,0,N3568)</f>
        <v>130</v>
      </c>
      <c r="N3568" s="7">
        <f t="shared" ref="N3568" si="4025">N3480</f>
        <v>130</v>
      </c>
    </row>
    <row r="3569" spans="1:14">
      <c r="A3569" s="7">
        <f t="shared" si="3988"/>
        <v>20013</v>
      </c>
      <c r="B3569" s="7">
        <f t="shared" ref="B3569:C3569" si="4026">B3481</f>
        <v>40000</v>
      </c>
      <c r="C3569" s="7" t="str">
        <f t="shared" si="4026"/>
        <v>装备</v>
      </c>
      <c r="D3569" s="7">
        <v>40400041</v>
      </c>
      <c r="E3569" s="7"/>
      <c r="F3569" s="7">
        <v>1</v>
      </c>
      <c r="G3569" s="7">
        <f>3*INDEX([1]equip.xml!$I:$I,MATCH(D3569&amp;"",[1]equip.xml!$A:$A,0))</f>
        <v>129000</v>
      </c>
      <c r="H3569" s="7" t="str">
        <f t="shared" si="4004"/>
        <v>10_10,50_20,80_30</v>
      </c>
      <c r="I3569" s="7">
        <v>6</v>
      </c>
      <c r="J3569" s="7">
        <f t="shared" si="4004"/>
        <v>50</v>
      </c>
      <c r="K3569" s="7" t="s">
        <v>310</v>
      </c>
      <c r="L3569" s="7">
        <v>34</v>
      </c>
      <c r="M3569" s="7">
        <f>IF(INDEX([1]equip.xml!$B:$B,MATCH(D3569&amp;"",[1]equip.xml!$A:$A,0))=0,0,N3569)</f>
        <v>0</v>
      </c>
      <c r="N3569" s="7">
        <f t="shared" ref="N3569" si="4027">N3481</f>
        <v>130</v>
      </c>
    </row>
    <row r="3570" spans="1:14">
      <c r="A3570" s="7">
        <f t="shared" si="3988"/>
        <v>20013</v>
      </c>
      <c r="B3570" s="7">
        <f t="shared" ref="B3570:C3570" si="4028">B3482</f>
        <v>40000</v>
      </c>
      <c r="C3570" s="7" t="str">
        <f t="shared" si="4028"/>
        <v>装备</v>
      </c>
      <c r="D3570" s="7">
        <v>40400070</v>
      </c>
      <c r="E3570" s="7"/>
      <c r="F3570" s="7">
        <v>1</v>
      </c>
      <c r="G3570" s="7">
        <f>3*INDEX([1]equip.xml!$I:$I,MATCH(D3570&amp;"",[1]equip.xml!$A:$A,0))</f>
        <v>120000</v>
      </c>
      <c r="H3570" s="7" t="str">
        <f t="shared" si="4004"/>
        <v>10_10,50_20,80_30</v>
      </c>
      <c r="I3570" s="7">
        <v>6</v>
      </c>
      <c r="J3570" s="7">
        <f t="shared" si="4004"/>
        <v>50</v>
      </c>
      <c r="K3570" s="7" t="s">
        <v>310</v>
      </c>
      <c r="L3570" s="7">
        <v>34</v>
      </c>
      <c r="M3570" s="7">
        <f>IF(INDEX([1]equip.xml!$B:$B,MATCH(D3570&amp;"",[1]equip.xml!$A:$A,0))=0,0,N3570)</f>
        <v>130</v>
      </c>
      <c r="N3570" s="7">
        <f t="shared" ref="N3570" si="4029">N3482</f>
        <v>130</v>
      </c>
    </row>
    <row r="3571" spans="1:14">
      <c r="A3571" s="7">
        <f t="shared" si="3988"/>
        <v>20013</v>
      </c>
      <c r="B3571" s="7">
        <f t="shared" ref="B3571:C3571" si="4030">B3483</f>
        <v>40000</v>
      </c>
      <c r="C3571" s="7" t="str">
        <f t="shared" si="4030"/>
        <v>装备</v>
      </c>
      <c r="D3571" s="7">
        <v>40400071</v>
      </c>
      <c r="E3571" s="7"/>
      <c r="F3571" s="7">
        <v>1</v>
      </c>
      <c r="G3571" s="7">
        <f>3*INDEX([1]equip.xml!$I:$I,MATCH(D3571&amp;"",[1]equip.xml!$A:$A,0))</f>
        <v>129000</v>
      </c>
      <c r="H3571" s="7" t="str">
        <f t="shared" si="4004"/>
        <v>10_10,50_20,80_30</v>
      </c>
      <c r="I3571" s="7">
        <v>6</v>
      </c>
      <c r="J3571" s="7">
        <f t="shared" si="4004"/>
        <v>50</v>
      </c>
      <c r="K3571" s="7" t="s">
        <v>310</v>
      </c>
      <c r="L3571" s="7">
        <v>34</v>
      </c>
      <c r="M3571" s="7">
        <f>IF(INDEX([1]equip.xml!$B:$B,MATCH(D3571&amp;"",[1]equip.xml!$A:$A,0))=0,0,N3571)</f>
        <v>0</v>
      </c>
      <c r="N3571" s="7">
        <f t="shared" ref="N3571" si="4031">N3483</f>
        <v>130</v>
      </c>
    </row>
    <row r="3572" spans="1:14">
      <c r="A3572" s="7">
        <f t="shared" si="3988"/>
        <v>20013</v>
      </c>
      <c r="B3572" s="7">
        <f t="shared" ref="B3572:C3572" si="4032">B3484</f>
        <v>40000</v>
      </c>
      <c r="C3572" s="7" t="str">
        <f t="shared" si="4032"/>
        <v>装备</v>
      </c>
      <c r="D3572" s="7">
        <v>40450010</v>
      </c>
      <c r="E3572" s="7"/>
      <c r="F3572" s="7">
        <v>1</v>
      </c>
      <c r="G3572" s="7">
        <f>3*INDEX([1]equip.xml!$I:$I,MATCH(D3572&amp;"",[1]equip.xml!$A:$A,0))</f>
        <v>135000</v>
      </c>
      <c r="H3572" s="7" t="str">
        <f t="shared" si="4004"/>
        <v>10_10,50_20,80_30</v>
      </c>
      <c r="I3572" s="7">
        <v>6</v>
      </c>
      <c r="J3572" s="7">
        <f t="shared" si="4004"/>
        <v>50</v>
      </c>
      <c r="K3572" s="7" t="s">
        <v>310</v>
      </c>
      <c r="L3572" s="7">
        <v>34</v>
      </c>
      <c r="M3572" s="7">
        <f>IF(INDEX([1]equip.xml!$B:$B,MATCH(D3572&amp;"",[1]equip.xml!$A:$A,0))=0,0,N3572)</f>
        <v>65</v>
      </c>
      <c r="N3572" s="7">
        <f t="shared" ref="N3572" si="4033">N3484</f>
        <v>65</v>
      </c>
    </row>
    <row r="3573" spans="1:14">
      <c r="A3573" s="7">
        <f t="shared" si="3988"/>
        <v>20013</v>
      </c>
      <c r="B3573" s="7">
        <f t="shared" ref="B3573:C3573" si="4034">B3485</f>
        <v>40000</v>
      </c>
      <c r="C3573" s="7" t="str">
        <f t="shared" si="4034"/>
        <v>装备</v>
      </c>
      <c r="D3573" s="7">
        <v>40450020</v>
      </c>
      <c r="E3573" s="7"/>
      <c r="F3573" s="7">
        <v>1</v>
      </c>
      <c r="G3573" s="7">
        <f>3*INDEX([1]equip.xml!$I:$I,MATCH(D3573&amp;"",[1]equip.xml!$A:$A,0))</f>
        <v>135000</v>
      </c>
      <c r="H3573" s="7" t="str">
        <f t="shared" si="4004"/>
        <v>10_10,50_20,80_30</v>
      </c>
      <c r="I3573" s="7">
        <v>6</v>
      </c>
      <c r="J3573" s="7">
        <f t="shared" si="4004"/>
        <v>50</v>
      </c>
      <c r="K3573" s="7" t="s">
        <v>310</v>
      </c>
      <c r="L3573" s="7">
        <v>34</v>
      </c>
      <c r="M3573" s="7">
        <f>IF(INDEX([1]equip.xml!$B:$B,MATCH(D3573&amp;"",[1]equip.xml!$A:$A,0))=0,0,N3573)</f>
        <v>65</v>
      </c>
      <c r="N3573" s="7">
        <f t="shared" ref="N3573" si="4035">N3485</f>
        <v>65</v>
      </c>
    </row>
    <row r="3574" spans="1:14">
      <c r="A3574" s="7">
        <f t="shared" si="3988"/>
        <v>20013</v>
      </c>
      <c r="B3574" s="7">
        <f t="shared" ref="B3574:C3574" si="4036">B3486</f>
        <v>40000</v>
      </c>
      <c r="C3574" s="7" t="str">
        <f t="shared" si="4036"/>
        <v>装备</v>
      </c>
      <c r="D3574" s="7">
        <v>40450030</v>
      </c>
      <c r="E3574" s="7"/>
      <c r="F3574" s="7">
        <v>1</v>
      </c>
      <c r="G3574" s="7">
        <f>3*INDEX([1]equip.xml!$I:$I,MATCH(D3574&amp;"",[1]equip.xml!$A:$A,0))</f>
        <v>135000</v>
      </c>
      <c r="H3574" s="7" t="str">
        <f t="shared" ref="H3574:J3589" si="4037">H3486</f>
        <v>10_10,50_20,80_30</v>
      </c>
      <c r="I3574" s="7">
        <v>6</v>
      </c>
      <c r="J3574" s="7">
        <f t="shared" si="4037"/>
        <v>50</v>
      </c>
      <c r="K3574" s="7" t="s">
        <v>310</v>
      </c>
      <c r="L3574" s="7">
        <v>34</v>
      </c>
      <c r="M3574" s="7">
        <f>IF(INDEX([1]equip.xml!$B:$B,MATCH(D3574&amp;"",[1]equip.xml!$A:$A,0))=0,0,N3574)</f>
        <v>65</v>
      </c>
      <c r="N3574" s="7">
        <f t="shared" ref="N3574" si="4038">N3486</f>
        <v>65</v>
      </c>
    </row>
    <row r="3575" spans="1:14">
      <c r="A3575" s="7">
        <f t="shared" si="3988"/>
        <v>20013</v>
      </c>
      <c r="B3575" s="7">
        <f t="shared" ref="B3575:C3575" si="4039">B3487</f>
        <v>40000</v>
      </c>
      <c r="C3575" s="7" t="str">
        <f t="shared" si="4039"/>
        <v>装备</v>
      </c>
      <c r="D3575" s="7">
        <v>40450080</v>
      </c>
      <c r="E3575" s="7"/>
      <c r="F3575" s="7">
        <v>1</v>
      </c>
      <c r="G3575" s="7">
        <f>3*INDEX([1]equip.xml!$I:$I,MATCH(D3575&amp;"",[1]equip.xml!$A:$A,0))</f>
        <v>135000</v>
      </c>
      <c r="H3575" s="7" t="str">
        <f t="shared" si="4037"/>
        <v>10_10,50_20,80_30</v>
      </c>
      <c r="I3575" s="7">
        <v>6</v>
      </c>
      <c r="J3575" s="7">
        <f t="shared" si="4037"/>
        <v>50</v>
      </c>
      <c r="K3575" s="7" t="s">
        <v>310</v>
      </c>
      <c r="L3575" s="7">
        <v>34</v>
      </c>
      <c r="M3575" s="7">
        <f>IF(INDEX([1]equip.xml!$B:$B,MATCH(D3575&amp;"",[1]equip.xml!$A:$A,0))=0,0,N3575)</f>
        <v>65</v>
      </c>
      <c r="N3575" s="7">
        <f t="shared" ref="N3575" si="4040">N3487</f>
        <v>65</v>
      </c>
    </row>
    <row r="3576" spans="1:14">
      <c r="A3576" s="7">
        <f t="shared" si="3988"/>
        <v>20013</v>
      </c>
      <c r="B3576" s="7">
        <f t="shared" ref="B3576:C3576" si="4041">B3488</f>
        <v>40000</v>
      </c>
      <c r="C3576" s="7" t="str">
        <f t="shared" si="4041"/>
        <v>装备</v>
      </c>
      <c r="D3576" s="7">
        <v>40450090</v>
      </c>
      <c r="E3576" s="7"/>
      <c r="F3576" s="7">
        <v>1</v>
      </c>
      <c r="G3576" s="7">
        <f>3*INDEX([1]equip.xml!$I:$I,MATCH(D3576&amp;"",[1]equip.xml!$A:$A,0))</f>
        <v>135000</v>
      </c>
      <c r="H3576" s="7" t="str">
        <f t="shared" si="4037"/>
        <v>10_10,50_20,80_30</v>
      </c>
      <c r="I3576" s="7">
        <v>6</v>
      </c>
      <c r="J3576" s="7">
        <f t="shared" si="4037"/>
        <v>50</v>
      </c>
      <c r="K3576" s="7" t="s">
        <v>310</v>
      </c>
      <c r="L3576" s="7">
        <v>34</v>
      </c>
      <c r="M3576" s="7">
        <f>IF(INDEX([1]equip.xml!$B:$B,MATCH(D3576&amp;"",[1]equip.xml!$A:$A,0))=0,0,N3576)</f>
        <v>65</v>
      </c>
      <c r="N3576" s="7">
        <f t="shared" ref="N3576" si="4042">N3488</f>
        <v>65</v>
      </c>
    </row>
    <row r="3577" spans="1:14">
      <c r="A3577" s="7">
        <f t="shared" si="3988"/>
        <v>20013</v>
      </c>
      <c r="B3577" s="7">
        <f t="shared" ref="B3577:C3577" si="4043">B3489</f>
        <v>40000</v>
      </c>
      <c r="C3577" s="7" t="str">
        <f t="shared" si="4043"/>
        <v>装备</v>
      </c>
      <c r="D3577" s="7">
        <v>40450100</v>
      </c>
      <c r="E3577" s="7"/>
      <c r="F3577" s="7">
        <v>1</v>
      </c>
      <c r="G3577" s="7">
        <f>3*INDEX([1]equip.xml!$I:$I,MATCH(D3577&amp;"",[1]equip.xml!$A:$A,0))</f>
        <v>135000</v>
      </c>
      <c r="H3577" s="7" t="str">
        <f t="shared" si="4037"/>
        <v>10_10,50_20,80_30</v>
      </c>
      <c r="I3577" s="7">
        <v>6</v>
      </c>
      <c r="J3577" s="7">
        <f t="shared" si="4037"/>
        <v>50</v>
      </c>
      <c r="K3577" s="7" t="s">
        <v>310</v>
      </c>
      <c r="L3577" s="7">
        <v>34</v>
      </c>
      <c r="M3577" s="7">
        <f>IF(INDEX([1]equip.xml!$B:$B,MATCH(D3577&amp;"",[1]equip.xml!$A:$A,0))=0,0,N3577)</f>
        <v>65</v>
      </c>
      <c r="N3577" s="7">
        <f t="shared" ref="N3577" si="4044">N3489</f>
        <v>65</v>
      </c>
    </row>
    <row r="3578" spans="1:14">
      <c r="A3578" s="7">
        <f t="shared" si="3988"/>
        <v>20013</v>
      </c>
      <c r="B3578" s="7">
        <f t="shared" ref="B3578:C3578" si="4045">B3490</f>
        <v>40000</v>
      </c>
      <c r="C3578" s="7" t="str">
        <f t="shared" si="4045"/>
        <v>装备</v>
      </c>
      <c r="D3578" s="7">
        <v>40451050</v>
      </c>
      <c r="E3578" s="7"/>
      <c r="F3578" s="7">
        <v>1</v>
      </c>
      <c r="G3578" s="7">
        <f>3*INDEX([1]equip.xml!$I:$I,MATCH(D3578&amp;"",[1]equip.xml!$A:$A,0))</f>
        <v>135000</v>
      </c>
      <c r="H3578" s="7" t="str">
        <f t="shared" si="4037"/>
        <v>10_10,50_20,80_30</v>
      </c>
      <c r="I3578" s="7">
        <v>6</v>
      </c>
      <c r="J3578" s="7">
        <f t="shared" si="4037"/>
        <v>50</v>
      </c>
      <c r="K3578" s="7" t="s">
        <v>310</v>
      </c>
      <c r="L3578" s="7">
        <v>34</v>
      </c>
      <c r="M3578" s="7">
        <f>IF(INDEX([1]equip.xml!$B:$B,MATCH(D3578&amp;"",[1]equip.xml!$A:$A,0))=0,0,N3578)</f>
        <v>65</v>
      </c>
      <c r="N3578" s="7">
        <f t="shared" ref="N3578" si="4046">N3490</f>
        <v>65</v>
      </c>
    </row>
    <row r="3579" spans="1:14">
      <c r="A3579" s="7">
        <f t="shared" si="3988"/>
        <v>20013</v>
      </c>
      <c r="B3579" s="7">
        <f t="shared" ref="B3579:C3579" si="4047">B3491</f>
        <v>40000</v>
      </c>
      <c r="C3579" s="7" t="str">
        <f t="shared" si="4047"/>
        <v>装备</v>
      </c>
      <c r="D3579" s="7">
        <v>40451051</v>
      </c>
      <c r="E3579" s="7"/>
      <c r="F3579" s="7">
        <v>1</v>
      </c>
      <c r="G3579" s="7">
        <f>3*INDEX([1]equip.xml!$I:$I,MATCH(D3579&amp;"",[1]equip.xml!$A:$A,0))</f>
        <v>144000</v>
      </c>
      <c r="H3579" s="7" t="str">
        <f t="shared" si="4037"/>
        <v>10_10,50_20,80_30</v>
      </c>
      <c r="I3579" s="7">
        <v>6</v>
      </c>
      <c r="J3579" s="7">
        <f t="shared" si="4037"/>
        <v>50</v>
      </c>
      <c r="K3579" s="7" t="s">
        <v>310</v>
      </c>
      <c r="L3579" s="7">
        <v>34</v>
      </c>
      <c r="M3579" s="7">
        <f>IF(INDEX([1]equip.xml!$B:$B,MATCH(D3579&amp;"",[1]equip.xml!$A:$A,0))=0,0,N3579)</f>
        <v>0</v>
      </c>
      <c r="N3579" s="7">
        <f t="shared" ref="N3579" si="4048">N3491</f>
        <v>65</v>
      </c>
    </row>
    <row r="3580" spans="1:14">
      <c r="A3580" s="7">
        <f t="shared" si="3988"/>
        <v>20013</v>
      </c>
      <c r="B3580" s="7">
        <f t="shared" ref="B3580:C3580" si="4049">B3492</f>
        <v>40000</v>
      </c>
      <c r="C3580" s="7" t="str">
        <f t="shared" si="4049"/>
        <v>装备</v>
      </c>
      <c r="D3580" s="7">
        <v>40451060</v>
      </c>
      <c r="E3580" s="7"/>
      <c r="F3580" s="7">
        <v>1</v>
      </c>
      <c r="G3580" s="7">
        <f>3*INDEX([1]equip.xml!$I:$I,MATCH(D3580&amp;"",[1]equip.xml!$A:$A,0))</f>
        <v>135000</v>
      </c>
      <c r="H3580" s="7" t="str">
        <f t="shared" si="4037"/>
        <v>10_10,50_20,80_30</v>
      </c>
      <c r="I3580" s="7">
        <v>6</v>
      </c>
      <c r="J3580" s="7">
        <f t="shared" si="4037"/>
        <v>50</v>
      </c>
      <c r="K3580" s="7" t="s">
        <v>310</v>
      </c>
      <c r="L3580" s="7">
        <v>34</v>
      </c>
      <c r="M3580" s="7">
        <f>IF(INDEX([1]equip.xml!$B:$B,MATCH(D3580&amp;"",[1]equip.xml!$A:$A,0))=0,0,N3580)</f>
        <v>65</v>
      </c>
      <c r="N3580" s="7">
        <f t="shared" ref="N3580" si="4050">N3492</f>
        <v>65</v>
      </c>
    </row>
    <row r="3581" spans="1:14">
      <c r="A3581" s="7">
        <f t="shared" si="3988"/>
        <v>20013</v>
      </c>
      <c r="B3581" s="7">
        <f t="shared" ref="B3581:C3581" si="4051">B3493</f>
        <v>40000</v>
      </c>
      <c r="C3581" s="7" t="str">
        <f t="shared" si="4051"/>
        <v>装备</v>
      </c>
      <c r="D3581" s="7">
        <v>40451061</v>
      </c>
      <c r="E3581" s="7"/>
      <c r="F3581" s="7">
        <v>1</v>
      </c>
      <c r="G3581" s="7">
        <f>3*INDEX([1]equip.xml!$I:$I,MATCH(D3581&amp;"",[1]equip.xml!$A:$A,0))</f>
        <v>144000</v>
      </c>
      <c r="H3581" s="7" t="str">
        <f t="shared" si="4037"/>
        <v>10_10,50_20,80_30</v>
      </c>
      <c r="I3581" s="7">
        <v>6</v>
      </c>
      <c r="J3581" s="7">
        <f t="shared" si="4037"/>
        <v>50</v>
      </c>
      <c r="K3581" s="7" t="s">
        <v>310</v>
      </c>
      <c r="L3581" s="7">
        <v>34</v>
      </c>
      <c r="M3581" s="7">
        <f>IF(INDEX([1]equip.xml!$B:$B,MATCH(D3581&amp;"",[1]equip.xml!$A:$A,0))=0,0,N3581)</f>
        <v>0</v>
      </c>
      <c r="N3581" s="7">
        <f t="shared" ref="N3581" si="4052">N3493</f>
        <v>65</v>
      </c>
    </row>
    <row r="3582" spans="1:14">
      <c r="A3582" s="7">
        <f t="shared" si="3988"/>
        <v>20013</v>
      </c>
      <c r="B3582" s="7">
        <f t="shared" ref="B3582:C3582" si="4053">B3494</f>
        <v>40000</v>
      </c>
      <c r="C3582" s="7" t="str">
        <f t="shared" si="4053"/>
        <v>装备</v>
      </c>
      <c r="D3582" s="7">
        <v>40452050</v>
      </c>
      <c r="E3582" s="7"/>
      <c r="F3582" s="7">
        <v>1</v>
      </c>
      <c r="G3582" s="7">
        <f>3*INDEX([1]equip.xml!$I:$I,MATCH(D3582&amp;"",[1]equip.xml!$A:$A,0))</f>
        <v>135000</v>
      </c>
      <c r="H3582" s="7" t="str">
        <f t="shared" si="4037"/>
        <v>10_10,50_20,80_30</v>
      </c>
      <c r="I3582" s="7">
        <v>6</v>
      </c>
      <c r="J3582" s="7">
        <f t="shared" si="4037"/>
        <v>50</v>
      </c>
      <c r="K3582" s="7" t="s">
        <v>310</v>
      </c>
      <c r="L3582" s="7">
        <v>34</v>
      </c>
      <c r="M3582" s="7">
        <f>IF(INDEX([1]equip.xml!$B:$B,MATCH(D3582&amp;"",[1]equip.xml!$A:$A,0))=0,0,N3582)</f>
        <v>65</v>
      </c>
      <c r="N3582" s="7">
        <f t="shared" ref="N3582" si="4054">N3494</f>
        <v>65</v>
      </c>
    </row>
    <row r="3583" spans="1:14">
      <c r="A3583" s="7">
        <f t="shared" si="3988"/>
        <v>20013</v>
      </c>
      <c r="B3583" s="7">
        <f t="shared" ref="B3583:C3583" si="4055">B3495</f>
        <v>40000</v>
      </c>
      <c r="C3583" s="7" t="str">
        <f t="shared" si="4055"/>
        <v>装备</v>
      </c>
      <c r="D3583" s="7">
        <v>40452051</v>
      </c>
      <c r="E3583" s="7"/>
      <c r="F3583" s="7">
        <v>1</v>
      </c>
      <c r="G3583" s="7">
        <f>3*INDEX([1]equip.xml!$I:$I,MATCH(D3583&amp;"",[1]equip.xml!$A:$A,0))</f>
        <v>144000</v>
      </c>
      <c r="H3583" s="7" t="str">
        <f t="shared" si="4037"/>
        <v>10_10,50_20,80_30</v>
      </c>
      <c r="I3583" s="7">
        <v>6</v>
      </c>
      <c r="J3583" s="7">
        <f t="shared" si="4037"/>
        <v>50</v>
      </c>
      <c r="K3583" s="7" t="s">
        <v>310</v>
      </c>
      <c r="L3583" s="7">
        <v>34</v>
      </c>
      <c r="M3583" s="7">
        <f>IF(INDEX([1]equip.xml!$B:$B,MATCH(D3583&amp;"",[1]equip.xml!$A:$A,0))=0,0,N3583)</f>
        <v>0</v>
      </c>
      <c r="N3583" s="7">
        <f t="shared" ref="N3583" si="4056">N3495</f>
        <v>65</v>
      </c>
    </row>
    <row r="3584" spans="1:14">
      <c r="A3584" s="7">
        <f t="shared" si="3988"/>
        <v>20013</v>
      </c>
      <c r="B3584" s="7">
        <f t="shared" ref="B3584:C3584" si="4057">B3496</f>
        <v>40000</v>
      </c>
      <c r="C3584" s="7" t="str">
        <f t="shared" si="4057"/>
        <v>装备</v>
      </c>
      <c r="D3584" s="7">
        <v>40452060</v>
      </c>
      <c r="E3584" s="7"/>
      <c r="F3584" s="7">
        <v>1</v>
      </c>
      <c r="G3584" s="7">
        <f>3*INDEX([1]equip.xml!$I:$I,MATCH(D3584&amp;"",[1]equip.xml!$A:$A,0))</f>
        <v>135000</v>
      </c>
      <c r="H3584" s="7" t="str">
        <f t="shared" si="4037"/>
        <v>10_10,50_20,80_30</v>
      </c>
      <c r="I3584" s="7">
        <v>6</v>
      </c>
      <c r="J3584" s="7">
        <f t="shared" si="4037"/>
        <v>50</v>
      </c>
      <c r="K3584" s="7" t="s">
        <v>310</v>
      </c>
      <c r="L3584" s="7">
        <v>34</v>
      </c>
      <c r="M3584" s="7">
        <f>IF(INDEX([1]equip.xml!$B:$B,MATCH(D3584&amp;"",[1]equip.xml!$A:$A,0))=0,0,N3584)</f>
        <v>65</v>
      </c>
      <c r="N3584" s="7">
        <f t="shared" ref="N3584" si="4058">N3496</f>
        <v>65</v>
      </c>
    </row>
    <row r="3585" spans="1:14">
      <c r="A3585" s="7">
        <f t="shared" si="3988"/>
        <v>20013</v>
      </c>
      <c r="B3585" s="7">
        <f t="shared" ref="B3585:C3585" si="4059">B3497</f>
        <v>40000</v>
      </c>
      <c r="C3585" s="7" t="str">
        <f t="shared" si="4059"/>
        <v>装备</v>
      </c>
      <c r="D3585" s="7">
        <v>40452061</v>
      </c>
      <c r="E3585" s="7"/>
      <c r="F3585" s="7">
        <v>1</v>
      </c>
      <c r="G3585" s="7">
        <f>3*INDEX([1]equip.xml!$I:$I,MATCH(D3585&amp;"",[1]equip.xml!$A:$A,0))</f>
        <v>144000</v>
      </c>
      <c r="H3585" s="7" t="str">
        <f t="shared" si="4037"/>
        <v>10_10,50_20,80_30</v>
      </c>
      <c r="I3585" s="7">
        <v>6</v>
      </c>
      <c r="J3585" s="7">
        <f t="shared" si="4037"/>
        <v>50</v>
      </c>
      <c r="K3585" s="7" t="s">
        <v>310</v>
      </c>
      <c r="L3585" s="7">
        <v>34</v>
      </c>
      <c r="M3585" s="7">
        <f>IF(INDEX([1]equip.xml!$B:$B,MATCH(D3585&amp;"",[1]equip.xml!$A:$A,0))=0,0,N3585)</f>
        <v>0</v>
      </c>
      <c r="N3585" s="7">
        <f t="shared" ref="N3585" si="4060">N3497</f>
        <v>65</v>
      </c>
    </row>
    <row r="3586" spans="1:14">
      <c r="A3586" s="7">
        <f t="shared" si="3988"/>
        <v>20013</v>
      </c>
      <c r="B3586" s="7">
        <f t="shared" ref="B3586:C3586" si="4061">B3498</f>
        <v>40000</v>
      </c>
      <c r="C3586" s="7" t="str">
        <f t="shared" si="4061"/>
        <v>装备</v>
      </c>
      <c r="D3586" s="7">
        <v>40453050</v>
      </c>
      <c r="E3586" s="7"/>
      <c r="F3586" s="7">
        <v>1</v>
      </c>
      <c r="G3586" s="7">
        <f>3*INDEX([1]equip.xml!$I:$I,MATCH(D3586&amp;"",[1]equip.xml!$A:$A,0))</f>
        <v>135000</v>
      </c>
      <c r="H3586" s="7" t="str">
        <f t="shared" si="4037"/>
        <v>10_10,50_20,80_30</v>
      </c>
      <c r="I3586" s="7">
        <v>6</v>
      </c>
      <c r="J3586" s="7">
        <f t="shared" si="4037"/>
        <v>50</v>
      </c>
      <c r="K3586" s="7" t="s">
        <v>310</v>
      </c>
      <c r="L3586" s="7">
        <v>34</v>
      </c>
      <c r="M3586" s="7">
        <f>IF(INDEX([1]equip.xml!$B:$B,MATCH(D3586&amp;"",[1]equip.xml!$A:$A,0))=0,0,N3586)</f>
        <v>65</v>
      </c>
      <c r="N3586" s="7">
        <f t="shared" ref="N3586" si="4062">N3498</f>
        <v>65</v>
      </c>
    </row>
    <row r="3587" spans="1:14">
      <c r="A3587" s="7">
        <f t="shared" si="3988"/>
        <v>20013</v>
      </c>
      <c r="B3587" s="7">
        <f t="shared" ref="B3587:C3587" si="4063">B3499</f>
        <v>40000</v>
      </c>
      <c r="C3587" s="7" t="str">
        <f t="shared" si="4063"/>
        <v>装备</v>
      </c>
      <c r="D3587" s="7">
        <v>40453051</v>
      </c>
      <c r="E3587" s="7"/>
      <c r="F3587" s="7">
        <v>1</v>
      </c>
      <c r="G3587" s="7">
        <f>3*INDEX([1]equip.xml!$I:$I,MATCH(D3587&amp;"",[1]equip.xml!$A:$A,0))</f>
        <v>144000</v>
      </c>
      <c r="H3587" s="7" t="str">
        <f t="shared" si="4037"/>
        <v>10_10,50_20,80_30</v>
      </c>
      <c r="I3587" s="7">
        <v>6</v>
      </c>
      <c r="J3587" s="7">
        <f t="shared" si="4037"/>
        <v>50</v>
      </c>
      <c r="K3587" s="7" t="s">
        <v>310</v>
      </c>
      <c r="L3587" s="7">
        <v>34</v>
      </c>
      <c r="M3587" s="7">
        <f>IF(INDEX([1]equip.xml!$B:$B,MATCH(D3587&amp;"",[1]equip.xml!$A:$A,0))=0,0,N3587)</f>
        <v>65</v>
      </c>
      <c r="N3587" s="7">
        <f t="shared" ref="N3587" si="4064">N3499</f>
        <v>65</v>
      </c>
    </row>
    <row r="3588" spans="1:14">
      <c r="A3588" s="7">
        <f t="shared" si="3988"/>
        <v>20013</v>
      </c>
      <c r="B3588" s="7">
        <f t="shared" ref="B3588:C3588" si="4065">B3500</f>
        <v>40000</v>
      </c>
      <c r="C3588" s="7" t="str">
        <f t="shared" si="4065"/>
        <v>装备</v>
      </c>
      <c r="D3588" s="7">
        <v>40453060</v>
      </c>
      <c r="E3588" s="7"/>
      <c r="F3588" s="7">
        <v>1</v>
      </c>
      <c r="G3588" s="7">
        <f>3*INDEX([1]equip.xml!$I:$I,MATCH(D3588&amp;"",[1]equip.xml!$A:$A,0))</f>
        <v>135000</v>
      </c>
      <c r="H3588" s="7" t="str">
        <f t="shared" si="4037"/>
        <v>10_10,50_20,80_30</v>
      </c>
      <c r="I3588" s="7">
        <v>6</v>
      </c>
      <c r="J3588" s="7">
        <f t="shared" si="4037"/>
        <v>50</v>
      </c>
      <c r="K3588" s="7" t="s">
        <v>310</v>
      </c>
      <c r="L3588" s="7">
        <v>34</v>
      </c>
      <c r="M3588" s="7">
        <f>IF(INDEX([1]equip.xml!$B:$B,MATCH(D3588&amp;"",[1]equip.xml!$A:$A,0))=0,0,N3588)</f>
        <v>65</v>
      </c>
      <c r="N3588" s="7">
        <f t="shared" ref="N3588" si="4066">N3500</f>
        <v>65</v>
      </c>
    </row>
    <row r="3589" spans="1:14">
      <c r="A3589" s="7">
        <f t="shared" si="3988"/>
        <v>20013</v>
      </c>
      <c r="B3589" s="7">
        <f t="shared" ref="B3589:C3589" si="4067">B3501</f>
        <v>40000</v>
      </c>
      <c r="C3589" s="7" t="str">
        <f t="shared" si="4067"/>
        <v>装备</v>
      </c>
      <c r="D3589" s="7">
        <v>40453061</v>
      </c>
      <c r="E3589" s="7"/>
      <c r="F3589" s="7">
        <v>1</v>
      </c>
      <c r="G3589" s="7">
        <f>3*INDEX([1]equip.xml!$I:$I,MATCH(D3589&amp;"",[1]equip.xml!$A:$A,0))</f>
        <v>144000</v>
      </c>
      <c r="H3589" s="7" t="str">
        <f t="shared" si="4037"/>
        <v>10_10,50_20,80_30</v>
      </c>
      <c r="I3589" s="7">
        <v>6</v>
      </c>
      <c r="J3589" s="7">
        <f t="shared" si="4037"/>
        <v>50</v>
      </c>
      <c r="K3589" s="7" t="s">
        <v>310</v>
      </c>
      <c r="L3589" s="7">
        <v>34</v>
      </c>
      <c r="M3589" s="7">
        <f>IF(INDEX([1]equip.xml!$B:$B,MATCH(D3589&amp;"",[1]equip.xml!$A:$A,0))=0,0,N3589)</f>
        <v>0</v>
      </c>
      <c r="N3589" s="7">
        <f t="shared" ref="N3589" si="4068">N3501</f>
        <v>65</v>
      </c>
    </row>
    <row r="3590" spans="1:14">
      <c r="A3590" s="7">
        <f t="shared" si="3988"/>
        <v>20013</v>
      </c>
      <c r="B3590" s="7">
        <f t="shared" ref="B3590:C3590" si="4069">B3502</f>
        <v>40000</v>
      </c>
      <c r="C3590" s="7" t="str">
        <f t="shared" si="4069"/>
        <v>装备</v>
      </c>
      <c r="D3590" s="7">
        <v>40450040</v>
      </c>
      <c r="E3590" s="7"/>
      <c r="F3590" s="7">
        <v>1</v>
      </c>
      <c r="G3590" s="7">
        <f>3*INDEX([1]equip.xml!$I:$I,MATCH(D3590&amp;"",[1]equip.xml!$A:$A,0))</f>
        <v>135000</v>
      </c>
      <c r="H3590" s="7" t="str">
        <f t="shared" ref="H3590:J3605" si="4070">H3502</f>
        <v>10_10,50_20,80_30</v>
      </c>
      <c r="I3590" s="7">
        <v>6</v>
      </c>
      <c r="J3590" s="7">
        <f t="shared" si="4070"/>
        <v>50</v>
      </c>
      <c r="K3590" s="7" t="s">
        <v>310</v>
      </c>
      <c r="L3590" s="7">
        <v>34</v>
      </c>
      <c r="M3590" s="7">
        <f>IF(INDEX([1]equip.xml!$B:$B,MATCH(D3590&amp;"",[1]equip.xml!$A:$A,0))=0,0,N3590)</f>
        <v>65</v>
      </c>
      <c r="N3590" s="7">
        <f t="shared" ref="N3590" si="4071">N3502</f>
        <v>65</v>
      </c>
    </row>
    <row r="3591" spans="1:14">
      <c r="A3591" s="7">
        <f t="shared" si="3988"/>
        <v>20013</v>
      </c>
      <c r="B3591" s="7">
        <f t="shared" ref="B3591:C3591" si="4072">B3503</f>
        <v>40000</v>
      </c>
      <c r="C3591" s="7" t="str">
        <f t="shared" si="4072"/>
        <v>装备</v>
      </c>
      <c r="D3591" s="7">
        <v>40450041</v>
      </c>
      <c r="E3591" s="7"/>
      <c r="F3591" s="7">
        <v>1</v>
      </c>
      <c r="G3591" s="7">
        <f>3*INDEX([1]equip.xml!$I:$I,MATCH(D3591&amp;"",[1]equip.xml!$A:$A,0))</f>
        <v>144000</v>
      </c>
      <c r="H3591" s="7" t="str">
        <f t="shared" si="4070"/>
        <v>10_10,50_20,80_30</v>
      </c>
      <c r="I3591" s="7">
        <v>6</v>
      </c>
      <c r="J3591" s="7">
        <f t="shared" si="4070"/>
        <v>50</v>
      </c>
      <c r="K3591" s="7" t="s">
        <v>310</v>
      </c>
      <c r="L3591" s="7">
        <v>34</v>
      </c>
      <c r="M3591" s="7">
        <f>IF(INDEX([1]equip.xml!$B:$B,MATCH(D3591&amp;"",[1]equip.xml!$A:$A,0))=0,0,N3591)</f>
        <v>65</v>
      </c>
      <c r="N3591" s="7">
        <f t="shared" ref="N3591" si="4073">N3503</f>
        <v>65</v>
      </c>
    </row>
    <row r="3592" spans="1:14">
      <c r="A3592" s="7">
        <f t="shared" si="3988"/>
        <v>20013</v>
      </c>
      <c r="B3592" s="7">
        <f t="shared" ref="B3592:C3592" si="4074">B3504</f>
        <v>40000</v>
      </c>
      <c r="C3592" s="7" t="str">
        <f t="shared" si="4074"/>
        <v>装备</v>
      </c>
      <c r="D3592" s="7">
        <v>40450070</v>
      </c>
      <c r="E3592" s="7"/>
      <c r="F3592" s="7">
        <v>1</v>
      </c>
      <c r="G3592" s="7">
        <f>3*INDEX([1]equip.xml!$I:$I,MATCH(D3592&amp;"",[1]equip.xml!$A:$A,0))</f>
        <v>135000</v>
      </c>
      <c r="H3592" s="7" t="str">
        <f t="shared" si="4070"/>
        <v>10_10,50_20,80_30</v>
      </c>
      <c r="I3592" s="7">
        <v>6</v>
      </c>
      <c r="J3592" s="7">
        <f t="shared" si="4070"/>
        <v>50</v>
      </c>
      <c r="K3592" s="7" t="s">
        <v>310</v>
      </c>
      <c r="L3592" s="7">
        <v>34</v>
      </c>
      <c r="M3592" s="7">
        <f>IF(INDEX([1]equip.xml!$B:$B,MATCH(D3592&amp;"",[1]equip.xml!$A:$A,0))=0,0,N3592)</f>
        <v>65</v>
      </c>
      <c r="N3592" s="7">
        <f t="shared" ref="N3592" si="4075">N3504</f>
        <v>65</v>
      </c>
    </row>
    <row r="3593" spans="1:14">
      <c r="A3593" s="7">
        <f t="shared" si="3988"/>
        <v>20013</v>
      </c>
      <c r="B3593" s="7">
        <f t="shared" ref="B3593:C3593" si="4076">B3505</f>
        <v>40000</v>
      </c>
      <c r="C3593" s="7" t="str">
        <f t="shared" si="4076"/>
        <v>装备</v>
      </c>
      <c r="D3593" s="7">
        <v>40450071</v>
      </c>
      <c r="E3593" s="7"/>
      <c r="F3593" s="7">
        <v>1</v>
      </c>
      <c r="G3593" s="7">
        <f>3*INDEX([1]equip.xml!$I:$I,MATCH(D3593&amp;"",[1]equip.xml!$A:$A,0))</f>
        <v>144000</v>
      </c>
      <c r="H3593" s="7" t="str">
        <f t="shared" si="4070"/>
        <v>10_10,50_20,80_30</v>
      </c>
      <c r="I3593" s="7">
        <v>6</v>
      </c>
      <c r="J3593" s="7">
        <f t="shared" si="4070"/>
        <v>50</v>
      </c>
      <c r="K3593" s="7" t="s">
        <v>310</v>
      </c>
      <c r="L3593" s="7">
        <v>34</v>
      </c>
      <c r="M3593" s="7">
        <f>IF(INDEX([1]equip.xml!$B:$B,MATCH(D3593&amp;"",[1]equip.xml!$A:$A,0))=0,0,N3593)</f>
        <v>65</v>
      </c>
      <c r="N3593" s="7">
        <f t="shared" ref="N3593" si="4077">N3505</f>
        <v>65</v>
      </c>
    </row>
    <row r="3594" spans="1:14">
      <c r="A3594" s="7">
        <f t="shared" si="3988"/>
        <v>20013</v>
      </c>
      <c r="B3594" s="7">
        <f t="shared" ref="B3594:C3594" si="4078">B3506</f>
        <v>40000</v>
      </c>
      <c r="C3594" s="7" t="str">
        <f t="shared" si="4078"/>
        <v>装备</v>
      </c>
      <c r="D3594" s="7">
        <v>50400015</v>
      </c>
      <c r="E3594" s="7"/>
      <c r="F3594" s="7">
        <v>1</v>
      </c>
      <c r="G3594" s="8">
        <f>3*INDEX([1]equip.xml!$I:$I,MATCH(D3594,[1]equip.xml!$A:$A,0))</f>
        <v>240000</v>
      </c>
      <c r="H3594" s="7" t="str">
        <f t="shared" si="4070"/>
        <v>10_10,50_20,80_30</v>
      </c>
      <c r="I3594" s="7">
        <v>5</v>
      </c>
      <c r="J3594" s="7">
        <f t="shared" si="4070"/>
        <v>240</v>
      </c>
      <c r="K3594" s="7" t="s">
        <v>310</v>
      </c>
      <c r="L3594" s="7">
        <v>34</v>
      </c>
      <c r="M3594" s="7">
        <f>IF(INDEX([1]equip.xml!$B:$B,MATCH(D3594,[1]equip.xml!$A:$A,0))=0,0,N3594)</f>
        <v>130</v>
      </c>
      <c r="N3594" s="7">
        <f t="shared" ref="N3594" si="4079">N3506</f>
        <v>130</v>
      </c>
    </row>
    <row r="3595" spans="1:14">
      <c r="A3595" s="7">
        <f t="shared" si="3988"/>
        <v>20013</v>
      </c>
      <c r="B3595" s="7">
        <f t="shared" ref="B3595:C3595" si="4080">B3507</f>
        <v>40000</v>
      </c>
      <c r="C3595" s="7" t="str">
        <f t="shared" si="4080"/>
        <v>装备</v>
      </c>
      <c r="D3595" s="7">
        <v>50400025</v>
      </c>
      <c r="E3595" s="7"/>
      <c r="F3595" s="7">
        <v>1</v>
      </c>
      <c r="G3595" s="8">
        <f>3*INDEX([1]equip.xml!$I:$I,MATCH(D3595,[1]equip.xml!$A:$A,0))</f>
        <v>240000</v>
      </c>
      <c r="H3595" s="7" t="str">
        <f t="shared" si="4070"/>
        <v>10_10,50_20,80_30</v>
      </c>
      <c r="I3595" s="7">
        <v>5</v>
      </c>
      <c r="J3595" s="7">
        <f t="shared" si="4070"/>
        <v>240</v>
      </c>
      <c r="K3595" s="7" t="s">
        <v>310</v>
      </c>
      <c r="L3595" s="7">
        <v>34</v>
      </c>
      <c r="M3595" s="7">
        <f>IF(INDEX([1]equip.xml!$B:$B,MATCH(D3595,[1]equip.xml!$A:$A,0))=0,0,N3595)</f>
        <v>130</v>
      </c>
      <c r="N3595" s="7">
        <f t="shared" ref="N3595" si="4081">N3507</f>
        <v>130</v>
      </c>
    </row>
    <row r="3596" spans="1:14">
      <c r="A3596" s="7">
        <f t="shared" si="3988"/>
        <v>20013</v>
      </c>
      <c r="B3596" s="7">
        <f t="shared" ref="B3596:C3596" si="4082">B3508</f>
        <v>40000</v>
      </c>
      <c r="C3596" s="7" t="str">
        <f t="shared" si="4082"/>
        <v>装备</v>
      </c>
      <c r="D3596" s="7">
        <v>50400035</v>
      </c>
      <c r="E3596" s="7"/>
      <c r="F3596" s="7">
        <v>1</v>
      </c>
      <c r="G3596" s="8">
        <f>3*INDEX([1]equip.xml!$I:$I,MATCH(D3596,[1]equip.xml!$A:$A,0))</f>
        <v>240000</v>
      </c>
      <c r="H3596" s="7" t="str">
        <f t="shared" si="4070"/>
        <v>10_10,50_20,80_30</v>
      </c>
      <c r="I3596" s="7">
        <v>5</v>
      </c>
      <c r="J3596" s="7">
        <f t="shared" si="4070"/>
        <v>240</v>
      </c>
      <c r="K3596" s="7" t="s">
        <v>310</v>
      </c>
      <c r="L3596" s="7">
        <v>34</v>
      </c>
      <c r="M3596" s="7">
        <f>IF(INDEX([1]equip.xml!$B:$B,MATCH(D3596,[1]equip.xml!$A:$A,0))=0,0,N3596)</f>
        <v>130</v>
      </c>
      <c r="N3596" s="7">
        <f t="shared" ref="N3596" si="4083">N3508</f>
        <v>130</v>
      </c>
    </row>
    <row r="3597" spans="1:14">
      <c r="A3597" s="7">
        <f t="shared" si="3988"/>
        <v>20013</v>
      </c>
      <c r="B3597" s="7">
        <f t="shared" ref="B3597:C3597" si="4084">B3509</f>
        <v>40000</v>
      </c>
      <c r="C3597" s="7" t="str">
        <f t="shared" si="4084"/>
        <v>装备</v>
      </c>
      <c r="D3597" s="7">
        <v>50400085</v>
      </c>
      <c r="E3597" s="7"/>
      <c r="F3597" s="7">
        <v>1</v>
      </c>
      <c r="G3597" s="8">
        <f>3*INDEX([1]equip.xml!$I:$I,MATCH(D3597,[1]equip.xml!$A:$A,0))</f>
        <v>240000</v>
      </c>
      <c r="H3597" s="7" t="str">
        <f t="shared" si="4070"/>
        <v>10_10,50_20,80_30</v>
      </c>
      <c r="I3597" s="7">
        <v>5</v>
      </c>
      <c r="J3597" s="7">
        <f t="shared" si="4070"/>
        <v>240</v>
      </c>
      <c r="K3597" s="7" t="s">
        <v>310</v>
      </c>
      <c r="L3597" s="7">
        <v>34</v>
      </c>
      <c r="M3597" s="7">
        <f>IF(INDEX([1]equip.xml!$B:$B,MATCH(D3597,[1]equip.xml!$A:$A,0))=0,0,N3597)</f>
        <v>130</v>
      </c>
      <c r="N3597" s="7">
        <f t="shared" ref="N3597" si="4085">N3509</f>
        <v>130</v>
      </c>
    </row>
    <row r="3598" spans="1:14">
      <c r="A3598" s="7">
        <f t="shared" si="3988"/>
        <v>20013</v>
      </c>
      <c r="B3598" s="7">
        <f t="shared" ref="B3598:C3598" si="4086">B3510</f>
        <v>40000</v>
      </c>
      <c r="C3598" s="7" t="str">
        <f t="shared" si="4086"/>
        <v>装备</v>
      </c>
      <c r="D3598" s="7">
        <v>50400095</v>
      </c>
      <c r="E3598" s="7"/>
      <c r="F3598" s="7">
        <v>1</v>
      </c>
      <c r="G3598" s="8">
        <f>3*INDEX([1]equip.xml!$I:$I,MATCH(D3598,[1]equip.xml!$A:$A,0))</f>
        <v>240000</v>
      </c>
      <c r="H3598" s="7" t="str">
        <f t="shared" si="4070"/>
        <v>10_10,50_20,80_30</v>
      </c>
      <c r="I3598" s="7">
        <v>5</v>
      </c>
      <c r="J3598" s="7">
        <f t="shared" si="4070"/>
        <v>240</v>
      </c>
      <c r="K3598" s="7" t="s">
        <v>310</v>
      </c>
      <c r="L3598" s="7">
        <v>34</v>
      </c>
      <c r="M3598" s="7">
        <f>IF(INDEX([1]equip.xml!$B:$B,MATCH(D3598,[1]equip.xml!$A:$A,0))=0,0,N3598)</f>
        <v>130</v>
      </c>
      <c r="N3598" s="7">
        <f t="shared" ref="N3598" si="4087">N3510</f>
        <v>130</v>
      </c>
    </row>
    <row r="3599" spans="1:14">
      <c r="A3599" s="7">
        <f t="shared" si="3988"/>
        <v>20013</v>
      </c>
      <c r="B3599" s="7">
        <f t="shared" ref="B3599:C3599" si="4088">B3511</f>
        <v>40000</v>
      </c>
      <c r="C3599" s="7" t="str">
        <f t="shared" si="4088"/>
        <v>装备</v>
      </c>
      <c r="D3599" s="7">
        <v>50400105</v>
      </c>
      <c r="E3599" s="7"/>
      <c r="F3599" s="7">
        <v>1</v>
      </c>
      <c r="G3599" s="8">
        <f>3*INDEX([1]equip.xml!$I:$I,MATCH(D3599,[1]equip.xml!$A:$A,0))</f>
        <v>240000</v>
      </c>
      <c r="H3599" s="7" t="str">
        <f t="shared" si="4070"/>
        <v>10_10,50_20,80_30</v>
      </c>
      <c r="I3599" s="7">
        <v>5</v>
      </c>
      <c r="J3599" s="7">
        <f t="shared" si="4070"/>
        <v>240</v>
      </c>
      <c r="K3599" s="7" t="s">
        <v>310</v>
      </c>
      <c r="L3599" s="7">
        <v>34</v>
      </c>
      <c r="M3599" s="7">
        <f>IF(INDEX([1]equip.xml!$B:$B,MATCH(D3599,[1]equip.xml!$A:$A,0))=0,0,N3599)</f>
        <v>130</v>
      </c>
      <c r="N3599" s="7">
        <f t="shared" ref="N3599" si="4089">N3511</f>
        <v>130</v>
      </c>
    </row>
    <row r="3600" spans="1:14">
      <c r="A3600" s="7">
        <f t="shared" si="3988"/>
        <v>20013</v>
      </c>
      <c r="B3600" s="7">
        <f t="shared" ref="B3600:C3600" si="4090">B3512</f>
        <v>40000</v>
      </c>
      <c r="C3600" s="7" t="str">
        <f t="shared" si="4090"/>
        <v>装备</v>
      </c>
      <c r="D3600" s="7">
        <v>50401055</v>
      </c>
      <c r="E3600" s="7"/>
      <c r="F3600" s="7">
        <v>1</v>
      </c>
      <c r="G3600" s="8">
        <f>3*INDEX([1]equip.xml!$I:$I,MATCH(D3600,[1]equip.xml!$A:$A,0))</f>
        <v>240000</v>
      </c>
      <c r="H3600" s="7" t="str">
        <f t="shared" si="4070"/>
        <v>10_10,50_20,80_30</v>
      </c>
      <c r="I3600" s="7">
        <v>5</v>
      </c>
      <c r="J3600" s="7">
        <f t="shared" si="4070"/>
        <v>240</v>
      </c>
      <c r="K3600" s="7" t="s">
        <v>310</v>
      </c>
      <c r="L3600" s="7">
        <v>34</v>
      </c>
      <c r="M3600" s="7">
        <f>IF(INDEX([1]equip.xml!$B:$B,MATCH(D3600,[1]equip.xml!$A:$A,0))=0,0,N3600)</f>
        <v>130</v>
      </c>
      <c r="N3600" s="7">
        <f t="shared" ref="N3600" si="4091">N3512</f>
        <v>130</v>
      </c>
    </row>
    <row r="3601" spans="1:14">
      <c r="A3601" s="7">
        <f t="shared" si="3988"/>
        <v>20013</v>
      </c>
      <c r="B3601" s="7">
        <f t="shared" ref="B3601:C3601" si="4092">B3513</f>
        <v>40000</v>
      </c>
      <c r="C3601" s="7" t="str">
        <f t="shared" si="4092"/>
        <v>装备</v>
      </c>
      <c r="D3601" s="7">
        <v>50401056</v>
      </c>
      <c r="E3601" s="7"/>
      <c r="F3601" s="7">
        <v>1</v>
      </c>
      <c r="G3601" s="8">
        <f>3*INDEX([1]equip.xml!$I:$I,MATCH(D3601,[1]equip.xml!$A:$A,0))</f>
        <v>258000</v>
      </c>
      <c r="H3601" s="7" t="str">
        <f t="shared" si="4070"/>
        <v>10_10,50_20,80_30</v>
      </c>
      <c r="I3601" s="7">
        <v>5</v>
      </c>
      <c r="J3601" s="7">
        <f t="shared" si="4070"/>
        <v>240</v>
      </c>
      <c r="K3601" s="7" t="s">
        <v>310</v>
      </c>
      <c r="L3601" s="7">
        <v>34</v>
      </c>
      <c r="M3601" s="7">
        <f>IF(INDEX([1]equip.xml!$B:$B,MATCH(D3601,[1]equip.xml!$A:$A,0))=0,0,N3601)</f>
        <v>130</v>
      </c>
      <c r="N3601" s="7">
        <f t="shared" ref="N3601" si="4093">N3513</f>
        <v>130</v>
      </c>
    </row>
    <row r="3602" spans="1:14">
      <c r="A3602" s="7">
        <f t="shared" si="3988"/>
        <v>20013</v>
      </c>
      <c r="B3602" s="7">
        <f t="shared" ref="B3602:C3602" si="4094">B3514</f>
        <v>40000</v>
      </c>
      <c r="C3602" s="7" t="str">
        <f t="shared" si="4094"/>
        <v>装备</v>
      </c>
      <c r="D3602" s="7">
        <v>50401065</v>
      </c>
      <c r="E3602" s="7"/>
      <c r="F3602" s="7">
        <v>1</v>
      </c>
      <c r="G3602" s="8">
        <f>3*INDEX([1]equip.xml!$I:$I,MATCH(D3602,[1]equip.xml!$A:$A,0))</f>
        <v>240000</v>
      </c>
      <c r="H3602" s="7" t="str">
        <f t="shared" si="4070"/>
        <v>10_10,50_20,80_30</v>
      </c>
      <c r="I3602" s="7">
        <v>5</v>
      </c>
      <c r="J3602" s="7">
        <f t="shared" si="4070"/>
        <v>240</v>
      </c>
      <c r="K3602" s="7" t="s">
        <v>310</v>
      </c>
      <c r="L3602" s="7">
        <v>34</v>
      </c>
      <c r="M3602" s="7">
        <f>IF(INDEX([1]equip.xml!$B:$B,MATCH(D3602,[1]equip.xml!$A:$A,0))=0,0,N3602)</f>
        <v>130</v>
      </c>
      <c r="N3602" s="7">
        <f t="shared" ref="N3602" si="4095">N3514</f>
        <v>130</v>
      </c>
    </row>
    <row r="3603" spans="1:14">
      <c r="A3603" s="7">
        <f t="shared" si="3988"/>
        <v>20013</v>
      </c>
      <c r="B3603" s="7">
        <f t="shared" ref="B3603:C3603" si="4096">B3515</f>
        <v>40000</v>
      </c>
      <c r="C3603" s="7" t="str">
        <f t="shared" si="4096"/>
        <v>装备</v>
      </c>
      <c r="D3603" s="7">
        <v>50401066</v>
      </c>
      <c r="E3603" s="7"/>
      <c r="F3603" s="7">
        <v>1</v>
      </c>
      <c r="G3603" s="8">
        <f>3*INDEX([1]equip.xml!$I:$I,MATCH(D3603,[1]equip.xml!$A:$A,0))</f>
        <v>258000</v>
      </c>
      <c r="H3603" s="7" t="str">
        <f t="shared" si="4070"/>
        <v>10_10,50_20,80_30</v>
      </c>
      <c r="I3603" s="7">
        <v>5</v>
      </c>
      <c r="J3603" s="7">
        <f t="shared" si="4070"/>
        <v>240</v>
      </c>
      <c r="K3603" s="7" t="s">
        <v>310</v>
      </c>
      <c r="L3603" s="7">
        <v>34</v>
      </c>
      <c r="M3603" s="7">
        <f>IF(INDEX([1]equip.xml!$B:$B,MATCH(D3603,[1]equip.xml!$A:$A,0))=0,0,N3603)</f>
        <v>0</v>
      </c>
      <c r="N3603" s="7">
        <f t="shared" ref="N3603" si="4097">N3515</f>
        <v>130</v>
      </c>
    </row>
    <row r="3604" spans="1:14">
      <c r="A3604" s="7">
        <f t="shared" si="3988"/>
        <v>20013</v>
      </c>
      <c r="B3604" s="7">
        <f t="shared" ref="B3604:C3604" si="4098">B3516</f>
        <v>40000</v>
      </c>
      <c r="C3604" s="7" t="str">
        <f t="shared" si="4098"/>
        <v>装备</v>
      </c>
      <c r="D3604" s="7">
        <v>50402055</v>
      </c>
      <c r="E3604" s="7"/>
      <c r="F3604" s="7">
        <v>1</v>
      </c>
      <c r="G3604" s="8">
        <f>3*INDEX([1]equip.xml!$I:$I,MATCH(D3604,[1]equip.xml!$A:$A,0))</f>
        <v>240000</v>
      </c>
      <c r="H3604" s="7" t="str">
        <f t="shared" si="4070"/>
        <v>10_10,50_20,80_30</v>
      </c>
      <c r="I3604" s="7">
        <v>5</v>
      </c>
      <c r="J3604" s="7">
        <f t="shared" si="4070"/>
        <v>240</v>
      </c>
      <c r="K3604" s="7" t="s">
        <v>310</v>
      </c>
      <c r="L3604" s="7">
        <v>34</v>
      </c>
      <c r="M3604" s="7">
        <f>IF(INDEX([1]equip.xml!$B:$B,MATCH(D3604,[1]equip.xml!$A:$A,0))=0,0,N3604)</f>
        <v>130</v>
      </c>
      <c r="N3604" s="7">
        <f t="shared" ref="N3604" si="4099">N3516</f>
        <v>130</v>
      </c>
    </row>
    <row r="3605" spans="1:14">
      <c r="A3605" s="7">
        <f t="shared" si="3988"/>
        <v>20013</v>
      </c>
      <c r="B3605" s="7">
        <f t="shared" ref="B3605:C3605" si="4100">B3517</f>
        <v>40000</v>
      </c>
      <c r="C3605" s="7" t="str">
        <f t="shared" si="4100"/>
        <v>装备</v>
      </c>
      <c r="D3605" s="7">
        <v>50402056</v>
      </c>
      <c r="E3605" s="7"/>
      <c r="F3605" s="7">
        <v>1</v>
      </c>
      <c r="G3605" s="8">
        <f>3*INDEX([1]equip.xml!$I:$I,MATCH(D3605,[1]equip.xml!$A:$A,0))</f>
        <v>258000</v>
      </c>
      <c r="H3605" s="7" t="str">
        <f t="shared" si="4070"/>
        <v>10_10,50_20,80_30</v>
      </c>
      <c r="I3605" s="7">
        <v>5</v>
      </c>
      <c r="J3605" s="7">
        <f t="shared" si="4070"/>
        <v>240</v>
      </c>
      <c r="K3605" s="7" t="s">
        <v>310</v>
      </c>
      <c r="L3605" s="7">
        <v>34</v>
      </c>
      <c r="M3605" s="7">
        <f>IF(INDEX([1]equip.xml!$B:$B,MATCH(D3605,[1]equip.xml!$A:$A,0))=0,0,N3605)</f>
        <v>130</v>
      </c>
      <c r="N3605" s="7">
        <f t="shared" ref="N3605" si="4101">N3517</f>
        <v>130</v>
      </c>
    </row>
    <row r="3606" spans="1:14">
      <c r="A3606" s="7">
        <f t="shared" si="3988"/>
        <v>20013</v>
      </c>
      <c r="B3606" s="7">
        <f t="shared" ref="B3606:C3606" si="4102">B3518</f>
        <v>40000</v>
      </c>
      <c r="C3606" s="7" t="str">
        <f t="shared" si="4102"/>
        <v>装备</v>
      </c>
      <c r="D3606" s="7">
        <v>50402065</v>
      </c>
      <c r="E3606" s="7"/>
      <c r="F3606" s="7">
        <v>1</v>
      </c>
      <c r="G3606" s="8">
        <f>3*INDEX([1]equip.xml!$I:$I,MATCH(D3606,[1]equip.xml!$A:$A,0))</f>
        <v>240000</v>
      </c>
      <c r="H3606" s="7" t="str">
        <f t="shared" ref="H3606:J3621" si="4103">H3518</f>
        <v>10_10,50_20,80_30</v>
      </c>
      <c r="I3606" s="7">
        <v>5</v>
      </c>
      <c r="J3606" s="7">
        <f t="shared" si="4103"/>
        <v>240</v>
      </c>
      <c r="K3606" s="7" t="s">
        <v>310</v>
      </c>
      <c r="L3606" s="7">
        <v>34</v>
      </c>
      <c r="M3606" s="7">
        <f>IF(INDEX([1]equip.xml!$B:$B,MATCH(D3606,[1]equip.xml!$A:$A,0))=0,0,N3606)</f>
        <v>130</v>
      </c>
      <c r="N3606" s="7">
        <f t="shared" ref="N3606" si="4104">N3518</f>
        <v>130</v>
      </c>
    </row>
    <row r="3607" spans="1:14">
      <c r="A3607" s="7">
        <f t="shared" si="3988"/>
        <v>20013</v>
      </c>
      <c r="B3607" s="7">
        <f t="shared" ref="B3607:C3607" si="4105">B3519</f>
        <v>40000</v>
      </c>
      <c r="C3607" s="7" t="str">
        <f t="shared" si="4105"/>
        <v>装备</v>
      </c>
      <c r="D3607" s="7">
        <v>50402066</v>
      </c>
      <c r="E3607" s="7"/>
      <c r="F3607" s="7">
        <v>1</v>
      </c>
      <c r="G3607" s="8">
        <f>3*INDEX([1]equip.xml!$I:$I,MATCH(D3607,[1]equip.xml!$A:$A,0))</f>
        <v>258000</v>
      </c>
      <c r="H3607" s="7" t="str">
        <f t="shared" si="4103"/>
        <v>10_10,50_20,80_30</v>
      </c>
      <c r="I3607" s="7">
        <v>5</v>
      </c>
      <c r="J3607" s="7">
        <f t="shared" si="4103"/>
        <v>240</v>
      </c>
      <c r="K3607" s="7" t="s">
        <v>310</v>
      </c>
      <c r="L3607" s="7">
        <v>34</v>
      </c>
      <c r="M3607" s="7">
        <f>IF(INDEX([1]equip.xml!$B:$B,MATCH(D3607,[1]equip.xml!$A:$A,0))=0,0,N3607)</f>
        <v>0</v>
      </c>
      <c r="N3607" s="7">
        <f t="shared" ref="N3607" si="4106">N3519</f>
        <v>130</v>
      </c>
    </row>
    <row r="3608" spans="1:14">
      <c r="A3608" s="7">
        <f t="shared" si="3988"/>
        <v>20013</v>
      </c>
      <c r="B3608" s="7">
        <f t="shared" ref="B3608:C3608" si="4107">B3520</f>
        <v>40000</v>
      </c>
      <c r="C3608" s="7" t="str">
        <f t="shared" si="4107"/>
        <v>装备</v>
      </c>
      <c r="D3608" s="7">
        <v>50403055</v>
      </c>
      <c r="E3608" s="7"/>
      <c r="F3608" s="7">
        <v>1</v>
      </c>
      <c r="G3608" s="8">
        <f>3*INDEX([1]equip.xml!$I:$I,MATCH(D3608,[1]equip.xml!$A:$A,0))</f>
        <v>240000</v>
      </c>
      <c r="H3608" s="7" t="str">
        <f t="shared" si="4103"/>
        <v>10_10,50_20,80_30</v>
      </c>
      <c r="I3608" s="7">
        <v>5</v>
      </c>
      <c r="J3608" s="7">
        <f t="shared" si="4103"/>
        <v>240</v>
      </c>
      <c r="K3608" s="7" t="s">
        <v>310</v>
      </c>
      <c r="L3608" s="7">
        <v>34</v>
      </c>
      <c r="M3608" s="7">
        <f>IF(INDEX([1]equip.xml!$B:$B,MATCH(D3608,[1]equip.xml!$A:$A,0))=0,0,N3608)</f>
        <v>130</v>
      </c>
      <c r="N3608" s="7">
        <f t="shared" ref="N3608" si="4108">N3520</f>
        <v>130</v>
      </c>
    </row>
    <row r="3609" spans="1:14">
      <c r="A3609" s="7">
        <f t="shared" si="3988"/>
        <v>20013</v>
      </c>
      <c r="B3609" s="7">
        <f t="shared" ref="B3609:C3609" si="4109">B3521</f>
        <v>40000</v>
      </c>
      <c r="C3609" s="7" t="str">
        <f t="shared" si="4109"/>
        <v>装备</v>
      </c>
      <c r="D3609" s="7">
        <v>50403056</v>
      </c>
      <c r="E3609" s="7"/>
      <c r="F3609" s="7">
        <v>1</v>
      </c>
      <c r="G3609" s="8">
        <f>3*INDEX([1]equip.xml!$I:$I,MATCH(D3609,[1]equip.xml!$A:$A,0))</f>
        <v>258000</v>
      </c>
      <c r="H3609" s="7" t="str">
        <f t="shared" si="4103"/>
        <v>10_10,50_20,80_30</v>
      </c>
      <c r="I3609" s="7">
        <v>5</v>
      </c>
      <c r="J3609" s="7">
        <f t="shared" si="4103"/>
        <v>240</v>
      </c>
      <c r="K3609" s="7" t="s">
        <v>310</v>
      </c>
      <c r="L3609" s="7">
        <v>34</v>
      </c>
      <c r="M3609" s="7">
        <f>IF(INDEX([1]equip.xml!$B:$B,MATCH(D3609,[1]equip.xml!$A:$A,0))=0,0,N3609)</f>
        <v>130</v>
      </c>
      <c r="N3609" s="7">
        <f t="shared" ref="N3609" si="4110">N3521</f>
        <v>130</v>
      </c>
    </row>
    <row r="3610" spans="1:14">
      <c r="A3610" s="7">
        <f t="shared" si="3988"/>
        <v>20013</v>
      </c>
      <c r="B3610" s="7">
        <f t="shared" ref="B3610:C3610" si="4111">B3522</f>
        <v>40000</v>
      </c>
      <c r="C3610" s="7" t="str">
        <f t="shared" si="4111"/>
        <v>装备</v>
      </c>
      <c r="D3610" s="7">
        <v>50403065</v>
      </c>
      <c r="E3610" s="7"/>
      <c r="F3610" s="7">
        <v>1</v>
      </c>
      <c r="G3610" s="8">
        <f>3*INDEX([1]equip.xml!$I:$I,MATCH(D3610,[1]equip.xml!$A:$A,0))</f>
        <v>240000</v>
      </c>
      <c r="H3610" s="7" t="str">
        <f t="shared" si="4103"/>
        <v>10_10,50_20,80_30</v>
      </c>
      <c r="I3610" s="7">
        <v>5</v>
      </c>
      <c r="J3610" s="7">
        <f t="shared" si="4103"/>
        <v>240</v>
      </c>
      <c r="K3610" s="7" t="s">
        <v>310</v>
      </c>
      <c r="L3610" s="7">
        <v>34</v>
      </c>
      <c r="M3610" s="7">
        <f>IF(INDEX([1]equip.xml!$B:$B,MATCH(D3610,[1]equip.xml!$A:$A,0))=0,0,N3610)</f>
        <v>130</v>
      </c>
      <c r="N3610" s="7">
        <f t="shared" ref="N3610" si="4112">N3522</f>
        <v>130</v>
      </c>
    </row>
    <row r="3611" spans="1:14">
      <c r="A3611" s="7">
        <f t="shared" si="3988"/>
        <v>20013</v>
      </c>
      <c r="B3611" s="7">
        <f t="shared" ref="B3611:C3611" si="4113">B3523</f>
        <v>40000</v>
      </c>
      <c r="C3611" s="7" t="str">
        <f t="shared" si="4113"/>
        <v>装备</v>
      </c>
      <c r="D3611" s="7">
        <v>50403066</v>
      </c>
      <c r="E3611" s="7"/>
      <c r="F3611" s="7">
        <v>1</v>
      </c>
      <c r="G3611" s="8">
        <f>3*INDEX([1]equip.xml!$I:$I,MATCH(D3611,[1]equip.xml!$A:$A,0))</f>
        <v>258000</v>
      </c>
      <c r="H3611" s="7" t="str">
        <f t="shared" si="4103"/>
        <v>10_10,50_20,80_30</v>
      </c>
      <c r="I3611" s="7">
        <v>5</v>
      </c>
      <c r="J3611" s="7">
        <f t="shared" si="4103"/>
        <v>240</v>
      </c>
      <c r="K3611" s="7" t="s">
        <v>310</v>
      </c>
      <c r="L3611" s="7">
        <v>34</v>
      </c>
      <c r="M3611" s="7">
        <f>IF(INDEX([1]equip.xml!$B:$B,MATCH(D3611,[1]equip.xml!$A:$A,0))=0,0,N3611)</f>
        <v>0</v>
      </c>
      <c r="N3611" s="7">
        <f t="shared" ref="N3611" si="4114">N3523</f>
        <v>130</v>
      </c>
    </row>
    <row r="3612" spans="1:14">
      <c r="A3612" s="7">
        <f t="shared" si="3988"/>
        <v>20013</v>
      </c>
      <c r="B3612" s="7">
        <f t="shared" ref="B3612:C3612" si="4115">B3524</f>
        <v>40000</v>
      </c>
      <c r="C3612" s="7" t="str">
        <f t="shared" si="4115"/>
        <v>装备</v>
      </c>
      <c r="D3612" s="7">
        <v>50400045</v>
      </c>
      <c r="E3612" s="7"/>
      <c r="F3612" s="7">
        <v>1</v>
      </c>
      <c r="G3612" s="8">
        <f>3*INDEX([1]equip.xml!$I:$I,MATCH(D3612,[1]equip.xml!$A:$A,0))</f>
        <v>240000</v>
      </c>
      <c r="H3612" s="7" t="str">
        <f t="shared" si="4103"/>
        <v>10_10,50_20,80_30</v>
      </c>
      <c r="I3612" s="7">
        <v>5</v>
      </c>
      <c r="J3612" s="7">
        <f t="shared" si="4103"/>
        <v>240</v>
      </c>
      <c r="K3612" s="7" t="s">
        <v>310</v>
      </c>
      <c r="L3612" s="7">
        <v>34</v>
      </c>
      <c r="M3612" s="7">
        <f>IF(INDEX([1]equip.xml!$B:$B,MATCH(D3612,[1]equip.xml!$A:$A,0))=0,0,N3612)</f>
        <v>130</v>
      </c>
      <c r="N3612" s="7">
        <f t="shared" ref="N3612" si="4116">N3524</f>
        <v>130</v>
      </c>
    </row>
    <row r="3613" spans="1:14">
      <c r="A3613" s="7">
        <f t="shared" si="3988"/>
        <v>20013</v>
      </c>
      <c r="B3613" s="7">
        <f t="shared" ref="B3613:C3613" si="4117">B3525</f>
        <v>40000</v>
      </c>
      <c r="C3613" s="7" t="str">
        <f t="shared" si="4117"/>
        <v>装备</v>
      </c>
      <c r="D3613" s="7">
        <v>50400046</v>
      </c>
      <c r="E3613" s="7"/>
      <c r="F3613" s="7">
        <v>1</v>
      </c>
      <c r="G3613" s="8">
        <f>3*INDEX([1]equip.xml!$I:$I,MATCH(D3613,[1]equip.xml!$A:$A,0))</f>
        <v>258000</v>
      </c>
      <c r="H3613" s="7" t="str">
        <f t="shared" si="4103"/>
        <v>10_10,50_20,80_30</v>
      </c>
      <c r="I3613" s="7">
        <v>5</v>
      </c>
      <c r="J3613" s="7">
        <f t="shared" si="4103"/>
        <v>240</v>
      </c>
      <c r="K3613" s="7" t="s">
        <v>310</v>
      </c>
      <c r="L3613" s="7">
        <v>34</v>
      </c>
      <c r="M3613" s="7">
        <f>IF(INDEX([1]equip.xml!$B:$B,MATCH(D3613,[1]equip.xml!$A:$A,0))=0,0,N3613)</f>
        <v>0</v>
      </c>
      <c r="N3613" s="7">
        <f t="shared" ref="N3613" si="4118">N3525</f>
        <v>130</v>
      </c>
    </row>
    <row r="3614" spans="1:14">
      <c r="A3614" s="7">
        <f t="shared" si="3988"/>
        <v>20013</v>
      </c>
      <c r="B3614" s="7">
        <f t="shared" ref="B3614:C3614" si="4119">B3526</f>
        <v>40000</v>
      </c>
      <c r="C3614" s="7" t="str">
        <f t="shared" si="4119"/>
        <v>装备</v>
      </c>
      <c r="D3614" s="7">
        <v>50400075</v>
      </c>
      <c r="E3614" s="7"/>
      <c r="F3614" s="7">
        <v>1</v>
      </c>
      <c r="G3614" s="8">
        <f>3*INDEX([1]equip.xml!$I:$I,MATCH(D3614,[1]equip.xml!$A:$A,0))</f>
        <v>240000</v>
      </c>
      <c r="H3614" s="7" t="str">
        <f t="shared" si="4103"/>
        <v>10_10,50_20,80_30</v>
      </c>
      <c r="I3614" s="7">
        <v>5</v>
      </c>
      <c r="J3614" s="7">
        <f t="shared" si="4103"/>
        <v>240</v>
      </c>
      <c r="K3614" s="7" t="s">
        <v>310</v>
      </c>
      <c r="L3614" s="7">
        <v>34</v>
      </c>
      <c r="M3614" s="7">
        <f>IF(INDEX([1]equip.xml!$B:$B,MATCH(D3614,[1]equip.xml!$A:$A,0))=0,0,N3614)</f>
        <v>130</v>
      </c>
      <c r="N3614" s="7">
        <f t="shared" ref="N3614" si="4120">N3526</f>
        <v>130</v>
      </c>
    </row>
    <row r="3615" spans="1:14">
      <c r="A3615" s="7">
        <f t="shared" ref="A3615:A3678" si="4121">10000+A799</f>
        <v>20013</v>
      </c>
      <c r="B3615" s="7">
        <f t="shared" ref="B3615:C3615" si="4122">B3527</f>
        <v>40000</v>
      </c>
      <c r="C3615" s="7" t="str">
        <f t="shared" si="4122"/>
        <v>装备</v>
      </c>
      <c r="D3615" s="7">
        <v>50400076</v>
      </c>
      <c r="E3615" s="7"/>
      <c r="F3615" s="7">
        <v>1</v>
      </c>
      <c r="G3615" s="8">
        <f>3*INDEX([1]equip.xml!$I:$I,MATCH(D3615,[1]equip.xml!$A:$A,0))</f>
        <v>258000</v>
      </c>
      <c r="H3615" s="7" t="str">
        <f t="shared" si="4103"/>
        <v>10_10,50_20,80_30</v>
      </c>
      <c r="I3615" s="7">
        <v>5</v>
      </c>
      <c r="J3615" s="7">
        <f t="shared" si="4103"/>
        <v>240</v>
      </c>
      <c r="K3615" s="7" t="s">
        <v>310</v>
      </c>
      <c r="L3615" s="7">
        <v>34</v>
      </c>
      <c r="M3615" s="7">
        <f>IF(INDEX([1]equip.xml!$B:$B,MATCH(D3615,[1]equip.xml!$A:$A,0))=0,0,N3615)</f>
        <v>0</v>
      </c>
      <c r="N3615" s="7">
        <f t="shared" ref="N3615" si="4123">N3527</f>
        <v>130</v>
      </c>
    </row>
    <row r="3616" spans="1:14">
      <c r="A3616" s="7">
        <f t="shared" si="4121"/>
        <v>20013</v>
      </c>
      <c r="B3616" s="7">
        <f t="shared" ref="B3616:C3616" si="4124">B3528</f>
        <v>40000</v>
      </c>
      <c r="C3616" s="7" t="str">
        <f t="shared" si="4124"/>
        <v>装备</v>
      </c>
      <c r="D3616" s="7">
        <v>50450015</v>
      </c>
      <c r="E3616" s="7"/>
      <c r="F3616" s="7">
        <v>1</v>
      </c>
      <c r="G3616" s="8">
        <f>3*INDEX([1]equip.xml!$I:$I,MATCH(D3616,[1]equip.xml!$A:$A,0))</f>
        <v>270000</v>
      </c>
      <c r="H3616" s="7" t="str">
        <f t="shared" si="4103"/>
        <v>10_10,50_20,80_30</v>
      </c>
      <c r="I3616" s="7">
        <v>5</v>
      </c>
      <c r="J3616" s="7">
        <f t="shared" si="4103"/>
        <v>240</v>
      </c>
      <c r="K3616" s="7" t="s">
        <v>310</v>
      </c>
      <c r="L3616" s="7">
        <v>34</v>
      </c>
      <c r="M3616" s="7">
        <f>IF(INDEX([1]equip.xml!$B:$B,MATCH(D3616,[1]equip.xml!$A:$A,0))=0,0,N3616)</f>
        <v>65</v>
      </c>
      <c r="N3616" s="7">
        <f t="shared" ref="N3616" si="4125">N3528</f>
        <v>65</v>
      </c>
    </row>
    <row r="3617" spans="1:14">
      <c r="A3617" s="7">
        <f t="shared" si="4121"/>
        <v>20013</v>
      </c>
      <c r="B3617" s="7">
        <f t="shared" ref="B3617:C3617" si="4126">B3529</f>
        <v>40000</v>
      </c>
      <c r="C3617" s="7" t="str">
        <f t="shared" si="4126"/>
        <v>装备</v>
      </c>
      <c r="D3617" s="7">
        <v>50450025</v>
      </c>
      <c r="E3617" s="7"/>
      <c r="F3617" s="7">
        <v>1</v>
      </c>
      <c r="G3617" s="8">
        <f>3*INDEX([1]equip.xml!$I:$I,MATCH(D3617,[1]equip.xml!$A:$A,0))</f>
        <v>270000</v>
      </c>
      <c r="H3617" s="7" t="str">
        <f t="shared" si="4103"/>
        <v>10_10,50_20,80_30</v>
      </c>
      <c r="I3617" s="7">
        <v>5</v>
      </c>
      <c r="J3617" s="7">
        <f t="shared" si="4103"/>
        <v>240</v>
      </c>
      <c r="K3617" s="7" t="s">
        <v>310</v>
      </c>
      <c r="L3617" s="7">
        <v>34</v>
      </c>
      <c r="M3617" s="7">
        <f>IF(INDEX([1]equip.xml!$B:$B,MATCH(D3617,[1]equip.xml!$A:$A,0))=0,0,N3617)</f>
        <v>65</v>
      </c>
      <c r="N3617" s="7">
        <f t="shared" ref="N3617" si="4127">N3529</f>
        <v>65</v>
      </c>
    </row>
    <row r="3618" spans="1:14">
      <c r="A3618" s="7">
        <f t="shared" si="4121"/>
        <v>20013</v>
      </c>
      <c r="B3618" s="7">
        <f t="shared" ref="B3618:C3618" si="4128">B3530</f>
        <v>40000</v>
      </c>
      <c r="C3618" s="7" t="str">
        <f t="shared" si="4128"/>
        <v>装备</v>
      </c>
      <c r="D3618" s="7">
        <v>50450035</v>
      </c>
      <c r="E3618" s="7"/>
      <c r="F3618" s="7">
        <v>1</v>
      </c>
      <c r="G3618" s="8">
        <f>3*INDEX([1]equip.xml!$I:$I,MATCH(D3618,[1]equip.xml!$A:$A,0))</f>
        <v>270000</v>
      </c>
      <c r="H3618" s="7" t="str">
        <f t="shared" si="4103"/>
        <v>10_10,50_20,80_30</v>
      </c>
      <c r="I3618" s="7">
        <v>5</v>
      </c>
      <c r="J3618" s="7">
        <f t="shared" si="4103"/>
        <v>240</v>
      </c>
      <c r="K3618" s="7" t="s">
        <v>310</v>
      </c>
      <c r="L3618" s="7">
        <v>34</v>
      </c>
      <c r="M3618" s="7">
        <f>IF(INDEX([1]equip.xml!$B:$B,MATCH(D3618,[1]equip.xml!$A:$A,0))=0,0,N3618)</f>
        <v>65</v>
      </c>
      <c r="N3618" s="7">
        <f t="shared" ref="N3618" si="4129">N3530</f>
        <v>65</v>
      </c>
    </row>
    <row r="3619" spans="1:14">
      <c r="A3619" s="7">
        <f t="shared" si="4121"/>
        <v>20013</v>
      </c>
      <c r="B3619" s="7">
        <f t="shared" ref="B3619:C3619" si="4130">B3531</f>
        <v>40000</v>
      </c>
      <c r="C3619" s="7" t="str">
        <f t="shared" si="4130"/>
        <v>装备</v>
      </c>
      <c r="D3619" s="7">
        <v>50450085</v>
      </c>
      <c r="E3619" s="7"/>
      <c r="F3619" s="7">
        <v>1</v>
      </c>
      <c r="G3619" s="8">
        <f>3*INDEX([1]equip.xml!$I:$I,MATCH(D3619,[1]equip.xml!$A:$A,0))</f>
        <v>270000</v>
      </c>
      <c r="H3619" s="7" t="str">
        <f t="shared" si="4103"/>
        <v>10_10,50_20,80_30</v>
      </c>
      <c r="I3619" s="7">
        <v>5</v>
      </c>
      <c r="J3619" s="7">
        <f t="shared" si="4103"/>
        <v>240</v>
      </c>
      <c r="K3619" s="7" t="s">
        <v>310</v>
      </c>
      <c r="L3619" s="7">
        <v>34</v>
      </c>
      <c r="M3619" s="7">
        <f>IF(INDEX([1]equip.xml!$B:$B,MATCH(D3619,[1]equip.xml!$A:$A,0))=0,0,N3619)</f>
        <v>65</v>
      </c>
      <c r="N3619" s="7">
        <f t="shared" ref="N3619" si="4131">N3531</f>
        <v>65</v>
      </c>
    </row>
    <row r="3620" spans="1:14">
      <c r="A3620" s="7">
        <f t="shared" si="4121"/>
        <v>20013</v>
      </c>
      <c r="B3620" s="7">
        <f t="shared" ref="B3620:C3620" si="4132">B3532</f>
        <v>40000</v>
      </c>
      <c r="C3620" s="7" t="str">
        <f t="shared" si="4132"/>
        <v>装备</v>
      </c>
      <c r="D3620" s="7">
        <v>50450095</v>
      </c>
      <c r="E3620" s="7"/>
      <c r="F3620" s="7">
        <v>1</v>
      </c>
      <c r="G3620" s="8">
        <f>3*INDEX([1]equip.xml!$I:$I,MATCH(D3620,[1]equip.xml!$A:$A,0))</f>
        <v>270000</v>
      </c>
      <c r="H3620" s="7" t="str">
        <f t="shared" si="4103"/>
        <v>10_10,50_20,80_30</v>
      </c>
      <c r="I3620" s="7">
        <v>5</v>
      </c>
      <c r="J3620" s="7">
        <f t="shared" si="4103"/>
        <v>240</v>
      </c>
      <c r="K3620" s="7" t="s">
        <v>310</v>
      </c>
      <c r="L3620" s="7">
        <v>34</v>
      </c>
      <c r="M3620" s="7">
        <f>IF(INDEX([1]equip.xml!$B:$B,MATCH(D3620,[1]equip.xml!$A:$A,0))=0,0,N3620)</f>
        <v>65</v>
      </c>
      <c r="N3620" s="7">
        <f t="shared" ref="N3620" si="4133">N3532</f>
        <v>65</v>
      </c>
    </row>
    <row r="3621" spans="1:14">
      <c r="A3621" s="7">
        <f t="shared" si="4121"/>
        <v>20013</v>
      </c>
      <c r="B3621" s="7">
        <f t="shared" ref="B3621:C3621" si="4134">B3533</f>
        <v>40000</v>
      </c>
      <c r="C3621" s="7" t="str">
        <f t="shared" si="4134"/>
        <v>装备</v>
      </c>
      <c r="D3621" s="7">
        <v>50450105</v>
      </c>
      <c r="E3621" s="7"/>
      <c r="F3621" s="7">
        <v>1</v>
      </c>
      <c r="G3621" s="8">
        <f>3*INDEX([1]equip.xml!$I:$I,MATCH(D3621,[1]equip.xml!$A:$A,0))</f>
        <v>270000</v>
      </c>
      <c r="H3621" s="7" t="str">
        <f t="shared" si="4103"/>
        <v>10_10,50_20,80_30</v>
      </c>
      <c r="I3621" s="7">
        <v>5</v>
      </c>
      <c r="J3621" s="7">
        <f t="shared" si="4103"/>
        <v>240</v>
      </c>
      <c r="K3621" s="7" t="s">
        <v>310</v>
      </c>
      <c r="L3621" s="7">
        <v>34</v>
      </c>
      <c r="M3621" s="7">
        <f>IF(INDEX([1]equip.xml!$B:$B,MATCH(D3621,[1]equip.xml!$A:$A,0))=0,0,N3621)</f>
        <v>65</v>
      </c>
      <c r="N3621" s="7">
        <f t="shared" ref="N3621" si="4135">N3533</f>
        <v>65</v>
      </c>
    </row>
    <row r="3622" spans="1:14">
      <c r="A3622" s="7">
        <f t="shared" si="4121"/>
        <v>20013</v>
      </c>
      <c r="B3622" s="7">
        <f t="shared" ref="B3622:C3622" si="4136">B3534</f>
        <v>40000</v>
      </c>
      <c r="C3622" s="7" t="str">
        <f t="shared" si="4136"/>
        <v>装备</v>
      </c>
      <c r="D3622" s="7">
        <v>50451055</v>
      </c>
      <c r="E3622" s="7"/>
      <c r="F3622" s="7">
        <v>1</v>
      </c>
      <c r="G3622" s="8">
        <f>3*INDEX([1]equip.xml!$I:$I,MATCH(D3622,[1]equip.xml!$A:$A,0))</f>
        <v>270000</v>
      </c>
      <c r="H3622" s="7" t="str">
        <f t="shared" ref="H3622:J3637" si="4137">H3534</f>
        <v>10_10,50_20,80_30</v>
      </c>
      <c r="I3622" s="7">
        <v>5</v>
      </c>
      <c r="J3622" s="7">
        <f t="shared" si="4137"/>
        <v>240</v>
      </c>
      <c r="K3622" s="7" t="s">
        <v>310</v>
      </c>
      <c r="L3622" s="7">
        <v>34</v>
      </c>
      <c r="M3622" s="7">
        <f>IF(INDEX([1]equip.xml!$B:$B,MATCH(D3622,[1]equip.xml!$A:$A,0))=0,0,N3622)</f>
        <v>65</v>
      </c>
      <c r="N3622" s="7">
        <f t="shared" ref="N3622" si="4138">N3534</f>
        <v>65</v>
      </c>
    </row>
    <row r="3623" spans="1:14">
      <c r="A3623" s="7">
        <f t="shared" si="4121"/>
        <v>20013</v>
      </c>
      <c r="B3623" s="7">
        <f t="shared" ref="B3623:C3623" si="4139">B3535</f>
        <v>40000</v>
      </c>
      <c r="C3623" s="7" t="str">
        <f t="shared" si="4139"/>
        <v>装备</v>
      </c>
      <c r="D3623" s="7">
        <v>50451056</v>
      </c>
      <c r="E3623" s="7"/>
      <c r="F3623" s="7">
        <v>1</v>
      </c>
      <c r="G3623" s="8">
        <f>3*INDEX([1]equip.xml!$I:$I,MATCH(D3623,[1]equip.xml!$A:$A,0))</f>
        <v>288000</v>
      </c>
      <c r="H3623" s="7" t="str">
        <f t="shared" si="4137"/>
        <v>10_10,50_20,80_30</v>
      </c>
      <c r="I3623" s="7">
        <v>5</v>
      </c>
      <c r="J3623" s="7">
        <f t="shared" si="4137"/>
        <v>240</v>
      </c>
      <c r="K3623" s="7" t="s">
        <v>310</v>
      </c>
      <c r="L3623" s="7">
        <v>34</v>
      </c>
      <c r="M3623" s="7">
        <f>IF(INDEX([1]equip.xml!$B:$B,MATCH(D3623,[1]equip.xml!$A:$A,0))=0,0,N3623)</f>
        <v>0</v>
      </c>
      <c r="N3623" s="7">
        <f t="shared" ref="N3623" si="4140">N3535</f>
        <v>65</v>
      </c>
    </row>
    <row r="3624" spans="1:14">
      <c r="A3624" s="7">
        <f t="shared" si="4121"/>
        <v>20013</v>
      </c>
      <c r="B3624" s="7">
        <f t="shared" ref="B3624:C3624" si="4141">B3536</f>
        <v>40000</v>
      </c>
      <c r="C3624" s="7" t="str">
        <f t="shared" si="4141"/>
        <v>装备</v>
      </c>
      <c r="D3624" s="7">
        <v>50451065</v>
      </c>
      <c r="E3624" s="7"/>
      <c r="F3624" s="7">
        <v>1</v>
      </c>
      <c r="G3624" s="8">
        <f>3*INDEX([1]equip.xml!$I:$I,MATCH(D3624,[1]equip.xml!$A:$A,0))</f>
        <v>270000</v>
      </c>
      <c r="H3624" s="7" t="str">
        <f t="shared" si="4137"/>
        <v>10_10,50_20,80_30</v>
      </c>
      <c r="I3624" s="7">
        <v>5</v>
      </c>
      <c r="J3624" s="7">
        <f t="shared" si="4137"/>
        <v>240</v>
      </c>
      <c r="K3624" s="7" t="s">
        <v>310</v>
      </c>
      <c r="L3624" s="7">
        <v>34</v>
      </c>
      <c r="M3624" s="7">
        <f>IF(INDEX([1]equip.xml!$B:$B,MATCH(D3624,[1]equip.xml!$A:$A,0))=0,0,N3624)</f>
        <v>65</v>
      </c>
      <c r="N3624" s="7">
        <f t="shared" ref="N3624" si="4142">N3536</f>
        <v>65</v>
      </c>
    </row>
    <row r="3625" spans="1:14">
      <c r="A3625" s="7">
        <f t="shared" si="4121"/>
        <v>20013</v>
      </c>
      <c r="B3625" s="7">
        <f t="shared" ref="B3625:C3625" si="4143">B3537</f>
        <v>40000</v>
      </c>
      <c r="C3625" s="7" t="str">
        <f t="shared" si="4143"/>
        <v>装备</v>
      </c>
      <c r="D3625" s="7">
        <v>50451066</v>
      </c>
      <c r="E3625" s="7"/>
      <c r="F3625" s="7">
        <v>1</v>
      </c>
      <c r="G3625" s="8">
        <f>3*INDEX([1]equip.xml!$I:$I,MATCH(D3625,[1]equip.xml!$A:$A,0))</f>
        <v>288000</v>
      </c>
      <c r="H3625" s="7" t="str">
        <f t="shared" si="4137"/>
        <v>10_10,50_20,80_30</v>
      </c>
      <c r="I3625" s="7">
        <v>5</v>
      </c>
      <c r="J3625" s="7">
        <f t="shared" si="4137"/>
        <v>240</v>
      </c>
      <c r="K3625" s="7" t="s">
        <v>310</v>
      </c>
      <c r="L3625" s="7">
        <v>34</v>
      </c>
      <c r="M3625" s="7">
        <f>IF(INDEX([1]equip.xml!$B:$B,MATCH(D3625,[1]equip.xml!$A:$A,0))=0,0,N3625)</f>
        <v>0</v>
      </c>
      <c r="N3625" s="7">
        <f t="shared" ref="N3625" si="4144">N3537</f>
        <v>65</v>
      </c>
    </row>
    <row r="3626" spans="1:14">
      <c r="A3626" s="7">
        <f t="shared" si="4121"/>
        <v>20013</v>
      </c>
      <c r="B3626" s="7">
        <f t="shared" ref="B3626:C3626" si="4145">B3538</f>
        <v>40000</v>
      </c>
      <c r="C3626" s="7" t="str">
        <f t="shared" si="4145"/>
        <v>装备</v>
      </c>
      <c r="D3626" s="7">
        <v>50452055</v>
      </c>
      <c r="E3626" s="7"/>
      <c r="F3626" s="7">
        <v>1</v>
      </c>
      <c r="G3626" s="8">
        <f>3*INDEX([1]equip.xml!$I:$I,MATCH(D3626,[1]equip.xml!$A:$A,0))</f>
        <v>270000</v>
      </c>
      <c r="H3626" s="7" t="str">
        <f t="shared" si="4137"/>
        <v>10_10,50_20,80_30</v>
      </c>
      <c r="I3626" s="7">
        <v>5</v>
      </c>
      <c r="J3626" s="7">
        <f t="shared" si="4137"/>
        <v>240</v>
      </c>
      <c r="K3626" s="7" t="s">
        <v>310</v>
      </c>
      <c r="L3626" s="7">
        <v>34</v>
      </c>
      <c r="M3626" s="7">
        <f>IF(INDEX([1]equip.xml!$B:$B,MATCH(D3626,[1]equip.xml!$A:$A,0))=0,0,N3626)</f>
        <v>65</v>
      </c>
      <c r="N3626" s="7">
        <f t="shared" ref="N3626" si="4146">N3538</f>
        <v>65</v>
      </c>
    </row>
    <row r="3627" spans="1:14">
      <c r="A3627" s="7">
        <f t="shared" si="4121"/>
        <v>20013</v>
      </c>
      <c r="B3627" s="7">
        <f t="shared" ref="B3627:C3627" si="4147">B3539</f>
        <v>40000</v>
      </c>
      <c r="C3627" s="7" t="str">
        <f t="shared" si="4147"/>
        <v>装备</v>
      </c>
      <c r="D3627" s="7">
        <v>50452056</v>
      </c>
      <c r="E3627" s="7"/>
      <c r="F3627" s="7">
        <v>1</v>
      </c>
      <c r="G3627" s="8">
        <f>3*INDEX([1]equip.xml!$I:$I,MATCH(D3627,[1]equip.xml!$A:$A,0))</f>
        <v>288000</v>
      </c>
      <c r="H3627" s="7" t="str">
        <f t="shared" si="4137"/>
        <v>10_10,50_20,80_30</v>
      </c>
      <c r="I3627" s="7">
        <v>5</v>
      </c>
      <c r="J3627" s="7">
        <f t="shared" si="4137"/>
        <v>240</v>
      </c>
      <c r="K3627" s="7" t="s">
        <v>310</v>
      </c>
      <c r="L3627" s="7">
        <v>34</v>
      </c>
      <c r="M3627" s="7">
        <f>IF(INDEX([1]equip.xml!$B:$B,MATCH(D3627,[1]equip.xml!$A:$A,0))=0,0,N3627)</f>
        <v>0</v>
      </c>
      <c r="N3627" s="7">
        <f t="shared" ref="N3627" si="4148">N3539</f>
        <v>65</v>
      </c>
    </row>
    <row r="3628" spans="1:14">
      <c r="A3628" s="7">
        <f t="shared" si="4121"/>
        <v>20013</v>
      </c>
      <c r="B3628" s="7">
        <f t="shared" ref="B3628:C3628" si="4149">B3540</f>
        <v>40000</v>
      </c>
      <c r="C3628" s="7" t="str">
        <f t="shared" si="4149"/>
        <v>装备</v>
      </c>
      <c r="D3628" s="7">
        <v>50452065</v>
      </c>
      <c r="E3628" s="7"/>
      <c r="F3628" s="7">
        <v>1</v>
      </c>
      <c r="G3628" s="8">
        <f>3*INDEX([1]equip.xml!$I:$I,MATCH(D3628,[1]equip.xml!$A:$A,0))</f>
        <v>270000</v>
      </c>
      <c r="H3628" s="7" t="str">
        <f t="shared" si="4137"/>
        <v>10_10,50_20,80_30</v>
      </c>
      <c r="I3628" s="7">
        <v>5</v>
      </c>
      <c r="J3628" s="7">
        <f t="shared" si="4137"/>
        <v>240</v>
      </c>
      <c r="K3628" s="7" t="s">
        <v>310</v>
      </c>
      <c r="L3628" s="7">
        <v>34</v>
      </c>
      <c r="M3628" s="7">
        <f>IF(INDEX([1]equip.xml!$B:$B,MATCH(D3628,[1]equip.xml!$A:$A,0))=0,0,N3628)</f>
        <v>65</v>
      </c>
      <c r="N3628" s="7">
        <f t="shared" ref="N3628" si="4150">N3540</f>
        <v>65</v>
      </c>
    </row>
    <row r="3629" spans="1:14">
      <c r="A3629" s="7">
        <f t="shared" si="4121"/>
        <v>20013</v>
      </c>
      <c r="B3629" s="7">
        <f t="shared" ref="B3629:C3629" si="4151">B3541</f>
        <v>40000</v>
      </c>
      <c r="C3629" s="7" t="str">
        <f t="shared" si="4151"/>
        <v>装备</v>
      </c>
      <c r="D3629" s="7">
        <v>50452066</v>
      </c>
      <c r="E3629" s="7"/>
      <c r="F3629" s="7">
        <v>1</v>
      </c>
      <c r="G3629" s="8">
        <f>3*INDEX([1]equip.xml!$I:$I,MATCH(D3629,[1]equip.xml!$A:$A,0))</f>
        <v>288000</v>
      </c>
      <c r="H3629" s="7" t="str">
        <f t="shared" si="4137"/>
        <v>10_10,50_20,80_30</v>
      </c>
      <c r="I3629" s="7">
        <v>5</v>
      </c>
      <c r="J3629" s="7">
        <f t="shared" si="4137"/>
        <v>240</v>
      </c>
      <c r="K3629" s="7" t="s">
        <v>310</v>
      </c>
      <c r="L3629" s="7">
        <v>34</v>
      </c>
      <c r="M3629" s="7">
        <f>IF(INDEX([1]equip.xml!$B:$B,MATCH(D3629,[1]equip.xml!$A:$A,0))=0,0,N3629)</f>
        <v>0</v>
      </c>
      <c r="N3629" s="7">
        <f t="shared" ref="N3629" si="4152">N3541</f>
        <v>65</v>
      </c>
    </row>
    <row r="3630" spans="1:14">
      <c r="A3630" s="7">
        <f t="shared" si="4121"/>
        <v>20013</v>
      </c>
      <c r="B3630" s="7">
        <f t="shared" ref="B3630:C3630" si="4153">B3542</f>
        <v>40000</v>
      </c>
      <c r="C3630" s="7" t="str">
        <f t="shared" si="4153"/>
        <v>装备</v>
      </c>
      <c r="D3630" s="7">
        <v>50453055</v>
      </c>
      <c r="E3630" s="7"/>
      <c r="F3630" s="7">
        <v>1</v>
      </c>
      <c r="G3630" s="8">
        <f>3*INDEX([1]equip.xml!$I:$I,MATCH(D3630,[1]equip.xml!$A:$A,0))</f>
        <v>270000</v>
      </c>
      <c r="H3630" s="7" t="str">
        <f t="shared" si="4137"/>
        <v>10_10,50_20,80_30</v>
      </c>
      <c r="I3630" s="7">
        <v>5</v>
      </c>
      <c r="J3630" s="7">
        <f t="shared" si="4137"/>
        <v>240</v>
      </c>
      <c r="K3630" s="7" t="s">
        <v>310</v>
      </c>
      <c r="L3630" s="7">
        <v>34</v>
      </c>
      <c r="M3630" s="7">
        <f>IF(INDEX([1]equip.xml!$B:$B,MATCH(D3630,[1]equip.xml!$A:$A,0))=0,0,N3630)</f>
        <v>65</v>
      </c>
      <c r="N3630" s="7">
        <f t="shared" ref="N3630" si="4154">N3542</f>
        <v>65</v>
      </c>
    </row>
    <row r="3631" spans="1:14">
      <c r="A3631" s="7">
        <f t="shared" si="4121"/>
        <v>20013</v>
      </c>
      <c r="B3631" s="7">
        <f t="shared" ref="B3631:C3631" si="4155">B3543</f>
        <v>40000</v>
      </c>
      <c r="C3631" s="7" t="str">
        <f t="shared" si="4155"/>
        <v>装备</v>
      </c>
      <c r="D3631" s="7">
        <v>50453056</v>
      </c>
      <c r="E3631" s="7"/>
      <c r="F3631" s="7">
        <v>1</v>
      </c>
      <c r="G3631" s="8">
        <f>3*INDEX([1]equip.xml!$I:$I,MATCH(D3631,[1]equip.xml!$A:$A,0))</f>
        <v>288000</v>
      </c>
      <c r="H3631" s="7" t="str">
        <f t="shared" si="4137"/>
        <v>10_10,50_20,80_30</v>
      </c>
      <c r="I3631" s="7">
        <v>5</v>
      </c>
      <c r="J3631" s="7">
        <f t="shared" si="4137"/>
        <v>240</v>
      </c>
      <c r="K3631" s="7" t="s">
        <v>310</v>
      </c>
      <c r="L3631" s="7">
        <v>34</v>
      </c>
      <c r="M3631" s="7">
        <f>IF(INDEX([1]equip.xml!$B:$B,MATCH(D3631,[1]equip.xml!$A:$A,0))=0,0,N3631)</f>
        <v>65</v>
      </c>
      <c r="N3631" s="7">
        <f t="shared" ref="N3631" si="4156">N3543</f>
        <v>65</v>
      </c>
    </row>
    <row r="3632" spans="1:14">
      <c r="A3632" s="7">
        <f t="shared" si="4121"/>
        <v>20013</v>
      </c>
      <c r="B3632" s="7">
        <f t="shared" ref="B3632:C3632" si="4157">B3544</f>
        <v>40000</v>
      </c>
      <c r="C3632" s="7" t="str">
        <f t="shared" si="4157"/>
        <v>装备</v>
      </c>
      <c r="D3632" s="7">
        <v>50453065</v>
      </c>
      <c r="E3632" s="7"/>
      <c r="F3632" s="7">
        <v>1</v>
      </c>
      <c r="G3632" s="8">
        <f>3*INDEX([1]equip.xml!$I:$I,MATCH(D3632,[1]equip.xml!$A:$A,0))</f>
        <v>270000</v>
      </c>
      <c r="H3632" s="7" t="str">
        <f t="shared" si="4137"/>
        <v>10_10,50_20,80_30</v>
      </c>
      <c r="I3632" s="7">
        <v>5</v>
      </c>
      <c r="J3632" s="7">
        <f t="shared" si="4137"/>
        <v>240</v>
      </c>
      <c r="K3632" s="7" t="s">
        <v>310</v>
      </c>
      <c r="L3632" s="7">
        <v>34</v>
      </c>
      <c r="M3632" s="7">
        <f>IF(INDEX([1]equip.xml!$B:$B,MATCH(D3632,[1]equip.xml!$A:$A,0))=0,0,N3632)</f>
        <v>65</v>
      </c>
      <c r="N3632" s="7">
        <f t="shared" ref="N3632" si="4158">N3544</f>
        <v>65</v>
      </c>
    </row>
    <row r="3633" spans="1:14">
      <c r="A3633" s="7">
        <f t="shared" si="4121"/>
        <v>20013</v>
      </c>
      <c r="B3633" s="7">
        <f t="shared" ref="B3633:C3633" si="4159">B3545</f>
        <v>40000</v>
      </c>
      <c r="C3633" s="7" t="str">
        <f t="shared" si="4159"/>
        <v>装备</v>
      </c>
      <c r="D3633" s="7">
        <v>50453066</v>
      </c>
      <c r="E3633" s="7"/>
      <c r="F3633" s="7">
        <v>1</v>
      </c>
      <c r="G3633" s="8">
        <f>3*INDEX([1]equip.xml!$I:$I,MATCH(D3633,[1]equip.xml!$A:$A,0))</f>
        <v>288000</v>
      </c>
      <c r="H3633" s="7" t="str">
        <f t="shared" si="4137"/>
        <v>10_10,50_20,80_30</v>
      </c>
      <c r="I3633" s="7">
        <v>5</v>
      </c>
      <c r="J3633" s="7">
        <f t="shared" si="4137"/>
        <v>240</v>
      </c>
      <c r="K3633" s="7" t="s">
        <v>310</v>
      </c>
      <c r="L3633" s="7">
        <v>34</v>
      </c>
      <c r="M3633" s="7">
        <f>IF(INDEX([1]equip.xml!$B:$B,MATCH(D3633,[1]equip.xml!$A:$A,0))=0,0,N3633)</f>
        <v>0</v>
      </c>
      <c r="N3633" s="7">
        <f t="shared" ref="N3633" si="4160">N3545</f>
        <v>65</v>
      </c>
    </row>
    <row r="3634" spans="1:14">
      <c r="A3634" s="7">
        <f t="shared" si="4121"/>
        <v>20013</v>
      </c>
      <c r="B3634" s="7">
        <f t="shared" ref="B3634:C3634" si="4161">B3546</f>
        <v>40000</v>
      </c>
      <c r="C3634" s="7" t="str">
        <f t="shared" si="4161"/>
        <v>装备</v>
      </c>
      <c r="D3634" s="7">
        <v>50450045</v>
      </c>
      <c r="E3634" s="7"/>
      <c r="F3634" s="7">
        <v>1</v>
      </c>
      <c r="G3634" s="8">
        <f>3*INDEX([1]equip.xml!$I:$I,MATCH(D3634,[1]equip.xml!$A:$A,0))</f>
        <v>270000</v>
      </c>
      <c r="H3634" s="7" t="str">
        <f t="shared" si="4137"/>
        <v>10_10,50_20,80_30</v>
      </c>
      <c r="I3634" s="7">
        <v>5</v>
      </c>
      <c r="J3634" s="7">
        <f t="shared" si="4137"/>
        <v>240</v>
      </c>
      <c r="K3634" s="7" t="s">
        <v>310</v>
      </c>
      <c r="L3634" s="7">
        <v>34</v>
      </c>
      <c r="M3634" s="7">
        <f>IF(INDEX([1]equip.xml!$B:$B,MATCH(D3634,[1]equip.xml!$A:$A,0))=0,0,N3634)</f>
        <v>65</v>
      </c>
      <c r="N3634" s="7">
        <f t="shared" ref="N3634" si="4162">N3546</f>
        <v>65</v>
      </c>
    </row>
    <row r="3635" spans="1:14">
      <c r="A3635" s="7">
        <f t="shared" si="4121"/>
        <v>20013</v>
      </c>
      <c r="B3635" s="7">
        <f t="shared" ref="B3635:C3635" si="4163">B3547</f>
        <v>40000</v>
      </c>
      <c r="C3635" s="7" t="str">
        <f t="shared" si="4163"/>
        <v>装备</v>
      </c>
      <c r="D3635" s="7">
        <v>50450046</v>
      </c>
      <c r="E3635" s="7"/>
      <c r="F3635" s="7">
        <v>1</v>
      </c>
      <c r="G3635" s="8">
        <f>3*INDEX([1]equip.xml!$I:$I,MATCH(D3635,[1]equip.xml!$A:$A,0))</f>
        <v>288000</v>
      </c>
      <c r="H3635" s="7" t="str">
        <f t="shared" si="4137"/>
        <v>10_10,50_20,80_30</v>
      </c>
      <c r="I3635" s="7">
        <v>5</v>
      </c>
      <c r="J3635" s="7">
        <f t="shared" si="4137"/>
        <v>240</v>
      </c>
      <c r="K3635" s="7" t="s">
        <v>310</v>
      </c>
      <c r="L3635" s="7">
        <v>34</v>
      </c>
      <c r="M3635" s="7">
        <f>IF(INDEX([1]equip.xml!$B:$B,MATCH(D3635,[1]equip.xml!$A:$A,0))=0,0,N3635)</f>
        <v>65</v>
      </c>
      <c r="N3635" s="7">
        <f t="shared" ref="N3635" si="4164">N3547</f>
        <v>65</v>
      </c>
    </row>
    <row r="3636" spans="1:14">
      <c r="A3636" s="7">
        <f t="shared" si="4121"/>
        <v>20013</v>
      </c>
      <c r="B3636" s="7">
        <f t="shared" ref="B3636:C3636" si="4165">B3548</f>
        <v>40000</v>
      </c>
      <c r="C3636" s="7" t="str">
        <f t="shared" si="4165"/>
        <v>装备</v>
      </c>
      <c r="D3636" s="7">
        <v>50450075</v>
      </c>
      <c r="E3636" s="7"/>
      <c r="F3636" s="7">
        <v>1</v>
      </c>
      <c r="G3636" s="8">
        <f>3*INDEX([1]equip.xml!$I:$I,MATCH(D3636,[1]equip.xml!$A:$A,0))</f>
        <v>270000</v>
      </c>
      <c r="H3636" s="7" t="str">
        <f t="shared" si="4137"/>
        <v>10_10,50_20,80_30</v>
      </c>
      <c r="I3636" s="7">
        <v>5</v>
      </c>
      <c r="J3636" s="7">
        <f t="shared" si="4137"/>
        <v>240</v>
      </c>
      <c r="K3636" s="7" t="s">
        <v>310</v>
      </c>
      <c r="L3636" s="7">
        <v>34</v>
      </c>
      <c r="M3636" s="7">
        <f>IF(INDEX([1]equip.xml!$B:$B,MATCH(D3636,[1]equip.xml!$A:$A,0))=0,0,N3636)</f>
        <v>65</v>
      </c>
      <c r="N3636" s="7">
        <f t="shared" ref="N3636" si="4166">N3548</f>
        <v>65</v>
      </c>
    </row>
    <row r="3637" spans="1:14">
      <c r="A3637" s="7">
        <f t="shared" si="4121"/>
        <v>20013</v>
      </c>
      <c r="B3637" s="7">
        <f t="shared" ref="B3637:C3637" si="4167">B3549</f>
        <v>40000</v>
      </c>
      <c r="C3637" s="7" t="str">
        <f t="shared" si="4167"/>
        <v>装备</v>
      </c>
      <c r="D3637" s="7">
        <v>50450076</v>
      </c>
      <c r="E3637" s="7"/>
      <c r="F3637" s="7">
        <v>1</v>
      </c>
      <c r="G3637" s="8">
        <f>3*INDEX([1]equip.xml!$I:$I,MATCH(D3637,[1]equip.xml!$A:$A,0))</f>
        <v>288000</v>
      </c>
      <c r="H3637" s="7" t="str">
        <f t="shared" si="4137"/>
        <v>10_10,50_20,80_30</v>
      </c>
      <c r="I3637" s="7">
        <v>5</v>
      </c>
      <c r="J3637" s="7">
        <f t="shared" si="4137"/>
        <v>240</v>
      </c>
      <c r="K3637" s="7" t="s">
        <v>310</v>
      </c>
      <c r="L3637" s="7">
        <v>34</v>
      </c>
      <c r="M3637" s="7">
        <f>IF(INDEX([1]equip.xml!$B:$B,MATCH(D3637,[1]equip.xml!$A:$A,0))=0,0,N3637)</f>
        <v>65</v>
      </c>
      <c r="N3637" s="7">
        <f t="shared" ref="N3637" si="4168">N3549</f>
        <v>65</v>
      </c>
    </row>
    <row r="3638" spans="1:14">
      <c r="A3638" s="7">
        <f t="shared" si="4121"/>
        <v>20014</v>
      </c>
      <c r="B3638" s="8">
        <f t="shared" ref="B3638:C3638" si="4169">B3550</f>
        <v>40000</v>
      </c>
      <c r="C3638" s="8" t="str">
        <f t="shared" si="4169"/>
        <v>装备</v>
      </c>
      <c r="D3638" s="8">
        <v>40450010</v>
      </c>
      <c r="E3638" s="8"/>
      <c r="F3638" s="8">
        <v>1</v>
      </c>
      <c r="G3638" s="7">
        <f>3*INDEX([1]equip.xml!$I:$I,MATCH(D3638&amp;"",[1]equip.xml!$A:$A,0))</f>
        <v>135000</v>
      </c>
      <c r="H3638" s="8" t="str">
        <f t="shared" ref="H3638:J3653" si="4170">H3550</f>
        <v>10_10,50_20,80_30</v>
      </c>
      <c r="I3638" s="8">
        <v>6</v>
      </c>
      <c r="J3638" s="8">
        <f t="shared" si="4170"/>
        <v>50</v>
      </c>
      <c r="K3638" s="7" t="s">
        <v>311</v>
      </c>
      <c r="L3638" s="8">
        <v>36</v>
      </c>
      <c r="M3638" s="7">
        <f>IF(INDEX([1]equip.xml!$B:$B,MATCH(D3638&amp;"",[1]equip.xml!$A:$A,0))=0,0,N3638)</f>
        <v>130</v>
      </c>
      <c r="N3638" s="8">
        <f t="shared" ref="N3638" si="4171">N3550</f>
        <v>130</v>
      </c>
    </row>
    <row r="3639" spans="1:14">
      <c r="A3639" s="7">
        <f t="shared" si="4121"/>
        <v>20014</v>
      </c>
      <c r="B3639" s="8">
        <f t="shared" ref="B3639:C3639" si="4172">B3551</f>
        <v>40000</v>
      </c>
      <c r="C3639" s="8" t="str">
        <f t="shared" si="4172"/>
        <v>装备</v>
      </c>
      <c r="D3639" s="8">
        <v>40450020</v>
      </c>
      <c r="E3639" s="8"/>
      <c r="F3639" s="8">
        <v>1</v>
      </c>
      <c r="G3639" s="7">
        <f>3*INDEX([1]equip.xml!$I:$I,MATCH(D3639&amp;"",[1]equip.xml!$A:$A,0))</f>
        <v>135000</v>
      </c>
      <c r="H3639" s="8" t="str">
        <f t="shared" si="4170"/>
        <v>10_10,50_20,80_30</v>
      </c>
      <c r="I3639" s="8">
        <v>6</v>
      </c>
      <c r="J3639" s="8">
        <f t="shared" si="4170"/>
        <v>50</v>
      </c>
      <c r="K3639" s="7" t="s">
        <v>311</v>
      </c>
      <c r="L3639" s="8">
        <v>36</v>
      </c>
      <c r="M3639" s="7">
        <f>IF(INDEX([1]equip.xml!$B:$B,MATCH(D3639&amp;"",[1]equip.xml!$A:$A,0))=0,0,N3639)</f>
        <v>130</v>
      </c>
      <c r="N3639" s="8">
        <f t="shared" ref="N3639" si="4173">N3551</f>
        <v>130</v>
      </c>
    </row>
    <row r="3640" spans="1:14">
      <c r="A3640" s="7">
        <f t="shared" si="4121"/>
        <v>20014</v>
      </c>
      <c r="B3640" s="8">
        <f t="shared" ref="B3640:C3640" si="4174">B3552</f>
        <v>40000</v>
      </c>
      <c r="C3640" s="8" t="str">
        <f t="shared" si="4174"/>
        <v>装备</v>
      </c>
      <c r="D3640" s="8">
        <v>40450030</v>
      </c>
      <c r="E3640" s="8"/>
      <c r="F3640" s="8">
        <v>1</v>
      </c>
      <c r="G3640" s="7">
        <f>3*INDEX([1]equip.xml!$I:$I,MATCH(D3640&amp;"",[1]equip.xml!$A:$A,0))</f>
        <v>135000</v>
      </c>
      <c r="H3640" s="8" t="str">
        <f t="shared" si="4170"/>
        <v>10_10,50_20,80_30</v>
      </c>
      <c r="I3640" s="8">
        <v>6</v>
      </c>
      <c r="J3640" s="8">
        <f t="shared" si="4170"/>
        <v>50</v>
      </c>
      <c r="K3640" s="7" t="s">
        <v>311</v>
      </c>
      <c r="L3640" s="8">
        <v>36</v>
      </c>
      <c r="M3640" s="7">
        <f>IF(INDEX([1]equip.xml!$B:$B,MATCH(D3640&amp;"",[1]equip.xml!$A:$A,0))=0,0,N3640)</f>
        <v>130</v>
      </c>
      <c r="N3640" s="8">
        <f t="shared" ref="N3640" si="4175">N3552</f>
        <v>130</v>
      </c>
    </row>
    <row r="3641" spans="1:14">
      <c r="A3641" s="7">
        <f t="shared" si="4121"/>
        <v>20014</v>
      </c>
      <c r="B3641" s="8">
        <f t="shared" ref="B3641:C3641" si="4176">B3553</f>
        <v>40000</v>
      </c>
      <c r="C3641" s="8" t="str">
        <f t="shared" si="4176"/>
        <v>装备</v>
      </c>
      <c r="D3641" s="8">
        <v>40450080</v>
      </c>
      <c r="E3641" s="8"/>
      <c r="F3641" s="8">
        <v>1</v>
      </c>
      <c r="G3641" s="7">
        <f>3*INDEX([1]equip.xml!$I:$I,MATCH(D3641&amp;"",[1]equip.xml!$A:$A,0))</f>
        <v>135000</v>
      </c>
      <c r="H3641" s="8" t="str">
        <f t="shared" si="4170"/>
        <v>10_10,50_20,80_30</v>
      </c>
      <c r="I3641" s="8">
        <v>6</v>
      </c>
      <c r="J3641" s="8">
        <f t="shared" si="4170"/>
        <v>50</v>
      </c>
      <c r="K3641" s="7" t="s">
        <v>311</v>
      </c>
      <c r="L3641" s="8">
        <v>36</v>
      </c>
      <c r="M3641" s="7">
        <f>IF(INDEX([1]equip.xml!$B:$B,MATCH(D3641&amp;"",[1]equip.xml!$A:$A,0))=0,0,N3641)</f>
        <v>130</v>
      </c>
      <c r="N3641" s="8">
        <f t="shared" ref="N3641" si="4177">N3553</f>
        <v>130</v>
      </c>
    </row>
    <row r="3642" spans="1:14">
      <c r="A3642" s="7">
        <f t="shared" si="4121"/>
        <v>20014</v>
      </c>
      <c r="B3642" s="8">
        <f t="shared" ref="B3642:C3642" si="4178">B3554</f>
        <v>40000</v>
      </c>
      <c r="C3642" s="8" t="str">
        <f t="shared" si="4178"/>
        <v>装备</v>
      </c>
      <c r="D3642" s="8">
        <v>40450090</v>
      </c>
      <c r="E3642" s="8"/>
      <c r="F3642" s="8">
        <v>1</v>
      </c>
      <c r="G3642" s="7">
        <f>3*INDEX([1]equip.xml!$I:$I,MATCH(D3642&amp;"",[1]equip.xml!$A:$A,0))</f>
        <v>135000</v>
      </c>
      <c r="H3642" s="8" t="str">
        <f t="shared" si="4170"/>
        <v>10_10,50_20,80_30</v>
      </c>
      <c r="I3642" s="8">
        <v>6</v>
      </c>
      <c r="J3642" s="8">
        <f t="shared" si="4170"/>
        <v>50</v>
      </c>
      <c r="K3642" s="7" t="s">
        <v>311</v>
      </c>
      <c r="L3642" s="8">
        <v>36</v>
      </c>
      <c r="M3642" s="7">
        <f>IF(INDEX([1]equip.xml!$B:$B,MATCH(D3642&amp;"",[1]equip.xml!$A:$A,0))=0,0,N3642)</f>
        <v>130</v>
      </c>
      <c r="N3642" s="8">
        <f t="shared" ref="N3642" si="4179">N3554</f>
        <v>130</v>
      </c>
    </row>
    <row r="3643" spans="1:14">
      <c r="A3643" s="7">
        <f t="shared" si="4121"/>
        <v>20014</v>
      </c>
      <c r="B3643" s="8">
        <f t="shared" ref="B3643:C3643" si="4180">B3555</f>
        <v>40000</v>
      </c>
      <c r="C3643" s="8" t="str">
        <f t="shared" si="4180"/>
        <v>装备</v>
      </c>
      <c r="D3643" s="8">
        <v>40450100</v>
      </c>
      <c r="E3643" s="8"/>
      <c r="F3643" s="8">
        <v>1</v>
      </c>
      <c r="G3643" s="7">
        <f>3*INDEX([1]equip.xml!$I:$I,MATCH(D3643&amp;"",[1]equip.xml!$A:$A,0))</f>
        <v>135000</v>
      </c>
      <c r="H3643" s="8" t="str">
        <f t="shared" si="4170"/>
        <v>10_10,50_20,80_30</v>
      </c>
      <c r="I3643" s="8">
        <v>6</v>
      </c>
      <c r="J3643" s="8">
        <f t="shared" si="4170"/>
        <v>50</v>
      </c>
      <c r="K3643" s="7" t="s">
        <v>311</v>
      </c>
      <c r="L3643" s="8">
        <v>36</v>
      </c>
      <c r="M3643" s="7">
        <f>IF(INDEX([1]equip.xml!$B:$B,MATCH(D3643&amp;"",[1]equip.xml!$A:$A,0))=0,0,N3643)</f>
        <v>130</v>
      </c>
      <c r="N3643" s="8">
        <f t="shared" ref="N3643" si="4181">N3555</f>
        <v>130</v>
      </c>
    </row>
    <row r="3644" spans="1:14">
      <c r="A3644" s="7">
        <f t="shared" si="4121"/>
        <v>20014</v>
      </c>
      <c r="B3644" s="8">
        <f t="shared" ref="B3644:C3644" si="4182">B3556</f>
        <v>40000</v>
      </c>
      <c r="C3644" s="8" t="str">
        <f t="shared" si="4182"/>
        <v>装备</v>
      </c>
      <c r="D3644" s="8">
        <v>40451050</v>
      </c>
      <c r="E3644" s="8"/>
      <c r="F3644" s="8">
        <v>1</v>
      </c>
      <c r="G3644" s="7">
        <f>3*INDEX([1]equip.xml!$I:$I,MATCH(D3644&amp;"",[1]equip.xml!$A:$A,0))</f>
        <v>135000</v>
      </c>
      <c r="H3644" s="8" t="str">
        <f t="shared" si="4170"/>
        <v>10_10,50_20,80_30</v>
      </c>
      <c r="I3644" s="8">
        <v>6</v>
      </c>
      <c r="J3644" s="8">
        <f t="shared" si="4170"/>
        <v>50</v>
      </c>
      <c r="K3644" s="7" t="s">
        <v>311</v>
      </c>
      <c r="L3644" s="8">
        <v>36</v>
      </c>
      <c r="M3644" s="7">
        <f>IF(INDEX([1]equip.xml!$B:$B,MATCH(D3644&amp;"",[1]equip.xml!$A:$A,0))=0,0,N3644)</f>
        <v>130</v>
      </c>
      <c r="N3644" s="8">
        <f t="shared" ref="N3644" si="4183">N3556</f>
        <v>130</v>
      </c>
    </row>
    <row r="3645" spans="1:14">
      <c r="A3645" s="7">
        <f t="shared" si="4121"/>
        <v>20014</v>
      </c>
      <c r="B3645" s="8">
        <f t="shared" ref="B3645:C3645" si="4184">B3557</f>
        <v>40000</v>
      </c>
      <c r="C3645" s="8" t="str">
        <f t="shared" si="4184"/>
        <v>装备</v>
      </c>
      <c r="D3645" s="8">
        <v>40451051</v>
      </c>
      <c r="E3645" s="8"/>
      <c r="F3645" s="8">
        <v>1</v>
      </c>
      <c r="G3645" s="7">
        <f>3*INDEX([1]equip.xml!$I:$I,MATCH(D3645&amp;"",[1]equip.xml!$A:$A,0))</f>
        <v>144000</v>
      </c>
      <c r="H3645" s="8" t="str">
        <f t="shared" si="4170"/>
        <v>10_10,50_20,80_30</v>
      </c>
      <c r="I3645" s="8">
        <v>6</v>
      </c>
      <c r="J3645" s="8">
        <f t="shared" si="4170"/>
        <v>50</v>
      </c>
      <c r="K3645" s="7" t="s">
        <v>311</v>
      </c>
      <c r="L3645" s="8">
        <v>36</v>
      </c>
      <c r="M3645" s="7">
        <f>IF(INDEX([1]equip.xml!$B:$B,MATCH(D3645&amp;"",[1]equip.xml!$A:$A,0))=0,0,N3645)</f>
        <v>0</v>
      </c>
      <c r="N3645" s="8">
        <f t="shared" ref="N3645" si="4185">N3557</f>
        <v>130</v>
      </c>
    </row>
    <row r="3646" spans="1:14">
      <c r="A3646" s="7">
        <f t="shared" si="4121"/>
        <v>20014</v>
      </c>
      <c r="B3646" s="8">
        <f t="shared" ref="B3646:C3646" si="4186">B3558</f>
        <v>40000</v>
      </c>
      <c r="C3646" s="8" t="str">
        <f t="shared" si="4186"/>
        <v>装备</v>
      </c>
      <c r="D3646" s="8">
        <v>40451060</v>
      </c>
      <c r="E3646" s="8"/>
      <c r="F3646" s="8">
        <v>1</v>
      </c>
      <c r="G3646" s="7">
        <f>3*INDEX([1]equip.xml!$I:$I,MATCH(D3646&amp;"",[1]equip.xml!$A:$A,0))</f>
        <v>135000</v>
      </c>
      <c r="H3646" s="8" t="str">
        <f t="shared" si="4170"/>
        <v>10_10,50_20,80_30</v>
      </c>
      <c r="I3646" s="8">
        <v>6</v>
      </c>
      <c r="J3646" s="8">
        <f t="shared" si="4170"/>
        <v>50</v>
      </c>
      <c r="K3646" s="7" t="s">
        <v>311</v>
      </c>
      <c r="L3646" s="8">
        <v>36</v>
      </c>
      <c r="M3646" s="7">
        <f>IF(INDEX([1]equip.xml!$B:$B,MATCH(D3646&amp;"",[1]equip.xml!$A:$A,0))=0,0,N3646)</f>
        <v>130</v>
      </c>
      <c r="N3646" s="8">
        <f t="shared" ref="N3646" si="4187">N3558</f>
        <v>130</v>
      </c>
    </row>
    <row r="3647" spans="1:14">
      <c r="A3647" s="7">
        <f t="shared" si="4121"/>
        <v>20014</v>
      </c>
      <c r="B3647" s="8">
        <f t="shared" ref="B3647:C3647" si="4188">B3559</f>
        <v>40000</v>
      </c>
      <c r="C3647" s="8" t="str">
        <f t="shared" si="4188"/>
        <v>装备</v>
      </c>
      <c r="D3647" s="8">
        <v>40451061</v>
      </c>
      <c r="E3647" s="8"/>
      <c r="F3647" s="8">
        <v>1</v>
      </c>
      <c r="G3647" s="7">
        <f>3*INDEX([1]equip.xml!$I:$I,MATCH(D3647&amp;"",[1]equip.xml!$A:$A,0))</f>
        <v>144000</v>
      </c>
      <c r="H3647" s="8" t="str">
        <f t="shared" si="4170"/>
        <v>10_10,50_20,80_30</v>
      </c>
      <c r="I3647" s="8">
        <v>6</v>
      </c>
      <c r="J3647" s="8">
        <f t="shared" si="4170"/>
        <v>50</v>
      </c>
      <c r="K3647" s="7" t="s">
        <v>311</v>
      </c>
      <c r="L3647" s="8">
        <v>36</v>
      </c>
      <c r="M3647" s="7">
        <f>IF(INDEX([1]equip.xml!$B:$B,MATCH(D3647&amp;"",[1]equip.xml!$A:$A,0))=0,0,N3647)</f>
        <v>0</v>
      </c>
      <c r="N3647" s="8">
        <f t="shared" ref="N3647" si="4189">N3559</f>
        <v>130</v>
      </c>
    </row>
    <row r="3648" spans="1:14">
      <c r="A3648" s="7">
        <f t="shared" si="4121"/>
        <v>20014</v>
      </c>
      <c r="B3648" s="8">
        <f t="shared" ref="B3648:C3648" si="4190">B3560</f>
        <v>40000</v>
      </c>
      <c r="C3648" s="8" t="str">
        <f t="shared" si="4190"/>
        <v>装备</v>
      </c>
      <c r="D3648" s="8">
        <v>40452050</v>
      </c>
      <c r="E3648" s="8"/>
      <c r="F3648" s="8">
        <v>1</v>
      </c>
      <c r="G3648" s="7">
        <f>3*INDEX([1]equip.xml!$I:$I,MATCH(D3648&amp;"",[1]equip.xml!$A:$A,0))</f>
        <v>135000</v>
      </c>
      <c r="H3648" s="8" t="str">
        <f t="shared" si="4170"/>
        <v>10_10,50_20,80_30</v>
      </c>
      <c r="I3648" s="8">
        <v>6</v>
      </c>
      <c r="J3648" s="8">
        <f t="shared" si="4170"/>
        <v>50</v>
      </c>
      <c r="K3648" s="7" t="s">
        <v>311</v>
      </c>
      <c r="L3648" s="8">
        <v>36</v>
      </c>
      <c r="M3648" s="7">
        <f>IF(INDEX([1]equip.xml!$B:$B,MATCH(D3648&amp;"",[1]equip.xml!$A:$A,0))=0,0,N3648)</f>
        <v>130</v>
      </c>
      <c r="N3648" s="8">
        <f t="shared" ref="N3648" si="4191">N3560</f>
        <v>130</v>
      </c>
    </row>
    <row r="3649" spans="1:14">
      <c r="A3649" s="7">
        <f t="shared" si="4121"/>
        <v>20014</v>
      </c>
      <c r="B3649" s="8">
        <f t="shared" ref="B3649:C3649" si="4192">B3561</f>
        <v>40000</v>
      </c>
      <c r="C3649" s="8" t="str">
        <f t="shared" si="4192"/>
        <v>装备</v>
      </c>
      <c r="D3649" s="8">
        <v>40452051</v>
      </c>
      <c r="E3649" s="8"/>
      <c r="F3649" s="8">
        <v>1</v>
      </c>
      <c r="G3649" s="7">
        <f>3*INDEX([1]equip.xml!$I:$I,MATCH(D3649&amp;"",[1]equip.xml!$A:$A,0))</f>
        <v>144000</v>
      </c>
      <c r="H3649" s="8" t="str">
        <f t="shared" si="4170"/>
        <v>10_10,50_20,80_30</v>
      </c>
      <c r="I3649" s="8">
        <v>6</v>
      </c>
      <c r="J3649" s="8">
        <f t="shared" si="4170"/>
        <v>50</v>
      </c>
      <c r="K3649" s="7" t="s">
        <v>311</v>
      </c>
      <c r="L3649" s="8">
        <v>36</v>
      </c>
      <c r="M3649" s="7">
        <f>IF(INDEX([1]equip.xml!$B:$B,MATCH(D3649&amp;"",[1]equip.xml!$A:$A,0))=0,0,N3649)</f>
        <v>0</v>
      </c>
      <c r="N3649" s="8">
        <f t="shared" ref="N3649" si="4193">N3561</f>
        <v>130</v>
      </c>
    </row>
    <row r="3650" spans="1:14">
      <c r="A3650" s="7">
        <f t="shared" si="4121"/>
        <v>20014</v>
      </c>
      <c r="B3650" s="8">
        <f t="shared" ref="B3650:C3650" si="4194">B3562</f>
        <v>40000</v>
      </c>
      <c r="C3650" s="8" t="str">
        <f t="shared" si="4194"/>
        <v>装备</v>
      </c>
      <c r="D3650" s="8">
        <v>40452060</v>
      </c>
      <c r="E3650" s="8"/>
      <c r="F3650" s="8">
        <v>1</v>
      </c>
      <c r="G3650" s="7">
        <f>3*INDEX([1]equip.xml!$I:$I,MATCH(D3650&amp;"",[1]equip.xml!$A:$A,0))</f>
        <v>135000</v>
      </c>
      <c r="H3650" s="8" t="str">
        <f t="shared" si="4170"/>
        <v>10_10,50_20,80_30</v>
      </c>
      <c r="I3650" s="8">
        <v>6</v>
      </c>
      <c r="J3650" s="8">
        <f t="shared" si="4170"/>
        <v>50</v>
      </c>
      <c r="K3650" s="7" t="s">
        <v>311</v>
      </c>
      <c r="L3650" s="8">
        <v>36</v>
      </c>
      <c r="M3650" s="7">
        <f>IF(INDEX([1]equip.xml!$B:$B,MATCH(D3650&amp;"",[1]equip.xml!$A:$A,0))=0,0,N3650)</f>
        <v>130</v>
      </c>
      <c r="N3650" s="8">
        <f t="shared" ref="N3650" si="4195">N3562</f>
        <v>130</v>
      </c>
    </row>
    <row r="3651" spans="1:14">
      <c r="A3651" s="7">
        <f t="shared" si="4121"/>
        <v>20014</v>
      </c>
      <c r="B3651" s="8">
        <f t="shared" ref="B3651:C3651" si="4196">B3563</f>
        <v>40000</v>
      </c>
      <c r="C3651" s="8" t="str">
        <f t="shared" si="4196"/>
        <v>装备</v>
      </c>
      <c r="D3651" s="8">
        <v>40452061</v>
      </c>
      <c r="E3651" s="8"/>
      <c r="F3651" s="8">
        <v>1</v>
      </c>
      <c r="G3651" s="7">
        <f>3*INDEX([1]equip.xml!$I:$I,MATCH(D3651&amp;"",[1]equip.xml!$A:$A,0))</f>
        <v>144000</v>
      </c>
      <c r="H3651" s="8" t="str">
        <f t="shared" si="4170"/>
        <v>10_10,50_20,80_30</v>
      </c>
      <c r="I3651" s="8">
        <v>6</v>
      </c>
      <c r="J3651" s="8">
        <f t="shared" si="4170"/>
        <v>50</v>
      </c>
      <c r="K3651" s="7" t="s">
        <v>311</v>
      </c>
      <c r="L3651" s="8">
        <v>36</v>
      </c>
      <c r="M3651" s="7">
        <f>IF(INDEX([1]equip.xml!$B:$B,MATCH(D3651&amp;"",[1]equip.xml!$A:$A,0))=0,0,N3651)</f>
        <v>0</v>
      </c>
      <c r="N3651" s="8">
        <f t="shared" ref="N3651" si="4197">N3563</f>
        <v>130</v>
      </c>
    </row>
    <row r="3652" spans="1:14">
      <c r="A3652" s="7">
        <f t="shared" si="4121"/>
        <v>20014</v>
      </c>
      <c r="B3652" s="8">
        <f t="shared" ref="B3652:C3652" si="4198">B3564</f>
        <v>40000</v>
      </c>
      <c r="C3652" s="8" t="str">
        <f t="shared" si="4198"/>
        <v>装备</v>
      </c>
      <c r="D3652" s="8">
        <v>40453050</v>
      </c>
      <c r="E3652" s="8"/>
      <c r="F3652" s="8">
        <v>1</v>
      </c>
      <c r="G3652" s="7">
        <f>3*INDEX([1]equip.xml!$I:$I,MATCH(D3652&amp;"",[1]equip.xml!$A:$A,0))</f>
        <v>135000</v>
      </c>
      <c r="H3652" s="8" t="str">
        <f t="shared" si="4170"/>
        <v>10_10,50_20,80_30</v>
      </c>
      <c r="I3652" s="8">
        <v>6</v>
      </c>
      <c r="J3652" s="8">
        <f t="shared" si="4170"/>
        <v>50</v>
      </c>
      <c r="K3652" s="7" t="s">
        <v>311</v>
      </c>
      <c r="L3652" s="8">
        <v>36</v>
      </c>
      <c r="M3652" s="7">
        <f>IF(INDEX([1]equip.xml!$B:$B,MATCH(D3652&amp;"",[1]equip.xml!$A:$A,0))=0,0,N3652)</f>
        <v>130</v>
      </c>
      <c r="N3652" s="8">
        <f t="shared" ref="N3652" si="4199">N3564</f>
        <v>130</v>
      </c>
    </row>
    <row r="3653" spans="1:14">
      <c r="A3653" s="7">
        <f t="shared" si="4121"/>
        <v>20014</v>
      </c>
      <c r="B3653" s="8">
        <f t="shared" ref="B3653:C3653" si="4200">B3565</f>
        <v>40000</v>
      </c>
      <c r="C3653" s="8" t="str">
        <f t="shared" si="4200"/>
        <v>装备</v>
      </c>
      <c r="D3653" s="8">
        <v>40453051</v>
      </c>
      <c r="E3653" s="8"/>
      <c r="F3653" s="8">
        <v>1</v>
      </c>
      <c r="G3653" s="7">
        <f>3*INDEX([1]equip.xml!$I:$I,MATCH(D3653&amp;"",[1]equip.xml!$A:$A,0))</f>
        <v>144000</v>
      </c>
      <c r="H3653" s="8" t="str">
        <f t="shared" si="4170"/>
        <v>10_10,50_20,80_30</v>
      </c>
      <c r="I3653" s="8">
        <v>6</v>
      </c>
      <c r="J3653" s="8">
        <f t="shared" si="4170"/>
        <v>50</v>
      </c>
      <c r="K3653" s="7" t="s">
        <v>311</v>
      </c>
      <c r="L3653" s="8">
        <v>36</v>
      </c>
      <c r="M3653" s="7">
        <f>IF(INDEX([1]equip.xml!$B:$B,MATCH(D3653&amp;"",[1]equip.xml!$A:$A,0))=0,0,N3653)</f>
        <v>130</v>
      </c>
      <c r="N3653" s="8">
        <f t="shared" ref="N3653" si="4201">N3565</f>
        <v>130</v>
      </c>
    </row>
    <row r="3654" spans="1:14">
      <c r="A3654" s="7">
        <f t="shared" si="4121"/>
        <v>20014</v>
      </c>
      <c r="B3654" s="8">
        <f t="shared" ref="B3654:C3654" si="4202">B3566</f>
        <v>40000</v>
      </c>
      <c r="C3654" s="8" t="str">
        <f t="shared" si="4202"/>
        <v>装备</v>
      </c>
      <c r="D3654" s="8">
        <v>40453060</v>
      </c>
      <c r="E3654" s="8"/>
      <c r="F3654" s="8">
        <v>1</v>
      </c>
      <c r="G3654" s="7">
        <f>3*INDEX([1]equip.xml!$I:$I,MATCH(D3654&amp;"",[1]equip.xml!$A:$A,0))</f>
        <v>135000</v>
      </c>
      <c r="H3654" s="8" t="str">
        <f t="shared" ref="H3654:J3669" si="4203">H3566</f>
        <v>10_10,50_20,80_30</v>
      </c>
      <c r="I3654" s="8">
        <v>6</v>
      </c>
      <c r="J3654" s="8">
        <f t="shared" si="4203"/>
        <v>50</v>
      </c>
      <c r="K3654" s="7" t="s">
        <v>311</v>
      </c>
      <c r="L3654" s="8">
        <v>36</v>
      </c>
      <c r="M3654" s="7">
        <f>IF(INDEX([1]equip.xml!$B:$B,MATCH(D3654&amp;"",[1]equip.xml!$A:$A,0))=0,0,N3654)</f>
        <v>130</v>
      </c>
      <c r="N3654" s="8">
        <f t="shared" ref="N3654" si="4204">N3566</f>
        <v>130</v>
      </c>
    </row>
    <row r="3655" spans="1:14">
      <c r="A3655" s="7">
        <f t="shared" si="4121"/>
        <v>20014</v>
      </c>
      <c r="B3655" s="8">
        <f t="shared" ref="B3655:C3655" si="4205">B3567</f>
        <v>40000</v>
      </c>
      <c r="C3655" s="8" t="str">
        <f t="shared" si="4205"/>
        <v>装备</v>
      </c>
      <c r="D3655" s="8">
        <v>40453061</v>
      </c>
      <c r="E3655" s="8"/>
      <c r="F3655" s="8">
        <v>1</v>
      </c>
      <c r="G3655" s="7">
        <f>3*INDEX([1]equip.xml!$I:$I,MATCH(D3655&amp;"",[1]equip.xml!$A:$A,0))</f>
        <v>144000</v>
      </c>
      <c r="H3655" s="8" t="str">
        <f t="shared" si="4203"/>
        <v>10_10,50_20,80_30</v>
      </c>
      <c r="I3655" s="8">
        <v>6</v>
      </c>
      <c r="J3655" s="8">
        <f t="shared" si="4203"/>
        <v>50</v>
      </c>
      <c r="K3655" s="7" t="s">
        <v>311</v>
      </c>
      <c r="L3655" s="8">
        <v>36</v>
      </c>
      <c r="M3655" s="7">
        <f>IF(INDEX([1]equip.xml!$B:$B,MATCH(D3655&amp;"",[1]equip.xml!$A:$A,0))=0,0,N3655)</f>
        <v>0</v>
      </c>
      <c r="N3655" s="8">
        <f t="shared" ref="N3655" si="4206">N3567</f>
        <v>130</v>
      </c>
    </row>
    <row r="3656" spans="1:14">
      <c r="A3656" s="7">
        <f t="shared" si="4121"/>
        <v>20014</v>
      </c>
      <c r="B3656" s="8">
        <f t="shared" ref="B3656:C3656" si="4207">B3568</f>
        <v>40000</v>
      </c>
      <c r="C3656" s="8" t="str">
        <f t="shared" si="4207"/>
        <v>装备</v>
      </c>
      <c r="D3656" s="8">
        <v>40450040</v>
      </c>
      <c r="E3656" s="8"/>
      <c r="F3656" s="8">
        <v>1</v>
      </c>
      <c r="G3656" s="7">
        <f>3*INDEX([1]equip.xml!$I:$I,MATCH(D3656&amp;"",[1]equip.xml!$A:$A,0))</f>
        <v>135000</v>
      </c>
      <c r="H3656" s="8" t="str">
        <f t="shared" si="4203"/>
        <v>10_10,50_20,80_30</v>
      </c>
      <c r="I3656" s="8">
        <v>6</v>
      </c>
      <c r="J3656" s="8">
        <f t="shared" si="4203"/>
        <v>50</v>
      </c>
      <c r="K3656" s="7" t="s">
        <v>311</v>
      </c>
      <c r="L3656" s="8">
        <v>36</v>
      </c>
      <c r="M3656" s="7">
        <f>IF(INDEX([1]equip.xml!$B:$B,MATCH(D3656&amp;"",[1]equip.xml!$A:$A,0))=0,0,N3656)</f>
        <v>130</v>
      </c>
      <c r="N3656" s="8">
        <f t="shared" ref="N3656" si="4208">N3568</f>
        <v>130</v>
      </c>
    </row>
    <row r="3657" spans="1:14">
      <c r="A3657" s="7">
        <f t="shared" si="4121"/>
        <v>20014</v>
      </c>
      <c r="B3657" s="8">
        <f t="shared" ref="B3657:C3657" si="4209">B3569</f>
        <v>40000</v>
      </c>
      <c r="C3657" s="8" t="str">
        <f t="shared" si="4209"/>
        <v>装备</v>
      </c>
      <c r="D3657" s="8">
        <v>40450041</v>
      </c>
      <c r="E3657" s="8"/>
      <c r="F3657" s="8">
        <v>1</v>
      </c>
      <c r="G3657" s="7">
        <f>3*INDEX([1]equip.xml!$I:$I,MATCH(D3657&amp;"",[1]equip.xml!$A:$A,0))</f>
        <v>144000</v>
      </c>
      <c r="H3657" s="8" t="str">
        <f t="shared" si="4203"/>
        <v>10_10,50_20,80_30</v>
      </c>
      <c r="I3657" s="8">
        <v>6</v>
      </c>
      <c r="J3657" s="8">
        <f t="shared" si="4203"/>
        <v>50</v>
      </c>
      <c r="K3657" s="7" t="s">
        <v>311</v>
      </c>
      <c r="L3657" s="8">
        <v>36</v>
      </c>
      <c r="M3657" s="7">
        <f>IF(INDEX([1]equip.xml!$B:$B,MATCH(D3657&amp;"",[1]equip.xml!$A:$A,0))=0,0,N3657)</f>
        <v>130</v>
      </c>
      <c r="N3657" s="8">
        <f t="shared" ref="N3657" si="4210">N3569</f>
        <v>130</v>
      </c>
    </row>
    <row r="3658" spans="1:14">
      <c r="A3658" s="7">
        <f t="shared" si="4121"/>
        <v>20014</v>
      </c>
      <c r="B3658" s="8">
        <f t="shared" ref="B3658:C3658" si="4211">B3570</f>
        <v>40000</v>
      </c>
      <c r="C3658" s="8" t="str">
        <f t="shared" si="4211"/>
        <v>装备</v>
      </c>
      <c r="D3658" s="8">
        <v>40450070</v>
      </c>
      <c r="E3658" s="8"/>
      <c r="F3658" s="8">
        <v>1</v>
      </c>
      <c r="G3658" s="7">
        <f>3*INDEX([1]equip.xml!$I:$I,MATCH(D3658&amp;"",[1]equip.xml!$A:$A,0))</f>
        <v>135000</v>
      </c>
      <c r="H3658" s="8" t="str">
        <f t="shared" si="4203"/>
        <v>10_10,50_20,80_30</v>
      </c>
      <c r="I3658" s="8">
        <v>6</v>
      </c>
      <c r="J3658" s="8">
        <f t="shared" si="4203"/>
        <v>50</v>
      </c>
      <c r="K3658" s="7" t="s">
        <v>311</v>
      </c>
      <c r="L3658" s="8">
        <v>36</v>
      </c>
      <c r="M3658" s="7">
        <f>IF(INDEX([1]equip.xml!$B:$B,MATCH(D3658&amp;"",[1]equip.xml!$A:$A,0))=0,0,N3658)</f>
        <v>130</v>
      </c>
      <c r="N3658" s="8">
        <f t="shared" ref="N3658" si="4212">N3570</f>
        <v>130</v>
      </c>
    </row>
    <row r="3659" spans="1:14">
      <c r="A3659" s="7">
        <f t="shared" si="4121"/>
        <v>20014</v>
      </c>
      <c r="B3659" s="8">
        <f t="shared" ref="B3659:C3659" si="4213">B3571</f>
        <v>40000</v>
      </c>
      <c r="C3659" s="8" t="str">
        <f t="shared" si="4213"/>
        <v>装备</v>
      </c>
      <c r="D3659" s="8">
        <v>40450071</v>
      </c>
      <c r="E3659" s="8"/>
      <c r="F3659" s="8">
        <v>1</v>
      </c>
      <c r="G3659" s="7">
        <f>3*INDEX([1]equip.xml!$I:$I,MATCH(D3659&amp;"",[1]equip.xml!$A:$A,0))</f>
        <v>144000</v>
      </c>
      <c r="H3659" s="8" t="str">
        <f t="shared" si="4203"/>
        <v>10_10,50_20,80_30</v>
      </c>
      <c r="I3659" s="8">
        <v>6</v>
      </c>
      <c r="J3659" s="8">
        <f t="shared" si="4203"/>
        <v>50</v>
      </c>
      <c r="K3659" s="7" t="s">
        <v>311</v>
      </c>
      <c r="L3659" s="8">
        <v>36</v>
      </c>
      <c r="M3659" s="7">
        <f>IF(INDEX([1]equip.xml!$B:$B,MATCH(D3659&amp;"",[1]equip.xml!$A:$A,0))=0,0,N3659)</f>
        <v>130</v>
      </c>
      <c r="N3659" s="8">
        <f t="shared" ref="N3659" si="4214">N3571</f>
        <v>130</v>
      </c>
    </row>
    <row r="3660" spans="1:14">
      <c r="A3660" s="7">
        <f t="shared" si="4121"/>
        <v>20014</v>
      </c>
      <c r="B3660" s="8">
        <f t="shared" ref="B3660:C3660" si="4215">B3572</f>
        <v>40000</v>
      </c>
      <c r="C3660" s="8" t="str">
        <f t="shared" si="4215"/>
        <v>装备</v>
      </c>
      <c r="D3660" s="8">
        <v>40500010</v>
      </c>
      <c r="E3660" s="8"/>
      <c r="F3660" s="8">
        <v>1</v>
      </c>
      <c r="G3660" s="7">
        <f>3*INDEX([1]equip.xml!$I:$I,MATCH(D3660&amp;"",[1]equip.xml!$A:$A,0))</f>
        <v>150000</v>
      </c>
      <c r="H3660" s="8" t="str">
        <f t="shared" si="4203"/>
        <v>10_10,50_20,80_30</v>
      </c>
      <c r="I3660" s="8">
        <v>6</v>
      </c>
      <c r="J3660" s="8">
        <f t="shared" si="4203"/>
        <v>50</v>
      </c>
      <c r="K3660" s="7" t="s">
        <v>311</v>
      </c>
      <c r="L3660" s="8">
        <v>36</v>
      </c>
      <c r="M3660" s="7">
        <f>IF(INDEX([1]equip.xml!$B:$B,MATCH(D3660&amp;"",[1]equip.xml!$A:$A,0))=0,0,N3660)</f>
        <v>60</v>
      </c>
      <c r="N3660" s="8">
        <v>60</v>
      </c>
    </row>
    <row r="3661" spans="1:14">
      <c r="A3661" s="7">
        <f t="shared" si="4121"/>
        <v>20014</v>
      </c>
      <c r="B3661" s="8">
        <f t="shared" ref="B3661:C3661" si="4216">B3573</f>
        <v>40000</v>
      </c>
      <c r="C3661" s="8" t="str">
        <f t="shared" si="4216"/>
        <v>装备</v>
      </c>
      <c r="D3661" s="8">
        <v>40500020</v>
      </c>
      <c r="E3661" s="8"/>
      <c r="F3661" s="8">
        <v>1</v>
      </c>
      <c r="G3661" s="7">
        <f>3*INDEX([1]equip.xml!$I:$I,MATCH(D3661&amp;"",[1]equip.xml!$A:$A,0))</f>
        <v>150000</v>
      </c>
      <c r="H3661" s="8" t="str">
        <f t="shared" si="4203"/>
        <v>10_10,50_20,80_30</v>
      </c>
      <c r="I3661" s="8">
        <v>6</v>
      </c>
      <c r="J3661" s="8">
        <f t="shared" si="4203"/>
        <v>50</v>
      </c>
      <c r="K3661" s="7" t="s">
        <v>311</v>
      </c>
      <c r="L3661" s="8">
        <v>36</v>
      </c>
      <c r="M3661" s="7">
        <f>IF(INDEX([1]equip.xml!$B:$B,MATCH(D3661&amp;"",[1]equip.xml!$A:$A,0))=0,0,N3661)</f>
        <v>60</v>
      </c>
      <c r="N3661" s="8">
        <v>60</v>
      </c>
    </row>
    <row r="3662" spans="1:14">
      <c r="A3662" s="7">
        <f t="shared" si="4121"/>
        <v>20014</v>
      </c>
      <c r="B3662" s="8">
        <f t="shared" ref="B3662:C3662" si="4217">B3574</f>
        <v>40000</v>
      </c>
      <c r="C3662" s="8" t="str">
        <f t="shared" si="4217"/>
        <v>装备</v>
      </c>
      <c r="D3662" s="8">
        <v>40500030</v>
      </c>
      <c r="E3662" s="8"/>
      <c r="F3662" s="8">
        <v>1</v>
      </c>
      <c r="G3662" s="7">
        <f>3*INDEX([1]equip.xml!$I:$I,MATCH(D3662&amp;"",[1]equip.xml!$A:$A,0))</f>
        <v>150000</v>
      </c>
      <c r="H3662" s="8" t="str">
        <f t="shared" si="4203"/>
        <v>10_10,50_20,80_30</v>
      </c>
      <c r="I3662" s="8">
        <v>6</v>
      </c>
      <c r="J3662" s="8">
        <f t="shared" si="4203"/>
        <v>50</v>
      </c>
      <c r="K3662" s="7" t="s">
        <v>311</v>
      </c>
      <c r="L3662" s="8">
        <v>36</v>
      </c>
      <c r="M3662" s="7">
        <f>IF(INDEX([1]equip.xml!$B:$B,MATCH(D3662&amp;"",[1]equip.xml!$A:$A,0))=0,0,N3662)</f>
        <v>60</v>
      </c>
      <c r="N3662" s="8">
        <v>60</v>
      </c>
    </row>
    <row r="3663" spans="1:14">
      <c r="A3663" s="7">
        <f t="shared" si="4121"/>
        <v>20014</v>
      </c>
      <c r="B3663" s="8">
        <f t="shared" ref="B3663:C3663" si="4218">B3575</f>
        <v>40000</v>
      </c>
      <c r="C3663" s="8" t="str">
        <f t="shared" si="4218"/>
        <v>装备</v>
      </c>
      <c r="D3663" s="8">
        <v>40500080</v>
      </c>
      <c r="E3663" s="8"/>
      <c r="F3663" s="8">
        <v>1</v>
      </c>
      <c r="G3663" s="7">
        <f>3*INDEX([1]equip.xml!$I:$I,MATCH(D3663&amp;"",[1]equip.xml!$A:$A,0))</f>
        <v>150000</v>
      </c>
      <c r="H3663" s="8" t="str">
        <f t="shared" si="4203"/>
        <v>10_10,50_20,80_30</v>
      </c>
      <c r="I3663" s="8">
        <v>6</v>
      </c>
      <c r="J3663" s="8">
        <f t="shared" si="4203"/>
        <v>50</v>
      </c>
      <c r="K3663" s="7" t="s">
        <v>311</v>
      </c>
      <c r="L3663" s="8">
        <v>36</v>
      </c>
      <c r="M3663" s="7">
        <f>IF(INDEX([1]equip.xml!$B:$B,MATCH(D3663&amp;"",[1]equip.xml!$A:$A,0))=0,0,N3663)</f>
        <v>60</v>
      </c>
      <c r="N3663" s="8">
        <v>60</v>
      </c>
    </row>
    <row r="3664" spans="1:14">
      <c r="A3664" s="7">
        <f t="shared" si="4121"/>
        <v>20014</v>
      </c>
      <c r="B3664" s="8">
        <f t="shared" ref="B3664:C3664" si="4219">B3576</f>
        <v>40000</v>
      </c>
      <c r="C3664" s="8" t="str">
        <f t="shared" si="4219"/>
        <v>装备</v>
      </c>
      <c r="D3664" s="8">
        <v>40500090</v>
      </c>
      <c r="E3664" s="8"/>
      <c r="F3664" s="8">
        <v>1</v>
      </c>
      <c r="G3664" s="7">
        <f>3*INDEX([1]equip.xml!$I:$I,MATCH(D3664&amp;"",[1]equip.xml!$A:$A,0))</f>
        <v>150000</v>
      </c>
      <c r="H3664" s="8" t="str">
        <f t="shared" si="4203"/>
        <v>10_10,50_20,80_30</v>
      </c>
      <c r="I3664" s="8">
        <v>6</v>
      </c>
      <c r="J3664" s="8">
        <f t="shared" si="4203"/>
        <v>50</v>
      </c>
      <c r="K3664" s="7" t="s">
        <v>311</v>
      </c>
      <c r="L3664" s="8">
        <v>36</v>
      </c>
      <c r="M3664" s="7">
        <f>IF(INDEX([1]equip.xml!$B:$B,MATCH(D3664&amp;"",[1]equip.xml!$A:$A,0))=0,0,N3664)</f>
        <v>60</v>
      </c>
      <c r="N3664" s="8">
        <v>60</v>
      </c>
    </row>
    <row r="3665" spans="1:14">
      <c r="A3665" s="7">
        <f t="shared" si="4121"/>
        <v>20014</v>
      </c>
      <c r="B3665" s="8">
        <f t="shared" ref="B3665:C3665" si="4220">B3577</f>
        <v>40000</v>
      </c>
      <c r="C3665" s="8" t="str">
        <f t="shared" si="4220"/>
        <v>装备</v>
      </c>
      <c r="D3665" s="8">
        <v>40500100</v>
      </c>
      <c r="E3665" s="8"/>
      <c r="F3665" s="8">
        <v>1</v>
      </c>
      <c r="G3665" s="7">
        <f>3*INDEX([1]equip.xml!$I:$I,MATCH(D3665&amp;"",[1]equip.xml!$A:$A,0))</f>
        <v>150000</v>
      </c>
      <c r="H3665" s="8" t="str">
        <f t="shared" si="4203"/>
        <v>10_10,50_20,80_30</v>
      </c>
      <c r="I3665" s="8">
        <v>6</v>
      </c>
      <c r="J3665" s="8">
        <f t="shared" si="4203"/>
        <v>50</v>
      </c>
      <c r="K3665" s="7" t="s">
        <v>311</v>
      </c>
      <c r="L3665" s="8">
        <v>36</v>
      </c>
      <c r="M3665" s="7">
        <f>IF(INDEX([1]equip.xml!$B:$B,MATCH(D3665&amp;"",[1]equip.xml!$A:$A,0))=0,0,N3665)</f>
        <v>60</v>
      </c>
      <c r="N3665" s="8">
        <v>60</v>
      </c>
    </row>
    <row r="3666" spans="1:14">
      <c r="A3666" s="7">
        <f t="shared" si="4121"/>
        <v>20014</v>
      </c>
      <c r="B3666" s="8">
        <f t="shared" ref="B3666:C3666" si="4221">B3578</f>
        <v>40000</v>
      </c>
      <c r="C3666" s="8" t="str">
        <f t="shared" si="4221"/>
        <v>装备</v>
      </c>
      <c r="D3666" s="8">
        <v>40501050</v>
      </c>
      <c r="E3666" s="8"/>
      <c r="F3666" s="8">
        <v>1</v>
      </c>
      <c r="G3666" s="7">
        <f>3*INDEX([1]equip.xml!$I:$I,MATCH(D3666&amp;"",[1]equip.xml!$A:$A,0))</f>
        <v>150000</v>
      </c>
      <c r="H3666" s="8" t="str">
        <f t="shared" si="4203"/>
        <v>10_10,50_20,80_30</v>
      </c>
      <c r="I3666" s="8">
        <v>6</v>
      </c>
      <c r="J3666" s="8">
        <f t="shared" si="4203"/>
        <v>50</v>
      </c>
      <c r="K3666" s="7" t="s">
        <v>311</v>
      </c>
      <c r="L3666" s="8">
        <v>36</v>
      </c>
      <c r="M3666" s="7">
        <f>IF(INDEX([1]equip.xml!$B:$B,MATCH(D3666&amp;"",[1]equip.xml!$A:$A,0))=0,0,N3666)</f>
        <v>60</v>
      </c>
      <c r="N3666" s="8">
        <v>60</v>
      </c>
    </row>
    <row r="3667" spans="1:14">
      <c r="A3667" s="7">
        <f t="shared" si="4121"/>
        <v>20014</v>
      </c>
      <c r="B3667" s="8">
        <f t="shared" ref="B3667:C3667" si="4222">B3579</f>
        <v>40000</v>
      </c>
      <c r="C3667" s="8" t="str">
        <f t="shared" si="4222"/>
        <v>装备</v>
      </c>
      <c r="D3667" s="8">
        <v>40501051</v>
      </c>
      <c r="E3667" s="8"/>
      <c r="F3667" s="8">
        <v>1</v>
      </c>
      <c r="G3667" s="7">
        <f>3*INDEX([1]equip.xml!$I:$I,MATCH(D3667&amp;"",[1]equip.xml!$A:$A,0))</f>
        <v>159000</v>
      </c>
      <c r="H3667" s="8" t="str">
        <f t="shared" si="4203"/>
        <v>10_10,50_20,80_30</v>
      </c>
      <c r="I3667" s="8">
        <v>6</v>
      </c>
      <c r="J3667" s="8">
        <f t="shared" si="4203"/>
        <v>50</v>
      </c>
      <c r="K3667" s="7" t="s">
        <v>311</v>
      </c>
      <c r="L3667" s="8">
        <v>36</v>
      </c>
      <c r="M3667" s="7">
        <f>IF(INDEX([1]equip.xml!$B:$B,MATCH(D3667&amp;"",[1]equip.xml!$A:$A,0))=0,0,N3667)</f>
        <v>60</v>
      </c>
      <c r="N3667" s="8">
        <v>60</v>
      </c>
    </row>
    <row r="3668" spans="1:14">
      <c r="A3668" s="7">
        <f t="shared" si="4121"/>
        <v>20014</v>
      </c>
      <c r="B3668" s="8">
        <f t="shared" ref="B3668:C3668" si="4223">B3580</f>
        <v>40000</v>
      </c>
      <c r="C3668" s="8" t="str">
        <f t="shared" si="4223"/>
        <v>装备</v>
      </c>
      <c r="D3668" s="8">
        <v>40501060</v>
      </c>
      <c r="E3668" s="8"/>
      <c r="F3668" s="8">
        <v>1</v>
      </c>
      <c r="G3668" s="7">
        <f>3*INDEX([1]equip.xml!$I:$I,MATCH(D3668&amp;"",[1]equip.xml!$A:$A,0))</f>
        <v>150000</v>
      </c>
      <c r="H3668" s="8" t="str">
        <f t="shared" si="4203"/>
        <v>10_10,50_20,80_30</v>
      </c>
      <c r="I3668" s="8">
        <v>6</v>
      </c>
      <c r="J3668" s="8">
        <f t="shared" si="4203"/>
        <v>50</v>
      </c>
      <c r="K3668" s="7" t="s">
        <v>311</v>
      </c>
      <c r="L3668" s="8">
        <v>36</v>
      </c>
      <c r="M3668" s="7">
        <f>IF(INDEX([1]equip.xml!$B:$B,MATCH(D3668&amp;"",[1]equip.xml!$A:$A,0))=0,0,N3668)</f>
        <v>60</v>
      </c>
      <c r="N3668" s="8">
        <v>60</v>
      </c>
    </row>
    <row r="3669" spans="1:14">
      <c r="A3669" s="7">
        <f t="shared" si="4121"/>
        <v>20014</v>
      </c>
      <c r="B3669" s="8">
        <f t="shared" ref="B3669:C3669" si="4224">B3581</f>
        <v>40000</v>
      </c>
      <c r="C3669" s="8" t="str">
        <f t="shared" si="4224"/>
        <v>装备</v>
      </c>
      <c r="D3669" s="8">
        <v>40501061</v>
      </c>
      <c r="E3669" s="8"/>
      <c r="F3669" s="8">
        <v>1</v>
      </c>
      <c r="G3669" s="7">
        <f>3*INDEX([1]equip.xml!$I:$I,MATCH(D3669&amp;"",[1]equip.xml!$A:$A,0))</f>
        <v>159000</v>
      </c>
      <c r="H3669" s="8" t="str">
        <f t="shared" si="4203"/>
        <v>10_10,50_20,80_30</v>
      </c>
      <c r="I3669" s="8">
        <v>6</v>
      </c>
      <c r="J3669" s="8">
        <f t="shared" si="4203"/>
        <v>50</v>
      </c>
      <c r="K3669" s="7" t="s">
        <v>311</v>
      </c>
      <c r="L3669" s="8">
        <v>36</v>
      </c>
      <c r="M3669" s="7">
        <f>IF(INDEX([1]equip.xml!$B:$B,MATCH(D3669&amp;"",[1]equip.xml!$A:$A,0))=0,0,N3669)</f>
        <v>60</v>
      </c>
      <c r="N3669" s="8">
        <v>60</v>
      </c>
    </row>
    <row r="3670" spans="1:14">
      <c r="A3670" s="7">
        <f t="shared" si="4121"/>
        <v>20014</v>
      </c>
      <c r="B3670" s="8">
        <f t="shared" ref="B3670:C3670" si="4225">B3582</f>
        <v>40000</v>
      </c>
      <c r="C3670" s="8" t="str">
        <f t="shared" si="4225"/>
        <v>装备</v>
      </c>
      <c r="D3670" s="8">
        <v>40502050</v>
      </c>
      <c r="E3670" s="8"/>
      <c r="F3670" s="8">
        <v>1</v>
      </c>
      <c r="G3670" s="7">
        <f>3*INDEX([1]equip.xml!$I:$I,MATCH(D3670&amp;"",[1]equip.xml!$A:$A,0))</f>
        <v>150000</v>
      </c>
      <c r="H3670" s="8" t="str">
        <f t="shared" ref="H3670:J3685" si="4226">H3582</f>
        <v>10_10,50_20,80_30</v>
      </c>
      <c r="I3670" s="8">
        <v>6</v>
      </c>
      <c r="J3670" s="8">
        <f t="shared" si="4226"/>
        <v>50</v>
      </c>
      <c r="K3670" s="7" t="s">
        <v>311</v>
      </c>
      <c r="L3670" s="8">
        <v>36</v>
      </c>
      <c r="M3670" s="7">
        <f>IF(INDEX([1]equip.xml!$B:$B,MATCH(D3670&amp;"",[1]equip.xml!$A:$A,0))=0,0,N3670)</f>
        <v>60</v>
      </c>
      <c r="N3670" s="8">
        <v>60</v>
      </c>
    </row>
    <row r="3671" spans="1:14">
      <c r="A3671" s="7">
        <f t="shared" si="4121"/>
        <v>20014</v>
      </c>
      <c r="B3671" s="8">
        <f t="shared" ref="B3671:C3671" si="4227">B3583</f>
        <v>40000</v>
      </c>
      <c r="C3671" s="8" t="str">
        <f t="shared" si="4227"/>
        <v>装备</v>
      </c>
      <c r="D3671" s="8">
        <v>40502051</v>
      </c>
      <c r="E3671" s="8"/>
      <c r="F3671" s="8">
        <v>1</v>
      </c>
      <c r="G3671" s="7">
        <f>3*INDEX([1]equip.xml!$I:$I,MATCH(D3671&amp;"",[1]equip.xml!$A:$A,0))</f>
        <v>159000</v>
      </c>
      <c r="H3671" s="8" t="str">
        <f t="shared" si="4226"/>
        <v>10_10,50_20,80_30</v>
      </c>
      <c r="I3671" s="8">
        <v>6</v>
      </c>
      <c r="J3671" s="8">
        <f t="shared" si="4226"/>
        <v>50</v>
      </c>
      <c r="K3671" s="7" t="s">
        <v>311</v>
      </c>
      <c r="L3671" s="8">
        <v>36</v>
      </c>
      <c r="M3671" s="7">
        <f>IF(INDEX([1]equip.xml!$B:$B,MATCH(D3671&amp;"",[1]equip.xml!$A:$A,0))=0,0,N3671)</f>
        <v>60</v>
      </c>
      <c r="N3671" s="8">
        <v>60</v>
      </c>
    </row>
    <row r="3672" spans="1:14">
      <c r="A3672" s="7">
        <f t="shared" si="4121"/>
        <v>20014</v>
      </c>
      <c r="B3672" s="8">
        <f t="shared" ref="B3672:C3672" si="4228">B3584</f>
        <v>40000</v>
      </c>
      <c r="C3672" s="8" t="str">
        <f t="shared" si="4228"/>
        <v>装备</v>
      </c>
      <c r="D3672" s="8">
        <v>40502060</v>
      </c>
      <c r="E3672" s="8"/>
      <c r="F3672" s="8">
        <v>1</v>
      </c>
      <c r="G3672" s="7">
        <f>3*INDEX([1]equip.xml!$I:$I,MATCH(D3672&amp;"",[1]equip.xml!$A:$A,0))</f>
        <v>150000</v>
      </c>
      <c r="H3672" s="8" t="str">
        <f t="shared" si="4226"/>
        <v>10_10,50_20,80_30</v>
      </c>
      <c r="I3672" s="8">
        <v>6</v>
      </c>
      <c r="J3672" s="8">
        <f t="shared" si="4226"/>
        <v>50</v>
      </c>
      <c r="K3672" s="7" t="s">
        <v>311</v>
      </c>
      <c r="L3672" s="8">
        <v>36</v>
      </c>
      <c r="M3672" s="7">
        <f>IF(INDEX([1]equip.xml!$B:$B,MATCH(D3672&amp;"",[1]equip.xml!$A:$A,0))=0,0,N3672)</f>
        <v>60</v>
      </c>
      <c r="N3672" s="8">
        <v>60</v>
      </c>
    </row>
    <row r="3673" spans="1:14">
      <c r="A3673" s="7">
        <f t="shared" si="4121"/>
        <v>20014</v>
      </c>
      <c r="B3673" s="8">
        <f t="shared" ref="B3673:C3673" si="4229">B3585</f>
        <v>40000</v>
      </c>
      <c r="C3673" s="8" t="str">
        <f t="shared" si="4229"/>
        <v>装备</v>
      </c>
      <c r="D3673" s="8">
        <v>40502061</v>
      </c>
      <c r="E3673" s="8"/>
      <c r="F3673" s="8">
        <v>1</v>
      </c>
      <c r="G3673" s="7">
        <f>3*INDEX([1]equip.xml!$I:$I,MATCH(D3673&amp;"",[1]equip.xml!$A:$A,0))</f>
        <v>159000</v>
      </c>
      <c r="H3673" s="8" t="str">
        <f t="shared" si="4226"/>
        <v>10_10,50_20,80_30</v>
      </c>
      <c r="I3673" s="8">
        <v>6</v>
      </c>
      <c r="J3673" s="8">
        <f t="shared" si="4226"/>
        <v>50</v>
      </c>
      <c r="K3673" s="7" t="s">
        <v>311</v>
      </c>
      <c r="L3673" s="8">
        <v>36</v>
      </c>
      <c r="M3673" s="7">
        <f>IF(INDEX([1]equip.xml!$B:$B,MATCH(D3673&amp;"",[1]equip.xml!$A:$A,0))=0,0,N3673)</f>
        <v>60</v>
      </c>
      <c r="N3673" s="8">
        <v>60</v>
      </c>
    </row>
    <row r="3674" spans="1:14">
      <c r="A3674" s="7">
        <f t="shared" si="4121"/>
        <v>20014</v>
      </c>
      <c r="B3674" s="8">
        <f t="shared" ref="B3674:C3674" si="4230">B3586</f>
        <v>40000</v>
      </c>
      <c r="C3674" s="8" t="str">
        <f t="shared" si="4230"/>
        <v>装备</v>
      </c>
      <c r="D3674" s="8">
        <v>40503050</v>
      </c>
      <c r="E3674" s="8"/>
      <c r="F3674" s="8">
        <v>1</v>
      </c>
      <c r="G3674" s="7">
        <f>3*INDEX([1]equip.xml!$I:$I,MATCH(D3674&amp;"",[1]equip.xml!$A:$A,0))</f>
        <v>150000</v>
      </c>
      <c r="H3674" s="8" t="str">
        <f t="shared" si="4226"/>
        <v>10_10,50_20,80_30</v>
      </c>
      <c r="I3674" s="8">
        <v>6</v>
      </c>
      <c r="J3674" s="8">
        <f t="shared" si="4226"/>
        <v>50</v>
      </c>
      <c r="K3674" s="7" t="s">
        <v>311</v>
      </c>
      <c r="L3674" s="8">
        <v>36</v>
      </c>
      <c r="M3674" s="7">
        <f>IF(INDEX([1]equip.xml!$B:$B,MATCH(D3674&amp;"",[1]equip.xml!$A:$A,0))=0,0,N3674)</f>
        <v>60</v>
      </c>
      <c r="N3674" s="8">
        <v>60</v>
      </c>
    </row>
    <row r="3675" spans="1:14">
      <c r="A3675" s="7">
        <f t="shared" si="4121"/>
        <v>20014</v>
      </c>
      <c r="B3675" s="8">
        <f t="shared" ref="B3675:C3675" si="4231">B3587</f>
        <v>40000</v>
      </c>
      <c r="C3675" s="8" t="str">
        <f t="shared" si="4231"/>
        <v>装备</v>
      </c>
      <c r="D3675" s="8">
        <v>40503051</v>
      </c>
      <c r="E3675" s="8"/>
      <c r="F3675" s="8">
        <v>1</v>
      </c>
      <c r="G3675" s="7">
        <f>3*INDEX([1]equip.xml!$I:$I,MATCH(D3675&amp;"",[1]equip.xml!$A:$A,0))</f>
        <v>159000</v>
      </c>
      <c r="H3675" s="8" t="str">
        <f t="shared" si="4226"/>
        <v>10_10,50_20,80_30</v>
      </c>
      <c r="I3675" s="8">
        <v>6</v>
      </c>
      <c r="J3675" s="8">
        <f t="shared" si="4226"/>
        <v>50</v>
      </c>
      <c r="K3675" s="7" t="s">
        <v>311</v>
      </c>
      <c r="L3675" s="8">
        <v>36</v>
      </c>
      <c r="M3675" s="7">
        <f>IF(INDEX([1]equip.xml!$B:$B,MATCH(D3675&amp;"",[1]equip.xml!$A:$A,0))=0,0,N3675)</f>
        <v>60</v>
      </c>
      <c r="N3675" s="8">
        <v>60</v>
      </c>
    </row>
    <row r="3676" spans="1:14">
      <c r="A3676" s="7">
        <f t="shared" si="4121"/>
        <v>20014</v>
      </c>
      <c r="B3676" s="8">
        <f t="shared" ref="B3676:C3676" si="4232">B3588</f>
        <v>40000</v>
      </c>
      <c r="C3676" s="8" t="str">
        <f t="shared" si="4232"/>
        <v>装备</v>
      </c>
      <c r="D3676" s="8">
        <v>40503060</v>
      </c>
      <c r="E3676" s="8"/>
      <c r="F3676" s="8">
        <v>1</v>
      </c>
      <c r="G3676" s="7">
        <f>3*INDEX([1]equip.xml!$I:$I,MATCH(D3676&amp;"",[1]equip.xml!$A:$A,0))</f>
        <v>150000</v>
      </c>
      <c r="H3676" s="8" t="str">
        <f t="shared" si="4226"/>
        <v>10_10,50_20,80_30</v>
      </c>
      <c r="I3676" s="8">
        <v>6</v>
      </c>
      <c r="J3676" s="8">
        <f t="shared" si="4226"/>
        <v>50</v>
      </c>
      <c r="K3676" s="7" t="s">
        <v>311</v>
      </c>
      <c r="L3676" s="8">
        <v>36</v>
      </c>
      <c r="M3676" s="7">
        <f>IF(INDEX([1]equip.xml!$B:$B,MATCH(D3676&amp;"",[1]equip.xml!$A:$A,0))=0,0,N3676)</f>
        <v>60</v>
      </c>
      <c r="N3676" s="8">
        <v>60</v>
      </c>
    </row>
    <row r="3677" spans="1:14">
      <c r="A3677" s="7">
        <f t="shared" si="4121"/>
        <v>20014</v>
      </c>
      <c r="B3677" s="8">
        <f t="shared" ref="B3677:C3677" si="4233">B3589</f>
        <v>40000</v>
      </c>
      <c r="C3677" s="8" t="str">
        <f t="shared" si="4233"/>
        <v>装备</v>
      </c>
      <c r="D3677" s="8">
        <v>40503061</v>
      </c>
      <c r="E3677" s="8"/>
      <c r="F3677" s="8">
        <v>1</v>
      </c>
      <c r="G3677" s="7">
        <f>3*INDEX([1]equip.xml!$I:$I,MATCH(D3677&amp;"",[1]equip.xml!$A:$A,0))</f>
        <v>159000</v>
      </c>
      <c r="H3677" s="8" t="str">
        <f t="shared" si="4226"/>
        <v>10_10,50_20,80_30</v>
      </c>
      <c r="I3677" s="8">
        <v>6</v>
      </c>
      <c r="J3677" s="8">
        <f t="shared" si="4226"/>
        <v>50</v>
      </c>
      <c r="K3677" s="7" t="s">
        <v>311</v>
      </c>
      <c r="L3677" s="8">
        <v>36</v>
      </c>
      <c r="M3677" s="7">
        <f>IF(INDEX([1]equip.xml!$B:$B,MATCH(D3677&amp;"",[1]equip.xml!$A:$A,0))=0,0,N3677)</f>
        <v>60</v>
      </c>
      <c r="N3677" s="8">
        <v>60</v>
      </c>
    </row>
    <row r="3678" spans="1:14">
      <c r="A3678" s="7">
        <f t="shared" si="4121"/>
        <v>20014</v>
      </c>
      <c r="B3678" s="8">
        <f t="shared" ref="B3678:C3678" si="4234">B3590</f>
        <v>40000</v>
      </c>
      <c r="C3678" s="8" t="str">
        <f t="shared" si="4234"/>
        <v>装备</v>
      </c>
      <c r="D3678" s="8">
        <v>40500040</v>
      </c>
      <c r="E3678" s="8"/>
      <c r="F3678" s="8">
        <v>1</v>
      </c>
      <c r="G3678" s="7">
        <f>3*INDEX([1]equip.xml!$I:$I,MATCH(D3678&amp;"",[1]equip.xml!$A:$A,0))</f>
        <v>150000</v>
      </c>
      <c r="H3678" s="8" t="str">
        <f t="shared" si="4226"/>
        <v>10_10,50_20,80_30</v>
      </c>
      <c r="I3678" s="8">
        <v>6</v>
      </c>
      <c r="J3678" s="8">
        <f t="shared" si="4226"/>
        <v>50</v>
      </c>
      <c r="K3678" s="7" t="s">
        <v>311</v>
      </c>
      <c r="L3678" s="8">
        <v>36</v>
      </c>
      <c r="M3678" s="7">
        <f>IF(INDEX([1]equip.xml!$B:$B,MATCH(D3678&amp;"",[1]equip.xml!$A:$A,0))=0,0,N3678)</f>
        <v>60</v>
      </c>
      <c r="N3678" s="8">
        <v>60</v>
      </c>
    </row>
    <row r="3679" spans="1:14">
      <c r="A3679" s="7">
        <f t="shared" ref="A3679:A3742" si="4235">10000+A863</f>
        <v>20014</v>
      </c>
      <c r="B3679" s="8">
        <f t="shared" ref="B3679:C3679" si="4236">B3591</f>
        <v>40000</v>
      </c>
      <c r="C3679" s="8" t="str">
        <f t="shared" si="4236"/>
        <v>装备</v>
      </c>
      <c r="D3679" s="8">
        <v>40500041</v>
      </c>
      <c r="E3679" s="8"/>
      <c r="F3679" s="8">
        <v>1</v>
      </c>
      <c r="G3679" s="7">
        <f>3*INDEX([1]equip.xml!$I:$I,MATCH(D3679&amp;"",[1]equip.xml!$A:$A,0))</f>
        <v>159000</v>
      </c>
      <c r="H3679" s="8" t="str">
        <f t="shared" si="4226"/>
        <v>10_10,50_20,80_30</v>
      </c>
      <c r="I3679" s="8">
        <v>6</v>
      </c>
      <c r="J3679" s="8">
        <f t="shared" si="4226"/>
        <v>50</v>
      </c>
      <c r="K3679" s="7" t="s">
        <v>311</v>
      </c>
      <c r="L3679" s="8">
        <v>36</v>
      </c>
      <c r="M3679" s="7">
        <f>IF(INDEX([1]equip.xml!$B:$B,MATCH(D3679&amp;"",[1]equip.xml!$A:$A,0))=0,0,N3679)</f>
        <v>0</v>
      </c>
      <c r="N3679" s="8">
        <v>60</v>
      </c>
    </row>
    <row r="3680" spans="1:14">
      <c r="A3680" s="7">
        <f t="shared" si="4235"/>
        <v>20014</v>
      </c>
      <c r="B3680" s="8">
        <f t="shared" ref="B3680:C3680" si="4237">B3592</f>
        <v>40000</v>
      </c>
      <c r="C3680" s="8" t="str">
        <f t="shared" si="4237"/>
        <v>装备</v>
      </c>
      <c r="D3680" s="8">
        <v>40500070</v>
      </c>
      <c r="E3680" s="8"/>
      <c r="F3680" s="8">
        <v>1</v>
      </c>
      <c r="G3680" s="7">
        <f>3*INDEX([1]equip.xml!$I:$I,MATCH(D3680&amp;"",[1]equip.xml!$A:$A,0))</f>
        <v>150000</v>
      </c>
      <c r="H3680" s="8" t="str">
        <f t="shared" si="4226"/>
        <v>10_10,50_20,80_30</v>
      </c>
      <c r="I3680" s="8">
        <v>6</v>
      </c>
      <c r="J3680" s="8">
        <f t="shared" si="4226"/>
        <v>50</v>
      </c>
      <c r="K3680" s="7" t="s">
        <v>311</v>
      </c>
      <c r="L3680" s="8">
        <v>36</v>
      </c>
      <c r="M3680" s="7">
        <f>IF(INDEX([1]equip.xml!$B:$B,MATCH(D3680&amp;"",[1]equip.xml!$A:$A,0))=0,0,N3680)</f>
        <v>60</v>
      </c>
      <c r="N3680" s="8">
        <v>60</v>
      </c>
    </row>
    <row r="3681" spans="1:14">
      <c r="A3681" s="7">
        <f t="shared" si="4235"/>
        <v>20014</v>
      </c>
      <c r="B3681" s="8">
        <f t="shared" ref="B3681:C3681" si="4238">B3593</f>
        <v>40000</v>
      </c>
      <c r="C3681" s="8" t="str">
        <f t="shared" si="4238"/>
        <v>装备</v>
      </c>
      <c r="D3681" s="8">
        <v>40500071</v>
      </c>
      <c r="E3681" s="8"/>
      <c r="F3681" s="8">
        <v>1</v>
      </c>
      <c r="G3681" s="7">
        <f>3*INDEX([1]equip.xml!$I:$I,MATCH(D3681&amp;"",[1]equip.xml!$A:$A,0))</f>
        <v>159000</v>
      </c>
      <c r="H3681" s="8" t="str">
        <f t="shared" si="4226"/>
        <v>10_10,50_20,80_30</v>
      </c>
      <c r="I3681" s="8">
        <v>6</v>
      </c>
      <c r="J3681" s="8">
        <f t="shared" si="4226"/>
        <v>50</v>
      </c>
      <c r="K3681" s="7" t="s">
        <v>311</v>
      </c>
      <c r="L3681" s="8">
        <v>36</v>
      </c>
      <c r="M3681" s="7">
        <f>IF(INDEX([1]equip.xml!$B:$B,MATCH(D3681&amp;"",[1]equip.xml!$A:$A,0))=0,0,N3681)</f>
        <v>0</v>
      </c>
      <c r="N3681" s="8">
        <v>60</v>
      </c>
    </row>
    <row r="3682" spans="1:14">
      <c r="A3682" s="7">
        <f t="shared" si="4235"/>
        <v>20014</v>
      </c>
      <c r="B3682" s="8">
        <f t="shared" ref="B3682:C3682" si="4239">B3594</f>
        <v>40000</v>
      </c>
      <c r="C3682" s="8" t="str">
        <f t="shared" si="4239"/>
        <v>装备</v>
      </c>
      <c r="D3682" s="8">
        <v>50450015</v>
      </c>
      <c r="E3682" s="8"/>
      <c r="F3682" s="8">
        <v>1</v>
      </c>
      <c r="G3682" s="8">
        <f>3*INDEX([1]equip.xml!$I:$I,MATCH(D3682,[1]equip.xml!$A:$A,0))</f>
        <v>270000</v>
      </c>
      <c r="H3682" s="8" t="str">
        <f t="shared" si="4226"/>
        <v>10_10,50_20,80_30</v>
      </c>
      <c r="I3682" s="8">
        <v>4</v>
      </c>
      <c r="J3682" s="8">
        <f t="shared" si="4226"/>
        <v>240</v>
      </c>
      <c r="K3682" s="7" t="s">
        <v>311</v>
      </c>
      <c r="L3682" s="8">
        <v>36</v>
      </c>
      <c r="M3682" s="7">
        <f>IF(INDEX([1]equip.xml!$B:$B,MATCH(D3682,[1]equip.xml!$A:$A,0))=0,0,N3682)</f>
        <v>130</v>
      </c>
      <c r="N3682" s="8">
        <f t="shared" ref="N3682" si="4240">N3594</f>
        <v>130</v>
      </c>
    </row>
    <row r="3683" spans="1:14">
      <c r="A3683" s="7">
        <f t="shared" si="4235"/>
        <v>20014</v>
      </c>
      <c r="B3683" s="8">
        <f t="shared" ref="B3683:C3683" si="4241">B3595</f>
        <v>40000</v>
      </c>
      <c r="C3683" s="8" t="str">
        <f t="shared" si="4241"/>
        <v>装备</v>
      </c>
      <c r="D3683" s="8">
        <v>50450025</v>
      </c>
      <c r="E3683" s="8"/>
      <c r="F3683" s="8">
        <v>1</v>
      </c>
      <c r="G3683" s="8">
        <f>3*INDEX([1]equip.xml!$I:$I,MATCH(D3683,[1]equip.xml!$A:$A,0))</f>
        <v>270000</v>
      </c>
      <c r="H3683" s="8" t="str">
        <f t="shared" si="4226"/>
        <v>10_10,50_20,80_30</v>
      </c>
      <c r="I3683" s="8">
        <v>4</v>
      </c>
      <c r="J3683" s="8">
        <f t="shared" si="4226"/>
        <v>240</v>
      </c>
      <c r="K3683" s="7" t="s">
        <v>311</v>
      </c>
      <c r="L3683" s="8">
        <v>36</v>
      </c>
      <c r="M3683" s="7">
        <f>IF(INDEX([1]equip.xml!$B:$B,MATCH(D3683,[1]equip.xml!$A:$A,0))=0,0,N3683)</f>
        <v>130</v>
      </c>
      <c r="N3683" s="8">
        <f t="shared" ref="N3683" si="4242">N3595</f>
        <v>130</v>
      </c>
    </row>
    <row r="3684" spans="1:14">
      <c r="A3684" s="7">
        <f t="shared" si="4235"/>
        <v>20014</v>
      </c>
      <c r="B3684" s="8">
        <f t="shared" ref="B3684:C3684" si="4243">B3596</f>
        <v>40000</v>
      </c>
      <c r="C3684" s="8" t="str">
        <f t="shared" si="4243"/>
        <v>装备</v>
      </c>
      <c r="D3684" s="8">
        <v>50450035</v>
      </c>
      <c r="E3684" s="8"/>
      <c r="F3684" s="8">
        <v>1</v>
      </c>
      <c r="G3684" s="8">
        <f>3*INDEX([1]equip.xml!$I:$I,MATCH(D3684,[1]equip.xml!$A:$A,0))</f>
        <v>270000</v>
      </c>
      <c r="H3684" s="8" t="str">
        <f t="shared" si="4226"/>
        <v>10_10,50_20,80_30</v>
      </c>
      <c r="I3684" s="8">
        <v>4</v>
      </c>
      <c r="J3684" s="8">
        <f t="shared" si="4226"/>
        <v>240</v>
      </c>
      <c r="K3684" s="7" t="s">
        <v>311</v>
      </c>
      <c r="L3684" s="8">
        <v>36</v>
      </c>
      <c r="M3684" s="7">
        <f>IF(INDEX([1]equip.xml!$B:$B,MATCH(D3684,[1]equip.xml!$A:$A,0))=0,0,N3684)</f>
        <v>130</v>
      </c>
      <c r="N3684" s="8">
        <f t="shared" ref="N3684" si="4244">N3596</f>
        <v>130</v>
      </c>
    </row>
    <row r="3685" spans="1:14">
      <c r="A3685" s="7">
        <f t="shared" si="4235"/>
        <v>20014</v>
      </c>
      <c r="B3685" s="8">
        <f t="shared" ref="B3685:C3685" si="4245">B3597</f>
        <v>40000</v>
      </c>
      <c r="C3685" s="8" t="str">
        <f t="shared" si="4245"/>
        <v>装备</v>
      </c>
      <c r="D3685" s="8">
        <v>50450085</v>
      </c>
      <c r="E3685" s="8"/>
      <c r="F3685" s="8">
        <v>1</v>
      </c>
      <c r="G3685" s="8">
        <f>3*INDEX([1]equip.xml!$I:$I,MATCH(D3685,[1]equip.xml!$A:$A,0))</f>
        <v>270000</v>
      </c>
      <c r="H3685" s="8" t="str">
        <f t="shared" si="4226"/>
        <v>10_10,50_20,80_30</v>
      </c>
      <c r="I3685" s="8">
        <v>4</v>
      </c>
      <c r="J3685" s="8">
        <f t="shared" si="4226"/>
        <v>240</v>
      </c>
      <c r="K3685" s="7" t="s">
        <v>311</v>
      </c>
      <c r="L3685" s="8">
        <v>36</v>
      </c>
      <c r="M3685" s="7">
        <f>IF(INDEX([1]equip.xml!$B:$B,MATCH(D3685,[1]equip.xml!$A:$A,0))=0,0,N3685)</f>
        <v>130</v>
      </c>
      <c r="N3685" s="8">
        <f t="shared" ref="N3685" si="4246">N3597</f>
        <v>130</v>
      </c>
    </row>
    <row r="3686" spans="1:14">
      <c r="A3686" s="7">
        <f t="shared" si="4235"/>
        <v>20014</v>
      </c>
      <c r="B3686" s="8">
        <f t="shared" ref="B3686:C3686" si="4247">B3598</f>
        <v>40000</v>
      </c>
      <c r="C3686" s="8" t="str">
        <f t="shared" si="4247"/>
        <v>装备</v>
      </c>
      <c r="D3686" s="8">
        <v>50450095</v>
      </c>
      <c r="E3686" s="8"/>
      <c r="F3686" s="8">
        <v>1</v>
      </c>
      <c r="G3686" s="8">
        <f>3*INDEX([1]equip.xml!$I:$I,MATCH(D3686,[1]equip.xml!$A:$A,0))</f>
        <v>270000</v>
      </c>
      <c r="H3686" s="8" t="str">
        <f t="shared" ref="H3686:J3701" si="4248">H3598</f>
        <v>10_10,50_20,80_30</v>
      </c>
      <c r="I3686" s="8">
        <v>4</v>
      </c>
      <c r="J3686" s="8">
        <f t="shared" si="4248"/>
        <v>240</v>
      </c>
      <c r="K3686" s="7" t="s">
        <v>311</v>
      </c>
      <c r="L3686" s="8">
        <v>36</v>
      </c>
      <c r="M3686" s="7">
        <f>IF(INDEX([1]equip.xml!$B:$B,MATCH(D3686,[1]equip.xml!$A:$A,0))=0,0,N3686)</f>
        <v>130</v>
      </c>
      <c r="N3686" s="8">
        <f t="shared" ref="N3686" si="4249">N3598</f>
        <v>130</v>
      </c>
    </row>
    <row r="3687" spans="1:14">
      <c r="A3687" s="7">
        <f t="shared" si="4235"/>
        <v>20014</v>
      </c>
      <c r="B3687" s="8">
        <f t="shared" ref="B3687:C3687" si="4250">B3599</f>
        <v>40000</v>
      </c>
      <c r="C3687" s="8" t="str">
        <f t="shared" si="4250"/>
        <v>装备</v>
      </c>
      <c r="D3687" s="8">
        <v>50450105</v>
      </c>
      <c r="E3687" s="8"/>
      <c r="F3687" s="8">
        <v>1</v>
      </c>
      <c r="G3687" s="8">
        <f>3*INDEX([1]equip.xml!$I:$I,MATCH(D3687,[1]equip.xml!$A:$A,0))</f>
        <v>270000</v>
      </c>
      <c r="H3687" s="8" t="str">
        <f t="shared" si="4248"/>
        <v>10_10,50_20,80_30</v>
      </c>
      <c r="I3687" s="8">
        <v>4</v>
      </c>
      <c r="J3687" s="8">
        <f t="shared" si="4248"/>
        <v>240</v>
      </c>
      <c r="K3687" s="7" t="s">
        <v>311</v>
      </c>
      <c r="L3687" s="8">
        <v>36</v>
      </c>
      <c r="M3687" s="7">
        <f>IF(INDEX([1]equip.xml!$B:$B,MATCH(D3687,[1]equip.xml!$A:$A,0))=0,0,N3687)</f>
        <v>130</v>
      </c>
      <c r="N3687" s="8">
        <f t="shared" ref="N3687" si="4251">N3599</f>
        <v>130</v>
      </c>
    </row>
    <row r="3688" spans="1:14">
      <c r="A3688" s="7">
        <f t="shared" si="4235"/>
        <v>20014</v>
      </c>
      <c r="B3688" s="8">
        <f t="shared" ref="B3688:C3688" si="4252">B3600</f>
        <v>40000</v>
      </c>
      <c r="C3688" s="8" t="str">
        <f t="shared" si="4252"/>
        <v>装备</v>
      </c>
      <c r="D3688" s="8">
        <v>50451055</v>
      </c>
      <c r="E3688" s="8"/>
      <c r="F3688" s="8">
        <v>1</v>
      </c>
      <c r="G3688" s="8">
        <f>3*INDEX([1]equip.xml!$I:$I,MATCH(D3688,[1]equip.xml!$A:$A,0))</f>
        <v>270000</v>
      </c>
      <c r="H3688" s="8" t="str">
        <f t="shared" si="4248"/>
        <v>10_10,50_20,80_30</v>
      </c>
      <c r="I3688" s="8">
        <v>4</v>
      </c>
      <c r="J3688" s="8">
        <f t="shared" si="4248"/>
        <v>240</v>
      </c>
      <c r="K3688" s="7" t="s">
        <v>311</v>
      </c>
      <c r="L3688" s="8">
        <v>36</v>
      </c>
      <c r="M3688" s="7">
        <f>IF(INDEX([1]equip.xml!$B:$B,MATCH(D3688,[1]equip.xml!$A:$A,0))=0,0,N3688)</f>
        <v>130</v>
      </c>
      <c r="N3688" s="8">
        <f t="shared" ref="N3688" si="4253">N3600</f>
        <v>130</v>
      </c>
    </row>
    <row r="3689" spans="1:14">
      <c r="A3689" s="7">
        <f t="shared" si="4235"/>
        <v>20014</v>
      </c>
      <c r="B3689" s="8">
        <f t="shared" ref="B3689:C3689" si="4254">B3601</f>
        <v>40000</v>
      </c>
      <c r="C3689" s="8" t="str">
        <f t="shared" si="4254"/>
        <v>装备</v>
      </c>
      <c r="D3689" s="8">
        <v>50451056</v>
      </c>
      <c r="E3689" s="8"/>
      <c r="F3689" s="8">
        <v>1</v>
      </c>
      <c r="G3689" s="8">
        <f>3*INDEX([1]equip.xml!$I:$I,MATCH(D3689,[1]equip.xml!$A:$A,0))</f>
        <v>288000</v>
      </c>
      <c r="H3689" s="8" t="str">
        <f t="shared" si="4248"/>
        <v>10_10,50_20,80_30</v>
      </c>
      <c r="I3689" s="8">
        <v>4</v>
      </c>
      <c r="J3689" s="8">
        <f t="shared" si="4248"/>
        <v>240</v>
      </c>
      <c r="K3689" s="7" t="s">
        <v>311</v>
      </c>
      <c r="L3689" s="8">
        <v>36</v>
      </c>
      <c r="M3689" s="7">
        <f>IF(INDEX([1]equip.xml!$B:$B,MATCH(D3689,[1]equip.xml!$A:$A,0))=0,0,N3689)</f>
        <v>0</v>
      </c>
      <c r="N3689" s="8">
        <f t="shared" ref="N3689" si="4255">N3601</f>
        <v>130</v>
      </c>
    </row>
    <row r="3690" spans="1:14">
      <c r="A3690" s="7">
        <f t="shared" si="4235"/>
        <v>20014</v>
      </c>
      <c r="B3690" s="8">
        <f t="shared" ref="B3690:C3690" si="4256">B3602</f>
        <v>40000</v>
      </c>
      <c r="C3690" s="8" t="str">
        <f t="shared" si="4256"/>
        <v>装备</v>
      </c>
      <c r="D3690" s="8">
        <v>50451065</v>
      </c>
      <c r="E3690" s="8"/>
      <c r="F3690" s="8">
        <v>1</v>
      </c>
      <c r="G3690" s="8">
        <f>3*INDEX([1]equip.xml!$I:$I,MATCH(D3690,[1]equip.xml!$A:$A,0))</f>
        <v>270000</v>
      </c>
      <c r="H3690" s="8" t="str">
        <f t="shared" si="4248"/>
        <v>10_10,50_20,80_30</v>
      </c>
      <c r="I3690" s="8">
        <v>4</v>
      </c>
      <c r="J3690" s="8">
        <f t="shared" si="4248"/>
        <v>240</v>
      </c>
      <c r="K3690" s="7" t="s">
        <v>311</v>
      </c>
      <c r="L3690" s="8">
        <v>36</v>
      </c>
      <c r="M3690" s="7">
        <f>IF(INDEX([1]equip.xml!$B:$B,MATCH(D3690,[1]equip.xml!$A:$A,0))=0,0,N3690)</f>
        <v>130</v>
      </c>
      <c r="N3690" s="8">
        <f t="shared" ref="N3690" si="4257">N3602</f>
        <v>130</v>
      </c>
    </row>
    <row r="3691" spans="1:14">
      <c r="A3691" s="7">
        <f t="shared" si="4235"/>
        <v>20014</v>
      </c>
      <c r="B3691" s="8">
        <f t="shared" ref="B3691:C3691" si="4258">B3603</f>
        <v>40000</v>
      </c>
      <c r="C3691" s="8" t="str">
        <f t="shared" si="4258"/>
        <v>装备</v>
      </c>
      <c r="D3691" s="8">
        <v>50451066</v>
      </c>
      <c r="E3691" s="8"/>
      <c r="F3691" s="8">
        <v>1</v>
      </c>
      <c r="G3691" s="8">
        <f>3*INDEX([1]equip.xml!$I:$I,MATCH(D3691,[1]equip.xml!$A:$A,0))</f>
        <v>288000</v>
      </c>
      <c r="H3691" s="8" t="str">
        <f t="shared" si="4248"/>
        <v>10_10,50_20,80_30</v>
      </c>
      <c r="I3691" s="8">
        <v>4</v>
      </c>
      <c r="J3691" s="8">
        <f t="shared" si="4248"/>
        <v>240</v>
      </c>
      <c r="K3691" s="7" t="s">
        <v>311</v>
      </c>
      <c r="L3691" s="8">
        <v>36</v>
      </c>
      <c r="M3691" s="7">
        <f>IF(INDEX([1]equip.xml!$B:$B,MATCH(D3691,[1]equip.xml!$A:$A,0))=0,0,N3691)</f>
        <v>0</v>
      </c>
      <c r="N3691" s="8">
        <f t="shared" ref="N3691" si="4259">N3603</f>
        <v>130</v>
      </c>
    </row>
    <row r="3692" spans="1:14">
      <c r="A3692" s="7">
        <f t="shared" si="4235"/>
        <v>20014</v>
      </c>
      <c r="B3692" s="8">
        <f t="shared" ref="B3692:C3692" si="4260">B3604</f>
        <v>40000</v>
      </c>
      <c r="C3692" s="8" t="str">
        <f t="shared" si="4260"/>
        <v>装备</v>
      </c>
      <c r="D3692" s="8">
        <v>50452055</v>
      </c>
      <c r="E3692" s="8"/>
      <c r="F3692" s="8">
        <v>1</v>
      </c>
      <c r="G3692" s="8">
        <f>3*INDEX([1]equip.xml!$I:$I,MATCH(D3692,[1]equip.xml!$A:$A,0))</f>
        <v>270000</v>
      </c>
      <c r="H3692" s="8" t="str">
        <f t="shared" si="4248"/>
        <v>10_10,50_20,80_30</v>
      </c>
      <c r="I3692" s="8">
        <v>4</v>
      </c>
      <c r="J3692" s="8">
        <f t="shared" si="4248"/>
        <v>240</v>
      </c>
      <c r="K3692" s="7" t="s">
        <v>311</v>
      </c>
      <c r="L3692" s="8">
        <v>36</v>
      </c>
      <c r="M3692" s="7">
        <f>IF(INDEX([1]equip.xml!$B:$B,MATCH(D3692,[1]equip.xml!$A:$A,0))=0,0,N3692)</f>
        <v>130</v>
      </c>
      <c r="N3692" s="8">
        <f t="shared" ref="N3692" si="4261">N3604</f>
        <v>130</v>
      </c>
    </row>
    <row r="3693" spans="1:14">
      <c r="A3693" s="7">
        <f t="shared" si="4235"/>
        <v>20014</v>
      </c>
      <c r="B3693" s="8">
        <f t="shared" ref="B3693:C3693" si="4262">B3605</f>
        <v>40000</v>
      </c>
      <c r="C3693" s="8" t="str">
        <f t="shared" si="4262"/>
        <v>装备</v>
      </c>
      <c r="D3693" s="8">
        <v>50452056</v>
      </c>
      <c r="E3693" s="8"/>
      <c r="F3693" s="8">
        <v>1</v>
      </c>
      <c r="G3693" s="8">
        <f>3*INDEX([1]equip.xml!$I:$I,MATCH(D3693,[1]equip.xml!$A:$A,0))</f>
        <v>288000</v>
      </c>
      <c r="H3693" s="8" t="str">
        <f t="shared" si="4248"/>
        <v>10_10,50_20,80_30</v>
      </c>
      <c r="I3693" s="8">
        <v>4</v>
      </c>
      <c r="J3693" s="8">
        <f t="shared" si="4248"/>
        <v>240</v>
      </c>
      <c r="K3693" s="7" t="s">
        <v>311</v>
      </c>
      <c r="L3693" s="8">
        <v>36</v>
      </c>
      <c r="M3693" s="7">
        <f>IF(INDEX([1]equip.xml!$B:$B,MATCH(D3693,[1]equip.xml!$A:$A,0))=0,0,N3693)</f>
        <v>0</v>
      </c>
      <c r="N3693" s="8">
        <f t="shared" ref="N3693" si="4263">N3605</f>
        <v>130</v>
      </c>
    </row>
    <row r="3694" spans="1:14">
      <c r="A3694" s="7">
        <f t="shared" si="4235"/>
        <v>20014</v>
      </c>
      <c r="B3694" s="8">
        <f t="shared" ref="B3694:C3694" si="4264">B3606</f>
        <v>40000</v>
      </c>
      <c r="C3694" s="8" t="str">
        <f t="shared" si="4264"/>
        <v>装备</v>
      </c>
      <c r="D3694" s="8">
        <v>50452065</v>
      </c>
      <c r="E3694" s="8"/>
      <c r="F3694" s="8">
        <v>1</v>
      </c>
      <c r="G3694" s="8">
        <f>3*INDEX([1]equip.xml!$I:$I,MATCH(D3694,[1]equip.xml!$A:$A,0))</f>
        <v>270000</v>
      </c>
      <c r="H3694" s="8" t="str">
        <f t="shared" si="4248"/>
        <v>10_10,50_20,80_30</v>
      </c>
      <c r="I3694" s="8">
        <v>4</v>
      </c>
      <c r="J3694" s="8">
        <f t="shared" si="4248"/>
        <v>240</v>
      </c>
      <c r="K3694" s="7" t="s">
        <v>311</v>
      </c>
      <c r="L3694" s="8">
        <v>36</v>
      </c>
      <c r="M3694" s="7">
        <f>IF(INDEX([1]equip.xml!$B:$B,MATCH(D3694,[1]equip.xml!$A:$A,0))=0,0,N3694)</f>
        <v>130</v>
      </c>
      <c r="N3694" s="8">
        <f t="shared" ref="N3694" si="4265">N3606</f>
        <v>130</v>
      </c>
    </row>
    <row r="3695" spans="1:14">
      <c r="A3695" s="7">
        <f t="shared" si="4235"/>
        <v>20014</v>
      </c>
      <c r="B3695" s="8">
        <f t="shared" ref="B3695:C3695" si="4266">B3607</f>
        <v>40000</v>
      </c>
      <c r="C3695" s="8" t="str">
        <f t="shared" si="4266"/>
        <v>装备</v>
      </c>
      <c r="D3695" s="8">
        <v>50452066</v>
      </c>
      <c r="E3695" s="8"/>
      <c r="F3695" s="8">
        <v>1</v>
      </c>
      <c r="G3695" s="8">
        <f>3*INDEX([1]equip.xml!$I:$I,MATCH(D3695,[1]equip.xml!$A:$A,0))</f>
        <v>288000</v>
      </c>
      <c r="H3695" s="8" t="str">
        <f t="shared" si="4248"/>
        <v>10_10,50_20,80_30</v>
      </c>
      <c r="I3695" s="8">
        <v>4</v>
      </c>
      <c r="J3695" s="8">
        <f t="shared" si="4248"/>
        <v>240</v>
      </c>
      <c r="K3695" s="7" t="s">
        <v>311</v>
      </c>
      <c r="L3695" s="8">
        <v>36</v>
      </c>
      <c r="M3695" s="7">
        <f>IF(INDEX([1]equip.xml!$B:$B,MATCH(D3695,[1]equip.xml!$A:$A,0))=0,0,N3695)</f>
        <v>0</v>
      </c>
      <c r="N3695" s="8">
        <f t="shared" ref="N3695" si="4267">N3607</f>
        <v>130</v>
      </c>
    </row>
    <row r="3696" spans="1:14">
      <c r="A3696" s="7">
        <f t="shared" si="4235"/>
        <v>20014</v>
      </c>
      <c r="B3696" s="8">
        <f t="shared" ref="B3696:C3696" si="4268">B3608</f>
        <v>40000</v>
      </c>
      <c r="C3696" s="8" t="str">
        <f t="shared" si="4268"/>
        <v>装备</v>
      </c>
      <c r="D3696" s="8">
        <v>50453055</v>
      </c>
      <c r="E3696" s="8"/>
      <c r="F3696" s="8">
        <v>1</v>
      </c>
      <c r="G3696" s="8">
        <f>3*INDEX([1]equip.xml!$I:$I,MATCH(D3696,[1]equip.xml!$A:$A,0))</f>
        <v>270000</v>
      </c>
      <c r="H3696" s="8" t="str">
        <f t="shared" si="4248"/>
        <v>10_10,50_20,80_30</v>
      </c>
      <c r="I3696" s="8">
        <v>4</v>
      </c>
      <c r="J3696" s="8">
        <f t="shared" si="4248"/>
        <v>240</v>
      </c>
      <c r="K3696" s="7" t="s">
        <v>311</v>
      </c>
      <c r="L3696" s="8">
        <v>36</v>
      </c>
      <c r="M3696" s="7">
        <f>IF(INDEX([1]equip.xml!$B:$B,MATCH(D3696,[1]equip.xml!$A:$A,0))=0,0,N3696)</f>
        <v>130</v>
      </c>
      <c r="N3696" s="8">
        <f t="shared" ref="N3696" si="4269">N3608</f>
        <v>130</v>
      </c>
    </row>
    <row r="3697" spans="1:14">
      <c r="A3697" s="7">
        <f t="shared" si="4235"/>
        <v>20014</v>
      </c>
      <c r="B3697" s="8">
        <f t="shared" ref="B3697:C3697" si="4270">B3609</f>
        <v>40000</v>
      </c>
      <c r="C3697" s="8" t="str">
        <f t="shared" si="4270"/>
        <v>装备</v>
      </c>
      <c r="D3697" s="8">
        <v>50453056</v>
      </c>
      <c r="E3697" s="8"/>
      <c r="F3697" s="8">
        <v>1</v>
      </c>
      <c r="G3697" s="8">
        <f>3*INDEX([1]equip.xml!$I:$I,MATCH(D3697,[1]equip.xml!$A:$A,0))</f>
        <v>288000</v>
      </c>
      <c r="H3697" s="8" t="str">
        <f t="shared" si="4248"/>
        <v>10_10,50_20,80_30</v>
      </c>
      <c r="I3697" s="8">
        <v>4</v>
      </c>
      <c r="J3697" s="8">
        <f t="shared" si="4248"/>
        <v>240</v>
      </c>
      <c r="K3697" s="7" t="s">
        <v>311</v>
      </c>
      <c r="L3697" s="8">
        <v>36</v>
      </c>
      <c r="M3697" s="7">
        <f>IF(INDEX([1]equip.xml!$B:$B,MATCH(D3697,[1]equip.xml!$A:$A,0))=0,0,N3697)</f>
        <v>130</v>
      </c>
      <c r="N3697" s="8">
        <f t="shared" ref="N3697" si="4271">N3609</f>
        <v>130</v>
      </c>
    </row>
    <row r="3698" spans="1:14">
      <c r="A3698" s="7">
        <f t="shared" si="4235"/>
        <v>20014</v>
      </c>
      <c r="B3698" s="8">
        <f t="shared" ref="B3698:C3698" si="4272">B3610</f>
        <v>40000</v>
      </c>
      <c r="C3698" s="8" t="str">
        <f t="shared" si="4272"/>
        <v>装备</v>
      </c>
      <c r="D3698" s="8">
        <v>50453065</v>
      </c>
      <c r="E3698" s="8"/>
      <c r="F3698" s="8">
        <v>1</v>
      </c>
      <c r="G3698" s="8">
        <f>3*INDEX([1]equip.xml!$I:$I,MATCH(D3698,[1]equip.xml!$A:$A,0))</f>
        <v>270000</v>
      </c>
      <c r="H3698" s="8" t="str">
        <f t="shared" si="4248"/>
        <v>10_10,50_20,80_30</v>
      </c>
      <c r="I3698" s="8">
        <v>4</v>
      </c>
      <c r="J3698" s="8">
        <f t="shared" si="4248"/>
        <v>240</v>
      </c>
      <c r="K3698" s="7" t="s">
        <v>311</v>
      </c>
      <c r="L3698" s="8">
        <v>36</v>
      </c>
      <c r="M3698" s="7">
        <f>IF(INDEX([1]equip.xml!$B:$B,MATCH(D3698,[1]equip.xml!$A:$A,0))=0,0,N3698)</f>
        <v>130</v>
      </c>
      <c r="N3698" s="8">
        <f t="shared" ref="N3698" si="4273">N3610</f>
        <v>130</v>
      </c>
    </row>
    <row r="3699" spans="1:14">
      <c r="A3699" s="7">
        <f t="shared" si="4235"/>
        <v>20014</v>
      </c>
      <c r="B3699" s="8">
        <f t="shared" ref="B3699:C3699" si="4274">B3611</f>
        <v>40000</v>
      </c>
      <c r="C3699" s="8" t="str">
        <f t="shared" si="4274"/>
        <v>装备</v>
      </c>
      <c r="D3699" s="8">
        <v>50453066</v>
      </c>
      <c r="E3699" s="8"/>
      <c r="F3699" s="8">
        <v>1</v>
      </c>
      <c r="G3699" s="8">
        <f>3*INDEX([1]equip.xml!$I:$I,MATCH(D3699,[1]equip.xml!$A:$A,0))</f>
        <v>288000</v>
      </c>
      <c r="H3699" s="8" t="str">
        <f t="shared" si="4248"/>
        <v>10_10,50_20,80_30</v>
      </c>
      <c r="I3699" s="8">
        <v>4</v>
      </c>
      <c r="J3699" s="8">
        <f t="shared" si="4248"/>
        <v>240</v>
      </c>
      <c r="K3699" s="7" t="s">
        <v>311</v>
      </c>
      <c r="L3699" s="8">
        <v>36</v>
      </c>
      <c r="M3699" s="7">
        <f>IF(INDEX([1]equip.xml!$B:$B,MATCH(D3699,[1]equip.xml!$A:$A,0))=0,0,N3699)</f>
        <v>0</v>
      </c>
      <c r="N3699" s="8">
        <f t="shared" ref="N3699" si="4275">N3611</f>
        <v>130</v>
      </c>
    </row>
    <row r="3700" spans="1:14">
      <c r="A3700" s="7">
        <f t="shared" si="4235"/>
        <v>20014</v>
      </c>
      <c r="B3700" s="8">
        <f t="shared" ref="B3700:C3700" si="4276">B3612</f>
        <v>40000</v>
      </c>
      <c r="C3700" s="8" t="str">
        <f t="shared" si="4276"/>
        <v>装备</v>
      </c>
      <c r="D3700" s="8">
        <v>50450045</v>
      </c>
      <c r="E3700" s="8"/>
      <c r="F3700" s="8">
        <v>1</v>
      </c>
      <c r="G3700" s="8">
        <f>3*INDEX([1]equip.xml!$I:$I,MATCH(D3700,[1]equip.xml!$A:$A,0))</f>
        <v>270000</v>
      </c>
      <c r="H3700" s="8" t="str">
        <f t="shared" si="4248"/>
        <v>10_10,50_20,80_30</v>
      </c>
      <c r="I3700" s="8">
        <v>4</v>
      </c>
      <c r="J3700" s="8">
        <f t="shared" si="4248"/>
        <v>240</v>
      </c>
      <c r="K3700" s="7" t="s">
        <v>311</v>
      </c>
      <c r="L3700" s="8">
        <v>36</v>
      </c>
      <c r="M3700" s="7">
        <f>IF(INDEX([1]equip.xml!$B:$B,MATCH(D3700,[1]equip.xml!$A:$A,0))=0,0,N3700)</f>
        <v>130</v>
      </c>
      <c r="N3700" s="8">
        <f t="shared" ref="N3700" si="4277">N3612</f>
        <v>130</v>
      </c>
    </row>
    <row r="3701" spans="1:14">
      <c r="A3701" s="7">
        <f t="shared" si="4235"/>
        <v>20014</v>
      </c>
      <c r="B3701" s="8">
        <f t="shared" ref="B3701:C3701" si="4278">B3613</f>
        <v>40000</v>
      </c>
      <c r="C3701" s="8" t="str">
        <f t="shared" si="4278"/>
        <v>装备</v>
      </c>
      <c r="D3701" s="8">
        <v>50450046</v>
      </c>
      <c r="E3701" s="8"/>
      <c r="F3701" s="8">
        <v>1</v>
      </c>
      <c r="G3701" s="8">
        <f>3*INDEX([1]equip.xml!$I:$I,MATCH(D3701,[1]equip.xml!$A:$A,0))</f>
        <v>288000</v>
      </c>
      <c r="H3701" s="8" t="str">
        <f t="shared" si="4248"/>
        <v>10_10,50_20,80_30</v>
      </c>
      <c r="I3701" s="8">
        <v>4</v>
      </c>
      <c r="J3701" s="8">
        <f t="shared" si="4248"/>
        <v>240</v>
      </c>
      <c r="K3701" s="7" t="s">
        <v>311</v>
      </c>
      <c r="L3701" s="8">
        <v>36</v>
      </c>
      <c r="M3701" s="7">
        <f>IF(INDEX([1]equip.xml!$B:$B,MATCH(D3701,[1]equip.xml!$A:$A,0))=0,0,N3701)</f>
        <v>130</v>
      </c>
      <c r="N3701" s="8">
        <f t="shared" ref="N3701" si="4279">N3613</f>
        <v>130</v>
      </c>
    </row>
    <row r="3702" spans="1:14">
      <c r="A3702" s="7">
        <f t="shared" si="4235"/>
        <v>20014</v>
      </c>
      <c r="B3702" s="8">
        <f t="shared" ref="B3702:C3702" si="4280">B3614</f>
        <v>40000</v>
      </c>
      <c r="C3702" s="8" t="str">
        <f t="shared" si="4280"/>
        <v>装备</v>
      </c>
      <c r="D3702" s="8">
        <v>50450075</v>
      </c>
      <c r="E3702" s="8"/>
      <c r="F3702" s="8">
        <v>1</v>
      </c>
      <c r="G3702" s="8">
        <f>3*INDEX([1]equip.xml!$I:$I,MATCH(D3702,[1]equip.xml!$A:$A,0))</f>
        <v>270000</v>
      </c>
      <c r="H3702" s="8" t="str">
        <f t="shared" ref="H3702:J3717" si="4281">H3614</f>
        <v>10_10,50_20,80_30</v>
      </c>
      <c r="I3702" s="8">
        <v>4</v>
      </c>
      <c r="J3702" s="8">
        <f t="shared" si="4281"/>
        <v>240</v>
      </c>
      <c r="K3702" s="7" t="s">
        <v>311</v>
      </c>
      <c r="L3702" s="8">
        <v>36</v>
      </c>
      <c r="M3702" s="7">
        <f>IF(INDEX([1]equip.xml!$B:$B,MATCH(D3702,[1]equip.xml!$A:$A,0))=0,0,N3702)</f>
        <v>130</v>
      </c>
      <c r="N3702" s="8">
        <f t="shared" ref="N3702" si="4282">N3614</f>
        <v>130</v>
      </c>
    </row>
    <row r="3703" spans="1:14">
      <c r="A3703" s="7">
        <f t="shared" si="4235"/>
        <v>20014</v>
      </c>
      <c r="B3703" s="8">
        <f t="shared" ref="B3703:C3703" si="4283">B3615</f>
        <v>40000</v>
      </c>
      <c r="C3703" s="8" t="str">
        <f t="shared" si="4283"/>
        <v>装备</v>
      </c>
      <c r="D3703" s="8">
        <v>50450076</v>
      </c>
      <c r="E3703" s="8"/>
      <c r="F3703" s="8">
        <v>1</v>
      </c>
      <c r="G3703" s="8">
        <f>3*INDEX([1]equip.xml!$I:$I,MATCH(D3703,[1]equip.xml!$A:$A,0))</f>
        <v>288000</v>
      </c>
      <c r="H3703" s="8" t="str">
        <f t="shared" si="4281"/>
        <v>10_10,50_20,80_30</v>
      </c>
      <c r="I3703" s="8">
        <v>4</v>
      </c>
      <c r="J3703" s="8">
        <f t="shared" si="4281"/>
        <v>240</v>
      </c>
      <c r="K3703" s="7" t="s">
        <v>311</v>
      </c>
      <c r="L3703" s="8">
        <v>36</v>
      </c>
      <c r="M3703" s="7">
        <f>IF(INDEX([1]equip.xml!$B:$B,MATCH(D3703,[1]equip.xml!$A:$A,0))=0,0,N3703)</f>
        <v>130</v>
      </c>
      <c r="N3703" s="8">
        <f t="shared" ref="N3703" si="4284">N3615</f>
        <v>130</v>
      </c>
    </row>
    <row r="3704" spans="1:14">
      <c r="A3704" s="7">
        <f t="shared" si="4235"/>
        <v>20014</v>
      </c>
      <c r="B3704" s="8">
        <f t="shared" ref="B3704:C3704" si="4285">B3616</f>
        <v>40000</v>
      </c>
      <c r="C3704" s="8" t="str">
        <f t="shared" si="4285"/>
        <v>装备</v>
      </c>
      <c r="D3704" s="8">
        <v>50500015</v>
      </c>
      <c r="E3704" s="8"/>
      <c r="F3704" s="8">
        <v>1</v>
      </c>
      <c r="G3704" s="8">
        <f>3*INDEX([1]equip.xml!$I:$I,MATCH(D3704,[1]equip.xml!$A:$A,0))</f>
        <v>300000</v>
      </c>
      <c r="H3704" s="8" t="str">
        <f t="shared" si="4281"/>
        <v>10_10,50_20,80_30</v>
      </c>
      <c r="I3704" s="8">
        <v>4</v>
      </c>
      <c r="J3704" s="8">
        <f t="shared" si="4281"/>
        <v>240</v>
      </c>
      <c r="K3704" s="7" t="s">
        <v>311</v>
      </c>
      <c r="L3704" s="8">
        <v>36</v>
      </c>
      <c r="M3704" s="7">
        <f>IF(INDEX([1]equip.xml!$B:$B,MATCH(D3704,[1]equip.xml!$A:$A,0))=0,0,N3704)</f>
        <v>50</v>
      </c>
      <c r="N3704" s="8">
        <v>50</v>
      </c>
    </row>
    <row r="3705" spans="1:14">
      <c r="A3705" s="7">
        <f t="shared" si="4235"/>
        <v>20014</v>
      </c>
      <c r="B3705" s="8">
        <f t="shared" ref="B3705:C3705" si="4286">B3617</f>
        <v>40000</v>
      </c>
      <c r="C3705" s="8" t="str">
        <f t="shared" si="4286"/>
        <v>装备</v>
      </c>
      <c r="D3705" s="8">
        <v>50500025</v>
      </c>
      <c r="E3705" s="8"/>
      <c r="F3705" s="8">
        <v>1</v>
      </c>
      <c r="G3705" s="8">
        <f>3*INDEX([1]equip.xml!$I:$I,MATCH(D3705,[1]equip.xml!$A:$A,0))</f>
        <v>300000</v>
      </c>
      <c r="H3705" s="8" t="str">
        <f t="shared" si="4281"/>
        <v>10_10,50_20,80_30</v>
      </c>
      <c r="I3705" s="8">
        <v>4</v>
      </c>
      <c r="J3705" s="8">
        <f t="shared" si="4281"/>
        <v>240</v>
      </c>
      <c r="K3705" s="7" t="s">
        <v>311</v>
      </c>
      <c r="L3705" s="8">
        <v>36</v>
      </c>
      <c r="M3705" s="7">
        <f>IF(INDEX([1]equip.xml!$B:$B,MATCH(D3705,[1]equip.xml!$A:$A,0))=0,0,N3705)</f>
        <v>50</v>
      </c>
      <c r="N3705" s="8">
        <v>50</v>
      </c>
    </row>
    <row r="3706" spans="1:14">
      <c r="A3706" s="7">
        <f t="shared" si="4235"/>
        <v>20014</v>
      </c>
      <c r="B3706" s="8">
        <f t="shared" ref="B3706:C3706" si="4287">B3618</f>
        <v>40000</v>
      </c>
      <c r="C3706" s="8" t="str">
        <f t="shared" si="4287"/>
        <v>装备</v>
      </c>
      <c r="D3706" s="8">
        <v>50500035</v>
      </c>
      <c r="E3706" s="8"/>
      <c r="F3706" s="8">
        <v>1</v>
      </c>
      <c r="G3706" s="8">
        <f>3*INDEX([1]equip.xml!$I:$I,MATCH(D3706,[1]equip.xml!$A:$A,0))</f>
        <v>300000</v>
      </c>
      <c r="H3706" s="8" t="str">
        <f t="shared" si="4281"/>
        <v>10_10,50_20,80_30</v>
      </c>
      <c r="I3706" s="8">
        <v>4</v>
      </c>
      <c r="J3706" s="8">
        <f t="shared" si="4281"/>
        <v>240</v>
      </c>
      <c r="K3706" s="7" t="s">
        <v>311</v>
      </c>
      <c r="L3706" s="8">
        <v>36</v>
      </c>
      <c r="M3706" s="7">
        <f>IF(INDEX([1]equip.xml!$B:$B,MATCH(D3706,[1]equip.xml!$A:$A,0))=0,0,N3706)</f>
        <v>50</v>
      </c>
      <c r="N3706" s="8">
        <v>50</v>
      </c>
    </row>
    <row r="3707" spans="1:14">
      <c r="A3707" s="7">
        <f t="shared" si="4235"/>
        <v>20014</v>
      </c>
      <c r="B3707" s="8">
        <f t="shared" ref="B3707:C3707" si="4288">B3619</f>
        <v>40000</v>
      </c>
      <c r="C3707" s="8" t="str">
        <f t="shared" si="4288"/>
        <v>装备</v>
      </c>
      <c r="D3707" s="8">
        <v>50500085</v>
      </c>
      <c r="E3707" s="8"/>
      <c r="F3707" s="8">
        <v>1</v>
      </c>
      <c r="G3707" s="8">
        <f>3*INDEX([1]equip.xml!$I:$I,MATCH(D3707,[1]equip.xml!$A:$A,0))</f>
        <v>300000</v>
      </c>
      <c r="H3707" s="8" t="str">
        <f t="shared" si="4281"/>
        <v>10_10,50_20,80_30</v>
      </c>
      <c r="I3707" s="8">
        <v>4</v>
      </c>
      <c r="J3707" s="8">
        <f t="shared" si="4281"/>
        <v>240</v>
      </c>
      <c r="K3707" s="7" t="s">
        <v>311</v>
      </c>
      <c r="L3707" s="8">
        <v>36</v>
      </c>
      <c r="M3707" s="7">
        <f>IF(INDEX([1]equip.xml!$B:$B,MATCH(D3707,[1]equip.xml!$A:$A,0))=0,0,N3707)</f>
        <v>50</v>
      </c>
      <c r="N3707" s="8">
        <v>50</v>
      </c>
    </row>
    <row r="3708" spans="1:14">
      <c r="A3708" s="7">
        <f t="shared" si="4235"/>
        <v>20014</v>
      </c>
      <c r="B3708" s="8">
        <f t="shared" ref="B3708:C3708" si="4289">B3620</f>
        <v>40000</v>
      </c>
      <c r="C3708" s="8" t="str">
        <f t="shared" si="4289"/>
        <v>装备</v>
      </c>
      <c r="D3708" s="8">
        <v>50500095</v>
      </c>
      <c r="E3708" s="8"/>
      <c r="F3708" s="8">
        <v>1</v>
      </c>
      <c r="G3708" s="8">
        <f>3*INDEX([1]equip.xml!$I:$I,MATCH(D3708,[1]equip.xml!$A:$A,0))</f>
        <v>300000</v>
      </c>
      <c r="H3708" s="8" t="str">
        <f t="shared" si="4281"/>
        <v>10_10,50_20,80_30</v>
      </c>
      <c r="I3708" s="8">
        <v>4</v>
      </c>
      <c r="J3708" s="8">
        <f t="shared" si="4281"/>
        <v>240</v>
      </c>
      <c r="K3708" s="7" t="s">
        <v>311</v>
      </c>
      <c r="L3708" s="8">
        <v>36</v>
      </c>
      <c r="M3708" s="7">
        <f>IF(INDEX([1]equip.xml!$B:$B,MATCH(D3708,[1]equip.xml!$A:$A,0))=0,0,N3708)</f>
        <v>50</v>
      </c>
      <c r="N3708" s="8">
        <v>50</v>
      </c>
    </row>
    <row r="3709" spans="1:14">
      <c r="A3709" s="7">
        <f t="shared" si="4235"/>
        <v>20014</v>
      </c>
      <c r="B3709" s="8">
        <f t="shared" ref="B3709:C3709" si="4290">B3621</f>
        <v>40000</v>
      </c>
      <c r="C3709" s="8" t="str">
        <f t="shared" si="4290"/>
        <v>装备</v>
      </c>
      <c r="D3709" s="8">
        <v>50500105</v>
      </c>
      <c r="E3709" s="8"/>
      <c r="F3709" s="8">
        <v>1</v>
      </c>
      <c r="G3709" s="8">
        <f>3*INDEX([1]equip.xml!$I:$I,MATCH(D3709,[1]equip.xml!$A:$A,0))</f>
        <v>300000</v>
      </c>
      <c r="H3709" s="8" t="str">
        <f t="shared" si="4281"/>
        <v>10_10,50_20,80_30</v>
      </c>
      <c r="I3709" s="8">
        <v>4</v>
      </c>
      <c r="J3709" s="8">
        <f t="shared" si="4281"/>
        <v>240</v>
      </c>
      <c r="K3709" s="7" t="s">
        <v>311</v>
      </c>
      <c r="L3709" s="8">
        <v>36</v>
      </c>
      <c r="M3709" s="7">
        <f>IF(INDEX([1]equip.xml!$B:$B,MATCH(D3709,[1]equip.xml!$A:$A,0))=0,0,N3709)</f>
        <v>50</v>
      </c>
      <c r="N3709" s="8">
        <v>50</v>
      </c>
    </row>
    <row r="3710" spans="1:14">
      <c r="A3710" s="7">
        <f t="shared" si="4235"/>
        <v>20014</v>
      </c>
      <c r="B3710" s="8">
        <f t="shared" ref="B3710:C3710" si="4291">B3622</f>
        <v>40000</v>
      </c>
      <c r="C3710" s="8" t="str">
        <f t="shared" si="4291"/>
        <v>装备</v>
      </c>
      <c r="D3710" s="8">
        <v>50501055</v>
      </c>
      <c r="E3710" s="8"/>
      <c r="F3710" s="8">
        <v>1</v>
      </c>
      <c r="G3710" s="8">
        <f>3*INDEX([1]equip.xml!$I:$I,MATCH(D3710,[1]equip.xml!$A:$A,0))</f>
        <v>300000</v>
      </c>
      <c r="H3710" s="8" t="str">
        <f t="shared" si="4281"/>
        <v>10_10,50_20,80_30</v>
      </c>
      <c r="I3710" s="8">
        <v>4</v>
      </c>
      <c r="J3710" s="8">
        <f t="shared" si="4281"/>
        <v>240</v>
      </c>
      <c r="K3710" s="7" t="s">
        <v>311</v>
      </c>
      <c r="L3710" s="8">
        <v>36</v>
      </c>
      <c r="M3710" s="7">
        <f>IF(INDEX([1]equip.xml!$B:$B,MATCH(D3710,[1]equip.xml!$A:$A,0))=0,0,N3710)</f>
        <v>50</v>
      </c>
      <c r="N3710" s="8">
        <v>50</v>
      </c>
    </row>
    <row r="3711" spans="1:14">
      <c r="A3711" s="7">
        <f t="shared" si="4235"/>
        <v>20014</v>
      </c>
      <c r="B3711" s="8">
        <f t="shared" ref="B3711:C3711" si="4292">B3623</f>
        <v>40000</v>
      </c>
      <c r="C3711" s="8" t="str">
        <f t="shared" si="4292"/>
        <v>装备</v>
      </c>
      <c r="D3711" s="8">
        <v>50501056</v>
      </c>
      <c r="E3711" s="8"/>
      <c r="F3711" s="8">
        <v>1</v>
      </c>
      <c r="G3711" s="8">
        <f>3*INDEX([1]equip.xml!$I:$I,MATCH(D3711,[1]equip.xml!$A:$A,0))</f>
        <v>318000</v>
      </c>
      <c r="H3711" s="8" t="str">
        <f t="shared" si="4281"/>
        <v>10_10,50_20,80_30</v>
      </c>
      <c r="I3711" s="8">
        <v>4</v>
      </c>
      <c r="J3711" s="8">
        <f t="shared" si="4281"/>
        <v>240</v>
      </c>
      <c r="K3711" s="7" t="s">
        <v>311</v>
      </c>
      <c r="L3711" s="8">
        <v>36</v>
      </c>
      <c r="M3711" s="7">
        <f>IF(INDEX([1]equip.xml!$B:$B,MATCH(D3711,[1]equip.xml!$A:$A,0))=0,0,N3711)</f>
        <v>50</v>
      </c>
      <c r="N3711" s="8">
        <v>50</v>
      </c>
    </row>
    <row r="3712" spans="1:14">
      <c r="A3712" s="7">
        <f t="shared" si="4235"/>
        <v>20014</v>
      </c>
      <c r="B3712" s="8">
        <f t="shared" ref="B3712:C3712" si="4293">B3624</f>
        <v>40000</v>
      </c>
      <c r="C3712" s="8" t="str">
        <f t="shared" si="4293"/>
        <v>装备</v>
      </c>
      <c r="D3712" s="8">
        <v>50501065</v>
      </c>
      <c r="E3712" s="8"/>
      <c r="F3712" s="8">
        <v>1</v>
      </c>
      <c r="G3712" s="8">
        <f>3*INDEX([1]equip.xml!$I:$I,MATCH(D3712,[1]equip.xml!$A:$A,0))</f>
        <v>300000</v>
      </c>
      <c r="H3712" s="8" t="str">
        <f t="shared" si="4281"/>
        <v>10_10,50_20,80_30</v>
      </c>
      <c r="I3712" s="8">
        <v>4</v>
      </c>
      <c r="J3712" s="8">
        <f t="shared" si="4281"/>
        <v>240</v>
      </c>
      <c r="K3712" s="7" t="s">
        <v>311</v>
      </c>
      <c r="L3712" s="8">
        <v>36</v>
      </c>
      <c r="M3712" s="7">
        <f>IF(INDEX([1]equip.xml!$B:$B,MATCH(D3712,[1]equip.xml!$A:$A,0))=0,0,N3712)</f>
        <v>50</v>
      </c>
      <c r="N3712" s="8">
        <v>50</v>
      </c>
    </row>
    <row r="3713" spans="1:14">
      <c r="A3713" s="7">
        <f t="shared" si="4235"/>
        <v>20014</v>
      </c>
      <c r="B3713" s="8">
        <f t="shared" ref="B3713:C3713" si="4294">B3625</f>
        <v>40000</v>
      </c>
      <c r="C3713" s="8" t="str">
        <f t="shared" si="4294"/>
        <v>装备</v>
      </c>
      <c r="D3713" s="8">
        <v>50501066</v>
      </c>
      <c r="E3713" s="8"/>
      <c r="F3713" s="8">
        <v>1</v>
      </c>
      <c r="G3713" s="8">
        <f>3*INDEX([1]equip.xml!$I:$I,MATCH(D3713,[1]equip.xml!$A:$A,0))</f>
        <v>318000</v>
      </c>
      <c r="H3713" s="8" t="str">
        <f t="shared" si="4281"/>
        <v>10_10,50_20,80_30</v>
      </c>
      <c r="I3713" s="8">
        <v>4</v>
      </c>
      <c r="J3713" s="8">
        <f t="shared" si="4281"/>
        <v>240</v>
      </c>
      <c r="K3713" s="7" t="s">
        <v>311</v>
      </c>
      <c r="L3713" s="8">
        <v>36</v>
      </c>
      <c r="M3713" s="7">
        <f>IF(INDEX([1]equip.xml!$B:$B,MATCH(D3713,[1]equip.xml!$A:$A,0))=0,0,N3713)</f>
        <v>50</v>
      </c>
      <c r="N3713" s="8">
        <v>50</v>
      </c>
    </row>
    <row r="3714" spans="1:14">
      <c r="A3714" s="7">
        <f t="shared" si="4235"/>
        <v>20014</v>
      </c>
      <c r="B3714" s="8">
        <f t="shared" ref="B3714:C3714" si="4295">B3626</f>
        <v>40000</v>
      </c>
      <c r="C3714" s="8" t="str">
        <f t="shared" si="4295"/>
        <v>装备</v>
      </c>
      <c r="D3714" s="8">
        <v>50502055</v>
      </c>
      <c r="E3714" s="8"/>
      <c r="F3714" s="8">
        <v>1</v>
      </c>
      <c r="G3714" s="8">
        <f>3*INDEX([1]equip.xml!$I:$I,MATCH(D3714,[1]equip.xml!$A:$A,0))</f>
        <v>300000</v>
      </c>
      <c r="H3714" s="8" t="str">
        <f t="shared" si="4281"/>
        <v>10_10,50_20,80_30</v>
      </c>
      <c r="I3714" s="8">
        <v>4</v>
      </c>
      <c r="J3714" s="8">
        <f t="shared" si="4281"/>
        <v>240</v>
      </c>
      <c r="K3714" s="7" t="s">
        <v>311</v>
      </c>
      <c r="L3714" s="8">
        <v>36</v>
      </c>
      <c r="M3714" s="7">
        <f>IF(INDEX([1]equip.xml!$B:$B,MATCH(D3714,[1]equip.xml!$A:$A,0))=0,0,N3714)</f>
        <v>50</v>
      </c>
      <c r="N3714" s="8">
        <v>50</v>
      </c>
    </row>
    <row r="3715" spans="1:14">
      <c r="A3715" s="7">
        <f t="shared" si="4235"/>
        <v>20014</v>
      </c>
      <c r="B3715" s="8">
        <f t="shared" ref="B3715:C3715" si="4296">B3627</f>
        <v>40000</v>
      </c>
      <c r="C3715" s="8" t="str">
        <f t="shared" si="4296"/>
        <v>装备</v>
      </c>
      <c r="D3715" s="8">
        <v>50502056</v>
      </c>
      <c r="E3715" s="8"/>
      <c r="F3715" s="8">
        <v>1</v>
      </c>
      <c r="G3715" s="8">
        <f>3*INDEX([1]equip.xml!$I:$I,MATCH(D3715,[1]equip.xml!$A:$A,0))</f>
        <v>318000</v>
      </c>
      <c r="H3715" s="8" t="str">
        <f t="shared" si="4281"/>
        <v>10_10,50_20,80_30</v>
      </c>
      <c r="I3715" s="8">
        <v>4</v>
      </c>
      <c r="J3715" s="8">
        <f t="shared" si="4281"/>
        <v>240</v>
      </c>
      <c r="K3715" s="7" t="s">
        <v>311</v>
      </c>
      <c r="L3715" s="8">
        <v>36</v>
      </c>
      <c r="M3715" s="7">
        <f>IF(INDEX([1]equip.xml!$B:$B,MATCH(D3715,[1]equip.xml!$A:$A,0))=0,0,N3715)</f>
        <v>50</v>
      </c>
      <c r="N3715" s="8">
        <v>50</v>
      </c>
    </row>
    <row r="3716" spans="1:14">
      <c r="A3716" s="7">
        <f t="shared" si="4235"/>
        <v>20014</v>
      </c>
      <c r="B3716" s="8">
        <f t="shared" ref="B3716:C3716" si="4297">B3628</f>
        <v>40000</v>
      </c>
      <c r="C3716" s="8" t="str">
        <f t="shared" si="4297"/>
        <v>装备</v>
      </c>
      <c r="D3716" s="8">
        <v>50502065</v>
      </c>
      <c r="E3716" s="8"/>
      <c r="F3716" s="8">
        <v>1</v>
      </c>
      <c r="G3716" s="8">
        <f>3*INDEX([1]equip.xml!$I:$I,MATCH(D3716,[1]equip.xml!$A:$A,0))</f>
        <v>300000</v>
      </c>
      <c r="H3716" s="8" t="str">
        <f t="shared" si="4281"/>
        <v>10_10,50_20,80_30</v>
      </c>
      <c r="I3716" s="8">
        <v>4</v>
      </c>
      <c r="J3716" s="8">
        <f t="shared" si="4281"/>
        <v>240</v>
      </c>
      <c r="K3716" s="7" t="s">
        <v>311</v>
      </c>
      <c r="L3716" s="8">
        <v>36</v>
      </c>
      <c r="M3716" s="7">
        <f>IF(INDEX([1]equip.xml!$B:$B,MATCH(D3716,[1]equip.xml!$A:$A,0))=0,0,N3716)</f>
        <v>50</v>
      </c>
      <c r="N3716" s="8">
        <v>50</v>
      </c>
    </row>
    <row r="3717" spans="1:14">
      <c r="A3717" s="7">
        <f t="shared" si="4235"/>
        <v>20014</v>
      </c>
      <c r="B3717" s="8">
        <f t="shared" ref="B3717:C3717" si="4298">B3629</f>
        <v>40000</v>
      </c>
      <c r="C3717" s="8" t="str">
        <f t="shared" si="4298"/>
        <v>装备</v>
      </c>
      <c r="D3717" s="8">
        <v>50502066</v>
      </c>
      <c r="E3717" s="8"/>
      <c r="F3717" s="8">
        <v>1</v>
      </c>
      <c r="G3717" s="8">
        <f>3*INDEX([1]equip.xml!$I:$I,MATCH(D3717,[1]equip.xml!$A:$A,0))</f>
        <v>318000</v>
      </c>
      <c r="H3717" s="8" t="str">
        <f t="shared" si="4281"/>
        <v>10_10,50_20,80_30</v>
      </c>
      <c r="I3717" s="8">
        <v>4</v>
      </c>
      <c r="J3717" s="8">
        <f t="shared" si="4281"/>
        <v>240</v>
      </c>
      <c r="K3717" s="7" t="s">
        <v>311</v>
      </c>
      <c r="L3717" s="8">
        <v>36</v>
      </c>
      <c r="M3717" s="7">
        <f>IF(INDEX([1]equip.xml!$B:$B,MATCH(D3717,[1]equip.xml!$A:$A,0))=0,0,N3717)</f>
        <v>50</v>
      </c>
      <c r="N3717" s="8">
        <v>50</v>
      </c>
    </row>
    <row r="3718" spans="1:14">
      <c r="A3718" s="7">
        <f t="shared" si="4235"/>
        <v>20014</v>
      </c>
      <c r="B3718" s="8">
        <f t="shared" ref="B3718:C3718" si="4299">B3630</f>
        <v>40000</v>
      </c>
      <c r="C3718" s="8" t="str">
        <f t="shared" si="4299"/>
        <v>装备</v>
      </c>
      <c r="D3718" s="8">
        <v>50503055</v>
      </c>
      <c r="E3718" s="8"/>
      <c r="F3718" s="8">
        <v>1</v>
      </c>
      <c r="G3718" s="8">
        <f>3*INDEX([1]equip.xml!$I:$I,MATCH(D3718,[1]equip.xml!$A:$A,0))</f>
        <v>300000</v>
      </c>
      <c r="H3718" s="8" t="str">
        <f t="shared" ref="H3718:J3733" si="4300">H3630</f>
        <v>10_10,50_20,80_30</v>
      </c>
      <c r="I3718" s="8">
        <v>4</v>
      </c>
      <c r="J3718" s="8">
        <f t="shared" si="4300"/>
        <v>240</v>
      </c>
      <c r="K3718" s="7" t="s">
        <v>311</v>
      </c>
      <c r="L3718" s="8">
        <v>36</v>
      </c>
      <c r="M3718" s="7">
        <f>IF(INDEX([1]equip.xml!$B:$B,MATCH(D3718,[1]equip.xml!$A:$A,0))=0,0,N3718)</f>
        <v>50</v>
      </c>
      <c r="N3718" s="8">
        <v>50</v>
      </c>
    </row>
    <row r="3719" spans="1:14">
      <c r="A3719" s="7">
        <f t="shared" si="4235"/>
        <v>20014</v>
      </c>
      <c r="B3719" s="8">
        <f t="shared" ref="B3719:C3719" si="4301">B3631</f>
        <v>40000</v>
      </c>
      <c r="C3719" s="8" t="str">
        <f t="shared" si="4301"/>
        <v>装备</v>
      </c>
      <c r="D3719" s="8">
        <v>50503056</v>
      </c>
      <c r="E3719" s="8"/>
      <c r="F3719" s="8">
        <v>1</v>
      </c>
      <c r="G3719" s="8">
        <f>3*INDEX([1]equip.xml!$I:$I,MATCH(D3719,[1]equip.xml!$A:$A,0))</f>
        <v>318000</v>
      </c>
      <c r="H3719" s="8" t="str">
        <f t="shared" si="4300"/>
        <v>10_10,50_20,80_30</v>
      </c>
      <c r="I3719" s="8">
        <v>4</v>
      </c>
      <c r="J3719" s="8">
        <f t="shared" si="4300"/>
        <v>240</v>
      </c>
      <c r="K3719" s="7" t="s">
        <v>311</v>
      </c>
      <c r="L3719" s="8">
        <v>36</v>
      </c>
      <c r="M3719" s="7">
        <f>IF(INDEX([1]equip.xml!$B:$B,MATCH(D3719,[1]equip.xml!$A:$A,0))=0,0,N3719)</f>
        <v>50</v>
      </c>
      <c r="N3719" s="8">
        <v>50</v>
      </c>
    </row>
    <row r="3720" spans="1:14">
      <c r="A3720" s="7">
        <f t="shared" si="4235"/>
        <v>20014</v>
      </c>
      <c r="B3720" s="8">
        <f t="shared" ref="B3720:C3720" si="4302">B3632</f>
        <v>40000</v>
      </c>
      <c r="C3720" s="8" t="str">
        <f t="shared" si="4302"/>
        <v>装备</v>
      </c>
      <c r="D3720" s="8">
        <v>50503065</v>
      </c>
      <c r="E3720" s="8"/>
      <c r="F3720" s="8">
        <v>1</v>
      </c>
      <c r="G3720" s="8">
        <f>3*INDEX([1]equip.xml!$I:$I,MATCH(D3720,[1]equip.xml!$A:$A,0))</f>
        <v>300000</v>
      </c>
      <c r="H3720" s="8" t="str">
        <f t="shared" si="4300"/>
        <v>10_10,50_20,80_30</v>
      </c>
      <c r="I3720" s="8">
        <v>4</v>
      </c>
      <c r="J3720" s="8">
        <f t="shared" si="4300"/>
        <v>240</v>
      </c>
      <c r="K3720" s="7" t="s">
        <v>311</v>
      </c>
      <c r="L3720" s="8">
        <v>36</v>
      </c>
      <c r="M3720" s="7">
        <f>IF(INDEX([1]equip.xml!$B:$B,MATCH(D3720,[1]equip.xml!$A:$A,0))=0,0,N3720)</f>
        <v>50</v>
      </c>
      <c r="N3720" s="8">
        <v>50</v>
      </c>
    </row>
    <row r="3721" spans="1:14">
      <c r="A3721" s="7">
        <f t="shared" si="4235"/>
        <v>20014</v>
      </c>
      <c r="B3721" s="8">
        <f t="shared" ref="B3721:C3721" si="4303">B3633</f>
        <v>40000</v>
      </c>
      <c r="C3721" s="8" t="str">
        <f t="shared" si="4303"/>
        <v>装备</v>
      </c>
      <c r="D3721" s="8">
        <v>50503066</v>
      </c>
      <c r="E3721" s="8"/>
      <c r="F3721" s="8">
        <v>1</v>
      </c>
      <c r="G3721" s="8">
        <f>3*INDEX([1]equip.xml!$I:$I,MATCH(D3721,[1]equip.xml!$A:$A,0))</f>
        <v>318000</v>
      </c>
      <c r="H3721" s="8" t="str">
        <f t="shared" si="4300"/>
        <v>10_10,50_20,80_30</v>
      </c>
      <c r="I3721" s="8">
        <v>4</v>
      </c>
      <c r="J3721" s="8">
        <f t="shared" si="4300"/>
        <v>240</v>
      </c>
      <c r="K3721" s="7" t="s">
        <v>311</v>
      </c>
      <c r="L3721" s="8">
        <v>36</v>
      </c>
      <c r="M3721" s="7">
        <f>IF(INDEX([1]equip.xml!$B:$B,MATCH(D3721,[1]equip.xml!$A:$A,0))=0,0,N3721)</f>
        <v>50</v>
      </c>
      <c r="N3721" s="8">
        <v>50</v>
      </c>
    </row>
    <row r="3722" spans="1:14">
      <c r="A3722" s="7">
        <f t="shared" si="4235"/>
        <v>20014</v>
      </c>
      <c r="B3722" s="8">
        <f t="shared" ref="B3722:C3722" si="4304">B3634</f>
        <v>40000</v>
      </c>
      <c r="C3722" s="8" t="str">
        <f t="shared" si="4304"/>
        <v>装备</v>
      </c>
      <c r="D3722" s="8">
        <v>50500045</v>
      </c>
      <c r="E3722" s="8"/>
      <c r="F3722" s="8">
        <v>1</v>
      </c>
      <c r="G3722" s="8">
        <f>3*INDEX([1]equip.xml!$I:$I,MATCH(D3722,[1]equip.xml!$A:$A,0))</f>
        <v>300000</v>
      </c>
      <c r="H3722" s="8" t="str">
        <f t="shared" si="4300"/>
        <v>10_10,50_20,80_30</v>
      </c>
      <c r="I3722" s="8">
        <v>4</v>
      </c>
      <c r="J3722" s="8">
        <f t="shared" si="4300"/>
        <v>240</v>
      </c>
      <c r="K3722" s="7" t="s">
        <v>311</v>
      </c>
      <c r="L3722" s="8">
        <v>36</v>
      </c>
      <c r="M3722" s="7">
        <f>IF(INDEX([1]equip.xml!$B:$B,MATCH(D3722,[1]equip.xml!$A:$A,0))=0,0,N3722)</f>
        <v>50</v>
      </c>
      <c r="N3722" s="8">
        <v>50</v>
      </c>
    </row>
    <row r="3723" spans="1:14">
      <c r="A3723" s="7">
        <f t="shared" si="4235"/>
        <v>20014</v>
      </c>
      <c r="B3723" s="8">
        <f t="shared" ref="B3723:C3723" si="4305">B3635</f>
        <v>40000</v>
      </c>
      <c r="C3723" s="8" t="str">
        <f t="shared" si="4305"/>
        <v>装备</v>
      </c>
      <c r="D3723" s="8">
        <v>50500046</v>
      </c>
      <c r="E3723" s="8"/>
      <c r="F3723" s="8">
        <v>1</v>
      </c>
      <c r="G3723" s="8">
        <f>3*INDEX([1]equip.xml!$I:$I,MATCH(D3723,[1]equip.xml!$A:$A,0))</f>
        <v>318000</v>
      </c>
      <c r="H3723" s="8" t="str">
        <f t="shared" si="4300"/>
        <v>10_10,50_20,80_30</v>
      </c>
      <c r="I3723" s="8">
        <v>4</v>
      </c>
      <c r="J3723" s="8">
        <f t="shared" si="4300"/>
        <v>240</v>
      </c>
      <c r="K3723" s="7" t="s">
        <v>311</v>
      </c>
      <c r="L3723" s="8">
        <v>36</v>
      </c>
      <c r="M3723" s="7">
        <f>IF(INDEX([1]equip.xml!$B:$B,MATCH(D3723,[1]equip.xml!$A:$A,0))=0,0,N3723)</f>
        <v>0</v>
      </c>
      <c r="N3723" s="8">
        <v>50</v>
      </c>
    </row>
    <row r="3724" spans="1:14">
      <c r="A3724" s="7">
        <f t="shared" si="4235"/>
        <v>20014</v>
      </c>
      <c r="B3724" s="8">
        <f t="shared" ref="B3724:C3724" si="4306">B3636</f>
        <v>40000</v>
      </c>
      <c r="C3724" s="8" t="str">
        <f t="shared" si="4306"/>
        <v>装备</v>
      </c>
      <c r="D3724" s="8">
        <v>50500075</v>
      </c>
      <c r="E3724" s="8"/>
      <c r="F3724" s="8">
        <v>1</v>
      </c>
      <c r="G3724" s="8">
        <f>3*INDEX([1]equip.xml!$I:$I,MATCH(D3724,[1]equip.xml!$A:$A,0))</f>
        <v>300000</v>
      </c>
      <c r="H3724" s="8" t="str">
        <f t="shared" si="4300"/>
        <v>10_10,50_20,80_30</v>
      </c>
      <c r="I3724" s="8">
        <v>4</v>
      </c>
      <c r="J3724" s="8">
        <f t="shared" si="4300"/>
        <v>240</v>
      </c>
      <c r="K3724" s="7" t="s">
        <v>311</v>
      </c>
      <c r="L3724" s="8">
        <v>36</v>
      </c>
      <c r="M3724" s="7">
        <f>IF(INDEX([1]equip.xml!$B:$B,MATCH(D3724,[1]equip.xml!$A:$A,0))=0,0,N3724)</f>
        <v>50</v>
      </c>
      <c r="N3724" s="8">
        <v>50</v>
      </c>
    </row>
    <row r="3725" spans="1:14">
      <c r="A3725" s="7">
        <f t="shared" si="4235"/>
        <v>20014</v>
      </c>
      <c r="B3725" s="8">
        <f t="shared" ref="B3725:C3725" si="4307">B3637</f>
        <v>40000</v>
      </c>
      <c r="C3725" s="8" t="str">
        <f t="shared" si="4307"/>
        <v>装备</v>
      </c>
      <c r="D3725" s="8">
        <v>50500076</v>
      </c>
      <c r="E3725" s="8"/>
      <c r="F3725" s="8">
        <v>1</v>
      </c>
      <c r="G3725" s="8">
        <f>3*INDEX([1]equip.xml!$I:$I,MATCH(D3725,[1]equip.xml!$A:$A,0))</f>
        <v>318000</v>
      </c>
      <c r="H3725" s="8" t="str">
        <f t="shared" si="4300"/>
        <v>10_10,50_20,80_30</v>
      </c>
      <c r="I3725" s="8">
        <v>4</v>
      </c>
      <c r="J3725" s="8">
        <f t="shared" si="4300"/>
        <v>240</v>
      </c>
      <c r="K3725" s="7" t="s">
        <v>311</v>
      </c>
      <c r="L3725" s="8">
        <v>36</v>
      </c>
      <c r="M3725" s="7">
        <f>IF(INDEX([1]equip.xml!$B:$B,MATCH(D3725,[1]equip.xml!$A:$A,0))=0,0,N3725)</f>
        <v>0</v>
      </c>
      <c r="N3725" s="8">
        <v>50</v>
      </c>
    </row>
    <row r="3726" spans="1:14">
      <c r="A3726" s="7">
        <f t="shared" si="4235"/>
        <v>20015</v>
      </c>
      <c r="B3726" s="7">
        <f t="shared" ref="B3726:C3726" si="4308">B3638</f>
        <v>40000</v>
      </c>
      <c r="C3726" s="7" t="str">
        <f t="shared" si="4308"/>
        <v>装备</v>
      </c>
      <c r="D3726" s="7">
        <v>40500010</v>
      </c>
      <c r="E3726" s="7"/>
      <c r="F3726" s="7">
        <v>1</v>
      </c>
      <c r="G3726" s="7">
        <f>3*INDEX([1]equip.xml!$I:$I,MATCH(D3726&amp;"",[1]equip.xml!$A:$A,0))</f>
        <v>150000</v>
      </c>
      <c r="H3726" s="7" t="str">
        <f t="shared" si="4300"/>
        <v>10_10,50_20,80_30</v>
      </c>
      <c r="I3726" s="7">
        <v>6</v>
      </c>
      <c r="J3726" s="7">
        <f t="shared" si="4300"/>
        <v>50</v>
      </c>
      <c r="K3726" s="7" t="s">
        <v>311</v>
      </c>
      <c r="L3726" s="7">
        <v>38</v>
      </c>
      <c r="M3726" s="7">
        <f>IF(INDEX([1]equip.xml!$B:$B,MATCH(D3726&amp;"",[1]equip.xml!$A:$A,0))=0,0,N3726)</f>
        <v>130</v>
      </c>
      <c r="N3726" s="7">
        <f t="shared" ref="N3726" si="4309">N3638</f>
        <v>130</v>
      </c>
    </row>
    <row r="3727" spans="1:14">
      <c r="A3727" s="7">
        <f t="shared" si="4235"/>
        <v>20015</v>
      </c>
      <c r="B3727" s="7">
        <f t="shared" ref="B3727:C3727" si="4310">B3639</f>
        <v>40000</v>
      </c>
      <c r="C3727" s="7" t="str">
        <f t="shared" si="4310"/>
        <v>装备</v>
      </c>
      <c r="D3727" s="7">
        <v>40500020</v>
      </c>
      <c r="E3727" s="7"/>
      <c r="F3727" s="7">
        <v>1</v>
      </c>
      <c r="G3727" s="7">
        <f>3*INDEX([1]equip.xml!$I:$I,MATCH(D3727&amp;"",[1]equip.xml!$A:$A,0))</f>
        <v>150000</v>
      </c>
      <c r="H3727" s="7" t="str">
        <f t="shared" si="4300"/>
        <v>10_10,50_20,80_30</v>
      </c>
      <c r="I3727" s="7">
        <v>6</v>
      </c>
      <c r="J3727" s="7">
        <f t="shared" si="4300"/>
        <v>50</v>
      </c>
      <c r="K3727" s="7" t="s">
        <v>311</v>
      </c>
      <c r="L3727" s="7">
        <v>38</v>
      </c>
      <c r="M3727" s="7">
        <f>IF(INDEX([1]equip.xml!$B:$B,MATCH(D3727&amp;"",[1]equip.xml!$A:$A,0))=0,0,N3727)</f>
        <v>130</v>
      </c>
      <c r="N3727" s="7">
        <f t="shared" ref="N3727" si="4311">N3639</f>
        <v>130</v>
      </c>
    </row>
    <row r="3728" spans="1:14">
      <c r="A3728" s="7">
        <f t="shared" si="4235"/>
        <v>20015</v>
      </c>
      <c r="B3728" s="7">
        <f t="shared" ref="B3728:C3728" si="4312">B3640</f>
        <v>40000</v>
      </c>
      <c r="C3728" s="7" t="str">
        <f t="shared" si="4312"/>
        <v>装备</v>
      </c>
      <c r="D3728" s="7">
        <v>40500030</v>
      </c>
      <c r="E3728" s="7"/>
      <c r="F3728" s="7">
        <v>1</v>
      </c>
      <c r="G3728" s="7">
        <f>3*INDEX([1]equip.xml!$I:$I,MATCH(D3728&amp;"",[1]equip.xml!$A:$A,0))</f>
        <v>150000</v>
      </c>
      <c r="H3728" s="7" t="str">
        <f t="shared" si="4300"/>
        <v>10_10,50_20,80_30</v>
      </c>
      <c r="I3728" s="7">
        <v>6</v>
      </c>
      <c r="J3728" s="7">
        <f t="shared" si="4300"/>
        <v>50</v>
      </c>
      <c r="K3728" s="7" t="s">
        <v>311</v>
      </c>
      <c r="L3728" s="7">
        <v>38</v>
      </c>
      <c r="M3728" s="7">
        <f>IF(INDEX([1]equip.xml!$B:$B,MATCH(D3728&amp;"",[1]equip.xml!$A:$A,0))=0,0,N3728)</f>
        <v>130</v>
      </c>
      <c r="N3728" s="7">
        <f t="shared" ref="N3728" si="4313">N3640</f>
        <v>130</v>
      </c>
    </row>
    <row r="3729" spans="1:14">
      <c r="A3729" s="7">
        <f t="shared" si="4235"/>
        <v>20015</v>
      </c>
      <c r="B3729" s="7">
        <f t="shared" ref="B3729:C3729" si="4314">B3641</f>
        <v>40000</v>
      </c>
      <c r="C3729" s="7" t="str">
        <f t="shared" si="4314"/>
        <v>装备</v>
      </c>
      <c r="D3729" s="7">
        <v>40500080</v>
      </c>
      <c r="E3729" s="7"/>
      <c r="F3729" s="7">
        <v>1</v>
      </c>
      <c r="G3729" s="7">
        <f>3*INDEX([1]equip.xml!$I:$I,MATCH(D3729&amp;"",[1]equip.xml!$A:$A,0))</f>
        <v>150000</v>
      </c>
      <c r="H3729" s="7" t="str">
        <f t="shared" si="4300"/>
        <v>10_10,50_20,80_30</v>
      </c>
      <c r="I3729" s="7">
        <v>6</v>
      </c>
      <c r="J3729" s="7">
        <f t="shared" si="4300"/>
        <v>50</v>
      </c>
      <c r="K3729" s="7" t="s">
        <v>311</v>
      </c>
      <c r="L3729" s="7">
        <v>38</v>
      </c>
      <c r="M3729" s="7">
        <f>IF(INDEX([1]equip.xml!$B:$B,MATCH(D3729&amp;"",[1]equip.xml!$A:$A,0))=0,0,N3729)</f>
        <v>130</v>
      </c>
      <c r="N3729" s="7">
        <f t="shared" ref="N3729" si="4315">N3641</f>
        <v>130</v>
      </c>
    </row>
    <row r="3730" spans="1:14">
      <c r="A3730" s="7">
        <f t="shared" si="4235"/>
        <v>20015</v>
      </c>
      <c r="B3730" s="7">
        <f t="shared" ref="B3730:C3730" si="4316">B3642</f>
        <v>40000</v>
      </c>
      <c r="C3730" s="7" t="str">
        <f t="shared" si="4316"/>
        <v>装备</v>
      </c>
      <c r="D3730" s="7">
        <v>40500090</v>
      </c>
      <c r="E3730" s="7"/>
      <c r="F3730" s="7">
        <v>1</v>
      </c>
      <c r="G3730" s="7">
        <f>3*INDEX([1]equip.xml!$I:$I,MATCH(D3730&amp;"",[1]equip.xml!$A:$A,0))</f>
        <v>150000</v>
      </c>
      <c r="H3730" s="7" t="str">
        <f t="shared" si="4300"/>
        <v>10_10,50_20,80_30</v>
      </c>
      <c r="I3730" s="7">
        <v>6</v>
      </c>
      <c r="J3730" s="7">
        <f t="shared" si="4300"/>
        <v>50</v>
      </c>
      <c r="K3730" s="7" t="s">
        <v>311</v>
      </c>
      <c r="L3730" s="7">
        <v>38</v>
      </c>
      <c r="M3730" s="7">
        <f>IF(INDEX([1]equip.xml!$B:$B,MATCH(D3730&amp;"",[1]equip.xml!$A:$A,0))=0,0,N3730)</f>
        <v>130</v>
      </c>
      <c r="N3730" s="7">
        <f t="shared" ref="N3730" si="4317">N3642</f>
        <v>130</v>
      </c>
    </row>
    <row r="3731" spans="1:14">
      <c r="A3731" s="7">
        <f t="shared" si="4235"/>
        <v>20015</v>
      </c>
      <c r="B3731" s="7">
        <f t="shared" ref="B3731:C3731" si="4318">B3643</f>
        <v>40000</v>
      </c>
      <c r="C3731" s="7" t="str">
        <f t="shared" si="4318"/>
        <v>装备</v>
      </c>
      <c r="D3731" s="7">
        <v>40500100</v>
      </c>
      <c r="E3731" s="7"/>
      <c r="F3731" s="7">
        <v>1</v>
      </c>
      <c r="G3731" s="7">
        <f>3*INDEX([1]equip.xml!$I:$I,MATCH(D3731&amp;"",[1]equip.xml!$A:$A,0))</f>
        <v>150000</v>
      </c>
      <c r="H3731" s="7" t="str">
        <f t="shared" si="4300"/>
        <v>10_10,50_20,80_30</v>
      </c>
      <c r="I3731" s="7">
        <v>6</v>
      </c>
      <c r="J3731" s="7">
        <f t="shared" si="4300"/>
        <v>50</v>
      </c>
      <c r="K3731" s="7" t="s">
        <v>311</v>
      </c>
      <c r="L3731" s="7">
        <v>38</v>
      </c>
      <c r="M3731" s="7">
        <f>IF(INDEX([1]equip.xml!$B:$B,MATCH(D3731&amp;"",[1]equip.xml!$A:$A,0))=0,0,N3731)</f>
        <v>130</v>
      </c>
      <c r="N3731" s="7">
        <f t="shared" ref="N3731" si="4319">N3643</f>
        <v>130</v>
      </c>
    </row>
    <row r="3732" spans="1:14">
      <c r="A3732" s="7">
        <f t="shared" si="4235"/>
        <v>20015</v>
      </c>
      <c r="B3732" s="7">
        <f t="shared" ref="B3732:C3732" si="4320">B3644</f>
        <v>40000</v>
      </c>
      <c r="C3732" s="7" t="str">
        <f t="shared" si="4320"/>
        <v>装备</v>
      </c>
      <c r="D3732" s="7">
        <v>40501050</v>
      </c>
      <c r="E3732" s="7"/>
      <c r="F3732" s="7">
        <v>1</v>
      </c>
      <c r="G3732" s="7">
        <f>3*INDEX([1]equip.xml!$I:$I,MATCH(D3732&amp;"",[1]equip.xml!$A:$A,0))</f>
        <v>150000</v>
      </c>
      <c r="H3732" s="7" t="str">
        <f t="shared" si="4300"/>
        <v>10_10,50_20,80_30</v>
      </c>
      <c r="I3732" s="7">
        <v>6</v>
      </c>
      <c r="J3732" s="7">
        <f t="shared" si="4300"/>
        <v>50</v>
      </c>
      <c r="K3732" s="7" t="s">
        <v>311</v>
      </c>
      <c r="L3732" s="7">
        <v>38</v>
      </c>
      <c r="M3732" s="7">
        <f>IF(INDEX([1]equip.xml!$B:$B,MATCH(D3732&amp;"",[1]equip.xml!$A:$A,0))=0,0,N3732)</f>
        <v>130</v>
      </c>
      <c r="N3732" s="7">
        <f t="shared" ref="N3732" si="4321">N3644</f>
        <v>130</v>
      </c>
    </row>
    <row r="3733" spans="1:14">
      <c r="A3733" s="7">
        <f t="shared" si="4235"/>
        <v>20015</v>
      </c>
      <c r="B3733" s="7">
        <f t="shared" ref="B3733:C3733" si="4322">B3645</f>
        <v>40000</v>
      </c>
      <c r="C3733" s="7" t="str">
        <f t="shared" si="4322"/>
        <v>装备</v>
      </c>
      <c r="D3733" s="7">
        <v>40501051</v>
      </c>
      <c r="E3733" s="7"/>
      <c r="F3733" s="7">
        <v>1</v>
      </c>
      <c r="G3733" s="7">
        <f>3*INDEX([1]equip.xml!$I:$I,MATCH(D3733&amp;"",[1]equip.xml!$A:$A,0))</f>
        <v>159000</v>
      </c>
      <c r="H3733" s="7" t="str">
        <f t="shared" si="4300"/>
        <v>10_10,50_20,80_30</v>
      </c>
      <c r="I3733" s="7">
        <v>6</v>
      </c>
      <c r="J3733" s="7">
        <f t="shared" si="4300"/>
        <v>50</v>
      </c>
      <c r="K3733" s="7" t="s">
        <v>311</v>
      </c>
      <c r="L3733" s="7">
        <v>38</v>
      </c>
      <c r="M3733" s="7">
        <f>IF(INDEX([1]equip.xml!$B:$B,MATCH(D3733&amp;"",[1]equip.xml!$A:$A,0))=0,0,N3733)</f>
        <v>130</v>
      </c>
      <c r="N3733" s="7">
        <f t="shared" ref="N3733" si="4323">N3645</f>
        <v>130</v>
      </c>
    </row>
    <row r="3734" spans="1:14">
      <c r="A3734" s="7">
        <f t="shared" si="4235"/>
        <v>20015</v>
      </c>
      <c r="B3734" s="7">
        <f t="shared" ref="B3734:C3734" si="4324">B3646</f>
        <v>40000</v>
      </c>
      <c r="C3734" s="7" t="str">
        <f t="shared" si="4324"/>
        <v>装备</v>
      </c>
      <c r="D3734" s="7">
        <v>40501060</v>
      </c>
      <c r="E3734" s="7"/>
      <c r="F3734" s="7">
        <v>1</v>
      </c>
      <c r="G3734" s="7">
        <f>3*INDEX([1]equip.xml!$I:$I,MATCH(D3734&amp;"",[1]equip.xml!$A:$A,0))</f>
        <v>150000</v>
      </c>
      <c r="H3734" s="7" t="str">
        <f t="shared" ref="H3734:J3749" si="4325">H3646</f>
        <v>10_10,50_20,80_30</v>
      </c>
      <c r="I3734" s="7">
        <v>6</v>
      </c>
      <c r="J3734" s="7">
        <f t="shared" si="4325"/>
        <v>50</v>
      </c>
      <c r="K3734" s="7" t="s">
        <v>311</v>
      </c>
      <c r="L3734" s="7">
        <v>38</v>
      </c>
      <c r="M3734" s="7">
        <f>IF(INDEX([1]equip.xml!$B:$B,MATCH(D3734&amp;"",[1]equip.xml!$A:$A,0))=0,0,N3734)</f>
        <v>130</v>
      </c>
      <c r="N3734" s="7">
        <f t="shared" ref="N3734" si="4326">N3646</f>
        <v>130</v>
      </c>
    </row>
    <row r="3735" spans="1:14">
      <c r="A3735" s="7">
        <f t="shared" si="4235"/>
        <v>20015</v>
      </c>
      <c r="B3735" s="7">
        <f t="shared" ref="B3735:C3735" si="4327">B3647</f>
        <v>40000</v>
      </c>
      <c r="C3735" s="7" t="str">
        <f t="shared" si="4327"/>
        <v>装备</v>
      </c>
      <c r="D3735" s="7">
        <v>40501061</v>
      </c>
      <c r="E3735" s="7"/>
      <c r="F3735" s="7">
        <v>1</v>
      </c>
      <c r="G3735" s="7">
        <f>3*INDEX([1]equip.xml!$I:$I,MATCH(D3735&amp;"",[1]equip.xml!$A:$A,0))</f>
        <v>159000</v>
      </c>
      <c r="H3735" s="7" t="str">
        <f t="shared" si="4325"/>
        <v>10_10,50_20,80_30</v>
      </c>
      <c r="I3735" s="7">
        <v>6</v>
      </c>
      <c r="J3735" s="7">
        <f t="shared" si="4325"/>
        <v>50</v>
      </c>
      <c r="K3735" s="7" t="s">
        <v>311</v>
      </c>
      <c r="L3735" s="7">
        <v>38</v>
      </c>
      <c r="M3735" s="7">
        <f>IF(INDEX([1]equip.xml!$B:$B,MATCH(D3735&amp;"",[1]equip.xml!$A:$A,0))=0,0,N3735)</f>
        <v>130</v>
      </c>
      <c r="N3735" s="7">
        <f t="shared" ref="N3735" si="4328">N3647</f>
        <v>130</v>
      </c>
    </row>
    <row r="3736" spans="1:14">
      <c r="A3736" s="7">
        <f t="shared" si="4235"/>
        <v>20015</v>
      </c>
      <c r="B3736" s="7">
        <f t="shared" ref="B3736:C3736" si="4329">B3648</f>
        <v>40000</v>
      </c>
      <c r="C3736" s="7" t="str">
        <f t="shared" si="4329"/>
        <v>装备</v>
      </c>
      <c r="D3736" s="7">
        <v>40502050</v>
      </c>
      <c r="E3736" s="7"/>
      <c r="F3736" s="7">
        <v>1</v>
      </c>
      <c r="G3736" s="7">
        <f>3*INDEX([1]equip.xml!$I:$I,MATCH(D3736&amp;"",[1]equip.xml!$A:$A,0))</f>
        <v>150000</v>
      </c>
      <c r="H3736" s="7" t="str">
        <f t="shared" si="4325"/>
        <v>10_10,50_20,80_30</v>
      </c>
      <c r="I3736" s="7">
        <v>6</v>
      </c>
      <c r="J3736" s="7">
        <f t="shared" si="4325"/>
        <v>50</v>
      </c>
      <c r="K3736" s="7" t="s">
        <v>311</v>
      </c>
      <c r="L3736" s="7">
        <v>38</v>
      </c>
      <c r="M3736" s="7">
        <f>IF(INDEX([1]equip.xml!$B:$B,MATCH(D3736&amp;"",[1]equip.xml!$A:$A,0))=0,0,N3736)</f>
        <v>130</v>
      </c>
      <c r="N3736" s="7">
        <f t="shared" ref="N3736" si="4330">N3648</f>
        <v>130</v>
      </c>
    </row>
    <row r="3737" spans="1:14">
      <c r="A3737" s="7">
        <f t="shared" si="4235"/>
        <v>20015</v>
      </c>
      <c r="B3737" s="7">
        <f t="shared" ref="B3737:C3737" si="4331">B3649</f>
        <v>40000</v>
      </c>
      <c r="C3737" s="7" t="str">
        <f t="shared" si="4331"/>
        <v>装备</v>
      </c>
      <c r="D3737" s="7">
        <v>40502051</v>
      </c>
      <c r="E3737" s="7"/>
      <c r="F3737" s="7">
        <v>1</v>
      </c>
      <c r="G3737" s="7">
        <f>3*INDEX([1]equip.xml!$I:$I,MATCH(D3737&amp;"",[1]equip.xml!$A:$A,0))</f>
        <v>159000</v>
      </c>
      <c r="H3737" s="7" t="str">
        <f t="shared" si="4325"/>
        <v>10_10,50_20,80_30</v>
      </c>
      <c r="I3737" s="7">
        <v>6</v>
      </c>
      <c r="J3737" s="7">
        <f t="shared" si="4325"/>
        <v>50</v>
      </c>
      <c r="K3737" s="7" t="s">
        <v>311</v>
      </c>
      <c r="L3737" s="7">
        <v>38</v>
      </c>
      <c r="M3737" s="7">
        <f>IF(INDEX([1]equip.xml!$B:$B,MATCH(D3737&amp;"",[1]equip.xml!$A:$A,0))=0,0,N3737)</f>
        <v>130</v>
      </c>
      <c r="N3737" s="7">
        <f t="shared" ref="N3737" si="4332">N3649</f>
        <v>130</v>
      </c>
    </row>
    <row r="3738" spans="1:14">
      <c r="A3738" s="7">
        <f t="shared" si="4235"/>
        <v>20015</v>
      </c>
      <c r="B3738" s="7">
        <f t="shared" ref="B3738:C3738" si="4333">B3650</f>
        <v>40000</v>
      </c>
      <c r="C3738" s="7" t="str">
        <f t="shared" si="4333"/>
        <v>装备</v>
      </c>
      <c r="D3738" s="7">
        <v>40502060</v>
      </c>
      <c r="E3738" s="7"/>
      <c r="F3738" s="7">
        <v>1</v>
      </c>
      <c r="G3738" s="7">
        <f>3*INDEX([1]equip.xml!$I:$I,MATCH(D3738&amp;"",[1]equip.xml!$A:$A,0))</f>
        <v>150000</v>
      </c>
      <c r="H3738" s="7" t="str">
        <f t="shared" si="4325"/>
        <v>10_10,50_20,80_30</v>
      </c>
      <c r="I3738" s="7">
        <v>6</v>
      </c>
      <c r="J3738" s="7">
        <f t="shared" si="4325"/>
        <v>50</v>
      </c>
      <c r="K3738" s="7" t="s">
        <v>311</v>
      </c>
      <c r="L3738" s="7">
        <v>38</v>
      </c>
      <c r="M3738" s="7">
        <f>IF(INDEX([1]equip.xml!$B:$B,MATCH(D3738&amp;"",[1]equip.xml!$A:$A,0))=0,0,N3738)</f>
        <v>130</v>
      </c>
      <c r="N3738" s="7">
        <f t="shared" ref="N3738" si="4334">N3650</f>
        <v>130</v>
      </c>
    </row>
    <row r="3739" spans="1:14">
      <c r="A3739" s="7">
        <f t="shared" si="4235"/>
        <v>20015</v>
      </c>
      <c r="B3739" s="7">
        <f t="shared" ref="B3739:C3739" si="4335">B3651</f>
        <v>40000</v>
      </c>
      <c r="C3739" s="7" t="str">
        <f t="shared" si="4335"/>
        <v>装备</v>
      </c>
      <c r="D3739" s="7">
        <v>40502061</v>
      </c>
      <c r="E3739" s="7"/>
      <c r="F3739" s="7">
        <v>1</v>
      </c>
      <c r="G3739" s="7">
        <f>3*INDEX([1]equip.xml!$I:$I,MATCH(D3739&amp;"",[1]equip.xml!$A:$A,0))</f>
        <v>159000</v>
      </c>
      <c r="H3739" s="7" t="str">
        <f t="shared" si="4325"/>
        <v>10_10,50_20,80_30</v>
      </c>
      <c r="I3739" s="7">
        <v>6</v>
      </c>
      <c r="J3739" s="7">
        <f t="shared" si="4325"/>
        <v>50</v>
      </c>
      <c r="K3739" s="7" t="s">
        <v>311</v>
      </c>
      <c r="L3739" s="7">
        <v>38</v>
      </c>
      <c r="M3739" s="7">
        <f>IF(INDEX([1]equip.xml!$B:$B,MATCH(D3739&amp;"",[1]equip.xml!$A:$A,0))=0,0,N3739)</f>
        <v>130</v>
      </c>
      <c r="N3739" s="7">
        <f t="shared" ref="N3739" si="4336">N3651</f>
        <v>130</v>
      </c>
    </row>
    <row r="3740" spans="1:14">
      <c r="A3740" s="7">
        <f t="shared" si="4235"/>
        <v>20015</v>
      </c>
      <c r="B3740" s="7">
        <f t="shared" ref="B3740:C3740" si="4337">B3652</f>
        <v>40000</v>
      </c>
      <c r="C3740" s="7" t="str">
        <f t="shared" si="4337"/>
        <v>装备</v>
      </c>
      <c r="D3740" s="7">
        <v>40503050</v>
      </c>
      <c r="E3740" s="7"/>
      <c r="F3740" s="7">
        <v>1</v>
      </c>
      <c r="G3740" s="7">
        <f>3*INDEX([1]equip.xml!$I:$I,MATCH(D3740&amp;"",[1]equip.xml!$A:$A,0))</f>
        <v>150000</v>
      </c>
      <c r="H3740" s="7" t="str">
        <f t="shared" si="4325"/>
        <v>10_10,50_20,80_30</v>
      </c>
      <c r="I3740" s="7">
        <v>6</v>
      </c>
      <c r="J3740" s="7">
        <f t="shared" si="4325"/>
        <v>50</v>
      </c>
      <c r="K3740" s="7" t="s">
        <v>311</v>
      </c>
      <c r="L3740" s="7">
        <v>38</v>
      </c>
      <c r="M3740" s="7">
        <f>IF(INDEX([1]equip.xml!$B:$B,MATCH(D3740&amp;"",[1]equip.xml!$A:$A,0))=0,0,N3740)</f>
        <v>130</v>
      </c>
      <c r="N3740" s="7">
        <f t="shared" ref="N3740" si="4338">N3652</f>
        <v>130</v>
      </c>
    </row>
    <row r="3741" spans="1:14">
      <c r="A3741" s="7">
        <f t="shared" si="4235"/>
        <v>20015</v>
      </c>
      <c r="B3741" s="7">
        <f t="shared" ref="B3741:C3741" si="4339">B3653</f>
        <v>40000</v>
      </c>
      <c r="C3741" s="7" t="str">
        <f t="shared" si="4339"/>
        <v>装备</v>
      </c>
      <c r="D3741" s="7">
        <v>40503051</v>
      </c>
      <c r="E3741" s="7"/>
      <c r="F3741" s="7">
        <v>1</v>
      </c>
      <c r="G3741" s="7">
        <f>3*INDEX([1]equip.xml!$I:$I,MATCH(D3741&amp;"",[1]equip.xml!$A:$A,0))</f>
        <v>159000</v>
      </c>
      <c r="H3741" s="7" t="str">
        <f t="shared" si="4325"/>
        <v>10_10,50_20,80_30</v>
      </c>
      <c r="I3741" s="7">
        <v>6</v>
      </c>
      <c r="J3741" s="7">
        <f t="shared" si="4325"/>
        <v>50</v>
      </c>
      <c r="K3741" s="7" t="s">
        <v>311</v>
      </c>
      <c r="L3741" s="7">
        <v>38</v>
      </c>
      <c r="M3741" s="7">
        <f>IF(INDEX([1]equip.xml!$B:$B,MATCH(D3741&amp;"",[1]equip.xml!$A:$A,0))=0,0,N3741)</f>
        <v>130</v>
      </c>
      <c r="N3741" s="7">
        <f t="shared" ref="N3741" si="4340">N3653</f>
        <v>130</v>
      </c>
    </row>
    <row r="3742" spans="1:14">
      <c r="A3742" s="7">
        <f t="shared" si="4235"/>
        <v>20015</v>
      </c>
      <c r="B3742" s="7">
        <f t="shared" ref="B3742:C3742" si="4341">B3654</f>
        <v>40000</v>
      </c>
      <c r="C3742" s="7" t="str">
        <f t="shared" si="4341"/>
        <v>装备</v>
      </c>
      <c r="D3742" s="7">
        <v>40503060</v>
      </c>
      <c r="E3742" s="7"/>
      <c r="F3742" s="7">
        <v>1</v>
      </c>
      <c r="G3742" s="7">
        <f>3*INDEX([1]equip.xml!$I:$I,MATCH(D3742&amp;"",[1]equip.xml!$A:$A,0))</f>
        <v>150000</v>
      </c>
      <c r="H3742" s="7" t="str">
        <f t="shared" si="4325"/>
        <v>10_10,50_20,80_30</v>
      </c>
      <c r="I3742" s="7">
        <v>6</v>
      </c>
      <c r="J3742" s="7">
        <f t="shared" si="4325"/>
        <v>50</v>
      </c>
      <c r="K3742" s="7" t="s">
        <v>311</v>
      </c>
      <c r="L3742" s="7">
        <v>38</v>
      </c>
      <c r="M3742" s="7">
        <f>IF(INDEX([1]equip.xml!$B:$B,MATCH(D3742&amp;"",[1]equip.xml!$A:$A,0))=0,0,N3742)</f>
        <v>130</v>
      </c>
      <c r="N3742" s="7">
        <f t="shared" ref="N3742" si="4342">N3654</f>
        <v>130</v>
      </c>
    </row>
    <row r="3743" spans="1:14">
      <c r="A3743" s="7">
        <f t="shared" ref="A3743:A3806" si="4343">10000+A927</f>
        <v>20015</v>
      </c>
      <c r="B3743" s="7">
        <f t="shared" ref="B3743:C3743" si="4344">B3655</f>
        <v>40000</v>
      </c>
      <c r="C3743" s="7" t="str">
        <f t="shared" si="4344"/>
        <v>装备</v>
      </c>
      <c r="D3743" s="7">
        <v>40503061</v>
      </c>
      <c r="E3743" s="7"/>
      <c r="F3743" s="7">
        <v>1</v>
      </c>
      <c r="G3743" s="7">
        <f>3*INDEX([1]equip.xml!$I:$I,MATCH(D3743&amp;"",[1]equip.xml!$A:$A,0))</f>
        <v>159000</v>
      </c>
      <c r="H3743" s="7" t="str">
        <f t="shared" si="4325"/>
        <v>10_10,50_20,80_30</v>
      </c>
      <c r="I3743" s="7">
        <v>6</v>
      </c>
      <c r="J3743" s="7">
        <f t="shared" si="4325"/>
        <v>50</v>
      </c>
      <c r="K3743" s="7" t="s">
        <v>311</v>
      </c>
      <c r="L3743" s="7">
        <v>38</v>
      </c>
      <c r="M3743" s="7">
        <f>IF(INDEX([1]equip.xml!$B:$B,MATCH(D3743&amp;"",[1]equip.xml!$A:$A,0))=0,0,N3743)</f>
        <v>130</v>
      </c>
      <c r="N3743" s="7">
        <f t="shared" ref="N3743" si="4345">N3655</f>
        <v>130</v>
      </c>
    </row>
    <row r="3744" spans="1:14">
      <c r="A3744" s="7">
        <f t="shared" si="4343"/>
        <v>20015</v>
      </c>
      <c r="B3744" s="7">
        <f t="shared" ref="B3744:C3744" si="4346">B3656</f>
        <v>40000</v>
      </c>
      <c r="C3744" s="7" t="str">
        <f t="shared" si="4346"/>
        <v>装备</v>
      </c>
      <c r="D3744" s="7">
        <v>40500040</v>
      </c>
      <c r="E3744" s="7"/>
      <c r="F3744" s="7">
        <v>1</v>
      </c>
      <c r="G3744" s="7">
        <f>3*INDEX([1]equip.xml!$I:$I,MATCH(D3744&amp;"",[1]equip.xml!$A:$A,0))</f>
        <v>150000</v>
      </c>
      <c r="H3744" s="7" t="str">
        <f t="shared" si="4325"/>
        <v>10_10,50_20,80_30</v>
      </c>
      <c r="I3744" s="7">
        <v>6</v>
      </c>
      <c r="J3744" s="7">
        <f t="shared" si="4325"/>
        <v>50</v>
      </c>
      <c r="K3744" s="7" t="s">
        <v>311</v>
      </c>
      <c r="L3744" s="7">
        <v>38</v>
      </c>
      <c r="M3744" s="7">
        <f>IF(INDEX([1]equip.xml!$B:$B,MATCH(D3744&amp;"",[1]equip.xml!$A:$A,0))=0,0,N3744)</f>
        <v>130</v>
      </c>
      <c r="N3744" s="7">
        <f t="shared" ref="N3744" si="4347">N3656</f>
        <v>130</v>
      </c>
    </row>
    <row r="3745" spans="1:14">
      <c r="A3745" s="7">
        <f t="shared" si="4343"/>
        <v>20015</v>
      </c>
      <c r="B3745" s="7">
        <f t="shared" ref="B3745:C3745" si="4348">B3657</f>
        <v>40000</v>
      </c>
      <c r="C3745" s="7" t="str">
        <f t="shared" si="4348"/>
        <v>装备</v>
      </c>
      <c r="D3745" s="7">
        <v>40500041</v>
      </c>
      <c r="E3745" s="7"/>
      <c r="F3745" s="7">
        <v>1</v>
      </c>
      <c r="G3745" s="7">
        <f>3*INDEX([1]equip.xml!$I:$I,MATCH(D3745&amp;"",[1]equip.xml!$A:$A,0))</f>
        <v>159000</v>
      </c>
      <c r="H3745" s="7" t="str">
        <f t="shared" si="4325"/>
        <v>10_10,50_20,80_30</v>
      </c>
      <c r="I3745" s="7">
        <v>6</v>
      </c>
      <c r="J3745" s="7">
        <f t="shared" si="4325"/>
        <v>50</v>
      </c>
      <c r="K3745" s="7" t="s">
        <v>311</v>
      </c>
      <c r="L3745" s="7">
        <v>38</v>
      </c>
      <c r="M3745" s="7">
        <f>IF(INDEX([1]equip.xml!$B:$B,MATCH(D3745&amp;"",[1]equip.xml!$A:$A,0))=0,0,N3745)</f>
        <v>0</v>
      </c>
      <c r="N3745" s="7">
        <f t="shared" ref="N3745" si="4349">N3657</f>
        <v>130</v>
      </c>
    </row>
    <row r="3746" spans="1:14">
      <c r="A3746" s="7">
        <f t="shared" si="4343"/>
        <v>20015</v>
      </c>
      <c r="B3746" s="7">
        <f t="shared" ref="B3746:C3746" si="4350">B3658</f>
        <v>40000</v>
      </c>
      <c r="C3746" s="7" t="str">
        <f t="shared" si="4350"/>
        <v>装备</v>
      </c>
      <c r="D3746" s="7">
        <v>40500070</v>
      </c>
      <c r="E3746" s="7"/>
      <c r="F3746" s="7">
        <v>1</v>
      </c>
      <c r="G3746" s="7">
        <f>3*INDEX([1]equip.xml!$I:$I,MATCH(D3746&amp;"",[1]equip.xml!$A:$A,0))</f>
        <v>150000</v>
      </c>
      <c r="H3746" s="7" t="str">
        <f t="shared" si="4325"/>
        <v>10_10,50_20,80_30</v>
      </c>
      <c r="I3746" s="7">
        <v>6</v>
      </c>
      <c r="J3746" s="7">
        <f t="shared" si="4325"/>
        <v>50</v>
      </c>
      <c r="K3746" s="7" t="s">
        <v>311</v>
      </c>
      <c r="L3746" s="7">
        <v>38</v>
      </c>
      <c r="M3746" s="7">
        <f>IF(INDEX([1]equip.xml!$B:$B,MATCH(D3746&amp;"",[1]equip.xml!$A:$A,0))=0,0,N3746)</f>
        <v>130</v>
      </c>
      <c r="N3746" s="7">
        <f t="shared" ref="N3746" si="4351">N3658</f>
        <v>130</v>
      </c>
    </row>
    <row r="3747" spans="1:14">
      <c r="A3747" s="7">
        <f t="shared" si="4343"/>
        <v>20015</v>
      </c>
      <c r="B3747" s="7">
        <f t="shared" ref="B3747:C3747" si="4352">B3659</f>
        <v>40000</v>
      </c>
      <c r="C3747" s="7" t="str">
        <f t="shared" si="4352"/>
        <v>装备</v>
      </c>
      <c r="D3747" s="7">
        <v>40500071</v>
      </c>
      <c r="E3747" s="7"/>
      <c r="F3747" s="7">
        <v>1</v>
      </c>
      <c r="G3747" s="7">
        <f>3*INDEX([1]equip.xml!$I:$I,MATCH(D3747&amp;"",[1]equip.xml!$A:$A,0))</f>
        <v>159000</v>
      </c>
      <c r="H3747" s="7" t="str">
        <f t="shared" si="4325"/>
        <v>10_10,50_20,80_30</v>
      </c>
      <c r="I3747" s="7">
        <v>6</v>
      </c>
      <c r="J3747" s="7">
        <f t="shared" si="4325"/>
        <v>50</v>
      </c>
      <c r="K3747" s="7" t="s">
        <v>311</v>
      </c>
      <c r="L3747" s="7">
        <v>38</v>
      </c>
      <c r="M3747" s="7">
        <f>IF(INDEX([1]equip.xml!$B:$B,MATCH(D3747&amp;"",[1]equip.xml!$A:$A,0))=0,0,N3747)</f>
        <v>0</v>
      </c>
      <c r="N3747" s="7">
        <f t="shared" ref="N3747" si="4353">N3659</f>
        <v>130</v>
      </c>
    </row>
    <row r="3748" spans="1:14">
      <c r="A3748" s="7">
        <f t="shared" si="4343"/>
        <v>20015</v>
      </c>
      <c r="B3748" s="7">
        <f t="shared" ref="B3748:C3748" si="4354">B3660</f>
        <v>40000</v>
      </c>
      <c r="C3748" s="7" t="str">
        <f t="shared" si="4354"/>
        <v>装备</v>
      </c>
      <c r="D3748" s="7">
        <v>40550010</v>
      </c>
      <c r="E3748" s="7"/>
      <c r="F3748" s="7">
        <v>1</v>
      </c>
      <c r="G3748" s="7">
        <f>3*INDEX([1]equip.xml!$I:$I,MATCH(D3748&amp;"",[1]equip.xml!$A:$A,0))</f>
        <v>165000</v>
      </c>
      <c r="H3748" s="7" t="str">
        <f t="shared" si="4325"/>
        <v>10_10,50_20,80_30</v>
      </c>
      <c r="I3748" s="7">
        <v>6</v>
      </c>
      <c r="J3748" s="7">
        <f t="shared" si="4325"/>
        <v>50</v>
      </c>
      <c r="K3748" s="7" t="s">
        <v>311</v>
      </c>
      <c r="L3748" s="7">
        <v>38</v>
      </c>
      <c r="M3748" s="7">
        <f>IF(INDEX([1]equip.xml!$B:$B,MATCH(D3748&amp;"",[1]equip.xml!$A:$A,0))=0,0,N3748)</f>
        <v>60</v>
      </c>
      <c r="N3748" s="7">
        <f t="shared" ref="N3748" si="4355">N3660</f>
        <v>60</v>
      </c>
    </row>
    <row r="3749" spans="1:14">
      <c r="A3749" s="7">
        <f t="shared" si="4343"/>
        <v>20015</v>
      </c>
      <c r="B3749" s="7">
        <f t="shared" ref="B3749:C3749" si="4356">B3661</f>
        <v>40000</v>
      </c>
      <c r="C3749" s="7" t="str">
        <f t="shared" si="4356"/>
        <v>装备</v>
      </c>
      <c r="D3749" s="7">
        <v>40550020</v>
      </c>
      <c r="E3749" s="7"/>
      <c r="F3749" s="7">
        <v>1</v>
      </c>
      <c r="G3749" s="7">
        <f>3*INDEX([1]equip.xml!$I:$I,MATCH(D3749&amp;"",[1]equip.xml!$A:$A,0))</f>
        <v>165000</v>
      </c>
      <c r="H3749" s="7" t="str">
        <f t="shared" si="4325"/>
        <v>10_10,50_20,80_30</v>
      </c>
      <c r="I3749" s="7">
        <v>6</v>
      </c>
      <c r="J3749" s="7">
        <f t="shared" si="4325"/>
        <v>50</v>
      </c>
      <c r="K3749" s="7" t="s">
        <v>311</v>
      </c>
      <c r="L3749" s="7">
        <v>38</v>
      </c>
      <c r="M3749" s="7">
        <f>IF(INDEX([1]equip.xml!$B:$B,MATCH(D3749&amp;"",[1]equip.xml!$A:$A,0))=0,0,N3749)</f>
        <v>60</v>
      </c>
      <c r="N3749" s="7">
        <f t="shared" ref="N3749" si="4357">N3661</f>
        <v>60</v>
      </c>
    </row>
    <row r="3750" spans="1:14">
      <c r="A3750" s="7">
        <f t="shared" si="4343"/>
        <v>20015</v>
      </c>
      <c r="B3750" s="7">
        <f t="shared" ref="B3750:C3750" si="4358">B3662</f>
        <v>40000</v>
      </c>
      <c r="C3750" s="7" t="str">
        <f t="shared" si="4358"/>
        <v>装备</v>
      </c>
      <c r="D3750" s="7">
        <v>40550030</v>
      </c>
      <c r="E3750" s="7"/>
      <c r="F3750" s="7">
        <v>1</v>
      </c>
      <c r="G3750" s="7">
        <f>3*INDEX([1]equip.xml!$I:$I,MATCH(D3750&amp;"",[1]equip.xml!$A:$A,0))</f>
        <v>165000</v>
      </c>
      <c r="H3750" s="7" t="str">
        <f t="shared" ref="H3750:J3765" si="4359">H3662</f>
        <v>10_10,50_20,80_30</v>
      </c>
      <c r="I3750" s="7">
        <v>6</v>
      </c>
      <c r="J3750" s="7">
        <f t="shared" si="4359"/>
        <v>50</v>
      </c>
      <c r="K3750" s="7" t="s">
        <v>311</v>
      </c>
      <c r="L3750" s="7">
        <v>38</v>
      </c>
      <c r="M3750" s="7">
        <f>IF(INDEX([1]equip.xml!$B:$B,MATCH(D3750&amp;"",[1]equip.xml!$A:$A,0))=0,0,N3750)</f>
        <v>60</v>
      </c>
      <c r="N3750" s="7">
        <f t="shared" ref="N3750" si="4360">N3662</f>
        <v>60</v>
      </c>
    </row>
    <row r="3751" spans="1:14">
      <c r="A3751" s="7">
        <f t="shared" si="4343"/>
        <v>20015</v>
      </c>
      <c r="B3751" s="7">
        <f t="shared" ref="B3751:C3751" si="4361">B3663</f>
        <v>40000</v>
      </c>
      <c r="C3751" s="7" t="str">
        <f t="shared" si="4361"/>
        <v>装备</v>
      </c>
      <c r="D3751" s="7">
        <v>40550080</v>
      </c>
      <c r="E3751" s="7"/>
      <c r="F3751" s="7">
        <v>1</v>
      </c>
      <c r="G3751" s="7">
        <f>3*INDEX([1]equip.xml!$I:$I,MATCH(D3751&amp;"",[1]equip.xml!$A:$A,0))</f>
        <v>165000</v>
      </c>
      <c r="H3751" s="7" t="str">
        <f t="shared" si="4359"/>
        <v>10_10,50_20,80_30</v>
      </c>
      <c r="I3751" s="7">
        <v>6</v>
      </c>
      <c r="J3751" s="7">
        <f t="shared" si="4359"/>
        <v>50</v>
      </c>
      <c r="K3751" s="7" t="s">
        <v>311</v>
      </c>
      <c r="L3751" s="7">
        <v>38</v>
      </c>
      <c r="M3751" s="7">
        <f>IF(INDEX([1]equip.xml!$B:$B,MATCH(D3751&amp;"",[1]equip.xml!$A:$A,0))=0,0,N3751)</f>
        <v>60</v>
      </c>
      <c r="N3751" s="7">
        <f t="shared" ref="N3751" si="4362">N3663</f>
        <v>60</v>
      </c>
    </row>
    <row r="3752" spans="1:14">
      <c r="A3752" s="7">
        <f t="shared" si="4343"/>
        <v>20015</v>
      </c>
      <c r="B3752" s="7">
        <f t="shared" ref="B3752:C3752" si="4363">B3664</f>
        <v>40000</v>
      </c>
      <c r="C3752" s="7" t="str">
        <f t="shared" si="4363"/>
        <v>装备</v>
      </c>
      <c r="D3752" s="7">
        <v>40550090</v>
      </c>
      <c r="E3752" s="7"/>
      <c r="F3752" s="7">
        <v>1</v>
      </c>
      <c r="G3752" s="7">
        <f>3*INDEX([1]equip.xml!$I:$I,MATCH(D3752&amp;"",[1]equip.xml!$A:$A,0))</f>
        <v>165000</v>
      </c>
      <c r="H3752" s="7" t="str">
        <f t="shared" si="4359"/>
        <v>10_10,50_20,80_30</v>
      </c>
      <c r="I3752" s="7">
        <v>6</v>
      </c>
      <c r="J3752" s="7">
        <f t="shared" si="4359"/>
        <v>50</v>
      </c>
      <c r="K3752" s="7" t="s">
        <v>311</v>
      </c>
      <c r="L3752" s="7">
        <v>38</v>
      </c>
      <c r="M3752" s="7">
        <f>IF(INDEX([1]equip.xml!$B:$B,MATCH(D3752&amp;"",[1]equip.xml!$A:$A,0))=0,0,N3752)</f>
        <v>0</v>
      </c>
      <c r="N3752" s="7">
        <f t="shared" ref="N3752" si="4364">N3664</f>
        <v>60</v>
      </c>
    </row>
    <row r="3753" spans="1:14">
      <c r="A3753" s="7">
        <f t="shared" si="4343"/>
        <v>20015</v>
      </c>
      <c r="B3753" s="7">
        <f t="shared" ref="B3753:C3753" si="4365">B3665</f>
        <v>40000</v>
      </c>
      <c r="C3753" s="7" t="str">
        <f t="shared" si="4365"/>
        <v>装备</v>
      </c>
      <c r="D3753" s="7">
        <v>40550100</v>
      </c>
      <c r="E3753" s="7"/>
      <c r="F3753" s="7">
        <v>1</v>
      </c>
      <c r="G3753" s="7">
        <f>3*INDEX([1]equip.xml!$I:$I,MATCH(D3753&amp;"",[1]equip.xml!$A:$A,0))</f>
        <v>165000</v>
      </c>
      <c r="H3753" s="7" t="str">
        <f t="shared" si="4359"/>
        <v>10_10,50_20,80_30</v>
      </c>
      <c r="I3753" s="7">
        <v>6</v>
      </c>
      <c r="J3753" s="7">
        <f t="shared" si="4359"/>
        <v>50</v>
      </c>
      <c r="K3753" s="7" t="s">
        <v>311</v>
      </c>
      <c r="L3753" s="7">
        <v>38</v>
      </c>
      <c r="M3753" s="7">
        <f>IF(INDEX([1]equip.xml!$B:$B,MATCH(D3753&amp;"",[1]equip.xml!$A:$A,0))=0,0,N3753)</f>
        <v>60</v>
      </c>
      <c r="N3753" s="7">
        <f t="shared" ref="N3753" si="4366">N3665</f>
        <v>60</v>
      </c>
    </row>
    <row r="3754" spans="1:14">
      <c r="A3754" s="7">
        <f t="shared" si="4343"/>
        <v>20015</v>
      </c>
      <c r="B3754" s="7">
        <f t="shared" ref="B3754:C3754" si="4367">B3666</f>
        <v>40000</v>
      </c>
      <c r="C3754" s="7" t="str">
        <f t="shared" si="4367"/>
        <v>装备</v>
      </c>
      <c r="D3754" s="7">
        <v>40551050</v>
      </c>
      <c r="E3754" s="7"/>
      <c r="F3754" s="7">
        <v>1</v>
      </c>
      <c r="G3754" s="7">
        <f>3*INDEX([1]equip.xml!$I:$I,MATCH(D3754&amp;"",[1]equip.xml!$A:$A,0))</f>
        <v>165000</v>
      </c>
      <c r="H3754" s="7" t="str">
        <f t="shared" si="4359"/>
        <v>10_10,50_20,80_30</v>
      </c>
      <c r="I3754" s="7">
        <v>6</v>
      </c>
      <c r="J3754" s="7">
        <f t="shared" si="4359"/>
        <v>50</v>
      </c>
      <c r="K3754" s="7" t="s">
        <v>311</v>
      </c>
      <c r="L3754" s="7">
        <v>38</v>
      </c>
      <c r="M3754" s="7">
        <f>IF(INDEX([1]equip.xml!$B:$B,MATCH(D3754&amp;"",[1]equip.xml!$A:$A,0))=0,0,N3754)</f>
        <v>60</v>
      </c>
      <c r="N3754" s="7">
        <f t="shared" ref="N3754" si="4368">N3666</f>
        <v>60</v>
      </c>
    </row>
    <row r="3755" spans="1:14">
      <c r="A3755" s="7">
        <f t="shared" si="4343"/>
        <v>20015</v>
      </c>
      <c r="B3755" s="7">
        <f t="shared" ref="B3755:C3755" si="4369">B3667</f>
        <v>40000</v>
      </c>
      <c r="C3755" s="7" t="str">
        <f t="shared" si="4369"/>
        <v>装备</v>
      </c>
      <c r="D3755" s="7">
        <v>40551051</v>
      </c>
      <c r="E3755" s="7"/>
      <c r="F3755" s="7">
        <v>1</v>
      </c>
      <c r="G3755" s="7">
        <f>3*INDEX([1]equip.xml!$I:$I,MATCH(D3755&amp;"",[1]equip.xml!$A:$A,0))</f>
        <v>174000</v>
      </c>
      <c r="H3755" s="7" t="str">
        <f t="shared" si="4359"/>
        <v>10_10,50_20,80_30</v>
      </c>
      <c r="I3755" s="7">
        <v>6</v>
      </c>
      <c r="J3755" s="7">
        <f t="shared" si="4359"/>
        <v>50</v>
      </c>
      <c r="K3755" s="7" t="s">
        <v>311</v>
      </c>
      <c r="L3755" s="7">
        <v>38</v>
      </c>
      <c r="M3755" s="7">
        <f>IF(INDEX([1]equip.xml!$B:$B,MATCH(D3755&amp;"",[1]equip.xml!$A:$A,0))=0,0,N3755)</f>
        <v>0</v>
      </c>
      <c r="N3755" s="7">
        <f t="shared" ref="N3755" si="4370">N3667</f>
        <v>60</v>
      </c>
    </row>
    <row r="3756" spans="1:14">
      <c r="A3756" s="7">
        <f t="shared" si="4343"/>
        <v>20015</v>
      </c>
      <c r="B3756" s="7">
        <f t="shared" ref="B3756:C3756" si="4371">B3668</f>
        <v>40000</v>
      </c>
      <c r="C3756" s="7" t="str">
        <f t="shared" si="4371"/>
        <v>装备</v>
      </c>
      <c r="D3756" s="7">
        <v>40551060</v>
      </c>
      <c r="E3756" s="7"/>
      <c r="F3756" s="7">
        <v>1</v>
      </c>
      <c r="G3756" s="7">
        <f>3*INDEX([1]equip.xml!$I:$I,MATCH(D3756&amp;"",[1]equip.xml!$A:$A,0))</f>
        <v>165000</v>
      </c>
      <c r="H3756" s="7" t="str">
        <f t="shared" si="4359"/>
        <v>10_10,50_20,80_30</v>
      </c>
      <c r="I3756" s="7">
        <v>6</v>
      </c>
      <c r="J3756" s="7">
        <f t="shared" si="4359"/>
        <v>50</v>
      </c>
      <c r="K3756" s="7" t="s">
        <v>311</v>
      </c>
      <c r="L3756" s="7">
        <v>38</v>
      </c>
      <c r="M3756" s="7">
        <f>IF(INDEX([1]equip.xml!$B:$B,MATCH(D3756&amp;"",[1]equip.xml!$A:$A,0))=0,0,N3756)</f>
        <v>60</v>
      </c>
      <c r="N3756" s="7">
        <f t="shared" ref="N3756" si="4372">N3668</f>
        <v>60</v>
      </c>
    </row>
    <row r="3757" spans="1:14">
      <c r="A3757" s="7">
        <f t="shared" si="4343"/>
        <v>20015</v>
      </c>
      <c r="B3757" s="7">
        <f t="shared" ref="B3757:C3757" si="4373">B3669</f>
        <v>40000</v>
      </c>
      <c r="C3757" s="7" t="str">
        <f t="shared" si="4373"/>
        <v>装备</v>
      </c>
      <c r="D3757" s="7">
        <v>40551061</v>
      </c>
      <c r="E3757" s="7"/>
      <c r="F3757" s="7">
        <v>1</v>
      </c>
      <c r="G3757" s="7">
        <f>3*INDEX([1]equip.xml!$I:$I,MATCH(D3757&amp;"",[1]equip.xml!$A:$A,0))</f>
        <v>174000</v>
      </c>
      <c r="H3757" s="7" t="str">
        <f t="shared" si="4359"/>
        <v>10_10,50_20,80_30</v>
      </c>
      <c r="I3757" s="7">
        <v>6</v>
      </c>
      <c r="J3757" s="7">
        <f t="shared" si="4359"/>
        <v>50</v>
      </c>
      <c r="K3757" s="7" t="s">
        <v>311</v>
      </c>
      <c r="L3757" s="7">
        <v>38</v>
      </c>
      <c r="M3757" s="7">
        <f>IF(INDEX([1]equip.xml!$B:$B,MATCH(D3757&amp;"",[1]equip.xml!$A:$A,0))=0,0,N3757)</f>
        <v>60</v>
      </c>
      <c r="N3757" s="7">
        <f t="shared" ref="N3757" si="4374">N3669</f>
        <v>60</v>
      </c>
    </row>
    <row r="3758" spans="1:14">
      <c r="A3758" s="7">
        <f t="shared" si="4343"/>
        <v>20015</v>
      </c>
      <c r="B3758" s="7">
        <f t="shared" ref="B3758:C3758" si="4375">B3670</f>
        <v>40000</v>
      </c>
      <c r="C3758" s="7" t="str">
        <f t="shared" si="4375"/>
        <v>装备</v>
      </c>
      <c r="D3758" s="7">
        <v>40552050</v>
      </c>
      <c r="E3758" s="7"/>
      <c r="F3758" s="7">
        <v>1</v>
      </c>
      <c r="G3758" s="7">
        <f>3*INDEX([1]equip.xml!$I:$I,MATCH(D3758&amp;"",[1]equip.xml!$A:$A,0))</f>
        <v>165000</v>
      </c>
      <c r="H3758" s="7" t="str">
        <f t="shared" si="4359"/>
        <v>10_10,50_20,80_30</v>
      </c>
      <c r="I3758" s="7">
        <v>6</v>
      </c>
      <c r="J3758" s="7">
        <f t="shared" si="4359"/>
        <v>50</v>
      </c>
      <c r="K3758" s="7" t="s">
        <v>311</v>
      </c>
      <c r="L3758" s="7">
        <v>38</v>
      </c>
      <c r="M3758" s="7">
        <f>IF(INDEX([1]equip.xml!$B:$B,MATCH(D3758&amp;"",[1]equip.xml!$A:$A,0))=0,0,N3758)</f>
        <v>60</v>
      </c>
      <c r="N3758" s="7">
        <f t="shared" ref="N3758" si="4376">N3670</f>
        <v>60</v>
      </c>
    </row>
    <row r="3759" spans="1:14">
      <c r="A3759" s="7">
        <f t="shared" si="4343"/>
        <v>20015</v>
      </c>
      <c r="B3759" s="7">
        <f t="shared" ref="B3759:C3759" si="4377">B3671</f>
        <v>40000</v>
      </c>
      <c r="C3759" s="7" t="str">
        <f t="shared" si="4377"/>
        <v>装备</v>
      </c>
      <c r="D3759" s="7">
        <v>40552051</v>
      </c>
      <c r="E3759" s="7"/>
      <c r="F3759" s="7">
        <v>1</v>
      </c>
      <c r="G3759" s="7">
        <f>3*INDEX([1]equip.xml!$I:$I,MATCH(D3759&amp;"",[1]equip.xml!$A:$A,0))</f>
        <v>174000</v>
      </c>
      <c r="H3759" s="7" t="str">
        <f t="shared" si="4359"/>
        <v>10_10,50_20,80_30</v>
      </c>
      <c r="I3759" s="7">
        <v>6</v>
      </c>
      <c r="J3759" s="7">
        <f t="shared" si="4359"/>
        <v>50</v>
      </c>
      <c r="K3759" s="7" t="s">
        <v>311</v>
      </c>
      <c r="L3759" s="7">
        <v>38</v>
      </c>
      <c r="M3759" s="7">
        <f>IF(INDEX([1]equip.xml!$B:$B,MATCH(D3759&amp;"",[1]equip.xml!$A:$A,0))=0,0,N3759)</f>
        <v>0</v>
      </c>
      <c r="N3759" s="7">
        <f t="shared" ref="N3759" si="4378">N3671</f>
        <v>60</v>
      </c>
    </row>
    <row r="3760" spans="1:14">
      <c r="A3760" s="7">
        <f t="shared" si="4343"/>
        <v>20015</v>
      </c>
      <c r="B3760" s="7">
        <f t="shared" ref="B3760:C3760" si="4379">B3672</f>
        <v>40000</v>
      </c>
      <c r="C3760" s="7" t="str">
        <f t="shared" si="4379"/>
        <v>装备</v>
      </c>
      <c r="D3760" s="7">
        <v>40552060</v>
      </c>
      <c r="E3760" s="7"/>
      <c r="F3760" s="7">
        <v>1</v>
      </c>
      <c r="G3760" s="7">
        <f>3*INDEX([1]equip.xml!$I:$I,MATCH(D3760&amp;"",[1]equip.xml!$A:$A,0))</f>
        <v>165000</v>
      </c>
      <c r="H3760" s="7" t="str">
        <f t="shared" si="4359"/>
        <v>10_10,50_20,80_30</v>
      </c>
      <c r="I3760" s="7">
        <v>6</v>
      </c>
      <c r="J3760" s="7">
        <f t="shared" si="4359"/>
        <v>50</v>
      </c>
      <c r="K3760" s="7" t="s">
        <v>311</v>
      </c>
      <c r="L3760" s="7">
        <v>38</v>
      </c>
      <c r="M3760" s="7">
        <f>IF(INDEX([1]equip.xml!$B:$B,MATCH(D3760&amp;"",[1]equip.xml!$A:$A,0))=0,0,N3760)</f>
        <v>60</v>
      </c>
      <c r="N3760" s="7">
        <f t="shared" ref="N3760" si="4380">N3672</f>
        <v>60</v>
      </c>
    </row>
    <row r="3761" spans="1:14">
      <c r="A3761" s="7">
        <f t="shared" si="4343"/>
        <v>20015</v>
      </c>
      <c r="B3761" s="7">
        <f t="shared" ref="B3761:C3761" si="4381">B3673</f>
        <v>40000</v>
      </c>
      <c r="C3761" s="7" t="str">
        <f t="shared" si="4381"/>
        <v>装备</v>
      </c>
      <c r="D3761" s="7">
        <v>40552061</v>
      </c>
      <c r="E3761" s="7"/>
      <c r="F3761" s="7">
        <v>1</v>
      </c>
      <c r="G3761" s="7">
        <f>3*INDEX([1]equip.xml!$I:$I,MATCH(D3761&amp;"",[1]equip.xml!$A:$A,0))</f>
        <v>174000</v>
      </c>
      <c r="H3761" s="7" t="str">
        <f t="shared" si="4359"/>
        <v>10_10,50_20,80_30</v>
      </c>
      <c r="I3761" s="7">
        <v>6</v>
      </c>
      <c r="J3761" s="7">
        <f t="shared" si="4359"/>
        <v>50</v>
      </c>
      <c r="K3761" s="7" t="s">
        <v>311</v>
      </c>
      <c r="L3761" s="7">
        <v>38</v>
      </c>
      <c r="M3761" s="7">
        <f>IF(INDEX([1]equip.xml!$B:$B,MATCH(D3761&amp;"",[1]equip.xml!$A:$A,0))=0,0,N3761)</f>
        <v>60</v>
      </c>
      <c r="N3761" s="7">
        <f t="shared" ref="N3761" si="4382">N3673</f>
        <v>60</v>
      </c>
    </row>
    <row r="3762" spans="1:14">
      <c r="A3762" s="7">
        <f t="shared" si="4343"/>
        <v>20015</v>
      </c>
      <c r="B3762" s="7">
        <f t="shared" ref="B3762:C3762" si="4383">B3674</f>
        <v>40000</v>
      </c>
      <c r="C3762" s="7" t="str">
        <f t="shared" si="4383"/>
        <v>装备</v>
      </c>
      <c r="D3762" s="7">
        <v>40553050</v>
      </c>
      <c r="E3762" s="7"/>
      <c r="F3762" s="7">
        <v>1</v>
      </c>
      <c r="G3762" s="7">
        <f>3*INDEX([1]equip.xml!$I:$I,MATCH(D3762&amp;"",[1]equip.xml!$A:$A,0))</f>
        <v>165000</v>
      </c>
      <c r="H3762" s="7" t="str">
        <f t="shared" si="4359"/>
        <v>10_10,50_20,80_30</v>
      </c>
      <c r="I3762" s="7">
        <v>6</v>
      </c>
      <c r="J3762" s="7">
        <f t="shared" si="4359"/>
        <v>50</v>
      </c>
      <c r="K3762" s="7" t="s">
        <v>311</v>
      </c>
      <c r="L3762" s="7">
        <v>38</v>
      </c>
      <c r="M3762" s="7">
        <f>IF(INDEX([1]equip.xml!$B:$B,MATCH(D3762&amp;"",[1]equip.xml!$A:$A,0))=0,0,N3762)</f>
        <v>60</v>
      </c>
      <c r="N3762" s="7">
        <f t="shared" ref="N3762" si="4384">N3674</f>
        <v>60</v>
      </c>
    </row>
    <row r="3763" spans="1:14">
      <c r="A3763" s="7">
        <f t="shared" si="4343"/>
        <v>20015</v>
      </c>
      <c r="B3763" s="7">
        <f t="shared" ref="B3763:C3763" si="4385">B3675</f>
        <v>40000</v>
      </c>
      <c r="C3763" s="7" t="str">
        <f t="shared" si="4385"/>
        <v>装备</v>
      </c>
      <c r="D3763" s="7">
        <v>40553051</v>
      </c>
      <c r="E3763" s="7"/>
      <c r="F3763" s="7">
        <v>1</v>
      </c>
      <c r="G3763" s="7">
        <f>3*INDEX([1]equip.xml!$I:$I,MATCH(D3763&amp;"",[1]equip.xml!$A:$A,0))</f>
        <v>174000</v>
      </c>
      <c r="H3763" s="7" t="str">
        <f t="shared" si="4359"/>
        <v>10_10,50_20,80_30</v>
      </c>
      <c r="I3763" s="7">
        <v>6</v>
      </c>
      <c r="J3763" s="7">
        <f t="shared" si="4359"/>
        <v>50</v>
      </c>
      <c r="K3763" s="7" t="s">
        <v>311</v>
      </c>
      <c r="L3763" s="7">
        <v>38</v>
      </c>
      <c r="M3763" s="7">
        <f>IF(INDEX([1]equip.xml!$B:$B,MATCH(D3763&amp;"",[1]equip.xml!$A:$A,0))=0,0,N3763)</f>
        <v>0</v>
      </c>
      <c r="N3763" s="7">
        <f t="shared" ref="N3763" si="4386">N3675</f>
        <v>60</v>
      </c>
    </row>
    <row r="3764" spans="1:14">
      <c r="A3764" s="7">
        <f t="shared" si="4343"/>
        <v>20015</v>
      </c>
      <c r="B3764" s="7">
        <f t="shared" ref="B3764:C3764" si="4387">B3676</f>
        <v>40000</v>
      </c>
      <c r="C3764" s="7" t="str">
        <f t="shared" si="4387"/>
        <v>装备</v>
      </c>
      <c r="D3764" s="7">
        <v>40553060</v>
      </c>
      <c r="E3764" s="7"/>
      <c r="F3764" s="7">
        <v>1</v>
      </c>
      <c r="G3764" s="7">
        <f>3*INDEX([1]equip.xml!$I:$I,MATCH(D3764&amp;"",[1]equip.xml!$A:$A,0))</f>
        <v>165000</v>
      </c>
      <c r="H3764" s="7" t="str">
        <f t="shared" si="4359"/>
        <v>10_10,50_20,80_30</v>
      </c>
      <c r="I3764" s="7">
        <v>6</v>
      </c>
      <c r="J3764" s="7">
        <f t="shared" si="4359"/>
        <v>50</v>
      </c>
      <c r="K3764" s="7" t="s">
        <v>311</v>
      </c>
      <c r="L3764" s="7">
        <v>38</v>
      </c>
      <c r="M3764" s="7">
        <f>IF(INDEX([1]equip.xml!$B:$B,MATCH(D3764&amp;"",[1]equip.xml!$A:$A,0))=0,0,N3764)</f>
        <v>60</v>
      </c>
      <c r="N3764" s="7">
        <f t="shared" ref="N3764" si="4388">N3676</f>
        <v>60</v>
      </c>
    </row>
    <row r="3765" spans="1:14">
      <c r="A3765" s="7">
        <f t="shared" si="4343"/>
        <v>20015</v>
      </c>
      <c r="B3765" s="7">
        <f t="shared" ref="B3765:C3765" si="4389">B3677</f>
        <v>40000</v>
      </c>
      <c r="C3765" s="7" t="str">
        <f t="shared" si="4389"/>
        <v>装备</v>
      </c>
      <c r="D3765" s="7">
        <v>40553061</v>
      </c>
      <c r="E3765" s="7"/>
      <c r="F3765" s="7">
        <v>1</v>
      </c>
      <c r="G3765" s="7">
        <f>3*INDEX([1]equip.xml!$I:$I,MATCH(D3765&amp;"",[1]equip.xml!$A:$A,0))</f>
        <v>174000</v>
      </c>
      <c r="H3765" s="7" t="str">
        <f t="shared" si="4359"/>
        <v>10_10,50_20,80_30</v>
      </c>
      <c r="I3765" s="7">
        <v>6</v>
      </c>
      <c r="J3765" s="7">
        <f t="shared" si="4359"/>
        <v>50</v>
      </c>
      <c r="K3765" s="7" t="s">
        <v>311</v>
      </c>
      <c r="L3765" s="7">
        <v>38</v>
      </c>
      <c r="M3765" s="7">
        <f>IF(INDEX([1]equip.xml!$B:$B,MATCH(D3765&amp;"",[1]equip.xml!$A:$A,0))=0,0,N3765)</f>
        <v>60</v>
      </c>
      <c r="N3765" s="7">
        <f t="shared" ref="N3765" si="4390">N3677</f>
        <v>60</v>
      </c>
    </row>
    <row r="3766" spans="1:14">
      <c r="A3766" s="7">
        <f t="shared" si="4343"/>
        <v>20015</v>
      </c>
      <c r="B3766" s="7">
        <f t="shared" ref="B3766:C3766" si="4391">B3678</f>
        <v>40000</v>
      </c>
      <c r="C3766" s="7" t="str">
        <f t="shared" si="4391"/>
        <v>装备</v>
      </c>
      <c r="D3766" s="7">
        <v>40550040</v>
      </c>
      <c r="E3766" s="7"/>
      <c r="F3766" s="7">
        <v>1</v>
      </c>
      <c r="G3766" s="7">
        <f>3*INDEX([1]equip.xml!$I:$I,MATCH(D3766&amp;"",[1]equip.xml!$A:$A,0))</f>
        <v>165000</v>
      </c>
      <c r="H3766" s="7" t="str">
        <f t="shared" ref="H3766:J3781" si="4392">H3678</f>
        <v>10_10,50_20,80_30</v>
      </c>
      <c r="I3766" s="7">
        <v>6</v>
      </c>
      <c r="J3766" s="7">
        <f t="shared" si="4392"/>
        <v>50</v>
      </c>
      <c r="K3766" s="7" t="s">
        <v>311</v>
      </c>
      <c r="L3766" s="7">
        <v>38</v>
      </c>
      <c r="M3766" s="7">
        <f>IF(INDEX([1]equip.xml!$B:$B,MATCH(D3766&amp;"",[1]equip.xml!$A:$A,0))=0,0,N3766)</f>
        <v>60</v>
      </c>
      <c r="N3766" s="7">
        <f t="shared" ref="N3766" si="4393">N3678</f>
        <v>60</v>
      </c>
    </row>
    <row r="3767" spans="1:14">
      <c r="A3767" s="7">
        <f t="shared" si="4343"/>
        <v>20015</v>
      </c>
      <c r="B3767" s="7">
        <f t="shared" ref="B3767:C3767" si="4394">B3679</f>
        <v>40000</v>
      </c>
      <c r="C3767" s="7" t="str">
        <f t="shared" si="4394"/>
        <v>装备</v>
      </c>
      <c r="D3767" s="7">
        <v>40550041</v>
      </c>
      <c r="E3767" s="7"/>
      <c r="F3767" s="7">
        <v>1</v>
      </c>
      <c r="G3767" s="7">
        <f>3*INDEX([1]equip.xml!$I:$I,MATCH(D3767&amp;"",[1]equip.xml!$A:$A,0))</f>
        <v>174000</v>
      </c>
      <c r="H3767" s="7" t="str">
        <f t="shared" si="4392"/>
        <v>10_10,50_20,80_30</v>
      </c>
      <c r="I3767" s="7">
        <v>6</v>
      </c>
      <c r="J3767" s="7">
        <f t="shared" si="4392"/>
        <v>50</v>
      </c>
      <c r="K3767" s="7" t="s">
        <v>311</v>
      </c>
      <c r="L3767" s="7">
        <v>38</v>
      </c>
      <c r="M3767" s="7">
        <f>IF(INDEX([1]equip.xml!$B:$B,MATCH(D3767&amp;"",[1]equip.xml!$A:$A,0))=0,0,N3767)</f>
        <v>0</v>
      </c>
      <c r="N3767" s="7">
        <f t="shared" ref="N3767" si="4395">N3679</f>
        <v>60</v>
      </c>
    </row>
    <row r="3768" spans="1:14">
      <c r="A3768" s="7">
        <f t="shared" si="4343"/>
        <v>20015</v>
      </c>
      <c r="B3768" s="7">
        <f t="shared" ref="B3768:C3768" si="4396">B3680</f>
        <v>40000</v>
      </c>
      <c r="C3768" s="7" t="str">
        <f t="shared" si="4396"/>
        <v>装备</v>
      </c>
      <c r="D3768" s="7">
        <v>40550070</v>
      </c>
      <c r="E3768" s="7"/>
      <c r="F3768" s="7">
        <v>1</v>
      </c>
      <c r="G3768" s="7">
        <f>3*INDEX([1]equip.xml!$I:$I,MATCH(D3768&amp;"",[1]equip.xml!$A:$A,0))</f>
        <v>165000</v>
      </c>
      <c r="H3768" s="7" t="str">
        <f t="shared" si="4392"/>
        <v>10_10,50_20,80_30</v>
      </c>
      <c r="I3768" s="7">
        <v>6</v>
      </c>
      <c r="J3768" s="7">
        <f t="shared" si="4392"/>
        <v>50</v>
      </c>
      <c r="K3768" s="7" t="s">
        <v>311</v>
      </c>
      <c r="L3768" s="7">
        <v>38</v>
      </c>
      <c r="M3768" s="7">
        <f>IF(INDEX([1]equip.xml!$B:$B,MATCH(D3768&amp;"",[1]equip.xml!$A:$A,0))=0,0,N3768)</f>
        <v>60</v>
      </c>
      <c r="N3768" s="7">
        <f t="shared" ref="N3768" si="4397">N3680</f>
        <v>60</v>
      </c>
    </row>
    <row r="3769" spans="1:14">
      <c r="A3769" s="7">
        <f t="shared" si="4343"/>
        <v>20015</v>
      </c>
      <c r="B3769" s="7">
        <f t="shared" ref="B3769:C3769" si="4398">B3681</f>
        <v>40000</v>
      </c>
      <c r="C3769" s="7" t="str">
        <f t="shared" si="4398"/>
        <v>装备</v>
      </c>
      <c r="D3769" s="7">
        <v>40550071</v>
      </c>
      <c r="E3769" s="7"/>
      <c r="F3769" s="7">
        <v>1</v>
      </c>
      <c r="G3769" s="7">
        <f>3*INDEX([1]equip.xml!$I:$I,MATCH(D3769&amp;"",[1]equip.xml!$A:$A,0))</f>
        <v>174000</v>
      </c>
      <c r="H3769" s="7" t="str">
        <f t="shared" si="4392"/>
        <v>10_10,50_20,80_30</v>
      </c>
      <c r="I3769" s="7">
        <v>6</v>
      </c>
      <c r="J3769" s="7">
        <f t="shared" si="4392"/>
        <v>50</v>
      </c>
      <c r="K3769" s="7" t="s">
        <v>311</v>
      </c>
      <c r="L3769" s="7">
        <v>38</v>
      </c>
      <c r="M3769" s="7">
        <f>IF(INDEX([1]equip.xml!$B:$B,MATCH(D3769&amp;"",[1]equip.xml!$A:$A,0))=0,0,N3769)</f>
        <v>0</v>
      </c>
      <c r="N3769" s="7">
        <f t="shared" ref="N3769" si="4399">N3681</f>
        <v>60</v>
      </c>
    </row>
    <row r="3770" spans="1:14">
      <c r="A3770" s="7">
        <f t="shared" si="4343"/>
        <v>20015</v>
      </c>
      <c r="B3770" s="7">
        <f t="shared" ref="B3770:C3770" si="4400">B3682</f>
        <v>40000</v>
      </c>
      <c r="C3770" s="7" t="str">
        <f t="shared" si="4400"/>
        <v>装备</v>
      </c>
      <c r="D3770" s="7">
        <v>50500015</v>
      </c>
      <c r="E3770" s="7"/>
      <c r="F3770" s="7">
        <v>1</v>
      </c>
      <c r="G3770" s="8">
        <f>3*INDEX([1]equip.xml!$I:$I,MATCH(D3770,[1]equip.xml!$A:$A,0))</f>
        <v>300000</v>
      </c>
      <c r="H3770" s="7" t="str">
        <f t="shared" si="4392"/>
        <v>10_10,50_20,80_30</v>
      </c>
      <c r="I3770" s="7">
        <v>3</v>
      </c>
      <c r="J3770" s="7">
        <f t="shared" si="4392"/>
        <v>240</v>
      </c>
      <c r="K3770" s="7" t="s">
        <v>311</v>
      </c>
      <c r="L3770" s="7">
        <v>38</v>
      </c>
      <c r="M3770" s="7">
        <f>IF(INDEX([1]equip.xml!$B:$B,MATCH(D3770,[1]equip.xml!$A:$A,0))=0,0,N3770)</f>
        <v>130</v>
      </c>
      <c r="N3770" s="7">
        <f t="shared" ref="N3770" si="4401">N3682</f>
        <v>130</v>
      </c>
    </row>
    <row r="3771" spans="1:14">
      <c r="A3771" s="7">
        <f t="shared" si="4343"/>
        <v>20015</v>
      </c>
      <c r="B3771" s="7">
        <f t="shared" ref="B3771:C3771" si="4402">B3683</f>
        <v>40000</v>
      </c>
      <c r="C3771" s="7" t="str">
        <f t="shared" si="4402"/>
        <v>装备</v>
      </c>
      <c r="D3771" s="7">
        <v>50500025</v>
      </c>
      <c r="E3771" s="7"/>
      <c r="F3771" s="7">
        <v>1</v>
      </c>
      <c r="G3771" s="8">
        <f>3*INDEX([1]equip.xml!$I:$I,MATCH(D3771,[1]equip.xml!$A:$A,0))</f>
        <v>300000</v>
      </c>
      <c r="H3771" s="7" t="str">
        <f t="shared" si="4392"/>
        <v>10_10,50_20,80_30</v>
      </c>
      <c r="I3771" s="7">
        <v>3</v>
      </c>
      <c r="J3771" s="7">
        <f t="shared" si="4392"/>
        <v>240</v>
      </c>
      <c r="K3771" s="7" t="s">
        <v>311</v>
      </c>
      <c r="L3771" s="7">
        <v>38</v>
      </c>
      <c r="M3771" s="7">
        <f>IF(INDEX([1]equip.xml!$B:$B,MATCH(D3771,[1]equip.xml!$A:$A,0))=0,0,N3771)</f>
        <v>130</v>
      </c>
      <c r="N3771" s="7">
        <f t="shared" ref="N3771" si="4403">N3683</f>
        <v>130</v>
      </c>
    </row>
    <row r="3772" spans="1:14">
      <c r="A3772" s="7">
        <f t="shared" si="4343"/>
        <v>20015</v>
      </c>
      <c r="B3772" s="7">
        <f t="shared" ref="B3772:C3772" si="4404">B3684</f>
        <v>40000</v>
      </c>
      <c r="C3772" s="7" t="str">
        <f t="shared" si="4404"/>
        <v>装备</v>
      </c>
      <c r="D3772" s="7">
        <v>50500035</v>
      </c>
      <c r="E3772" s="7"/>
      <c r="F3772" s="7">
        <v>1</v>
      </c>
      <c r="G3772" s="8">
        <f>3*INDEX([1]equip.xml!$I:$I,MATCH(D3772,[1]equip.xml!$A:$A,0))</f>
        <v>300000</v>
      </c>
      <c r="H3772" s="7" t="str">
        <f t="shared" si="4392"/>
        <v>10_10,50_20,80_30</v>
      </c>
      <c r="I3772" s="7">
        <v>3</v>
      </c>
      <c r="J3772" s="7">
        <f t="shared" si="4392"/>
        <v>240</v>
      </c>
      <c r="K3772" s="7" t="s">
        <v>311</v>
      </c>
      <c r="L3772" s="7">
        <v>38</v>
      </c>
      <c r="M3772" s="7">
        <f>IF(INDEX([1]equip.xml!$B:$B,MATCH(D3772,[1]equip.xml!$A:$A,0))=0,0,N3772)</f>
        <v>130</v>
      </c>
      <c r="N3772" s="7">
        <f t="shared" ref="N3772" si="4405">N3684</f>
        <v>130</v>
      </c>
    </row>
    <row r="3773" spans="1:14">
      <c r="A3773" s="7">
        <f t="shared" si="4343"/>
        <v>20015</v>
      </c>
      <c r="B3773" s="7">
        <f t="shared" ref="B3773:C3773" si="4406">B3685</f>
        <v>40000</v>
      </c>
      <c r="C3773" s="7" t="str">
        <f t="shared" si="4406"/>
        <v>装备</v>
      </c>
      <c r="D3773" s="7">
        <v>50500085</v>
      </c>
      <c r="E3773" s="7"/>
      <c r="F3773" s="7">
        <v>1</v>
      </c>
      <c r="G3773" s="8">
        <f>3*INDEX([1]equip.xml!$I:$I,MATCH(D3773,[1]equip.xml!$A:$A,0))</f>
        <v>300000</v>
      </c>
      <c r="H3773" s="7" t="str">
        <f t="shared" si="4392"/>
        <v>10_10,50_20,80_30</v>
      </c>
      <c r="I3773" s="7">
        <v>3</v>
      </c>
      <c r="J3773" s="7">
        <f t="shared" si="4392"/>
        <v>240</v>
      </c>
      <c r="K3773" s="7" t="s">
        <v>311</v>
      </c>
      <c r="L3773" s="7">
        <v>38</v>
      </c>
      <c r="M3773" s="7">
        <f>IF(INDEX([1]equip.xml!$B:$B,MATCH(D3773,[1]equip.xml!$A:$A,0))=0,0,N3773)</f>
        <v>130</v>
      </c>
      <c r="N3773" s="7">
        <f t="shared" ref="N3773" si="4407">N3685</f>
        <v>130</v>
      </c>
    </row>
    <row r="3774" spans="1:14">
      <c r="A3774" s="7">
        <f t="shared" si="4343"/>
        <v>20015</v>
      </c>
      <c r="B3774" s="7">
        <f t="shared" ref="B3774:C3774" si="4408">B3686</f>
        <v>40000</v>
      </c>
      <c r="C3774" s="7" t="str">
        <f t="shared" si="4408"/>
        <v>装备</v>
      </c>
      <c r="D3774" s="7">
        <v>50500095</v>
      </c>
      <c r="E3774" s="7"/>
      <c r="F3774" s="7">
        <v>1</v>
      </c>
      <c r="G3774" s="8">
        <f>3*INDEX([1]equip.xml!$I:$I,MATCH(D3774,[1]equip.xml!$A:$A,0))</f>
        <v>300000</v>
      </c>
      <c r="H3774" s="7" t="str">
        <f t="shared" si="4392"/>
        <v>10_10,50_20,80_30</v>
      </c>
      <c r="I3774" s="7">
        <v>3</v>
      </c>
      <c r="J3774" s="7">
        <f t="shared" si="4392"/>
        <v>240</v>
      </c>
      <c r="K3774" s="7" t="s">
        <v>311</v>
      </c>
      <c r="L3774" s="7">
        <v>38</v>
      </c>
      <c r="M3774" s="7">
        <f>IF(INDEX([1]equip.xml!$B:$B,MATCH(D3774,[1]equip.xml!$A:$A,0))=0,0,N3774)</f>
        <v>130</v>
      </c>
      <c r="N3774" s="7">
        <f t="shared" ref="N3774" si="4409">N3686</f>
        <v>130</v>
      </c>
    </row>
    <row r="3775" spans="1:14">
      <c r="A3775" s="7">
        <f t="shared" si="4343"/>
        <v>20015</v>
      </c>
      <c r="B3775" s="7">
        <f t="shared" ref="B3775:C3775" si="4410">B3687</f>
        <v>40000</v>
      </c>
      <c r="C3775" s="7" t="str">
        <f t="shared" si="4410"/>
        <v>装备</v>
      </c>
      <c r="D3775" s="7">
        <v>50500105</v>
      </c>
      <c r="E3775" s="7"/>
      <c r="F3775" s="7">
        <v>1</v>
      </c>
      <c r="G3775" s="8">
        <f>3*INDEX([1]equip.xml!$I:$I,MATCH(D3775,[1]equip.xml!$A:$A,0))</f>
        <v>300000</v>
      </c>
      <c r="H3775" s="7" t="str">
        <f t="shared" si="4392"/>
        <v>10_10,50_20,80_30</v>
      </c>
      <c r="I3775" s="7">
        <v>3</v>
      </c>
      <c r="J3775" s="7">
        <f t="shared" si="4392"/>
        <v>240</v>
      </c>
      <c r="K3775" s="7" t="s">
        <v>311</v>
      </c>
      <c r="L3775" s="7">
        <v>38</v>
      </c>
      <c r="M3775" s="7">
        <f>IF(INDEX([1]equip.xml!$B:$B,MATCH(D3775,[1]equip.xml!$A:$A,0))=0,0,N3775)</f>
        <v>130</v>
      </c>
      <c r="N3775" s="7">
        <f t="shared" ref="N3775" si="4411">N3687</f>
        <v>130</v>
      </c>
    </row>
    <row r="3776" spans="1:14">
      <c r="A3776" s="7">
        <f t="shared" si="4343"/>
        <v>20015</v>
      </c>
      <c r="B3776" s="7">
        <f t="shared" ref="B3776:C3776" si="4412">B3688</f>
        <v>40000</v>
      </c>
      <c r="C3776" s="7" t="str">
        <f t="shared" si="4412"/>
        <v>装备</v>
      </c>
      <c r="D3776" s="7">
        <v>50501055</v>
      </c>
      <c r="E3776" s="7"/>
      <c r="F3776" s="7">
        <v>1</v>
      </c>
      <c r="G3776" s="8">
        <f>3*INDEX([1]equip.xml!$I:$I,MATCH(D3776,[1]equip.xml!$A:$A,0))</f>
        <v>300000</v>
      </c>
      <c r="H3776" s="7" t="str">
        <f t="shared" si="4392"/>
        <v>10_10,50_20,80_30</v>
      </c>
      <c r="I3776" s="7">
        <v>3</v>
      </c>
      <c r="J3776" s="7">
        <f t="shared" si="4392"/>
        <v>240</v>
      </c>
      <c r="K3776" s="7" t="s">
        <v>311</v>
      </c>
      <c r="L3776" s="7">
        <v>38</v>
      </c>
      <c r="M3776" s="7">
        <f>IF(INDEX([1]equip.xml!$B:$B,MATCH(D3776,[1]equip.xml!$A:$A,0))=0,0,N3776)</f>
        <v>130</v>
      </c>
      <c r="N3776" s="7">
        <f t="shared" ref="N3776" si="4413">N3688</f>
        <v>130</v>
      </c>
    </row>
    <row r="3777" spans="1:14">
      <c r="A3777" s="7">
        <f t="shared" si="4343"/>
        <v>20015</v>
      </c>
      <c r="B3777" s="7">
        <f t="shared" ref="B3777:C3777" si="4414">B3689</f>
        <v>40000</v>
      </c>
      <c r="C3777" s="7" t="str">
        <f t="shared" si="4414"/>
        <v>装备</v>
      </c>
      <c r="D3777" s="7">
        <v>50501056</v>
      </c>
      <c r="E3777" s="7"/>
      <c r="F3777" s="7">
        <v>1</v>
      </c>
      <c r="G3777" s="8">
        <f>3*INDEX([1]equip.xml!$I:$I,MATCH(D3777,[1]equip.xml!$A:$A,0))</f>
        <v>318000</v>
      </c>
      <c r="H3777" s="7" t="str">
        <f t="shared" si="4392"/>
        <v>10_10,50_20,80_30</v>
      </c>
      <c r="I3777" s="7">
        <v>3</v>
      </c>
      <c r="J3777" s="7">
        <f t="shared" si="4392"/>
        <v>240</v>
      </c>
      <c r="K3777" s="7" t="s">
        <v>311</v>
      </c>
      <c r="L3777" s="7">
        <v>38</v>
      </c>
      <c r="M3777" s="7">
        <f>IF(INDEX([1]equip.xml!$B:$B,MATCH(D3777,[1]equip.xml!$A:$A,0))=0,0,N3777)</f>
        <v>130</v>
      </c>
      <c r="N3777" s="7">
        <f t="shared" ref="N3777" si="4415">N3689</f>
        <v>130</v>
      </c>
    </row>
    <row r="3778" spans="1:14">
      <c r="A3778" s="7">
        <f t="shared" si="4343"/>
        <v>20015</v>
      </c>
      <c r="B3778" s="7">
        <f t="shared" ref="B3778:C3778" si="4416">B3690</f>
        <v>40000</v>
      </c>
      <c r="C3778" s="7" t="str">
        <f t="shared" si="4416"/>
        <v>装备</v>
      </c>
      <c r="D3778" s="7">
        <v>50501065</v>
      </c>
      <c r="E3778" s="7"/>
      <c r="F3778" s="7">
        <v>1</v>
      </c>
      <c r="G3778" s="8">
        <f>3*INDEX([1]equip.xml!$I:$I,MATCH(D3778,[1]equip.xml!$A:$A,0))</f>
        <v>300000</v>
      </c>
      <c r="H3778" s="7" t="str">
        <f t="shared" si="4392"/>
        <v>10_10,50_20,80_30</v>
      </c>
      <c r="I3778" s="7">
        <v>3</v>
      </c>
      <c r="J3778" s="7">
        <f t="shared" si="4392"/>
        <v>240</v>
      </c>
      <c r="K3778" s="7" t="s">
        <v>311</v>
      </c>
      <c r="L3778" s="7">
        <v>38</v>
      </c>
      <c r="M3778" s="7">
        <f>IF(INDEX([1]equip.xml!$B:$B,MATCH(D3778,[1]equip.xml!$A:$A,0))=0,0,N3778)</f>
        <v>130</v>
      </c>
      <c r="N3778" s="7">
        <f t="shared" ref="N3778" si="4417">N3690</f>
        <v>130</v>
      </c>
    </row>
    <row r="3779" spans="1:14">
      <c r="A3779" s="7">
        <f t="shared" si="4343"/>
        <v>20015</v>
      </c>
      <c r="B3779" s="7">
        <f t="shared" ref="B3779:C3779" si="4418">B3691</f>
        <v>40000</v>
      </c>
      <c r="C3779" s="7" t="str">
        <f t="shared" si="4418"/>
        <v>装备</v>
      </c>
      <c r="D3779" s="7">
        <v>50501066</v>
      </c>
      <c r="E3779" s="7"/>
      <c r="F3779" s="7">
        <v>1</v>
      </c>
      <c r="G3779" s="8">
        <f>3*INDEX([1]equip.xml!$I:$I,MATCH(D3779,[1]equip.xml!$A:$A,0))</f>
        <v>318000</v>
      </c>
      <c r="H3779" s="7" t="str">
        <f t="shared" si="4392"/>
        <v>10_10,50_20,80_30</v>
      </c>
      <c r="I3779" s="7">
        <v>3</v>
      </c>
      <c r="J3779" s="7">
        <f t="shared" si="4392"/>
        <v>240</v>
      </c>
      <c r="K3779" s="7" t="s">
        <v>311</v>
      </c>
      <c r="L3779" s="7">
        <v>38</v>
      </c>
      <c r="M3779" s="7">
        <f>IF(INDEX([1]equip.xml!$B:$B,MATCH(D3779,[1]equip.xml!$A:$A,0))=0,0,N3779)</f>
        <v>130</v>
      </c>
      <c r="N3779" s="7">
        <f t="shared" ref="N3779" si="4419">N3691</f>
        <v>130</v>
      </c>
    </row>
    <row r="3780" spans="1:14">
      <c r="A3780" s="7">
        <f t="shared" si="4343"/>
        <v>20015</v>
      </c>
      <c r="B3780" s="7">
        <f t="shared" ref="B3780:C3780" si="4420">B3692</f>
        <v>40000</v>
      </c>
      <c r="C3780" s="7" t="str">
        <f t="shared" si="4420"/>
        <v>装备</v>
      </c>
      <c r="D3780" s="7">
        <v>50502055</v>
      </c>
      <c r="E3780" s="7"/>
      <c r="F3780" s="7">
        <v>1</v>
      </c>
      <c r="G3780" s="8">
        <f>3*INDEX([1]equip.xml!$I:$I,MATCH(D3780,[1]equip.xml!$A:$A,0))</f>
        <v>300000</v>
      </c>
      <c r="H3780" s="7" t="str">
        <f t="shared" si="4392"/>
        <v>10_10,50_20,80_30</v>
      </c>
      <c r="I3780" s="7">
        <v>3</v>
      </c>
      <c r="J3780" s="7">
        <f t="shared" si="4392"/>
        <v>240</v>
      </c>
      <c r="K3780" s="7" t="s">
        <v>311</v>
      </c>
      <c r="L3780" s="7">
        <v>38</v>
      </c>
      <c r="M3780" s="7">
        <f>IF(INDEX([1]equip.xml!$B:$B,MATCH(D3780,[1]equip.xml!$A:$A,0))=0,0,N3780)</f>
        <v>130</v>
      </c>
      <c r="N3780" s="7">
        <f t="shared" ref="N3780" si="4421">N3692</f>
        <v>130</v>
      </c>
    </row>
    <row r="3781" spans="1:14">
      <c r="A3781" s="7">
        <f t="shared" si="4343"/>
        <v>20015</v>
      </c>
      <c r="B3781" s="7">
        <f t="shared" ref="B3781:C3781" si="4422">B3693</f>
        <v>40000</v>
      </c>
      <c r="C3781" s="7" t="str">
        <f t="shared" si="4422"/>
        <v>装备</v>
      </c>
      <c r="D3781" s="7">
        <v>50502056</v>
      </c>
      <c r="E3781" s="7"/>
      <c r="F3781" s="7">
        <v>1</v>
      </c>
      <c r="G3781" s="8">
        <f>3*INDEX([1]equip.xml!$I:$I,MATCH(D3781,[1]equip.xml!$A:$A,0))</f>
        <v>318000</v>
      </c>
      <c r="H3781" s="7" t="str">
        <f t="shared" si="4392"/>
        <v>10_10,50_20,80_30</v>
      </c>
      <c r="I3781" s="7">
        <v>3</v>
      </c>
      <c r="J3781" s="7">
        <f t="shared" si="4392"/>
        <v>240</v>
      </c>
      <c r="K3781" s="7" t="s">
        <v>311</v>
      </c>
      <c r="L3781" s="7">
        <v>38</v>
      </c>
      <c r="M3781" s="7">
        <f>IF(INDEX([1]equip.xml!$B:$B,MATCH(D3781,[1]equip.xml!$A:$A,0))=0,0,N3781)</f>
        <v>130</v>
      </c>
      <c r="N3781" s="7">
        <f t="shared" ref="N3781" si="4423">N3693</f>
        <v>130</v>
      </c>
    </row>
    <row r="3782" spans="1:14">
      <c r="A3782" s="7">
        <f t="shared" si="4343"/>
        <v>20015</v>
      </c>
      <c r="B3782" s="7">
        <f t="shared" ref="B3782:C3782" si="4424">B3694</f>
        <v>40000</v>
      </c>
      <c r="C3782" s="7" t="str">
        <f t="shared" si="4424"/>
        <v>装备</v>
      </c>
      <c r="D3782" s="7">
        <v>50502065</v>
      </c>
      <c r="E3782" s="7"/>
      <c r="F3782" s="7">
        <v>1</v>
      </c>
      <c r="G3782" s="8">
        <f>3*INDEX([1]equip.xml!$I:$I,MATCH(D3782,[1]equip.xml!$A:$A,0))</f>
        <v>300000</v>
      </c>
      <c r="H3782" s="7" t="str">
        <f t="shared" ref="H3782:J3797" si="4425">H3694</f>
        <v>10_10,50_20,80_30</v>
      </c>
      <c r="I3782" s="7">
        <v>3</v>
      </c>
      <c r="J3782" s="7">
        <f t="shared" si="4425"/>
        <v>240</v>
      </c>
      <c r="K3782" s="7" t="s">
        <v>311</v>
      </c>
      <c r="L3782" s="7">
        <v>38</v>
      </c>
      <c r="M3782" s="7">
        <f>IF(INDEX([1]equip.xml!$B:$B,MATCH(D3782,[1]equip.xml!$A:$A,0))=0,0,N3782)</f>
        <v>130</v>
      </c>
      <c r="N3782" s="7">
        <f t="shared" ref="N3782" si="4426">N3694</f>
        <v>130</v>
      </c>
    </row>
    <row r="3783" spans="1:14">
      <c r="A3783" s="7">
        <f t="shared" si="4343"/>
        <v>20015</v>
      </c>
      <c r="B3783" s="7">
        <f t="shared" ref="B3783:C3783" si="4427">B3695</f>
        <v>40000</v>
      </c>
      <c r="C3783" s="7" t="str">
        <f t="shared" si="4427"/>
        <v>装备</v>
      </c>
      <c r="D3783" s="7">
        <v>50502066</v>
      </c>
      <c r="E3783" s="7"/>
      <c r="F3783" s="7">
        <v>1</v>
      </c>
      <c r="G3783" s="8">
        <f>3*INDEX([1]equip.xml!$I:$I,MATCH(D3783,[1]equip.xml!$A:$A,0))</f>
        <v>318000</v>
      </c>
      <c r="H3783" s="7" t="str">
        <f t="shared" si="4425"/>
        <v>10_10,50_20,80_30</v>
      </c>
      <c r="I3783" s="7">
        <v>3</v>
      </c>
      <c r="J3783" s="7">
        <f t="shared" si="4425"/>
        <v>240</v>
      </c>
      <c r="K3783" s="7" t="s">
        <v>311</v>
      </c>
      <c r="L3783" s="7">
        <v>38</v>
      </c>
      <c r="M3783" s="7">
        <f>IF(INDEX([1]equip.xml!$B:$B,MATCH(D3783,[1]equip.xml!$A:$A,0))=0,0,N3783)</f>
        <v>130</v>
      </c>
      <c r="N3783" s="7">
        <f t="shared" ref="N3783" si="4428">N3695</f>
        <v>130</v>
      </c>
    </row>
    <row r="3784" spans="1:14">
      <c r="A3784" s="7">
        <f t="shared" si="4343"/>
        <v>20015</v>
      </c>
      <c r="B3784" s="7">
        <f t="shared" ref="B3784:C3784" si="4429">B3696</f>
        <v>40000</v>
      </c>
      <c r="C3784" s="7" t="str">
        <f t="shared" si="4429"/>
        <v>装备</v>
      </c>
      <c r="D3784" s="7">
        <v>50503055</v>
      </c>
      <c r="E3784" s="7"/>
      <c r="F3784" s="7">
        <v>1</v>
      </c>
      <c r="G3784" s="8">
        <f>3*INDEX([1]equip.xml!$I:$I,MATCH(D3784,[1]equip.xml!$A:$A,0))</f>
        <v>300000</v>
      </c>
      <c r="H3784" s="7" t="str">
        <f t="shared" si="4425"/>
        <v>10_10,50_20,80_30</v>
      </c>
      <c r="I3784" s="7">
        <v>3</v>
      </c>
      <c r="J3784" s="7">
        <f t="shared" si="4425"/>
        <v>240</v>
      </c>
      <c r="K3784" s="7" t="s">
        <v>311</v>
      </c>
      <c r="L3784" s="7">
        <v>38</v>
      </c>
      <c r="M3784" s="7">
        <f>IF(INDEX([1]equip.xml!$B:$B,MATCH(D3784,[1]equip.xml!$A:$A,0))=0,0,N3784)</f>
        <v>130</v>
      </c>
      <c r="N3784" s="7">
        <f t="shared" ref="N3784" si="4430">N3696</f>
        <v>130</v>
      </c>
    </row>
    <row r="3785" spans="1:14">
      <c r="A3785" s="7">
        <f t="shared" si="4343"/>
        <v>20015</v>
      </c>
      <c r="B3785" s="7">
        <f t="shared" ref="B3785:C3785" si="4431">B3697</f>
        <v>40000</v>
      </c>
      <c r="C3785" s="7" t="str">
        <f t="shared" si="4431"/>
        <v>装备</v>
      </c>
      <c r="D3785" s="7">
        <v>50503056</v>
      </c>
      <c r="E3785" s="7"/>
      <c r="F3785" s="7">
        <v>1</v>
      </c>
      <c r="G3785" s="8">
        <f>3*INDEX([1]equip.xml!$I:$I,MATCH(D3785,[1]equip.xml!$A:$A,0))</f>
        <v>318000</v>
      </c>
      <c r="H3785" s="7" t="str">
        <f t="shared" si="4425"/>
        <v>10_10,50_20,80_30</v>
      </c>
      <c r="I3785" s="7">
        <v>3</v>
      </c>
      <c r="J3785" s="7">
        <f t="shared" si="4425"/>
        <v>240</v>
      </c>
      <c r="K3785" s="7" t="s">
        <v>311</v>
      </c>
      <c r="L3785" s="7">
        <v>38</v>
      </c>
      <c r="M3785" s="7">
        <f>IF(INDEX([1]equip.xml!$B:$B,MATCH(D3785,[1]equip.xml!$A:$A,0))=0,0,N3785)</f>
        <v>130</v>
      </c>
      <c r="N3785" s="7">
        <f t="shared" ref="N3785" si="4432">N3697</f>
        <v>130</v>
      </c>
    </row>
    <row r="3786" spans="1:14">
      <c r="A3786" s="7">
        <f t="shared" si="4343"/>
        <v>20015</v>
      </c>
      <c r="B3786" s="7">
        <f t="shared" ref="B3786:C3786" si="4433">B3698</f>
        <v>40000</v>
      </c>
      <c r="C3786" s="7" t="str">
        <f t="shared" si="4433"/>
        <v>装备</v>
      </c>
      <c r="D3786" s="7">
        <v>50503065</v>
      </c>
      <c r="E3786" s="7"/>
      <c r="F3786" s="7">
        <v>1</v>
      </c>
      <c r="G3786" s="8">
        <f>3*INDEX([1]equip.xml!$I:$I,MATCH(D3786,[1]equip.xml!$A:$A,0))</f>
        <v>300000</v>
      </c>
      <c r="H3786" s="7" t="str">
        <f t="shared" si="4425"/>
        <v>10_10,50_20,80_30</v>
      </c>
      <c r="I3786" s="7">
        <v>3</v>
      </c>
      <c r="J3786" s="7">
        <f t="shared" si="4425"/>
        <v>240</v>
      </c>
      <c r="K3786" s="7" t="s">
        <v>311</v>
      </c>
      <c r="L3786" s="7">
        <v>38</v>
      </c>
      <c r="M3786" s="7">
        <f>IF(INDEX([1]equip.xml!$B:$B,MATCH(D3786,[1]equip.xml!$A:$A,0))=0,0,N3786)</f>
        <v>130</v>
      </c>
      <c r="N3786" s="7">
        <f t="shared" ref="N3786" si="4434">N3698</f>
        <v>130</v>
      </c>
    </row>
    <row r="3787" spans="1:14">
      <c r="A3787" s="7">
        <f t="shared" si="4343"/>
        <v>20015</v>
      </c>
      <c r="B3787" s="7">
        <f t="shared" ref="B3787:C3787" si="4435">B3699</f>
        <v>40000</v>
      </c>
      <c r="C3787" s="7" t="str">
        <f t="shared" si="4435"/>
        <v>装备</v>
      </c>
      <c r="D3787" s="7">
        <v>50503066</v>
      </c>
      <c r="E3787" s="7"/>
      <c r="F3787" s="7">
        <v>1</v>
      </c>
      <c r="G3787" s="8">
        <f>3*INDEX([1]equip.xml!$I:$I,MATCH(D3787,[1]equip.xml!$A:$A,0))</f>
        <v>318000</v>
      </c>
      <c r="H3787" s="7" t="str">
        <f t="shared" si="4425"/>
        <v>10_10,50_20,80_30</v>
      </c>
      <c r="I3787" s="7">
        <v>3</v>
      </c>
      <c r="J3787" s="7">
        <f t="shared" si="4425"/>
        <v>240</v>
      </c>
      <c r="K3787" s="7" t="s">
        <v>311</v>
      </c>
      <c r="L3787" s="7">
        <v>38</v>
      </c>
      <c r="M3787" s="7">
        <f>IF(INDEX([1]equip.xml!$B:$B,MATCH(D3787,[1]equip.xml!$A:$A,0))=0,0,N3787)</f>
        <v>130</v>
      </c>
      <c r="N3787" s="7">
        <f t="shared" ref="N3787" si="4436">N3699</f>
        <v>130</v>
      </c>
    </row>
    <row r="3788" spans="1:14">
      <c r="A3788" s="7">
        <f t="shared" si="4343"/>
        <v>20015</v>
      </c>
      <c r="B3788" s="7">
        <f t="shared" ref="B3788:C3788" si="4437">B3700</f>
        <v>40000</v>
      </c>
      <c r="C3788" s="7" t="str">
        <f t="shared" si="4437"/>
        <v>装备</v>
      </c>
      <c r="D3788" s="7">
        <v>50500045</v>
      </c>
      <c r="E3788" s="7"/>
      <c r="F3788" s="7">
        <v>1</v>
      </c>
      <c r="G3788" s="8">
        <f>3*INDEX([1]equip.xml!$I:$I,MATCH(D3788,[1]equip.xml!$A:$A,0))</f>
        <v>300000</v>
      </c>
      <c r="H3788" s="7" t="str">
        <f t="shared" si="4425"/>
        <v>10_10,50_20,80_30</v>
      </c>
      <c r="I3788" s="7">
        <v>3</v>
      </c>
      <c r="J3788" s="7">
        <f t="shared" si="4425"/>
        <v>240</v>
      </c>
      <c r="K3788" s="7" t="s">
        <v>311</v>
      </c>
      <c r="L3788" s="7">
        <v>38</v>
      </c>
      <c r="M3788" s="7">
        <f>IF(INDEX([1]equip.xml!$B:$B,MATCH(D3788,[1]equip.xml!$A:$A,0))=0,0,N3788)</f>
        <v>130</v>
      </c>
      <c r="N3788" s="7">
        <f t="shared" ref="N3788" si="4438">N3700</f>
        <v>130</v>
      </c>
    </row>
    <row r="3789" spans="1:14">
      <c r="A3789" s="7">
        <f t="shared" si="4343"/>
        <v>20015</v>
      </c>
      <c r="B3789" s="7">
        <f t="shared" ref="B3789:C3789" si="4439">B3701</f>
        <v>40000</v>
      </c>
      <c r="C3789" s="7" t="str">
        <f t="shared" si="4439"/>
        <v>装备</v>
      </c>
      <c r="D3789" s="7">
        <v>50500046</v>
      </c>
      <c r="E3789" s="7"/>
      <c r="F3789" s="7">
        <v>1</v>
      </c>
      <c r="G3789" s="8">
        <f>3*INDEX([1]equip.xml!$I:$I,MATCH(D3789,[1]equip.xml!$A:$A,0))</f>
        <v>318000</v>
      </c>
      <c r="H3789" s="7" t="str">
        <f t="shared" si="4425"/>
        <v>10_10,50_20,80_30</v>
      </c>
      <c r="I3789" s="7">
        <v>3</v>
      </c>
      <c r="J3789" s="7">
        <f t="shared" si="4425"/>
        <v>240</v>
      </c>
      <c r="K3789" s="7" t="s">
        <v>311</v>
      </c>
      <c r="L3789" s="7">
        <v>38</v>
      </c>
      <c r="M3789" s="7">
        <f>IF(INDEX([1]equip.xml!$B:$B,MATCH(D3789,[1]equip.xml!$A:$A,0))=0,0,N3789)</f>
        <v>0</v>
      </c>
      <c r="N3789" s="7">
        <f t="shared" ref="N3789" si="4440">N3701</f>
        <v>130</v>
      </c>
    </row>
    <row r="3790" spans="1:14">
      <c r="A3790" s="7">
        <f t="shared" si="4343"/>
        <v>20015</v>
      </c>
      <c r="B3790" s="7">
        <f t="shared" ref="B3790:C3790" si="4441">B3702</f>
        <v>40000</v>
      </c>
      <c r="C3790" s="7" t="str">
        <f t="shared" si="4441"/>
        <v>装备</v>
      </c>
      <c r="D3790" s="7">
        <v>50500075</v>
      </c>
      <c r="E3790" s="7"/>
      <c r="F3790" s="7">
        <v>1</v>
      </c>
      <c r="G3790" s="8">
        <f>3*INDEX([1]equip.xml!$I:$I,MATCH(D3790,[1]equip.xml!$A:$A,0))</f>
        <v>300000</v>
      </c>
      <c r="H3790" s="7" t="str">
        <f t="shared" si="4425"/>
        <v>10_10,50_20,80_30</v>
      </c>
      <c r="I3790" s="7">
        <v>3</v>
      </c>
      <c r="J3790" s="7">
        <f t="shared" si="4425"/>
        <v>240</v>
      </c>
      <c r="K3790" s="7" t="s">
        <v>311</v>
      </c>
      <c r="L3790" s="7">
        <v>38</v>
      </c>
      <c r="M3790" s="7">
        <f>IF(INDEX([1]equip.xml!$B:$B,MATCH(D3790,[1]equip.xml!$A:$A,0))=0,0,N3790)</f>
        <v>130</v>
      </c>
      <c r="N3790" s="7">
        <f t="shared" ref="N3790" si="4442">N3702</f>
        <v>130</v>
      </c>
    </row>
    <row r="3791" spans="1:14">
      <c r="A3791" s="7">
        <f t="shared" si="4343"/>
        <v>20015</v>
      </c>
      <c r="B3791" s="7">
        <f t="shared" ref="B3791:C3791" si="4443">B3703</f>
        <v>40000</v>
      </c>
      <c r="C3791" s="7" t="str">
        <f t="shared" si="4443"/>
        <v>装备</v>
      </c>
      <c r="D3791" s="7">
        <v>50500076</v>
      </c>
      <c r="E3791" s="7"/>
      <c r="F3791" s="7">
        <v>1</v>
      </c>
      <c r="G3791" s="8">
        <f>3*INDEX([1]equip.xml!$I:$I,MATCH(D3791,[1]equip.xml!$A:$A,0))</f>
        <v>318000</v>
      </c>
      <c r="H3791" s="7" t="str">
        <f t="shared" si="4425"/>
        <v>10_10,50_20,80_30</v>
      </c>
      <c r="I3791" s="7">
        <v>3</v>
      </c>
      <c r="J3791" s="7">
        <f t="shared" si="4425"/>
        <v>240</v>
      </c>
      <c r="K3791" s="7" t="s">
        <v>311</v>
      </c>
      <c r="L3791" s="7">
        <v>38</v>
      </c>
      <c r="M3791" s="7">
        <f>IF(INDEX([1]equip.xml!$B:$B,MATCH(D3791,[1]equip.xml!$A:$A,0))=0,0,N3791)</f>
        <v>0</v>
      </c>
      <c r="N3791" s="7">
        <f t="shared" ref="N3791" si="4444">N3703</f>
        <v>130</v>
      </c>
    </row>
    <row r="3792" spans="1:14">
      <c r="A3792" s="7">
        <f t="shared" si="4343"/>
        <v>20015</v>
      </c>
      <c r="B3792" s="7">
        <f t="shared" ref="B3792:C3792" si="4445">B3704</f>
        <v>40000</v>
      </c>
      <c r="C3792" s="7" t="str">
        <f t="shared" si="4445"/>
        <v>装备</v>
      </c>
      <c r="D3792" s="7">
        <v>50550015</v>
      </c>
      <c r="E3792" s="7"/>
      <c r="F3792" s="7">
        <v>1</v>
      </c>
      <c r="G3792" s="8">
        <f>3*INDEX([1]equip.xml!$I:$I,MATCH(D3792,[1]equip.xml!$A:$A,0))</f>
        <v>330000</v>
      </c>
      <c r="H3792" s="7" t="str">
        <f t="shared" si="4425"/>
        <v>10_10,50_20,80_30</v>
      </c>
      <c r="I3792" s="7">
        <v>3</v>
      </c>
      <c r="J3792" s="7">
        <f t="shared" si="4425"/>
        <v>240</v>
      </c>
      <c r="K3792" s="7" t="s">
        <v>311</v>
      </c>
      <c r="L3792" s="7">
        <v>38</v>
      </c>
      <c r="M3792" s="7">
        <f>IF(INDEX([1]equip.xml!$B:$B,MATCH(D3792,[1]equip.xml!$A:$A,0))=0,0,N3792)</f>
        <v>50</v>
      </c>
      <c r="N3792" s="7">
        <f t="shared" ref="N3792" si="4446">N3704</f>
        <v>50</v>
      </c>
    </row>
    <row r="3793" spans="1:14">
      <c r="A3793" s="7">
        <f t="shared" si="4343"/>
        <v>20015</v>
      </c>
      <c r="B3793" s="7">
        <f t="shared" ref="B3793:C3793" si="4447">B3705</f>
        <v>40000</v>
      </c>
      <c r="C3793" s="7" t="str">
        <f t="shared" si="4447"/>
        <v>装备</v>
      </c>
      <c r="D3793" s="7">
        <v>50550025</v>
      </c>
      <c r="E3793" s="7"/>
      <c r="F3793" s="7">
        <v>1</v>
      </c>
      <c r="G3793" s="8">
        <f>3*INDEX([1]equip.xml!$I:$I,MATCH(D3793,[1]equip.xml!$A:$A,0))</f>
        <v>330000</v>
      </c>
      <c r="H3793" s="7" t="str">
        <f t="shared" si="4425"/>
        <v>10_10,50_20,80_30</v>
      </c>
      <c r="I3793" s="7">
        <v>3</v>
      </c>
      <c r="J3793" s="7">
        <f t="shared" si="4425"/>
        <v>240</v>
      </c>
      <c r="K3793" s="7" t="s">
        <v>311</v>
      </c>
      <c r="L3793" s="7">
        <v>38</v>
      </c>
      <c r="M3793" s="7">
        <f>IF(INDEX([1]equip.xml!$B:$B,MATCH(D3793,[1]equip.xml!$A:$A,0))=0,0,N3793)</f>
        <v>50</v>
      </c>
      <c r="N3793" s="7">
        <f t="shared" ref="N3793" si="4448">N3705</f>
        <v>50</v>
      </c>
    </row>
    <row r="3794" spans="1:14">
      <c r="A3794" s="7">
        <f t="shared" si="4343"/>
        <v>20015</v>
      </c>
      <c r="B3794" s="7">
        <f t="shared" ref="B3794:C3794" si="4449">B3706</f>
        <v>40000</v>
      </c>
      <c r="C3794" s="7" t="str">
        <f t="shared" si="4449"/>
        <v>装备</v>
      </c>
      <c r="D3794" s="7">
        <v>50550035</v>
      </c>
      <c r="E3794" s="7"/>
      <c r="F3794" s="7">
        <v>1</v>
      </c>
      <c r="G3794" s="8">
        <f>3*INDEX([1]equip.xml!$I:$I,MATCH(D3794,[1]equip.xml!$A:$A,0))</f>
        <v>330000</v>
      </c>
      <c r="H3794" s="7" t="str">
        <f t="shared" si="4425"/>
        <v>10_10,50_20,80_30</v>
      </c>
      <c r="I3794" s="7">
        <v>3</v>
      </c>
      <c r="J3794" s="7">
        <f t="shared" si="4425"/>
        <v>240</v>
      </c>
      <c r="K3794" s="7" t="s">
        <v>311</v>
      </c>
      <c r="L3794" s="7">
        <v>38</v>
      </c>
      <c r="M3794" s="7">
        <f>IF(INDEX([1]equip.xml!$B:$B,MATCH(D3794,[1]equip.xml!$A:$A,0))=0,0,N3794)</f>
        <v>50</v>
      </c>
      <c r="N3794" s="7">
        <f t="shared" ref="N3794" si="4450">N3706</f>
        <v>50</v>
      </c>
    </row>
    <row r="3795" spans="1:14">
      <c r="A3795" s="7">
        <f t="shared" si="4343"/>
        <v>20015</v>
      </c>
      <c r="B3795" s="7">
        <f t="shared" ref="B3795:C3795" si="4451">B3707</f>
        <v>40000</v>
      </c>
      <c r="C3795" s="7" t="str">
        <f t="shared" si="4451"/>
        <v>装备</v>
      </c>
      <c r="D3795" s="7">
        <v>50550085</v>
      </c>
      <c r="E3795" s="7"/>
      <c r="F3795" s="7">
        <v>1</v>
      </c>
      <c r="G3795" s="8">
        <f>3*INDEX([1]equip.xml!$I:$I,MATCH(D3795,[1]equip.xml!$A:$A,0))</f>
        <v>330000</v>
      </c>
      <c r="H3795" s="7" t="str">
        <f t="shared" si="4425"/>
        <v>10_10,50_20,80_30</v>
      </c>
      <c r="I3795" s="7">
        <v>3</v>
      </c>
      <c r="J3795" s="7">
        <f t="shared" si="4425"/>
        <v>240</v>
      </c>
      <c r="K3795" s="7" t="s">
        <v>311</v>
      </c>
      <c r="L3795" s="7">
        <v>38</v>
      </c>
      <c r="M3795" s="7">
        <f>IF(INDEX([1]equip.xml!$B:$B,MATCH(D3795,[1]equip.xml!$A:$A,0))=0,0,N3795)</f>
        <v>50</v>
      </c>
      <c r="N3795" s="7">
        <f t="shared" ref="N3795" si="4452">N3707</f>
        <v>50</v>
      </c>
    </row>
    <row r="3796" spans="1:14">
      <c r="A3796" s="7">
        <f t="shared" si="4343"/>
        <v>20015</v>
      </c>
      <c r="B3796" s="7">
        <f t="shared" ref="B3796:C3796" si="4453">B3708</f>
        <v>40000</v>
      </c>
      <c r="C3796" s="7" t="str">
        <f t="shared" si="4453"/>
        <v>装备</v>
      </c>
      <c r="D3796" s="7">
        <v>50550095</v>
      </c>
      <c r="E3796" s="7"/>
      <c r="F3796" s="7">
        <v>1</v>
      </c>
      <c r="G3796" s="8">
        <f>3*INDEX([1]equip.xml!$I:$I,MATCH(D3796,[1]equip.xml!$A:$A,0))</f>
        <v>330000</v>
      </c>
      <c r="H3796" s="7" t="str">
        <f t="shared" si="4425"/>
        <v>10_10,50_20,80_30</v>
      </c>
      <c r="I3796" s="7">
        <v>3</v>
      </c>
      <c r="J3796" s="7">
        <f t="shared" si="4425"/>
        <v>240</v>
      </c>
      <c r="K3796" s="7" t="s">
        <v>311</v>
      </c>
      <c r="L3796" s="7">
        <v>38</v>
      </c>
      <c r="M3796" s="7">
        <f>IF(INDEX([1]equip.xml!$B:$B,MATCH(D3796,[1]equip.xml!$A:$A,0))=0,0,N3796)</f>
        <v>0</v>
      </c>
      <c r="N3796" s="7">
        <f t="shared" ref="N3796" si="4454">N3708</f>
        <v>50</v>
      </c>
    </row>
    <row r="3797" spans="1:14">
      <c r="A3797" s="7">
        <f t="shared" si="4343"/>
        <v>20015</v>
      </c>
      <c r="B3797" s="7">
        <f t="shared" ref="B3797:C3797" si="4455">B3709</f>
        <v>40000</v>
      </c>
      <c r="C3797" s="7" t="str">
        <f t="shared" si="4455"/>
        <v>装备</v>
      </c>
      <c r="D3797" s="7">
        <v>50550105</v>
      </c>
      <c r="E3797" s="7"/>
      <c r="F3797" s="7">
        <v>1</v>
      </c>
      <c r="G3797" s="8">
        <f>3*INDEX([1]equip.xml!$I:$I,MATCH(D3797,[1]equip.xml!$A:$A,0))</f>
        <v>330000</v>
      </c>
      <c r="H3797" s="7" t="str">
        <f t="shared" si="4425"/>
        <v>10_10,50_20,80_30</v>
      </c>
      <c r="I3797" s="7">
        <v>3</v>
      </c>
      <c r="J3797" s="7">
        <f t="shared" si="4425"/>
        <v>240</v>
      </c>
      <c r="K3797" s="7" t="s">
        <v>311</v>
      </c>
      <c r="L3797" s="7">
        <v>38</v>
      </c>
      <c r="M3797" s="7">
        <f>IF(INDEX([1]equip.xml!$B:$B,MATCH(D3797,[1]equip.xml!$A:$A,0))=0,0,N3797)</f>
        <v>50</v>
      </c>
      <c r="N3797" s="7">
        <f t="shared" ref="N3797" si="4456">N3709</f>
        <v>50</v>
      </c>
    </row>
    <row r="3798" spans="1:14">
      <c r="A3798" s="7">
        <f t="shared" si="4343"/>
        <v>20015</v>
      </c>
      <c r="B3798" s="7">
        <f t="shared" ref="B3798:C3798" si="4457">B3710</f>
        <v>40000</v>
      </c>
      <c r="C3798" s="7" t="str">
        <f t="shared" si="4457"/>
        <v>装备</v>
      </c>
      <c r="D3798" s="7">
        <v>50551055</v>
      </c>
      <c r="E3798" s="7"/>
      <c r="F3798" s="7">
        <v>1</v>
      </c>
      <c r="G3798" s="8">
        <f>3*INDEX([1]equip.xml!$I:$I,MATCH(D3798,[1]equip.xml!$A:$A,0))</f>
        <v>330000</v>
      </c>
      <c r="H3798" s="7" t="str">
        <f t="shared" ref="H3798:J3813" si="4458">H3710</f>
        <v>10_10,50_20,80_30</v>
      </c>
      <c r="I3798" s="7">
        <v>3</v>
      </c>
      <c r="J3798" s="7">
        <f t="shared" si="4458"/>
        <v>240</v>
      </c>
      <c r="K3798" s="7" t="s">
        <v>311</v>
      </c>
      <c r="L3798" s="7">
        <v>38</v>
      </c>
      <c r="M3798" s="7">
        <f>IF(INDEX([1]equip.xml!$B:$B,MATCH(D3798,[1]equip.xml!$A:$A,0))=0,0,N3798)</f>
        <v>50</v>
      </c>
      <c r="N3798" s="7">
        <f t="shared" ref="N3798" si="4459">N3710</f>
        <v>50</v>
      </c>
    </row>
    <row r="3799" spans="1:14">
      <c r="A3799" s="7">
        <f t="shared" si="4343"/>
        <v>20015</v>
      </c>
      <c r="B3799" s="7">
        <f t="shared" ref="B3799:C3799" si="4460">B3711</f>
        <v>40000</v>
      </c>
      <c r="C3799" s="7" t="str">
        <f t="shared" si="4460"/>
        <v>装备</v>
      </c>
      <c r="D3799" s="7">
        <v>50551056</v>
      </c>
      <c r="E3799" s="7"/>
      <c r="F3799" s="7">
        <v>1</v>
      </c>
      <c r="G3799" s="8">
        <f>3*INDEX([1]equip.xml!$I:$I,MATCH(D3799,[1]equip.xml!$A:$A,0))</f>
        <v>348000</v>
      </c>
      <c r="H3799" s="7" t="str">
        <f t="shared" si="4458"/>
        <v>10_10,50_20,80_30</v>
      </c>
      <c r="I3799" s="7">
        <v>3</v>
      </c>
      <c r="J3799" s="7">
        <f t="shared" si="4458"/>
        <v>240</v>
      </c>
      <c r="K3799" s="7" t="s">
        <v>311</v>
      </c>
      <c r="L3799" s="7">
        <v>38</v>
      </c>
      <c r="M3799" s="7">
        <f>IF(INDEX([1]equip.xml!$B:$B,MATCH(D3799,[1]equip.xml!$A:$A,0))=0,0,N3799)</f>
        <v>0</v>
      </c>
      <c r="N3799" s="7">
        <f t="shared" ref="N3799" si="4461">N3711</f>
        <v>50</v>
      </c>
    </row>
    <row r="3800" spans="1:14">
      <c r="A3800" s="7">
        <f t="shared" si="4343"/>
        <v>20015</v>
      </c>
      <c r="B3800" s="7">
        <f t="shared" ref="B3800:C3800" si="4462">B3712</f>
        <v>40000</v>
      </c>
      <c r="C3800" s="7" t="str">
        <f t="shared" si="4462"/>
        <v>装备</v>
      </c>
      <c r="D3800" s="7">
        <v>50551065</v>
      </c>
      <c r="E3800" s="7"/>
      <c r="F3800" s="7">
        <v>1</v>
      </c>
      <c r="G3800" s="8">
        <f>3*INDEX([1]equip.xml!$I:$I,MATCH(D3800,[1]equip.xml!$A:$A,0))</f>
        <v>330000</v>
      </c>
      <c r="H3800" s="7" t="str">
        <f t="shared" si="4458"/>
        <v>10_10,50_20,80_30</v>
      </c>
      <c r="I3800" s="7">
        <v>3</v>
      </c>
      <c r="J3800" s="7">
        <f t="shared" si="4458"/>
        <v>240</v>
      </c>
      <c r="K3800" s="7" t="s">
        <v>311</v>
      </c>
      <c r="L3800" s="7">
        <v>38</v>
      </c>
      <c r="M3800" s="7">
        <f>IF(INDEX([1]equip.xml!$B:$B,MATCH(D3800,[1]equip.xml!$A:$A,0))=0,0,N3800)</f>
        <v>50</v>
      </c>
      <c r="N3800" s="7">
        <f t="shared" ref="N3800" si="4463">N3712</f>
        <v>50</v>
      </c>
    </row>
    <row r="3801" spans="1:14">
      <c r="A3801" s="7">
        <f t="shared" si="4343"/>
        <v>20015</v>
      </c>
      <c r="B3801" s="7">
        <f t="shared" ref="B3801:C3801" si="4464">B3713</f>
        <v>40000</v>
      </c>
      <c r="C3801" s="7" t="str">
        <f t="shared" si="4464"/>
        <v>装备</v>
      </c>
      <c r="D3801" s="7">
        <v>50551066</v>
      </c>
      <c r="E3801" s="7"/>
      <c r="F3801" s="7">
        <v>1</v>
      </c>
      <c r="G3801" s="8">
        <f>3*INDEX([1]equip.xml!$I:$I,MATCH(D3801,[1]equip.xml!$A:$A,0))</f>
        <v>348000</v>
      </c>
      <c r="H3801" s="7" t="str">
        <f t="shared" si="4458"/>
        <v>10_10,50_20,80_30</v>
      </c>
      <c r="I3801" s="7">
        <v>3</v>
      </c>
      <c r="J3801" s="7">
        <f t="shared" si="4458"/>
        <v>240</v>
      </c>
      <c r="K3801" s="7" t="s">
        <v>311</v>
      </c>
      <c r="L3801" s="7">
        <v>38</v>
      </c>
      <c r="M3801" s="7">
        <f>IF(INDEX([1]equip.xml!$B:$B,MATCH(D3801,[1]equip.xml!$A:$A,0))=0,0,N3801)</f>
        <v>50</v>
      </c>
      <c r="N3801" s="7">
        <f t="shared" ref="N3801" si="4465">N3713</f>
        <v>50</v>
      </c>
    </row>
    <row r="3802" spans="1:14">
      <c r="A3802" s="7">
        <f t="shared" si="4343"/>
        <v>20015</v>
      </c>
      <c r="B3802" s="7">
        <f t="shared" ref="B3802:C3802" si="4466">B3714</f>
        <v>40000</v>
      </c>
      <c r="C3802" s="7" t="str">
        <f t="shared" si="4466"/>
        <v>装备</v>
      </c>
      <c r="D3802" s="7">
        <v>50552055</v>
      </c>
      <c r="E3802" s="7"/>
      <c r="F3802" s="7">
        <v>1</v>
      </c>
      <c r="G3802" s="8">
        <f>3*INDEX([1]equip.xml!$I:$I,MATCH(D3802,[1]equip.xml!$A:$A,0))</f>
        <v>330000</v>
      </c>
      <c r="H3802" s="7" t="str">
        <f t="shared" si="4458"/>
        <v>10_10,50_20,80_30</v>
      </c>
      <c r="I3802" s="7">
        <v>3</v>
      </c>
      <c r="J3802" s="7">
        <f t="shared" si="4458"/>
        <v>240</v>
      </c>
      <c r="K3802" s="7" t="s">
        <v>311</v>
      </c>
      <c r="L3802" s="7">
        <v>38</v>
      </c>
      <c r="M3802" s="7">
        <f>IF(INDEX([1]equip.xml!$B:$B,MATCH(D3802,[1]equip.xml!$A:$A,0))=0,0,N3802)</f>
        <v>50</v>
      </c>
      <c r="N3802" s="7">
        <f t="shared" ref="N3802" si="4467">N3714</f>
        <v>50</v>
      </c>
    </row>
    <row r="3803" spans="1:14">
      <c r="A3803" s="7">
        <f t="shared" si="4343"/>
        <v>20015</v>
      </c>
      <c r="B3803" s="7">
        <f t="shared" ref="B3803:C3803" si="4468">B3715</f>
        <v>40000</v>
      </c>
      <c r="C3803" s="7" t="str">
        <f t="shared" si="4468"/>
        <v>装备</v>
      </c>
      <c r="D3803" s="7">
        <v>50552056</v>
      </c>
      <c r="E3803" s="7"/>
      <c r="F3803" s="7">
        <v>1</v>
      </c>
      <c r="G3803" s="8">
        <f>3*INDEX([1]equip.xml!$I:$I,MATCH(D3803,[1]equip.xml!$A:$A,0))</f>
        <v>348000</v>
      </c>
      <c r="H3803" s="7" t="str">
        <f t="shared" si="4458"/>
        <v>10_10,50_20,80_30</v>
      </c>
      <c r="I3803" s="7">
        <v>3</v>
      </c>
      <c r="J3803" s="7">
        <f t="shared" si="4458"/>
        <v>240</v>
      </c>
      <c r="K3803" s="7" t="s">
        <v>311</v>
      </c>
      <c r="L3803" s="7">
        <v>38</v>
      </c>
      <c r="M3803" s="7">
        <f>IF(INDEX([1]equip.xml!$B:$B,MATCH(D3803,[1]equip.xml!$A:$A,0))=0,0,N3803)</f>
        <v>0</v>
      </c>
      <c r="N3803" s="7">
        <f t="shared" ref="N3803" si="4469">N3715</f>
        <v>50</v>
      </c>
    </row>
    <row r="3804" spans="1:14">
      <c r="A3804" s="7">
        <f t="shared" si="4343"/>
        <v>20015</v>
      </c>
      <c r="B3804" s="7">
        <f t="shared" ref="B3804:C3804" si="4470">B3716</f>
        <v>40000</v>
      </c>
      <c r="C3804" s="7" t="str">
        <f t="shared" si="4470"/>
        <v>装备</v>
      </c>
      <c r="D3804" s="7">
        <v>50552065</v>
      </c>
      <c r="E3804" s="7"/>
      <c r="F3804" s="7">
        <v>1</v>
      </c>
      <c r="G3804" s="8">
        <f>3*INDEX([1]equip.xml!$I:$I,MATCH(D3804,[1]equip.xml!$A:$A,0))</f>
        <v>330000</v>
      </c>
      <c r="H3804" s="7" t="str">
        <f t="shared" si="4458"/>
        <v>10_10,50_20,80_30</v>
      </c>
      <c r="I3804" s="7">
        <v>3</v>
      </c>
      <c r="J3804" s="7">
        <f t="shared" si="4458"/>
        <v>240</v>
      </c>
      <c r="K3804" s="7" t="s">
        <v>311</v>
      </c>
      <c r="L3804" s="7">
        <v>38</v>
      </c>
      <c r="M3804" s="7">
        <f>IF(INDEX([1]equip.xml!$B:$B,MATCH(D3804,[1]equip.xml!$A:$A,0))=0,0,N3804)</f>
        <v>50</v>
      </c>
      <c r="N3804" s="7">
        <f t="shared" ref="N3804" si="4471">N3716</f>
        <v>50</v>
      </c>
    </row>
    <row r="3805" spans="1:14">
      <c r="A3805" s="7">
        <f t="shared" si="4343"/>
        <v>20015</v>
      </c>
      <c r="B3805" s="7">
        <f t="shared" ref="B3805:C3805" si="4472">B3717</f>
        <v>40000</v>
      </c>
      <c r="C3805" s="7" t="str">
        <f t="shared" si="4472"/>
        <v>装备</v>
      </c>
      <c r="D3805" s="7">
        <v>50552066</v>
      </c>
      <c r="E3805" s="7"/>
      <c r="F3805" s="7">
        <v>1</v>
      </c>
      <c r="G3805" s="8">
        <f>3*INDEX([1]equip.xml!$I:$I,MATCH(D3805,[1]equip.xml!$A:$A,0))</f>
        <v>348000</v>
      </c>
      <c r="H3805" s="7" t="str">
        <f t="shared" si="4458"/>
        <v>10_10,50_20,80_30</v>
      </c>
      <c r="I3805" s="7">
        <v>3</v>
      </c>
      <c r="J3805" s="7">
        <f t="shared" si="4458"/>
        <v>240</v>
      </c>
      <c r="K3805" s="7" t="s">
        <v>311</v>
      </c>
      <c r="L3805" s="7">
        <v>38</v>
      </c>
      <c r="M3805" s="7">
        <f>IF(INDEX([1]equip.xml!$B:$B,MATCH(D3805,[1]equip.xml!$A:$A,0))=0,0,N3805)</f>
        <v>50</v>
      </c>
      <c r="N3805" s="7">
        <f t="shared" ref="N3805" si="4473">N3717</f>
        <v>50</v>
      </c>
    </row>
    <row r="3806" spans="1:14">
      <c r="A3806" s="7">
        <f t="shared" si="4343"/>
        <v>20015</v>
      </c>
      <c r="B3806" s="7">
        <f t="shared" ref="B3806:C3806" si="4474">B3718</f>
        <v>40000</v>
      </c>
      <c r="C3806" s="7" t="str">
        <f t="shared" si="4474"/>
        <v>装备</v>
      </c>
      <c r="D3806" s="7">
        <v>50553055</v>
      </c>
      <c r="E3806" s="7"/>
      <c r="F3806" s="7">
        <v>1</v>
      </c>
      <c r="G3806" s="8">
        <f>3*INDEX([1]equip.xml!$I:$I,MATCH(D3806,[1]equip.xml!$A:$A,0))</f>
        <v>330000</v>
      </c>
      <c r="H3806" s="7" t="str">
        <f t="shared" si="4458"/>
        <v>10_10,50_20,80_30</v>
      </c>
      <c r="I3806" s="7">
        <v>3</v>
      </c>
      <c r="J3806" s="7">
        <f t="shared" si="4458"/>
        <v>240</v>
      </c>
      <c r="K3806" s="7" t="s">
        <v>311</v>
      </c>
      <c r="L3806" s="7">
        <v>38</v>
      </c>
      <c r="M3806" s="7">
        <f>IF(INDEX([1]equip.xml!$B:$B,MATCH(D3806,[1]equip.xml!$A:$A,0))=0,0,N3806)</f>
        <v>50</v>
      </c>
      <c r="N3806" s="7">
        <f t="shared" ref="N3806" si="4475">N3718</f>
        <v>50</v>
      </c>
    </row>
    <row r="3807" spans="1:14">
      <c r="A3807" s="7">
        <f t="shared" ref="A3807:A3870" si="4476">10000+A991</f>
        <v>20015</v>
      </c>
      <c r="B3807" s="7">
        <f t="shared" ref="B3807:C3807" si="4477">B3719</f>
        <v>40000</v>
      </c>
      <c r="C3807" s="7" t="str">
        <f t="shared" si="4477"/>
        <v>装备</v>
      </c>
      <c r="D3807" s="7">
        <v>50553056</v>
      </c>
      <c r="E3807" s="7"/>
      <c r="F3807" s="7">
        <v>1</v>
      </c>
      <c r="G3807" s="8">
        <f>3*INDEX([1]equip.xml!$I:$I,MATCH(D3807,[1]equip.xml!$A:$A,0))</f>
        <v>348000</v>
      </c>
      <c r="H3807" s="7" t="str">
        <f t="shared" si="4458"/>
        <v>10_10,50_20,80_30</v>
      </c>
      <c r="I3807" s="7">
        <v>3</v>
      </c>
      <c r="J3807" s="7">
        <f t="shared" si="4458"/>
        <v>240</v>
      </c>
      <c r="K3807" s="7" t="s">
        <v>311</v>
      </c>
      <c r="L3807" s="7">
        <v>38</v>
      </c>
      <c r="M3807" s="7">
        <f>IF(INDEX([1]equip.xml!$B:$B,MATCH(D3807,[1]equip.xml!$A:$A,0))=0,0,N3807)</f>
        <v>0</v>
      </c>
      <c r="N3807" s="7">
        <f t="shared" ref="N3807" si="4478">N3719</f>
        <v>50</v>
      </c>
    </row>
    <row r="3808" spans="1:14">
      <c r="A3808" s="7">
        <f t="shared" si="4476"/>
        <v>20015</v>
      </c>
      <c r="B3808" s="7">
        <f t="shared" ref="B3808:C3808" si="4479">B3720</f>
        <v>40000</v>
      </c>
      <c r="C3808" s="7" t="str">
        <f t="shared" si="4479"/>
        <v>装备</v>
      </c>
      <c r="D3808" s="7">
        <v>50553065</v>
      </c>
      <c r="E3808" s="7"/>
      <c r="F3808" s="7">
        <v>1</v>
      </c>
      <c r="G3808" s="8">
        <f>3*INDEX([1]equip.xml!$I:$I,MATCH(D3808,[1]equip.xml!$A:$A,0))</f>
        <v>330000</v>
      </c>
      <c r="H3808" s="7" t="str">
        <f t="shared" si="4458"/>
        <v>10_10,50_20,80_30</v>
      </c>
      <c r="I3808" s="7">
        <v>3</v>
      </c>
      <c r="J3808" s="7">
        <f t="shared" si="4458"/>
        <v>240</v>
      </c>
      <c r="K3808" s="7" t="s">
        <v>311</v>
      </c>
      <c r="L3808" s="7">
        <v>38</v>
      </c>
      <c r="M3808" s="7">
        <f>IF(INDEX([1]equip.xml!$B:$B,MATCH(D3808,[1]equip.xml!$A:$A,0))=0,0,N3808)</f>
        <v>50</v>
      </c>
      <c r="N3808" s="7">
        <f t="shared" ref="N3808" si="4480">N3720</f>
        <v>50</v>
      </c>
    </row>
    <row r="3809" spans="1:14">
      <c r="A3809" s="7">
        <f t="shared" si="4476"/>
        <v>20015</v>
      </c>
      <c r="B3809" s="7">
        <f t="shared" ref="B3809:C3809" si="4481">B3721</f>
        <v>40000</v>
      </c>
      <c r="C3809" s="7" t="str">
        <f t="shared" si="4481"/>
        <v>装备</v>
      </c>
      <c r="D3809" s="7">
        <v>50553066</v>
      </c>
      <c r="E3809" s="7"/>
      <c r="F3809" s="7">
        <v>1</v>
      </c>
      <c r="G3809" s="8">
        <f>3*INDEX([1]equip.xml!$I:$I,MATCH(D3809,[1]equip.xml!$A:$A,0))</f>
        <v>348000</v>
      </c>
      <c r="H3809" s="7" t="str">
        <f t="shared" si="4458"/>
        <v>10_10,50_20,80_30</v>
      </c>
      <c r="I3809" s="7">
        <v>3</v>
      </c>
      <c r="J3809" s="7">
        <f t="shared" si="4458"/>
        <v>240</v>
      </c>
      <c r="K3809" s="7" t="s">
        <v>311</v>
      </c>
      <c r="L3809" s="7">
        <v>38</v>
      </c>
      <c r="M3809" s="7">
        <f>IF(INDEX([1]equip.xml!$B:$B,MATCH(D3809,[1]equip.xml!$A:$A,0))=0,0,N3809)</f>
        <v>50</v>
      </c>
      <c r="N3809" s="7">
        <f t="shared" ref="N3809" si="4482">N3721</f>
        <v>50</v>
      </c>
    </row>
    <row r="3810" spans="1:14">
      <c r="A3810" s="7">
        <f t="shared" si="4476"/>
        <v>20015</v>
      </c>
      <c r="B3810" s="7">
        <f t="shared" ref="B3810:C3810" si="4483">B3722</f>
        <v>40000</v>
      </c>
      <c r="C3810" s="7" t="str">
        <f t="shared" si="4483"/>
        <v>装备</v>
      </c>
      <c r="D3810" s="7">
        <v>50550045</v>
      </c>
      <c r="E3810" s="7"/>
      <c r="F3810" s="7">
        <v>1</v>
      </c>
      <c r="G3810" s="8">
        <f>3*INDEX([1]equip.xml!$I:$I,MATCH(D3810,[1]equip.xml!$A:$A,0))</f>
        <v>330000</v>
      </c>
      <c r="H3810" s="7" t="str">
        <f t="shared" si="4458"/>
        <v>10_10,50_20,80_30</v>
      </c>
      <c r="I3810" s="7">
        <v>3</v>
      </c>
      <c r="J3810" s="7">
        <f t="shared" si="4458"/>
        <v>240</v>
      </c>
      <c r="K3810" s="7" t="s">
        <v>311</v>
      </c>
      <c r="L3810" s="7">
        <v>38</v>
      </c>
      <c r="M3810" s="7">
        <f>IF(INDEX([1]equip.xml!$B:$B,MATCH(D3810,[1]equip.xml!$A:$A,0))=0,0,N3810)</f>
        <v>50</v>
      </c>
      <c r="N3810" s="7">
        <f t="shared" ref="N3810" si="4484">N3722</f>
        <v>50</v>
      </c>
    </row>
    <row r="3811" spans="1:14">
      <c r="A3811" s="7">
        <f t="shared" si="4476"/>
        <v>20015</v>
      </c>
      <c r="B3811" s="7">
        <f t="shared" ref="B3811:C3811" si="4485">B3723</f>
        <v>40000</v>
      </c>
      <c r="C3811" s="7" t="str">
        <f t="shared" si="4485"/>
        <v>装备</v>
      </c>
      <c r="D3811" s="7">
        <v>50550046</v>
      </c>
      <c r="E3811" s="7"/>
      <c r="F3811" s="7">
        <v>1</v>
      </c>
      <c r="G3811" s="8">
        <f>3*INDEX([1]equip.xml!$I:$I,MATCH(D3811,[1]equip.xml!$A:$A,0))</f>
        <v>348000</v>
      </c>
      <c r="H3811" s="7" t="str">
        <f t="shared" si="4458"/>
        <v>10_10,50_20,80_30</v>
      </c>
      <c r="I3811" s="7">
        <v>3</v>
      </c>
      <c r="J3811" s="7">
        <f t="shared" si="4458"/>
        <v>240</v>
      </c>
      <c r="K3811" s="7" t="s">
        <v>311</v>
      </c>
      <c r="L3811" s="7">
        <v>38</v>
      </c>
      <c r="M3811" s="7">
        <f>IF(INDEX([1]equip.xml!$B:$B,MATCH(D3811,[1]equip.xml!$A:$A,0))=0,0,N3811)</f>
        <v>0</v>
      </c>
      <c r="N3811" s="7">
        <f t="shared" ref="N3811" si="4486">N3723</f>
        <v>50</v>
      </c>
    </row>
    <row r="3812" spans="1:14">
      <c r="A3812" s="7">
        <f t="shared" si="4476"/>
        <v>20015</v>
      </c>
      <c r="B3812" s="7">
        <f t="shared" ref="B3812:C3812" si="4487">B3724</f>
        <v>40000</v>
      </c>
      <c r="C3812" s="7" t="str">
        <f t="shared" si="4487"/>
        <v>装备</v>
      </c>
      <c r="D3812" s="7">
        <v>50550075</v>
      </c>
      <c r="E3812" s="7"/>
      <c r="F3812" s="7">
        <v>1</v>
      </c>
      <c r="G3812" s="8">
        <f>3*INDEX([1]equip.xml!$I:$I,MATCH(D3812,[1]equip.xml!$A:$A,0))</f>
        <v>330000</v>
      </c>
      <c r="H3812" s="7" t="str">
        <f t="shared" si="4458"/>
        <v>10_10,50_20,80_30</v>
      </c>
      <c r="I3812" s="7">
        <v>3</v>
      </c>
      <c r="J3812" s="7">
        <f t="shared" si="4458"/>
        <v>240</v>
      </c>
      <c r="K3812" s="7" t="s">
        <v>311</v>
      </c>
      <c r="L3812" s="7">
        <v>38</v>
      </c>
      <c r="M3812" s="7">
        <f>IF(INDEX([1]equip.xml!$B:$B,MATCH(D3812,[1]equip.xml!$A:$A,0))=0,0,N3812)</f>
        <v>50</v>
      </c>
      <c r="N3812" s="7">
        <f t="shared" ref="N3812" si="4488">N3724</f>
        <v>50</v>
      </c>
    </row>
    <row r="3813" spans="1:14">
      <c r="A3813" s="7">
        <f t="shared" si="4476"/>
        <v>20015</v>
      </c>
      <c r="B3813" s="7">
        <f t="shared" ref="B3813:C3813" si="4489">B3725</f>
        <v>40000</v>
      </c>
      <c r="C3813" s="7" t="str">
        <f t="shared" si="4489"/>
        <v>装备</v>
      </c>
      <c r="D3813" s="7">
        <v>50550076</v>
      </c>
      <c r="E3813" s="7"/>
      <c r="F3813" s="7">
        <v>1</v>
      </c>
      <c r="G3813" s="8">
        <f>3*INDEX([1]equip.xml!$I:$I,MATCH(D3813,[1]equip.xml!$A:$A,0))</f>
        <v>348000</v>
      </c>
      <c r="H3813" s="7" t="str">
        <f t="shared" si="4458"/>
        <v>10_10,50_20,80_30</v>
      </c>
      <c r="I3813" s="7">
        <v>3</v>
      </c>
      <c r="J3813" s="7">
        <f t="shared" si="4458"/>
        <v>240</v>
      </c>
      <c r="K3813" s="7" t="s">
        <v>311</v>
      </c>
      <c r="L3813" s="7">
        <v>38</v>
      </c>
      <c r="M3813" s="7">
        <f>IF(INDEX([1]equip.xml!$B:$B,MATCH(D3813,[1]equip.xml!$A:$A,0))=0,0,N3813)</f>
        <v>0</v>
      </c>
      <c r="N3813" s="7">
        <f t="shared" ref="N3813" si="4490">N3725</f>
        <v>50</v>
      </c>
    </row>
    <row r="3814" spans="1:14">
      <c r="A3814" s="7">
        <f t="shared" si="4476"/>
        <v>20016</v>
      </c>
      <c r="B3814" s="8">
        <f t="shared" ref="B3814:C3814" si="4491">B3726</f>
        <v>40000</v>
      </c>
      <c r="C3814" s="8" t="str">
        <f t="shared" si="4491"/>
        <v>装备</v>
      </c>
      <c r="D3814" s="8">
        <v>40550010</v>
      </c>
      <c r="E3814" s="8"/>
      <c r="F3814" s="8">
        <v>1</v>
      </c>
      <c r="G3814" s="7">
        <f>3*INDEX([1]equip.xml!$I:$I,MATCH(D3814&amp;"",[1]equip.xml!$A:$A,0))</f>
        <v>165000</v>
      </c>
      <c r="H3814" s="8" t="str">
        <f t="shared" ref="H3814:J3829" si="4492">H3726</f>
        <v>10_10,50_20,80_30</v>
      </c>
      <c r="I3814" s="8">
        <v>6</v>
      </c>
      <c r="J3814" s="8">
        <f t="shared" si="4492"/>
        <v>50</v>
      </c>
      <c r="K3814" s="7" t="s">
        <v>311</v>
      </c>
      <c r="L3814" s="8">
        <v>40</v>
      </c>
      <c r="M3814" s="7">
        <f>IF(INDEX([1]equip.xml!$B:$B,MATCH(D3814&amp;"",[1]equip.xml!$A:$A,0))=0,0,N3814)</f>
        <v>130</v>
      </c>
      <c r="N3814" s="8">
        <f t="shared" ref="N3814" si="4493">N3726</f>
        <v>130</v>
      </c>
    </row>
    <row r="3815" spans="1:14">
      <c r="A3815" s="7">
        <f t="shared" si="4476"/>
        <v>20016</v>
      </c>
      <c r="B3815" s="8">
        <f t="shared" ref="B3815:C3815" si="4494">B3727</f>
        <v>40000</v>
      </c>
      <c r="C3815" s="8" t="str">
        <f t="shared" si="4494"/>
        <v>装备</v>
      </c>
      <c r="D3815" s="8">
        <v>40550020</v>
      </c>
      <c r="E3815" s="8"/>
      <c r="F3815" s="8">
        <v>1</v>
      </c>
      <c r="G3815" s="7">
        <f>3*INDEX([1]equip.xml!$I:$I,MATCH(D3815&amp;"",[1]equip.xml!$A:$A,0))</f>
        <v>165000</v>
      </c>
      <c r="H3815" s="8" t="str">
        <f t="shared" si="4492"/>
        <v>10_10,50_20,80_30</v>
      </c>
      <c r="I3815" s="8">
        <v>6</v>
      </c>
      <c r="J3815" s="8">
        <f t="shared" si="4492"/>
        <v>50</v>
      </c>
      <c r="K3815" s="7" t="s">
        <v>311</v>
      </c>
      <c r="L3815" s="8">
        <v>40</v>
      </c>
      <c r="M3815" s="7">
        <f>IF(INDEX([1]equip.xml!$B:$B,MATCH(D3815&amp;"",[1]equip.xml!$A:$A,0))=0,0,N3815)</f>
        <v>130</v>
      </c>
      <c r="N3815" s="8">
        <f t="shared" ref="N3815" si="4495">N3727</f>
        <v>130</v>
      </c>
    </row>
    <row r="3816" spans="1:14">
      <c r="A3816" s="7">
        <f t="shared" si="4476"/>
        <v>20016</v>
      </c>
      <c r="B3816" s="8">
        <f t="shared" ref="B3816:C3816" si="4496">B3728</f>
        <v>40000</v>
      </c>
      <c r="C3816" s="8" t="str">
        <f t="shared" si="4496"/>
        <v>装备</v>
      </c>
      <c r="D3816" s="8">
        <v>40550030</v>
      </c>
      <c r="E3816" s="8"/>
      <c r="F3816" s="8">
        <v>1</v>
      </c>
      <c r="G3816" s="7">
        <f>3*INDEX([1]equip.xml!$I:$I,MATCH(D3816&amp;"",[1]equip.xml!$A:$A,0))</f>
        <v>165000</v>
      </c>
      <c r="H3816" s="8" t="str">
        <f t="shared" si="4492"/>
        <v>10_10,50_20,80_30</v>
      </c>
      <c r="I3816" s="8">
        <v>6</v>
      </c>
      <c r="J3816" s="8">
        <f t="shared" si="4492"/>
        <v>50</v>
      </c>
      <c r="K3816" s="7" t="s">
        <v>311</v>
      </c>
      <c r="L3816" s="8">
        <v>40</v>
      </c>
      <c r="M3816" s="7">
        <f>IF(INDEX([1]equip.xml!$B:$B,MATCH(D3816&amp;"",[1]equip.xml!$A:$A,0))=0,0,N3816)</f>
        <v>130</v>
      </c>
      <c r="N3816" s="8">
        <f t="shared" ref="N3816" si="4497">N3728</f>
        <v>130</v>
      </c>
    </row>
    <row r="3817" spans="1:14">
      <c r="A3817" s="7">
        <f t="shared" si="4476"/>
        <v>20016</v>
      </c>
      <c r="B3817" s="8">
        <f t="shared" ref="B3817:C3817" si="4498">B3729</f>
        <v>40000</v>
      </c>
      <c r="C3817" s="8" t="str">
        <f t="shared" si="4498"/>
        <v>装备</v>
      </c>
      <c r="D3817" s="8">
        <v>40550080</v>
      </c>
      <c r="E3817" s="8"/>
      <c r="F3817" s="8">
        <v>1</v>
      </c>
      <c r="G3817" s="7">
        <f>3*INDEX([1]equip.xml!$I:$I,MATCH(D3817&amp;"",[1]equip.xml!$A:$A,0))</f>
        <v>165000</v>
      </c>
      <c r="H3817" s="8" t="str">
        <f t="shared" si="4492"/>
        <v>10_10,50_20,80_30</v>
      </c>
      <c r="I3817" s="8">
        <v>6</v>
      </c>
      <c r="J3817" s="8">
        <f t="shared" si="4492"/>
        <v>50</v>
      </c>
      <c r="K3817" s="7" t="s">
        <v>311</v>
      </c>
      <c r="L3817" s="8">
        <v>40</v>
      </c>
      <c r="M3817" s="7">
        <f>IF(INDEX([1]equip.xml!$B:$B,MATCH(D3817&amp;"",[1]equip.xml!$A:$A,0))=0,0,N3817)</f>
        <v>130</v>
      </c>
      <c r="N3817" s="8">
        <f t="shared" ref="N3817" si="4499">N3729</f>
        <v>130</v>
      </c>
    </row>
    <row r="3818" spans="1:14">
      <c r="A3818" s="7">
        <f t="shared" si="4476"/>
        <v>20016</v>
      </c>
      <c r="B3818" s="8">
        <f t="shared" ref="B3818:C3818" si="4500">B3730</f>
        <v>40000</v>
      </c>
      <c r="C3818" s="8" t="str">
        <f t="shared" si="4500"/>
        <v>装备</v>
      </c>
      <c r="D3818" s="8">
        <v>40550090</v>
      </c>
      <c r="E3818" s="8"/>
      <c r="F3818" s="8">
        <v>1</v>
      </c>
      <c r="G3818" s="7">
        <f>3*INDEX([1]equip.xml!$I:$I,MATCH(D3818&amp;"",[1]equip.xml!$A:$A,0))</f>
        <v>165000</v>
      </c>
      <c r="H3818" s="8" t="str">
        <f t="shared" si="4492"/>
        <v>10_10,50_20,80_30</v>
      </c>
      <c r="I3818" s="8">
        <v>6</v>
      </c>
      <c r="J3818" s="8">
        <f t="shared" si="4492"/>
        <v>50</v>
      </c>
      <c r="K3818" s="7" t="s">
        <v>311</v>
      </c>
      <c r="L3818" s="8">
        <v>40</v>
      </c>
      <c r="M3818" s="7">
        <f>IF(INDEX([1]equip.xml!$B:$B,MATCH(D3818&amp;"",[1]equip.xml!$A:$A,0))=0,0,N3818)</f>
        <v>0</v>
      </c>
      <c r="N3818" s="8">
        <f t="shared" ref="N3818" si="4501">N3730</f>
        <v>130</v>
      </c>
    </row>
    <row r="3819" spans="1:14">
      <c r="A3819" s="7">
        <f t="shared" si="4476"/>
        <v>20016</v>
      </c>
      <c r="B3819" s="8">
        <f t="shared" ref="B3819:C3819" si="4502">B3731</f>
        <v>40000</v>
      </c>
      <c r="C3819" s="8" t="str">
        <f t="shared" si="4502"/>
        <v>装备</v>
      </c>
      <c r="D3819" s="8">
        <v>40550100</v>
      </c>
      <c r="E3819" s="8"/>
      <c r="F3819" s="8">
        <v>1</v>
      </c>
      <c r="G3819" s="7">
        <f>3*INDEX([1]equip.xml!$I:$I,MATCH(D3819&amp;"",[1]equip.xml!$A:$A,0))</f>
        <v>165000</v>
      </c>
      <c r="H3819" s="8" t="str">
        <f t="shared" si="4492"/>
        <v>10_10,50_20,80_30</v>
      </c>
      <c r="I3819" s="8">
        <v>6</v>
      </c>
      <c r="J3819" s="8">
        <f t="shared" si="4492"/>
        <v>50</v>
      </c>
      <c r="K3819" s="7" t="s">
        <v>311</v>
      </c>
      <c r="L3819" s="8">
        <v>40</v>
      </c>
      <c r="M3819" s="7">
        <f>IF(INDEX([1]equip.xml!$B:$B,MATCH(D3819&amp;"",[1]equip.xml!$A:$A,0))=0,0,N3819)</f>
        <v>130</v>
      </c>
      <c r="N3819" s="8">
        <f t="shared" ref="N3819" si="4503">N3731</f>
        <v>130</v>
      </c>
    </row>
    <row r="3820" spans="1:14">
      <c r="A3820" s="7">
        <f t="shared" si="4476"/>
        <v>20016</v>
      </c>
      <c r="B3820" s="8">
        <f t="shared" ref="B3820:C3820" si="4504">B3732</f>
        <v>40000</v>
      </c>
      <c r="C3820" s="8" t="str">
        <f t="shared" si="4504"/>
        <v>装备</v>
      </c>
      <c r="D3820" s="8">
        <v>40551050</v>
      </c>
      <c r="E3820" s="8"/>
      <c r="F3820" s="8">
        <v>1</v>
      </c>
      <c r="G3820" s="7">
        <f>3*INDEX([1]equip.xml!$I:$I,MATCH(D3820&amp;"",[1]equip.xml!$A:$A,0))</f>
        <v>165000</v>
      </c>
      <c r="H3820" s="8" t="str">
        <f t="shared" si="4492"/>
        <v>10_10,50_20,80_30</v>
      </c>
      <c r="I3820" s="8">
        <v>6</v>
      </c>
      <c r="J3820" s="8">
        <f t="shared" si="4492"/>
        <v>50</v>
      </c>
      <c r="K3820" s="7" t="s">
        <v>311</v>
      </c>
      <c r="L3820" s="8">
        <v>40</v>
      </c>
      <c r="M3820" s="7">
        <f>IF(INDEX([1]equip.xml!$B:$B,MATCH(D3820&amp;"",[1]equip.xml!$A:$A,0))=0,0,N3820)</f>
        <v>130</v>
      </c>
      <c r="N3820" s="8">
        <f t="shared" ref="N3820" si="4505">N3732</f>
        <v>130</v>
      </c>
    </row>
    <row r="3821" spans="1:14">
      <c r="A3821" s="7">
        <f t="shared" si="4476"/>
        <v>20016</v>
      </c>
      <c r="B3821" s="8">
        <f t="shared" ref="B3821:C3821" si="4506">B3733</f>
        <v>40000</v>
      </c>
      <c r="C3821" s="8" t="str">
        <f t="shared" si="4506"/>
        <v>装备</v>
      </c>
      <c r="D3821" s="8">
        <v>40551051</v>
      </c>
      <c r="E3821" s="8"/>
      <c r="F3821" s="8">
        <v>1</v>
      </c>
      <c r="G3821" s="7">
        <f>3*INDEX([1]equip.xml!$I:$I,MATCH(D3821&amp;"",[1]equip.xml!$A:$A,0))</f>
        <v>174000</v>
      </c>
      <c r="H3821" s="8" t="str">
        <f t="shared" si="4492"/>
        <v>10_10,50_20,80_30</v>
      </c>
      <c r="I3821" s="8">
        <v>6</v>
      </c>
      <c r="J3821" s="8">
        <f t="shared" si="4492"/>
        <v>50</v>
      </c>
      <c r="K3821" s="7" t="s">
        <v>311</v>
      </c>
      <c r="L3821" s="8">
        <v>40</v>
      </c>
      <c r="M3821" s="7">
        <f>IF(INDEX([1]equip.xml!$B:$B,MATCH(D3821&amp;"",[1]equip.xml!$A:$A,0))=0,0,N3821)</f>
        <v>0</v>
      </c>
      <c r="N3821" s="8">
        <f t="shared" ref="N3821" si="4507">N3733</f>
        <v>130</v>
      </c>
    </row>
    <row r="3822" spans="1:14">
      <c r="A3822" s="7">
        <f t="shared" si="4476"/>
        <v>20016</v>
      </c>
      <c r="B3822" s="8">
        <f t="shared" ref="B3822:C3822" si="4508">B3734</f>
        <v>40000</v>
      </c>
      <c r="C3822" s="8" t="str">
        <f t="shared" si="4508"/>
        <v>装备</v>
      </c>
      <c r="D3822" s="8">
        <v>40551060</v>
      </c>
      <c r="E3822" s="8"/>
      <c r="F3822" s="8">
        <v>1</v>
      </c>
      <c r="G3822" s="7">
        <f>3*INDEX([1]equip.xml!$I:$I,MATCH(D3822&amp;"",[1]equip.xml!$A:$A,0))</f>
        <v>165000</v>
      </c>
      <c r="H3822" s="8" t="str">
        <f t="shared" si="4492"/>
        <v>10_10,50_20,80_30</v>
      </c>
      <c r="I3822" s="8">
        <v>6</v>
      </c>
      <c r="J3822" s="8">
        <f t="shared" si="4492"/>
        <v>50</v>
      </c>
      <c r="K3822" s="7" t="s">
        <v>311</v>
      </c>
      <c r="L3822" s="8">
        <v>40</v>
      </c>
      <c r="M3822" s="7">
        <f>IF(INDEX([1]equip.xml!$B:$B,MATCH(D3822&amp;"",[1]equip.xml!$A:$A,0))=0,0,N3822)</f>
        <v>130</v>
      </c>
      <c r="N3822" s="8">
        <f t="shared" ref="N3822" si="4509">N3734</f>
        <v>130</v>
      </c>
    </row>
    <row r="3823" spans="1:14">
      <c r="A3823" s="7">
        <f t="shared" si="4476"/>
        <v>20016</v>
      </c>
      <c r="B3823" s="8">
        <f t="shared" ref="B3823:C3823" si="4510">B3735</f>
        <v>40000</v>
      </c>
      <c r="C3823" s="8" t="str">
        <f t="shared" si="4510"/>
        <v>装备</v>
      </c>
      <c r="D3823" s="8">
        <v>40551061</v>
      </c>
      <c r="E3823" s="8"/>
      <c r="F3823" s="8">
        <v>1</v>
      </c>
      <c r="G3823" s="7">
        <f>3*INDEX([1]equip.xml!$I:$I,MATCH(D3823&amp;"",[1]equip.xml!$A:$A,0))</f>
        <v>174000</v>
      </c>
      <c r="H3823" s="8" t="str">
        <f t="shared" si="4492"/>
        <v>10_10,50_20,80_30</v>
      </c>
      <c r="I3823" s="8">
        <v>6</v>
      </c>
      <c r="J3823" s="8">
        <f t="shared" si="4492"/>
        <v>50</v>
      </c>
      <c r="K3823" s="7" t="s">
        <v>311</v>
      </c>
      <c r="L3823" s="8">
        <v>40</v>
      </c>
      <c r="M3823" s="7">
        <f>IF(INDEX([1]equip.xml!$B:$B,MATCH(D3823&amp;"",[1]equip.xml!$A:$A,0))=0,0,N3823)</f>
        <v>130</v>
      </c>
      <c r="N3823" s="8">
        <f t="shared" ref="N3823" si="4511">N3735</f>
        <v>130</v>
      </c>
    </row>
    <row r="3824" spans="1:14">
      <c r="A3824" s="7">
        <f t="shared" si="4476"/>
        <v>20016</v>
      </c>
      <c r="B3824" s="8">
        <f t="shared" ref="B3824:C3824" si="4512">B3736</f>
        <v>40000</v>
      </c>
      <c r="C3824" s="8" t="str">
        <f t="shared" si="4512"/>
        <v>装备</v>
      </c>
      <c r="D3824" s="8">
        <v>40552050</v>
      </c>
      <c r="E3824" s="8"/>
      <c r="F3824" s="8">
        <v>1</v>
      </c>
      <c r="G3824" s="7">
        <f>3*INDEX([1]equip.xml!$I:$I,MATCH(D3824&amp;"",[1]equip.xml!$A:$A,0))</f>
        <v>165000</v>
      </c>
      <c r="H3824" s="8" t="str">
        <f t="shared" si="4492"/>
        <v>10_10,50_20,80_30</v>
      </c>
      <c r="I3824" s="8">
        <v>6</v>
      </c>
      <c r="J3824" s="8">
        <f t="shared" si="4492"/>
        <v>50</v>
      </c>
      <c r="K3824" s="7" t="s">
        <v>311</v>
      </c>
      <c r="L3824" s="8">
        <v>40</v>
      </c>
      <c r="M3824" s="7">
        <f>IF(INDEX([1]equip.xml!$B:$B,MATCH(D3824&amp;"",[1]equip.xml!$A:$A,0))=0,0,N3824)</f>
        <v>130</v>
      </c>
      <c r="N3824" s="8">
        <f t="shared" ref="N3824" si="4513">N3736</f>
        <v>130</v>
      </c>
    </row>
    <row r="3825" spans="1:14">
      <c r="A3825" s="7">
        <f t="shared" si="4476"/>
        <v>20016</v>
      </c>
      <c r="B3825" s="8">
        <f t="shared" ref="B3825:C3825" si="4514">B3737</f>
        <v>40000</v>
      </c>
      <c r="C3825" s="8" t="str">
        <f t="shared" si="4514"/>
        <v>装备</v>
      </c>
      <c r="D3825" s="8">
        <v>40552051</v>
      </c>
      <c r="E3825" s="8"/>
      <c r="F3825" s="8">
        <v>1</v>
      </c>
      <c r="G3825" s="7">
        <f>3*INDEX([1]equip.xml!$I:$I,MATCH(D3825&amp;"",[1]equip.xml!$A:$A,0))</f>
        <v>174000</v>
      </c>
      <c r="H3825" s="8" t="str">
        <f t="shared" si="4492"/>
        <v>10_10,50_20,80_30</v>
      </c>
      <c r="I3825" s="8">
        <v>6</v>
      </c>
      <c r="J3825" s="8">
        <f t="shared" si="4492"/>
        <v>50</v>
      </c>
      <c r="K3825" s="7" t="s">
        <v>311</v>
      </c>
      <c r="L3825" s="8">
        <v>40</v>
      </c>
      <c r="M3825" s="7">
        <f>IF(INDEX([1]equip.xml!$B:$B,MATCH(D3825&amp;"",[1]equip.xml!$A:$A,0))=0,0,N3825)</f>
        <v>0</v>
      </c>
      <c r="N3825" s="8">
        <f t="shared" ref="N3825" si="4515">N3737</f>
        <v>130</v>
      </c>
    </row>
    <row r="3826" spans="1:14">
      <c r="A3826" s="7">
        <f t="shared" si="4476"/>
        <v>20016</v>
      </c>
      <c r="B3826" s="8">
        <f t="shared" ref="B3826:C3826" si="4516">B3738</f>
        <v>40000</v>
      </c>
      <c r="C3826" s="8" t="str">
        <f t="shared" si="4516"/>
        <v>装备</v>
      </c>
      <c r="D3826" s="8">
        <v>40552060</v>
      </c>
      <c r="E3826" s="8"/>
      <c r="F3826" s="8">
        <v>1</v>
      </c>
      <c r="G3826" s="7">
        <f>3*INDEX([1]equip.xml!$I:$I,MATCH(D3826&amp;"",[1]equip.xml!$A:$A,0))</f>
        <v>165000</v>
      </c>
      <c r="H3826" s="8" t="str">
        <f t="shared" si="4492"/>
        <v>10_10,50_20,80_30</v>
      </c>
      <c r="I3826" s="8">
        <v>6</v>
      </c>
      <c r="J3826" s="8">
        <f t="shared" si="4492"/>
        <v>50</v>
      </c>
      <c r="K3826" s="7" t="s">
        <v>311</v>
      </c>
      <c r="L3826" s="8">
        <v>40</v>
      </c>
      <c r="M3826" s="7">
        <f>IF(INDEX([1]equip.xml!$B:$B,MATCH(D3826&amp;"",[1]equip.xml!$A:$A,0))=0,0,N3826)</f>
        <v>130</v>
      </c>
      <c r="N3826" s="8">
        <f t="shared" ref="N3826" si="4517">N3738</f>
        <v>130</v>
      </c>
    </row>
    <row r="3827" spans="1:14">
      <c r="A3827" s="7">
        <f t="shared" si="4476"/>
        <v>20016</v>
      </c>
      <c r="B3827" s="8">
        <f t="shared" ref="B3827:C3827" si="4518">B3739</f>
        <v>40000</v>
      </c>
      <c r="C3827" s="8" t="str">
        <f t="shared" si="4518"/>
        <v>装备</v>
      </c>
      <c r="D3827" s="8">
        <v>40552061</v>
      </c>
      <c r="E3827" s="8"/>
      <c r="F3827" s="8">
        <v>1</v>
      </c>
      <c r="G3827" s="7">
        <f>3*INDEX([1]equip.xml!$I:$I,MATCH(D3827&amp;"",[1]equip.xml!$A:$A,0))</f>
        <v>174000</v>
      </c>
      <c r="H3827" s="8" t="str">
        <f t="shared" si="4492"/>
        <v>10_10,50_20,80_30</v>
      </c>
      <c r="I3827" s="8">
        <v>6</v>
      </c>
      <c r="J3827" s="8">
        <f t="shared" si="4492"/>
        <v>50</v>
      </c>
      <c r="K3827" s="7" t="s">
        <v>311</v>
      </c>
      <c r="L3827" s="8">
        <v>40</v>
      </c>
      <c r="M3827" s="7">
        <f>IF(INDEX([1]equip.xml!$B:$B,MATCH(D3827&amp;"",[1]equip.xml!$A:$A,0))=0,0,N3827)</f>
        <v>130</v>
      </c>
      <c r="N3827" s="8">
        <f t="shared" ref="N3827" si="4519">N3739</f>
        <v>130</v>
      </c>
    </row>
    <row r="3828" spans="1:14">
      <c r="A3828" s="7">
        <f t="shared" si="4476"/>
        <v>20016</v>
      </c>
      <c r="B3828" s="8">
        <f t="shared" ref="B3828:C3828" si="4520">B3740</f>
        <v>40000</v>
      </c>
      <c r="C3828" s="8" t="str">
        <f t="shared" si="4520"/>
        <v>装备</v>
      </c>
      <c r="D3828" s="8">
        <v>40553050</v>
      </c>
      <c r="E3828" s="8"/>
      <c r="F3828" s="8">
        <v>1</v>
      </c>
      <c r="G3828" s="7">
        <f>3*INDEX([1]equip.xml!$I:$I,MATCH(D3828&amp;"",[1]equip.xml!$A:$A,0))</f>
        <v>165000</v>
      </c>
      <c r="H3828" s="8" t="str">
        <f t="shared" si="4492"/>
        <v>10_10,50_20,80_30</v>
      </c>
      <c r="I3828" s="8">
        <v>6</v>
      </c>
      <c r="J3828" s="8">
        <f t="shared" si="4492"/>
        <v>50</v>
      </c>
      <c r="K3828" s="7" t="s">
        <v>311</v>
      </c>
      <c r="L3828" s="8">
        <v>40</v>
      </c>
      <c r="M3828" s="7">
        <f>IF(INDEX([1]equip.xml!$B:$B,MATCH(D3828&amp;"",[1]equip.xml!$A:$A,0))=0,0,N3828)</f>
        <v>130</v>
      </c>
      <c r="N3828" s="8">
        <f t="shared" ref="N3828" si="4521">N3740</f>
        <v>130</v>
      </c>
    </row>
    <row r="3829" spans="1:14">
      <c r="A3829" s="7">
        <f t="shared" si="4476"/>
        <v>20016</v>
      </c>
      <c r="B3829" s="8">
        <f t="shared" ref="B3829:C3829" si="4522">B3741</f>
        <v>40000</v>
      </c>
      <c r="C3829" s="8" t="str">
        <f t="shared" si="4522"/>
        <v>装备</v>
      </c>
      <c r="D3829" s="8">
        <v>40553051</v>
      </c>
      <c r="E3829" s="8"/>
      <c r="F3829" s="8">
        <v>1</v>
      </c>
      <c r="G3829" s="7">
        <f>3*INDEX([1]equip.xml!$I:$I,MATCH(D3829&amp;"",[1]equip.xml!$A:$A,0))</f>
        <v>174000</v>
      </c>
      <c r="H3829" s="8" t="str">
        <f t="shared" si="4492"/>
        <v>10_10,50_20,80_30</v>
      </c>
      <c r="I3829" s="8">
        <v>6</v>
      </c>
      <c r="J3829" s="8">
        <f t="shared" si="4492"/>
        <v>50</v>
      </c>
      <c r="K3829" s="7" t="s">
        <v>311</v>
      </c>
      <c r="L3829" s="8">
        <v>40</v>
      </c>
      <c r="M3829" s="7">
        <f>IF(INDEX([1]equip.xml!$B:$B,MATCH(D3829&amp;"",[1]equip.xml!$A:$A,0))=0,0,N3829)</f>
        <v>0</v>
      </c>
      <c r="N3829" s="8">
        <f t="shared" ref="N3829" si="4523">N3741</f>
        <v>130</v>
      </c>
    </row>
    <row r="3830" spans="1:14">
      <c r="A3830" s="7">
        <f t="shared" si="4476"/>
        <v>20016</v>
      </c>
      <c r="B3830" s="8">
        <f t="shared" ref="B3830:C3830" si="4524">B3742</f>
        <v>40000</v>
      </c>
      <c r="C3830" s="8" t="str">
        <f t="shared" si="4524"/>
        <v>装备</v>
      </c>
      <c r="D3830" s="8">
        <v>40553060</v>
      </c>
      <c r="E3830" s="8"/>
      <c r="F3830" s="8">
        <v>1</v>
      </c>
      <c r="G3830" s="7">
        <f>3*INDEX([1]equip.xml!$I:$I,MATCH(D3830&amp;"",[1]equip.xml!$A:$A,0))</f>
        <v>165000</v>
      </c>
      <c r="H3830" s="8" t="str">
        <f t="shared" ref="H3830:J3845" si="4525">H3742</f>
        <v>10_10,50_20,80_30</v>
      </c>
      <c r="I3830" s="8">
        <v>6</v>
      </c>
      <c r="J3830" s="8">
        <f t="shared" si="4525"/>
        <v>50</v>
      </c>
      <c r="K3830" s="7" t="s">
        <v>311</v>
      </c>
      <c r="L3830" s="8">
        <v>40</v>
      </c>
      <c r="M3830" s="7">
        <f>IF(INDEX([1]equip.xml!$B:$B,MATCH(D3830&amp;"",[1]equip.xml!$A:$A,0))=0,0,N3830)</f>
        <v>130</v>
      </c>
      <c r="N3830" s="8">
        <f t="shared" ref="N3830" si="4526">N3742</f>
        <v>130</v>
      </c>
    </row>
    <row r="3831" spans="1:14">
      <c r="A3831" s="7">
        <f t="shared" si="4476"/>
        <v>20016</v>
      </c>
      <c r="B3831" s="8">
        <f t="shared" ref="B3831:C3831" si="4527">B3743</f>
        <v>40000</v>
      </c>
      <c r="C3831" s="8" t="str">
        <f t="shared" si="4527"/>
        <v>装备</v>
      </c>
      <c r="D3831" s="8">
        <v>40553061</v>
      </c>
      <c r="E3831" s="8"/>
      <c r="F3831" s="8">
        <v>1</v>
      </c>
      <c r="G3831" s="7">
        <f>3*INDEX([1]equip.xml!$I:$I,MATCH(D3831&amp;"",[1]equip.xml!$A:$A,0))</f>
        <v>174000</v>
      </c>
      <c r="H3831" s="8" t="str">
        <f t="shared" si="4525"/>
        <v>10_10,50_20,80_30</v>
      </c>
      <c r="I3831" s="8">
        <v>6</v>
      </c>
      <c r="J3831" s="8">
        <f t="shared" si="4525"/>
        <v>50</v>
      </c>
      <c r="K3831" s="7" t="s">
        <v>311</v>
      </c>
      <c r="L3831" s="8">
        <v>40</v>
      </c>
      <c r="M3831" s="7">
        <f>IF(INDEX([1]equip.xml!$B:$B,MATCH(D3831&amp;"",[1]equip.xml!$A:$A,0))=0,0,N3831)</f>
        <v>130</v>
      </c>
      <c r="N3831" s="8">
        <f t="shared" ref="N3831" si="4528">N3743</f>
        <v>130</v>
      </c>
    </row>
    <row r="3832" spans="1:14">
      <c r="A3832" s="7">
        <f t="shared" si="4476"/>
        <v>20016</v>
      </c>
      <c r="B3832" s="8">
        <f t="shared" ref="B3832:C3832" si="4529">B3744</f>
        <v>40000</v>
      </c>
      <c r="C3832" s="8" t="str">
        <f t="shared" si="4529"/>
        <v>装备</v>
      </c>
      <c r="D3832" s="8">
        <v>40550040</v>
      </c>
      <c r="E3832" s="8"/>
      <c r="F3832" s="8">
        <v>1</v>
      </c>
      <c r="G3832" s="7">
        <f>3*INDEX([1]equip.xml!$I:$I,MATCH(D3832&amp;"",[1]equip.xml!$A:$A,0))</f>
        <v>165000</v>
      </c>
      <c r="H3832" s="8" t="str">
        <f t="shared" si="4525"/>
        <v>10_10,50_20,80_30</v>
      </c>
      <c r="I3832" s="8">
        <v>6</v>
      </c>
      <c r="J3832" s="8">
        <f t="shared" si="4525"/>
        <v>50</v>
      </c>
      <c r="K3832" s="7" t="s">
        <v>311</v>
      </c>
      <c r="L3832" s="8">
        <v>40</v>
      </c>
      <c r="M3832" s="7">
        <f>IF(INDEX([1]equip.xml!$B:$B,MATCH(D3832&amp;"",[1]equip.xml!$A:$A,0))=0,0,N3832)</f>
        <v>130</v>
      </c>
      <c r="N3832" s="8">
        <f t="shared" ref="N3832" si="4530">N3744</f>
        <v>130</v>
      </c>
    </row>
    <row r="3833" spans="1:14">
      <c r="A3833" s="7">
        <f t="shared" si="4476"/>
        <v>20016</v>
      </c>
      <c r="B3833" s="8">
        <f t="shared" ref="B3833:C3833" si="4531">B3745</f>
        <v>40000</v>
      </c>
      <c r="C3833" s="8" t="str">
        <f t="shared" si="4531"/>
        <v>装备</v>
      </c>
      <c r="D3833" s="8">
        <v>40550041</v>
      </c>
      <c r="E3833" s="8"/>
      <c r="F3833" s="8">
        <v>1</v>
      </c>
      <c r="G3833" s="7">
        <f>3*INDEX([1]equip.xml!$I:$I,MATCH(D3833&amp;"",[1]equip.xml!$A:$A,0))</f>
        <v>174000</v>
      </c>
      <c r="H3833" s="8" t="str">
        <f t="shared" si="4525"/>
        <v>10_10,50_20,80_30</v>
      </c>
      <c r="I3833" s="8">
        <v>6</v>
      </c>
      <c r="J3833" s="8">
        <f t="shared" si="4525"/>
        <v>50</v>
      </c>
      <c r="K3833" s="7" t="s">
        <v>311</v>
      </c>
      <c r="L3833" s="8">
        <v>40</v>
      </c>
      <c r="M3833" s="7">
        <f>IF(INDEX([1]equip.xml!$B:$B,MATCH(D3833&amp;"",[1]equip.xml!$A:$A,0))=0,0,N3833)</f>
        <v>0</v>
      </c>
      <c r="N3833" s="8">
        <f t="shared" ref="N3833" si="4532">N3745</f>
        <v>130</v>
      </c>
    </row>
    <row r="3834" spans="1:14">
      <c r="A3834" s="7">
        <f t="shared" si="4476"/>
        <v>20016</v>
      </c>
      <c r="B3834" s="8">
        <f t="shared" ref="B3834:C3834" si="4533">B3746</f>
        <v>40000</v>
      </c>
      <c r="C3834" s="8" t="str">
        <f t="shared" si="4533"/>
        <v>装备</v>
      </c>
      <c r="D3834" s="8">
        <v>40550070</v>
      </c>
      <c r="E3834" s="8"/>
      <c r="F3834" s="8">
        <v>1</v>
      </c>
      <c r="G3834" s="7">
        <f>3*INDEX([1]equip.xml!$I:$I,MATCH(D3834&amp;"",[1]equip.xml!$A:$A,0))</f>
        <v>165000</v>
      </c>
      <c r="H3834" s="8" t="str">
        <f t="shared" si="4525"/>
        <v>10_10,50_20,80_30</v>
      </c>
      <c r="I3834" s="8">
        <v>6</v>
      </c>
      <c r="J3834" s="8">
        <f t="shared" si="4525"/>
        <v>50</v>
      </c>
      <c r="K3834" s="7" t="s">
        <v>311</v>
      </c>
      <c r="L3834" s="8">
        <v>40</v>
      </c>
      <c r="M3834" s="7">
        <f>IF(INDEX([1]equip.xml!$B:$B,MATCH(D3834&amp;"",[1]equip.xml!$A:$A,0))=0,0,N3834)</f>
        <v>130</v>
      </c>
      <c r="N3834" s="8">
        <f t="shared" ref="N3834" si="4534">N3746</f>
        <v>130</v>
      </c>
    </row>
    <row r="3835" spans="1:14">
      <c r="A3835" s="7">
        <f t="shared" si="4476"/>
        <v>20016</v>
      </c>
      <c r="B3835" s="8">
        <f t="shared" ref="B3835:C3835" si="4535">B3747</f>
        <v>40000</v>
      </c>
      <c r="C3835" s="8" t="str">
        <f t="shared" si="4535"/>
        <v>装备</v>
      </c>
      <c r="D3835" s="8">
        <v>40550071</v>
      </c>
      <c r="E3835" s="8"/>
      <c r="F3835" s="8">
        <v>1</v>
      </c>
      <c r="G3835" s="7">
        <f>3*INDEX([1]equip.xml!$I:$I,MATCH(D3835&amp;"",[1]equip.xml!$A:$A,0))</f>
        <v>174000</v>
      </c>
      <c r="H3835" s="8" t="str">
        <f t="shared" si="4525"/>
        <v>10_10,50_20,80_30</v>
      </c>
      <c r="I3835" s="8">
        <v>6</v>
      </c>
      <c r="J3835" s="8">
        <f t="shared" si="4525"/>
        <v>50</v>
      </c>
      <c r="K3835" s="7" t="s">
        <v>311</v>
      </c>
      <c r="L3835" s="8">
        <v>40</v>
      </c>
      <c r="M3835" s="7">
        <f>IF(INDEX([1]equip.xml!$B:$B,MATCH(D3835&amp;"",[1]equip.xml!$A:$A,0))=0,0,N3835)</f>
        <v>0</v>
      </c>
      <c r="N3835" s="8">
        <f t="shared" ref="N3835" si="4536">N3747</f>
        <v>130</v>
      </c>
    </row>
    <row r="3836" spans="1:14">
      <c r="A3836" s="7">
        <f t="shared" si="4476"/>
        <v>20016</v>
      </c>
      <c r="B3836" s="8">
        <f t="shared" ref="B3836:C3836" si="4537">B3748</f>
        <v>40000</v>
      </c>
      <c r="C3836" s="8" t="str">
        <f t="shared" si="4537"/>
        <v>装备</v>
      </c>
      <c r="D3836" s="8">
        <v>40600010</v>
      </c>
      <c r="E3836" s="8"/>
      <c r="F3836" s="8">
        <v>1</v>
      </c>
      <c r="G3836" s="7">
        <f>3*INDEX([1]equip.xml!$I:$I,MATCH(D3836&amp;"",[1]equip.xml!$A:$A,0))</f>
        <v>180000</v>
      </c>
      <c r="H3836" s="8" t="str">
        <f t="shared" si="4525"/>
        <v>10_10,50_20,80_30</v>
      </c>
      <c r="I3836" s="8">
        <v>6</v>
      </c>
      <c r="J3836" s="8">
        <f t="shared" si="4525"/>
        <v>50</v>
      </c>
      <c r="K3836" s="7" t="s">
        <v>311</v>
      </c>
      <c r="L3836" s="8">
        <v>40</v>
      </c>
      <c r="M3836" s="7">
        <f>IF(INDEX([1]equip.xml!$B:$B,MATCH(D3836&amp;"",[1]equip.xml!$A:$A,0))=0,0,N3836)</f>
        <v>60</v>
      </c>
      <c r="N3836" s="8">
        <f t="shared" ref="N3836" si="4538">N3748</f>
        <v>60</v>
      </c>
    </row>
    <row r="3837" spans="1:14">
      <c r="A3837" s="7">
        <f t="shared" si="4476"/>
        <v>20016</v>
      </c>
      <c r="B3837" s="8">
        <f t="shared" ref="B3837:C3837" si="4539">B3749</f>
        <v>40000</v>
      </c>
      <c r="C3837" s="8" t="str">
        <f t="shared" si="4539"/>
        <v>装备</v>
      </c>
      <c r="D3837" s="8">
        <v>40600020</v>
      </c>
      <c r="E3837" s="8"/>
      <c r="F3837" s="8">
        <v>1</v>
      </c>
      <c r="G3837" s="7">
        <f>3*INDEX([1]equip.xml!$I:$I,MATCH(D3837&amp;"",[1]equip.xml!$A:$A,0))</f>
        <v>180000</v>
      </c>
      <c r="H3837" s="8" t="str">
        <f t="shared" si="4525"/>
        <v>10_10,50_20,80_30</v>
      </c>
      <c r="I3837" s="8">
        <v>6</v>
      </c>
      <c r="J3837" s="8">
        <f t="shared" si="4525"/>
        <v>50</v>
      </c>
      <c r="K3837" s="7" t="s">
        <v>311</v>
      </c>
      <c r="L3837" s="8">
        <v>40</v>
      </c>
      <c r="M3837" s="7">
        <f>IF(INDEX([1]equip.xml!$B:$B,MATCH(D3837&amp;"",[1]equip.xml!$A:$A,0))=0,0,N3837)</f>
        <v>60</v>
      </c>
      <c r="N3837" s="8">
        <f t="shared" ref="N3837" si="4540">N3749</f>
        <v>60</v>
      </c>
    </row>
    <row r="3838" spans="1:14">
      <c r="A3838" s="7">
        <f t="shared" si="4476"/>
        <v>20016</v>
      </c>
      <c r="B3838" s="8">
        <f t="shared" ref="B3838:C3838" si="4541">B3750</f>
        <v>40000</v>
      </c>
      <c r="C3838" s="8" t="str">
        <f t="shared" si="4541"/>
        <v>装备</v>
      </c>
      <c r="D3838" s="8">
        <v>40600030</v>
      </c>
      <c r="E3838" s="8"/>
      <c r="F3838" s="8">
        <v>1</v>
      </c>
      <c r="G3838" s="7">
        <f>3*INDEX([1]equip.xml!$I:$I,MATCH(D3838&amp;"",[1]equip.xml!$A:$A,0))</f>
        <v>180000</v>
      </c>
      <c r="H3838" s="8" t="str">
        <f t="shared" si="4525"/>
        <v>10_10,50_20,80_30</v>
      </c>
      <c r="I3838" s="8">
        <v>6</v>
      </c>
      <c r="J3838" s="8">
        <f t="shared" si="4525"/>
        <v>50</v>
      </c>
      <c r="K3838" s="7" t="s">
        <v>311</v>
      </c>
      <c r="L3838" s="8">
        <v>40</v>
      </c>
      <c r="M3838" s="7">
        <f>IF(INDEX([1]equip.xml!$B:$B,MATCH(D3838&amp;"",[1]equip.xml!$A:$A,0))=0,0,N3838)</f>
        <v>60</v>
      </c>
      <c r="N3838" s="8">
        <f t="shared" ref="N3838" si="4542">N3750</f>
        <v>60</v>
      </c>
    </row>
    <row r="3839" spans="1:14">
      <c r="A3839" s="7">
        <f t="shared" si="4476"/>
        <v>20016</v>
      </c>
      <c r="B3839" s="8">
        <f t="shared" ref="B3839:C3839" si="4543">B3751</f>
        <v>40000</v>
      </c>
      <c r="C3839" s="8" t="str">
        <f t="shared" si="4543"/>
        <v>装备</v>
      </c>
      <c r="D3839" s="8">
        <v>40600080</v>
      </c>
      <c r="E3839" s="8"/>
      <c r="F3839" s="8">
        <v>1</v>
      </c>
      <c r="G3839" s="7">
        <f>3*INDEX([1]equip.xml!$I:$I,MATCH(D3839&amp;"",[1]equip.xml!$A:$A,0))</f>
        <v>180000</v>
      </c>
      <c r="H3839" s="8" t="str">
        <f t="shared" si="4525"/>
        <v>10_10,50_20,80_30</v>
      </c>
      <c r="I3839" s="8">
        <v>6</v>
      </c>
      <c r="J3839" s="8">
        <f t="shared" si="4525"/>
        <v>50</v>
      </c>
      <c r="K3839" s="7" t="s">
        <v>311</v>
      </c>
      <c r="L3839" s="8">
        <v>40</v>
      </c>
      <c r="M3839" s="7">
        <f>IF(INDEX([1]equip.xml!$B:$B,MATCH(D3839&amp;"",[1]equip.xml!$A:$A,0))=0,0,N3839)</f>
        <v>60</v>
      </c>
      <c r="N3839" s="8">
        <f t="shared" ref="N3839" si="4544">N3751</f>
        <v>60</v>
      </c>
    </row>
    <row r="3840" spans="1:14">
      <c r="A3840" s="7">
        <f t="shared" si="4476"/>
        <v>20016</v>
      </c>
      <c r="B3840" s="8">
        <f t="shared" ref="B3840:C3840" si="4545">B3752</f>
        <v>40000</v>
      </c>
      <c r="C3840" s="8" t="str">
        <f t="shared" si="4545"/>
        <v>装备</v>
      </c>
      <c r="D3840" s="8">
        <v>40600090</v>
      </c>
      <c r="E3840" s="8"/>
      <c r="F3840" s="8">
        <v>1</v>
      </c>
      <c r="G3840" s="7">
        <f>3*INDEX([1]equip.xml!$I:$I,MATCH(D3840&amp;"",[1]equip.xml!$A:$A,0))</f>
        <v>180000</v>
      </c>
      <c r="H3840" s="8" t="str">
        <f t="shared" si="4525"/>
        <v>10_10,50_20,80_30</v>
      </c>
      <c r="I3840" s="8">
        <v>6</v>
      </c>
      <c r="J3840" s="8">
        <f t="shared" si="4525"/>
        <v>50</v>
      </c>
      <c r="K3840" s="7" t="s">
        <v>311</v>
      </c>
      <c r="L3840" s="8">
        <v>40</v>
      </c>
      <c r="M3840" s="7">
        <f>IF(INDEX([1]equip.xml!$B:$B,MATCH(D3840&amp;"",[1]equip.xml!$A:$A,0))=0,0,N3840)</f>
        <v>60</v>
      </c>
      <c r="N3840" s="8">
        <f t="shared" ref="N3840" si="4546">N3752</f>
        <v>60</v>
      </c>
    </row>
    <row r="3841" spans="1:14">
      <c r="A3841" s="7">
        <f t="shared" si="4476"/>
        <v>20016</v>
      </c>
      <c r="B3841" s="8">
        <f t="shared" ref="B3841:C3841" si="4547">B3753</f>
        <v>40000</v>
      </c>
      <c r="C3841" s="8" t="str">
        <f t="shared" si="4547"/>
        <v>装备</v>
      </c>
      <c r="D3841" s="8">
        <v>40600100</v>
      </c>
      <c r="E3841" s="8"/>
      <c r="F3841" s="8">
        <v>1</v>
      </c>
      <c r="G3841" s="7">
        <f>3*INDEX([1]equip.xml!$I:$I,MATCH(D3841&amp;"",[1]equip.xml!$A:$A,0))</f>
        <v>180000</v>
      </c>
      <c r="H3841" s="8" t="str">
        <f t="shared" si="4525"/>
        <v>10_10,50_20,80_30</v>
      </c>
      <c r="I3841" s="8">
        <v>6</v>
      </c>
      <c r="J3841" s="8">
        <f t="shared" si="4525"/>
        <v>50</v>
      </c>
      <c r="K3841" s="7" t="s">
        <v>311</v>
      </c>
      <c r="L3841" s="8">
        <v>40</v>
      </c>
      <c r="M3841" s="7">
        <f>IF(INDEX([1]equip.xml!$B:$B,MATCH(D3841&amp;"",[1]equip.xml!$A:$A,0))=0,0,N3841)</f>
        <v>60</v>
      </c>
      <c r="N3841" s="8">
        <f t="shared" ref="N3841" si="4548">N3753</f>
        <v>60</v>
      </c>
    </row>
    <row r="3842" spans="1:14">
      <c r="A3842" s="7">
        <f t="shared" si="4476"/>
        <v>20016</v>
      </c>
      <c r="B3842" s="8">
        <f t="shared" ref="B3842:C3842" si="4549">B3754</f>
        <v>40000</v>
      </c>
      <c r="C3842" s="8" t="str">
        <f t="shared" si="4549"/>
        <v>装备</v>
      </c>
      <c r="D3842" s="8">
        <v>40601050</v>
      </c>
      <c r="E3842" s="8"/>
      <c r="F3842" s="8">
        <v>1</v>
      </c>
      <c r="G3842" s="7">
        <f>3*INDEX([1]equip.xml!$I:$I,MATCH(D3842&amp;"",[1]equip.xml!$A:$A,0))</f>
        <v>180000</v>
      </c>
      <c r="H3842" s="8" t="str">
        <f t="shared" si="4525"/>
        <v>10_10,50_20,80_30</v>
      </c>
      <c r="I3842" s="8">
        <v>6</v>
      </c>
      <c r="J3842" s="8">
        <f t="shared" si="4525"/>
        <v>50</v>
      </c>
      <c r="K3842" s="7" t="s">
        <v>311</v>
      </c>
      <c r="L3842" s="8">
        <v>40</v>
      </c>
      <c r="M3842" s="7">
        <f>IF(INDEX([1]equip.xml!$B:$B,MATCH(D3842&amp;"",[1]equip.xml!$A:$A,0))=0,0,N3842)</f>
        <v>60</v>
      </c>
      <c r="N3842" s="8">
        <f t="shared" ref="N3842" si="4550">N3754</f>
        <v>60</v>
      </c>
    </row>
    <row r="3843" spans="1:14">
      <c r="A3843" s="7">
        <f t="shared" si="4476"/>
        <v>20016</v>
      </c>
      <c r="B3843" s="8">
        <f t="shared" ref="B3843:C3843" si="4551">B3755</f>
        <v>40000</v>
      </c>
      <c r="C3843" s="8" t="str">
        <f t="shared" si="4551"/>
        <v>装备</v>
      </c>
      <c r="D3843" s="8">
        <v>40601051</v>
      </c>
      <c r="E3843" s="8"/>
      <c r="F3843" s="8">
        <v>1</v>
      </c>
      <c r="G3843" s="7">
        <f>3*INDEX([1]equip.xml!$I:$I,MATCH(D3843&amp;"",[1]equip.xml!$A:$A,0))</f>
        <v>189000</v>
      </c>
      <c r="H3843" s="8" t="str">
        <f t="shared" si="4525"/>
        <v>10_10,50_20,80_30</v>
      </c>
      <c r="I3843" s="8">
        <v>6</v>
      </c>
      <c r="J3843" s="8">
        <f t="shared" si="4525"/>
        <v>50</v>
      </c>
      <c r="K3843" s="7" t="s">
        <v>311</v>
      </c>
      <c r="L3843" s="8">
        <v>40</v>
      </c>
      <c r="M3843" s="7">
        <f>IF(INDEX([1]equip.xml!$B:$B,MATCH(D3843&amp;"",[1]equip.xml!$A:$A,0))=0,0,N3843)</f>
        <v>60</v>
      </c>
      <c r="N3843" s="8">
        <f t="shared" ref="N3843" si="4552">N3755</f>
        <v>60</v>
      </c>
    </row>
    <row r="3844" spans="1:14">
      <c r="A3844" s="7">
        <f t="shared" si="4476"/>
        <v>20016</v>
      </c>
      <c r="B3844" s="8">
        <f t="shared" ref="B3844:C3844" si="4553">B3756</f>
        <v>40000</v>
      </c>
      <c r="C3844" s="8" t="str">
        <f t="shared" si="4553"/>
        <v>装备</v>
      </c>
      <c r="D3844" s="8">
        <v>40601060</v>
      </c>
      <c r="E3844" s="8"/>
      <c r="F3844" s="8">
        <v>1</v>
      </c>
      <c r="G3844" s="7">
        <f>3*INDEX([1]equip.xml!$I:$I,MATCH(D3844&amp;"",[1]equip.xml!$A:$A,0))</f>
        <v>180000</v>
      </c>
      <c r="H3844" s="8" t="str">
        <f t="shared" si="4525"/>
        <v>10_10,50_20,80_30</v>
      </c>
      <c r="I3844" s="8">
        <v>6</v>
      </c>
      <c r="J3844" s="8">
        <f t="shared" si="4525"/>
        <v>50</v>
      </c>
      <c r="K3844" s="7" t="s">
        <v>311</v>
      </c>
      <c r="L3844" s="8">
        <v>40</v>
      </c>
      <c r="M3844" s="7">
        <f>IF(INDEX([1]equip.xml!$B:$B,MATCH(D3844&amp;"",[1]equip.xml!$A:$A,0))=0,0,N3844)</f>
        <v>60</v>
      </c>
      <c r="N3844" s="8">
        <f t="shared" ref="N3844" si="4554">N3756</f>
        <v>60</v>
      </c>
    </row>
    <row r="3845" spans="1:14">
      <c r="A3845" s="7">
        <f t="shared" si="4476"/>
        <v>20016</v>
      </c>
      <c r="B3845" s="8">
        <f t="shared" ref="B3845:C3845" si="4555">B3757</f>
        <v>40000</v>
      </c>
      <c r="C3845" s="8" t="str">
        <f t="shared" si="4555"/>
        <v>装备</v>
      </c>
      <c r="D3845" s="8">
        <v>40601061</v>
      </c>
      <c r="E3845" s="8"/>
      <c r="F3845" s="8">
        <v>1</v>
      </c>
      <c r="G3845" s="7">
        <f>3*INDEX([1]equip.xml!$I:$I,MATCH(D3845&amp;"",[1]equip.xml!$A:$A,0))</f>
        <v>189000</v>
      </c>
      <c r="H3845" s="8" t="str">
        <f t="shared" si="4525"/>
        <v>10_10,50_20,80_30</v>
      </c>
      <c r="I3845" s="8">
        <v>6</v>
      </c>
      <c r="J3845" s="8">
        <f t="shared" si="4525"/>
        <v>50</v>
      </c>
      <c r="K3845" s="7" t="s">
        <v>311</v>
      </c>
      <c r="L3845" s="8">
        <v>40</v>
      </c>
      <c r="M3845" s="7">
        <f>IF(INDEX([1]equip.xml!$B:$B,MATCH(D3845&amp;"",[1]equip.xml!$A:$A,0))=0,0,N3845)</f>
        <v>0</v>
      </c>
      <c r="N3845" s="8">
        <f t="shared" ref="N3845" si="4556">N3757</f>
        <v>60</v>
      </c>
    </row>
    <row r="3846" spans="1:14">
      <c r="A3846" s="7">
        <f t="shared" si="4476"/>
        <v>20016</v>
      </c>
      <c r="B3846" s="8">
        <f t="shared" ref="B3846:C3846" si="4557">B3758</f>
        <v>40000</v>
      </c>
      <c r="C3846" s="8" t="str">
        <f t="shared" si="4557"/>
        <v>装备</v>
      </c>
      <c r="D3846" s="8">
        <v>40602050</v>
      </c>
      <c r="E3846" s="8"/>
      <c r="F3846" s="8">
        <v>1</v>
      </c>
      <c r="G3846" s="7">
        <f>3*INDEX([1]equip.xml!$I:$I,MATCH(D3846&amp;"",[1]equip.xml!$A:$A,0))</f>
        <v>180000</v>
      </c>
      <c r="H3846" s="8" t="str">
        <f t="shared" ref="H3846:J3861" si="4558">H3758</f>
        <v>10_10,50_20,80_30</v>
      </c>
      <c r="I3846" s="8">
        <v>6</v>
      </c>
      <c r="J3846" s="8">
        <f t="shared" si="4558"/>
        <v>50</v>
      </c>
      <c r="K3846" s="7" t="s">
        <v>311</v>
      </c>
      <c r="L3846" s="8">
        <v>40</v>
      </c>
      <c r="M3846" s="7">
        <f>IF(INDEX([1]equip.xml!$B:$B,MATCH(D3846&amp;"",[1]equip.xml!$A:$A,0))=0,0,N3846)</f>
        <v>60</v>
      </c>
      <c r="N3846" s="8">
        <f t="shared" ref="N3846" si="4559">N3758</f>
        <v>60</v>
      </c>
    </row>
    <row r="3847" spans="1:14">
      <c r="A3847" s="7">
        <f t="shared" si="4476"/>
        <v>20016</v>
      </c>
      <c r="B3847" s="8">
        <f t="shared" ref="B3847:C3847" si="4560">B3759</f>
        <v>40000</v>
      </c>
      <c r="C3847" s="8" t="str">
        <f t="shared" si="4560"/>
        <v>装备</v>
      </c>
      <c r="D3847" s="8">
        <v>40602051</v>
      </c>
      <c r="E3847" s="8"/>
      <c r="F3847" s="8">
        <v>1</v>
      </c>
      <c r="G3847" s="7">
        <f>3*INDEX([1]equip.xml!$I:$I,MATCH(D3847&amp;"",[1]equip.xml!$A:$A,0))</f>
        <v>189000</v>
      </c>
      <c r="H3847" s="8" t="str">
        <f t="shared" si="4558"/>
        <v>10_10,50_20,80_30</v>
      </c>
      <c r="I3847" s="8">
        <v>6</v>
      </c>
      <c r="J3847" s="8">
        <f t="shared" si="4558"/>
        <v>50</v>
      </c>
      <c r="K3847" s="7" t="s">
        <v>311</v>
      </c>
      <c r="L3847" s="8">
        <v>40</v>
      </c>
      <c r="M3847" s="7">
        <f>IF(INDEX([1]equip.xml!$B:$B,MATCH(D3847&amp;"",[1]equip.xml!$A:$A,0))=0,0,N3847)</f>
        <v>0</v>
      </c>
      <c r="N3847" s="8">
        <f t="shared" ref="N3847" si="4561">N3759</f>
        <v>60</v>
      </c>
    </row>
    <row r="3848" spans="1:14">
      <c r="A3848" s="7">
        <f t="shared" si="4476"/>
        <v>20016</v>
      </c>
      <c r="B3848" s="8">
        <f t="shared" ref="B3848:C3848" si="4562">B3760</f>
        <v>40000</v>
      </c>
      <c r="C3848" s="8" t="str">
        <f t="shared" si="4562"/>
        <v>装备</v>
      </c>
      <c r="D3848" s="8">
        <v>40602060</v>
      </c>
      <c r="E3848" s="8"/>
      <c r="F3848" s="8">
        <v>1</v>
      </c>
      <c r="G3848" s="7">
        <f>3*INDEX([1]equip.xml!$I:$I,MATCH(D3848&amp;"",[1]equip.xml!$A:$A,0))</f>
        <v>180000</v>
      </c>
      <c r="H3848" s="8" t="str">
        <f t="shared" si="4558"/>
        <v>10_10,50_20,80_30</v>
      </c>
      <c r="I3848" s="8">
        <v>6</v>
      </c>
      <c r="J3848" s="8">
        <f t="shared" si="4558"/>
        <v>50</v>
      </c>
      <c r="K3848" s="7" t="s">
        <v>311</v>
      </c>
      <c r="L3848" s="8">
        <v>40</v>
      </c>
      <c r="M3848" s="7">
        <f>IF(INDEX([1]equip.xml!$B:$B,MATCH(D3848&amp;"",[1]equip.xml!$A:$A,0))=0,0,N3848)</f>
        <v>60</v>
      </c>
      <c r="N3848" s="8">
        <f t="shared" ref="N3848" si="4563">N3760</f>
        <v>60</v>
      </c>
    </row>
    <row r="3849" spans="1:14">
      <c r="A3849" s="7">
        <f t="shared" si="4476"/>
        <v>20016</v>
      </c>
      <c r="B3849" s="8">
        <f t="shared" ref="B3849:C3849" si="4564">B3761</f>
        <v>40000</v>
      </c>
      <c r="C3849" s="8" t="str">
        <f t="shared" si="4564"/>
        <v>装备</v>
      </c>
      <c r="D3849" s="8">
        <v>40602061</v>
      </c>
      <c r="E3849" s="8"/>
      <c r="F3849" s="8">
        <v>1</v>
      </c>
      <c r="G3849" s="7">
        <f>3*INDEX([1]equip.xml!$I:$I,MATCH(D3849&amp;"",[1]equip.xml!$A:$A,0))</f>
        <v>189000</v>
      </c>
      <c r="H3849" s="8" t="str">
        <f t="shared" si="4558"/>
        <v>10_10,50_20,80_30</v>
      </c>
      <c r="I3849" s="8">
        <v>6</v>
      </c>
      <c r="J3849" s="8">
        <f t="shared" si="4558"/>
        <v>50</v>
      </c>
      <c r="K3849" s="7" t="s">
        <v>311</v>
      </c>
      <c r="L3849" s="8">
        <v>40</v>
      </c>
      <c r="M3849" s="7">
        <f>IF(INDEX([1]equip.xml!$B:$B,MATCH(D3849&amp;"",[1]equip.xml!$A:$A,0))=0,0,N3849)</f>
        <v>0</v>
      </c>
      <c r="N3849" s="8">
        <f t="shared" ref="N3849" si="4565">N3761</f>
        <v>60</v>
      </c>
    </row>
    <row r="3850" spans="1:14">
      <c r="A3850" s="7">
        <f t="shared" si="4476"/>
        <v>20016</v>
      </c>
      <c r="B3850" s="8">
        <f t="shared" ref="B3850:C3850" si="4566">B3762</f>
        <v>40000</v>
      </c>
      <c r="C3850" s="8" t="str">
        <f t="shared" si="4566"/>
        <v>装备</v>
      </c>
      <c r="D3850" s="8">
        <v>40603050</v>
      </c>
      <c r="E3850" s="8"/>
      <c r="F3850" s="8">
        <v>1</v>
      </c>
      <c r="G3850" s="7">
        <f>3*INDEX([1]equip.xml!$I:$I,MATCH(D3850&amp;"",[1]equip.xml!$A:$A,0))</f>
        <v>180000</v>
      </c>
      <c r="H3850" s="8" t="str">
        <f t="shared" si="4558"/>
        <v>10_10,50_20,80_30</v>
      </c>
      <c r="I3850" s="8">
        <v>6</v>
      </c>
      <c r="J3850" s="8">
        <f t="shared" si="4558"/>
        <v>50</v>
      </c>
      <c r="K3850" s="7" t="s">
        <v>311</v>
      </c>
      <c r="L3850" s="8">
        <v>40</v>
      </c>
      <c r="M3850" s="7">
        <f>IF(INDEX([1]equip.xml!$B:$B,MATCH(D3850&amp;"",[1]equip.xml!$A:$A,0))=0,0,N3850)</f>
        <v>60</v>
      </c>
      <c r="N3850" s="8">
        <f t="shared" ref="N3850" si="4567">N3762</f>
        <v>60</v>
      </c>
    </row>
    <row r="3851" spans="1:14">
      <c r="A3851" s="7">
        <f t="shared" si="4476"/>
        <v>20016</v>
      </c>
      <c r="B3851" s="8">
        <f t="shared" ref="B3851:C3851" si="4568">B3763</f>
        <v>40000</v>
      </c>
      <c r="C3851" s="8" t="str">
        <f t="shared" si="4568"/>
        <v>装备</v>
      </c>
      <c r="D3851" s="8">
        <v>40603051</v>
      </c>
      <c r="E3851" s="8"/>
      <c r="F3851" s="8">
        <v>1</v>
      </c>
      <c r="G3851" s="7">
        <f>3*INDEX([1]equip.xml!$I:$I,MATCH(D3851&amp;"",[1]equip.xml!$A:$A,0))</f>
        <v>189000</v>
      </c>
      <c r="H3851" s="8" t="str">
        <f t="shared" si="4558"/>
        <v>10_10,50_20,80_30</v>
      </c>
      <c r="I3851" s="8">
        <v>6</v>
      </c>
      <c r="J3851" s="8">
        <f t="shared" si="4558"/>
        <v>50</v>
      </c>
      <c r="K3851" s="7" t="s">
        <v>311</v>
      </c>
      <c r="L3851" s="8">
        <v>40</v>
      </c>
      <c r="M3851" s="7">
        <f>IF(INDEX([1]equip.xml!$B:$B,MATCH(D3851&amp;"",[1]equip.xml!$A:$A,0))=0,0,N3851)</f>
        <v>0</v>
      </c>
      <c r="N3851" s="8">
        <f t="shared" ref="N3851" si="4569">N3763</f>
        <v>60</v>
      </c>
    </row>
    <row r="3852" spans="1:14">
      <c r="A3852" s="7">
        <f t="shared" si="4476"/>
        <v>20016</v>
      </c>
      <c r="B3852" s="8">
        <f t="shared" ref="B3852:C3852" si="4570">B3764</f>
        <v>40000</v>
      </c>
      <c r="C3852" s="8" t="str">
        <f t="shared" si="4570"/>
        <v>装备</v>
      </c>
      <c r="D3852" s="8">
        <v>40603060</v>
      </c>
      <c r="E3852" s="8"/>
      <c r="F3852" s="8">
        <v>1</v>
      </c>
      <c r="G3852" s="7">
        <f>3*INDEX([1]equip.xml!$I:$I,MATCH(D3852&amp;"",[1]equip.xml!$A:$A,0))</f>
        <v>180000</v>
      </c>
      <c r="H3852" s="8" t="str">
        <f t="shared" si="4558"/>
        <v>10_10,50_20,80_30</v>
      </c>
      <c r="I3852" s="8">
        <v>6</v>
      </c>
      <c r="J3852" s="8">
        <f t="shared" si="4558"/>
        <v>50</v>
      </c>
      <c r="K3852" s="7" t="s">
        <v>311</v>
      </c>
      <c r="L3852" s="8">
        <v>40</v>
      </c>
      <c r="M3852" s="7">
        <f>IF(INDEX([1]equip.xml!$B:$B,MATCH(D3852&amp;"",[1]equip.xml!$A:$A,0))=0,0,N3852)</f>
        <v>60</v>
      </c>
      <c r="N3852" s="8">
        <f t="shared" ref="N3852" si="4571">N3764</f>
        <v>60</v>
      </c>
    </row>
    <row r="3853" spans="1:14">
      <c r="A3853" s="7">
        <f t="shared" si="4476"/>
        <v>20016</v>
      </c>
      <c r="B3853" s="8">
        <f t="shared" ref="B3853:C3853" si="4572">B3765</f>
        <v>40000</v>
      </c>
      <c r="C3853" s="8" t="str">
        <f t="shared" si="4572"/>
        <v>装备</v>
      </c>
      <c r="D3853" s="8">
        <v>40603061</v>
      </c>
      <c r="E3853" s="8"/>
      <c r="F3853" s="8">
        <v>1</v>
      </c>
      <c r="G3853" s="7">
        <f>3*INDEX([1]equip.xml!$I:$I,MATCH(D3853&amp;"",[1]equip.xml!$A:$A,0))</f>
        <v>189000</v>
      </c>
      <c r="H3853" s="8" t="str">
        <f t="shared" si="4558"/>
        <v>10_10,50_20,80_30</v>
      </c>
      <c r="I3853" s="8">
        <v>6</v>
      </c>
      <c r="J3853" s="8">
        <f t="shared" si="4558"/>
        <v>50</v>
      </c>
      <c r="K3853" s="7" t="s">
        <v>311</v>
      </c>
      <c r="L3853" s="8">
        <v>40</v>
      </c>
      <c r="M3853" s="7">
        <f>IF(INDEX([1]equip.xml!$B:$B,MATCH(D3853&amp;"",[1]equip.xml!$A:$A,0))=0,0,N3853)</f>
        <v>0</v>
      </c>
      <c r="N3853" s="8">
        <f t="shared" ref="N3853" si="4573">N3765</f>
        <v>60</v>
      </c>
    </row>
    <row r="3854" spans="1:14">
      <c r="A3854" s="7">
        <f t="shared" si="4476"/>
        <v>20016</v>
      </c>
      <c r="B3854" s="8">
        <f t="shared" ref="B3854:C3854" si="4574">B3766</f>
        <v>40000</v>
      </c>
      <c r="C3854" s="8" t="str">
        <f t="shared" si="4574"/>
        <v>装备</v>
      </c>
      <c r="D3854" s="8">
        <v>40600040</v>
      </c>
      <c r="E3854" s="8"/>
      <c r="F3854" s="8">
        <v>1</v>
      </c>
      <c r="G3854" s="7">
        <f>3*INDEX([1]equip.xml!$I:$I,MATCH(D3854&amp;"",[1]equip.xml!$A:$A,0))</f>
        <v>180000</v>
      </c>
      <c r="H3854" s="8" t="str">
        <f t="shared" si="4558"/>
        <v>10_10,50_20,80_30</v>
      </c>
      <c r="I3854" s="8">
        <v>6</v>
      </c>
      <c r="J3854" s="8">
        <f t="shared" si="4558"/>
        <v>50</v>
      </c>
      <c r="K3854" s="7" t="s">
        <v>311</v>
      </c>
      <c r="L3854" s="8">
        <v>40</v>
      </c>
      <c r="M3854" s="7">
        <f>IF(INDEX([1]equip.xml!$B:$B,MATCH(D3854&amp;"",[1]equip.xml!$A:$A,0))=0,0,N3854)</f>
        <v>60</v>
      </c>
      <c r="N3854" s="8">
        <f t="shared" ref="N3854" si="4575">N3766</f>
        <v>60</v>
      </c>
    </row>
    <row r="3855" spans="1:14">
      <c r="A3855" s="7">
        <f t="shared" si="4476"/>
        <v>20016</v>
      </c>
      <c r="B3855" s="8">
        <f t="shared" ref="B3855:C3855" si="4576">B3767</f>
        <v>40000</v>
      </c>
      <c r="C3855" s="8" t="str">
        <f t="shared" si="4576"/>
        <v>装备</v>
      </c>
      <c r="D3855" s="8">
        <v>40600041</v>
      </c>
      <c r="E3855" s="8"/>
      <c r="F3855" s="8">
        <v>1</v>
      </c>
      <c r="G3855" s="7">
        <f>3*INDEX([1]equip.xml!$I:$I,MATCH(D3855&amp;"",[1]equip.xml!$A:$A,0))</f>
        <v>189000</v>
      </c>
      <c r="H3855" s="8" t="str">
        <f t="shared" si="4558"/>
        <v>10_10,50_20,80_30</v>
      </c>
      <c r="I3855" s="8">
        <v>6</v>
      </c>
      <c r="J3855" s="8">
        <f t="shared" si="4558"/>
        <v>50</v>
      </c>
      <c r="K3855" s="7" t="s">
        <v>311</v>
      </c>
      <c r="L3855" s="8">
        <v>40</v>
      </c>
      <c r="M3855" s="7">
        <f>IF(INDEX([1]equip.xml!$B:$B,MATCH(D3855&amp;"",[1]equip.xml!$A:$A,0))=0,0,N3855)</f>
        <v>0</v>
      </c>
      <c r="N3855" s="8">
        <f t="shared" ref="N3855" si="4577">N3767</f>
        <v>60</v>
      </c>
    </row>
    <row r="3856" spans="1:14">
      <c r="A3856" s="7">
        <f t="shared" si="4476"/>
        <v>20016</v>
      </c>
      <c r="B3856" s="8">
        <f t="shared" ref="B3856:C3856" si="4578">B3768</f>
        <v>40000</v>
      </c>
      <c r="C3856" s="8" t="str">
        <f t="shared" si="4578"/>
        <v>装备</v>
      </c>
      <c r="D3856" s="8">
        <v>40600070</v>
      </c>
      <c r="E3856" s="8"/>
      <c r="F3856" s="8">
        <v>1</v>
      </c>
      <c r="G3856" s="7">
        <f>3*INDEX([1]equip.xml!$I:$I,MATCH(D3856&amp;"",[1]equip.xml!$A:$A,0))</f>
        <v>180000</v>
      </c>
      <c r="H3856" s="8" t="str">
        <f t="shared" si="4558"/>
        <v>10_10,50_20,80_30</v>
      </c>
      <c r="I3856" s="8">
        <v>6</v>
      </c>
      <c r="J3856" s="8">
        <f t="shared" si="4558"/>
        <v>50</v>
      </c>
      <c r="K3856" s="7" t="s">
        <v>311</v>
      </c>
      <c r="L3856" s="8">
        <v>40</v>
      </c>
      <c r="M3856" s="7">
        <f>IF(INDEX([1]equip.xml!$B:$B,MATCH(D3856&amp;"",[1]equip.xml!$A:$A,0))=0,0,N3856)</f>
        <v>60</v>
      </c>
      <c r="N3856" s="8">
        <f t="shared" ref="N3856" si="4579">N3768</f>
        <v>60</v>
      </c>
    </row>
    <row r="3857" spans="1:14">
      <c r="A3857" s="7">
        <f t="shared" si="4476"/>
        <v>20016</v>
      </c>
      <c r="B3857" s="8">
        <f t="shared" ref="B3857:C3857" si="4580">B3769</f>
        <v>40000</v>
      </c>
      <c r="C3857" s="8" t="str">
        <f t="shared" si="4580"/>
        <v>装备</v>
      </c>
      <c r="D3857" s="8">
        <v>40600071</v>
      </c>
      <c r="E3857" s="8"/>
      <c r="F3857" s="8">
        <v>1</v>
      </c>
      <c r="G3857" s="7">
        <f>3*INDEX([1]equip.xml!$I:$I,MATCH(D3857&amp;"",[1]equip.xml!$A:$A,0))</f>
        <v>189000</v>
      </c>
      <c r="H3857" s="8" t="str">
        <f t="shared" si="4558"/>
        <v>10_10,50_20,80_30</v>
      </c>
      <c r="I3857" s="8">
        <v>6</v>
      </c>
      <c r="J3857" s="8">
        <f t="shared" si="4558"/>
        <v>50</v>
      </c>
      <c r="K3857" s="7" t="s">
        <v>311</v>
      </c>
      <c r="L3857" s="8">
        <v>40</v>
      </c>
      <c r="M3857" s="7">
        <f>IF(INDEX([1]equip.xml!$B:$B,MATCH(D3857&amp;"",[1]equip.xml!$A:$A,0))=0,0,N3857)</f>
        <v>60</v>
      </c>
      <c r="N3857" s="8">
        <f t="shared" ref="N3857" si="4581">N3769</f>
        <v>60</v>
      </c>
    </row>
    <row r="3858" spans="1:14">
      <c r="A3858" s="7">
        <f t="shared" si="4476"/>
        <v>20016</v>
      </c>
      <c r="B3858" s="8">
        <f t="shared" ref="B3858:C3858" si="4582">B3770</f>
        <v>40000</v>
      </c>
      <c r="C3858" s="8" t="str">
        <f t="shared" si="4582"/>
        <v>装备</v>
      </c>
      <c r="D3858" s="8">
        <v>50550015</v>
      </c>
      <c r="E3858" s="8"/>
      <c r="F3858" s="8">
        <v>1</v>
      </c>
      <c r="G3858" s="8">
        <f>3*INDEX([1]equip.xml!$I:$I,MATCH(D3858,[1]equip.xml!$A:$A,0))</f>
        <v>330000</v>
      </c>
      <c r="H3858" s="8" t="str">
        <f t="shared" si="4558"/>
        <v>10_10,50_20,80_30</v>
      </c>
      <c r="I3858" s="8">
        <v>2</v>
      </c>
      <c r="J3858" s="8">
        <f t="shared" si="4558"/>
        <v>240</v>
      </c>
      <c r="K3858" s="7" t="s">
        <v>311</v>
      </c>
      <c r="L3858" s="8">
        <v>40</v>
      </c>
      <c r="M3858" s="7">
        <f>IF(INDEX([1]equip.xml!$B:$B,MATCH(D3858,[1]equip.xml!$A:$A,0))=0,0,N3858)</f>
        <v>130</v>
      </c>
      <c r="N3858" s="8">
        <f t="shared" ref="N3858" si="4583">N3770</f>
        <v>130</v>
      </c>
    </row>
    <row r="3859" spans="1:14">
      <c r="A3859" s="7">
        <f t="shared" si="4476"/>
        <v>20016</v>
      </c>
      <c r="B3859" s="8">
        <f t="shared" ref="B3859:C3859" si="4584">B3771</f>
        <v>40000</v>
      </c>
      <c r="C3859" s="8" t="str">
        <f t="shared" si="4584"/>
        <v>装备</v>
      </c>
      <c r="D3859" s="8">
        <v>50550025</v>
      </c>
      <c r="E3859" s="8"/>
      <c r="F3859" s="8">
        <v>1</v>
      </c>
      <c r="G3859" s="8">
        <f>3*INDEX([1]equip.xml!$I:$I,MATCH(D3859,[1]equip.xml!$A:$A,0))</f>
        <v>330000</v>
      </c>
      <c r="H3859" s="8" t="str">
        <f t="shared" si="4558"/>
        <v>10_10,50_20,80_30</v>
      </c>
      <c r="I3859" s="8">
        <v>2</v>
      </c>
      <c r="J3859" s="8">
        <f t="shared" si="4558"/>
        <v>240</v>
      </c>
      <c r="K3859" s="7" t="s">
        <v>311</v>
      </c>
      <c r="L3859" s="8">
        <v>40</v>
      </c>
      <c r="M3859" s="7">
        <f>IF(INDEX([1]equip.xml!$B:$B,MATCH(D3859,[1]equip.xml!$A:$A,0))=0,0,N3859)</f>
        <v>130</v>
      </c>
      <c r="N3859" s="8">
        <f t="shared" ref="N3859" si="4585">N3771</f>
        <v>130</v>
      </c>
    </row>
    <row r="3860" spans="1:14">
      <c r="A3860" s="7">
        <f t="shared" si="4476"/>
        <v>20016</v>
      </c>
      <c r="B3860" s="8">
        <f t="shared" ref="B3860:C3860" si="4586">B3772</f>
        <v>40000</v>
      </c>
      <c r="C3860" s="8" t="str">
        <f t="shared" si="4586"/>
        <v>装备</v>
      </c>
      <c r="D3860" s="8">
        <v>50550035</v>
      </c>
      <c r="E3860" s="8"/>
      <c r="F3860" s="8">
        <v>1</v>
      </c>
      <c r="G3860" s="8">
        <f>3*INDEX([1]equip.xml!$I:$I,MATCH(D3860,[1]equip.xml!$A:$A,0))</f>
        <v>330000</v>
      </c>
      <c r="H3860" s="8" t="str">
        <f t="shared" si="4558"/>
        <v>10_10,50_20,80_30</v>
      </c>
      <c r="I3860" s="8">
        <v>2</v>
      </c>
      <c r="J3860" s="8">
        <f t="shared" si="4558"/>
        <v>240</v>
      </c>
      <c r="K3860" s="7" t="s">
        <v>311</v>
      </c>
      <c r="L3860" s="8">
        <v>40</v>
      </c>
      <c r="M3860" s="7">
        <f>IF(INDEX([1]equip.xml!$B:$B,MATCH(D3860,[1]equip.xml!$A:$A,0))=0,0,N3860)</f>
        <v>130</v>
      </c>
      <c r="N3860" s="8">
        <f t="shared" ref="N3860" si="4587">N3772</f>
        <v>130</v>
      </c>
    </row>
    <row r="3861" spans="1:14">
      <c r="A3861" s="7">
        <f t="shared" si="4476"/>
        <v>20016</v>
      </c>
      <c r="B3861" s="8">
        <f t="shared" ref="B3861:C3861" si="4588">B3773</f>
        <v>40000</v>
      </c>
      <c r="C3861" s="8" t="str">
        <f t="shared" si="4588"/>
        <v>装备</v>
      </c>
      <c r="D3861" s="8">
        <v>50550085</v>
      </c>
      <c r="E3861" s="8"/>
      <c r="F3861" s="8">
        <v>1</v>
      </c>
      <c r="G3861" s="8">
        <f>3*INDEX([1]equip.xml!$I:$I,MATCH(D3861,[1]equip.xml!$A:$A,0))</f>
        <v>330000</v>
      </c>
      <c r="H3861" s="8" t="str">
        <f t="shared" si="4558"/>
        <v>10_10,50_20,80_30</v>
      </c>
      <c r="I3861" s="8">
        <v>2</v>
      </c>
      <c r="J3861" s="8">
        <f t="shared" si="4558"/>
        <v>240</v>
      </c>
      <c r="K3861" s="7" t="s">
        <v>311</v>
      </c>
      <c r="L3861" s="8">
        <v>40</v>
      </c>
      <c r="M3861" s="7">
        <f>IF(INDEX([1]equip.xml!$B:$B,MATCH(D3861,[1]equip.xml!$A:$A,0))=0,0,N3861)</f>
        <v>130</v>
      </c>
      <c r="N3861" s="8">
        <f t="shared" ref="N3861" si="4589">N3773</f>
        <v>130</v>
      </c>
    </row>
    <row r="3862" spans="1:14">
      <c r="A3862" s="7">
        <f t="shared" si="4476"/>
        <v>20016</v>
      </c>
      <c r="B3862" s="8">
        <f t="shared" ref="B3862:C3862" si="4590">B3774</f>
        <v>40000</v>
      </c>
      <c r="C3862" s="8" t="str">
        <f t="shared" si="4590"/>
        <v>装备</v>
      </c>
      <c r="D3862" s="8">
        <v>50550095</v>
      </c>
      <c r="E3862" s="8"/>
      <c r="F3862" s="8">
        <v>1</v>
      </c>
      <c r="G3862" s="8">
        <f>3*INDEX([1]equip.xml!$I:$I,MATCH(D3862,[1]equip.xml!$A:$A,0))</f>
        <v>330000</v>
      </c>
      <c r="H3862" s="8" t="str">
        <f t="shared" ref="H3862:J3877" si="4591">H3774</f>
        <v>10_10,50_20,80_30</v>
      </c>
      <c r="I3862" s="8">
        <v>2</v>
      </c>
      <c r="J3862" s="8">
        <f t="shared" si="4591"/>
        <v>240</v>
      </c>
      <c r="K3862" s="7" t="s">
        <v>311</v>
      </c>
      <c r="L3862" s="8">
        <v>40</v>
      </c>
      <c r="M3862" s="7">
        <f>IF(INDEX([1]equip.xml!$B:$B,MATCH(D3862,[1]equip.xml!$A:$A,0))=0,0,N3862)</f>
        <v>0</v>
      </c>
      <c r="N3862" s="8">
        <f t="shared" ref="N3862" si="4592">N3774</f>
        <v>130</v>
      </c>
    </row>
    <row r="3863" spans="1:14">
      <c r="A3863" s="7">
        <f t="shared" si="4476"/>
        <v>20016</v>
      </c>
      <c r="B3863" s="8">
        <f t="shared" ref="B3863:C3863" si="4593">B3775</f>
        <v>40000</v>
      </c>
      <c r="C3863" s="8" t="str">
        <f t="shared" si="4593"/>
        <v>装备</v>
      </c>
      <c r="D3863" s="8">
        <v>50550105</v>
      </c>
      <c r="E3863" s="8"/>
      <c r="F3863" s="8">
        <v>1</v>
      </c>
      <c r="G3863" s="8">
        <f>3*INDEX([1]equip.xml!$I:$I,MATCH(D3863,[1]equip.xml!$A:$A,0))</f>
        <v>330000</v>
      </c>
      <c r="H3863" s="8" t="str">
        <f t="shared" si="4591"/>
        <v>10_10,50_20,80_30</v>
      </c>
      <c r="I3863" s="8">
        <v>2</v>
      </c>
      <c r="J3863" s="8">
        <f t="shared" si="4591"/>
        <v>240</v>
      </c>
      <c r="K3863" s="7" t="s">
        <v>311</v>
      </c>
      <c r="L3863" s="8">
        <v>40</v>
      </c>
      <c r="M3863" s="7">
        <f>IF(INDEX([1]equip.xml!$B:$B,MATCH(D3863,[1]equip.xml!$A:$A,0))=0,0,N3863)</f>
        <v>130</v>
      </c>
      <c r="N3863" s="8">
        <f t="shared" ref="N3863" si="4594">N3775</f>
        <v>130</v>
      </c>
    </row>
    <row r="3864" spans="1:14">
      <c r="A3864" s="7">
        <f t="shared" si="4476"/>
        <v>20016</v>
      </c>
      <c r="B3864" s="8">
        <f t="shared" ref="B3864:C3864" si="4595">B3776</f>
        <v>40000</v>
      </c>
      <c r="C3864" s="8" t="str">
        <f t="shared" si="4595"/>
        <v>装备</v>
      </c>
      <c r="D3864" s="8">
        <v>50551055</v>
      </c>
      <c r="E3864" s="8"/>
      <c r="F3864" s="8">
        <v>1</v>
      </c>
      <c r="G3864" s="8">
        <f>3*INDEX([1]equip.xml!$I:$I,MATCH(D3864,[1]equip.xml!$A:$A,0))</f>
        <v>330000</v>
      </c>
      <c r="H3864" s="8" t="str">
        <f t="shared" si="4591"/>
        <v>10_10,50_20,80_30</v>
      </c>
      <c r="I3864" s="8">
        <v>2</v>
      </c>
      <c r="J3864" s="8">
        <f t="shared" si="4591"/>
        <v>240</v>
      </c>
      <c r="K3864" s="7" t="s">
        <v>311</v>
      </c>
      <c r="L3864" s="8">
        <v>40</v>
      </c>
      <c r="M3864" s="7">
        <f>IF(INDEX([1]equip.xml!$B:$B,MATCH(D3864,[1]equip.xml!$A:$A,0))=0,0,N3864)</f>
        <v>130</v>
      </c>
      <c r="N3864" s="8">
        <f t="shared" ref="N3864" si="4596">N3776</f>
        <v>130</v>
      </c>
    </row>
    <row r="3865" spans="1:14">
      <c r="A3865" s="7">
        <f t="shared" si="4476"/>
        <v>20016</v>
      </c>
      <c r="B3865" s="8">
        <f t="shared" ref="B3865:C3865" si="4597">B3777</f>
        <v>40000</v>
      </c>
      <c r="C3865" s="8" t="str">
        <f t="shared" si="4597"/>
        <v>装备</v>
      </c>
      <c r="D3865" s="8">
        <v>50551056</v>
      </c>
      <c r="E3865" s="8"/>
      <c r="F3865" s="8">
        <v>1</v>
      </c>
      <c r="G3865" s="8">
        <f>3*INDEX([1]equip.xml!$I:$I,MATCH(D3865,[1]equip.xml!$A:$A,0))</f>
        <v>348000</v>
      </c>
      <c r="H3865" s="8" t="str">
        <f t="shared" si="4591"/>
        <v>10_10,50_20,80_30</v>
      </c>
      <c r="I3865" s="8">
        <v>2</v>
      </c>
      <c r="J3865" s="8">
        <f t="shared" si="4591"/>
        <v>240</v>
      </c>
      <c r="K3865" s="7" t="s">
        <v>311</v>
      </c>
      <c r="L3865" s="8">
        <v>40</v>
      </c>
      <c r="M3865" s="7">
        <f>IF(INDEX([1]equip.xml!$B:$B,MATCH(D3865,[1]equip.xml!$A:$A,0))=0,0,N3865)</f>
        <v>0</v>
      </c>
      <c r="N3865" s="8">
        <f t="shared" ref="N3865" si="4598">N3777</f>
        <v>130</v>
      </c>
    </row>
    <row r="3866" spans="1:14">
      <c r="A3866" s="7">
        <f t="shared" si="4476"/>
        <v>20016</v>
      </c>
      <c r="B3866" s="8">
        <f t="shared" ref="B3866:C3866" si="4599">B3778</f>
        <v>40000</v>
      </c>
      <c r="C3866" s="8" t="str">
        <f t="shared" si="4599"/>
        <v>装备</v>
      </c>
      <c r="D3866" s="8">
        <v>50551065</v>
      </c>
      <c r="E3866" s="8"/>
      <c r="F3866" s="8">
        <v>1</v>
      </c>
      <c r="G3866" s="8">
        <f>3*INDEX([1]equip.xml!$I:$I,MATCH(D3866,[1]equip.xml!$A:$A,0))</f>
        <v>330000</v>
      </c>
      <c r="H3866" s="8" t="str">
        <f t="shared" si="4591"/>
        <v>10_10,50_20,80_30</v>
      </c>
      <c r="I3866" s="8">
        <v>2</v>
      </c>
      <c r="J3866" s="8">
        <f t="shared" si="4591"/>
        <v>240</v>
      </c>
      <c r="K3866" s="7" t="s">
        <v>311</v>
      </c>
      <c r="L3866" s="8">
        <v>40</v>
      </c>
      <c r="M3866" s="7">
        <f>IF(INDEX([1]equip.xml!$B:$B,MATCH(D3866,[1]equip.xml!$A:$A,0))=0,0,N3866)</f>
        <v>130</v>
      </c>
      <c r="N3866" s="8">
        <f t="shared" ref="N3866" si="4600">N3778</f>
        <v>130</v>
      </c>
    </row>
    <row r="3867" spans="1:14">
      <c r="A3867" s="7">
        <f t="shared" si="4476"/>
        <v>20016</v>
      </c>
      <c r="B3867" s="8">
        <f t="shared" ref="B3867:C3867" si="4601">B3779</f>
        <v>40000</v>
      </c>
      <c r="C3867" s="8" t="str">
        <f t="shared" si="4601"/>
        <v>装备</v>
      </c>
      <c r="D3867" s="8">
        <v>50551066</v>
      </c>
      <c r="E3867" s="8"/>
      <c r="F3867" s="8">
        <v>1</v>
      </c>
      <c r="G3867" s="8">
        <f>3*INDEX([1]equip.xml!$I:$I,MATCH(D3867,[1]equip.xml!$A:$A,0))</f>
        <v>348000</v>
      </c>
      <c r="H3867" s="8" t="str">
        <f t="shared" si="4591"/>
        <v>10_10,50_20,80_30</v>
      </c>
      <c r="I3867" s="8">
        <v>2</v>
      </c>
      <c r="J3867" s="8">
        <f t="shared" si="4591"/>
        <v>240</v>
      </c>
      <c r="K3867" s="7" t="s">
        <v>311</v>
      </c>
      <c r="L3867" s="8">
        <v>40</v>
      </c>
      <c r="M3867" s="7">
        <f>IF(INDEX([1]equip.xml!$B:$B,MATCH(D3867,[1]equip.xml!$A:$A,0))=0,0,N3867)</f>
        <v>130</v>
      </c>
      <c r="N3867" s="8">
        <f t="shared" ref="N3867" si="4602">N3779</f>
        <v>130</v>
      </c>
    </row>
    <row r="3868" spans="1:14">
      <c r="A3868" s="7">
        <f t="shared" si="4476"/>
        <v>20016</v>
      </c>
      <c r="B3868" s="8">
        <f t="shared" ref="B3868:C3868" si="4603">B3780</f>
        <v>40000</v>
      </c>
      <c r="C3868" s="8" t="str">
        <f t="shared" si="4603"/>
        <v>装备</v>
      </c>
      <c r="D3868" s="8">
        <v>50552055</v>
      </c>
      <c r="E3868" s="8"/>
      <c r="F3868" s="8">
        <v>1</v>
      </c>
      <c r="G3868" s="8">
        <f>3*INDEX([1]equip.xml!$I:$I,MATCH(D3868,[1]equip.xml!$A:$A,0))</f>
        <v>330000</v>
      </c>
      <c r="H3868" s="8" t="str">
        <f t="shared" si="4591"/>
        <v>10_10,50_20,80_30</v>
      </c>
      <c r="I3868" s="8">
        <v>2</v>
      </c>
      <c r="J3868" s="8">
        <f t="shared" si="4591"/>
        <v>240</v>
      </c>
      <c r="K3868" s="7" t="s">
        <v>311</v>
      </c>
      <c r="L3868" s="8">
        <v>40</v>
      </c>
      <c r="M3868" s="7">
        <f>IF(INDEX([1]equip.xml!$B:$B,MATCH(D3868,[1]equip.xml!$A:$A,0))=0,0,N3868)</f>
        <v>130</v>
      </c>
      <c r="N3868" s="8">
        <f t="shared" ref="N3868" si="4604">N3780</f>
        <v>130</v>
      </c>
    </row>
    <row r="3869" spans="1:14">
      <c r="A3869" s="7">
        <f t="shared" si="4476"/>
        <v>20016</v>
      </c>
      <c r="B3869" s="8">
        <f t="shared" ref="B3869:C3869" si="4605">B3781</f>
        <v>40000</v>
      </c>
      <c r="C3869" s="8" t="str">
        <f t="shared" si="4605"/>
        <v>装备</v>
      </c>
      <c r="D3869" s="8">
        <v>50552056</v>
      </c>
      <c r="E3869" s="8"/>
      <c r="F3869" s="8">
        <v>1</v>
      </c>
      <c r="G3869" s="8">
        <f>3*INDEX([1]equip.xml!$I:$I,MATCH(D3869,[1]equip.xml!$A:$A,0))</f>
        <v>348000</v>
      </c>
      <c r="H3869" s="8" t="str">
        <f t="shared" si="4591"/>
        <v>10_10,50_20,80_30</v>
      </c>
      <c r="I3869" s="8">
        <v>2</v>
      </c>
      <c r="J3869" s="8">
        <f t="shared" si="4591"/>
        <v>240</v>
      </c>
      <c r="K3869" s="7" t="s">
        <v>311</v>
      </c>
      <c r="L3869" s="8">
        <v>40</v>
      </c>
      <c r="M3869" s="7">
        <f>IF(INDEX([1]equip.xml!$B:$B,MATCH(D3869,[1]equip.xml!$A:$A,0))=0,0,N3869)</f>
        <v>0</v>
      </c>
      <c r="N3869" s="8">
        <f t="shared" ref="N3869" si="4606">N3781</f>
        <v>130</v>
      </c>
    </row>
    <row r="3870" spans="1:14">
      <c r="A3870" s="7">
        <f t="shared" si="4476"/>
        <v>20016</v>
      </c>
      <c r="B3870" s="8">
        <f t="shared" ref="B3870:C3870" si="4607">B3782</f>
        <v>40000</v>
      </c>
      <c r="C3870" s="8" t="str">
        <f t="shared" si="4607"/>
        <v>装备</v>
      </c>
      <c r="D3870" s="8">
        <v>50552065</v>
      </c>
      <c r="E3870" s="8"/>
      <c r="F3870" s="8">
        <v>1</v>
      </c>
      <c r="G3870" s="8">
        <f>3*INDEX([1]equip.xml!$I:$I,MATCH(D3870,[1]equip.xml!$A:$A,0))</f>
        <v>330000</v>
      </c>
      <c r="H3870" s="8" t="str">
        <f t="shared" si="4591"/>
        <v>10_10,50_20,80_30</v>
      </c>
      <c r="I3870" s="8">
        <v>2</v>
      </c>
      <c r="J3870" s="8">
        <f t="shared" si="4591"/>
        <v>240</v>
      </c>
      <c r="K3870" s="7" t="s">
        <v>311</v>
      </c>
      <c r="L3870" s="8">
        <v>40</v>
      </c>
      <c r="M3870" s="7">
        <f>IF(INDEX([1]equip.xml!$B:$B,MATCH(D3870,[1]equip.xml!$A:$A,0))=0,0,N3870)</f>
        <v>130</v>
      </c>
      <c r="N3870" s="8">
        <f t="shared" ref="N3870" si="4608">N3782</f>
        <v>130</v>
      </c>
    </row>
    <row r="3871" spans="1:14">
      <c r="A3871" s="7">
        <f t="shared" ref="A3871:A3934" si="4609">10000+A1055</f>
        <v>20016</v>
      </c>
      <c r="B3871" s="8">
        <f t="shared" ref="B3871:C3871" si="4610">B3783</f>
        <v>40000</v>
      </c>
      <c r="C3871" s="8" t="str">
        <f t="shared" si="4610"/>
        <v>装备</v>
      </c>
      <c r="D3871" s="8">
        <v>50552066</v>
      </c>
      <c r="E3871" s="8"/>
      <c r="F3871" s="8">
        <v>1</v>
      </c>
      <c r="G3871" s="8">
        <f>3*INDEX([1]equip.xml!$I:$I,MATCH(D3871,[1]equip.xml!$A:$A,0))</f>
        <v>348000</v>
      </c>
      <c r="H3871" s="8" t="str">
        <f t="shared" si="4591"/>
        <v>10_10,50_20,80_30</v>
      </c>
      <c r="I3871" s="8">
        <v>2</v>
      </c>
      <c r="J3871" s="8">
        <f t="shared" si="4591"/>
        <v>240</v>
      </c>
      <c r="K3871" s="7" t="s">
        <v>311</v>
      </c>
      <c r="L3871" s="8">
        <v>40</v>
      </c>
      <c r="M3871" s="7">
        <f>IF(INDEX([1]equip.xml!$B:$B,MATCH(D3871,[1]equip.xml!$A:$A,0))=0,0,N3871)</f>
        <v>130</v>
      </c>
      <c r="N3871" s="8">
        <f t="shared" ref="N3871" si="4611">N3783</f>
        <v>130</v>
      </c>
    </row>
    <row r="3872" spans="1:14">
      <c r="A3872" s="7">
        <f t="shared" si="4609"/>
        <v>20016</v>
      </c>
      <c r="B3872" s="8">
        <f t="shared" ref="B3872:C3872" si="4612">B3784</f>
        <v>40000</v>
      </c>
      <c r="C3872" s="8" t="str">
        <f t="shared" si="4612"/>
        <v>装备</v>
      </c>
      <c r="D3872" s="8">
        <v>50553055</v>
      </c>
      <c r="E3872" s="8"/>
      <c r="F3872" s="8">
        <v>1</v>
      </c>
      <c r="G3872" s="8">
        <f>3*INDEX([1]equip.xml!$I:$I,MATCH(D3872,[1]equip.xml!$A:$A,0))</f>
        <v>330000</v>
      </c>
      <c r="H3872" s="8" t="str">
        <f t="shared" si="4591"/>
        <v>10_10,50_20,80_30</v>
      </c>
      <c r="I3872" s="8">
        <v>2</v>
      </c>
      <c r="J3872" s="8">
        <f t="shared" si="4591"/>
        <v>240</v>
      </c>
      <c r="K3872" s="7" t="s">
        <v>311</v>
      </c>
      <c r="L3872" s="8">
        <v>40</v>
      </c>
      <c r="M3872" s="7">
        <f>IF(INDEX([1]equip.xml!$B:$B,MATCH(D3872,[1]equip.xml!$A:$A,0))=0,0,N3872)</f>
        <v>130</v>
      </c>
      <c r="N3872" s="8">
        <f t="shared" ref="N3872" si="4613">N3784</f>
        <v>130</v>
      </c>
    </row>
    <row r="3873" spans="1:14">
      <c r="A3873" s="7">
        <f t="shared" si="4609"/>
        <v>20016</v>
      </c>
      <c r="B3873" s="8">
        <f t="shared" ref="B3873:C3873" si="4614">B3785</f>
        <v>40000</v>
      </c>
      <c r="C3873" s="8" t="str">
        <f t="shared" si="4614"/>
        <v>装备</v>
      </c>
      <c r="D3873" s="8">
        <v>50553056</v>
      </c>
      <c r="E3873" s="8"/>
      <c r="F3873" s="8">
        <v>1</v>
      </c>
      <c r="G3873" s="8">
        <f>3*INDEX([1]equip.xml!$I:$I,MATCH(D3873,[1]equip.xml!$A:$A,0))</f>
        <v>348000</v>
      </c>
      <c r="H3873" s="8" t="str">
        <f t="shared" si="4591"/>
        <v>10_10,50_20,80_30</v>
      </c>
      <c r="I3873" s="8">
        <v>2</v>
      </c>
      <c r="J3873" s="8">
        <f t="shared" si="4591"/>
        <v>240</v>
      </c>
      <c r="K3873" s="7" t="s">
        <v>311</v>
      </c>
      <c r="L3873" s="8">
        <v>40</v>
      </c>
      <c r="M3873" s="7">
        <f>IF(INDEX([1]equip.xml!$B:$B,MATCH(D3873,[1]equip.xml!$A:$A,0))=0,0,N3873)</f>
        <v>0</v>
      </c>
      <c r="N3873" s="8">
        <f t="shared" ref="N3873" si="4615">N3785</f>
        <v>130</v>
      </c>
    </row>
    <row r="3874" spans="1:14">
      <c r="A3874" s="7">
        <f t="shared" si="4609"/>
        <v>20016</v>
      </c>
      <c r="B3874" s="8">
        <f t="shared" ref="B3874:C3874" si="4616">B3786</f>
        <v>40000</v>
      </c>
      <c r="C3874" s="8" t="str">
        <f t="shared" si="4616"/>
        <v>装备</v>
      </c>
      <c r="D3874" s="8">
        <v>50553065</v>
      </c>
      <c r="E3874" s="8"/>
      <c r="F3874" s="8">
        <v>1</v>
      </c>
      <c r="G3874" s="8">
        <f>3*INDEX([1]equip.xml!$I:$I,MATCH(D3874,[1]equip.xml!$A:$A,0))</f>
        <v>330000</v>
      </c>
      <c r="H3874" s="8" t="str">
        <f t="shared" si="4591"/>
        <v>10_10,50_20,80_30</v>
      </c>
      <c r="I3874" s="8">
        <v>2</v>
      </c>
      <c r="J3874" s="8">
        <f t="shared" si="4591"/>
        <v>240</v>
      </c>
      <c r="K3874" s="7" t="s">
        <v>311</v>
      </c>
      <c r="L3874" s="8">
        <v>40</v>
      </c>
      <c r="M3874" s="7">
        <f>IF(INDEX([1]equip.xml!$B:$B,MATCH(D3874,[1]equip.xml!$A:$A,0))=0,0,N3874)</f>
        <v>130</v>
      </c>
      <c r="N3874" s="8">
        <f t="shared" ref="N3874" si="4617">N3786</f>
        <v>130</v>
      </c>
    </row>
    <row r="3875" spans="1:14">
      <c r="A3875" s="7">
        <f t="shared" si="4609"/>
        <v>20016</v>
      </c>
      <c r="B3875" s="8">
        <f t="shared" ref="B3875:C3875" si="4618">B3787</f>
        <v>40000</v>
      </c>
      <c r="C3875" s="8" t="str">
        <f t="shared" si="4618"/>
        <v>装备</v>
      </c>
      <c r="D3875" s="8">
        <v>50553066</v>
      </c>
      <c r="E3875" s="8"/>
      <c r="F3875" s="8">
        <v>1</v>
      </c>
      <c r="G3875" s="8">
        <f>3*INDEX([1]equip.xml!$I:$I,MATCH(D3875,[1]equip.xml!$A:$A,0))</f>
        <v>348000</v>
      </c>
      <c r="H3875" s="8" t="str">
        <f t="shared" si="4591"/>
        <v>10_10,50_20,80_30</v>
      </c>
      <c r="I3875" s="8">
        <v>2</v>
      </c>
      <c r="J3875" s="8">
        <f t="shared" si="4591"/>
        <v>240</v>
      </c>
      <c r="K3875" s="7" t="s">
        <v>311</v>
      </c>
      <c r="L3875" s="8">
        <v>40</v>
      </c>
      <c r="M3875" s="7">
        <f>IF(INDEX([1]equip.xml!$B:$B,MATCH(D3875,[1]equip.xml!$A:$A,0))=0,0,N3875)</f>
        <v>130</v>
      </c>
      <c r="N3875" s="8">
        <f t="shared" ref="N3875" si="4619">N3787</f>
        <v>130</v>
      </c>
    </row>
    <row r="3876" spans="1:14">
      <c r="A3876" s="7">
        <f t="shared" si="4609"/>
        <v>20016</v>
      </c>
      <c r="B3876" s="8">
        <f t="shared" ref="B3876:C3876" si="4620">B3788</f>
        <v>40000</v>
      </c>
      <c r="C3876" s="8" t="str">
        <f t="shared" si="4620"/>
        <v>装备</v>
      </c>
      <c r="D3876" s="8">
        <v>50550045</v>
      </c>
      <c r="E3876" s="8"/>
      <c r="F3876" s="8">
        <v>1</v>
      </c>
      <c r="G3876" s="8">
        <f>3*INDEX([1]equip.xml!$I:$I,MATCH(D3876,[1]equip.xml!$A:$A,0))</f>
        <v>330000</v>
      </c>
      <c r="H3876" s="8" t="str">
        <f t="shared" si="4591"/>
        <v>10_10,50_20,80_30</v>
      </c>
      <c r="I3876" s="8">
        <v>2</v>
      </c>
      <c r="J3876" s="8">
        <f t="shared" si="4591"/>
        <v>240</v>
      </c>
      <c r="K3876" s="7" t="s">
        <v>311</v>
      </c>
      <c r="L3876" s="8">
        <v>40</v>
      </c>
      <c r="M3876" s="7">
        <f>IF(INDEX([1]equip.xml!$B:$B,MATCH(D3876,[1]equip.xml!$A:$A,0))=0,0,N3876)</f>
        <v>130</v>
      </c>
      <c r="N3876" s="8">
        <f t="shared" ref="N3876" si="4621">N3788</f>
        <v>130</v>
      </c>
    </row>
    <row r="3877" spans="1:14">
      <c r="A3877" s="7">
        <f t="shared" si="4609"/>
        <v>20016</v>
      </c>
      <c r="B3877" s="8">
        <f t="shared" ref="B3877:C3877" si="4622">B3789</f>
        <v>40000</v>
      </c>
      <c r="C3877" s="8" t="str">
        <f t="shared" si="4622"/>
        <v>装备</v>
      </c>
      <c r="D3877" s="8">
        <v>50550046</v>
      </c>
      <c r="E3877" s="8"/>
      <c r="F3877" s="8">
        <v>1</v>
      </c>
      <c r="G3877" s="8">
        <f>3*INDEX([1]equip.xml!$I:$I,MATCH(D3877,[1]equip.xml!$A:$A,0))</f>
        <v>348000</v>
      </c>
      <c r="H3877" s="8" t="str">
        <f t="shared" si="4591"/>
        <v>10_10,50_20,80_30</v>
      </c>
      <c r="I3877" s="8">
        <v>2</v>
      </c>
      <c r="J3877" s="8">
        <f t="shared" si="4591"/>
        <v>240</v>
      </c>
      <c r="K3877" s="7" t="s">
        <v>311</v>
      </c>
      <c r="L3877" s="8">
        <v>40</v>
      </c>
      <c r="M3877" s="7">
        <f>IF(INDEX([1]equip.xml!$B:$B,MATCH(D3877,[1]equip.xml!$A:$A,0))=0,0,N3877)</f>
        <v>0</v>
      </c>
      <c r="N3877" s="8">
        <f t="shared" ref="N3877" si="4623">N3789</f>
        <v>130</v>
      </c>
    </row>
    <row r="3878" spans="1:14">
      <c r="A3878" s="7">
        <f t="shared" si="4609"/>
        <v>20016</v>
      </c>
      <c r="B3878" s="8">
        <f t="shared" ref="B3878:C3878" si="4624">B3790</f>
        <v>40000</v>
      </c>
      <c r="C3878" s="8" t="str">
        <f t="shared" si="4624"/>
        <v>装备</v>
      </c>
      <c r="D3878" s="8">
        <v>50550075</v>
      </c>
      <c r="E3878" s="8"/>
      <c r="F3878" s="8">
        <v>1</v>
      </c>
      <c r="G3878" s="8">
        <f>3*INDEX([1]equip.xml!$I:$I,MATCH(D3878,[1]equip.xml!$A:$A,0))</f>
        <v>330000</v>
      </c>
      <c r="H3878" s="8" t="str">
        <f t="shared" ref="H3878:J3893" si="4625">H3790</f>
        <v>10_10,50_20,80_30</v>
      </c>
      <c r="I3878" s="8">
        <v>2</v>
      </c>
      <c r="J3878" s="8">
        <f t="shared" si="4625"/>
        <v>240</v>
      </c>
      <c r="K3878" s="7" t="s">
        <v>311</v>
      </c>
      <c r="L3878" s="8">
        <v>40</v>
      </c>
      <c r="M3878" s="7">
        <f>IF(INDEX([1]equip.xml!$B:$B,MATCH(D3878,[1]equip.xml!$A:$A,0))=0,0,N3878)</f>
        <v>130</v>
      </c>
      <c r="N3878" s="8">
        <f t="shared" ref="N3878" si="4626">N3790</f>
        <v>130</v>
      </c>
    </row>
    <row r="3879" spans="1:14">
      <c r="A3879" s="7">
        <f t="shared" si="4609"/>
        <v>20016</v>
      </c>
      <c r="B3879" s="8">
        <f t="shared" ref="B3879:C3879" si="4627">B3791</f>
        <v>40000</v>
      </c>
      <c r="C3879" s="8" t="str">
        <f t="shared" si="4627"/>
        <v>装备</v>
      </c>
      <c r="D3879" s="8">
        <v>50550076</v>
      </c>
      <c r="E3879" s="8"/>
      <c r="F3879" s="8">
        <v>1</v>
      </c>
      <c r="G3879" s="8">
        <f>3*INDEX([1]equip.xml!$I:$I,MATCH(D3879,[1]equip.xml!$A:$A,0))</f>
        <v>348000</v>
      </c>
      <c r="H3879" s="8" t="str">
        <f t="shared" si="4625"/>
        <v>10_10,50_20,80_30</v>
      </c>
      <c r="I3879" s="8">
        <v>2</v>
      </c>
      <c r="J3879" s="8">
        <f t="shared" si="4625"/>
        <v>240</v>
      </c>
      <c r="K3879" s="7" t="s">
        <v>311</v>
      </c>
      <c r="L3879" s="8">
        <v>40</v>
      </c>
      <c r="M3879" s="7">
        <f>IF(INDEX([1]equip.xml!$B:$B,MATCH(D3879,[1]equip.xml!$A:$A,0))=0,0,N3879)</f>
        <v>0</v>
      </c>
      <c r="N3879" s="8">
        <f t="shared" ref="N3879" si="4628">N3791</f>
        <v>130</v>
      </c>
    </row>
    <row r="3880" spans="1:14">
      <c r="A3880" s="7">
        <f t="shared" si="4609"/>
        <v>20016</v>
      </c>
      <c r="B3880" s="8">
        <f t="shared" ref="B3880:C3880" si="4629">B3792</f>
        <v>40000</v>
      </c>
      <c r="C3880" s="8" t="str">
        <f t="shared" si="4629"/>
        <v>装备</v>
      </c>
      <c r="D3880" s="8">
        <v>50600015</v>
      </c>
      <c r="E3880" s="8"/>
      <c r="F3880" s="8">
        <v>1</v>
      </c>
      <c r="G3880" s="8">
        <f>3*INDEX([1]equip.xml!$I:$I,MATCH(D3880,[1]equip.xml!$A:$A,0))</f>
        <v>360000</v>
      </c>
      <c r="H3880" s="8" t="str">
        <f t="shared" si="4625"/>
        <v>10_10,50_20,80_30</v>
      </c>
      <c r="I3880" s="8">
        <v>2</v>
      </c>
      <c r="J3880" s="8">
        <f t="shared" si="4625"/>
        <v>240</v>
      </c>
      <c r="K3880" s="7" t="s">
        <v>311</v>
      </c>
      <c r="L3880" s="8">
        <v>40</v>
      </c>
      <c r="M3880" s="7">
        <f>IF(INDEX([1]equip.xml!$B:$B,MATCH(D3880,[1]equip.xml!$A:$A,0))=0,0,N3880)</f>
        <v>50</v>
      </c>
      <c r="N3880" s="8">
        <f t="shared" ref="N3880" si="4630">N3792</f>
        <v>50</v>
      </c>
    </row>
    <row r="3881" spans="1:14">
      <c r="A3881" s="7">
        <f t="shared" si="4609"/>
        <v>20016</v>
      </c>
      <c r="B3881" s="8">
        <f t="shared" ref="B3881:C3881" si="4631">B3793</f>
        <v>40000</v>
      </c>
      <c r="C3881" s="8" t="str">
        <f t="shared" si="4631"/>
        <v>装备</v>
      </c>
      <c r="D3881" s="8">
        <v>50600025</v>
      </c>
      <c r="E3881" s="8"/>
      <c r="F3881" s="8">
        <v>1</v>
      </c>
      <c r="G3881" s="8">
        <f>3*INDEX([1]equip.xml!$I:$I,MATCH(D3881,[1]equip.xml!$A:$A,0))</f>
        <v>360000</v>
      </c>
      <c r="H3881" s="8" t="str">
        <f t="shared" si="4625"/>
        <v>10_10,50_20,80_30</v>
      </c>
      <c r="I3881" s="8">
        <v>2</v>
      </c>
      <c r="J3881" s="8">
        <f t="shared" si="4625"/>
        <v>240</v>
      </c>
      <c r="K3881" s="7" t="s">
        <v>311</v>
      </c>
      <c r="L3881" s="8">
        <v>40</v>
      </c>
      <c r="M3881" s="7">
        <f>IF(INDEX([1]equip.xml!$B:$B,MATCH(D3881,[1]equip.xml!$A:$A,0))=0,0,N3881)</f>
        <v>50</v>
      </c>
      <c r="N3881" s="8">
        <f t="shared" ref="N3881" si="4632">N3793</f>
        <v>50</v>
      </c>
    </row>
    <row r="3882" spans="1:14">
      <c r="A3882" s="7">
        <f t="shared" si="4609"/>
        <v>20016</v>
      </c>
      <c r="B3882" s="8">
        <f t="shared" ref="B3882:C3882" si="4633">B3794</f>
        <v>40000</v>
      </c>
      <c r="C3882" s="8" t="str">
        <f t="shared" si="4633"/>
        <v>装备</v>
      </c>
      <c r="D3882" s="8">
        <v>50600035</v>
      </c>
      <c r="E3882" s="8"/>
      <c r="F3882" s="8">
        <v>1</v>
      </c>
      <c r="G3882" s="8">
        <f>3*INDEX([1]equip.xml!$I:$I,MATCH(D3882,[1]equip.xml!$A:$A,0))</f>
        <v>360000</v>
      </c>
      <c r="H3882" s="8" t="str">
        <f t="shared" si="4625"/>
        <v>10_10,50_20,80_30</v>
      </c>
      <c r="I3882" s="8">
        <v>2</v>
      </c>
      <c r="J3882" s="8">
        <f t="shared" si="4625"/>
        <v>240</v>
      </c>
      <c r="K3882" s="7" t="s">
        <v>311</v>
      </c>
      <c r="L3882" s="8">
        <v>40</v>
      </c>
      <c r="M3882" s="7">
        <f>IF(INDEX([1]equip.xml!$B:$B,MATCH(D3882,[1]equip.xml!$A:$A,0))=0,0,N3882)</f>
        <v>50</v>
      </c>
      <c r="N3882" s="8">
        <f t="shared" ref="N3882" si="4634">N3794</f>
        <v>50</v>
      </c>
    </row>
    <row r="3883" spans="1:14">
      <c r="A3883" s="7">
        <f t="shared" si="4609"/>
        <v>20016</v>
      </c>
      <c r="B3883" s="8">
        <f t="shared" ref="B3883:C3883" si="4635">B3795</f>
        <v>40000</v>
      </c>
      <c r="C3883" s="8" t="str">
        <f t="shared" si="4635"/>
        <v>装备</v>
      </c>
      <c r="D3883" s="8">
        <v>50600085</v>
      </c>
      <c r="E3883" s="8"/>
      <c r="F3883" s="8">
        <v>1</v>
      </c>
      <c r="G3883" s="8">
        <f>3*INDEX([1]equip.xml!$I:$I,MATCH(D3883,[1]equip.xml!$A:$A,0))</f>
        <v>360000</v>
      </c>
      <c r="H3883" s="8" t="str">
        <f t="shared" si="4625"/>
        <v>10_10,50_20,80_30</v>
      </c>
      <c r="I3883" s="8">
        <v>2</v>
      </c>
      <c r="J3883" s="8">
        <f t="shared" si="4625"/>
        <v>240</v>
      </c>
      <c r="K3883" s="7" t="s">
        <v>311</v>
      </c>
      <c r="L3883" s="8">
        <v>40</v>
      </c>
      <c r="M3883" s="7">
        <f>IF(INDEX([1]equip.xml!$B:$B,MATCH(D3883,[1]equip.xml!$A:$A,0))=0,0,N3883)</f>
        <v>50</v>
      </c>
      <c r="N3883" s="8">
        <f t="shared" ref="N3883" si="4636">N3795</f>
        <v>50</v>
      </c>
    </row>
    <row r="3884" spans="1:14">
      <c r="A3884" s="7">
        <f t="shared" si="4609"/>
        <v>20016</v>
      </c>
      <c r="B3884" s="8">
        <f t="shared" ref="B3884:C3884" si="4637">B3796</f>
        <v>40000</v>
      </c>
      <c r="C3884" s="8" t="str">
        <f t="shared" si="4637"/>
        <v>装备</v>
      </c>
      <c r="D3884" s="8">
        <v>50600095</v>
      </c>
      <c r="E3884" s="8"/>
      <c r="F3884" s="8">
        <v>1</v>
      </c>
      <c r="G3884" s="8">
        <f>3*INDEX([1]equip.xml!$I:$I,MATCH(D3884,[1]equip.xml!$A:$A,0))</f>
        <v>360000</v>
      </c>
      <c r="H3884" s="8" t="str">
        <f t="shared" si="4625"/>
        <v>10_10,50_20,80_30</v>
      </c>
      <c r="I3884" s="8">
        <v>2</v>
      </c>
      <c r="J3884" s="8">
        <f t="shared" si="4625"/>
        <v>240</v>
      </c>
      <c r="K3884" s="7" t="s">
        <v>311</v>
      </c>
      <c r="L3884" s="8">
        <v>40</v>
      </c>
      <c r="M3884" s="7">
        <f>IF(INDEX([1]equip.xml!$B:$B,MATCH(D3884,[1]equip.xml!$A:$A,0))=0,0,N3884)</f>
        <v>50</v>
      </c>
      <c r="N3884" s="8">
        <f t="shared" ref="N3884" si="4638">N3796</f>
        <v>50</v>
      </c>
    </row>
    <row r="3885" spans="1:14">
      <c r="A3885" s="7">
        <f t="shared" si="4609"/>
        <v>20016</v>
      </c>
      <c r="B3885" s="8">
        <f t="shared" ref="B3885:C3885" si="4639">B3797</f>
        <v>40000</v>
      </c>
      <c r="C3885" s="8" t="str">
        <f t="shared" si="4639"/>
        <v>装备</v>
      </c>
      <c r="D3885" s="8">
        <v>50600105</v>
      </c>
      <c r="E3885" s="8"/>
      <c r="F3885" s="8">
        <v>1</v>
      </c>
      <c r="G3885" s="8">
        <f>3*INDEX([1]equip.xml!$I:$I,MATCH(D3885,[1]equip.xml!$A:$A,0))</f>
        <v>360000</v>
      </c>
      <c r="H3885" s="8" t="str">
        <f t="shared" si="4625"/>
        <v>10_10,50_20,80_30</v>
      </c>
      <c r="I3885" s="8">
        <v>2</v>
      </c>
      <c r="J3885" s="8">
        <f t="shared" si="4625"/>
        <v>240</v>
      </c>
      <c r="K3885" s="7" t="s">
        <v>311</v>
      </c>
      <c r="L3885" s="8">
        <v>40</v>
      </c>
      <c r="M3885" s="7">
        <f>IF(INDEX([1]equip.xml!$B:$B,MATCH(D3885,[1]equip.xml!$A:$A,0))=0,0,N3885)</f>
        <v>50</v>
      </c>
      <c r="N3885" s="8">
        <f t="shared" ref="N3885" si="4640">N3797</f>
        <v>50</v>
      </c>
    </row>
    <row r="3886" spans="1:14">
      <c r="A3886" s="7">
        <f t="shared" si="4609"/>
        <v>20016</v>
      </c>
      <c r="B3886" s="8">
        <f t="shared" ref="B3886:C3886" si="4641">B3798</f>
        <v>40000</v>
      </c>
      <c r="C3886" s="8" t="str">
        <f t="shared" si="4641"/>
        <v>装备</v>
      </c>
      <c r="D3886" s="8">
        <v>50601055</v>
      </c>
      <c r="E3886" s="8"/>
      <c r="F3886" s="8">
        <v>1</v>
      </c>
      <c r="G3886" s="8">
        <f>3*INDEX([1]equip.xml!$I:$I,MATCH(D3886,[1]equip.xml!$A:$A,0))</f>
        <v>360000</v>
      </c>
      <c r="H3886" s="8" t="str">
        <f t="shared" si="4625"/>
        <v>10_10,50_20,80_30</v>
      </c>
      <c r="I3886" s="8">
        <v>2</v>
      </c>
      <c r="J3886" s="8">
        <f t="shared" si="4625"/>
        <v>240</v>
      </c>
      <c r="K3886" s="7" t="s">
        <v>311</v>
      </c>
      <c r="L3886" s="8">
        <v>40</v>
      </c>
      <c r="M3886" s="7">
        <f>IF(INDEX([1]equip.xml!$B:$B,MATCH(D3886,[1]equip.xml!$A:$A,0))=0,0,N3886)</f>
        <v>50</v>
      </c>
      <c r="N3886" s="8">
        <f t="shared" ref="N3886" si="4642">N3798</f>
        <v>50</v>
      </c>
    </row>
    <row r="3887" spans="1:14">
      <c r="A3887" s="7">
        <f t="shared" si="4609"/>
        <v>20016</v>
      </c>
      <c r="B3887" s="8">
        <f t="shared" ref="B3887:C3887" si="4643">B3799</f>
        <v>40000</v>
      </c>
      <c r="C3887" s="8" t="str">
        <f t="shared" si="4643"/>
        <v>装备</v>
      </c>
      <c r="D3887" s="8">
        <v>50601056</v>
      </c>
      <c r="E3887" s="8"/>
      <c r="F3887" s="8">
        <v>1</v>
      </c>
      <c r="G3887" s="8">
        <f>3*INDEX([1]equip.xml!$I:$I,MATCH(D3887,[1]equip.xml!$A:$A,0))</f>
        <v>378000</v>
      </c>
      <c r="H3887" s="8" t="str">
        <f t="shared" si="4625"/>
        <v>10_10,50_20,80_30</v>
      </c>
      <c r="I3887" s="8">
        <v>2</v>
      </c>
      <c r="J3887" s="8">
        <f t="shared" si="4625"/>
        <v>240</v>
      </c>
      <c r="K3887" s="7" t="s">
        <v>311</v>
      </c>
      <c r="L3887" s="8">
        <v>40</v>
      </c>
      <c r="M3887" s="7">
        <f>IF(INDEX([1]equip.xml!$B:$B,MATCH(D3887,[1]equip.xml!$A:$A,0))=0,0,N3887)</f>
        <v>50</v>
      </c>
      <c r="N3887" s="8">
        <f t="shared" ref="N3887" si="4644">N3799</f>
        <v>50</v>
      </c>
    </row>
    <row r="3888" spans="1:14">
      <c r="A3888" s="7">
        <f t="shared" si="4609"/>
        <v>20016</v>
      </c>
      <c r="B3888" s="8">
        <f t="shared" ref="B3888:C3888" si="4645">B3800</f>
        <v>40000</v>
      </c>
      <c r="C3888" s="8" t="str">
        <f t="shared" si="4645"/>
        <v>装备</v>
      </c>
      <c r="D3888" s="8">
        <v>50601065</v>
      </c>
      <c r="E3888" s="8"/>
      <c r="F3888" s="8">
        <v>1</v>
      </c>
      <c r="G3888" s="8">
        <f>3*INDEX([1]equip.xml!$I:$I,MATCH(D3888,[1]equip.xml!$A:$A,0))</f>
        <v>360000</v>
      </c>
      <c r="H3888" s="8" t="str">
        <f t="shared" si="4625"/>
        <v>10_10,50_20,80_30</v>
      </c>
      <c r="I3888" s="8">
        <v>2</v>
      </c>
      <c r="J3888" s="8">
        <f t="shared" si="4625"/>
        <v>240</v>
      </c>
      <c r="K3888" s="7" t="s">
        <v>311</v>
      </c>
      <c r="L3888" s="8">
        <v>40</v>
      </c>
      <c r="M3888" s="7">
        <f>IF(INDEX([1]equip.xml!$B:$B,MATCH(D3888,[1]equip.xml!$A:$A,0))=0,0,N3888)</f>
        <v>50</v>
      </c>
      <c r="N3888" s="8">
        <f t="shared" ref="N3888" si="4646">N3800</f>
        <v>50</v>
      </c>
    </row>
    <row r="3889" spans="1:14">
      <c r="A3889" s="7">
        <f t="shared" si="4609"/>
        <v>20016</v>
      </c>
      <c r="B3889" s="8">
        <f t="shared" ref="B3889:C3889" si="4647">B3801</f>
        <v>40000</v>
      </c>
      <c r="C3889" s="8" t="str">
        <f t="shared" si="4647"/>
        <v>装备</v>
      </c>
      <c r="D3889" s="8">
        <v>50601066</v>
      </c>
      <c r="E3889" s="8"/>
      <c r="F3889" s="8">
        <v>1</v>
      </c>
      <c r="G3889" s="8">
        <f>3*INDEX([1]equip.xml!$I:$I,MATCH(D3889,[1]equip.xml!$A:$A,0))</f>
        <v>378000</v>
      </c>
      <c r="H3889" s="8" t="str">
        <f t="shared" si="4625"/>
        <v>10_10,50_20,80_30</v>
      </c>
      <c r="I3889" s="8">
        <v>2</v>
      </c>
      <c r="J3889" s="8">
        <f t="shared" si="4625"/>
        <v>240</v>
      </c>
      <c r="K3889" s="7" t="s">
        <v>311</v>
      </c>
      <c r="L3889" s="8">
        <v>40</v>
      </c>
      <c r="M3889" s="7">
        <f>IF(INDEX([1]equip.xml!$B:$B,MATCH(D3889,[1]equip.xml!$A:$A,0))=0,0,N3889)</f>
        <v>0</v>
      </c>
      <c r="N3889" s="8">
        <f t="shared" ref="N3889" si="4648">N3801</f>
        <v>50</v>
      </c>
    </row>
    <row r="3890" spans="1:14">
      <c r="A3890" s="7">
        <f t="shared" si="4609"/>
        <v>20016</v>
      </c>
      <c r="B3890" s="8">
        <f t="shared" ref="B3890:C3890" si="4649">B3802</f>
        <v>40000</v>
      </c>
      <c r="C3890" s="8" t="str">
        <f t="shared" si="4649"/>
        <v>装备</v>
      </c>
      <c r="D3890" s="8">
        <v>50602055</v>
      </c>
      <c r="E3890" s="8"/>
      <c r="F3890" s="8">
        <v>1</v>
      </c>
      <c r="G3890" s="8">
        <f>3*INDEX([1]equip.xml!$I:$I,MATCH(D3890,[1]equip.xml!$A:$A,0))</f>
        <v>360000</v>
      </c>
      <c r="H3890" s="8" t="str">
        <f t="shared" si="4625"/>
        <v>10_10,50_20,80_30</v>
      </c>
      <c r="I3890" s="8">
        <v>2</v>
      </c>
      <c r="J3890" s="8">
        <f t="shared" si="4625"/>
        <v>240</v>
      </c>
      <c r="K3890" s="7" t="s">
        <v>311</v>
      </c>
      <c r="L3890" s="8">
        <v>40</v>
      </c>
      <c r="M3890" s="7">
        <f>IF(INDEX([1]equip.xml!$B:$B,MATCH(D3890,[1]equip.xml!$A:$A,0))=0,0,N3890)</f>
        <v>50</v>
      </c>
      <c r="N3890" s="8">
        <f t="shared" ref="N3890" si="4650">N3802</f>
        <v>50</v>
      </c>
    </row>
    <row r="3891" spans="1:14">
      <c r="A3891" s="7">
        <f t="shared" si="4609"/>
        <v>20016</v>
      </c>
      <c r="B3891" s="8">
        <f t="shared" ref="B3891:C3891" si="4651">B3803</f>
        <v>40000</v>
      </c>
      <c r="C3891" s="8" t="str">
        <f t="shared" si="4651"/>
        <v>装备</v>
      </c>
      <c r="D3891" s="8">
        <v>50602056</v>
      </c>
      <c r="E3891" s="8"/>
      <c r="F3891" s="8">
        <v>1</v>
      </c>
      <c r="G3891" s="8">
        <f>3*INDEX([1]equip.xml!$I:$I,MATCH(D3891,[1]equip.xml!$A:$A,0))</f>
        <v>378000</v>
      </c>
      <c r="H3891" s="8" t="str">
        <f t="shared" si="4625"/>
        <v>10_10,50_20,80_30</v>
      </c>
      <c r="I3891" s="8">
        <v>2</v>
      </c>
      <c r="J3891" s="8">
        <f t="shared" si="4625"/>
        <v>240</v>
      </c>
      <c r="K3891" s="7" t="s">
        <v>311</v>
      </c>
      <c r="L3891" s="8">
        <v>40</v>
      </c>
      <c r="M3891" s="7">
        <f>IF(INDEX([1]equip.xml!$B:$B,MATCH(D3891,[1]equip.xml!$A:$A,0))=0,0,N3891)</f>
        <v>0</v>
      </c>
      <c r="N3891" s="8">
        <f t="shared" ref="N3891" si="4652">N3803</f>
        <v>50</v>
      </c>
    </row>
    <row r="3892" spans="1:14">
      <c r="A3892" s="7">
        <f t="shared" si="4609"/>
        <v>20016</v>
      </c>
      <c r="B3892" s="8">
        <f t="shared" ref="B3892:C3892" si="4653">B3804</f>
        <v>40000</v>
      </c>
      <c r="C3892" s="8" t="str">
        <f t="shared" si="4653"/>
        <v>装备</v>
      </c>
      <c r="D3892" s="8">
        <v>50602065</v>
      </c>
      <c r="E3892" s="8"/>
      <c r="F3892" s="8">
        <v>1</v>
      </c>
      <c r="G3892" s="8">
        <f>3*INDEX([1]equip.xml!$I:$I,MATCH(D3892,[1]equip.xml!$A:$A,0))</f>
        <v>360000</v>
      </c>
      <c r="H3892" s="8" t="str">
        <f t="shared" si="4625"/>
        <v>10_10,50_20,80_30</v>
      </c>
      <c r="I3892" s="8">
        <v>2</v>
      </c>
      <c r="J3892" s="8">
        <f t="shared" si="4625"/>
        <v>240</v>
      </c>
      <c r="K3892" s="7" t="s">
        <v>311</v>
      </c>
      <c r="L3892" s="8">
        <v>40</v>
      </c>
      <c r="M3892" s="7">
        <f>IF(INDEX([1]equip.xml!$B:$B,MATCH(D3892,[1]equip.xml!$A:$A,0))=0,0,N3892)</f>
        <v>50</v>
      </c>
      <c r="N3892" s="8">
        <f t="shared" ref="N3892" si="4654">N3804</f>
        <v>50</v>
      </c>
    </row>
    <row r="3893" spans="1:14">
      <c r="A3893" s="7">
        <f t="shared" si="4609"/>
        <v>20016</v>
      </c>
      <c r="B3893" s="8">
        <f t="shared" ref="B3893:C3893" si="4655">B3805</f>
        <v>40000</v>
      </c>
      <c r="C3893" s="8" t="str">
        <f t="shared" si="4655"/>
        <v>装备</v>
      </c>
      <c r="D3893" s="8">
        <v>50602066</v>
      </c>
      <c r="E3893" s="8"/>
      <c r="F3893" s="8">
        <v>1</v>
      </c>
      <c r="G3893" s="8">
        <f>3*INDEX([1]equip.xml!$I:$I,MATCH(D3893,[1]equip.xml!$A:$A,0))</f>
        <v>378000</v>
      </c>
      <c r="H3893" s="8" t="str">
        <f t="shared" si="4625"/>
        <v>10_10,50_20,80_30</v>
      </c>
      <c r="I3893" s="8">
        <v>2</v>
      </c>
      <c r="J3893" s="8">
        <f t="shared" si="4625"/>
        <v>240</v>
      </c>
      <c r="K3893" s="7" t="s">
        <v>311</v>
      </c>
      <c r="L3893" s="8">
        <v>40</v>
      </c>
      <c r="M3893" s="7">
        <f>IF(INDEX([1]equip.xml!$B:$B,MATCH(D3893,[1]equip.xml!$A:$A,0))=0,0,N3893)</f>
        <v>0</v>
      </c>
      <c r="N3893" s="8">
        <f t="shared" ref="N3893" si="4656">N3805</f>
        <v>50</v>
      </c>
    </row>
    <row r="3894" spans="1:14">
      <c r="A3894" s="7">
        <f t="shared" si="4609"/>
        <v>20016</v>
      </c>
      <c r="B3894" s="8">
        <f t="shared" ref="B3894:C3894" si="4657">B3806</f>
        <v>40000</v>
      </c>
      <c r="C3894" s="8" t="str">
        <f t="shared" si="4657"/>
        <v>装备</v>
      </c>
      <c r="D3894" s="8">
        <v>50603055</v>
      </c>
      <c r="E3894" s="8"/>
      <c r="F3894" s="8">
        <v>1</v>
      </c>
      <c r="G3894" s="8">
        <f>3*INDEX([1]equip.xml!$I:$I,MATCH(D3894,[1]equip.xml!$A:$A,0))</f>
        <v>360000</v>
      </c>
      <c r="H3894" s="8" t="str">
        <f t="shared" ref="H3894:J3909" si="4658">H3806</f>
        <v>10_10,50_20,80_30</v>
      </c>
      <c r="I3894" s="8">
        <v>2</v>
      </c>
      <c r="J3894" s="8">
        <f t="shared" si="4658"/>
        <v>240</v>
      </c>
      <c r="K3894" s="7" t="s">
        <v>311</v>
      </c>
      <c r="L3894" s="8">
        <v>40</v>
      </c>
      <c r="M3894" s="7">
        <f>IF(INDEX([1]equip.xml!$B:$B,MATCH(D3894,[1]equip.xml!$A:$A,0))=0,0,N3894)</f>
        <v>50</v>
      </c>
      <c r="N3894" s="8">
        <f t="shared" ref="N3894" si="4659">N3806</f>
        <v>50</v>
      </c>
    </row>
    <row r="3895" spans="1:14">
      <c r="A3895" s="7">
        <f t="shared" si="4609"/>
        <v>20016</v>
      </c>
      <c r="B3895" s="8">
        <f t="shared" ref="B3895:C3895" si="4660">B3807</f>
        <v>40000</v>
      </c>
      <c r="C3895" s="8" t="str">
        <f t="shared" si="4660"/>
        <v>装备</v>
      </c>
      <c r="D3895" s="8">
        <v>50603056</v>
      </c>
      <c r="E3895" s="8"/>
      <c r="F3895" s="8">
        <v>1</v>
      </c>
      <c r="G3895" s="8">
        <f>3*INDEX([1]equip.xml!$I:$I,MATCH(D3895,[1]equip.xml!$A:$A,0))</f>
        <v>378000</v>
      </c>
      <c r="H3895" s="8" t="str">
        <f t="shared" si="4658"/>
        <v>10_10,50_20,80_30</v>
      </c>
      <c r="I3895" s="8">
        <v>2</v>
      </c>
      <c r="J3895" s="8">
        <f t="shared" si="4658"/>
        <v>240</v>
      </c>
      <c r="K3895" s="7" t="s">
        <v>311</v>
      </c>
      <c r="L3895" s="8">
        <v>40</v>
      </c>
      <c r="M3895" s="7">
        <f>IF(INDEX([1]equip.xml!$B:$B,MATCH(D3895,[1]equip.xml!$A:$A,0))=0,0,N3895)</f>
        <v>0</v>
      </c>
      <c r="N3895" s="8">
        <f t="shared" ref="N3895" si="4661">N3807</f>
        <v>50</v>
      </c>
    </row>
    <row r="3896" spans="1:14">
      <c r="A3896" s="7">
        <f t="shared" si="4609"/>
        <v>20016</v>
      </c>
      <c r="B3896" s="8">
        <f t="shared" ref="B3896:C3896" si="4662">B3808</f>
        <v>40000</v>
      </c>
      <c r="C3896" s="8" t="str">
        <f t="shared" si="4662"/>
        <v>装备</v>
      </c>
      <c r="D3896" s="8">
        <v>50603065</v>
      </c>
      <c r="E3896" s="8"/>
      <c r="F3896" s="8">
        <v>1</v>
      </c>
      <c r="G3896" s="8">
        <f>3*INDEX([1]equip.xml!$I:$I,MATCH(D3896,[1]equip.xml!$A:$A,0))</f>
        <v>360000</v>
      </c>
      <c r="H3896" s="8" t="str">
        <f t="shared" si="4658"/>
        <v>10_10,50_20,80_30</v>
      </c>
      <c r="I3896" s="8">
        <v>2</v>
      </c>
      <c r="J3896" s="8">
        <f t="shared" si="4658"/>
        <v>240</v>
      </c>
      <c r="K3896" s="7" t="s">
        <v>311</v>
      </c>
      <c r="L3896" s="8">
        <v>40</v>
      </c>
      <c r="M3896" s="7">
        <f>IF(INDEX([1]equip.xml!$B:$B,MATCH(D3896,[1]equip.xml!$A:$A,0))=0,0,N3896)</f>
        <v>50</v>
      </c>
      <c r="N3896" s="8">
        <f t="shared" ref="N3896" si="4663">N3808</f>
        <v>50</v>
      </c>
    </row>
    <row r="3897" spans="1:14">
      <c r="A3897" s="7">
        <f t="shared" si="4609"/>
        <v>20016</v>
      </c>
      <c r="B3897" s="8">
        <f t="shared" ref="B3897:C3897" si="4664">B3809</f>
        <v>40000</v>
      </c>
      <c r="C3897" s="8" t="str">
        <f t="shared" si="4664"/>
        <v>装备</v>
      </c>
      <c r="D3897" s="8">
        <v>50603066</v>
      </c>
      <c r="E3897" s="8"/>
      <c r="F3897" s="8">
        <v>1</v>
      </c>
      <c r="G3897" s="8">
        <f>3*INDEX([1]equip.xml!$I:$I,MATCH(D3897,[1]equip.xml!$A:$A,0))</f>
        <v>378000</v>
      </c>
      <c r="H3897" s="8" t="str">
        <f t="shared" si="4658"/>
        <v>10_10,50_20,80_30</v>
      </c>
      <c r="I3897" s="8">
        <v>2</v>
      </c>
      <c r="J3897" s="8">
        <f t="shared" si="4658"/>
        <v>240</v>
      </c>
      <c r="K3897" s="7" t="s">
        <v>311</v>
      </c>
      <c r="L3897" s="8">
        <v>40</v>
      </c>
      <c r="M3897" s="7">
        <f>IF(INDEX([1]equip.xml!$B:$B,MATCH(D3897,[1]equip.xml!$A:$A,0))=0,0,N3897)</f>
        <v>0</v>
      </c>
      <c r="N3897" s="8">
        <f t="shared" ref="N3897" si="4665">N3809</f>
        <v>50</v>
      </c>
    </row>
    <row r="3898" spans="1:14">
      <c r="A3898" s="7">
        <f t="shared" si="4609"/>
        <v>20016</v>
      </c>
      <c r="B3898" s="8">
        <f t="shared" ref="B3898:C3898" si="4666">B3810</f>
        <v>40000</v>
      </c>
      <c r="C3898" s="8" t="str">
        <f t="shared" si="4666"/>
        <v>装备</v>
      </c>
      <c r="D3898" s="8">
        <v>50600045</v>
      </c>
      <c r="E3898" s="8"/>
      <c r="F3898" s="8">
        <v>1</v>
      </c>
      <c r="G3898" s="8">
        <f>3*INDEX([1]equip.xml!$I:$I,MATCH(D3898,[1]equip.xml!$A:$A,0))</f>
        <v>360000</v>
      </c>
      <c r="H3898" s="8" t="str">
        <f t="shared" si="4658"/>
        <v>10_10,50_20,80_30</v>
      </c>
      <c r="I3898" s="8">
        <v>2</v>
      </c>
      <c r="J3898" s="8">
        <f t="shared" si="4658"/>
        <v>240</v>
      </c>
      <c r="K3898" s="7" t="s">
        <v>311</v>
      </c>
      <c r="L3898" s="8">
        <v>40</v>
      </c>
      <c r="M3898" s="7">
        <f>IF(INDEX([1]equip.xml!$B:$B,MATCH(D3898,[1]equip.xml!$A:$A,0))=0,0,N3898)</f>
        <v>50</v>
      </c>
      <c r="N3898" s="8">
        <f t="shared" ref="N3898" si="4667">N3810</f>
        <v>50</v>
      </c>
    </row>
    <row r="3899" spans="1:14">
      <c r="A3899" s="7">
        <f t="shared" si="4609"/>
        <v>20016</v>
      </c>
      <c r="B3899" s="8">
        <f t="shared" ref="B3899:C3899" si="4668">B3811</f>
        <v>40000</v>
      </c>
      <c r="C3899" s="8" t="str">
        <f t="shared" si="4668"/>
        <v>装备</v>
      </c>
      <c r="D3899" s="8">
        <v>50600046</v>
      </c>
      <c r="E3899" s="8"/>
      <c r="F3899" s="8">
        <v>1</v>
      </c>
      <c r="G3899" s="8">
        <f>3*INDEX([1]equip.xml!$I:$I,MATCH(D3899,[1]equip.xml!$A:$A,0))</f>
        <v>378000</v>
      </c>
      <c r="H3899" s="8" t="str">
        <f t="shared" si="4658"/>
        <v>10_10,50_20,80_30</v>
      </c>
      <c r="I3899" s="8">
        <v>2</v>
      </c>
      <c r="J3899" s="8">
        <f t="shared" si="4658"/>
        <v>240</v>
      </c>
      <c r="K3899" s="7" t="s">
        <v>311</v>
      </c>
      <c r="L3899" s="8">
        <v>40</v>
      </c>
      <c r="M3899" s="7">
        <f>IF(INDEX([1]equip.xml!$B:$B,MATCH(D3899,[1]equip.xml!$A:$A,0))=0,0,N3899)</f>
        <v>0</v>
      </c>
      <c r="N3899" s="8">
        <f t="shared" ref="N3899" si="4669">N3811</f>
        <v>50</v>
      </c>
    </row>
    <row r="3900" spans="1:14">
      <c r="A3900" s="7">
        <f t="shared" si="4609"/>
        <v>20016</v>
      </c>
      <c r="B3900" s="8">
        <f t="shared" ref="B3900:C3900" si="4670">B3812</f>
        <v>40000</v>
      </c>
      <c r="C3900" s="8" t="str">
        <f t="shared" si="4670"/>
        <v>装备</v>
      </c>
      <c r="D3900" s="8">
        <v>50600075</v>
      </c>
      <c r="E3900" s="8"/>
      <c r="F3900" s="8">
        <v>1</v>
      </c>
      <c r="G3900" s="8">
        <f>3*INDEX([1]equip.xml!$I:$I,MATCH(D3900,[1]equip.xml!$A:$A,0))</f>
        <v>360000</v>
      </c>
      <c r="H3900" s="8" t="str">
        <f t="shared" si="4658"/>
        <v>10_10,50_20,80_30</v>
      </c>
      <c r="I3900" s="8">
        <v>2</v>
      </c>
      <c r="J3900" s="8">
        <f t="shared" si="4658"/>
        <v>240</v>
      </c>
      <c r="K3900" s="7" t="s">
        <v>311</v>
      </c>
      <c r="L3900" s="8">
        <v>40</v>
      </c>
      <c r="M3900" s="7">
        <f>IF(INDEX([1]equip.xml!$B:$B,MATCH(D3900,[1]equip.xml!$A:$A,0))=0,0,N3900)</f>
        <v>50</v>
      </c>
      <c r="N3900" s="8">
        <f t="shared" ref="N3900" si="4671">N3812</f>
        <v>50</v>
      </c>
    </row>
    <row r="3901" spans="1:14">
      <c r="A3901" s="7">
        <f t="shared" si="4609"/>
        <v>20016</v>
      </c>
      <c r="B3901" s="8">
        <f t="shared" ref="B3901:C3901" si="4672">B3813</f>
        <v>40000</v>
      </c>
      <c r="C3901" s="8" t="str">
        <f t="shared" si="4672"/>
        <v>装备</v>
      </c>
      <c r="D3901" s="8">
        <v>50600076</v>
      </c>
      <c r="E3901" s="8"/>
      <c r="F3901" s="8">
        <v>1</v>
      </c>
      <c r="G3901" s="8">
        <f>3*INDEX([1]equip.xml!$I:$I,MATCH(D3901,[1]equip.xml!$A:$A,0))</f>
        <v>378000</v>
      </c>
      <c r="H3901" s="8" t="str">
        <f t="shared" si="4658"/>
        <v>10_10,50_20,80_30</v>
      </c>
      <c r="I3901" s="8">
        <v>2</v>
      </c>
      <c r="J3901" s="8">
        <f t="shared" si="4658"/>
        <v>240</v>
      </c>
      <c r="K3901" s="7" t="s">
        <v>311</v>
      </c>
      <c r="L3901" s="8">
        <v>40</v>
      </c>
      <c r="M3901" s="7">
        <f>IF(INDEX([1]equip.xml!$B:$B,MATCH(D3901,[1]equip.xml!$A:$A,0))=0,0,N3901)</f>
        <v>50</v>
      </c>
      <c r="N3901" s="8">
        <f t="shared" ref="N3901" si="4673">N3813</f>
        <v>50</v>
      </c>
    </row>
    <row r="3902" spans="1:14">
      <c r="A3902" s="7">
        <f t="shared" si="4609"/>
        <v>20017</v>
      </c>
      <c r="B3902" s="7">
        <f t="shared" ref="B3902:C3902" si="4674">B3814</f>
        <v>40000</v>
      </c>
      <c r="C3902" s="7" t="str">
        <f t="shared" si="4674"/>
        <v>装备</v>
      </c>
      <c r="D3902" s="7">
        <v>40600010</v>
      </c>
      <c r="E3902" s="7"/>
      <c r="F3902" s="7">
        <v>1</v>
      </c>
      <c r="G3902" s="7">
        <f>3*INDEX([1]equip.xml!$I:$I,MATCH(D3902&amp;"",[1]equip.xml!$A:$A,0))</f>
        <v>180000</v>
      </c>
      <c r="H3902" s="7" t="str">
        <f t="shared" si="4658"/>
        <v>10_10,50_20,80_30</v>
      </c>
      <c r="I3902" s="7">
        <v>6</v>
      </c>
      <c r="J3902" s="7">
        <f t="shared" si="4658"/>
        <v>50</v>
      </c>
      <c r="K3902" s="7" t="s">
        <v>313</v>
      </c>
      <c r="L3902" s="7">
        <v>42</v>
      </c>
      <c r="M3902" s="7">
        <f>IF(INDEX([1]equip.xml!$B:$B,MATCH(D3902&amp;"",[1]equip.xml!$A:$A,0))=0,0,N3902)</f>
        <v>130</v>
      </c>
      <c r="N3902" s="7">
        <f t="shared" ref="N3902" si="4675">N3814</f>
        <v>130</v>
      </c>
    </row>
    <row r="3903" spans="1:14">
      <c r="A3903" s="7">
        <f t="shared" si="4609"/>
        <v>20017</v>
      </c>
      <c r="B3903" s="7">
        <f t="shared" ref="B3903:C3903" si="4676">B3815</f>
        <v>40000</v>
      </c>
      <c r="C3903" s="7" t="str">
        <f t="shared" si="4676"/>
        <v>装备</v>
      </c>
      <c r="D3903" s="7">
        <v>40600020</v>
      </c>
      <c r="E3903" s="7"/>
      <c r="F3903" s="7">
        <v>1</v>
      </c>
      <c r="G3903" s="7">
        <f>3*INDEX([1]equip.xml!$I:$I,MATCH(D3903&amp;"",[1]equip.xml!$A:$A,0))</f>
        <v>180000</v>
      </c>
      <c r="H3903" s="7" t="str">
        <f t="shared" si="4658"/>
        <v>10_10,50_20,80_30</v>
      </c>
      <c r="I3903" s="7">
        <v>6</v>
      </c>
      <c r="J3903" s="7">
        <f t="shared" si="4658"/>
        <v>50</v>
      </c>
      <c r="K3903" s="7" t="s">
        <v>313</v>
      </c>
      <c r="L3903" s="7">
        <v>42</v>
      </c>
      <c r="M3903" s="7">
        <f>IF(INDEX([1]equip.xml!$B:$B,MATCH(D3903&amp;"",[1]equip.xml!$A:$A,0))=0,0,N3903)</f>
        <v>130</v>
      </c>
      <c r="N3903" s="7">
        <f t="shared" ref="N3903" si="4677">N3815</f>
        <v>130</v>
      </c>
    </row>
    <row r="3904" spans="1:14">
      <c r="A3904" s="7">
        <f t="shared" si="4609"/>
        <v>20017</v>
      </c>
      <c r="B3904" s="7">
        <f t="shared" ref="B3904:C3904" si="4678">B3816</f>
        <v>40000</v>
      </c>
      <c r="C3904" s="7" t="str">
        <f t="shared" si="4678"/>
        <v>装备</v>
      </c>
      <c r="D3904" s="7">
        <v>40600030</v>
      </c>
      <c r="E3904" s="7"/>
      <c r="F3904" s="7">
        <v>1</v>
      </c>
      <c r="G3904" s="7">
        <f>3*INDEX([1]equip.xml!$I:$I,MATCH(D3904&amp;"",[1]equip.xml!$A:$A,0))</f>
        <v>180000</v>
      </c>
      <c r="H3904" s="7" t="str">
        <f t="shared" si="4658"/>
        <v>10_10,50_20,80_30</v>
      </c>
      <c r="I3904" s="7">
        <v>6</v>
      </c>
      <c r="J3904" s="7">
        <f t="shared" si="4658"/>
        <v>50</v>
      </c>
      <c r="K3904" s="7" t="s">
        <v>312</v>
      </c>
      <c r="L3904" s="7">
        <v>42</v>
      </c>
      <c r="M3904" s="7">
        <f>IF(INDEX([1]equip.xml!$B:$B,MATCH(D3904&amp;"",[1]equip.xml!$A:$A,0))=0,0,N3904)</f>
        <v>130</v>
      </c>
      <c r="N3904" s="7">
        <f t="shared" ref="N3904" si="4679">N3816</f>
        <v>130</v>
      </c>
    </row>
    <row r="3905" spans="1:14">
      <c r="A3905" s="7">
        <f t="shared" si="4609"/>
        <v>20017</v>
      </c>
      <c r="B3905" s="7">
        <f t="shared" ref="B3905:C3905" si="4680">B3817</f>
        <v>40000</v>
      </c>
      <c r="C3905" s="7" t="str">
        <f t="shared" si="4680"/>
        <v>装备</v>
      </c>
      <c r="D3905" s="7">
        <v>40600080</v>
      </c>
      <c r="E3905" s="7"/>
      <c r="F3905" s="7">
        <v>1</v>
      </c>
      <c r="G3905" s="7">
        <f>3*INDEX([1]equip.xml!$I:$I,MATCH(D3905&amp;"",[1]equip.xml!$A:$A,0))</f>
        <v>180000</v>
      </c>
      <c r="H3905" s="7" t="str">
        <f t="shared" si="4658"/>
        <v>10_10,50_20,80_30</v>
      </c>
      <c r="I3905" s="7">
        <v>6</v>
      </c>
      <c r="J3905" s="7">
        <f t="shared" si="4658"/>
        <v>50</v>
      </c>
      <c r="K3905" s="7" t="s">
        <v>312</v>
      </c>
      <c r="L3905" s="7">
        <v>42</v>
      </c>
      <c r="M3905" s="7">
        <f>IF(INDEX([1]equip.xml!$B:$B,MATCH(D3905&amp;"",[1]equip.xml!$A:$A,0))=0,0,N3905)</f>
        <v>130</v>
      </c>
      <c r="N3905" s="7">
        <f t="shared" ref="N3905" si="4681">N3817</f>
        <v>130</v>
      </c>
    </row>
    <row r="3906" spans="1:14">
      <c r="A3906" s="7">
        <f t="shared" si="4609"/>
        <v>20017</v>
      </c>
      <c r="B3906" s="7">
        <f t="shared" ref="B3906:C3906" si="4682">B3818</f>
        <v>40000</v>
      </c>
      <c r="C3906" s="7" t="str">
        <f t="shared" si="4682"/>
        <v>装备</v>
      </c>
      <c r="D3906" s="7">
        <v>40600090</v>
      </c>
      <c r="E3906" s="7"/>
      <c r="F3906" s="7">
        <v>1</v>
      </c>
      <c r="G3906" s="7">
        <f>3*INDEX([1]equip.xml!$I:$I,MATCH(D3906&amp;"",[1]equip.xml!$A:$A,0))</f>
        <v>180000</v>
      </c>
      <c r="H3906" s="7" t="str">
        <f t="shared" si="4658"/>
        <v>10_10,50_20,80_30</v>
      </c>
      <c r="I3906" s="7">
        <v>6</v>
      </c>
      <c r="J3906" s="7">
        <f t="shared" si="4658"/>
        <v>50</v>
      </c>
      <c r="K3906" s="7" t="s">
        <v>312</v>
      </c>
      <c r="L3906" s="7">
        <v>42</v>
      </c>
      <c r="M3906" s="7">
        <f>IF(INDEX([1]equip.xml!$B:$B,MATCH(D3906&amp;"",[1]equip.xml!$A:$A,0))=0,0,N3906)</f>
        <v>130</v>
      </c>
      <c r="N3906" s="7">
        <f t="shared" ref="N3906" si="4683">N3818</f>
        <v>130</v>
      </c>
    </row>
    <row r="3907" spans="1:14">
      <c r="A3907" s="7">
        <f t="shared" si="4609"/>
        <v>20017</v>
      </c>
      <c r="B3907" s="7">
        <f t="shared" ref="B3907:C3907" si="4684">B3819</f>
        <v>40000</v>
      </c>
      <c r="C3907" s="7" t="str">
        <f t="shared" si="4684"/>
        <v>装备</v>
      </c>
      <c r="D3907" s="7">
        <v>40600100</v>
      </c>
      <c r="E3907" s="7"/>
      <c r="F3907" s="7">
        <v>1</v>
      </c>
      <c r="G3907" s="7">
        <f>3*INDEX([1]equip.xml!$I:$I,MATCH(D3907&amp;"",[1]equip.xml!$A:$A,0))</f>
        <v>180000</v>
      </c>
      <c r="H3907" s="7" t="str">
        <f t="shared" si="4658"/>
        <v>10_10,50_20,80_30</v>
      </c>
      <c r="I3907" s="7">
        <v>6</v>
      </c>
      <c r="J3907" s="7">
        <f t="shared" si="4658"/>
        <v>50</v>
      </c>
      <c r="K3907" s="7" t="s">
        <v>312</v>
      </c>
      <c r="L3907" s="7">
        <v>42</v>
      </c>
      <c r="M3907" s="7">
        <f>IF(INDEX([1]equip.xml!$B:$B,MATCH(D3907&amp;"",[1]equip.xml!$A:$A,0))=0,0,N3907)</f>
        <v>130</v>
      </c>
      <c r="N3907" s="7">
        <f t="shared" ref="N3907" si="4685">N3819</f>
        <v>130</v>
      </c>
    </row>
    <row r="3908" spans="1:14">
      <c r="A3908" s="7">
        <f t="shared" si="4609"/>
        <v>20017</v>
      </c>
      <c r="B3908" s="7">
        <f t="shared" ref="B3908:C3908" si="4686">B3820</f>
        <v>40000</v>
      </c>
      <c r="C3908" s="7" t="str">
        <f t="shared" si="4686"/>
        <v>装备</v>
      </c>
      <c r="D3908" s="7">
        <v>40601050</v>
      </c>
      <c r="E3908" s="7"/>
      <c r="F3908" s="7">
        <v>1</v>
      </c>
      <c r="G3908" s="7">
        <f>3*INDEX([1]equip.xml!$I:$I,MATCH(D3908&amp;"",[1]equip.xml!$A:$A,0))</f>
        <v>180000</v>
      </c>
      <c r="H3908" s="7" t="str">
        <f t="shared" si="4658"/>
        <v>10_10,50_20,80_30</v>
      </c>
      <c r="I3908" s="7">
        <v>6</v>
      </c>
      <c r="J3908" s="7">
        <f t="shared" si="4658"/>
        <v>50</v>
      </c>
      <c r="K3908" s="7" t="s">
        <v>312</v>
      </c>
      <c r="L3908" s="7">
        <v>42</v>
      </c>
      <c r="M3908" s="7">
        <f>IF(INDEX([1]equip.xml!$B:$B,MATCH(D3908&amp;"",[1]equip.xml!$A:$A,0))=0,0,N3908)</f>
        <v>130</v>
      </c>
      <c r="N3908" s="7">
        <f t="shared" ref="N3908" si="4687">N3820</f>
        <v>130</v>
      </c>
    </row>
    <row r="3909" spans="1:14">
      <c r="A3909" s="7">
        <f t="shared" si="4609"/>
        <v>20017</v>
      </c>
      <c r="B3909" s="7">
        <f t="shared" ref="B3909:C3909" si="4688">B3821</f>
        <v>40000</v>
      </c>
      <c r="C3909" s="7" t="str">
        <f t="shared" si="4688"/>
        <v>装备</v>
      </c>
      <c r="D3909" s="7">
        <v>40601051</v>
      </c>
      <c r="E3909" s="7"/>
      <c r="F3909" s="7">
        <v>1</v>
      </c>
      <c r="G3909" s="7">
        <f>3*INDEX([1]equip.xml!$I:$I,MATCH(D3909&amp;"",[1]equip.xml!$A:$A,0))</f>
        <v>189000</v>
      </c>
      <c r="H3909" s="7" t="str">
        <f t="shared" si="4658"/>
        <v>10_10,50_20,80_30</v>
      </c>
      <c r="I3909" s="7">
        <v>6</v>
      </c>
      <c r="J3909" s="7">
        <f t="shared" si="4658"/>
        <v>50</v>
      </c>
      <c r="K3909" s="7" t="s">
        <v>312</v>
      </c>
      <c r="L3909" s="7">
        <v>42</v>
      </c>
      <c r="M3909" s="7">
        <f>IF(INDEX([1]equip.xml!$B:$B,MATCH(D3909&amp;"",[1]equip.xml!$A:$A,0))=0,0,N3909)</f>
        <v>130</v>
      </c>
      <c r="N3909" s="7">
        <f t="shared" ref="N3909" si="4689">N3821</f>
        <v>130</v>
      </c>
    </row>
    <row r="3910" spans="1:14">
      <c r="A3910" s="7">
        <f t="shared" si="4609"/>
        <v>20017</v>
      </c>
      <c r="B3910" s="7">
        <f t="shared" ref="B3910:C3910" si="4690">B3822</f>
        <v>40000</v>
      </c>
      <c r="C3910" s="7" t="str">
        <f t="shared" si="4690"/>
        <v>装备</v>
      </c>
      <c r="D3910" s="7">
        <v>40601060</v>
      </c>
      <c r="E3910" s="7"/>
      <c r="F3910" s="7">
        <v>1</v>
      </c>
      <c r="G3910" s="7">
        <f>3*INDEX([1]equip.xml!$I:$I,MATCH(D3910&amp;"",[1]equip.xml!$A:$A,0))</f>
        <v>180000</v>
      </c>
      <c r="H3910" s="7" t="str">
        <f t="shared" ref="H3910:J3925" si="4691">H3822</f>
        <v>10_10,50_20,80_30</v>
      </c>
      <c r="I3910" s="7">
        <v>6</v>
      </c>
      <c r="J3910" s="7">
        <f t="shared" si="4691"/>
        <v>50</v>
      </c>
      <c r="K3910" s="7" t="s">
        <v>312</v>
      </c>
      <c r="L3910" s="7">
        <v>42</v>
      </c>
      <c r="M3910" s="7">
        <f>IF(INDEX([1]equip.xml!$B:$B,MATCH(D3910&amp;"",[1]equip.xml!$A:$A,0))=0,0,N3910)</f>
        <v>130</v>
      </c>
      <c r="N3910" s="7">
        <f t="shared" ref="N3910" si="4692">N3822</f>
        <v>130</v>
      </c>
    </row>
    <row r="3911" spans="1:14">
      <c r="A3911" s="7">
        <f t="shared" si="4609"/>
        <v>20017</v>
      </c>
      <c r="B3911" s="7">
        <f t="shared" ref="B3911:C3911" si="4693">B3823</f>
        <v>40000</v>
      </c>
      <c r="C3911" s="7" t="str">
        <f t="shared" si="4693"/>
        <v>装备</v>
      </c>
      <c r="D3911" s="7">
        <v>40601061</v>
      </c>
      <c r="E3911" s="7"/>
      <c r="F3911" s="7">
        <v>1</v>
      </c>
      <c r="G3911" s="7">
        <f>3*INDEX([1]equip.xml!$I:$I,MATCH(D3911&amp;"",[1]equip.xml!$A:$A,0))</f>
        <v>189000</v>
      </c>
      <c r="H3911" s="7" t="str">
        <f t="shared" si="4691"/>
        <v>10_10,50_20,80_30</v>
      </c>
      <c r="I3911" s="7">
        <v>6</v>
      </c>
      <c r="J3911" s="7">
        <f t="shared" si="4691"/>
        <v>50</v>
      </c>
      <c r="K3911" s="7" t="s">
        <v>312</v>
      </c>
      <c r="L3911" s="7">
        <v>42</v>
      </c>
      <c r="M3911" s="7">
        <f>IF(INDEX([1]equip.xml!$B:$B,MATCH(D3911&amp;"",[1]equip.xml!$A:$A,0))=0,0,N3911)</f>
        <v>0</v>
      </c>
      <c r="N3911" s="7">
        <f t="shared" ref="N3911" si="4694">N3823</f>
        <v>130</v>
      </c>
    </row>
    <row r="3912" spans="1:14">
      <c r="A3912" s="7">
        <f t="shared" si="4609"/>
        <v>20017</v>
      </c>
      <c r="B3912" s="7">
        <f t="shared" ref="B3912:C3912" si="4695">B3824</f>
        <v>40000</v>
      </c>
      <c r="C3912" s="7" t="str">
        <f t="shared" si="4695"/>
        <v>装备</v>
      </c>
      <c r="D3912" s="7">
        <v>40602050</v>
      </c>
      <c r="E3912" s="7"/>
      <c r="F3912" s="7">
        <v>1</v>
      </c>
      <c r="G3912" s="7">
        <f>3*INDEX([1]equip.xml!$I:$I,MATCH(D3912&amp;"",[1]equip.xml!$A:$A,0))</f>
        <v>180000</v>
      </c>
      <c r="H3912" s="7" t="str">
        <f t="shared" si="4691"/>
        <v>10_10,50_20,80_30</v>
      </c>
      <c r="I3912" s="7">
        <v>6</v>
      </c>
      <c r="J3912" s="7">
        <f t="shared" si="4691"/>
        <v>50</v>
      </c>
      <c r="K3912" s="7" t="s">
        <v>312</v>
      </c>
      <c r="L3912" s="7">
        <v>42</v>
      </c>
      <c r="M3912" s="7">
        <f>IF(INDEX([1]equip.xml!$B:$B,MATCH(D3912&amp;"",[1]equip.xml!$A:$A,0))=0,0,N3912)</f>
        <v>130</v>
      </c>
      <c r="N3912" s="7">
        <f t="shared" ref="N3912" si="4696">N3824</f>
        <v>130</v>
      </c>
    </row>
    <row r="3913" spans="1:14">
      <c r="A3913" s="7">
        <f t="shared" si="4609"/>
        <v>20017</v>
      </c>
      <c r="B3913" s="7">
        <f t="shared" ref="B3913:C3913" si="4697">B3825</f>
        <v>40000</v>
      </c>
      <c r="C3913" s="7" t="str">
        <f t="shared" si="4697"/>
        <v>装备</v>
      </c>
      <c r="D3913" s="7">
        <v>40602051</v>
      </c>
      <c r="E3913" s="7"/>
      <c r="F3913" s="7">
        <v>1</v>
      </c>
      <c r="G3913" s="7">
        <f>3*INDEX([1]equip.xml!$I:$I,MATCH(D3913&amp;"",[1]equip.xml!$A:$A,0))</f>
        <v>189000</v>
      </c>
      <c r="H3913" s="7" t="str">
        <f t="shared" si="4691"/>
        <v>10_10,50_20,80_30</v>
      </c>
      <c r="I3913" s="7">
        <v>6</v>
      </c>
      <c r="J3913" s="7">
        <f t="shared" si="4691"/>
        <v>50</v>
      </c>
      <c r="K3913" s="7" t="s">
        <v>312</v>
      </c>
      <c r="L3913" s="7">
        <v>42</v>
      </c>
      <c r="M3913" s="7">
        <f>IF(INDEX([1]equip.xml!$B:$B,MATCH(D3913&amp;"",[1]equip.xml!$A:$A,0))=0,0,N3913)</f>
        <v>0</v>
      </c>
      <c r="N3913" s="7">
        <f t="shared" ref="N3913" si="4698">N3825</f>
        <v>130</v>
      </c>
    </row>
    <row r="3914" spans="1:14">
      <c r="A3914" s="7">
        <f t="shared" si="4609"/>
        <v>20017</v>
      </c>
      <c r="B3914" s="7">
        <f t="shared" ref="B3914:C3914" si="4699">B3826</f>
        <v>40000</v>
      </c>
      <c r="C3914" s="7" t="str">
        <f t="shared" si="4699"/>
        <v>装备</v>
      </c>
      <c r="D3914" s="7">
        <v>40602060</v>
      </c>
      <c r="E3914" s="7"/>
      <c r="F3914" s="7">
        <v>1</v>
      </c>
      <c r="G3914" s="7">
        <f>3*INDEX([1]equip.xml!$I:$I,MATCH(D3914&amp;"",[1]equip.xml!$A:$A,0))</f>
        <v>180000</v>
      </c>
      <c r="H3914" s="7" t="str">
        <f t="shared" si="4691"/>
        <v>10_10,50_20,80_30</v>
      </c>
      <c r="I3914" s="7">
        <v>6</v>
      </c>
      <c r="J3914" s="7">
        <f t="shared" si="4691"/>
        <v>50</v>
      </c>
      <c r="K3914" s="7" t="s">
        <v>312</v>
      </c>
      <c r="L3914" s="7">
        <v>42</v>
      </c>
      <c r="M3914" s="7">
        <f>IF(INDEX([1]equip.xml!$B:$B,MATCH(D3914&amp;"",[1]equip.xml!$A:$A,0))=0,0,N3914)</f>
        <v>130</v>
      </c>
      <c r="N3914" s="7">
        <f t="shared" ref="N3914" si="4700">N3826</f>
        <v>130</v>
      </c>
    </row>
    <row r="3915" spans="1:14">
      <c r="A3915" s="7">
        <f t="shared" si="4609"/>
        <v>20017</v>
      </c>
      <c r="B3915" s="7">
        <f t="shared" ref="B3915:C3915" si="4701">B3827</f>
        <v>40000</v>
      </c>
      <c r="C3915" s="7" t="str">
        <f t="shared" si="4701"/>
        <v>装备</v>
      </c>
      <c r="D3915" s="7">
        <v>40602061</v>
      </c>
      <c r="E3915" s="7"/>
      <c r="F3915" s="7">
        <v>1</v>
      </c>
      <c r="G3915" s="7">
        <f>3*INDEX([1]equip.xml!$I:$I,MATCH(D3915&amp;"",[1]equip.xml!$A:$A,0))</f>
        <v>189000</v>
      </c>
      <c r="H3915" s="7" t="str">
        <f t="shared" si="4691"/>
        <v>10_10,50_20,80_30</v>
      </c>
      <c r="I3915" s="7">
        <v>6</v>
      </c>
      <c r="J3915" s="7">
        <f t="shared" si="4691"/>
        <v>50</v>
      </c>
      <c r="K3915" s="7" t="s">
        <v>312</v>
      </c>
      <c r="L3915" s="7">
        <v>42</v>
      </c>
      <c r="M3915" s="7">
        <f>IF(INDEX([1]equip.xml!$B:$B,MATCH(D3915&amp;"",[1]equip.xml!$A:$A,0))=0,0,N3915)</f>
        <v>0</v>
      </c>
      <c r="N3915" s="7">
        <f t="shared" ref="N3915" si="4702">N3827</f>
        <v>130</v>
      </c>
    </row>
    <row r="3916" spans="1:14">
      <c r="A3916" s="7">
        <f t="shared" si="4609"/>
        <v>20017</v>
      </c>
      <c r="B3916" s="7">
        <f t="shared" ref="B3916:C3916" si="4703">B3828</f>
        <v>40000</v>
      </c>
      <c r="C3916" s="7" t="str">
        <f t="shared" si="4703"/>
        <v>装备</v>
      </c>
      <c r="D3916" s="7">
        <v>40603050</v>
      </c>
      <c r="E3916" s="7"/>
      <c r="F3916" s="7">
        <v>1</v>
      </c>
      <c r="G3916" s="7">
        <f>3*INDEX([1]equip.xml!$I:$I,MATCH(D3916&amp;"",[1]equip.xml!$A:$A,0))</f>
        <v>180000</v>
      </c>
      <c r="H3916" s="7" t="str">
        <f t="shared" si="4691"/>
        <v>10_10,50_20,80_30</v>
      </c>
      <c r="I3916" s="7">
        <v>6</v>
      </c>
      <c r="J3916" s="7">
        <f t="shared" si="4691"/>
        <v>50</v>
      </c>
      <c r="K3916" s="7" t="s">
        <v>312</v>
      </c>
      <c r="L3916" s="7">
        <v>42</v>
      </c>
      <c r="M3916" s="7">
        <f>IF(INDEX([1]equip.xml!$B:$B,MATCH(D3916&amp;"",[1]equip.xml!$A:$A,0))=0,0,N3916)</f>
        <v>130</v>
      </c>
      <c r="N3916" s="7">
        <f t="shared" ref="N3916" si="4704">N3828</f>
        <v>130</v>
      </c>
    </row>
    <row r="3917" spans="1:14">
      <c r="A3917" s="7">
        <f t="shared" si="4609"/>
        <v>20017</v>
      </c>
      <c r="B3917" s="7">
        <f t="shared" ref="B3917:C3917" si="4705">B3829</f>
        <v>40000</v>
      </c>
      <c r="C3917" s="7" t="str">
        <f t="shared" si="4705"/>
        <v>装备</v>
      </c>
      <c r="D3917" s="7">
        <v>40603051</v>
      </c>
      <c r="E3917" s="7"/>
      <c r="F3917" s="7">
        <v>1</v>
      </c>
      <c r="G3917" s="7">
        <f>3*INDEX([1]equip.xml!$I:$I,MATCH(D3917&amp;"",[1]equip.xml!$A:$A,0))</f>
        <v>189000</v>
      </c>
      <c r="H3917" s="7" t="str">
        <f t="shared" si="4691"/>
        <v>10_10,50_20,80_30</v>
      </c>
      <c r="I3917" s="7">
        <v>6</v>
      </c>
      <c r="J3917" s="7">
        <f t="shared" si="4691"/>
        <v>50</v>
      </c>
      <c r="K3917" s="7" t="s">
        <v>312</v>
      </c>
      <c r="L3917" s="7">
        <v>42</v>
      </c>
      <c r="M3917" s="7">
        <f>IF(INDEX([1]equip.xml!$B:$B,MATCH(D3917&amp;"",[1]equip.xml!$A:$A,0))=0,0,N3917)</f>
        <v>0</v>
      </c>
      <c r="N3917" s="7">
        <f t="shared" ref="N3917" si="4706">N3829</f>
        <v>130</v>
      </c>
    </row>
    <row r="3918" spans="1:14">
      <c r="A3918" s="7">
        <f t="shared" si="4609"/>
        <v>20017</v>
      </c>
      <c r="B3918" s="7">
        <f t="shared" ref="B3918:C3918" si="4707">B3830</f>
        <v>40000</v>
      </c>
      <c r="C3918" s="7" t="str">
        <f t="shared" si="4707"/>
        <v>装备</v>
      </c>
      <c r="D3918" s="7">
        <v>40603060</v>
      </c>
      <c r="E3918" s="7"/>
      <c r="F3918" s="7">
        <v>1</v>
      </c>
      <c r="G3918" s="7">
        <f>3*INDEX([1]equip.xml!$I:$I,MATCH(D3918&amp;"",[1]equip.xml!$A:$A,0))</f>
        <v>180000</v>
      </c>
      <c r="H3918" s="7" t="str">
        <f t="shared" si="4691"/>
        <v>10_10,50_20,80_30</v>
      </c>
      <c r="I3918" s="7">
        <v>6</v>
      </c>
      <c r="J3918" s="7">
        <f t="shared" si="4691"/>
        <v>50</v>
      </c>
      <c r="K3918" s="7" t="s">
        <v>312</v>
      </c>
      <c r="L3918" s="7">
        <v>42</v>
      </c>
      <c r="M3918" s="7">
        <f>IF(INDEX([1]equip.xml!$B:$B,MATCH(D3918&amp;"",[1]equip.xml!$A:$A,0))=0,0,N3918)</f>
        <v>130</v>
      </c>
      <c r="N3918" s="7">
        <f t="shared" ref="N3918" si="4708">N3830</f>
        <v>130</v>
      </c>
    </row>
    <row r="3919" spans="1:14">
      <c r="A3919" s="7">
        <f t="shared" si="4609"/>
        <v>20017</v>
      </c>
      <c r="B3919" s="7">
        <f t="shared" ref="B3919:C3919" si="4709">B3831</f>
        <v>40000</v>
      </c>
      <c r="C3919" s="7" t="str">
        <f t="shared" si="4709"/>
        <v>装备</v>
      </c>
      <c r="D3919" s="7">
        <v>40603061</v>
      </c>
      <c r="E3919" s="7"/>
      <c r="F3919" s="7">
        <v>1</v>
      </c>
      <c r="G3919" s="7">
        <f>3*INDEX([1]equip.xml!$I:$I,MATCH(D3919&amp;"",[1]equip.xml!$A:$A,0))</f>
        <v>189000</v>
      </c>
      <c r="H3919" s="7" t="str">
        <f t="shared" si="4691"/>
        <v>10_10,50_20,80_30</v>
      </c>
      <c r="I3919" s="7">
        <v>6</v>
      </c>
      <c r="J3919" s="7">
        <f t="shared" si="4691"/>
        <v>50</v>
      </c>
      <c r="K3919" s="7" t="s">
        <v>312</v>
      </c>
      <c r="L3919" s="7">
        <v>42</v>
      </c>
      <c r="M3919" s="7">
        <f>IF(INDEX([1]equip.xml!$B:$B,MATCH(D3919&amp;"",[1]equip.xml!$A:$A,0))=0,0,N3919)</f>
        <v>0</v>
      </c>
      <c r="N3919" s="7">
        <f t="shared" ref="N3919" si="4710">N3831</f>
        <v>130</v>
      </c>
    </row>
    <row r="3920" spans="1:14">
      <c r="A3920" s="7">
        <f t="shared" si="4609"/>
        <v>20017</v>
      </c>
      <c r="B3920" s="7">
        <f t="shared" ref="B3920:C3920" si="4711">B3832</f>
        <v>40000</v>
      </c>
      <c r="C3920" s="7" t="str">
        <f t="shared" si="4711"/>
        <v>装备</v>
      </c>
      <c r="D3920" s="7">
        <v>40600040</v>
      </c>
      <c r="E3920" s="7"/>
      <c r="F3920" s="7">
        <v>1</v>
      </c>
      <c r="G3920" s="7">
        <f>3*INDEX([1]equip.xml!$I:$I,MATCH(D3920&amp;"",[1]equip.xml!$A:$A,0))</f>
        <v>180000</v>
      </c>
      <c r="H3920" s="7" t="str">
        <f t="shared" si="4691"/>
        <v>10_10,50_20,80_30</v>
      </c>
      <c r="I3920" s="7">
        <v>6</v>
      </c>
      <c r="J3920" s="7">
        <f t="shared" si="4691"/>
        <v>50</v>
      </c>
      <c r="K3920" s="7" t="s">
        <v>312</v>
      </c>
      <c r="L3920" s="7">
        <v>42</v>
      </c>
      <c r="M3920" s="7">
        <f>IF(INDEX([1]equip.xml!$B:$B,MATCH(D3920&amp;"",[1]equip.xml!$A:$A,0))=0,0,N3920)</f>
        <v>130</v>
      </c>
      <c r="N3920" s="7">
        <f t="shared" ref="N3920" si="4712">N3832</f>
        <v>130</v>
      </c>
    </row>
    <row r="3921" spans="1:14">
      <c r="A3921" s="7">
        <f t="shared" si="4609"/>
        <v>20017</v>
      </c>
      <c r="B3921" s="7">
        <f t="shared" ref="B3921:C3921" si="4713">B3833</f>
        <v>40000</v>
      </c>
      <c r="C3921" s="7" t="str">
        <f t="shared" si="4713"/>
        <v>装备</v>
      </c>
      <c r="D3921" s="7">
        <v>40600041</v>
      </c>
      <c r="E3921" s="7"/>
      <c r="F3921" s="7">
        <v>1</v>
      </c>
      <c r="G3921" s="7">
        <f>3*INDEX([1]equip.xml!$I:$I,MATCH(D3921&amp;"",[1]equip.xml!$A:$A,0))</f>
        <v>189000</v>
      </c>
      <c r="H3921" s="7" t="str">
        <f t="shared" si="4691"/>
        <v>10_10,50_20,80_30</v>
      </c>
      <c r="I3921" s="7">
        <v>6</v>
      </c>
      <c r="J3921" s="7">
        <f t="shared" si="4691"/>
        <v>50</v>
      </c>
      <c r="K3921" s="7" t="s">
        <v>312</v>
      </c>
      <c r="L3921" s="7">
        <v>42</v>
      </c>
      <c r="M3921" s="7">
        <f>IF(INDEX([1]equip.xml!$B:$B,MATCH(D3921&amp;"",[1]equip.xml!$A:$A,0))=0,0,N3921)</f>
        <v>0</v>
      </c>
      <c r="N3921" s="7">
        <f t="shared" ref="N3921" si="4714">N3833</f>
        <v>130</v>
      </c>
    </row>
    <row r="3922" spans="1:14">
      <c r="A3922" s="7">
        <f t="shared" si="4609"/>
        <v>20017</v>
      </c>
      <c r="B3922" s="7">
        <f t="shared" ref="B3922:C3922" si="4715">B3834</f>
        <v>40000</v>
      </c>
      <c r="C3922" s="7" t="str">
        <f t="shared" si="4715"/>
        <v>装备</v>
      </c>
      <c r="D3922" s="7">
        <v>40600070</v>
      </c>
      <c r="E3922" s="7"/>
      <c r="F3922" s="7">
        <v>1</v>
      </c>
      <c r="G3922" s="7">
        <f>3*INDEX([1]equip.xml!$I:$I,MATCH(D3922&amp;"",[1]equip.xml!$A:$A,0))</f>
        <v>180000</v>
      </c>
      <c r="H3922" s="7" t="str">
        <f t="shared" si="4691"/>
        <v>10_10,50_20,80_30</v>
      </c>
      <c r="I3922" s="7">
        <v>6</v>
      </c>
      <c r="J3922" s="7">
        <f t="shared" si="4691"/>
        <v>50</v>
      </c>
      <c r="K3922" s="7" t="s">
        <v>312</v>
      </c>
      <c r="L3922" s="7">
        <v>42</v>
      </c>
      <c r="M3922" s="7">
        <f>IF(INDEX([1]equip.xml!$B:$B,MATCH(D3922&amp;"",[1]equip.xml!$A:$A,0))=0,0,N3922)</f>
        <v>130</v>
      </c>
      <c r="N3922" s="7">
        <f t="shared" ref="N3922" si="4716">N3834</f>
        <v>130</v>
      </c>
    </row>
    <row r="3923" spans="1:14">
      <c r="A3923" s="7">
        <f t="shared" si="4609"/>
        <v>20017</v>
      </c>
      <c r="B3923" s="7">
        <f t="shared" ref="B3923:C3923" si="4717">B3835</f>
        <v>40000</v>
      </c>
      <c r="C3923" s="7" t="str">
        <f t="shared" si="4717"/>
        <v>装备</v>
      </c>
      <c r="D3923" s="7">
        <v>40600071</v>
      </c>
      <c r="E3923" s="7"/>
      <c r="F3923" s="7">
        <v>1</v>
      </c>
      <c r="G3923" s="7">
        <f>3*INDEX([1]equip.xml!$I:$I,MATCH(D3923&amp;"",[1]equip.xml!$A:$A,0))</f>
        <v>189000</v>
      </c>
      <c r="H3923" s="7" t="str">
        <f t="shared" si="4691"/>
        <v>10_10,50_20,80_30</v>
      </c>
      <c r="I3923" s="7">
        <v>6</v>
      </c>
      <c r="J3923" s="7">
        <f t="shared" si="4691"/>
        <v>50</v>
      </c>
      <c r="K3923" s="7" t="s">
        <v>312</v>
      </c>
      <c r="L3923" s="7">
        <v>42</v>
      </c>
      <c r="M3923" s="7">
        <f>IF(INDEX([1]equip.xml!$B:$B,MATCH(D3923&amp;"",[1]equip.xml!$A:$A,0))=0,0,N3923)</f>
        <v>130</v>
      </c>
      <c r="N3923" s="7">
        <f t="shared" ref="N3923" si="4718">N3835</f>
        <v>130</v>
      </c>
    </row>
    <row r="3924" spans="1:14">
      <c r="A3924" s="7">
        <f t="shared" si="4609"/>
        <v>20017</v>
      </c>
      <c r="B3924" s="7">
        <f t="shared" ref="B3924:C3924" si="4719">B3836</f>
        <v>40000</v>
      </c>
      <c r="C3924" s="7" t="str">
        <f t="shared" si="4719"/>
        <v>装备</v>
      </c>
      <c r="D3924" s="7">
        <v>40650010</v>
      </c>
      <c r="E3924" s="7"/>
      <c r="F3924" s="7">
        <v>1</v>
      </c>
      <c r="G3924" s="7">
        <f>3*INDEX([1]equip.xml!$I:$I,MATCH(D3924&amp;"",[1]equip.xml!$A:$A,0))</f>
        <v>195000</v>
      </c>
      <c r="H3924" s="7" t="str">
        <f t="shared" si="4691"/>
        <v>10_10,50_20,80_30</v>
      </c>
      <c r="I3924" s="7">
        <v>6</v>
      </c>
      <c r="J3924" s="7">
        <f t="shared" si="4691"/>
        <v>50</v>
      </c>
      <c r="K3924" s="7" t="s">
        <v>312</v>
      </c>
      <c r="L3924" s="7">
        <v>42</v>
      </c>
      <c r="M3924" s="7">
        <f>IF(INDEX([1]equip.xml!$B:$B,MATCH(D3924&amp;"",[1]equip.xml!$A:$A,0))=0,0,N3924)</f>
        <v>60</v>
      </c>
      <c r="N3924" s="7">
        <f t="shared" ref="N3924" si="4720">N3836</f>
        <v>60</v>
      </c>
    </row>
    <row r="3925" spans="1:14">
      <c r="A3925" s="7">
        <f t="shared" si="4609"/>
        <v>20017</v>
      </c>
      <c r="B3925" s="7">
        <f t="shared" ref="B3925:C3925" si="4721">B3837</f>
        <v>40000</v>
      </c>
      <c r="C3925" s="7" t="str">
        <f t="shared" si="4721"/>
        <v>装备</v>
      </c>
      <c r="D3925" s="7">
        <v>40650020</v>
      </c>
      <c r="E3925" s="7"/>
      <c r="F3925" s="7">
        <v>1</v>
      </c>
      <c r="G3925" s="7">
        <f>3*INDEX([1]equip.xml!$I:$I,MATCH(D3925&amp;"",[1]equip.xml!$A:$A,0))</f>
        <v>195000</v>
      </c>
      <c r="H3925" s="7" t="str">
        <f t="shared" si="4691"/>
        <v>10_10,50_20,80_30</v>
      </c>
      <c r="I3925" s="7">
        <v>6</v>
      </c>
      <c r="J3925" s="7">
        <f t="shared" si="4691"/>
        <v>50</v>
      </c>
      <c r="K3925" s="7" t="s">
        <v>312</v>
      </c>
      <c r="L3925" s="7">
        <v>42</v>
      </c>
      <c r="M3925" s="7">
        <f>IF(INDEX([1]equip.xml!$B:$B,MATCH(D3925&amp;"",[1]equip.xml!$A:$A,0))=0,0,N3925)</f>
        <v>60</v>
      </c>
      <c r="N3925" s="7">
        <f t="shared" ref="N3925" si="4722">N3837</f>
        <v>60</v>
      </c>
    </row>
    <row r="3926" spans="1:14">
      <c r="A3926" s="7">
        <f t="shared" si="4609"/>
        <v>20017</v>
      </c>
      <c r="B3926" s="7">
        <f t="shared" ref="B3926:C3926" si="4723">B3838</f>
        <v>40000</v>
      </c>
      <c r="C3926" s="7" t="str">
        <f t="shared" si="4723"/>
        <v>装备</v>
      </c>
      <c r="D3926" s="7">
        <v>40650030</v>
      </c>
      <c r="E3926" s="7"/>
      <c r="F3926" s="7">
        <v>1</v>
      </c>
      <c r="G3926" s="7">
        <f>3*INDEX([1]equip.xml!$I:$I,MATCH(D3926&amp;"",[1]equip.xml!$A:$A,0))</f>
        <v>195000</v>
      </c>
      <c r="H3926" s="7" t="str">
        <f t="shared" ref="H3926:J3941" si="4724">H3838</f>
        <v>10_10,50_20,80_30</v>
      </c>
      <c r="I3926" s="7">
        <v>6</v>
      </c>
      <c r="J3926" s="7">
        <f t="shared" si="4724"/>
        <v>50</v>
      </c>
      <c r="K3926" s="7" t="s">
        <v>312</v>
      </c>
      <c r="L3926" s="7">
        <v>42</v>
      </c>
      <c r="M3926" s="7">
        <f>IF(INDEX([1]equip.xml!$B:$B,MATCH(D3926&amp;"",[1]equip.xml!$A:$A,0))=0,0,N3926)</f>
        <v>60</v>
      </c>
      <c r="N3926" s="7">
        <f t="shared" ref="N3926" si="4725">N3838</f>
        <v>60</v>
      </c>
    </row>
    <row r="3927" spans="1:14">
      <c r="A3927" s="7">
        <f t="shared" si="4609"/>
        <v>20017</v>
      </c>
      <c r="B3927" s="7">
        <f t="shared" ref="B3927:C3927" si="4726">B3839</f>
        <v>40000</v>
      </c>
      <c r="C3927" s="7" t="str">
        <f t="shared" si="4726"/>
        <v>装备</v>
      </c>
      <c r="D3927" s="7">
        <v>40650080</v>
      </c>
      <c r="E3927" s="7"/>
      <c r="F3927" s="7">
        <v>1</v>
      </c>
      <c r="G3927" s="7">
        <f>3*INDEX([1]equip.xml!$I:$I,MATCH(D3927&amp;"",[1]equip.xml!$A:$A,0))</f>
        <v>195000</v>
      </c>
      <c r="H3927" s="7" t="str">
        <f t="shared" si="4724"/>
        <v>10_10,50_20,80_30</v>
      </c>
      <c r="I3927" s="7">
        <v>6</v>
      </c>
      <c r="J3927" s="7">
        <f t="shared" si="4724"/>
        <v>50</v>
      </c>
      <c r="K3927" s="7" t="s">
        <v>312</v>
      </c>
      <c r="L3927" s="7">
        <v>42</v>
      </c>
      <c r="M3927" s="7">
        <f>IF(INDEX([1]equip.xml!$B:$B,MATCH(D3927&amp;"",[1]equip.xml!$A:$A,0))=0,0,N3927)</f>
        <v>60</v>
      </c>
      <c r="N3927" s="7">
        <f t="shared" ref="N3927" si="4727">N3839</f>
        <v>60</v>
      </c>
    </row>
    <row r="3928" spans="1:14">
      <c r="A3928" s="7">
        <f t="shared" si="4609"/>
        <v>20017</v>
      </c>
      <c r="B3928" s="7">
        <f t="shared" ref="B3928:C3928" si="4728">B3840</f>
        <v>40000</v>
      </c>
      <c r="C3928" s="7" t="str">
        <f t="shared" si="4728"/>
        <v>装备</v>
      </c>
      <c r="D3928" s="7">
        <v>40650090</v>
      </c>
      <c r="E3928" s="7"/>
      <c r="F3928" s="7">
        <v>1</v>
      </c>
      <c r="G3928" s="7">
        <f>3*INDEX([1]equip.xml!$I:$I,MATCH(D3928&amp;"",[1]equip.xml!$A:$A,0))</f>
        <v>195000</v>
      </c>
      <c r="H3928" s="7" t="str">
        <f t="shared" si="4724"/>
        <v>10_10,50_20,80_30</v>
      </c>
      <c r="I3928" s="7">
        <v>6</v>
      </c>
      <c r="J3928" s="7">
        <f t="shared" si="4724"/>
        <v>50</v>
      </c>
      <c r="K3928" s="7" t="s">
        <v>312</v>
      </c>
      <c r="L3928" s="7">
        <v>42</v>
      </c>
      <c r="M3928" s="7">
        <f>IF(INDEX([1]equip.xml!$B:$B,MATCH(D3928&amp;"",[1]equip.xml!$A:$A,0))=0,0,N3928)</f>
        <v>60</v>
      </c>
      <c r="N3928" s="7">
        <f t="shared" ref="N3928" si="4729">N3840</f>
        <v>60</v>
      </c>
    </row>
    <row r="3929" spans="1:14">
      <c r="A3929" s="7">
        <f t="shared" si="4609"/>
        <v>20017</v>
      </c>
      <c r="B3929" s="7">
        <f t="shared" ref="B3929:C3929" si="4730">B3841</f>
        <v>40000</v>
      </c>
      <c r="C3929" s="7" t="str">
        <f t="shared" si="4730"/>
        <v>装备</v>
      </c>
      <c r="D3929" s="7">
        <v>40650100</v>
      </c>
      <c r="E3929" s="7"/>
      <c r="F3929" s="7">
        <v>1</v>
      </c>
      <c r="G3929" s="7">
        <f>3*INDEX([1]equip.xml!$I:$I,MATCH(D3929&amp;"",[1]equip.xml!$A:$A,0))</f>
        <v>195000</v>
      </c>
      <c r="H3929" s="7" t="str">
        <f t="shared" si="4724"/>
        <v>10_10,50_20,80_30</v>
      </c>
      <c r="I3929" s="7">
        <v>6</v>
      </c>
      <c r="J3929" s="7">
        <f t="shared" si="4724"/>
        <v>50</v>
      </c>
      <c r="K3929" s="7" t="s">
        <v>312</v>
      </c>
      <c r="L3929" s="7">
        <v>42</v>
      </c>
      <c r="M3929" s="7">
        <f>IF(INDEX([1]equip.xml!$B:$B,MATCH(D3929&amp;"",[1]equip.xml!$A:$A,0))=0,0,N3929)</f>
        <v>60</v>
      </c>
      <c r="N3929" s="7">
        <f t="shared" ref="N3929" si="4731">N3841</f>
        <v>60</v>
      </c>
    </row>
    <row r="3930" spans="1:14">
      <c r="A3930" s="7">
        <f t="shared" si="4609"/>
        <v>20017</v>
      </c>
      <c r="B3930" s="7">
        <f t="shared" ref="B3930:C3930" si="4732">B3842</f>
        <v>40000</v>
      </c>
      <c r="C3930" s="7" t="str">
        <f t="shared" si="4732"/>
        <v>装备</v>
      </c>
      <c r="D3930" s="7">
        <v>40651050</v>
      </c>
      <c r="E3930" s="7"/>
      <c r="F3930" s="7">
        <v>1</v>
      </c>
      <c r="G3930" s="7">
        <f>3*INDEX([1]equip.xml!$I:$I,MATCH(D3930&amp;"",[1]equip.xml!$A:$A,0))</f>
        <v>195000</v>
      </c>
      <c r="H3930" s="7" t="str">
        <f t="shared" si="4724"/>
        <v>10_10,50_20,80_30</v>
      </c>
      <c r="I3930" s="7">
        <v>6</v>
      </c>
      <c r="J3930" s="7">
        <f t="shared" si="4724"/>
        <v>50</v>
      </c>
      <c r="K3930" s="7" t="s">
        <v>312</v>
      </c>
      <c r="L3930" s="7">
        <v>42</v>
      </c>
      <c r="M3930" s="7">
        <f>IF(INDEX([1]equip.xml!$B:$B,MATCH(D3930&amp;"",[1]equip.xml!$A:$A,0))=0,0,N3930)</f>
        <v>60</v>
      </c>
      <c r="N3930" s="7">
        <f t="shared" ref="N3930" si="4733">N3842</f>
        <v>60</v>
      </c>
    </row>
    <row r="3931" spans="1:14">
      <c r="A3931" s="7">
        <f t="shared" si="4609"/>
        <v>20017</v>
      </c>
      <c r="B3931" s="7">
        <f t="shared" ref="B3931:C3931" si="4734">B3843</f>
        <v>40000</v>
      </c>
      <c r="C3931" s="7" t="str">
        <f t="shared" si="4734"/>
        <v>装备</v>
      </c>
      <c r="D3931" s="7">
        <v>40651051</v>
      </c>
      <c r="E3931" s="7"/>
      <c r="F3931" s="7">
        <v>1</v>
      </c>
      <c r="G3931" s="7">
        <f>3*INDEX([1]equip.xml!$I:$I,MATCH(D3931&amp;"",[1]equip.xml!$A:$A,0))</f>
        <v>204000</v>
      </c>
      <c r="H3931" s="7" t="str">
        <f t="shared" si="4724"/>
        <v>10_10,50_20,80_30</v>
      </c>
      <c r="I3931" s="7">
        <v>6</v>
      </c>
      <c r="J3931" s="7">
        <f t="shared" si="4724"/>
        <v>50</v>
      </c>
      <c r="K3931" s="7" t="s">
        <v>312</v>
      </c>
      <c r="L3931" s="7">
        <v>42</v>
      </c>
      <c r="M3931" s="7">
        <f>IF(INDEX([1]equip.xml!$B:$B,MATCH(D3931&amp;"",[1]equip.xml!$A:$A,0))=0,0,N3931)</f>
        <v>0</v>
      </c>
      <c r="N3931" s="7">
        <f t="shared" ref="N3931" si="4735">N3843</f>
        <v>60</v>
      </c>
    </row>
    <row r="3932" spans="1:14">
      <c r="A3932" s="7">
        <f t="shared" si="4609"/>
        <v>20017</v>
      </c>
      <c r="B3932" s="7">
        <f t="shared" ref="B3932:C3932" si="4736">B3844</f>
        <v>40000</v>
      </c>
      <c r="C3932" s="7" t="str">
        <f t="shared" si="4736"/>
        <v>装备</v>
      </c>
      <c r="D3932" s="7">
        <v>40651060</v>
      </c>
      <c r="E3932" s="7"/>
      <c r="F3932" s="7">
        <v>1</v>
      </c>
      <c r="G3932" s="7">
        <f>3*INDEX([1]equip.xml!$I:$I,MATCH(D3932&amp;"",[1]equip.xml!$A:$A,0))</f>
        <v>195000</v>
      </c>
      <c r="H3932" s="7" t="str">
        <f t="shared" si="4724"/>
        <v>10_10,50_20,80_30</v>
      </c>
      <c r="I3932" s="7">
        <v>6</v>
      </c>
      <c r="J3932" s="7">
        <f t="shared" si="4724"/>
        <v>50</v>
      </c>
      <c r="K3932" s="7" t="s">
        <v>312</v>
      </c>
      <c r="L3932" s="7">
        <v>42</v>
      </c>
      <c r="M3932" s="7">
        <f>IF(INDEX([1]equip.xml!$B:$B,MATCH(D3932&amp;"",[1]equip.xml!$A:$A,0))=0,0,N3932)</f>
        <v>60</v>
      </c>
      <c r="N3932" s="7">
        <f t="shared" ref="N3932" si="4737">N3844</f>
        <v>60</v>
      </c>
    </row>
    <row r="3933" spans="1:14">
      <c r="A3933" s="7">
        <f t="shared" si="4609"/>
        <v>20017</v>
      </c>
      <c r="B3933" s="7">
        <f t="shared" ref="B3933:C3933" si="4738">B3845</f>
        <v>40000</v>
      </c>
      <c r="C3933" s="7" t="str">
        <f t="shared" si="4738"/>
        <v>装备</v>
      </c>
      <c r="D3933" s="7">
        <v>40651061</v>
      </c>
      <c r="E3933" s="7"/>
      <c r="F3933" s="7">
        <v>1</v>
      </c>
      <c r="G3933" s="7">
        <f>3*INDEX([1]equip.xml!$I:$I,MATCH(D3933&amp;"",[1]equip.xml!$A:$A,0))</f>
        <v>204000</v>
      </c>
      <c r="H3933" s="7" t="str">
        <f t="shared" si="4724"/>
        <v>10_10,50_20,80_30</v>
      </c>
      <c r="I3933" s="7">
        <v>6</v>
      </c>
      <c r="J3933" s="7">
        <f t="shared" si="4724"/>
        <v>50</v>
      </c>
      <c r="K3933" s="7" t="s">
        <v>312</v>
      </c>
      <c r="L3933" s="7">
        <v>42</v>
      </c>
      <c r="M3933" s="7">
        <f>IF(INDEX([1]equip.xml!$B:$B,MATCH(D3933&amp;"",[1]equip.xml!$A:$A,0))=0,0,N3933)</f>
        <v>0</v>
      </c>
      <c r="N3933" s="7">
        <f t="shared" ref="N3933" si="4739">N3845</f>
        <v>60</v>
      </c>
    </row>
    <row r="3934" spans="1:14">
      <c r="A3934" s="7">
        <f t="shared" si="4609"/>
        <v>20017</v>
      </c>
      <c r="B3934" s="7">
        <f t="shared" ref="B3934:C3934" si="4740">B3846</f>
        <v>40000</v>
      </c>
      <c r="C3934" s="7" t="str">
        <f t="shared" si="4740"/>
        <v>装备</v>
      </c>
      <c r="D3934" s="7">
        <v>40652050</v>
      </c>
      <c r="E3934" s="7"/>
      <c r="F3934" s="7">
        <v>1</v>
      </c>
      <c r="G3934" s="7">
        <f>3*INDEX([1]equip.xml!$I:$I,MATCH(D3934&amp;"",[1]equip.xml!$A:$A,0))</f>
        <v>195000</v>
      </c>
      <c r="H3934" s="7" t="str">
        <f t="shared" si="4724"/>
        <v>10_10,50_20,80_30</v>
      </c>
      <c r="I3934" s="7">
        <v>6</v>
      </c>
      <c r="J3934" s="7">
        <f t="shared" si="4724"/>
        <v>50</v>
      </c>
      <c r="K3934" s="7" t="s">
        <v>312</v>
      </c>
      <c r="L3934" s="7">
        <v>42</v>
      </c>
      <c r="M3934" s="7">
        <f>IF(INDEX([1]equip.xml!$B:$B,MATCH(D3934&amp;"",[1]equip.xml!$A:$A,0))=0,0,N3934)</f>
        <v>60</v>
      </c>
      <c r="N3934" s="7">
        <f t="shared" ref="N3934" si="4741">N3846</f>
        <v>60</v>
      </c>
    </row>
    <row r="3935" spans="1:14">
      <c r="A3935" s="7">
        <f t="shared" ref="A3935:A3998" si="4742">10000+A1119</f>
        <v>20017</v>
      </c>
      <c r="B3935" s="7">
        <f t="shared" ref="B3935:C3935" si="4743">B3847</f>
        <v>40000</v>
      </c>
      <c r="C3935" s="7" t="str">
        <f t="shared" si="4743"/>
        <v>装备</v>
      </c>
      <c r="D3935" s="7">
        <v>40652051</v>
      </c>
      <c r="E3935" s="7"/>
      <c r="F3935" s="7">
        <v>1</v>
      </c>
      <c r="G3935" s="7">
        <f>3*INDEX([1]equip.xml!$I:$I,MATCH(D3935&amp;"",[1]equip.xml!$A:$A,0))</f>
        <v>204000</v>
      </c>
      <c r="H3935" s="7" t="str">
        <f t="shared" si="4724"/>
        <v>10_10,50_20,80_30</v>
      </c>
      <c r="I3935" s="7">
        <v>6</v>
      </c>
      <c r="J3935" s="7">
        <f t="shared" si="4724"/>
        <v>50</v>
      </c>
      <c r="K3935" s="7" t="s">
        <v>312</v>
      </c>
      <c r="L3935" s="7">
        <v>42</v>
      </c>
      <c r="M3935" s="7">
        <f>IF(INDEX([1]equip.xml!$B:$B,MATCH(D3935&amp;"",[1]equip.xml!$A:$A,0))=0,0,N3935)</f>
        <v>0</v>
      </c>
      <c r="N3935" s="7">
        <f t="shared" ref="N3935" si="4744">N3847</f>
        <v>60</v>
      </c>
    </row>
    <row r="3936" spans="1:14">
      <c r="A3936" s="7">
        <f t="shared" si="4742"/>
        <v>20017</v>
      </c>
      <c r="B3936" s="7">
        <f t="shared" ref="B3936:C3936" si="4745">B3848</f>
        <v>40000</v>
      </c>
      <c r="C3936" s="7" t="str">
        <f t="shared" si="4745"/>
        <v>装备</v>
      </c>
      <c r="D3936" s="7">
        <v>40652060</v>
      </c>
      <c r="E3936" s="7"/>
      <c r="F3936" s="7">
        <v>1</v>
      </c>
      <c r="G3936" s="7">
        <f>3*INDEX([1]equip.xml!$I:$I,MATCH(D3936&amp;"",[1]equip.xml!$A:$A,0))</f>
        <v>195000</v>
      </c>
      <c r="H3936" s="7" t="str">
        <f t="shared" si="4724"/>
        <v>10_10,50_20,80_30</v>
      </c>
      <c r="I3936" s="7">
        <v>6</v>
      </c>
      <c r="J3936" s="7">
        <f t="shared" si="4724"/>
        <v>50</v>
      </c>
      <c r="K3936" s="7" t="s">
        <v>312</v>
      </c>
      <c r="L3936" s="7">
        <v>42</v>
      </c>
      <c r="M3936" s="7">
        <f>IF(INDEX([1]equip.xml!$B:$B,MATCH(D3936&amp;"",[1]equip.xml!$A:$A,0))=0,0,N3936)</f>
        <v>60</v>
      </c>
      <c r="N3936" s="7">
        <f t="shared" ref="N3936" si="4746">N3848</f>
        <v>60</v>
      </c>
    </row>
    <row r="3937" spans="1:14">
      <c r="A3937" s="7">
        <f t="shared" si="4742"/>
        <v>20017</v>
      </c>
      <c r="B3937" s="7">
        <f t="shared" ref="B3937:C3937" si="4747">B3849</f>
        <v>40000</v>
      </c>
      <c r="C3937" s="7" t="str">
        <f t="shared" si="4747"/>
        <v>装备</v>
      </c>
      <c r="D3937" s="7">
        <v>40652061</v>
      </c>
      <c r="E3937" s="7"/>
      <c r="F3937" s="7">
        <v>1</v>
      </c>
      <c r="G3937" s="7">
        <f>3*INDEX([1]equip.xml!$I:$I,MATCH(D3937&amp;"",[1]equip.xml!$A:$A,0))</f>
        <v>204000</v>
      </c>
      <c r="H3937" s="7" t="str">
        <f t="shared" si="4724"/>
        <v>10_10,50_20,80_30</v>
      </c>
      <c r="I3937" s="7">
        <v>6</v>
      </c>
      <c r="J3937" s="7">
        <f t="shared" si="4724"/>
        <v>50</v>
      </c>
      <c r="K3937" s="7" t="s">
        <v>312</v>
      </c>
      <c r="L3937" s="7">
        <v>42</v>
      </c>
      <c r="M3937" s="7">
        <f>IF(INDEX([1]equip.xml!$B:$B,MATCH(D3937&amp;"",[1]equip.xml!$A:$A,0))=0,0,N3937)</f>
        <v>0</v>
      </c>
      <c r="N3937" s="7">
        <f t="shared" ref="N3937" si="4748">N3849</f>
        <v>60</v>
      </c>
    </row>
    <row r="3938" spans="1:14">
      <c r="A3938" s="7">
        <f t="shared" si="4742"/>
        <v>20017</v>
      </c>
      <c r="B3938" s="7">
        <f t="shared" ref="B3938:C3938" si="4749">B3850</f>
        <v>40000</v>
      </c>
      <c r="C3938" s="7" t="str">
        <f t="shared" si="4749"/>
        <v>装备</v>
      </c>
      <c r="D3938" s="7">
        <v>40653050</v>
      </c>
      <c r="E3938" s="7"/>
      <c r="F3938" s="7">
        <v>1</v>
      </c>
      <c r="G3938" s="7">
        <f>3*INDEX([1]equip.xml!$I:$I,MATCH(D3938&amp;"",[1]equip.xml!$A:$A,0))</f>
        <v>195000</v>
      </c>
      <c r="H3938" s="7" t="str">
        <f t="shared" si="4724"/>
        <v>10_10,50_20,80_30</v>
      </c>
      <c r="I3938" s="7">
        <v>6</v>
      </c>
      <c r="J3938" s="7">
        <f t="shared" si="4724"/>
        <v>50</v>
      </c>
      <c r="K3938" s="7" t="s">
        <v>312</v>
      </c>
      <c r="L3938" s="7">
        <v>42</v>
      </c>
      <c r="M3938" s="7">
        <f>IF(INDEX([1]equip.xml!$B:$B,MATCH(D3938&amp;"",[1]equip.xml!$A:$A,0))=0,0,N3938)</f>
        <v>60</v>
      </c>
      <c r="N3938" s="7">
        <f t="shared" ref="N3938" si="4750">N3850</f>
        <v>60</v>
      </c>
    </row>
    <row r="3939" spans="1:14">
      <c r="A3939" s="7">
        <f t="shared" si="4742"/>
        <v>20017</v>
      </c>
      <c r="B3939" s="7">
        <f t="shared" ref="B3939:C3939" si="4751">B3851</f>
        <v>40000</v>
      </c>
      <c r="C3939" s="7" t="str">
        <f t="shared" si="4751"/>
        <v>装备</v>
      </c>
      <c r="D3939" s="7">
        <v>40653051</v>
      </c>
      <c r="E3939" s="7"/>
      <c r="F3939" s="7">
        <v>1</v>
      </c>
      <c r="G3939" s="7">
        <f>3*INDEX([1]equip.xml!$I:$I,MATCH(D3939&amp;"",[1]equip.xml!$A:$A,0))</f>
        <v>204000</v>
      </c>
      <c r="H3939" s="7" t="str">
        <f t="shared" si="4724"/>
        <v>10_10,50_20,80_30</v>
      </c>
      <c r="I3939" s="7">
        <v>6</v>
      </c>
      <c r="J3939" s="7">
        <f t="shared" si="4724"/>
        <v>50</v>
      </c>
      <c r="K3939" s="7" t="s">
        <v>312</v>
      </c>
      <c r="L3939" s="7">
        <v>42</v>
      </c>
      <c r="M3939" s="7">
        <f>IF(INDEX([1]equip.xml!$B:$B,MATCH(D3939&amp;"",[1]equip.xml!$A:$A,0))=0,0,N3939)</f>
        <v>0</v>
      </c>
      <c r="N3939" s="7">
        <f t="shared" ref="N3939" si="4752">N3851</f>
        <v>60</v>
      </c>
    </row>
    <row r="3940" spans="1:14">
      <c r="A3940" s="7">
        <f t="shared" si="4742"/>
        <v>20017</v>
      </c>
      <c r="B3940" s="7">
        <f t="shared" ref="B3940:C3940" si="4753">B3852</f>
        <v>40000</v>
      </c>
      <c r="C3940" s="7" t="str">
        <f t="shared" si="4753"/>
        <v>装备</v>
      </c>
      <c r="D3940" s="7">
        <v>40653060</v>
      </c>
      <c r="E3940" s="7"/>
      <c r="F3940" s="7">
        <v>1</v>
      </c>
      <c r="G3940" s="7">
        <f>3*INDEX([1]equip.xml!$I:$I,MATCH(D3940&amp;"",[1]equip.xml!$A:$A,0))</f>
        <v>195000</v>
      </c>
      <c r="H3940" s="7" t="str">
        <f t="shared" si="4724"/>
        <v>10_10,50_20,80_30</v>
      </c>
      <c r="I3940" s="7">
        <v>6</v>
      </c>
      <c r="J3940" s="7">
        <f t="shared" si="4724"/>
        <v>50</v>
      </c>
      <c r="K3940" s="7" t="s">
        <v>312</v>
      </c>
      <c r="L3940" s="7">
        <v>42</v>
      </c>
      <c r="M3940" s="7">
        <f>IF(INDEX([1]equip.xml!$B:$B,MATCH(D3940&amp;"",[1]equip.xml!$A:$A,0))=0,0,N3940)</f>
        <v>60</v>
      </c>
      <c r="N3940" s="7">
        <f t="shared" ref="N3940" si="4754">N3852</f>
        <v>60</v>
      </c>
    </row>
    <row r="3941" spans="1:14">
      <c r="A3941" s="7">
        <f t="shared" si="4742"/>
        <v>20017</v>
      </c>
      <c r="B3941" s="7">
        <f t="shared" ref="B3941:C3941" si="4755">B3853</f>
        <v>40000</v>
      </c>
      <c r="C3941" s="7" t="str">
        <f t="shared" si="4755"/>
        <v>装备</v>
      </c>
      <c r="D3941" s="7">
        <v>40653061</v>
      </c>
      <c r="E3941" s="7"/>
      <c r="F3941" s="7">
        <v>1</v>
      </c>
      <c r="G3941" s="7">
        <f>3*INDEX([1]equip.xml!$I:$I,MATCH(D3941&amp;"",[1]equip.xml!$A:$A,0))</f>
        <v>204000</v>
      </c>
      <c r="H3941" s="7" t="str">
        <f t="shared" si="4724"/>
        <v>10_10,50_20,80_30</v>
      </c>
      <c r="I3941" s="7">
        <v>6</v>
      </c>
      <c r="J3941" s="7">
        <f t="shared" si="4724"/>
        <v>50</v>
      </c>
      <c r="K3941" s="7" t="s">
        <v>312</v>
      </c>
      <c r="L3941" s="7">
        <v>42</v>
      </c>
      <c r="M3941" s="7">
        <f>IF(INDEX([1]equip.xml!$B:$B,MATCH(D3941&amp;"",[1]equip.xml!$A:$A,0))=0,0,N3941)</f>
        <v>0</v>
      </c>
      <c r="N3941" s="7">
        <f t="shared" ref="N3941" si="4756">N3853</f>
        <v>60</v>
      </c>
    </row>
    <row r="3942" spans="1:14">
      <c r="A3942" s="7">
        <f t="shared" si="4742"/>
        <v>20017</v>
      </c>
      <c r="B3942" s="7">
        <f t="shared" ref="B3942:C3942" si="4757">B3854</f>
        <v>40000</v>
      </c>
      <c r="C3942" s="7" t="str">
        <f t="shared" si="4757"/>
        <v>装备</v>
      </c>
      <c r="D3942" s="7">
        <v>40650040</v>
      </c>
      <c r="E3942" s="7"/>
      <c r="F3942" s="7">
        <v>1</v>
      </c>
      <c r="G3942" s="7">
        <f>3*INDEX([1]equip.xml!$I:$I,MATCH(D3942&amp;"",[1]equip.xml!$A:$A,0))</f>
        <v>195000</v>
      </c>
      <c r="H3942" s="7" t="str">
        <f t="shared" ref="H3942:J3957" si="4758">H3854</f>
        <v>10_10,50_20,80_30</v>
      </c>
      <c r="I3942" s="7">
        <v>6</v>
      </c>
      <c r="J3942" s="7">
        <f t="shared" si="4758"/>
        <v>50</v>
      </c>
      <c r="K3942" s="7" t="s">
        <v>312</v>
      </c>
      <c r="L3942" s="7">
        <v>42</v>
      </c>
      <c r="M3942" s="7">
        <f>IF(INDEX([1]equip.xml!$B:$B,MATCH(D3942&amp;"",[1]equip.xml!$A:$A,0))=0,0,N3942)</f>
        <v>60</v>
      </c>
      <c r="N3942" s="7">
        <f t="shared" ref="N3942" si="4759">N3854</f>
        <v>60</v>
      </c>
    </row>
    <row r="3943" spans="1:14">
      <c r="A3943" s="7">
        <f t="shared" si="4742"/>
        <v>20017</v>
      </c>
      <c r="B3943" s="7">
        <f t="shared" ref="B3943:C3943" si="4760">B3855</f>
        <v>40000</v>
      </c>
      <c r="C3943" s="7" t="str">
        <f t="shared" si="4760"/>
        <v>装备</v>
      </c>
      <c r="D3943" s="7">
        <v>40650041</v>
      </c>
      <c r="E3943" s="7"/>
      <c r="F3943" s="7">
        <v>1</v>
      </c>
      <c r="G3943" s="7">
        <f>3*INDEX([1]equip.xml!$I:$I,MATCH(D3943&amp;"",[1]equip.xml!$A:$A,0))</f>
        <v>204000</v>
      </c>
      <c r="H3943" s="7" t="str">
        <f t="shared" si="4758"/>
        <v>10_10,50_20,80_30</v>
      </c>
      <c r="I3943" s="7">
        <v>6</v>
      </c>
      <c r="J3943" s="7">
        <f t="shared" si="4758"/>
        <v>50</v>
      </c>
      <c r="K3943" s="7" t="s">
        <v>312</v>
      </c>
      <c r="L3943" s="7">
        <v>42</v>
      </c>
      <c r="M3943" s="7">
        <f>IF(INDEX([1]equip.xml!$B:$B,MATCH(D3943&amp;"",[1]equip.xml!$A:$A,0))=0,0,N3943)</f>
        <v>0</v>
      </c>
      <c r="N3943" s="7">
        <f t="shared" ref="N3943" si="4761">N3855</f>
        <v>60</v>
      </c>
    </row>
    <row r="3944" spans="1:14">
      <c r="A3944" s="7">
        <f t="shared" si="4742"/>
        <v>20017</v>
      </c>
      <c r="B3944" s="7">
        <f t="shared" ref="B3944:C3944" si="4762">B3856</f>
        <v>40000</v>
      </c>
      <c r="C3944" s="7" t="str">
        <f t="shared" si="4762"/>
        <v>装备</v>
      </c>
      <c r="D3944" s="7">
        <v>40650070</v>
      </c>
      <c r="E3944" s="7"/>
      <c r="F3944" s="7">
        <v>1</v>
      </c>
      <c r="G3944" s="7">
        <f>3*INDEX([1]equip.xml!$I:$I,MATCH(D3944&amp;"",[1]equip.xml!$A:$A,0))</f>
        <v>195000</v>
      </c>
      <c r="H3944" s="7" t="str">
        <f t="shared" si="4758"/>
        <v>10_10,50_20,80_30</v>
      </c>
      <c r="I3944" s="7">
        <v>6</v>
      </c>
      <c r="J3944" s="7">
        <f t="shared" si="4758"/>
        <v>50</v>
      </c>
      <c r="K3944" s="7" t="s">
        <v>312</v>
      </c>
      <c r="L3944" s="7">
        <v>42</v>
      </c>
      <c r="M3944" s="7">
        <f>IF(INDEX([1]equip.xml!$B:$B,MATCH(D3944&amp;"",[1]equip.xml!$A:$A,0))=0,0,N3944)</f>
        <v>60</v>
      </c>
      <c r="N3944" s="7">
        <f t="shared" ref="N3944" si="4763">N3856</f>
        <v>60</v>
      </c>
    </row>
    <row r="3945" spans="1:14">
      <c r="A3945" s="7">
        <f t="shared" si="4742"/>
        <v>20017</v>
      </c>
      <c r="B3945" s="7">
        <f t="shared" ref="B3945:C3945" si="4764">B3857</f>
        <v>40000</v>
      </c>
      <c r="C3945" s="7" t="str">
        <f t="shared" si="4764"/>
        <v>装备</v>
      </c>
      <c r="D3945" s="7">
        <v>40650071</v>
      </c>
      <c r="E3945" s="7"/>
      <c r="F3945" s="7">
        <v>1</v>
      </c>
      <c r="G3945" s="7">
        <f>3*INDEX([1]equip.xml!$I:$I,MATCH(D3945&amp;"",[1]equip.xml!$A:$A,0))</f>
        <v>204000</v>
      </c>
      <c r="H3945" s="7" t="str">
        <f t="shared" si="4758"/>
        <v>10_10,50_20,80_30</v>
      </c>
      <c r="I3945" s="7">
        <v>6</v>
      </c>
      <c r="J3945" s="7">
        <f t="shared" si="4758"/>
        <v>50</v>
      </c>
      <c r="K3945" s="7" t="s">
        <v>312</v>
      </c>
      <c r="L3945" s="7">
        <v>42</v>
      </c>
      <c r="M3945" s="7">
        <f>IF(INDEX([1]equip.xml!$B:$B,MATCH(D3945&amp;"",[1]equip.xml!$A:$A,0))=0,0,N3945)</f>
        <v>0</v>
      </c>
      <c r="N3945" s="7">
        <f t="shared" ref="N3945" si="4765">N3857</f>
        <v>60</v>
      </c>
    </row>
    <row r="3946" spans="1:14">
      <c r="A3946" s="7">
        <f t="shared" si="4742"/>
        <v>20017</v>
      </c>
      <c r="B3946" s="7">
        <f t="shared" ref="B3946:C3946" si="4766">B3858</f>
        <v>40000</v>
      </c>
      <c r="C3946" s="7" t="str">
        <f t="shared" si="4766"/>
        <v>装备</v>
      </c>
      <c r="D3946" s="7">
        <v>50600015</v>
      </c>
      <c r="E3946" s="7"/>
      <c r="F3946" s="7">
        <v>1</v>
      </c>
      <c r="G3946" s="8">
        <f>3*INDEX([1]equip.xml!$I:$I,MATCH(D3946,[1]equip.xml!$A:$A,0))</f>
        <v>360000</v>
      </c>
      <c r="H3946" s="7" t="str">
        <f t="shared" si="4758"/>
        <v>10_10,50_20,80_30</v>
      </c>
      <c r="I3946" s="7">
        <v>1</v>
      </c>
      <c r="J3946" s="7">
        <f t="shared" si="4758"/>
        <v>240</v>
      </c>
      <c r="K3946" s="7" t="s">
        <v>312</v>
      </c>
      <c r="L3946" s="7">
        <v>42</v>
      </c>
      <c r="M3946" s="7">
        <f>IF(INDEX([1]equip.xml!$B:$B,MATCH(D3946,[1]equip.xml!$A:$A,0))=0,0,N3946)</f>
        <v>130</v>
      </c>
      <c r="N3946" s="7">
        <f t="shared" ref="N3946" si="4767">N3858</f>
        <v>130</v>
      </c>
    </row>
    <row r="3947" spans="1:14">
      <c r="A3947" s="7">
        <f t="shared" si="4742"/>
        <v>20017</v>
      </c>
      <c r="B3947" s="7">
        <f t="shared" ref="B3947:C3947" si="4768">B3859</f>
        <v>40000</v>
      </c>
      <c r="C3947" s="7" t="str">
        <f t="shared" si="4768"/>
        <v>装备</v>
      </c>
      <c r="D3947" s="7">
        <v>50600025</v>
      </c>
      <c r="E3947" s="7"/>
      <c r="F3947" s="7">
        <v>1</v>
      </c>
      <c r="G3947" s="8">
        <f>3*INDEX([1]equip.xml!$I:$I,MATCH(D3947,[1]equip.xml!$A:$A,0))</f>
        <v>360000</v>
      </c>
      <c r="H3947" s="7" t="str">
        <f t="shared" si="4758"/>
        <v>10_10,50_20,80_30</v>
      </c>
      <c r="I3947" s="7">
        <v>1</v>
      </c>
      <c r="J3947" s="7">
        <f t="shared" si="4758"/>
        <v>240</v>
      </c>
      <c r="K3947" s="7" t="s">
        <v>312</v>
      </c>
      <c r="L3947" s="7">
        <v>42</v>
      </c>
      <c r="M3947" s="7">
        <f>IF(INDEX([1]equip.xml!$B:$B,MATCH(D3947,[1]equip.xml!$A:$A,0))=0,0,N3947)</f>
        <v>130</v>
      </c>
      <c r="N3947" s="7">
        <f t="shared" ref="N3947" si="4769">N3859</f>
        <v>130</v>
      </c>
    </row>
    <row r="3948" spans="1:14">
      <c r="A3948" s="7">
        <f t="shared" si="4742"/>
        <v>20017</v>
      </c>
      <c r="B3948" s="7">
        <f t="shared" ref="B3948:C3948" si="4770">B3860</f>
        <v>40000</v>
      </c>
      <c r="C3948" s="7" t="str">
        <f t="shared" si="4770"/>
        <v>装备</v>
      </c>
      <c r="D3948" s="7">
        <v>50600035</v>
      </c>
      <c r="E3948" s="7"/>
      <c r="F3948" s="7">
        <v>1</v>
      </c>
      <c r="G3948" s="8">
        <f>3*INDEX([1]equip.xml!$I:$I,MATCH(D3948,[1]equip.xml!$A:$A,0))</f>
        <v>360000</v>
      </c>
      <c r="H3948" s="7" t="str">
        <f t="shared" si="4758"/>
        <v>10_10,50_20,80_30</v>
      </c>
      <c r="I3948" s="7">
        <v>1</v>
      </c>
      <c r="J3948" s="7">
        <f t="shared" si="4758"/>
        <v>240</v>
      </c>
      <c r="K3948" s="7" t="s">
        <v>312</v>
      </c>
      <c r="L3948" s="7">
        <v>42</v>
      </c>
      <c r="M3948" s="7">
        <f>IF(INDEX([1]equip.xml!$B:$B,MATCH(D3948,[1]equip.xml!$A:$A,0))=0,0,N3948)</f>
        <v>130</v>
      </c>
      <c r="N3948" s="7">
        <f t="shared" ref="N3948" si="4771">N3860</f>
        <v>130</v>
      </c>
    </row>
    <row r="3949" spans="1:14">
      <c r="A3949" s="7">
        <f t="shared" si="4742"/>
        <v>20017</v>
      </c>
      <c r="B3949" s="7">
        <f t="shared" ref="B3949:C3949" si="4772">B3861</f>
        <v>40000</v>
      </c>
      <c r="C3949" s="7" t="str">
        <f t="shared" si="4772"/>
        <v>装备</v>
      </c>
      <c r="D3949" s="7">
        <v>50600085</v>
      </c>
      <c r="E3949" s="7"/>
      <c r="F3949" s="7">
        <v>1</v>
      </c>
      <c r="G3949" s="8">
        <f>3*INDEX([1]equip.xml!$I:$I,MATCH(D3949,[1]equip.xml!$A:$A,0))</f>
        <v>360000</v>
      </c>
      <c r="H3949" s="7" t="str">
        <f t="shared" si="4758"/>
        <v>10_10,50_20,80_30</v>
      </c>
      <c r="I3949" s="7">
        <v>1</v>
      </c>
      <c r="J3949" s="7">
        <f t="shared" si="4758"/>
        <v>240</v>
      </c>
      <c r="K3949" s="7" t="s">
        <v>312</v>
      </c>
      <c r="L3949" s="7">
        <v>42</v>
      </c>
      <c r="M3949" s="7">
        <f>IF(INDEX([1]equip.xml!$B:$B,MATCH(D3949,[1]equip.xml!$A:$A,0))=0,0,N3949)</f>
        <v>130</v>
      </c>
      <c r="N3949" s="7">
        <f t="shared" ref="N3949" si="4773">N3861</f>
        <v>130</v>
      </c>
    </row>
    <row r="3950" spans="1:14">
      <c r="A3950" s="7">
        <f t="shared" si="4742"/>
        <v>20017</v>
      </c>
      <c r="B3950" s="7">
        <f t="shared" ref="B3950:C3950" si="4774">B3862</f>
        <v>40000</v>
      </c>
      <c r="C3950" s="7" t="str">
        <f t="shared" si="4774"/>
        <v>装备</v>
      </c>
      <c r="D3950" s="7">
        <v>50600095</v>
      </c>
      <c r="E3950" s="7"/>
      <c r="F3950" s="7">
        <v>1</v>
      </c>
      <c r="G3950" s="8">
        <f>3*INDEX([1]equip.xml!$I:$I,MATCH(D3950,[1]equip.xml!$A:$A,0))</f>
        <v>360000</v>
      </c>
      <c r="H3950" s="7" t="str">
        <f t="shared" si="4758"/>
        <v>10_10,50_20,80_30</v>
      </c>
      <c r="I3950" s="7">
        <v>1</v>
      </c>
      <c r="J3950" s="7">
        <f t="shared" si="4758"/>
        <v>240</v>
      </c>
      <c r="K3950" s="7" t="s">
        <v>312</v>
      </c>
      <c r="L3950" s="7">
        <v>42</v>
      </c>
      <c r="M3950" s="7">
        <f>IF(INDEX([1]equip.xml!$B:$B,MATCH(D3950,[1]equip.xml!$A:$A,0))=0,0,N3950)</f>
        <v>130</v>
      </c>
      <c r="N3950" s="7">
        <f t="shared" ref="N3950" si="4775">N3862</f>
        <v>130</v>
      </c>
    </row>
    <row r="3951" spans="1:14">
      <c r="A3951" s="7">
        <f t="shared" si="4742"/>
        <v>20017</v>
      </c>
      <c r="B3951" s="7">
        <f t="shared" ref="B3951:C3951" si="4776">B3863</f>
        <v>40000</v>
      </c>
      <c r="C3951" s="7" t="str">
        <f t="shared" si="4776"/>
        <v>装备</v>
      </c>
      <c r="D3951" s="7">
        <v>50600105</v>
      </c>
      <c r="E3951" s="7"/>
      <c r="F3951" s="7">
        <v>1</v>
      </c>
      <c r="G3951" s="8">
        <f>3*INDEX([1]equip.xml!$I:$I,MATCH(D3951,[1]equip.xml!$A:$A,0))</f>
        <v>360000</v>
      </c>
      <c r="H3951" s="7" t="str">
        <f t="shared" si="4758"/>
        <v>10_10,50_20,80_30</v>
      </c>
      <c r="I3951" s="7">
        <v>1</v>
      </c>
      <c r="J3951" s="7">
        <f t="shared" si="4758"/>
        <v>240</v>
      </c>
      <c r="K3951" s="7" t="s">
        <v>312</v>
      </c>
      <c r="L3951" s="7">
        <v>42</v>
      </c>
      <c r="M3951" s="7">
        <f>IF(INDEX([1]equip.xml!$B:$B,MATCH(D3951,[1]equip.xml!$A:$A,0))=0,0,N3951)</f>
        <v>130</v>
      </c>
      <c r="N3951" s="7">
        <f t="shared" ref="N3951" si="4777">N3863</f>
        <v>130</v>
      </c>
    </row>
    <row r="3952" spans="1:14">
      <c r="A3952" s="7">
        <f t="shared" si="4742"/>
        <v>20017</v>
      </c>
      <c r="B3952" s="7">
        <f t="shared" ref="B3952:C3952" si="4778">B3864</f>
        <v>40000</v>
      </c>
      <c r="C3952" s="7" t="str">
        <f t="shared" si="4778"/>
        <v>装备</v>
      </c>
      <c r="D3952" s="7">
        <v>50601055</v>
      </c>
      <c r="E3952" s="7"/>
      <c r="F3952" s="7">
        <v>1</v>
      </c>
      <c r="G3952" s="8">
        <f>3*INDEX([1]equip.xml!$I:$I,MATCH(D3952,[1]equip.xml!$A:$A,0))</f>
        <v>360000</v>
      </c>
      <c r="H3952" s="7" t="str">
        <f t="shared" si="4758"/>
        <v>10_10,50_20,80_30</v>
      </c>
      <c r="I3952" s="7">
        <v>1</v>
      </c>
      <c r="J3952" s="7">
        <f t="shared" si="4758"/>
        <v>240</v>
      </c>
      <c r="K3952" s="7" t="s">
        <v>312</v>
      </c>
      <c r="L3952" s="7">
        <v>42</v>
      </c>
      <c r="M3952" s="7">
        <f>IF(INDEX([1]equip.xml!$B:$B,MATCH(D3952,[1]equip.xml!$A:$A,0))=0,0,N3952)</f>
        <v>130</v>
      </c>
      <c r="N3952" s="7">
        <f t="shared" ref="N3952" si="4779">N3864</f>
        <v>130</v>
      </c>
    </row>
    <row r="3953" spans="1:14">
      <c r="A3953" s="7">
        <f t="shared" si="4742"/>
        <v>20017</v>
      </c>
      <c r="B3953" s="7">
        <f t="shared" ref="B3953:C3953" si="4780">B3865</f>
        <v>40000</v>
      </c>
      <c r="C3953" s="7" t="str">
        <f t="shared" si="4780"/>
        <v>装备</v>
      </c>
      <c r="D3953" s="7">
        <v>50601056</v>
      </c>
      <c r="E3953" s="7"/>
      <c r="F3953" s="7">
        <v>1</v>
      </c>
      <c r="G3953" s="8">
        <f>3*INDEX([1]equip.xml!$I:$I,MATCH(D3953,[1]equip.xml!$A:$A,0))</f>
        <v>378000</v>
      </c>
      <c r="H3953" s="7" t="str">
        <f t="shared" si="4758"/>
        <v>10_10,50_20,80_30</v>
      </c>
      <c r="I3953" s="7">
        <v>1</v>
      </c>
      <c r="J3953" s="7">
        <f t="shared" si="4758"/>
        <v>240</v>
      </c>
      <c r="K3953" s="7" t="s">
        <v>312</v>
      </c>
      <c r="L3953" s="7">
        <v>42</v>
      </c>
      <c r="M3953" s="7">
        <f>IF(INDEX([1]equip.xml!$B:$B,MATCH(D3953,[1]equip.xml!$A:$A,0))=0,0,N3953)</f>
        <v>130</v>
      </c>
      <c r="N3953" s="7">
        <f t="shared" ref="N3953" si="4781">N3865</f>
        <v>130</v>
      </c>
    </row>
    <row r="3954" spans="1:14">
      <c r="A3954" s="7">
        <f t="shared" si="4742"/>
        <v>20017</v>
      </c>
      <c r="B3954" s="7">
        <f t="shared" ref="B3954:C3954" si="4782">B3866</f>
        <v>40000</v>
      </c>
      <c r="C3954" s="7" t="str">
        <f t="shared" si="4782"/>
        <v>装备</v>
      </c>
      <c r="D3954" s="7">
        <v>50601065</v>
      </c>
      <c r="E3954" s="7"/>
      <c r="F3954" s="7">
        <v>1</v>
      </c>
      <c r="G3954" s="8">
        <f>3*INDEX([1]equip.xml!$I:$I,MATCH(D3954,[1]equip.xml!$A:$A,0))</f>
        <v>360000</v>
      </c>
      <c r="H3954" s="7" t="str">
        <f t="shared" si="4758"/>
        <v>10_10,50_20,80_30</v>
      </c>
      <c r="I3954" s="7">
        <v>1</v>
      </c>
      <c r="J3954" s="7">
        <f t="shared" si="4758"/>
        <v>240</v>
      </c>
      <c r="K3954" s="7" t="s">
        <v>312</v>
      </c>
      <c r="L3954" s="7">
        <v>42</v>
      </c>
      <c r="M3954" s="7">
        <f>IF(INDEX([1]equip.xml!$B:$B,MATCH(D3954,[1]equip.xml!$A:$A,0))=0,0,N3954)</f>
        <v>130</v>
      </c>
      <c r="N3954" s="7">
        <f t="shared" ref="N3954" si="4783">N3866</f>
        <v>130</v>
      </c>
    </row>
    <row r="3955" spans="1:14">
      <c r="A3955" s="7">
        <f t="shared" si="4742"/>
        <v>20017</v>
      </c>
      <c r="B3955" s="7">
        <f t="shared" ref="B3955:C3955" si="4784">B3867</f>
        <v>40000</v>
      </c>
      <c r="C3955" s="7" t="str">
        <f t="shared" si="4784"/>
        <v>装备</v>
      </c>
      <c r="D3955" s="7">
        <v>50601066</v>
      </c>
      <c r="E3955" s="7"/>
      <c r="F3955" s="7">
        <v>1</v>
      </c>
      <c r="G3955" s="8">
        <f>3*INDEX([1]equip.xml!$I:$I,MATCH(D3955,[1]equip.xml!$A:$A,0))</f>
        <v>378000</v>
      </c>
      <c r="H3955" s="7" t="str">
        <f t="shared" si="4758"/>
        <v>10_10,50_20,80_30</v>
      </c>
      <c r="I3955" s="7">
        <v>1</v>
      </c>
      <c r="J3955" s="7">
        <f t="shared" si="4758"/>
        <v>240</v>
      </c>
      <c r="K3955" s="7" t="s">
        <v>312</v>
      </c>
      <c r="L3955" s="7">
        <v>42</v>
      </c>
      <c r="M3955" s="7">
        <f>IF(INDEX([1]equip.xml!$B:$B,MATCH(D3955,[1]equip.xml!$A:$A,0))=0,0,N3955)</f>
        <v>0</v>
      </c>
      <c r="N3955" s="7">
        <f t="shared" ref="N3955" si="4785">N3867</f>
        <v>130</v>
      </c>
    </row>
    <row r="3956" spans="1:14">
      <c r="A3956" s="7">
        <f t="shared" si="4742"/>
        <v>20017</v>
      </c>
      <c r="B3956" s="7">
        <f t="shared" ref="B3956:C3956" si="4786">B3868</f>
        <v>40000</v>
      </c>
      <c r="C3956" s="7" t="str">
        <f t="shared" si="4786"/>
        <v>装备</v>
      </c>
      <c r="D3956" s="7">
        <v>50602055</v>
      </c>
      <c r="E3956" s="7"/>
      <c r="F3956" s="7">
        <v>1</v>
      </c>
      <c r="G3956" s="8">
        <f>3*INDEX([1]equip.xml!$I:$I,MATCH(D3956,[1]equip.xml!$A:$A,0))</f>
        <v>360000</v>
      </c>
      <c r="H3956" s="7" t="str">
        <f t="shared" si="4758"/>
        <v>10_10,50_20,80_30</v>
      </c>
      <c r="I3956" s="7">
        <v>1</v>
      </c>
      <c r="J3956" s="7">
        <f t="shared" si="4758"/>
        <v>240</v>
      </c>
      <c r="K3956" s="7" t="s">
        <v>312</v>
      </c>
      <c r="L3956" s="7">
        <v>42</v>
      </c>
      <c r="M3956" s="7">
        <f>IF(INDEX([1]equip.xml!$B:$B,MATCH(D3956,[1]equip.xml!$A:$A,0))=0,0,N3956)</f>
        <v>130</v>
      </c>
      <c r="N3956" s="7">
        <f t="shared" ref="N3956" si="4787">N3868</f>
        <v>130</v>
      </c>
    </row>
    <row r="3957" spans="1:14">
      <c r="A3957" s="7">
        <f t="shared" si="4742"/>
        <v>20017</v>
      </c>
      <c r="B3957" s="7">
        <f t="shared" ref="B3957:C3957" si="4788">B3869</f>
        <v>40000</v>
      </c>
      <c r="C3957" s="7" t="str">
        <f t="shared" si="4788"/>
        <v>装备</v>
      </c>
      <c r="D3957" s="7">
        <v>50602056</v>
      </c>
      <c r="E3957" s="7"/>
      <c r="F3957" s="7">
        <v>1</v>
      </c>
      <c r="G3957" s="8">
        <f>3*INDEX([1]equip.xml!$I:$I,MATCH(D3957,[1]equip.xml!$A:$A,0))</f>
        <v>378000</v>
      </c>
      <c r="H3957" s="7" t="str">
        <f t="shared" si="4758"/>
        <v>10_10,50_20,80_30</v>
      </c>
      <c r="I3957" s="7">
        <v>1</v>
      </c>
      <c r="J3957" s="7">
        <f t="shared" si="4758"/>
        <v>240</v>
      </c>
      <c r="K3957" s="7" t="s">
        <v>312</v>
      </c>
      <c r="L3957" s="7">
        <v>42</v>
      </c>
      <c r="M3957" s="7">
        <f>IF(INDEX([1]equip.xml!$B:$B,MATCH(D3957,[1]equip.xml!$A:$A,0))=0,0,N3957)</f>
        <v>0</v>
      </c>
      <c r="N3957" s="7">
        <f t="shared" ref="N3957" si="4789">N3869</f>
        <v>130</v>
      </c>
    </row>
    <row r="3958" spans="1:14">
      <c r="A3958" s="7">
        <f t="shared" si="4742"/>
        <v>20017</v>
      </c>
      <c r="B3958" s="7">
        <f t="shared" ref="B3958:C3958" si="4790">B3870</f>
        <v>40000</v>
      </c>
      <c r="C3958" s="7" t="str">
        <f t="shared" si="4790"/>
        <v>装备</v>
      </c>
      <c r="D3958" s="7">
        <v>50602065</v>
      </c>
      <c r="E3958" s="7"/>
      <c r="F3958" s="7">
        <v>1</v>
      </c>
      <c r="G3958" s="8">
        <f>3*INDEX([1]equip.xml!$I:$I,MATCH(D3958,[1]equip.xml!$A:$A,0))</f>
        <v>360000</v>
      </c>
      <c r="H3958" s="7" t="str">
        <f t="shared" ref="H3958:J3973" si="4791">H3870</f>
        <v>10_10,50_20,80_30</v>
      </c>
      <c r="I3958" s="7">
        <v>1</v>
      </c>
      <c r="J3958" s="7">
        <f t="shared" si="4791"/>
        <v>240</v>
      </c>
      <c r="K3958" s="7" t="s">
        <v>312</v>
      </c>
      <c r="L3958" s="7">
        <v>42</v>
      </c>
      <c r="M3958" s="7">
        <f>IF(INDEX([1]equip.xml!$B:$B,MATCH(D3958,[1]equip.xml!$A:$A,0))=0,0,N3958)</f>
        <v>130</v>
      </c>
      <c r="N3958" s="7">
        <f t="shared" ref="N3958" si="4792">N3870</f>
        <v>130</v>
      </c>
    </row>
    <row r="3959" spans="1:14">
      <c r="A3959" s="7">
        <f t="shared" si="4742"/>
        <v>20017</v>
      </c>
      <c r="B3959" s="7">
        <f t="shared" ref="B3959:C3959" si="4793">B3871</f>
        <v>40000</v>
      </c>
      <c r="C3959" s="7" t="str">
        <f t="shared" si="4793"/>
        <v>装备</v>
      </c>
      <c r="D3959" s="7">
        <v>50602066</v>
      </c>
      <c r="E3959" s="7"/>
      <c r="F3959" s="7">
        <v>1</v>
      </c>
      <c r="G3959" s="8">
        <f>3*INDEX([1]equip.xml!$I:$I,MATCH(D3959,[1]equip.xml!$A:$A,0))</f>
        <v>378000</v>
      </c>
      <c r="H3959" s="7" t="str">
        <f t="shared" si="4791"/>
        <v>10_10,50_20,80_30</v>
      </c>
      <c r="I3959" s="7">
        <v>1</v>
      </c>
      <c r="J3959" s="7">
        <f t="shared" si="4791"/>
        <v>240</v>
      </c>
      <c r="K3959" s="7" t="s">
        <v>312</v>
      </c>
      <c r="L3959" s="7">
        <v>42</v>
      </c>
      <c r="M3959" s="7">
        <f>IF(INDEX([1]equip.xml!$B:$B,MATCH(D3959,[1]equip.xml!$A:$A,0))=0,0,N3959)</f>
        <v>0</v>
      </c>
      <c r="N3959" s="7">
        <f t="shared" ref="N3959" si="4794">N3871</f>
        <v>130</v>
      </c>
    </row>
    <row r="3960" spans="1:14">
      <c r="A3960" s="7">
        <f t="shared" si="4742"/>
        <v>20017</v>
      </c>
      <c r="B3960" s="7">
        <f t="shared" ref="B3960:C3960" si="4795">B3872</f>
        <v>40000</v>
      </c>
      <c r="C3960" s="7" t="str">
        <f t="shared" si="4795"/>
        <v>装备</v>
      </c>
      <c r="D3960" s="7">
        <v>50603055</v>
      </c>
      <c r="E3960" s="7"/>
      <c r="F3960" s="7">
        <v>1</v>
      </c>
      <c r="G3960" s="8">
        <f>3*INDEX([1]equip.xml!$I:$I,MATCH(D3960,[1]equip.xml!$A:$A,0))</f>
        <v>360000</v>
      </c>
      <c r="H3960" s="7" t="str">
        <f t="shared" si="4791"/>
        <v>10_10,50_20,80_30</v>
      </c>
      <c r="I3960" s="7">
        <v>1</v>
      </c>
      <c r="J3960" s="7">
        <f t="shared" si="4791"/>
        <v>240</v>
      </c>
      <c r="K3960" s="7" t="s">
        <v>312</v>
      </c>
      <c r="L3960" s="7">
        <v>42</v>
      </c>
      <c r="M3960" s="7">
        <f>IF(INDEX([1]equip.xml!$B:$B,MATCH(D3960,[1]equip.xml!$A:$A,0))=0,0,N3960)</f>
        <v>130</v>
      </c>
      <c r="N3960" s="7">
        <f t="shared" ref="N3960" si="4796">N3872</f>
        <v>130</v>
      </c>
    </row>
    <row r="3961" spans="1:14">
      <c r="A3961" s="7">
        <f t="shared" si="4742"/>
        <v>20017</v>
      </c>
      <c r="B3961" s="7">
        <f t="shared" ref="B3961:C3961" si="4797">B3873</f>
        <v>40000</v>
      </c>
      <c r="C3961" s="7" t="str">
        <f t="shared" si="4797"/>
        <v>装备</v>
      </c>
      <c r="D3961" s="7">
        <v>50603056</v>
      </c>
      <c r="E3961" s="7"/>
      <c r="F3961" s="7">
        <v>1</v>
      </c>
      <c r="G3961" s="8">
        <f>3*INDEX([1]equip.xml!$I:$I,MATCH(D3961,[1]equip.xml!$A:$A,0))</f>
        <v>378000</v>
      </c>
      <c r="H3961" s="7" t="str">
        <f t="shared" si="4791"/>
        <v>10_10,50_20,80_30</v>
      </c>
      <c r="I3961" s="7">
        <v>1</v>
      </c>
      <c r="J3961" s="7">
        <f t="shared" si="4791"/>
        <v>240</v>
      </c>
      <c r="K3961" s="7" t="s">
        <v>312</v>
      </c>
      <c r="L3961" s="7">
        <v>42</v>
      </c>
      <c r="M3961" s="7">
        <f>IF(INDEX([1]equip.xml!$B:$B,MATCH(D3961,[1]equip.xml!$A:$A,0))=0,0,N3961)</f>
        <v>0</v>
      </c>
      <c r="N3961" s="7">
        <f t="shared" ref="N3961" si="4798">N3873</f>
        <v>130</v>
      </c>
    </row>
    <row r="3962" spans="1:14">
      <c r="A3962" s="7">
        <f t="shared" si="4742"/>
        <v>20017</v>
      </c>
      <c r="B3962" s="7">
        <f t="shared" ref="B3962:C3962" si="4799">B3874</f>
        <v>40000</v>
      </c>
      <c r="C3962" s="7" t="str">
        <f t="shared" si="4799"/>
        <v>装备</v>
      </c>
      <c r="D3962" s="7">
        <v>50603065</v>
      </c>
      <c r="E3962" s="7"/>
      <c r="F3962" s="7">
        <v>1</v>
      </c>
      <c r="G3962" s="8">
        <f>3*INDEX([1]equip.xml!$I:$I,MATCH(D3962,[1]equip.xml!$A:$A,0))</f>
        <v>360000</v>
      </c>
      <c r="H3962" s="7" t="str">
        <f t="shared" si="4791"/>
        <v>10_10,50_20,80_30</v>
      </c>
      <c r="I3962" s="7">
        <v>1</v>
      </c>
      <c r="J3962" s="7">
        <f t="shared" si="4791"/>
        <v>240</v>
      </c>
      <c r="K3962" s="7" t="s">
        <v>312</v>
      </c>
      <c r="L3962" s="7">
        <v>42</v>
      </c>
      <c r="M3962" s="7">
        <f>IF(INDEX([1]equip.xml!$B:$B,MATCH(D3962,[1]equip.xml!$A:$A,0))=0,0,N3962)</f>
        <v>130</v>
      </c>
      <c r="N3962" s="7">
        <f t="shared" ref="N3962" si="4800">N3874</f>
        <v>130</v>
      </c>
    </row>
    <row r="3963" spans="1:14">
      <c r="A3963" s="7">
        <f t="shared" si="4742"/>
        <v>20017</v>
      </c>
      <c r="B3963" s="7">
        <f t="shared" ref="B3963:C3963" si="4801">B3875</f>
        <v>40000</v>
      </c>
      <c r="C3963" s="7" t="str">
        <f t="shared" si="4801"/>
        <v>装备</v>
      </c>
      <c r="D3963" s="7">
        <v>50603066</v>
      </c>
      <c r="E3963" s="7"/>
      <c r="F3963" s="7">
        <v>1</v>
      </c>
      <c r="G3963" s="8">
        <f>3*INDEX([1]equip.xml!$I:$I,MATCH(D3963,[1]equip.xml!$A:$A,0))</f>
        <v>378000</v>
      </c>
      <c r="H3963" s="7" t="str">
        <f t="shared" si="4791"/>
        <v>10_10,50_20,80_30</v>
      </c>
      <c r="I3963" s="7">
        <v>1</v>
      </c>
      <c r="J3963" s="7">
        <f t="shared" si="4791"/>
        <v>240</v>
      </c>
      <c r="K3963" s="7" t="s">
        <v>312</v>
      </c>
      <c r="L3963" s="7">
        <v>42</v>
      </c>
      <c r="M3963" s="7">
        <f>IF(INDEX([1]equip.xml!$B:$B,MATCH(D3963,[1]equip.xml!$A:$A,0))=0,0,N3963)</f>
        <v>0</v>
      </c>
      <c r="N3963" s="7">
        <f t="shared" ref="N3963" si="4802">N3875</f>
        <v>130</v>
      </c>
    </row>
    <row r="3964" spans="1:14">
      <c r="A3964" s="7">
        <f t="shared" si="4742"/>
        <v>20017</v>
      </c>
      <c r="B3964" s="7">
        <f t="shared" ref="B3964:C3964" si="4803">B3876</f>
        <v>40000</v>
      </c>
      <c r="C3964" s="7" t="str">
        <f t="shared" si="4803"/>
        <v>装备</v>
      </c>
      <c r="D3964" s="7">
        <v>50600045</v>
      </c>
      <c r="E3964" s="7"/>
      <c r="F3964" s="7">
        <v>1</v>
      </c>
      <c r="G3964" s="8">
        <f>3*INDEX([1]equip.xml!$I:$I,MATCH(D3964,[1]equip.xml!$A:$A,0))</f>
        <v>360000</v>
      </c>
      <c r="H3964" s="7" t="str">
        <f t="shared" si="4791"/>
        <v>10_10,50_20,80_30</v>
      </c>
      <c r="I3964" s="7">
        <v>1</v>
      </c>
      <c r="J3964" s="7">
        <f t="shared" si="4791"/>
        <v>240</v>
      </c>
      <c r="K3964" s="7" t="s">
        <v>312</v>
      </c>
      <c r="L3964" s="7">
        <v>42</v>
      </c>
      <c r="M3964" s="7">
        <f>IF(INDEX([1]equip.xml!$B:$B,MATCH(D3964,[1]equip.xml!$A:$A,0))=0,0,N3964)</f>
        <v>130</v>
      </c>
      <c r="N3964" s="7">
        <f t="shared" ref="N3964" si="4804">N3876</f>
        <v>130</v>
      </c>
    </row>
    <row r="3965" spans="1:14">
      <c r="A3965" s="7">
        <f t="shared" si="4742"/>
        <v>20017</v>
      </c>
      <c r="B3965" s="7">
        <f t="shared" ref="B3965:C3965" si="4805">B3877</f>
        <v>40000</v>
      </c>
      <c r="C3965" s="7" t="str">
        <f t="shared" si="4805"/>
        <v>装备</v>
      </c>
      <c r="D3965" s="7">
        <v>50600046</v>
      </c>
      <c r="E3965" s="7"/>
      <c r="F3965" s="7">
        <v>1</v>
      </c>
      <c r="G3965" s="8">
        <f>3*INDEX([1]equip.xml!$I:$I,MATCH(D3965,[1]equip.xml!$A:$A,0))</f>
        <v>378000</v>
      </c>
      <c r="H3965" s="7" t="str">
        <f t="shared" si="4791"/>
        <v>10_10,50_20,80_30</v>
      </c>
      <c r="I3965" s="7">
        <v>1</v>
      </c>
      <c r="J3965" s="7">
        <f t="shared" si="4791"/>
        <v>240</v>
      </c>
      <c r="K3965" s="7" t="s">
        <v>312</v>
      </c>
      <c r="L3965" s="7">
        <v>42</v>
      </c>
      <c r="M3965" s="7">
        <f>IF(INDEX([1]equip.xml!$B:$B,MATCH(D3965,[1]equip.xml!$A:$A,0))=0,0,N3965)</f>
        <v>0</v>
      </c>
      <c r="N3965" s="7">
        <f t="shared" ref="N3965" si="4806">N3877</f>
        <v>130</v>
      </c>
    </row>
    <row r="3966" spans="1:14">
      <c r="A3966" s="7">
        <f t="shared" si="4742"/>
        <v>20017</v>
      </c>
      <c r="B3966" s="7">
        <f t="shared" ref="B3966:C3966" si="4807">B3878</f>
        <v>40000</v>
      </c>
      <c r="C3966" s="7" t="str">
        <f t="shared" si="4807"/>
        <v>装备</v>
      </c>
      <c r="D3966" s="7">
        <v>50600075</v>
      </c>
      <c r="E3966" s="7"/>
      <c r="F3966" s="7">
        <v>1</v>
      </c>
      <c r="G3966" s="8">
        <f>3*INDEX([1]equip.xml!$I:$I,MATCH(D3966,[1]equip.xml!$A:$A,0))</f>
        <v>360000</v>
      </c>
      <c r="H3966" s="7" t="str">
        <f t="shared" si="4791"/>
        <v>10_10,50_20,80_30</v>
      </c>
      <c r="I3966" s="7">
        <v>1</v>
      </c>
      <c r="J3966" s="7">
        <f t="shared" si="4791"/>
        <v>240</v>
      </c>
      <c r="K3966" s="7" t="s">
        <v>312</v>
      </c>
      <c r="L3966" s="7">
        <v>42</v>
      </c>
      <c r="M3966" s="7">
        <f>IF(INDEX([1]equip.xml!$B:$B,MATCH(D3966,[1]equip.xml!$A:$A,0))=0,0,N3966)</f>
        <v>130</v>
      </c>
      <c r="N3966" s="7">
        <f t="shared" ref="N3966" si="4808">N3878</f>
        <v>130</v>
      </c>
    </row>
    <row r="3967" spans="1:14">
      <c r="A3967" s="7">
        <f t="shared" si="4742"/>
        <v>20017</v>
      </c>
      <c r="B3967" s="7">
        <f t="shared" ref="B3967:C3967" si="4809">B3879</f>
        <v>40000</v>
      </c>
      <c r="C3967" s="7" t="str">
        <f t="shared" si="4809"/>
        <v>装备</v>
      </c>
      <c r="D3967" s="7">
        <v>50600076</v>
      </c>
      <c r="E3967" s="7"/>
      <c r="F3967" s="7">
        <v>1</v>
      </c>
      <c r="G3967" s="8">
        <f>3*INDEX([1]equip.xml!$I:$I,MATCH(D3967,[1]equip.xml!$A:$A,0))</f>
        <v>378000</v>
      </c>
      <c r="H3967" s="7" t="str">
        <f t="shared" si="4791"/>
        <v>10_10,50_20,80_30</v>
      </c>
      <c r="I3967" s="7">
        <v>1</v>
      </c>
      <c r="J3967" s="7">
        <f t="shared" si="4791"/>
        <v>240</v>
      </c>
      <c r="K3967" s="7" t="s">
        <v>312</v>
      </c>
      <c r="L3967" s="7">
        <v>42</v>
      </c>
      <c r="M3967" s="7">
        <f>IF(INDEX([1]equip.xml!$B:$B,MATCH(D3967,[1]equip.xml!$A:$A,0))=0,0,N3967)</f>
        <v>130</v>
      </c>
      <c r="N3967" s="7">
        <f t="shared" ref="N3967" si="4810">N3879</f>
        <v>130</v>
      </c>
    </row>
    <row r="3968" spans="1:14">
      <c r="A3968" s="7">
        <f t="shared" si="4742"/>
        <v>20017</v>
      </c>
      <c r="B3968" s="7">
        <f t="shared" ref="B3968:C3968" si="4811">B3880</f>
        <v>40000</v>
      </c>
      <c r="C3968" s="7" t="str">
        <f t="shared" si="4811"/>
        <v>装备</v>
      </c>
      <c r="D3968" s="7">
        <v>50650015</v>
      </c>
      <c r="E3968" s="7"/>
      <c r="F3968" s="7">
        <v>1</v>
      </c>
      <c r="G3968" s="8">
        <f>3*INDEX([1]equip.xml!$I:$I,MATCH(D3968,[1]equip.xml!$A:$A,0))</f>
        <v>390000</v>
      </c>
      <c r="H3968" s="7" t="str">
        <f t="shared" si="4791"/>
        <v>10_10,50_20,80_30</v>
      </c>
      <c r="I3968" s="7">
        <v>1</v>
      </c>
      <c r="J3968" s="7">
        <f t="shared" si="4791"/>
        <v>240</v>
      </c>
      <c r="K3968" s="7" t="s">
        <v>312</v>
      </c>
      <c r="L3968" s="7">
        <v>42</v>
      </c>
      <c r="M3968" s="7">
        <f>IF(INDEX([1]equip.xml!$B:$B,MATCH(D3968,[1]equip.xml!$A:$A,0))=0,0,N3968)</f>
        <v>50</v>
      </c>
      <c r="N3968" s="7">
        <f t="shared" ref="N3968" si="4812">N3880</f>
        <v>50</v>
      </c>
    </row>
    <row r="3969" spans="1:14">
      <c r="A3969" s="7">
        <f t="shared" si="4742"/>
        <v>20017</v>
      </c>
      <c r="B3969" s="7">
        <f t="shared" ref="B3969:C3969" si="4813">B3881</f>
        <v>40000</v>
      </c>
      <c r="C3969" s="7" t="str">
        <f t="shared" si="4813"/>
        <v>装备</v>
      </c>
      <c r="D3969" s="7">
        <v>50650025</v>
      </c>
      <c r="E3969" s="7"/>
      <c r="F3969" s="7">
        <v>1</v>
      </c>
      <c r="G3969" s="8">
        <f>3*INDEX([1]equip.xml!$I:$I,MATCH(D3969,[1]equip.xml!$A:$A,0))</f>
        <v>390000</v>
      </c>
      <c r="H3969" s="7" t="str">
        <f t="shared" si="4791"/>
        <v>10_10,50_20,80_30</v>
      </c>
      <c r="I3969" s="7">
        <v>1</v>
      </c>
      <c r="J3969" s="7">
        <f t="shared" si="4791"/>
        <v>240</v>
      </c>
      <c r="K3969" s="7" t="s">
        <v>312</v>
      </c>
      <c r="L3969" s="7">
        <v>42</v>
      </c>
      <c r="M3969" s="7">
        <f>IF(INDEX([1]equip.xml!$B:$B,MATCH(D3969,[1]equip.xml!$A:$A,0))=0,0,N3969)</f>
        <v>50</v>
      </c>
      <c r="N3969" s="7">
        <f t="shared" ref="N3969" si="4814">N3881</f>
        <v>50</v>
      </c>
    </row>
    <row r="3970" spans="1:14">
      <c r="A3970" s="7">
        <f t="shared" si="4742"/>
        <v>20017</v>
      </c>
      <c r="B3970" s="7">
        <f t="shared" ref="B3970:C3970" si="4815">B3882</f>
        <v>40000</v>
      </c>
      <c r="C3970" s="7" t="str">
        <f t="shared" si="4815"/>
        <v>装备</v>
      </c>
      <c r="D3970" s="7">
        <v>50650035</v>
      </c>
      <c r="E3970" s="7"/>
      <c r="F3970" s="7">
        <v>1</v>
      </c>
      <c r="G3970" s="8">
        <f>3*INDEX([1]equip.xml!$I:$I,MATCH(D3970,[1]equip.xml!$A:$A,0))</f>
        <v>390000</v>
      </c>
      <c r="H3970" s="7" t="str">
        <f t="shared" si="4791"/>
        <v>10_10,50_20,80_30</v>
      </c>
      <c r="I3970" s="7">
        <v>1</v>
      </c>
      <c r="J3970" s="7">
        <f t="shared" si="4791"/>
        <v>240</v>
      </c>
      <c r="K3970" s="7" t="s">
        <v>312</v>
      </c>
      <c r="L3970" s="7">
        <v>42</v>
      </c>
      <c r="M3970" s="7">
        <f>IF(INDEX([1]equip.xml!$B:$B,MATCH(D3970,[1]equip.xml!$A:$A,0))=0,0,N3970)</f>
        <v>50</v>
      </c>
      <c r="N3970" s="7">
        <f t="shared" ref="N3970" si="4816">N3882</f>
        <v>50</v>
      </c>
    </row>
    <row r="3971" spans="1:14">
      <c r="A3971" s="7">
        <f t="shared" si="4742"/>
        <v>20017</v>
      </c>
      <c r="B3971" s="7">
        <f t="shared" ref="B3971:C3971" si="4817">B3883</f>
        <v>40000</v>
      </c>
      <c r="C3971" s="7" t="str">
        <f t="shared" si="4817"/>
        <v>装备</v>
      </c>
      <c r="D3971" s="7">
        <v>50650085</v>
      </c>
      <c r="E3971" s="7"/>
      <c r="F3971" s="7">
        <v>1</v>
      </c>
      <c r="G3971" s="8">
        <f>3*INDEX([1]equip.xml!$I:$I,MATCH(D3971,[1]equip.xml!$A:$A,0))</f>
        <v>390000</v>
      </c>
      <c r="H3971" s="7" t="str">
        <f t="shared" si="4791"/>
        <v>10_10,50_20,80_30</v>
      </c>
      <c r="I3971" s="7">
        <v>1</v>
      </c>
      <c r="J3971" s="7">
        <f t="shared" si="4791"/>
        <v>240</v>
      </c>
      <c r="K3971" s="7" t="s">
        <v>312</v>
      </c>
      <c r="L3971" s="7">
        <v>42</v>
      </c>
      <c r="M3971" s="7">
        <f>IF(INDEX([1]equip.xml!$B:$B,MATCH(D3971,[1]equip.xml!$A:$A,0))=0,0,N3971)</f>
        <v>50</v>
      </c>
      <c r="N3971" s="7">
        <f t="shared" ref="N3971" si="4818">N3883</f>
        <v>50</v>
      </c>
    </row>
    <row r="3972" spans="1:14">
      <c r="A3972" s="7">
        <f t="shared" si="4742"/>
        <v>20017</v>
      </c>
      <c r="B3972" s="7">
        <f t="shared" ref="B3972:C3972" si="4819">B3884</f>
        <v>40000</v>
      </c>
      <c r="C3972" s="7" t="str">
        <f t="shared" si="4819"/>
        <v>装备</v>
      </c>
      <c r="D3972" s="7">
        <v>50650095</v>
      </c>
      <c r="E3972" s="7"/>
      <c r="F3972" s="7">
        <v>1</v>
      </c>
      <c r="G3972" s="8">
        <f>3*INDEX([1]equip.xml!$I:$I,MATCH(D3972,[1]equip.xml!$A:$A,0))</f>
        <v>390000</v>
      </c>
      <c r="H3972" s="7" t="str">
        <f t="shared" si="4791"/>
        <v>10_10,50_20,80_30</v>
      </c>
      <c r="I3972" s="7">
        <v>1</v>
      </c>
      <c r="J3972" s="7">
        <f t="shared" si="4791"/>
        <v>240</v>
      </c>
      <c r="K3972" s="7" t="s">
        <v>312</v>
      </c>
      <c r="L3972" s="7">
        <v>42</v>
      </c>
      <c r="M3972" s="7">
        <f>IF(INDEX([1]equip.xml!$B:$B,MATCH(D3972,[1]equip.xml!$A:$A,0))=0,0,N3972)</f>
        <v>50</v>
      </c>
      <c r="N3972" s="7">
        <f t="shared" ref="N3972" si="4820">N3884</f>
        <v>50</v>
      </c>
    </row>
    <row r="3973" spans="1:14">
      <c r="A3973" s="7">
        <f t="shared" si="4742"/>
        <v>20017</v>
      </c>
      <c r="B3973" s="7">
        <f t="shared" ref="B3973:C3973" si="4821">B3885</f>
        <v>40000</v>
      </c>
      <c r="C3973" s="7" t="str">
        <f t="shared" si="4821"/>
        <v>装备</v>
      </c>
      <c r="D3973" s="7">
        <v>50650105</v>
      </c>
      <c r="E3973" s="7"/>
      <c r="F3973" s="7">
        <v>1</v>
      </c>
      <c r="G3973" s="8">
        <f>3*INDEX([1]equip.xml!$I:$I,MATCH(D3973,[1]equip.xml!$A:$A,0))</f>
        <v>390000</v>
      </c>
      <c r="H3973" s="7" t="str">
        <f t="shared" si="4791"/>
        <v>10_10,50_20,80_30</v>
      </c>
      <c r="I3973" s="7">
        <v>1</v>
      </c>
      <c r="J3973" s="7">
        <f t="shared" si="4791"/>
        <v>240</v>
      </c>
      <c r="K3973" s="7" t="s">
        <v>312</v>
      </c>
      <c r="L3973" s="7">
        <v>42</v>
      </c>
      <c r="M3973" s="7">
        <f>IF(INDEX([1]equip.xml!$B:$B,MATCH(D3973,[1]equip.xml!$A:$A,0))=0,0,N3973)</f>
        <v>50</v>
      </c>
      <c r="N3973" s="7">
        <f t="shared" ref="N3973" si="4822">N3885</f>
        <v>50</v>
      </c>
    </row>
    <row r="3974" spans="1:14">
      <c r="A3974" s="7">
        <f t="shared" si="4742"/>
        <v>20017</v>
      </c>
      <c r="B3974" s="7">
        <f t="shared" ref="B3974:C3974" si="4823">B3886</f>
        <v>40000</v>
      </c>
      <c r="C3974" s="7" t="str">
        <f t="shared" si="4823"/>
        <v>装备</v>
      </c>
      <c r="D3974" s="7">
        <v>50651055</v>
      </c>
      <c r="E3974" s="7"/>
      <c r="F3974" s="7">
        <v>1</v>
      </c>
      <c r="G3974" s="8">
        <f>3*INDEX([1]equip.xml!$I:$I,MATCH(D3974,[1]equip.xml!$A:$A,0))</f>
        <v>390000</v>
      </c>
      <c r="H3974" s="7" t="str">
        <f t="shared" ref="H3974:J3989" si="4824">H3886</f>
        <v>10_10,50_20,80_30</v>
      </c>
      <c r="I3974" s="7">
        <v>1</v>
      </c>
      <c r="J3974" s="7">
        <f t="shared" si="4824"/>
        <v>240</v>
      </c>
      <c r="K3974" s="7" t="s">
        <v>312</v>
      </c>
      <c r="L3974" s="7">
        <v>42</v>
      </c>
      <c r="M3974" s="7">
        <f>IF(INDEX([1]equip.xml!$B:$B,MATCH(D3974,[1]equip.xml!$A:$A,0))=0,0,N3974)</f>
        <v>50</v>
      </c>
      <c r="N3974" s="7">
        <f t="shared" ref="N3974" si="4825">N3886</f>
        <v>50</v>
      </c>
    </row>
    <row r="3975" spans="1:14">
      <c r="A3975" s="7">
        <f t="shared" si="4742"/>
        <v>20017</v>
      </c>
      <c r="B3975" s="7">
        <f t="shared" ref="B3975:C3975" si="4826">B3887</f>
        <v>40000</v>
      </c>
      <c r="C3975" s="7" t="str">
        <f t="shared" si="4826"/>
        <v>装备</v>
      </c>
      <c r="D3975" s="7">
        <v>50651056</v>
      </c>
      <c r="E3975" s="7"/>
      <c r="F3975" s="7">
        <v>1</v>
      </c>
      <c r="G3975" s="8">
        <f>3*INDEX([1]equip.xml!$I:$I,MATCH(D3975,[1]equip.xml!$A:$A,0))</f>
        <v>408000</v>
      </c>
      <c r="H3975" s="7" t="str">
        <f t="shared" si="4824"/>
        <v>10_10,50_20,80_30</v>
      </c>
      <c r="I3975" s="7">
        <v>1</v>
      </c>
      <c r="J3975" s="7">
        <f t="shared" si="4824"/>
        <v>240</v>
      </c>
      <c r="K3975" s="7" t="s">
        <v>312</v>
      </c>
      <c r="L3975" s="7">
        <v>42</v>
      </c>
      <c r="M3975" s="7">
        <f>IF(INDEX([1]equip.xml!$B:$B,MATCH(D3975,[1]equip.xml!$A:$A,0))=0,0,N3975)</f>
        <v>0</v>
      </c>
      <c r="N3975" s="7">
        <f t="shared" ref="N3975" si="4827">N3887</f>
        <v>50</v>
      </c>
    </row>
    <row r="3976" spans="1:14">
      <c r="A3976" s="7">
        <f t="shared" si="4742"/>
        <v>20017</v>
      </c>
      <c r="B3976" s="7">
        <f t="shared" ref="B3976:C3976" si="4828">B3888</f>
        <v>40000</v>
      </c>
      <c r="C3976" s="7" t="str">
        <f t="shared" si="4828"/>
        <v>装备</v>
      </c>
      <c r="D3976" s="7">
        <v>50651065</v>
      </c>
      <c r="E3976" s="7"/>
      <c r="F3976" s="7">
        <v>1</v>
      </c>
      <c r="G3976" s="8">
        <f>3*INDEX([1]equip.xml!$I:$I,MATCH(D3976,[1]equip.xml!$A:$A,0))</f>
        <v>390000</v>
      </c>
      <c r="H3976" s="7" t="str">
        <f t="shared" si="4824"/>
        <v>10_10,50_20,80_30</v>
      </c>
      <c r="I3976" s="7">
        <v>1</v>
      </c>
      <c r="J3976" s="7">
        <f t="shared" si="4824"/>
        <v>240</v>
      </c>
      <c r="K3976" s="7" t="s">
        <v>312</v>
      </c>
      <c r="L3976" s="7">
        <v>42</v>
      </c>
      <c r="M3976" s="7">
        <f>IF(INDEX([1]equip.xml!$B:$B,MATCH(D3976,[1]equip.xml!$A:$A,0))=0,0,N3976)</f>
        <v>50</v>
      </c>
      <c r="N3976" s="7">
        <f t="shared" ref="N3976" si="4829">N3888</f>
        <v>50</v>
      </c>
    </row>
    <row r="3977" spans="1:14">
      <c r="A3977" s="7">
        <f t="shared" si="4742"/>
        <v>20017</v>
      </c>
      <c r="B3977" s="7">
        <f t="shared" ref="B3977:C3977" si="4830">B3889</f>
        <v>40000</v>
      </c>
      <c r="C3977" s="7" t="str">
        <f t="shared" si="4830"/>
        <v>装备</v>
      </c>
      <c r="D3977" s="7">
        <v>50651066</v>
      </c>
      <c r="E3977" s="7"/>
      <c r="F3977" s="7">
        <v>1</v>
      </c>
      <c r="G3977" s="8">
        <f>3*INDEX([1]equip.xml!$I:$I,MATCH(D3977,[1]equip.xml!$A:$A,0))</f>
        <v>408000</v>
      </c>
      <c r="H3977" s="7" t="str">
        <f t="shared" si="4824"/>
        <v>10_10,50_20,80_30</v>
      </c>
      <c r="I3977" s="7">
        <v>1</v>
      </c>
      <c r="J3977" s="7">
        <f t="shared" si="4824"/>
        <v>240</v>
      </c>
      <c r="K3977" s="7" t="s">
        <v>312</v>
      </c>
      <c r="L3977" s="7">
        <v>42</v>
      </c>
      <c r="M3977" s="7">
        <f>IF(INDEX([1]equip.xml!$B:$B,MATCH(D3977,[1]equip.xml!$A:$A,0))=0,0,N3977)</f>
        <v>0</v>
      </c>
      <c r="N3977" s="7">
        <f t="shared" ref="N3977" si="4831">N3889</f>
        <v>50</v>
      </c>
    </row>
    <row r="3978" spans="1:14">
      <c r="A3978" s="7">
        <f t="shared" si="4742"/>
        <v>20017</v>
      </c>
      <c r="B3978" s="7">
        <f t="shared" ref="B3978:C3978" si="4832">B3890</f>
        <v>40000</v>
      </c>
      <c r="C3978" s="7" t="str">
        <f t="shared" si="4832"/>
        <v>装备</v>
      </c>
      <c r="D3978" s="7">
        <v>50652055</v>
      </c>
      <c r="E3978" s="7"/>
      <c r="F3978" s="7">
        <v>1</v>
      </c>
      <c r="G3978" s="8">
        <f>3*INDEX([1]equip.xml!$I:$I,MATCH(D3978,[1]equip.xml!$A:$A,0))</f>
        <v>390000</v>
      </c>
      <c r="H3978" s="7" t="str">
        <f t="shared" si="4824"/>
        <v>10_10,50_20,80_30</v>
      </c>
      <c r="I3978" s="7">
        <v>1</v>
      </c>
      <c r="J3978" s="7">
        <f t="shared" si="4824"/>
        <v>240</v>
      </c>
      <c r="K3978" s="7" t="s">
        <v>312</v>
      </c>
      <c r="L3978" s="7">
        <v>42</v>
      </c>
      <c r="M3978" s="7">
        <f>IF(INDEX([1]equip.xml!$B:$B,MATCH(D3978,[1]equip.xml!$A:$A,0))=0,0,N3978)</f>
        <v>50</v>
      </c>
      <c r="N3978" s="7">
        <f t="shared" ref="N3978" si="4833">N3890</f>
        <v>50</v>
      </c>
    </row>
    <row r="3979" spans="1:14">
      <c r="A3979" s="7">
        <f t="shared" si="4742"/>
        <v>20017</v>
      </c>
      <c r="B3979" s="7">
        <f t="shared" ref="B3979:C3979" si="4834">B3891</f>
        <v>40000</v>
      </c>
      <c r="C3979" s="7" t="str">
        <f t="shared" si="4834"/>
        <v>装备</v>
      </c>
      <c r="D3979" s="7">
        <v>50652056</v>
      </c>
      <c r="E3979" s="7"/>
      <c r="F3979" s="7">
        <v>1</v>
      </c>
      <c r="G3979" s="8">
        <f>3*INDEX([1]equip.xml!$I:$I,MATCH(D3979,[1]equip.xml!$A:$A,0))</f>
        <v>408000</v>
      </c>
      <c r="H3979" s="7" t="str">
        <f t="shared" si="4824"/>
        <v>10_10,50_20,80_30</v>
      </c>
      <c r="I3979" s="7">
        <v>1</v>
      </c>
      <c r="J3979" s="7">
        <f t="shared" si="4824"/>
        <v>240</v>
      </c>
      <c r="K3979" s="7" t="s">
        <v>312</v>
      </c>
      <c r="L3979" s="7">
        <v>42</v>
      </c>
      <c r="M3979" s="7">
        <f>IF(INDEX([1]equip.xml!$B:$B,MATCH(D3979,[1]equip.xml!$A:$A,0))=0,0,N3979)</f>
        <v>0</v>
      </c>
      <c r="N3979" s="7">
        <f t="shared" ref="N3979" si="4835">N3891</f>
        <v>50</v>
      </c>
    </row>
    <row r="3980" spans="1:14">
      <c r="A3980" s="7">
        <f t="shared" si="4742"/>
        <v>20017</v>
      </c>
      <c r="B3980" s="7">
        <f t="shared" ref="B3980:C3980" si="4836">B3892</f>
        <v>40000</v>
      </c>
      <c r="C3980" s="7" t="str">
        <f t="shared" si="4836"/>
        <v>装备</v>
      </c>
      <c r="D3980" s="7">
        <v>50652065</v>
      </c>
      <c r="E3980" s="7"/>
      <c r="F3980" s="7">
        <v>1</v>
      </c>
      <c r="G3980" s="8">
        <f>3*INDEX([1]equip.xml!$I:$I,MATCH(D3980,[1]equip.xml!$A:$A,0))</f>
        <v>390000</v>
      </c>
      <c r="H3980" s="7" t="str">
        <f t="shared" si="4824"/>
        <v>10_10,50_20,80_30</v>
      </c>
      <c r="I3980" s="7">
        <v>1</v>
      </c>
      <c r="J3980" s="7">
        <f t="shared" si="4824"/>
        <v>240</v>
      </c>
      <c r="K3980" s="7" t="s">
        <v>312</v>
      </c>
      <c r="L3980" s="7">
        <v>42</v>
      </c>
      <c r="M3980" s="7">
        <f>IF(INDEX([1]equip.xml!$B:$B,MATCH(D3980,[1]equip.xml!$A:$A,0))=0,0,N3980)</f>
        <v>50</v>
      </c>
      <c r="N3980" s="7">
        <f t="shared" ref="N3980" si="4837">N3892</f>
        <v>50</v>
      </c>
    </row>
    <row r="3981" spans="1:14">
      <c r="A3981" s="7">
        <f t="shared" si="4742"/>
        <v>20017</v>
      </c>
      <c r="B3981" s="7">
        <f t="shared" ref="B3981:C3981" si="4838">B3893</f>
        <v>40000</v>
      </c>
      <c r="C3981" s="7" t="str">
        <f t="shared" si="4838"/>
        <v>装备</v>
      </c>
      <c r="D3981" s="7">
        <v>50652066</v>
      </c>
      <c r="E3981" s="7"/>
      <c r="F3981" s="7">
        <v>1</v>
      </c>
      <c r="G3981" s="8">
        <f>3*INDEX([1]equip.xml!$I:$I,MATCH(D3981,[1]equip.xml!$A:$A,0))</f>
        <v>408000</v>
      </c>
      <c r="H3981" s="7" t="str">
        <f t="shared" si="4824"/>
        <v>10_10,50_20,80_30</v>
      </c>
      <c r="I3981" s="7">
        <v>1</v>
      </c>
      <c r="J3981" s="7">
        <f t="shared" si="4824"/>
        <v>240</v>
      </c>
      <c r="K3981" s="7" t="s">
        <v>312</v>
      </c>
      <c r="L3981" s="7">
        <v>42</v>
      </c>
      <c r="M3981" s="7">
        <f>IF(INDEX([1]equip.xml!$B:$B,MATCH(D3981,[1]equip.xml!$A:$A,0))=0,0,N3981)</f>
        <v>0</v>
      </c>
      <c r="N3981" s="7">
        <f t="shared" ref="N3981" si="4839">N3893</f>
        <v>50</v>
      </c>
    </row>
    <row r="3982" spans="1:14">
      <c r="A3982" s="7">
        <f t="shared" si="4742"/>
        <v>20017</v>
      </c>
      <c r="B3982" s="7">
        <f t="shared" ref="B3982:C3982" si="4840">B3894</f>
        <v>40000</v>
      </c>
      <c r="C3982" s="7" t="str">
        <f t="shared" si="4840"/>
        <v>装备</v>
      </c>
      <c r="D3982" s="7">
        <v>50653055</v>
      </c>
      <c r="E3982" s="7"/>
      <c r="F3982" s="7">
        <v>1</v>
      </c>
      <c r="G3982" s="8">
        <f>3*INDEX([1]equip.xml!$I:$I,MATCH(D3982,[1]equip.xml!$A:$A,0))</f>
        <v>390000</v>
      </c>
      <c r="H3982" s="7" t="str">
        <f t="shared" si="4824"/>
        <v>10_10,50_20,80_30</v>
      </c>
      <c r="I3982" s="7">
        <v>1</v>
      </c>
      <c r="J3982" s="7">
        <f t="shared" si="4824"/>
        <v>240</v>
      </c>
      <c r="K3982" s="7" t="s">
        <v>312</v>
      </c>
      <c r="L3982" s="7">
        <v>42</v>
      </c>
      <c r="M3982" s="7">
        <f>IF(INDEX([1]equip.xml!$B:$B,MATCH(D3982,[1]equip.xml!$A:$A,0))=0,0,N3982)</f>
        <v>50</v>
      </c>
      <c r="N3982" s="7">
        <f t="shared" ref="N3982" si="4841">N3894</f>
        <v>50</v>
      </c>
    </row>
    <row r="3983" spans="1:14">
      <c r="A3983" s="7">
        <f t="shared" si="4742"/>
        <v>20017</v>
      </c>
      <c r="B3983" s="7">
        <f t="shared" ref="B3983:C3983" si="4842">B3895</f>
        <v>40000</v>
      </c>
      <c r="C3983" s="7" t="str">
        <f t="shared" si="4842"/>
        <v>装备</v>
      </c>
      <c r="D3983" s="7">
        <v>50653056</v>
      </c>
      <c r="E3983" s="7"/>
      <c r="F3983" s="7">
        <v>1</v>
      </c>
      <c r="G3983" s="8">
        <f>3*INDEX([1]equip.xml!$I:$I,MATCH(D3983,[1]equip.xml!$A:$A,0))</f>
        <v>408000</v>
      </c>
      <c r="H3983" s="7" t="str">
        <f t="shared" si="4824"/>
        <v>10_10,50_20,80_30</v>
      </c>
      <c r="I3983" s="7">
        <v>1</v>
      </c>
      <c r="J3983" s="7">
        <f t="shared" si="4824"/>
        <v>240</v>
      </c>
      <c r="K3983" s="7" t="s">
        <v>312</v>
      </c>
      <c r="L3983" s="7">
        <v>42</v>
      </c>
      <c r="M3983" s="7">
        <f>IF(INDEX([1]equip.xml!$B:$B,MATCH(D3983,[1]equip.xml!$A:$A,0))=0,0,N3983)</f>
        <v>0</v>
      </c>
      <c r="N3983" s="7">
        <f t="shared" ref="N3983" si="4843">N3895</f>
        <v>50</v>
      </c>
    </row>
    <row r="3984" spans="1:14">
      <c r="A3984" s="7">
        <f t="shared" si="4742"/>
        <v>20017</v>
      </c>
      <c r="B3984" s="7">
        <f t="shared" ref="B3984:C3984" si="4844">B3896</f>
        <v>40000</v>
      </c>
      <c r="C3984" s="7" t="str">
        <f t="shared" si="4844"/>
        <v>装备</v>
      </c>
      <c r="D3984" s="7">
        <v>50653065</v>
      </c>
      <c r="E3984" s="7"/>
      <c r="F3984" s="7">
        <v>1</v>
      </c>
      <c r="G3984" s="8">
        <f>3*INDEX([1]equip.xml!$I:$I,MATCH(D3984,[1]equip.xml!$A:$A,0))</f>
        <v>390000</v>
      </c>
      <c r="H3984" s="7" t="str">
        <f t="shared" si="4824"/>
        <v>10_10,50_20,80_30</v>
      </c>
      <c r="I3984" s="7">
        <v>1</v>
      </c>
      <c r="J3984" s="7">
        <f t="shared" si="4824"/>
        <v>240</v>
      </c>
      <c r="K3984" s="7" t="s">
        <v>312</v>
      </c>
      <c r="L3984" s="7">
        <v>42</v>
      </c>
      <c r="M3984" s="7">
        <f>IF(INDEX([1]equip.xml!$B:$B,MATCH(D3984,[1]equip.xml!$A:$A,0))=0,0,N3984)</f>
        <v>50</v>
      </c>
      <c r="N3984" s="7">
        <f t="shared" ref="N3984" si="4845">N3896</f>
        <v>50</v>
      </c>
    </row>
    <row r="3985" spans="1:14">
      <c r="A3985" s="7">
        <f t="shared" si="4742"/>
        <v>20017</v>
      </c>
      <c r="B3985" s="7">
        <f t="shared" ref="B3985:C3985" si="4846">B3897</f>
        <v>40000</v>
      </c>
      <c r="C3985" s="7" t="str">
        <f t="shared" si="4846"/>
        <v>装备</v>
      </c>
      <c r="D3985" s="7">
        <v>50653066</v>
      </c>
      <c r="E3985" s="7"/>
      <c r="F3985" s="7">
        <v>1</v>
      </c>
      <c r="G3985" s="8">
        <f>3*INDEX([1]equip.xml!$I:$I,MATCH(D3985,[1]equip.xml!$A:$A,0))</f>
        <v>408000</v>
      </c>
      <c r="H3985" s="7" t="str">
        <f t="shared" si="4824"/>
        <v>10_10,50_20,80_30</v>
      </c>
      <c r="I3985" s="7">
        <v>1</v>
      </c>
      <c r="J3985" s="7">
        <f t="shared" si="4824"/>
        <v>240</v>
      </c>
      <c r="K3985" s="7" t="s">
        <v>312</v>
      </c>
      <c r="L3985" s="7">
        <v>42</v>
      </c>
      <c r="M3985" s="7">
        <f>IF(INDEX([1]equip.xml!$B:$B,MATCH(D3985,[1]equip.xml!$A:$A,0))=0,0,N3985)</f>
        <v>0</v>
      </c>
      <c r="N3985" s="7">
        <f t="shared" ref="N3985" si="4847">N3897</f>
        <v>50</v>
      </c>
    </row>
    <row r="3986" spans="1:14">
      <c r="A3986" s="7">
        <f t="shared" si="4742"/>
        <v>20017</v>
      </c>
      <c r="B3986" s="7">
        <f t="shared" ref="B3986:C3986" si="4848">B3898</f>
        <v>40000</v>
      </c>
      <c r="C3986" s="7" t="str">
        <f t="shared" si="4848"/>
        <v>装备</v>
      </c>
      <c r="D3986" s="7">
        <v>50650045</v>
      </c>
      <c r="E3986" s="7"/>
      <c r="F3986" s="7">
        <v>1</v>
      </c>
      <c r="G3986" s="8">
        <f>3*INDEX([1]equip.xml!$I:$I,MATCH(D3986,[1]equip.xml!$A:$A,0))</f>
        <v>390000</v>
      </c>
      <c r="H3986" s="7" t="str">
        <f t="shared" si="4824"/>
        <v>10_10,50_20,80_30</v>
      </c>
      <c r="I3986" s="7">
        <v>1</v>
      </c>
      <c r="J3986" s="7">
        <f t="shared" si="4824"/>
        <v>240</v>
      </c>
      <c r="K3986" s="7" t="s">
        <v>312</v>
      </c>
      <c r="L3986" s="7">
        <v>42</v>
      </c>
      <c r="M3986" s="7">
        <f>IF(INDEX([1]equip.xml!$B:$B,MATCH(D3986,[1]equip.xml!$A:$A,0))=0,0,N3986)</f>
        <v>50</v>
      </c>
      <c r="N3986" s="7">
        <f t="shared" ref="N3986" si="4849">N3898</f>
        <v>50</v>
      </c>
    </row>
    <row r="3987" spans="1:14">
      <c r="A3987" s="7">
        <f t="shared" si="4742"/>
        <v>20017</v>
      </c>
      <c r="B3987" s="7">
        <f t="shared" ref="B3987:C3987" si="4850">B3899</f>
        <v>40000</v>
      </c>
      <c r="C3987" s="7" t="str">
        <f t="shared" si="4850"/>
        <v>装备</v>
      </c>
      <c r="D3987" s="7">
        <v>50650046</v>
      </c>
      <c r="E3987" s="7"/>
      <c r="F3987" s="7">
        <v>1</v>
      </c>
      <c r="G3987" s="8">
        <f>3*INDEX([1]equip.xml!$I:$I,MATCH(D3987,[1]equip.xml!$A:$A,0))</f>
        <v>408000</v>
      </c>
      <c r="H3987" s="7" t="str">
        <f t="shared" si="4824"/>
        <v>10_10,50_20,80_30</v>
      </c>
      <c r="I3987" s="7">
        <v>1</v>
      </c>
      <c r="J3987" s="7">
        <f t="shared" si="4824"/>
        <v>240</v>
      </c>
      <c r="K3987" s="7" t="s">
        <v>312</v>
      </c>
      <c r="L3987" s="7">
        <v>42</v>
      </c>
      <c r="M3987" s="7">
        <f>IF(INDEX([1]equip.xml!$B:$B,MATCH(D3987,[1]equip.xml!$A:$A,0))=0,0,N3987)</f>
        <v>0</v>
      </c>
      <c r="N3987" s="7">
        <f t="shared" ref="N3987" si="4851">N3899</f>
        <v>50</v>
      </c>
    </row>
    <row r="3988" spans="1:14">
      <c r="A3988" s="7">
        <f t="shared" si="4742"/>
        <v>20017</v>
      </c>
      <c r="B3988" s="7">
        <f t="shared" ref="B3988:C3988" si="4852">B3900</f>
        <v>40000</v>
      </c>
      <c r="C3988" s="7" t="str">
        <f t="shared" si="4852"/>
        <v>装备</v>
      </c>
      <c r="D3988" s="7">
        <v>50650075</v>
      </c>
      <c r="E3988" s="7"/>
      <c r="F3988" s="7">
        <v>1</v>
      </c>
      <c r="G3988" s="8">
        <f>3*INDEX([1]equip.xml!$I:$I,MATCH(D3988,[1]equip.xml!$A:$A,0))</f>
        <v>390000</v>
      </c>
      <c r="H3988" s="7" t="str">
        <f t="shared" si="4824"/>
        <v>10_10,50_20,80_30</v>
      </c>
      <c r="I3988" s="7">
        <v>1</v>
      </c>
      <c r="J3988" s="7">
        <f t="shared" si="4824"/>
        <v>240</v>
      </c>
      <c r="K3988" s="7" t="s">
        <v>312</v>
      </c>
      <c r="L3988" s="7">
        <v>42</v>
      </c>
      <c r="M3988" s="7">
        <f>IF(INDEX([1]equip.xml!$B:$B,MATCH(D3988,[1]equip.xml!$A:$A,0))=0,0,N3988)</f>
        <v>50</v>
      </c>
      <c r="N3988" s="7">
        <f t="shared" ref="N3988" si="4853">N3900</f>
        <v>50</v>
      </c>
    </row>
    <row r="3989" spans="1:14">
      <c r="A3989" s="7">
        <f t="shared" si="4742"/>
        <v>20017</v>
      </c>
      <c r="B3989" s="7">
        <f t="shared" ref="B3989:C3989" si="4854">B3901</f>
        <v>40000</v>
      </c>
      <c r="C3989" s="7" t="str">
        <f t="shared" si="4854"/>
        <v>装备</v>
      </c>
      <c r="D3989" s="7">
        <v>50650076</v>
      </c>
      <c r="E3989" s="7"/>
      <c r="F3989" s="7">
        <v>1</v>
      </c>
      <c r="G3989" s="8">
        <f>3*INDEX([1]equip.xml!$I:$I,MATCH(D3989,[1]equip.xml!$A:$A,0))</f>
        <v>408000</v>
      </c>
      <c r="H3989" s="7" t="str">
        <f t="shared" si="4824"/>
        <v>10_10,50_20,80_30</v>
      </c>
      <c r="I3989" s="7">
        <v>1</v>
      </c>
      <c r="J3989" s="7">
        <f t="shared" si="4824"/>
        <v>240</v>
      </c>
      <c r="K3989" s="7" t="s">
        <v>312</v>
      </c>
      <c r="L3989" s="7">
        <v>42</v>
      </c>
      <c r="M3989" s="7">
        <f>IF(INDEX([1]equip.xml!$B:$B,MATCH(D3989,[1]equip.xml!$A:$A,0))=0,0,N3989)</f>
        <v>0</v>
      </c>
      <c r="N3989" s="7">
        <f t="shared" ref="N3989" si="4855">N3901</f>
        <v>50</v>
      </c>
    </row>
    <row r="3990" spans="1:14">
      <c r="A3990" s="7">
        <f t="shared" si="4742"/>
        <v>20018</v>
      </c>
      <c r="B3990" s="8">
        <f t="shared" ref="B3990:C3990" si="4856">B3902</f>
        <v>40000</v>
      </c>
      <c r="C3990" s="8" t="str">
        <f t="shared" si="4856"/>
        <v>装备</v>
      </c>
      <c r="D3990" s="8">
        <v>40650010</v>
      </c>
      <c r="E3990" s="8"/>
      <c r="F3990" s="8">
        <v>1</v>
      </c>
      <c r="G3990" s="7">
        <f>3*INDEX([1]equip.xml!$I:$I,MATCH(D3990&amp;"",[1]equip.xml!$A:$A,0))</f>
        <v>195000</v>
      </c>
      <c r="H3990" s="8" t="str">
        <f t="shared" ref="H3990:J4005" si="4857">H3902</f>
        <v>10_10,50_20,80_30</v>
      </c>
      <c r="I3990" s="8">
        <v>6</v>
      </c>
      <c r="J3990" s="8">
        <f t="shared" si="4857"/>
        <v>50</v>
      </c>
      <c r="K3990" s="7" t="s">
        <v>312</v>
      </c>
      <c r="L3990" s="8">
        <v>44</v>
      </c>
      <c r="M3990" s="7">
        <f>IF(INDEX([1]equip.xml!$B:$B,MATCH(D3990&amp;"",[1]equip.xml!$A:$A,0))=0,0,N3990)</f>
        <v>130</v>
      </c>
      <c r="N3990" s="8">
        <v>130</v>
      </c>
    </row>
    <row r="3991" spans="1:14">
      <c r="A3991" s="7">
        <f t="shared" si="4742"/>
        <v>20018</v>
      </c>
      <c r="B3991" s="8">
        <f t="shared" ref="B3991:C3991" si="4858">B3903</f>
        <v>40000</v>
      </c>
      <c r="C3991" s="8" t="str">
        <f t="shared" si="4858"/>
        <v>装备</v>
      </c>
      <c r="D3991" s="8">
        <v>40650020</v>
      </c>
      <c r="E3991" s="8"/>
      <c r="F3991" s="8">
        <v>1</v>
      </c>
      <c r="G3991" s="7">
        <f>3*INDEX([1]equip.xml!$I:$I,MATCH(D3991&amp;"",[1]equip.xml!$A:$A,0))</f>
        <v>195000</v>
      </c>
      <c r="H3991" s="8" t="str">
        <f t="shared" si="4857"/>
        <v>10_10,50_20,80_30</v>
      </c>
      <c r="I3991" s="8">
        <v>6</v>
      </c>
      <c r="J3991" s="8">
        <f t="shared" si="4857"/>
        <v>50</v>
      </c>
      <c r="K3991" s="7" t="s">
        <v>312</v>
      </c>
      <c r="L3991" s="8">
        <v>44</v>
      </c>
      <c r="M3991" s="7">
        <f>IF(INDEX([1]equip.xml!$B:$B,MATCH(D3991&amp;"",[1]equip.xml!$A:$A,0))=0,0,N3991)</f>
        <v>130</v>
      </c>
      <c r="N3991" s="8">
        <v>130</v>
      </c>
    </row>
    <row r="3992" spans="1:14">
      <c r="A3992" s="7">
        <f t="shared" si="4742"/>
        <v>20018</v>
      </c>
      <c r="B3992" s="8">
        <f t="shared" ref="B3992:C3992" si="4859">B3904</f>
        <v>40000</v>
      </c>
      <c r="C3992" s="8" t="str">
        <f t="shared" si="4859"/>
        <v>装备</v>
      </c>
      <c r="D3992" s="8">
        <v>40650030</v>
      </c>
      <c r="E3992" s="8"/>
      <c r="F3992" s="8">
        <v>1</v>
      </c>
      <c r="G3992" s="7">
        <f>3*INDEX([1]equip.xml!$I:$I,MATCH(D3992&amp;"",[1]equip.xml!$A:$A,0))</f>
        <v>195000</v>
      </c>
      <c r="H3992" s="8" t="str">
        <f t="shared" si="4857"/>
        <v>10_10,50_20,80_30</v>
      </c>
      <c r="I3992" s="8">
        <v>6</v>
      </c>
      <c r="J3992" s="8">
        <f t="shared" si="4857"/>
        <v>50</v>
      </c>
      <c r="K3992" s="7" t="s">
        <v>312</v>
      </c>
      <c r="L3992" s="8">
        <v>44</v>
      </c>
      <c r="M3992" s="7">
        <f>IF(INDEX([1]equip.xml!$B:$B,MATCH(D3992&amp;"",[1]equip.xml!$A:$A,0))=0,0,N3992)</f>
        <v>130</v>
      </c>
      <c r="N3992" s="8">
        <v>130</v>
      </c>
    </row>
    <row r="3993" spans="1:14">
      <c r="A3993" s="7">
        <f t="shared" si="4742"/>
        <v>20018</v>
      </c>
      <c r="B3993" s="8">
        <f t="shared" ref="B3993:C3993" si="4860">B3905</f>
        <v>40000</v>
      </c>
      <c r="C3993" s="8" t="str">
        <f t="shared" si="4860"/>
        <v>装备</v>
      </c>
      <c r="D3993" s="8">
        <v>40650080</v>
      </c>
      <c r="E3993" s="8"/>
      <c r="F3993" s="8">
        <v>1</v>
      </c>
      <c r="G3993" s="7">
        <f>3*INDEX([1]equip.xml!$I:$I,MATCH(D3993&amp;"",[1]equip.xml!$A:$A,0))</f>
        <v>195000</v>
      </c>
      <c r="H3993" s="8" t="str">
        <f t="shared" si="4857"/>
        <v>10_10,50_20,80_30</v>
      </c>
      <c r="I3993" s="8">
        <v>6</v>
      </c>
      <c r="J3993" s="8">
        <f t="shared" si="4857"/>
        <v>50</v>
      </c>
      <c r="K3993" s="7" t="s">
        <v>312</v>
      </c>
      <c r="L3993" s="8">
        <v>44</v>
      </c>
      <c r="M3993" s="7">
        <f>IF(INDEX([1]equip.xml!$B:$B,MATCH(D3993&amp;"",[1]equip.xml!$A:$A,0))=0,0,N3993)</f>
        <v>130</v>
      </c>
      <c r="N3993" s="8">
        <v>130</v>
      </c>
    </row>
    <row r="3994" spans="1:14">
      <c r="A3994" s="7">
        <f t="shared" si="4742"/>
        <v>20018</v>
      </c>
      <c r="B3994" s="8">
        <f t="shared" ref="B3994:C3994" si="4861">B3906</f>
        <v>40000</v>
      </c>
      <c r="C3994" s="8" t="str">
        <f t="shared" si="4861"/>
        <v>装备</v>
      </c>
      <c r="D3994" s="8">
        <v>40650090</v>
      </c>
      <c r="E3994" s="8"/>
      <c r="F3994" s="8">
        <v>1</v>
      </c>
      <c r="G3994" s="7">
        <f>3*INDEX([1]equip.xml!$I:$I,MATCH(D3994&amp;"",[1]equip.xml!$A:$A,0))</f>
        <v>195000</v>
      </c>
      <c r="H3994" s="8" t="str">
        <f t="shared" si="4857"/>
        <v>10_10,50_20,80_30</v>
      </c>
      <c r="I3994" s="8">
        <v>6</v>
      </c>
      <c r="J3994" s="8">
        <f t="shared" si="4857"/>
        <v>50</v>
      </c>
      <c r="K3994" s="7" t="s">
        <v>312</v>
      </c>
      <c r="L3994" s="8">
        <v>44</v>
      </c>
      <c r="M3994" s="7">
        <f>IF(INDEX([1]equip.xml!$B:$B,MATCH(D3994&amp;"",[1]equip.xml!$A:$A,0))=0,0,N3994)</f>
        <v>130</v>
      </c>
      <c r="N3994" s="8">
        <v>130</v>
      </c>
    </row>
    <row r="3995" spans="1:14">
      <c r="A3995" s="7">
        <f t="shared" si="4742"/>
        <v>20018</v>
      </c>
      <c r="B3995" s="8">
        <f t="shared" ref="B3995:C3995" si="4862">B3907</f>
        <v>40000</v>
      </c>
      <c r="C3995" s="8" t="str">
        <f t="shared" si="4862"/>
        <v>装备</v>
      </c>
      <c r="D3995" s="8">
        <v>40650100</v>
      </c>
      <c r="E3995" s="8"/>
      <c r="F3995" s="8">
        <v>1</v>
      </c>
      <c r="G3995" s="7">
        <f>3*INDEX([1]equip.xml!$I:$I,MATCH(D3995&amp;"",[1]equip.xml!$A:$A,0))</f>
        <v>195000</v>
      </c>
      <c r="H3995" s="8" t="str">
        <f t="shared" si="4857"/>
        <v>10_10,50_20,80_30</v>
      </c>
      <c r="I3995" s="8">
        <v>6</v>
      </c>
      <c r="J3995" s="8">
        <f t="shared" si="4857"/>
        <v>50</v>
      </c>
      <c r="K3995" s="7" t="s">
        <v>312</v>
      </c>
      <c r="L3995" s="8">
        <v>44</v>
      </c>
      <c r="M3995" s="7">
        <f>IF(INDEX([1]equip.xml!$B:$B,MATCH(D3995&amp;"",[1]equip.xml!$A:$A,0))=0,0,N3995)</f>
        <v>130</v>
      </c>
      <c r="N3995" s="8">
        <v>130</v>
      </c>
    </row>
    <row r="3996" spans="1:14">
      <c r="A3996" s="7">
        <f t="shared" si="4742"/>
        <v>20018</v>
      </c>
      <c r="B3996" s="8">
        <f t="shared" ref="B3996:C3996" si="4863">B3908</f>
        <v>40000</v>
      </c>
      <c r="C3996" s="8" t="str">
        <f t="shared" si="4863"/>
        <v>装备</v>
      </c>
      <c r="D3996" s="8">
        <v>40651050</v>
      </c>
      <c r="E3996" s="8"/>
      <c r="F3996" s="8">
        <v>1</v>
      </c>
      <c r="G3996" s="7">
        <f>3*INDEX([1]equip.xml!$I:$I,MATCH(D3996&amp;"",[1]equip.xml!$A:$A,0))</f>
        <v>195000</v>
      </c>
      <c r="H3996" s="8" t="str">
        <f t="shared" si="4857"/>
        <v>10_10,50_20,80_30</v>
      </c>
      <c r="I3996" s="8">
        <v>6</v>
      </c>
      <c r="J3996" s="8">
        <f t="shared" si="4857"/>
        <v>50</v>
      </c>
      <c r="K3996" s="7" t="s">
        <v>312</v>
      </c>
      <c r="L3996" s="8">
        <v>44</v>
      </c>
      <c r="M3996" s="7">
        <f>IF(INDEX([1]equip.xml!$B:$B,MATCH(D3996&amp;"",[1]equip.xml!$A:$A,0))=0,0,N3996)</f>
        <v>130</v>
      </c>
      <c r="N3996" s="8">
        <v>130</v>
      </c>
    </row>
    <row r="3997" spans="1:14">
      <c r="A3997" s="7">
        <f t="shared" si="4742"/>
        <v>20018</v>
      </c>
      <c r="B3997" s="8">
        <f t="shared" ref="B3997:C3997" si="4864">B3909</f>
        <v>40000</v>
      </c>
      <c r="C3997" s="8" t="str">
        <f t="shared" si="4864"/>
        <v>装备</v>
      </c>
      <c r="D3997" s="8">
        <v>40651051</v>
      </c>
      <c r="E3997" s="8"/>
      <c r="F3997" s="8">
        <v>1</v>
      </c>
      <c r="G3997" s="7">
        <f>3*INDEX([1]equip.xml!$I:$I,MATCH(D3997&amp;"",[1]equip.xml!$A:$A,0))</f>
        <v>204000</v>
      </c>
      <c r="H3997" s="8" t="str">
        <f t="shared" si="4857"/>
        <v>10_10,50_20,80_30</v>
      </c>
      <c r="I3997" s="8">
        <v>6</v>
      </c>
      <c r="J3997" s="8">
        <f t="shared" si="4857"/>
        <v>50</v>
      </c>
      <c r="K3997" s="7" t="s">
        <v>312</v>
      </c>
      <c r="L3997" s="8">
        <v>44</v>
      </c>
      <c r="M3997" s="7">
        <f>IF(INDEX([1]equip.xml!$B:$B,MATCH(D3997&amp;"",[1]equip.xml!$A:$A,0))=0,0,N3997)</f>
        <v>0</v>
      </c>
      <c r="N3997" s="8">
        <v>130</v>
      </c>
    </row>
    <row r="3998" spans="1:14">
      <c r="A3998" s="7">
        <f t="shared" si="4742"/>
        <v>20018</v>
      </c>
      <c r="B3998" s="8">
        <f t="shared" ref="B3998:C3998" si="4865">B3910</f>
        <v>40000</v>
      </c>
      <c r="C3998" s="8" t="str">
        <f t="shared" si="4865"/>
        <v>装备</v>
      </c>
      <c r="D3998" s="8">
        <v>40651060</v>
      </c>
      <c r="E3998" s="8"/>
      <c r="F3998" s="8">
        <v>1</v>
      </c>
      <c r="G3998" s="7">
        <f>3*INDEX([1]equip.xml!$I:$I,MATCH(D3998&amp;"",[1]equip.xml!$A:$A,0))</f>
        <v>195000</v>
      </c>
      <c r="H3998" s="8" t="str">
        <f t="shared" si="4857"/>
        <v>10_10,50_20,80_30</v>
      </c>
      <c r="I3998" s="8">
        <v>6</v>
      </c>
      <c r="J3998" s="8">
        <f t="shared" si="4857"/>
        <v>50</v>
      </c>
      <c r="K3998" s="7" t="s">
        <v>312</v>
      </c>
      <c r="L3998" s="8">
        <v>44</v>
      </c>
      <c r="M3998" s="7">
        <f>IF(INDEX([1]equip.xml!$B:$B,MATCH(D3998&amp;"",[1]equip.xml!$A:$A,0))=0,0,N3998)</f>
        <v>130</v>
      </c>
      <c r="N3998" s="8">
        <v>130</v>
      </c>
    </row>
    <row r="3999" spans="1:14">
      <c r="A3999" s="7">
        <f t="shared" ref="A3999:A4062" si="4866">10000+A1183</f>
        <v>20018</v>
      </c>
      <c r="B3999" s="8">
        <f t="shared" ref="B3999:C3999" si="4867">B3911</f>
        <v>40000</v>
      </c>
      <c r="C3999" s="8" t="str">
        <f t="shared" si="4867"/>
        <v>装备</v>
      </c>
      <c r="D3999" s="8">
        <v>40651061</v>
      </c>
      <c r="E3999" s="8"/>
      <c r="F3999" s="8">
        <v>1</v>
      </c>
      <c r="G3999" s="7">
        <f>3*INDEX([1]equip.xml!$I:$I,MATCH(D3999&amp;"",[1]equip.xml!$A:$A,0))</f>
        <v>204000</v>
      </c>
      <c r="H3999" s="8" t="str">
        <f t="shared" si="4857"/>
        <v>10_10,50_20,80_30</v>
      </c>
      <c r="I3999" s="8">
        <v>6</v>
      </c>
      <c r="J3999" s="8">
        <f t="shared" si="4857"/>
        <v>50</v>
      </c>
      <c r="K3999" s="7" t="s">
        <v>312</v>
      </c>
      <c r="L3999" s="8">
        <v>44</v>
      </c>
      <c r="M3999" s="7">
        <f>IF(INDEX([1]equip.xml!$B:$B,MATCH(D3999&amp;"",[1]equip.xml!$A:$A,0))=0,0,N3999)</f>
        <v>0</v>
      </c>
      <c r="N3999" s="8">
        <v>130</v>
      </c>
    </row>
    <row r="4000" spans="1:14">
      <c r="A4000" s="7">
        <f t="shared" si="4866"/>
        <v>20018</v>
      </c>
      <c r="B4000" s="8">
        <f t="shared" ref="B4000:C4000" si="4868">B3912</f>
        <v>40000</v>
      </c>
      <c r="C4000" s="8" t="str">
        <f t="shared" si="4868"/>
        <v>装备</v>
      </c>
      <c r="D4000" s="8">
        <v>40652050</v>
      </c>
      <c r="E4000" s="8"/>
      <c r="F4000" s="8">
        <v>1</v>
      </c>
      <c r="G4000" s="7">
        <f>3*INDEX([1]equip.xml!$I:$I,MATCH(D4000&amp;"",[1]equip.xml!$A:$A,0))</f>
        <v>195000</v>
      </c>
      <c r="H4000" s="8" t="str">
        <f t="shared" si="4857"/>
        <v>10_10,50_20,80_30</v>
      </c>
      <c r="I4000" s="8">
        <v>6</v>
      </c>
      <c r="J4000" s="8">
        <f t="shared" si="4857"/>
        <v>50</v>
      </c>
      <c r="K4000" s="7" t="s">
        <v>312</v>
      </c>
      <c r="L4000" s="8">
        <v>44</v>
      </c>
      <c r="M4000" s="7">
        <f>IF(INDEX([1]equip.xml!$B:$B,MATCH(D4000&amp;"",[1]equip.xml!$A:$A,0))=0,0,N4000)</f>
        <v>130</v>
      </c>
      <c r="N4000" s="8">
        <v>130</v>
      </c>
    </row>
    <row r="4001" spans="1:14">
      <c r="A4001" s="7">
        <f t="shared" si="4866"/>
        <v>20018</v>
      </c>
      <c r="B4001" s="8">
        <f t="shared" ref="B4001:C4001" si="4869">B3913</f>
        <v>40000</v>
      </c>
      <c r="C4001" s="8" t="str">
        <f t="shared" si="4869"/>
        <v>装备</v>
      </c>
      <c r="D4001" s="8">
        <v>40652051</v>
      </c>
      <c r="E4001" s="8"/>
      <c r="F4001" s="8">
        <v>1</v>
      </c>
      <c r="G4001" s="7">
        <f>3*INDEX([1]equip.xml!$I:$I,MATCH(D4001&amp;"",[1]equip.xml!$A:$A,0))</f>
        <v>204000</v>
      </c>
      <c r="H4001" s="8" t="str">
        <f t="shared" si="4857"/>
        <v>10_10,50_20,80_30</v>
      </c>
      <c r="I4001" s="8">
        <v>6</v>
      </c>
      <c r="J4001" s="8">
        <f t="shared" si="4857"/>
        <v>50</v>
      </c>
      <c r="K4001" s="7" t="s">
        <v>312</v>
      </c>
      <c r="L4001" s="8">
        <v>44</v>
      </c>
      <c r="M4001" s="7">
        <f>IF(INDEX([1]equip.xml!$B:$B,MATCH(D4001&amp;"",[1]equip.xml!$A:$A,0))=0,0,N4001)</f>
        <v>0</v>
      </c>
      <c r="N4001" s="8">
        <v>130</v>
      </c>
    </row>
    <row r="4002" spans="1:14">
      <c r="A4002" s="7">
        <f t="shared" si="4866"/>
        <v>20018</v>
      </c>
      <c r="B4002" s="8">
        <f t="shared" ref="B4002:C4002" si="4870">B3914</f>
        <v>40000</v>
      </c>
      <c r="C4002" s="8" t="str">
        <f t="shared" si="4870"/>
        <v>装备</v>
      </c>
      <c r="D4002" s="8">
        <v>40652060</v>
      </c>
      <c r="E4002" s="8"/>
      <c r="F4002" s="8">
        <v>1</v>
      </c>
      <c r="G4002" s="7">
        <f>3*INDEX([1]equip.xml!$I:$I,MATCH(D4002&amp;"",[1]equip.xml!$A:$A,0))</f>
        <v>195000</v>
      </c>
      <c r="H4002" s="8" t="str">
        <f t="shared" si="4857"/>
        <v>10_10,50_20,80_30</v>
      </c>
      <c r="I4002" s="8">
        <v>6</v>
      </c>
      <c r="J4002" s="8">
        <f t="shared" si="4857"/>
        <v>50</v>
      </c>
      <c r="K4002" s="7" t="s">
        <v>312</v>
      </c>
      <c r="L4002" s="8">
        <v>44</v>
      </c>
      <c r="M4002" s="7">
        <f>IF(INDEX([1]equip.xml!$B:$B,MATCH(D4002&amp;"",[1]equip.xml!$A:$A,0))=0,0,N4002)</f>
        <v>130</v>
      </c>
      <c r="N4002" s="8">
        <v>130</v>
      </c>
    </row>
    <row r="4003" spans="1:14">
      <c r="A4003" s="7">
        <f t="shared" si="4866"/>
        <v>20018</v>
      </c>
      <c r="B4003" s="8">
        <f t="shared" ref="B4003:C4003" si="4871">B3915</f>
        <v>40000</v>
      </c>
      <c r="C4003" s="8" t="str">
        <f t="shared" si="4871"/>
        <v>装备</v>
      </c>
      <c r="D4003" s="8">
        <v>40652061</v>
      </c>
      <c r="E4003" s="8"/>
      <c r="F4003" s="8">
        <v>1</v>
      </c>
      <c r="G4003" s="7">
        <f>3*INDEX([1]equip.xml!$I:$I,MATCH(D4003&amp;"",[1]equip.xml!$A:$A,0))</f>
        <v>204000</v>
      </c>
      <c r="H4003" s="8" t="str">
        <f t="shared" si="4857"/>
        <v>10_10,50_20,80_30</v>
      </c>
      <c r="I4003" s="8">
        <v>6</v>
      </c>
      <c r="J4003" s="8">
        <f t="shared" si="4857"/>
        <v>50</v>
      </c>
      <c r="K4003" s="7" t="s">
        <v>312</v>
      </c>
      <c r="L4003" s="8">
        <v>44</v>
      </c>
      <c r="M4003" s="7">
        <f>IF(INDEX([1]equip.xml!$B:$B,MATCH(D4003&amp;"",[1]equip.xml!$A:$A,0))=0,0,N4003)</f>
        <v>0</v>
      </c>
      <c r="N4003" s="8">
        <v>130</v>
      </c>
    </row>
    <row r="4004" spans="1:14">
      <c r="A4004" s="7">
        <f t="shared" si="4866"/>
        <v>20018</v>
      </c>
      <c r="B4004" s="8">
        <f t="shared" ref="B4004:C4004" si="4872">B3916</f>
        <v>40000</v>
      </c>
      <c r="C4004" s="8" t="str">
        <f t="shared" si="4872"/>
        <v>装备</v>
      </c>
      <c r="D4004" s="8">
        <v>40653050</v>
      </c>
      <c r="E4004" s="8"/>
      <c r="F4004" s="8">
        <v>1</v>
      </c>
      <c r="G4004" s="7">
        <f>3*INDEX([1]equip.xml!$I:$I,MATCH(D4004&amp;"",[1]equip.xml!$A:$A,0))</f>
        <v>195000</v>
      </c>
      <c r="H4004" s="8" t="str">
        <f t="shared" si="4857"/>
        <v>10_10,50_20,80_30</v>
      </c>
      <c r="I4004" s="8">
        <v>6</v>
      </c>
      <c r="J4004" s="8">
        <f t="shared" si="4857"/>
        <v>50</v>
      </c>
      <c r="K4004" s="7" t="s">
        <v>312</v>
      </c>
      <c r="L4004" s="8">
        <v>44</v>
      </c>
      <c r="M4004" s="7">
        <f>IF(INDEX([1]equip.xml!$B:$B,MATCH(D4004&amp;"",[1]equip.xml!$A:$A,0))=0,0,N4004)</f>
        <v>130</v>
      </c>
      <c r="N4004" s="8">
        <v>130</v>
      </c>
    </row>
    <row r="4005" spans="1:14">
      <c r="A4005" s="7">
        <f t="shared" si="4866"/>
        <v>20018</v>
      </c>
      <c r="B4005" s="8">
        <f t="shared" ref="B4005:C4005" si="4873">B3917</f>
        <v>40000</v>
      </c>
      <c r="C4005" s="8" t="str">
        <f t="shared" si="4873"/>
        <v>装备</v>
      </c>
      <c r="D4005" s="8">
        <v>40653051</v>
      </c>
      <c r="E4005" s="8"/>
      <c r="F4005" s="8">
        <v>1</v>
      </c>
      <c r="G4005" s="7">
        <f>3*INDEX([1]equip.xml!$I:$I,MATCH(D4005&amp;"",[1]equip.xml!$A:$A,0))</f>
        <v>204000</v>
      </c>
      <c r="H4005" s="8" t="str">
        <f t="shared" si="4857"/>
        <v>10_10,50_20,80_30</v>
      </c>
      <c r="I4005" s="8">
        <v>6</v>
      </c>
      <c r="J4005" s="8">
        <f t="shared" si="4857"/>
        <v>50</v>
      </c>
      <c r="K4005" s="7" t="s">
        <v>312</v>
      </c>
      <c r="L4005" s="8">
        <v>44</v>
      </c>
      <c r="M4005" s="7">
        <f>IF(INDEX([1]equip.xml!$B:$B,MATCH(D4005&amp;"",[1]equip.xml!$A:$A,0))=0,0,N4005)</f>
        <v>0</v>
      </c>
      <c r="N4005" s="8">
        <v>130</v>
      </c>
    </row>
    <row r="4006" spans="1:14">
      <c r="A4006" s="7">
        <f t="shared" si="4866"/>
        <v>20018</v>
      </c>
      <c r="B4006" s="8">
        <f t="shared" ref="B4006:C4006" si="4874">B3918</f>
        <v>40000</v>
      </c>
      <c r="C4006" s="8" t="str">
        <f t="shared" si="4874"/>
        <v>装备</v>
      </c>
      <c r="D4006" s="8">
        <v>40653060</v>
      </c>
      <c r="E4006" s="8"/>
      <c r="F4006" s="8">
        <v>1</v>
      </c>
      <c r="G4006" s="7">
        <f>3*INDEX([1]equip.xml!$I:$I,MATCH(D4006&amp;"",[1]equip.xml!$A:$A,0))</f>
        <v>195000</v>
      </c>
      <c r="H4006" s="8" t="str">
        <f t="shared" ref="H4006:J4021" si="4875">H3918</f>
        <v>10_10,50_20,80_30</v>
      </c>
      <c r="I4006" s="8">
        <v>6</v>
      </c>
      <c r="J4006" s="8">
        <f t="shared" si="4875"/>
        <v>50</v>
      </c>
      <c r="K4006" s="7" t="s">
        <v>312</v>
      </c>
      <c r="L4006" s="8">
        <v>44</v>
      </c>
      <c r="M4006" s="7">
        <f>IF(INDEX([1]equip.xml!$B:$B,MATCH(D4006&amp;"",[1]equip.xml!$A:$A,0))=0,0,N4006)</f>
        <v>130</v>
      </c>
      <c r="N4006" s="8">
        <v>130</v>
      </c>
    </row>
    <row r="4007" spans="1:14">
      <c r="A4007" s="7">
        <f t="shared" si="4866"/>
        <v>20018</v>
      </c>
      <c r="B4007" s="8">
        <f t="shared" ref="B4007:C4007" si="4876">B3919</f>
        <v>40000</v>
      </c>
      <c r="C4007" s="8" t="str">
        <f t="shared" si="4876"/>
        <v>装备</v>
      </c>
      <c r="D4007" s="8">
        <v>40653061</v>
      </c>
      <c r="E4007" s="8"/>
      <c r="F4007" s="8">
        <v>1</v>
      </c>
      <c r="G4007" s="7">
        <f>3*INDEX([1]equip.xml!$I:$I,MATCH(D4007&amp;"",[1]equip.xml!$A:$A,0))</f>
        <v>204000</v>
      </c>
      <c r="H4007" s="8" t="str">
        <f t="shared" si="4875"/>
        <v>10_10,50_20,80_30</v>
      </c>
      <c r="I4007" s="8">
        <v>6</v>
      </c>
      <c r="J4007" s="8">
        <f t="shared" si="4875"/>
        <v>50</v>
      </c>
      <c r="K4007" s="7" t="s">
        <v>312</v>
      </c>
      <c r="L4007" s="8">
        <v>44</v>
      </c>
      <c r="M4007" s="7">
        <f>IF(INDEX([1]equip.xml!$B:$B,MATCH(D4007&amp;"",[1]equip.xml!$A:$A,0))=0,0,N4007)</f>
        <v>0</v>
      </c>
      <c r="N4007" s="8">
        <v>130</v>
      </c>
    </row>
    <row r="4008" spans="1:14">
      <c r="A4008" s="7">
        <f t="shared" si="4866"/>
        <v>20018</v>
      </c>
      <c r="B4008" s="8">
        <f t="shared" ref="B4008:C4008" si="4877">B3920</f>
        <v>40000</v>
      </c>
      <c r="C4008" s="8" t="str">
        <f t="shared" si="4877"/>
        <v>装备</v>
      </c>
      <c r="D4008" s="8">
        <v>40650040</v>
      </c>
      <c r="E4008" s="8"/>
      <c r="F4008" s="8">
        <v>1</v>
      </c>
      <c r="G4008" s="7">
        <f>3*INDEX([1]equip.xml!$I:$I,MATCH(D4008&amp;"",[1]equip.xml!$A:$A,0))</f>
        <v>195000</v>
      </c>
      <c r="H4008" s="8" t="str">
        <f t="shared" si="4875"/>
        <v>10_10,50_20,80_30</v>
      </c>
      <c r="I4008" s="8">
        <v>6</v>
      </c>
      <c r="J4008" s="8">
        <f t="shared" si="4875"/>
        <v>50</v>
      </c>
      <c r="K4008" s="7" t="s">
        <v>312</v>
      </c>
      <c r="L4008" s="8">
        <v>44</v>
      </c>
      <c r="M4008" s="7">
        <f>IF(INDEX([1]equip.xml!$B:$B,MATCH(D4008&amp;"",[1]equip.xml!$A:$A,0))=0,0,N4008)</f>
        <v>130</v>
      </c>
      <c r="N4008" s="8">
        <v>130</v>
      </c>
    </row>
    <row r="4009" spans="1:14">
      <c r="A4009" s="7">
        <f t="shared" si="4866"/>
        <v>20018</v>
      </c>
      <c r="B4009" s="8">
        <f t="shared" ref="B4009:C4009" si="4878">B3921</f>
        <v>40000</v>
      </c>
      <c r="C4009" s="8" t="str">
        <f t="shared" si="4878"/>
        <v>装备</v>
      </c>
      <c r="D4009" s="8">
        <v>40650041</v>
      </c>
      <c r="E4009" s="8"/>
      <c r="F4009" s="8">
        <v>1</v>
      </c>
      <c r="G4009" s="7">
        <f>3*INDEX([1]equip.xml!$I:$I,MATCH(D4009&amp;"",[1]equip.xml!$A:$A,0))</f>
        <v>204000</v>
      </c>
      <c r="H4009" s="8" t="str">
        <f t="shared" si="4875"/>
        <v>10_10,50_20,80_30</v>
      </c>
      <c r="I4009" s="8">
        <v>6</v>
      </c>
      <c r="J4009" s="8">
        <f t="shared" si="4875"/>
        <v>50</v>
      </c>
      <c r="K4009" s="7" t="s">
        <v>312</v>
      </c>
      <c r="L4009" s="8">
        <v>44</v>
      </c>
      <c r="M4009" s="7">
        <f>IF(INDEX([1]equip.xml!$B:$B,MATCH(D4009&amp;"",[1]equip.xml!$A:$A,0))=0,0,N4009)</f>
        <v>0</v>
      </c>
      <c r="N4009" s="8">
        <v>130</v>
      </c>
    </row>
    <row r="4010" spans="1:14">
      <c r="A4010" s="7">
        <f t="shared" si="4866"/>
        <v>20018</v>
      </c>
      <c r="B4010" s="8">
        <f t="shared" ref="B4010:C4010" si="4879">B3922</f>
        <v>40000</v>
      </c>
      <c r="C4010" s="8" t="str">
        <f t="shared" si="4879"/>
        <v>装备</v>
      </c>
      <c r="D4010" s="8">
        <v>40650070</v>
      </c>
      <c r="E4010" s="8"/>
      <c r="F4010" s="8">
        <v>1</v>
      </c>
      <c r="G4010" s="7">
        <f>3*INDEX([1]equip.xml!$I:$I,MATCH(D4010&amp;"",[1]equip.xml!$A:$A,0))</f>
        <v>195000</v>
      </c>
      <c r="H4010" s="8" t="str">
        <f t="shared" si="4875"/>
        <v>10_10,50_20,80_30</v>
      </c>
      <c r="I4010" s="8">
        <v>6</v>
      </c>
      <c r="J4010" s="8">
        <f t="shared" si="4875"/>
        <v>50</v>
      </c>
      <c r="K4010" s="7" t="s">
        <v>312</v>
      </c>
      <c r="L4010" s="8">
        <v>44</v>
      </c>
      <c r="M4010" s="7">
        <f>IF(INDEX([1]equip.xml!$B:$B,MATCH(D4010&amp;"",[1]equip.xml!$A:$A,0))=0,0,N4010)</f>
        <v>130</v>
      </c>
      <c r="N4010" s="8">
        <v>130</v>
      </c>
    </row>
    <row r="4011" spans="1:14">
      <c r="A4011" s="7">
        <f t="shared" si="4866"/>
        <v>20018</v>
      </c>
      <c r="B4011" s="8">
        <f t="shared" ref="B4011:C4011" si="4880">B3923</f>
        <v>40000</v>
      </c>
      <c r="C4011" s="8" t="str">
        <f t="shared" si="4880"/>
        <v>装备</v>
      </c>
      <c r="D4011" s="8">
        <v>40650071</v>
      </c>
      <c r="E4011" s="8"/>
      <c r="F4011" s="8">
        <v>1</v>
      </c>
      <c r="G4011" s="7">
        <f>3*INDEX([1]equip.xml!$I:$I,MATCH(D4011&amp;"",[1]equip.xml!$A:$A,0))</f>
        <v>204000</v>
      </c>
      <c r="H4011" s="8" t="str">
        <f t="shared" si="4875"/>
        <v>10_10,50_20,80_30</v>
      </c>
      <c r="I4011" s="8">
        <v>6</v>
      </c>
      <c r="J4011" s="8">
        <f t="shared" si="4875"/>
        <v>50</v>
      </c>
      <c r="K4011" s="7" t="s">
        <v>312</v>
      </c>
      <c r="L4011" s="8">
        <v>44</v>
      </c>
      <c r="M4011" s="7">
        <f>IF(INDEX([1]equip.xml!$B:$B,MATCH(D4011&amp;"",[1]equip.xml!$A:$A,0))=0,0,N4011)</f>
        <v>0</v>
      </c>
      <c r="N4011" s="8">
        <v>130</v>
      </c>
    </row>
    <row r="4012" spans="1:14">
      <c r="A4012" s="7">
        <f t="shared" si="4866"/>
        <v>20018</v>
      </c>
      <c r="B4012" s="8">
        <f t="shared" ref="B4012:C4012" si="4881">B3924</f>
        <v>40000</v>
      </c>
      <c r="C4012" s="8" t="str">
        <f t="shared" si="4881"/>
        <v>装备</v>
      </c>
      <c r="D4012" s="8">
        <v>40700010</v>
      </c>
      <c r="E4012" s="8"/>
      <c r="F4012" s="8">
        <v>1</v>
      </c>
      <c r="G4012" s="7">
        <f>3*INDEX([1]equip.xml!$I:$I,MATCH(D4012&amp;"",[1]equip.xml!$A:$A,0))</f>
        <v>210000</v>
      </c>
      <c r="H4012" s="8" t="str">
        <f t="shared" si="4875"/>
        <v>10_10,50_20,80_30</v>
      </c>
      <c r="I4012" s="8">
        <v>6</v>
      </c>
      <c r="J4012" s="8">
        <f t="shared" si="4875"/>
        <v>50</v>
      </c>
      <c r="K4012" s="7" t="s">
        <v>312</v>
      </c>
      <c r="L4012" s="8">
        <v>44</v>
      </c>
      <c r="M4012" s="7">
        <f>IF(INDEX([1]equip.xml!$B:$B,MATCH(D4012&amp;"",[1]equip.xml!$A:$A,0))=0,0,N4012)</f>
        <v>60</v>
      </c>
      <c r="N4012" s="8">
        <v>60</v>
      </c>
    </row>
    <row r="4013" spans="1:14">
      <c r="A4013" s="7">
        <f t="shared" si="4866"/>
        <v>20018</v>
      </c>
      <c r="B4013" s="8">
        <f t="shared" ref="B4013:C4013" si="4882">B3925</f>
        <v>40000</v>
      </c>
      <c r="C4013" s="8" t="str">
        <f t="shared" si="4882"/>
        <v>装备</v>
      </c>
      <c r="D4013" s="8">
        <v>40700020</v>
      </c>
      <c r="E4013" s="8"/>
      <c r="F4013" s="8">
        <v>1</v>
      </c>
      <c r="G4013" s="7">
        <f>3*INDEX([1]equip.xml!$I:$I,MATCH(D4013&amp;"",[1]equip.xml!$A:$A,0))</f>
        <v>210000</v>
      </c>
      <c r="H4013" s="8" t="str">
        <f t="shared" si="4875"/>
        <v>10_10,50_20,80_30</v>
      </c>
      <c r="I4013" s="8">
        <v>6</v>
      </c>
      <c r="J4013" s="8">
        <f t="shared" si="4875"/>
        <v>50</v>
      </c>
      <c r="K4013" s="7" t="s">
        <v>312</v>
      </c>
      <c r="L4013" s="8">
        <v>44</v>
      </c>
      <c r="M4013" s="7">
        <f>IF(INDEX([1]equip.xml!$B:$B,MATCH(D4013&amp;"",[1]equip.xml!$A:$A,0))=0,0,N4013)</f>
        <v>60</v>
      </c>
      <c r="N4013" s="8">
        <v>60</v>
      </c>
    </row>
    <row r="4014" spans="1:14">
      <c r="A4014" s="7">
        <f t="shared" si="4866"/>
        <v>20018</v>
      </c>
      <c r="B4014" s="8">
        <f t="shared" ref="B4014:C4014" si="4883">B3926</f>
        <v>40000</v>
      </c>
      <c r="C4014" s="8" t="str">
        <f t="shared" si="4883"/>
        <v>装备</v>
      </c>
      <c r="D4014" s="8">
        <v>40700030</v>
      </c>
      <c r="E4014" s="8"/>
      <c r="F4014" s="8">
        <v>1</v>
      </c>
      <c r="G4014" s="7">
        <f>3*INDEX([1]equip.xml!$I:$I,MATCH(D4014&amp;"",[1]equip.xml!$A:$A,0))</f>
        <v>210000</v>
      </c>
      <c r="H4014" s="8" t="str">
        <f t="shared" si="4875"/>
        <v>10_10,50_20,80_30</v>
      </c>
      <c r="I4014" s="8">
        <v>6</v>
      </c>
      <c r="J4014" s="8">
        <f t="shared" si="4875"/>
        <v>50</v>
      </c>
      <c r="K4014" s="7" t="s">
        <v>312</v>
      </c>
      <c r="L4014" s="8">
        <v>44</v>
      </c>
      <c r="M4014" s="7">
        <f>IF(INDEX([1]equip.xml!$B:$B,MATCH(D4014&amp;"",[1]equip.xml!$A:$A,0))=0,0,N4014)</f>
        <v>60</v>
      </c>
      <c r="N4014" s="8">
        <v>60</v>
      </c>
    </row>
    <row r="4015" spans="1:14">
      <c r="A4015" s="7">
        <f t="shared" si="4866"/>
        <v>20018</v>
      </c>
      <c r="B4015" s="8">
        <f t="shared" ref="B4015:C4015" si="4884">B3927</f>
        <v>40000</v>
      </c>
      <c r="C4015" s="8" t="str">
        <f t="shared" si="4884"/>
        <v>装备</v>
      </c>
      <c r="D4015" s="8">
        <v>40700080</v>
      </c>
      <c r="E4015" s="8"/>
      <c r="F4015" s="8">
        <v>1</v>
      </c>
      <c r="G4015" s="7">
        <f>3*INDEX([1]equip.xml!$I:$I,MATCH(D4015&amp;"",[1]equip.xml!$A:$A,0))</f>
        <v>210000</v>
      </c>
      <c r="H4015" s="8" t="str">
        <f t="shared" si="4875"/>
        <v>10_10,50_20,80_30</v>
      </c>
      <c r="I4015" s="8">
        <v>6</v>
      </c>
      <c r="J4015" s="8">
        <f t="shared" si="4875"/>
        <v>50</v>
      </c>
      <c r="K4015" s="7" t="s">
        <v>312</v>
      </c>
      <c r="L4015" s="8">
        <v>44</v>
      </c>
      <c r="M4015" s="7">
        <f>IF(INDEX([1]equip.xml!$B:$B,MATCH(D4015&amp;"",[1]equip.xml!$A:$A,0))=0,0,N4015)</f>
        <v>60</v>
      </c>
      <c r="N4015" s="8">
        <v>60</v>
      </c>
    </row>
    <row r="4016" spans="1:14">
      <c r="A4016" s="7">
        <f t="shared" si="4866"/>
        <v>20018</v>
      </c>
      <c r="B4016" s="8">
        <f t="shared" ref="B4016:C4016" si="4885">B3928</f>
        <v>40000</v>
      </c>
      <c r="C4016" s="8" t="str">
        <f t="shared" si="4885"/>
        <v>装备</v>
      </c>
      <c r="D4016" s="8">
        <v>40700090</v>
      </c>
      <c r="E4016" s="8"/>
      <c r="F4016" s="8">
        <v>1</v>
      </c>
      <c r="G4016" s="7">
        <f>3*INDEX([1]equip.xml!$I:$I,MATCH(D4016&amp;"",[1]equip.xml!$A:$A,0))</f>
        <v>210000</v>
      </c>
      <c r="H4016" s="8" t="str">
        <f t="shared" si="4875"/>
        <v>10_10,50_20,80_30</v>
      </c>
      <c r="I4016" s="8">
        <v>6</v>
      </c>
      <c r="J4016" s="8">
        <f t="shared" si="4875"/>
        <v>50</v>
      </c>
      <c r="K4016" s="7" t="s">
        <v>312</v>
      </c>
      <c r="L4016" s="8">
        <v>44</v>
      </c>
      <c r="M4016" s="7">
        <f>IF(INDEX([1]equip.xml!$B:$B,MATCH(D4016&amp;"",[1]equip.xml!$A:$A,0))=0,0,N4016)</f>
        <v>60</v>
      </c>
      <c r="N4016" s="8">
        <v>60</v>
      </c>
    </row>
    <row r="4017" spans="1:14">
      <c r="A4017" s="7">
        <f t="shared" si="4866"/>
        <v>20018</v>
      </c>
      <c r="B4017" s="8">
        <f t="shared" ref="B4017:C4017" si="4886">B3929</f>
        <v>40000</v>
      </c>
      <c r="C4017" s="8" t="str">
        <f t="shared" si="4886"/>
        <v>装备</v>
      </c>
      <c r="D4017" s="8">
        <v>40700100</v>
      </c>
      <c r="E4017" s="8"/>
      <c r="F4017" s="8">
        <v>1</v>
      </c>
      <c r="G4017" s="7">
        <f>3*INDEX([1]equip.xml!$I:$I,MATCH(D4017&amp;"",[1]equip.xml!$A:$A,0))</f>
        <v>210000</v>
      </c>
      <c r="H4017" s="8" t="str">
        <f t="shared" si="4875"/>
        <v>10_10,50_20,80_30</v>
      </c>
      <c r="I4017" s="8">
        <v>6</v>
      </c>
      <c r="J4017" s="8">
        <f t="shared" si="4875"/>
        <v>50</v>
      </c>
      <c r="K4017" s="7" t="s">
        <v>312</v>
      </c>
      <c r="L4017" s="8">
        <v>44</v>
      </c>
      <c r="M4017" s="7">
        <f>IF(INDEX([1]equip.xml!$B:$B,MATCH(D4017&amp;"",[1]equip.xml!$A:$A,0))=0,0,N4017)</f>
        <v>60</v>
      </c>
      <c r="N4017" s="8">
        <v>60</v>
      </c>
    </row>
    <row r="4018" spans="1:14">
      <c r="A4018" s="7">
        <f t="shared" si="4866"/>
        <v>20018</v>
      </c>
      <c r="B4018" s="8">
        <f t="shared" ref="B4018:C4018" si="4887">B3930</f>
        <v>40000</v>
      </c>
      <c r="C4018" s="8" t="str">
        <f t="shared" si="4887"/>
        <v>装备</v>
      </c>
      <c r="D4018" s="8">
        <v>40701050</v>
      </c>
      <c r="E4018" s="8"/>
      <c r="F4018" s="8">
        <v>1</v>
      </c>
      <c r="G4018" s="7">
        <f>3*INDEX([1]equip.xml!$I:$I,MATCH(D4018&amp;"",[1]equip.xml!$A:$A,0))</f>
        <v>210000</v>
      </c>
      <c r="H4018" s="8" t="str">
        <f t="shared" si="4875"/>
        <v>10_10,50_20,80_30</v>
      </c>
      <c r="I4018" s="8">
        <v>6</v>
      </c>
      <c r="J4018" s="8">
        <f t="shared" si="4875"/>
        <v>50</v>
      </c>
      <c r="K4018" s="7" t="s">
        <v>312</v>
      </c>
      <c r="L4018" s="8">
        <v>44</v>
      </c>
      <c r="M4018" s="7">
        <f>IF(INDEX([1]equip.xml!$B:$B,MATCH(D4018&amp;"",[1]equip.xml!$A:$A,0))=0,0,N4018)</f>
        <v>60</v>
      </c>
      <c r="N4018" s="8">
        <v>60</v>
      </c>
    </row>
    <row r="4019" spans="1:14">
      <c r="A4019" s="7">
        <f t="shared" si="4866"/>
        <v>20018</v>
      </c>
      <c r="B4019" s="8">
        <f t="shared" ref="B4019:C4019" si="4888">B3931</f>
        <v>40000</v>
      </c>
      <c r="C4019" s="8" t="str">
        <f t="shared" si="4888"/>
        <v>装备</v>
      </c>
      <c r="D4019" s="8">
        <v>40701051</v>
      </c>
      <c r="E4019" s="8"/>
      <c r="F4019" s="8">
        <v>1</v>
      </c>
      <c r="G4019" s="7">
        <f>3*INDEX([1]equip.xml!$I:$I,MATCH(D4019&amp;"",[1]equip.xml!$A:$A,0))</f>
        <v>219000</v>
      </c>
      <c r="H4019" s="8" t="str">
        <f t="shared" si="4875"/>
        <v>10_10,50_20,80_30</v>
      </c>
      <c r="I4019" s="8">
        <v>6</v>
      </c>
      <c r="J4019" s="8">
        <f t="shared" si="4875"/>
        <v>50</v>
      </c>
      <c r="K4019" s="7" t="s">
        <v>312</v>
      </c>
      <c r="L4019" s="8">
        <v>44</v>
      </c>
      <c r="M4019" s="7">
        <f>IF(INDEX([1]equip.xml!$B:$B,MATCH(D4019&amp;"",[1]equip.xml!$A:$A,0))=0,0,N4019)</f>
        <v>0</v>
      </c>
      <c r="N4019" s="8">
        <v>60</v>
      </c>
    </row>
    <row r="4020" spans="1:14">
      <c r="A4020" s="7">
        <f t="shared" si="4866"/>
        <v>20018</v>
      </c>
      <c r="B4020" s="8">
        <f t="shared" ref="B4020:C4020" si="4889">B3932</f>
        <v>40000</v>
      </c>
      <c r="C4020" s="8" t="str">
        <f t="shared" si="4889"/>
        <v>装备</v>
      </c>
      <c r="D4020" s="8">
        <v>40701060</v>
      </c>
      <c r="E4020" s="8"/>
      <c r="F4020" s="8">
        <v>1</v>
      </c>
      <c r="G4020" s="7">
        <f>3*INDEX([1]equip.xml!$I:$I,MATCH(D4020&amp;"",[1]equip.xml!$A:$A,0))</f>
        <v>210000</v>
      </c>
      <c r="H4020" s="8" t="str">
        <f t="shared" si="4875"/>
        <v>10_10,50_20,80_30</v>
      </c>
      <c r="I4020" s="8">
        <v>6</v>
      </c>
      <c r="J4020" s="8">
        <f t="shared" si="4875"/>
        <v>50</v>
      </c>
      <c r="K4020" s="7" t="s">
        <v>312</v>
      </c>
      <c r="L4020" s="8">
        <v>44</v>
      </c>
      <c r="M4020" s="7">
        <f>IF(INDEX([1]equip.xml!$B:$B,MATCH(D4020&amp;"",[1]equip.xml!$A:$A,0))=0,0,N4020)</f>
        <v>60</v>
      </c>
      <c r="N4020" s="8">
        <v>60</v>
      </c>
    </row>
    <row r="4021" spans="1:14">
      <c r="A4021" s="7">
        <f t="shared" si="4866"/>
        <v>20018</v>
      </c>
      <c r="B4021" s="8">
        <f t="shared" ref="B4021:C4021" si="4890">B3933</f>
        <v>40000</v>
      </c>
      <c r="C4021" s="8" t="str">
        <f t="shared" si="4890"/>
        <v>装备</v>
      </c>
      <c r="D4021" s="8">
        <v>40701061</v>
      </c>
      <c r="E4021" s="8"/>
      <c r="F4021" s="8">
        <v>1</v>
      </c>
      <c r="G4021" s="7">
        <f>3*INDEX([1]equip.xml!$I:$I,MATCH(D4021&amp;"",[1]equip.xml!$A:$A,0))</f>
        <v>219000</v>
      </c>
      <c r="H4021" s="8" t="str">
        <f t="shared" si="4875"/>
        <v>10_10,50_20,80_30</v>
      </c>
      <c r="I4021" s="8">
        <v>6</v>
      </c>
      <c r="J4021" s="8">
        <f t="shared" si="4875"/>
        <v>50</v>
      </c>
      <c r="K4021" s="7" t="s">
        <v>312</v>
      </c>
      <c r="L4021" s="8">
        <v>44</v>
      </c>
      <c r="M4021" s="7">
        <f>IF(INDEX([1]equip.xml!$B:$B,MATCH(D4021&amp;"",[1]equip.xml!$A:$A,0))=0,0,N4021)</f>
        <v>0</v>
      </c>
      <c r="N4021" s="8">
        <v>60</v>
      </c>
    </row>
    <row r="4022" spans="1:14">
      <c r="A4022" s="7">
        <f t="shared" si="4866"/>
        <v>20018</v>
      </c>
      <c r="B4022" s="8">
        <f t="shared" ref="B4022:C4022" si="4891">B3934</f>
        <v>40000</v>
      </c>
      <c r="C4022" s="8" t="str">
        <f t="shared" si="4891"/>
        <v>装备</v>
      </c>
      <c r="D4022" s="8">
        <v>40702050</v>
      </c>
      <c r="E4022" s="8"/>
      <c r="F4022" s="8">
        <v>1</v>
      </c>
      <c r="G4022" s="7">
        <f>3*INDEX([1]equip.xml!$I:$I,MATCH(D4022&amp;"",[1]equip.xml!$A:$A,0))</f>
        <v>210000</v>
      </c>
      <c r="H4022" s="8" t="str">
        <f t="shared" ref="H4022:J4022" si="4892">H3934</f>
        <v>10_10,50_20,80_30</v>
      </c>
      <c r="I4022" s="8">
        <v>6</v>
      </c>
      <c r="J4022" s="8">
        <f t="shared" si="4892"/>
        <v>50</v>
      </c>
      <c r="K4022" s="7" t="s">
        <v>312</v>
      </c>
      <c r="L4022" s="8">
        <v>44</v>
      </c>
      <c r="M4022" s="7">
        <f>IF(INDEX([1]equip.xml!$B:$B,MATCH(D4022&amp;"",[1]equip.xml!$A:$A,0))=0,0,N4022)</f>
        <v>60</v>
      </c>
      <c r="N4022" s="8">
        <v>60</v>
      </c>
    </row>
    <row r="4023" spans="1:14">
      <c r="A4023" s="7">
        <f t="shared" si="4866"/>
        <v>20018</v>
      </c>
      <c r="B4023" s="8">
        <f t="shared" ref="B4023:C4023" si="4893">B3935</f>
        <v>40000</v>
      </c>
      <c r="C4023" s="8" t="str">
        <f t="shared" si="4893"/>
        <v>装备</v>
      </c>
      <c r="D4023" s="8">
        <v>40702051</v>
      </c>
      <c r="E4023" s="8"/>
      <c r="F4023" s="8">
        <v>1</v>
      </c>
      <c r="G4023" s="7">
        <f>3*INDEX([1]equip.xml!$I:$I,MATCH(D4023&amp;"",[1]equip.xml!$A:$A,0))</f>
        <v>219000</v>
      </c>
      <c r="H4023" s="8" t="str">
        <f t="shared" ref="H4023:J4023" si="4894">H3935</f>
        <v>10_10,50_20,80_30</v>
      </c>
      <c r="I4023" s="8">
        <v>6</v>
      </c>
      <c r="J4023" s="8">
        <f t="shared" si="4894"/>
        <v>50</v>
      </c>
      <c r="K4023" s="7" t="s">
        <v>312</v>
      </c>
      <c r="L4023" s="8">
        <v>44</v>
      </c>
      <c r="M4023" s="7">
        <f>IF(INDEX([1]equip.xml!$B:$B,MATCH(D4023&amp;"",[1]equip.xml!$A:$A,0))=0,0,N4023)</f>
        <v>0</v>
      </c>
      <c r="N4023" s="8">
        <v>60</v>
      </c>
    </row>
    <row r="4024" spans="1:14">
      <c r="A4024" s="7">
        <f t="shared" si="4866"/>
        <v>20018</v>
      </c>
      <c r="B4024" s="8">
        <f t="shared" ref="B4024:C4024" si="4895">B3936</f>
        <v>40000</v>
      </c>
      <c r="C4024" s="8" t="str">
        <f t="shared" si="4895"/>
        <v>装备</v>
      </c>
      <c r="D4024" s="8">
        <v>40702060</v>
      </c>
      <c r="E4024" s="8"/>
      <c r="F4024" s="8">
        <v>1</v>
      </c>
      <c r="G4024" s="7">
        <f>3*INDEX([1]equip.xml!$I:$I,MATCH(D4024&amp;"",[1]equip.xml!$A:$A,0))</f>
        <v>210000</v>
      </c>
      <c r="H4024" s="8" t="str">
        <f t="shared" ref="H4024:J4024" si="4896">H3936</f>
        <v>10_10,50_20,80_30</v>
      </c>
      <c r="I4024" s="8">
        <v>6</v>
      </c>
      <c r="J4024" s="8">
        <f t="shared" si="4896"/>
        <v>50</v>
      </c>
      <c r="K4024" s="7" t="s">
        <v>312</v>
      </c>
      <c r="L4024" s="8">
        <v>44</v>
      </c>
      <c r="M4024" s="7">
        <f>IF(INDEX([1]equip.xml!$B:$B,MATCH(D4024&amp;"",[1]equip.xml!$A:$A,0))=0,0,N4024)</f>
        <v>60</v>
      </c>
      <c r="N4024" s="8">
        <v>60</v>
      </c>
    </row>
    <row r="4025" spans="1:14">
      <c r="A4025" s="7">
        <f t="shared" si="4866"/>
        <v>20018</v>
      </c>
      <c r="B4025" s="8">
        <f t="shared" ref="B4025:C4025" si="4897">B3937</f>
        <v>40000</v>
      </c>
      <c r="C4025" s="8" t="str">
        <f t="shared" si="4897"/>
        <v>装备</v>
      </c>
      <c r="D4025" s="8">
        <v>40702061</v>
      </c>
      <c r="E4025" s="8"/>
      <c r="F4025" s="8">
        <v>1</v>
      </c>
      <c r="G4025" s="7">
        <f>3*INDEX([1]equip.xml!$I:$I,MATCH(D4025&amp;"",[1]equip.xml!$A:$A,0))</f>
        <v>219000</v>
      </c>
      <c r="H4025" s="8" t="str">
        <f t="shared" ref="H4025:J4025" si="4898">H3937</f>
        <v>10_10,50_20,80_30</v>
      </c>
      <c r="I4025" s="8">
        <v>6</v>
      </c>
      <c r="J4025" s="8">
        <f t="shared" si="4898"/>
        <v>50</v>
      </c>
      <c r="K4025" s="7" t="s">
        <v>312</v>
      </c>
      <c r="L4025" s="8">
        <v>44</v>
      </c>
      <c r="M4025" s="7">
        <f>IF(INDEX([1]equip.xml!$B:$B,MATCH(D4025&amp;"",[1]equip.xml!$A:$A,0))=0,0,N4025)</f>
        <v>0</v>
      </c>
      <c r="N4025" s="8">
        <v>60</v>
      </c>
    </row>
    <row r="4026" spans="1:14">
      <c r="A4026" s="7">
        <f t="shared" si="4866"/>
        <v>20018</v>
      </c>
      <c r="B4026" s="8">
        <f t="shared" ref="B4026:C4026" si="4899">B3938</f>
        <v>40000</v>
      </c>
      <c r="C4026" s="8" t="str">
        <f t="shared" si="4899"/>
        <v>装备</v>
      </c>
      <c r="D4026" s="8">
        <v>40703050</v>
      </c>
      <c r="E4026" s="8"/>
      <c r="F4026" s="8">
        <v>1</v>
      </c>
      <c r="G4026" s="7">
        <f>3*INDEX([1]equip.xml!$I:$I,MATCH(D4026&amp;"",[1]equip.xml!$A:$A,0))</f>
        <v>210000</v>
      </c>
      <c r="H4026" s="8" t="str">
        <f t="shared" ref="H4026:J4026" si="4900">H3938</f>
        <v>10_10,50_20,80_30</v>
      </c>
      <c r="I4026" s="8">
        <v>6</v>
      </c>
      <c r="J4026" s="8">
        <f t="shared" si="4900"/>
        <v>50</v>
      </c>
      <c r="K4026" s="7" t="s">
        <v>312</v>
      </c>
      <c r="L4026" s="8">
        <v>44</v>
      </c>
      <c r="M4026" s="7">
        <f>IF(INDEX([1]equip.xml!$B:$B,MATCH(D4026&amp;"",[1]equip.xml!$A:$A,0))=0,0,N4026)</f>
        <v>60</v>
      </c>
      <c r="N4026" s="8">
        <v>60</v>
      </c>
    </row>
    <row r="4027" spans="1:14">
      <c r="A4027" s="7">
        <f t="shared" si="4866"/>
        <v>20018</v>
      </c>
      <c r="B4027" s="8">
        <f t="shared" ref="B4027:C4027" si="4901">B3939</f>
        <v>40000</v>
      </c>
      <c r="C4027" s="8" t="str">
        <f t="shared" si="4901"/>
        <v>装备</v>
      </c>
      <c r="D4027" s="8">
        <v>40703051</v>
      </c>
      <c r="E4027" s="8"/>
      <c r="F4027" s="8">
        <v>1</v>
      </c>
      <c r="G4027" s="7">
        <f>3*INDEX([1]equip.xml!$I:$I,MATCH(D4027&amp;"",[1]equip.xml!$A:$A,0))</f>
        <v>219000</v>
      </c>
      <c r="H4027" s="8" t="str">
        <f t="shared" ref="H4027:J4027" si="4902">H3939</f>
        <v>10_10,50_20,80_30</v>
      </c>
      <c r="I4027" s="8">
        <v>6</v>
      </c>
      <c r="J4027" s="8">
        <f t="shared" si="4902"/>
        <v>50</v>
      </c>
      <c r="K4027" s="7" t="s">
        <v>312</v>
      </c>
      <c r="L4027" s="8">
        <v>44</v>
      </c>
      <c r="M4027" s="7">
        <f>IF(INDEX([1]equip.xml!$B:$B,MATCH(D4027&amp;"",[1]equip.xml!$A:$A,0))=0,0,N4027)</f>
        <v>0</v>
      </c>
      <c r="N4027" s="8">
        <v>60</v>
      </c>
    </row>
    <row r="4028" spans="1:14">
      <c r="A4028" s="7">
        <f t="shared" si="4866"/>
        <v>20018</v>
      </c>
      <c r="B4028" s="8">
        <f t="shared" ref="B4028:C4028" si="4903">B3940</f>
        <v>40000</v>
      </c>
      <c r="C4028" s="8" t="str">
        <f t="shared" si="4903"/>
        <v>装备</v>
      </c>
      <c r="D4028" s="8">
        <v>40703060</v>
      </c>
      <c r="E4028" s="8"/>
      <c r="F4028" s="8">
        <v>1</v>
      </c>
      <c r="G4028" s="7">
        <f>3*INDEX([1]equip.xml!$I:$I,MATCH(D4028&amp;"",[1]equip.xml!$A:$A,0))</f>
        <v>210000</v>
      </c>
      <c r="H4028" s="8" t="str">
        <f t="shared" ref="H4028:J4028" si="4904">H3940</f>
        <v>10_10,50_20,80_30</v>
      </c>
      <c r="I4028" s="8">
        <v>6</v>
      </c>
      <c r="J4028" s="8">
        <f t="shared" si="4904"/>
        <v>50</v>
      </c>
      <c r="K4028" s="7" t="s">
        <v>312</v>
      </c>
      <c r="L4028" s="8">
        <v>44</v>
      </c>
      <c r="M4028" s="7">
        <f>IF(INDEX([1]equip.xml!$B:$B,MATCH(D4028&amp;"",[1]equip.xml!$A:$A,0))=0,0,N4028)</f>
        <v>60</v>
      </c>
      <c r="N4028" s="8">
        <v>60</v>
      </c>
    </row>
    <row r="4029" spans="1:14">
      <c r="A4029" s="7">
        <f t="shared" si="4866"/>
        <v>20018</v>
      </c>
      <c r="B4029" s="8">
        <f t="shared" ref="B4029:C4029" si="4905">B3941</f>
        <v>40000</v>
      </c>
      <c r="C4029" s="8" t="str">
        <f t="shared" si="4905"/>
        <v>装备</v>
      </c>
      <c r="D4029" s="8">
        <v>40703061</v>
      </c>
      <c r="E4029" s="8"/>
      <c r="F4029" s="8">
        <v>1</v>
      </c>
      <c r="G4029" s="7">
        <f>3*INDEX([1]equip.xml!$I:$I,MATCH(D4029&amp;"",[1]equip.xml!$A:$A,0))</f>
        <v>219000</v>
      </c>
      <c r="H4029" s="8" t="str">
        <f t="shared" ref="H4029:J4029" si="4906">H3941</f>
        <v>10_10,50_20,80_30</v>
      </c>
      <c r="I4029" s="8">
        <v>6</v>
      </c>
      <c r="J4029" s="8">
        <f t="shared" si="4906"/>
        <v>50</v>
      </c>
      <c r="K4029" s="7" t="s">
        <v>312</v>
      </c>
      <c r="L4029" s="8">
        <v>44</v>
      </c>
      <c r="M4029" s="7">
        <f>IF(INDEX([1]equip.xml!$B:$B,MATCH(D4029&amp;"",[1]equip.xml!$A:$A,0))=0,0,N4029)</f>
        <v>0</v>
      </c>
      <c r="N4029" s="8">
        <v>60</v>
      </c>
    </row>
    <row r="4030" spans="1:14">
      <c r="A4030" s="7">
        <f t="shared" si="4866"/>
        <v>20018</v>
      </c>
      <c r="B4030" s="8">
        <f t="shared" ref="B4030:C4030" si="4907">B3942</f>
        <v>40000</v>
      </c>
      <c r="C4030" s="8" t="str">
        <f t="shared" si="4907"/>
        <v>装备</v>
      </c>
      <c r="D4030" s="8">
        <v>40700040</v>
      </c>
      <c r="E4030" s="8"/>
      <c r="F4030" s="8">
        <v>1</v>
      </c>
      <c r="G4030" s="7">
        <f>3*INDEX([1]equip.xml!$I:$I,MATCH(D4030&amp;"",[1]equip.xml!$A:$A,0))</f>
        <v>210000</v>
      </c>
      <c r="H4030" s="8" t="str">
        <f t="shared" ref="H4030:J4030" si="4908">H3942</f>
        <v>10_10,50_20,80_30</v>
      </c>
      <c r="I4030" s="8">
        <v>6</v>
      </c>
      <c r="J4030" s="8">
        <f t="shared" si="4908"/>
        <v>50</v>
      </c>
      <c r="K4030" s="7" t="s">
        <v>312</v>
      </c>
      <c r="L4030" s="8">
        <v>44</v>
      </c>
      <c r="M4030" s="7">
        <f>IF(INDEX([1]equip.xml!$B:$B,MATCH(D4030&amp;"",[1]equip.xml!$A:$A,0))=0,0,N4030)</f>
        <v>60</v>
      </c>
      <c r="N4030" s="8">
        <v>60</v>
      </c>
    </row>
    <row r="4031" spans="1:14">
      <c r="A4031" s="7">
        <f t="shared" si="4866"/>
        <v>20018</v>
      </c>
      <c r="B4031" s="8">
        <f t="shared" ref="B4031:C4031" si="4909">B3943</f>
        <v>40000</v>
      </c>
      <c r="C4031" s="8" t="str">
        <f t="shared" si="4909"/>
        <v>装备</v>
      </c>
      <c r="D4031" s="8">
        <v>40700041</v>
      </c>
      <c r="E4031" s="8"/>
      <c r="F4031" s="8">
        <v>1</v>
      </c>
      <c r="G4031" s="7">
        <f>3*INDEX([1]equip.xml!$I:$I,MATCH(D4031&amp;"",[1]equip.xml!$A:$A,0))</f>
        <v>219000</v>
      </c>
      <c r="H4031" s="8" t="str">
        <f t="shared" ref="H4031:J4031" si="4910">H3943</f>
        <v>10_10,50_20,80_30</v>
      </c>
      <c r="I4031" s="8">
        <v>6</v>
      </c>
      <c r="J4031" s="8">
        <f t="shared" si="4910"/>
        <v>50</v>
      </c>
      <c r="K4031" s="7" t="s">
        <v>312</v>
      </c>
      <c r="L4031" s="8">
        <v>44</v>
      </c>
      <c r="M4031" s="7">
        <f>IF(INDEX([1]equip.xml!$B:$B,MATCH(D4031&amp;"",[1]equip.xml!$A:$A,0))=0,0,N4031)</f>
        <v>0</v>
      </c>
      <c r="N4031" s="8">
        <v>60</v>
      </c>
    </row>
    <row r="4032" spans="1:14">
      <c r="A4032" s="7">
        <f t="shared" si="4866"/>
        <v>20018</v>
      </c>
      <c r="B4032" s="8">
        <f t="shared" ref="B4032:C4032" si="4911">B3944</f>
        <v>40000</v>
      </c>
      <c r="C4032" s="8" t="str">
        <f t="shared" si="4911"/>
        <v>装备</v>
      </c>
      <c r="D4032" s="8">
        <v>40700070</v>
      </c>
      <c r="E4032" s="8"/>
      <c r="F4032" s="8">
        <v>1</v>
      </c>
      <c r="G4032" s="7">
        <f>3*INDEX([1]equip.xml!$I:$I,MATCH(D4032&amp;"",[1]equip.xml!$A:$A,0))</f>
        <v>210000</v>
      </c>
      <c r="H4032" s="8" t="str">
        <f t="shared" ref="H4032:J4032" si="4912">H3944</f>
        <v>10_10,50_20,80_30</v>
      </c>
      <c r="I4032" s="8">
        <v>6</v>
      </c>
      <c r="J4032" s="8">
        <f t="shared" si="4912"/>
        <v>50</v>
      </c>
      <c r="K4032" s="7" t="s">
        <v>312</v>
      </c>
      <c r="L4032" s="8">
        <v>44</v>
      </c>
      <c r="M4032" s="7">
        <f>IF(INDEX([1]equip.xml!$B:$B,MATCH(D4032&amp;"",[1]equip.xml!$A:$A,0))=0,0,N4032)</f>
        <v>60</v>
      </c>
      <c r="N4032" s="8">
        <v>60</v>
      </c>
    </row>
    <row r="4033" spans="1:14">
      <c r="A4033" s="7">
        <f t="shared" si="4866"/>
        <v>20018</v>
      </c>
      <c r="B4033" s="8">
        <f t="shared" ref="B4033:C4033" si="4913">B3945</f>
        <v>40000</v>
      </c>
      <c r="C4033" s="8" t="str">
        <f t="shared" si="4913"/>
        <v>装备</v>
      </c>
      <c r="D4033" s="8">
        <v>40700071</v>
      </c>
      <c r="E4033" s="8"/>
      <c r="F4033" s="8">
        <v>1</v>
      </c>
      <c r="G4033" s="7">
        <f>3*INDEX([1]equip.xml!$I:$I,MATCH(D4033&amp;"",[1]equip.xml!$A:$A,0))</f>
        <v>219000</v>
      </c>
      <c r="H4033" s="8" t="str">
        <f t="shared" ref="H4033:J4033" si="4914">H3945</f>
        <v>10_10,50_20,80_30</v>
      </c>
      <c r="I4033" s="8">
        <v>6</v>
      </c>
      <c r="J4033" s="8">
        <f t="shared" si="4914"/>
        <v>50</v>
      </c>
      <c r="K4033" s="7" t="s">
        <v>312</v>
      </c>
      <c r="L4033" s="8">
        <v>44</v>
      </c>
      <c r="M4033" s="7">
        <f>IF(INDEX([1]equip.xml!$B:$B,MATCH(D4033&amp;"",[1]equip.xml!$A:$A,0))=0,0,N4033)</f>
        <v>0</v>
      </c>
      <c r="N4033" s="8">
        <v>60</v>
      </c>
    </row>
    <row r="4034" spans="1:14">
      <c r="A4034" s="7">
        <f t="shared" si="4866"/>
        <v>20018</v>
      </c>
      <c r="B4034" s="8">
        <f t="shared" ref="B4034:C4034" si="4915">B3946</f>
        <v>40000</v>
      </c>
      <c r="C4034" s="8" t="str">
        <f t="shared" si="4915"/>
        <v>装备</v>
      </c>
      <c r="D4034" s="8">
        <v>50650015</v>
      </c>
      <c r="E4034" s="8"/>
      <c r="F4034" s="8">
        <v>1</v>
      </c>
      <c r="G4034" s="8">
        <f>3*INDEX([1]equip.xml!$I:$I,MATCH(D4034,[1]equip.xml!$A:$A,0))</f>
        <v>390000</v>
      </c>
      <c r="H4034" s="8" t="str">
        <f t="shared" ref="H4034:J4034" si="4916">H3946</f>
        <v>10_10,50_20,80_30</v>
      </c>
      <c r="I4034" s="8">
        <v>1</v>
      </c>
      <c r="J4034" s="8">
        <f t="shared" si="4916"/>
        <v>240</v>
      </c>
      <c r="K4034" s="7" t="s">
        <v>312</v>
      </c>
      <c r="L4034" s="8">
        <v>44</v>
      </c>
      <c r="M4034" s="7">
        <f>IF(INDEX([1]equip.xml!$B:$B,MATCH(D4034,[1]equip.xml!$A:$A,0))=0,0,N4034)</f>
        <v>70</v>
      </c>
      <c r="N4034" s="8">
        <v>70</v>
      </c>
    </row>
    <row r="4035" spans="1:14">
      <c r="A4035" s="7">
        <f t="shared" si="4866"/>
        <v>20018</v>
      </c>
      <c r="B4035" s="8">
        <f t="shared" ref="B4035:C4035" si="4917">B3947</f>
        <v>40000</v>
      </c>
      <c r="C4035" s="8" t="str">
        <f t="shared" si="4917"/>
        <v>装备</v>
      </c>
      <c r="D4035" s="8">
        <v>50650025</v>
      </c>
      <c r="E4035" s="8"/>
      <c r="F4035" s="8">
        <v>1</v>
      </c>
      <c r="G4035" s="8">
        <f>3*INDEX([1]equip.xml!$I:$I,MATCH(D4035,[1]equip.xml!$A:$A,0))</f>
        <v>390000</v>
      </c>
      <c r="H4035" s="8" t="str">
        <f t="shared" ref="H4035:J4035" si="4918">H3947</f>
        <v>10_10,50_20,80_30</v>
      </c>
      <c r="I4035" s="8">
        <v>1</v>
      </c>
      <c r="J4035" s="8">
        <f t="shared" si="4918"/>
        <v>240</v>
      </c>
      <c r="K4035" s="7" t="s">
        <v>312</v>
      </c>
      <c r="L4035" s="8">
        <v>44</v>
      </c>
      <c r="M4035" s="7">
        <f>IF(INDEX([1]equip.xml!$B:$B,MATCH(D4035,[1]equip.xml!$A:$A,0))=0,0,N4035)</f>
        <v>70</v>
      </c>
      <c r="N4035" s="8">
        <v>70</v>
      </c>
    </row>
    <row r="4036" spans="1:14">
      <c r="A4036" s="7">
        <f t="shared" si="4866"/>
        <v>20018</v>
      </c>
      <c r="B4036" s="8">
        <f t="shared" ref="B4036:C4036" si="4919">B3948</f>
        <v>40000</v>
      </c>
      <c r="C4036" s="8" t="str">
        <f t="shared" si="4919"/>
        <v>装备</v>
      </c>
      <c r="D4036" s="8">
        <v>50650035</v>
      </c>
      <c r="E4036" s="8"/>
      <c r="F4036" s="8">
        <v>1</v>
      </c>
      <c r="G4036" s="8">
        <f>3*INDEX([1]equip.xml!$I:$I,MATCH(D4036,[1]equip.xml!$A:$A,0))</f>
        <v>390000</v>
      </c>
      <c r="H4036" s="8" t="str">
        <f t="shared" ref="H4036:J4036" si="4920">H3948</f>
        <v>10_10,50_20,80_30</v>
      </c>
      <c r="I4036" s="8">
        <v>1</v>
      </c>
      <c r="J4036" s="8">
        <f t="shared" si="4920"/>
        <v>240</v>
      </c>
      <c r="K4036" s="7" t="s">
        <v>312</v>
      </c>
      <c r="L4036" s="8">
        <v>44</v>
      </c>
      <c r="M4036" s="7">
        <f>IF(INDEX([1]equip.xml!$B:$B,MATCH(D4036,[1]equip.xml!$A:$A,0))=0,0,N4036)</f>
        <v>70</v>
      </c>
      <c r="N4036" s="8">
        <v>70</v>
      </c>
    </row>
    <row r="4037" spans="1:14">
      <c r="A4037" s="7">
        <f t="shared" si="4866"/>
        <v>20018</v>
      </c>
      <c r="B4037" s="8">
        <f t="shared" ref="B4037:C4037" si="4921">B3949</f>
        <v>40000</v>
      </c>
      <c r="C4037" s="8" t="str">
        <f t="shared" si="4921"/>
        <v>装备</v>
      </c>
      <c r="D4037" s="8">
        <v>50650085</v>
      </c>
      <c r="E4037" s="8"/>
      <c r="F4037" s="8">
        <v>1</v>
      </c>
      <c r="G4037" s="8">
        <f>3*INDEX([1]equip.xml!$I:$I,MATCH(D4037,[1]equip.xml!$A:$A,0))</f>
        <v>390000</v>
      </c>
      <c r="H4037" s="8" t="str">
        <f t="shared" ref="H4037:J4037" si="4922">H3949</f>
        <v>10_10,50_20,80_30</v>
      </c>
      <c r="I4037" s="8">
        <v>1</v>
      </c>
      <c r="J4037" s="8">
        <f t="shared" si="4922"/>
        <v>240</v>
      </c>
      <c r="K4037" s="7" t="s">
        <v>312</v>
      </c>
      <c r="L4037" s="8">
        <v>44</v>
      </c>
      <c r="M4037" s="7">
        <f>IF(INDEX([1]equip.xml!$B:$B,MATCH(D4037,[1]equip.xml!$A:$A,0))=0,0,N4037)</f>
        <v>70</v>
      </c>
      <c r="N4037" s="8">
        <v>70</v>
      </c>
    </row>
    <row r="4038" spans="1:14">
      <c r="A4038" s="7">
        <f t="shared" si="4866"/>
        <v>20018</v>
      </c>
      <c r="B4038" s="8">
        <f t="shared" ref="B4038:C4038" si="4923">B3950</f>
        <v>40000</v>
      </c>
      <c r="C4038" s="8" t="str">
        <f t="shared" si="4923"/>
        <v>装备</v>
      </c>
      <c r="D4038" s="8">
        <v>50650095</v>
      </c>
      <c r="E4038" s="8"/>
      <c r="F4038" s="8">
        <v>1</v>
      </c>
      <c r="G4038" s="8">
        <f>3*INDEX([1]equip.xml!$I:$I,MATCH(D4038,[1]equip.xml!$A:$A,0))</f>
        <v>390000</v>
      </c>
      <c r="H4038" s="8" t="str">
        <f t="shared" ref="H4038:J4038" si="4924">H3950</f>
        <v>10_10,50_20,80_30</v>
      </c>
      <c r="I4038" s="8">
        <v>1</v>
      </c>
      <c r="J4038" s="8">
        <f t="shared" si="4924"/>
        <v>240</v>
      </c>
      <c r="K4038" s="7" t="s">
        <v>312</v>
      </c>
      <c r="L4038" s="8">
        <v>44</v>
      </c>
      <c r="M4038" s="7">
        <f>IF(INDEX([1]equip.xml!$B:$B,MATCH(D4038,[1]equip.xml!$A:$A,0))=0,0,N4038)</f>
        <v>70</v>
      </c>
      <c r="N4038" s="8">
        <v>70</v>
      </c>
    </row>
    <row r="4039" spans="1:14">
      <c r="A4039" s="7">
        <f t="shared" si="4866"/>
        <v>20018</v>
      </c>
      <c r="B4039" s="8">
        <f t="shared" ref="B4039:C4039" si="4925">B3951</f>
        <v>40000</v>
      </c>
      <c r="C4039" s="8" t="str">
        <f t="shared" si="4925"/>
        <v>装备</v>
      </c>
      <c r="D4039" s="8">
        <v>50650105</v>
      </c>
      <c r="E4039" s="8"/>
      <c r="F4039" s="8">
        <v>1</v>
      </c>
      <c r="G4039" s="8">
        <f>3*INDEX([1]equip.xml!$I:$I,MATCH(D4039,[1]equip.xml!$A:$A,0))</f>
        <v>390000</v>
      </c>
      <c r="H4039" s="8" t="str">
        <f t="shared" ref="H4039:J4039" si="4926">H3951</f>
        <v>10_10,50_20,80_30</v>
      </c>
      <c r="I4039" s="8">
        <v>1</v>
      </c>
      <c r="J4039" s="8">
        <f t="shared" si="4926"/>
        <v>240</v>
      </c>
      <c r="K4039" s="7" t="s">
        <v>312</v>
      </c>
      <c r="L4039" s="8">
        <v>44</v>
      </c>
      <c r="M4039" s="7">
        <f>IF(INDEX([1]equip.xml!$B:$B,MATCH(D4039,[1]equip.xml!$A:$A,0))=0,0,N4039)</f>
        <v>70</v>
      </c>
      <c r="N4039" s="8">
        <v>70</v>
      </c>
    </row>
    <row r="4040" spans="1:14">
      <c r="A4040" s="7">
        <f t="shared" si="4866"/>
        <v>20018</v>
      </c>
      <c r="B4040" s="8">
        <f t="shared" ref="B4040:C4040" si="4927">B3952</f>
        <v>40000</v>
      </c>
      <c r="C4040" s="8" t="str">
        <f t="shared" si="4927"/>
        <v>装备</v>
      </c>
      <c r="D4040" s="8">
        <v>50651055</v>
      </c>
      <c r="E4040" s="8"/>
      <c r="F4040" s="8">
        <v>1</v>
      </c>
      <c r="G4040" s="8">
        <f>3*INDEX([1]equip.xml!$I:$I,MATCH(D4040,[1]equip.xml!$A:$A,0))</f>
        <v>390000</v>
      </c>
      <c r="H4040" s="8" t="str">
        <f t="shared" ref="H4040:J4040" si="4928">H3952</f>
        <v>10_10,50_20,80_30</v>
      </c>
      <c r="I4040" s="8">
        <v>1</v>
      </c>
      <c r="J4040" s="8">
        <f t="shared" si="4928"/>
        <v>240</v>
      </c>
      <c r="K4040" s="7" t="s">
        <v>312</v>
      </c>
      <c r="L4040" s="8">
        <v>44</v>
      </c>
      <c r="M4040" s="7">
        <f>IF(INDEX([1]equip.xml!$B:$B,MATCH(D4040,[1]equip.xml!$A:$A,0))=0,0,N4040)</f>
        <v>70</v>
      </c>
      <c r="N4040" s="8">
        <v>70</v>
      </c>
    </row>
    <row r="4041" spans="1:14">
      <c r="A4041" s="7">
        <f t="shared" si="4866"/>
        <v>20018</v>
      </c>
      <c r="B4041" s="8">
        <f t="shared" ref="B4041:C4041" si="4929">B3953</f>
        <v>40000</v>
      </c>
      <c r="C4041" s="8" t="str">
        <f t="shared" si="4929"/>
        <v>装备</v>
      </c>
      <c r="D4041" s="8">
        <v>50651056</v>
      </c>
      <c r="E4041" s="8"/>
      <c r="F4041" s="8">
        <v>1</v>
      </c>
      <c r="G4041" s="8">
        <f>3*INDEX([1]equip.xml!$I:$I,MATCH(D4041,[1]equip.xml!$A:$A,0))</f>
        <v>408000</v>
      </c>
      <c r="H4041" s="8" t="str">
        <f t="shared" ref="H4041:J4041" si="4930">H3953</f>
        <v>10_10,50_20,80_30</v>
      </c>
      <c r="I4041" s="8">
        <v>1</v>
      </c>
      <c r="J4041" s="8">
        <f t="shared" si="4930"/>
        <v>240</v>
      </c>
      <c r="K4041" s="7" t="s">
        <v>312</v>
      </c>
      <c r="L4041" s="8">
        <v>44</v>
      </c>
      <c r="M4041" s="7">
        <f>IF(INDEX([1]equip.xml!$B:$B,MATCH(D4041,[1]equip.xml!$A:$A,0))=0,0,N4041)</f>
        <v>0</v>
      </c>
      <c r="N4041" s="8">
        <v>70</v>
      </c>
    </row>
    <row r="4042" spans="1:14">
      <c r="A4042" s="7">
        <f t="shared" si="4866"/>
        <v>20018</v>
      </c>
      <c r="B4042" s="8">
        <f t="shared" ref="B4042:C4042" si="4931">B3954</f>
        <v>40000</v>
      </c>
      <c r="C4042" s="8" t="str">
        <f t="shared" si="4931"/>
        <v>装备</v>
      </c>
      <c r="D4042" s="8">
        <v>50651065</v>
      </c>
      <c r="E4042" s="8"/>
      <c r="F4042" s="8">
        <v>1</v>
      </c>
      <c r="G4042" s="8">
        <f>3*INDEX([1]equip.xml!$I:$I,MATCH(D4042,[1]equip.xml!$A:$A,0))</f>
        <v>390000</v>
      </c>
      <c r="H4042" s="8" t="str">
        <f t="shared" ref="H4042:J4042" si="4932">H3954</f>
        <v>10_10,50_20,80_30</v>
      </c>
      <c r="I4042" s="8">
        <v>1</v>
      </c>
      <c r="J4042" s="8">
        <f t="shared" si="4932"/>
        <v>240</v>
      </c>
      <c r="K4042" s="7" t="s">
        <v>312</v>
      </c>
      <c r="L4042" s="8">
        <v>44</v>
      </c>
      <c r="M4042" s="7">
        <f>IF(INDEX([1]equip.xml!$B:$B,MATCH(D4042,[1]equip.xml!$A:$A,0))=0,0,N4042)</f>
        <v>70</v>
      </c>
      <c r="N4042" s="8">
        <v>70</v>
      </c>
    </row>
    <row r="4043" spans="1:14">
      <c r="A4043" s="7">
        <f t="shared" si="4866"/>
        <v>20018</v>
      </c>
      <c r="B4043" s="8">
        <f t="shared" ref="B4043:C4043" si="4933">B3955</f>
        <v>40000</v>
      </c>
      <c r="C4043" s="8" t="str">
        <f t="shared" si="4933"/>
        <v>装备</v>
      </c>
      <c r="D4043" s="8">
        <v>50651066</v>
      </c>
      <c r="E4043" s="8"/>
      <c r="F4043" s="8">
        <v>1</v>
      </c>
      <c r="G4043" s="8">
        <f>3*INDEX([1]equip.xml!$I:$I,MATCH(D4043,[1]equip.xml!$A:$A,0))</f>
        <v>408000</v>
      </c>
      <c r="H4043" s="8" t="str">
        <f t="shared" ref="H4043:J4043" si="4934">H3955</f>
        <v>10_10,50_20,80_30</v>
      </c>
      <c r="I4043" s="8">
        <v>1</v>
      </c>
      <c r="J4043" s="8">
        <f t="shared" si="4934"/>
        <v>240</v>
      </c>
      <c r="K4043" s="7" t="s">
        <v>312</v>
      </c>
      <c r="L4043" s="8">
        <v>44</v>
      </c>
      <c r="M4043" s="7">
        <f>IF(INDEX([1]equip.xml!$B:$B,MATCH(D4043,[1]equip.xml!$A:$A,0))=0,0,N4043)</f>
        <v>0</v>
      </c>
      <c r="N4043" s="8">
        <v>70</v>
      </c>
    </row>
    <row r="4044" spans="1:14">
      <c r="A4044" s="7">
        <f t="shared" si="4866"/>
        <v>20018</v>
      </c>
      <c r="B4044" s="8">
        <f t="shared" ref="B4044:C4044" si="4935">B3956</f>
        <v>40000</v>
      </c>
      <c r="C4044" s="8" t="str">
        <f t="shared" si="4935"/>
        <v>装备</v>
      </c>
      <c r="D4044" s="8">
        <v>50652055</v>
      </c>
      <c r="E4044" s="8"/>
      <c r="F4044" s="8">
        <v>1</v>
      </c>
      <c r="G4044" s="8">
        <f>3*INDEX([1]equip.xml!$I:$I,MATCH(D4044,[1]equip.xml!$A:$A,0))</f>
        <v>390000</v>
      </c>
      <c r="H4044" s="8" t="str">
        <f t="shared" ref="H4044:J4044" si="4936">H3956</f>
        <v>10_10,50_20,80_30</v>
      </c>
      <c r="I4044" s="8">
        <v>1</v>
      </c>
      <c r="J4044" s="8">
        <f t="shared" si="4936"/>
        <v>240</v>
      </c>
      <c r="K4044" s="7" t="s">
        <v>312</v>
      </c>
      <c r="L4044" s="8">
        <v>44</v>
      </c>
      <c r="M4044" s="7">
        <f>IF(INDEX([1]equip.xml!$B:$B,MATCH(D4044,[1]equip.xml!$A:$A,0))=0,0,N4044)</f>
        <v>70</v>
      </c>
      <c r="N4044" s="8">
        <v>70</v>
      </c>
    </row>
    <row r="4045" spans="1:14">
      <c r="A4045" s="7">
        <f t="shared" si="4866"/>
        <v>20018</v>
      </c>
      <c r="B4045" s="8">
        <f t="shared" ref="B4045:C4045" si="4937">B3957</f>
        <v>40000</v>
      </c>
      <c r="C4045" s="8" t="str">
        <f t="shared" si="4937"/>
        <v>装备</v>
      </c>
      <c r="D4045" s="8">
        <v>50652056</v>
      </c>
      <c r="E4045" s="8"/>
      <c r="F4045" s="8">
        <v>1</v>
      </c>
      <c r="G4045" s="8">
        <f>3*INDEX([1]equip.xml!$I:$I,MATCH(D4045,[1]equip.xml!$A:$A,0))</f>
        <v>408000</v>
      </c>
      <c r="H4045" s="8" t="str">
        <f t="shared" ref="H4045:J4045" si="4938">H3957</f>
        <v>10_10,50_20,80_30</v>
      </c>
      <c r="I4045" s="8">
        <v>1</v>
      </c>
      <c r="J4045" s="8">
        <f t="shared" si="4938"/>
        <v>240</v>
      </c>
      <c r="K4045" s="7" t="s">
        <v>312</v>
      </c>
      <c r="L4045" s="8">
        <v>44</v>
      </c>
      <c r="M4045" s="7">
        <f>IF(INDEX([1]equip.xml!$B:$B,MATCH(D4045,[1]equip.xml!$A:$A,0))=0,0,N4045)</f>
        <v>0</v>
      </c>
      <c r="N4045" s="8">
        <v>70</v>
      </c>
    </row>
    <row r="4046" spans="1:14">
      <c r="A4046" s="7">
        <f t="shared" si="4866"/>
        <v>20018</v>
      </c>
      <c r="B4046" s="8">
        <f t="shared" ref="B4046:C4046" si="4939">B3958</f>
        <v>40000</v>
      </c>
      <c r="C4046" s="8" t="str">
        <f t="shared" si="4939"/>
        <v>装备</v>
      </c>
      <c r="D4046" s="8">
        <v>50652065</v>
      </c>
      <c r="E4046" s="8"/>
      <c r="F4046" s="8">
        <v>1</v>
      </c>
      <c r="G4046" s="8">
        <f>3*INDEX([1]equip.xml!$I:$I,MATCH(D4046,[1]equip.xml!$A:$A,0))</f>
        <v>390000</v>
      </c>
      <c r="H4046" s="8" t="str">
        <f t="shared" ref="H4046:J4046" si="4940">H3958</f>
        <v>10_10,50_20,80_30</v>
      </c>
      <c r="I4046" s="8">
        <v>1</v>
      </c>
      <c r="J4046" s="8">
        <f t="shared" si="4940"/>
        <v>240</v>
      </c>
      <c r="K4046" s="7" t="s">
        <v>312</v>
      </c>
      <c r="L4046" s="8">
        <v>44</v>
      </c>
      <c r="M4046" s="7">
        <f>IF(INDEX([1]equip.xml!$B:$B,MATCH(D4046,[1]equip.xml!$A:$A,0))=0,0,N4046)</f>
        <v>70</v>
      </c>
      <c r="N4046" s="8">
        <v>70</v>
      </c>
    </row>
    <row r="4047" spans="1:14">
      <c r="A4047" s="7">
        <f t="shared" si="4866"/>
        <v>20018</v>
      </c>
      <c r="B4047" s="8">
        <f t="shared" ref="B4047:C4047" si="4941">B3959</f>
        <v>40000</v>
      </c>
      <c r="C4047" s="8" t="str">
        <f t="shared" si="4941"/>
        <v>装备</v>
      </c>
      <c r="D4047" s="8">
        <v>50652066</v>
      </c>
      <c r="E4047" s="8"/>
      <c r="F4047" s="8">
        <v>1</v>
      </c>
      <c r="G4047" s="8">
        <f>3*INDEX([1]equip.xml!$I:$I,MATCH(D4047,[1]equip.xml!$A:$A,0))</f>
        <v>408000</v>
      </c>
      <c r="H4047" s="8" t="str">
        <f t="shared" ref="H4047:J4047" si="4942">H3959</f>
        <v>10_10,50_20,80_30</v>
      </c>
      <c r="I4047" s="8">
        <v>1</v>
      </c>
      <c r="J4047" s="8">
        <f t="shared" si="4942"/>
        <v>240</v>
      </c>
      <c r="K4047" s="7" t="s">
        <v>312</v>
      </c>
      <c r="L4047" s="8">
        <v>44</v>
      </c>
      <c r="M4047" s="7">
        <f>IF(INDEX([1]equip.xml!$B:$B,MATCH(D4047,[1]equip.xml!$A:$A,0))=0,0,N4047)</f>
        <v>0</v>
      </c>
      <c r="N4047" s="8">
        <v>70</v>
      </c>
    </row>
    <row r="4048" spans="1:14">
      <c r="A4048" s="7">
        <f t="shared" si="4866"/>
        <v>20018</v>
      </c>
      <c r="B4048" s="8">
        <f t="shared" ref="B4048:C4048" si="4943">B3960</f>
        <v>40000</v>
      </c>
      <c r="C4048" s="8" t="str">
        <f t="shared" si="4943"/>
        <v>装备</v>
      </c>
      <c r="D4048" s="8">
        <v>50653055</v>
      </c>
      <c r="E4048" s="8"/>
      <c r="F4048" s="8">
        <v>1</v>
      </c>
      <c r="G4048" s="8">
        <f>3*INDEX([1]equip.xml!$I:$I,MATCH(D4048,[1]equip.xml!$A:$A,0))</f>
        <v>390000</v>
      </c>
      <c r="H4048" s="8" t="str">
        <f t="shared" ref="H4048:J4048" si="4944">H3960</f>
        <v>10_10,50_20,80_30</v>
      </c>
      <c r="I4048" s="8">
        <v>1</v>
      </c>
      <c r="J4048" s="8">
        <f t="shared" si="4944"/>
        <v>240</v>
      </c>
      <c r="K4048" s="7" t="s">
        <v>312</v>
      </c>
      <c r="L4048" s="8">
        <v>44</v>
      </c>
      <c r="M4048" s="7">
        <f>IF(INDEX([1]equip.xml!$B:$B,MATCH(D4048,[1]equip.xml!$A:$A,0))=0,0,N4048)</f>
        <v>70</v>
      </c>
      <c r="N4048" s="8">
        <v>70</v>
      </c>
    </row>
    <row r="4049" spans="1:14">
      <c r="A4049" s="7">
        <f t="shared" si="4866"/>
        <v>20018</v>
      </c>
      <c r="B4049" s="8">
        <f t="shared" ref="B4049:C4049" si="4945">B3961</f>
        <v>40000</v>
      </c>
      <c r="C4049" s="8" t="str">
        <f t="shared" si="4945"/>
        <v>装备</v>
      </c>
      <c r="D4049" s="8">
        <v>50653056</v>
      </c>
      <c r="E4049" s="8"/>
      <c r="F4049" s="8">
        <v>1</v>
      </c>
      <c r="G4049" s="8">
        <f>3*INDEX([1]equip.xml!$I:$I,MATCH(D4049,[1]equip.xml!$A:$A,0))</f>
        <v>408000</v>
      </c>
      <c r="H4049" s="8" t="str">
        <f t="shared" ref="H4049:J4049" si="4946">H3961</f>
        <v>10_10,50_20,80_30</v>
      </c>
      <c r="I4049" s="8">
        <v>1</v>
      </c>
      <c r="J4049" s="8">
        <f t="shared" si="4946"/>
        <v>240</v>
      </c>
      <c r="K4049" s="7" t="s">
        <v>312</v>
      </c>
      <c r="L4049" s="8">
        <v>44</v>
      </c>
      <c r="M4049" s="7">
        <f>IF(INDEX([1]equip.xml!$B:$B,MATCH(D4049,[1]equip.xml!$A:$A,0))=0,0,N4049)</f>
        <v>0</v>
      </c>
      <c r="N4049" s="8">
        <v>70</v>
      </c>
    </row>
    <row r="4050" spans="1:14">
      <c r="A4050" s="7">
        <f t="shared" si="4866"/>
        <v>20018</v>
      </c>
      <c r="B4050" s="8">
        <f t="shared" ref="B4050:C4050" si="4947">B3962</f>
        <v>40000</v>
      </c>
      <c r="C4050" s="8" t="str">
        <f t="shared" si="4947"/>
        <v>装备</v>
      </c>
      <c r="D4050" s="8">
        <v>50653065</v>
      </c>
      <c r="E4050" s="8"/>
      <c r="F4050" s="8">
        <v>1</v>
      </c>
      <c r="G4050" s="8">
        <f>3*INDEX([1]equip.xml!$I:$I,MATCH(D4050,[1]equip.xml!$A:$A,0))</f>
        <v>390000</v>
      </c>
      <c r="H4050" s="8" t="str">
        <f t="shared" ref="H4050:J4050" si="4948">H3962</f>
        <v>10_10,50_20,80_30</v>
      </c>
      <c r="I4050" s="8">
        <v>1</v>
      </c>
      <c r="J4050" s="8">
        <f t="shared" si="4948"/>
        <v>240</v>
      </c>
      <c r="K4050" s="7" t="s">
        <v>312</v>
      </c>
      <c r="L4050" s="8">
        <v>44</v>
      </c>
      <c r="M4050" s="7">
        <f>IF(INDEX([1]equip.xml!$B:$B,MATCH(D4050,[1]equip.xml!$A:$A,0))=0,0,N4050)</f>
        <v>70</v>
      </c>
      <c r="N4050" s="8">
        <v>70</v>
      </c>
    </row>
    <row r="4051" spans="1:14">
      <c r="A4051" s="7">
        <f t="shared" si="4866"/>
        <v>20018</v>
      </c>
      <c r="B4051" s="8">
        <f t="shared" ref="B4051:C4051" si="4949">B3963</f>
        <v>40000</v>
      </c>
      <c r="C4051" s="8" t="str">
        <f t="shared" si="4949"/>
        <v>装备</v>
      </c>
      <c r="D4051" s="8">
        <v>50653066</v>
      </c>
      <c r="E4051" s="8"/>
      <c r="F4051" s="8">
        <v>1</v>
      </c>
      <c r="G4051" s="8">
        <f>3*INDEX([1]equip.xml!$I:$I,MATCH(D4051,[1]equip.xml!$A:$A,0))</f>
        <v>408000</v>
      </c>
      <c r="H4051" s="8" t="str">
        <f t="shared" ref="H4051:J4051" si="4950">H3963</f>
        <v>10_10,50_20,80_30</v>
      </c>
      <c r="I4051" s="8">
        <v>1</v>
      </c>
      <c r="J4051" s="8">
        <f t="shared" si="4950"/>
        <v>240</v>
      </c>
      <c r="K4051" s="7" t="s">
        <v>312</v>
      </c>
      <c r="L4051" s="8">
        <v>44</v>
      </c>
      <c r="M4051" s="7">
        <f>IF(INDEX([1]equip.xml!$B:$B,MATCH(D4051,[1]equip.xml!$A:$A,0))=0,0,N4051)</f>
        <v>0</v>
      </c>
      <c r="N4051" s="8">
        <v>70</v>
      </c>
    </row>
    <row r="4052" spans="1:14">
      <c r="A4052" s="7">
        <f t="shared" si="4866"/>
        <v>20018</v>
      </c>
      <c r="B4052" s="8">
        <f t="shared" ref="B4052:C4052" si="4951">B3964</f>
        <v>40000</v>
      </c>
      <c r="C4052" s="8" t="str">
        <f t="shared" si="4951"/>
        <v>装备</v>
      </c>
      <c r="D4052" s="8">
        <v>50650045</v>
      </c>
      <c r="E4052" s="8"/>
      <c r="F4052" s="8">
        <v>1</v>
      </c>
      <c r="G4052" s="8">
        <f>3*INDEX([1]equip.xml!$I:$I,MATCH(D4052,[1]equip.xml!$A:$A,0))</f>
        <v>390000</v>
      </c>
      <c r="H4052" s="8" t="str">
        <f t="shared" ref="H4052:J4052" si="4952">H3964</f>
        <v>10_10,50_20,80_30</v>
      </c>
      <c r="I4052" s="8">
        <v>1</v>
      </c>
      <c r="J4052" s="8">
        <f t="shared" si="4952"/>
        <v>240</v>
      </c>
      <c r="K4052" s="7" t="s">
        <v>312</v>
      </c>
      <c r="L4052" s="8">
        <v>44</v>
      </c>
      <c r="M4052" s="7">
        <f>IF(INDEX([1]equip.xml!$B:$B,MATCH(D4052,[1]equip.xml!$A:$A,0))=0,0,N4052)</f>
        <v>70</v>
      </c>
      <c r="N4052" s="8">
        <v>70</v>
      </c>
    </row>
    <row r="4053" spans="1:14">
      <c r="A4053" s="7">
        <f t="shared" si="4866"/>
        <v>20018</v>
      </c>
      <c r="B4053" s="8">
        <f t="shared" ref="B4053:C4053" si="4953">B3965</f>
        <v>40000</v>
      </c>
      <c r="C4053" s="8" t="str">
        <f t="shared" si="4953"/>
        <v>装备</v>
      </c>
      <c r="D4053" s="8">
        <v>50650046</v>
      </c>
      <c r="E4053" s="8"/>
      <c r="F4053" s="8">
        <v>1</v>
      </c>
      <c r="G4053" s="8">
        <f>3*INDEX([1]equip.xml!$I:$I,MATCH(D4053,[1]equip.xml!$A:$A,0))</f>
        <v>408000</v>
      </c>
      <c r="H4053" s="8" t="str">
        <f t="shared" ref="H4053:J4053" si="4954">H3965</f>
        <v>10_10,50_20,80_30</v>
      </c>
      <c r="I4053" s="8">
        <v>1</v>
      </c>
      <c r="J4053" s="8">
        <f t="shared" si="4954"/>
        <v>240</v>
      </c>
      <c r="K4053" s="7" t="s">
        <v>312</v>
      </c>
      <c r="L4053" s="8">
        <v>44</v>
      </c>
      <c r="M4053" s="7">
        <f>IF(INDEX([1]equip.xml!$B:$B,MATCH(D4053,[1]equip.xml!$A:$A,0))=0,0,N4053)</f>
        <v>0</v>
      </c>
      <c r="N4053" s="8">
        <v>70</v>
      </c>
    </row>
    <row r="4054" spans="1:14">
      <c r="A4054" s="7">
        <f t="shared" si="4866"/>
        <v>20018</v>
      </c>
      <c r="B4054" s="8">
        <f t="shared" ref="B4054:C4054" si="4955">B3966</f>
        <v>40000</v>
      </c>
      <c r="C4054" s="8" t="str">
        <f t="shared" si="4955"/>
        <v>装备</v>
      </c>
      <c r="D4054" s="8">
        <v>50650075</v>
      </c>
      <c r="E4054" s="8"/>
      <c r="F4054" s="8">
        <v>1</v>
      </c>
      <c r="G4054" s="8">
        <f>3*INDEX([1]equip.xml!$I:$I,MATCH(D4054,[1]equip.xml!$A:$A,0))</f>
        <v>390000</v>
      </c>
      <c r="H4054" s="8" t="str">
        <f t="shared" ref="H4054:J4054" si="4956">H3966</f>
        <v>10_10,50_20,80_30</v>
      </c>
      <c r="I4054" s="8">
        <v>1</v>
      </c>
      <c r="J4054" s="8">
        <f t="shared" si="4956"/>
        <v>240</v>
      </c>
      <c r="K4054" s="7" t="s">
        <v>312</v>
      </c>
      <c r="L4054" s="8">
        <v>44</v>
      </c>
      <c r="M4054" s="7">
        <f>IF(INDEX([1]equip.xml!$B:$B,MATCH(D4054,[1]equip.xml!$A:$A,0))=0,0,N4054)</f>
        <v>70</v>
      </c>
      <c r="N4054" s="8">
        <v>70</v>
      </c>
    </row>
    <row r="4055" spans="1:14">
      <c r="A4055" s="7">
        <f t="shared" si="4866"/>
        <v>20018</v>
      </c>
      <c r="B4055" s="8">
        <f t="shared" ref="B4055:C4055" si="4957">B3967</f>
        <v>40000</v>
      </c>
      <c r="C4055" s="8" t="str">
        <f t="shared" si="4957"/>
        <v>装备</v>
      </c>
      <c r="D4055" s="8">
        <v>50650076</v>
      </c>
      <c r="E4055" s="8"/>
      <c r="F4055" s="8">
        <v>1</v>
      </c>
      <c r="G4055" s="8">
        <f>3*INDEX([1]equip.xml!$I:$I,MATCH(D4055,[1]equip.xml!$A:$A,0))</f>
        <v>408000</v>
      </c>
      <c r="H4055" s="8" t="str">
        <f t="shared" ref="H4055:J4055" si="4958">H3967</f>
        <v>10_10,50_20,80_30</v>
      </c>
      <c r="I4055" s="8">
        <v>1</v>
      </c>
      <c r="J4055" s="8">
        <f t="shared" si="4958"/>
        <v>240</v>
      </c>
      <c r="K4055" s="7" t="s">
        <v>312</v>
      </c>
      <c r="L4055" s="8">
        <v>44</v>
      </c>
      <c r="M4055" s="7">
        <f>IF(INDEX([1]equip.xml!$B:$B,MATCH(D4055,[1]equip.xml!$A:$A,0))=0,0,N4055)</f>
        <v>0</v>
      </c>
      <c r="N4055" s="8">
        <v>70</v>
      </c>
    </row>
    <row r="4056" spans="1:14">
      <c r="A4056" s="7">
        <f t="shared" si="4866"/>
        <v>20018</v>
      </c>
      <c r="B4056" s="8">
        <f t="shared" ref="B4056:C4056" si="4959">B3968</f>
        <v>40000</v>
      </c>
      <c r="C4056" s="8" t="str">
        <f t="shared" si="4959"/>
        <v>装备</v>
      </c>
      <c r="D4056" s="8">
        <v>50700015</v>
      </c>
      <c r="E4056" s="8"/>
      <c r="F4056" s="8">
        <v>1</v>
      </c>
      <c r="G4056" s="8">
        <f>3*INDEX([1]equip.xml!$I:$I,MATCH(D4056,[1]equip.xml!$A:$A,0))</f>
        <v>420000</v>
      </c>
      <c r="H4056" s="8" t="str">
        <f t="shared" ref="H4056:J4056" si="4960">H3968</f>
        <v>10_10,50_20,80_30</v>
      </c>
      <c r="I4056" s="8">
        <v>1</v>
      </c>
      <c r="J4056" s="8">
        <f t="shared" si="4960"/>
        <v>240</v>
      </c>
      <c r="K4056" s="7" t="s">
        <v>312</v>
      </c>
      <c r="L4056" s="8">
        <v>44</v>
      </c>
      <c r="M4056" s="7">
        <f>IF(INDEX([1]equip.xml!$B:$B,MATCH(D4056,[1]equip.xml!$A:$A,0))=0,0,N4056)</f>
        <v>25</v>
      </c>
      <c r="N4056" s="8">
        <v>25</v>
      </c>
    </row>
    <row r="4057" spans="1:14">
      <c r="A4057" s="7">
        <f t="shared" si="4866"/>
        <v>20018</v>
      </c>
      <c r="B4057" s="8">
        <f t="shared" ref="B4057:C4057" si="4961">B3969</f>
        <v>40000</v>
      </c>
      <c r="C4057" s="8" t="str">
        <f t="shared" si="4961"/>
        <v>装备</v>
      </c>
      <c r="D4057" s="8">
        <v>50700025</v>
      </c>
      <c r="E4057" s="8"/>
      <c r="F4057" s="8">
        <v>1</v>
      </c>
      <c r="G4057" s="8">
        <f>3*INDEX([1]equip.xml!$I:$I,MATCH(D4057,[1]equip.xml!$A:$A,0))</f>
        <v>420000</v>
      </c>
      <c r="H4057" s="8" t="str">
        <f t="shared" ref="H4057:J4057" si="4962">H3969</f>
        <v>10_10,50_20,80_30</v>
      </c>
      <c r="I4057" s="8">
        <v>1</v>
      </c>
      <c r="J4057" s="8">
        <f t="shared" si="4962"/>
        <v>240</v>
      </c>
      <c r="K4057" s="7" t="s">
        <v>312</v>
      </c>
      <c r="L4057" s="8">
        <v>44</v>
      </c>
      <c r="M4057" s="7">
        <f>IF(INDEX([1]equip.xml!$B:$B,MATCH(D4057,[1]equip.xml!$A:$A,0))=0,0,N4057)</f>
        <v>25</v>
      </c>
      <c r="N4057" s="8">
        <v>25</v>
      </c>
    </row>
    <row r="4058" spans="1:14">
      <c r="A4058" s="7">
        <f t="shared" si="4866"/>
        <v>20018</v>
      </c>
      <c r="B4058" s="8">
        <f t="shared" ref="B4058:C4058" si="4963">B3970</f>
        <v>40000</v>
      </c>
      <c r="C4058" s="8" t="str">
        <f t="shared" si="4963"/>
        <v>装备</v>
      </c>
      <c r="D4058" s="8">
        <v>50700035</v>
      </c>
      <c r="E4058" s="8"/>
      <c r="F4058" s="8">
        <v>1</v>
      </c>
      <c r="G4058" s="8">
        <f>3*INDEX([1]equip.xml!$I:$I,MATCH(D4058,[1]equip.xml!$A:$A,0))</f>
        <v>420000</v>
      </c>
      <c r="H4058" s="8" t="str">
        <f t="shared" ref="H4058:J4058" si="4964">H3970</f>
        <v>10_10,50_20,80_30</v>
      </c>
      <c r="I4058" s="8">
        <v>1</v>
      </c>
      <c r="J4058" s="8">
        <f t="shared" si="4964"/>
        <v>240</v>
      </c>
      <c r="K4058" s="7" t="s">
        <v>312</v>
      </c>
      <c r="L4058" s="8">
        <v>44</v>
      </c>
      <c r="M4058" s="7">
        <f>IF(INDEX([1]equip.xml!$B:$B,MATCH(D4058,[1]equip.xml!$A:$A,0))=0,0,N4058)</f>
        <v>25</v>
      </c>
      <c r="N4058" s="8">
        <v>25</v>
      </c>
    </row>
    <row r="4059" spans="1:14">
      <c r="A4059" s="7">
        <f t="shared" si="4866"/>
        <v>20018</v>
      </c>
      <c r="B4059" s="8">
        <f t="shared" ref="B4059:C4059" si="4965">B3971</f>
        <v>40000</v>
      </c>
      <c r="C4059" s="8" t="str">
        <f t="shared" si="4965"/>
        <v>装备</v>
      </c>
      <c r="D4059" s="8">
        <v>50700085</v>
      </c>
      <c r="E4059" s="8"/>
      <c r="F4059" s="8">
        <v>1</v>
      </c>
      <c r="G4059" s="8">
        <f>3*INDEX([1]equip.xml!$I:$I,MATCH(D4059,[1]equip.xml!$A:$A,0))</f>
        <v>420000</v>
      </c>
      <c r="H4059" s="8" t="str">
        <f t="shared" ref="H4059:J4059" si="4966">H3971</f>
        <v>10_10,50_20,80_30</v>
      </c>
      <c r="I4059" s="8">
        <v>1</v>
      </c>
      <c r="J4059" s="8">
        <f t="shared" si="4966"/>
        <v>240</v>
      </c>
      <c r="K4059" s="7" t="s">
        <v>312</v>
      </c>
      <c r="L4059" s="8">
        <v>44</v>
      </c>
      <c r="M4059" s="7">
        <f>IF(INDEX([1]equip.xml!$B:$B,MATCH(D4059,[1]equip.xml!$A:$A,0))=0,0,N4059)</f>
        <v>25</v>
      </c>
      <c r="N4059" s="8">
        <v>25</v>
      </c>
    </row>
    <row r="4060" spans="1:14">
      <c r="A4060" s="7">
        <f t="shared" si="4866"/>
        <v>20018</v>
      </c>
      <c r="B4060" s="8">
        <f t="shared" ref="B4060:C4060" si="4967">B3972</f>
        <v>40000</v>
      </c>
      <c r="C4060" s="8" t="str">
        <f t="shared" si="4967"/>
        <v>装备</v>
      </c>
      <c r="D4060" s="8">
        <v>50700095</v>
      </c>
      <c r="E4060" s="8"/>
      <c r="F4060" s="8">
        <v>1</v>
      </c>
      <c r="G4060" s="8">
        <f>3*INDEX([1]equip.xml!$I:$I,MATCH(D4060,[1]equip.xml!$A:$A,0))</f>
        <v>420000</v>
      </c>
      <c r="H4060" s="8" t="str">
        <f t="shared" ref="H4060:J4060" si="4968">H3972</f>
        <v>10_10,50_20,80_30</v>
      </c>
      <c r="I4060" s="8">
        <v>1</v>
      </c>
      <c r="J4060" s="8">
        <f t="shared" si="4968"/>
        <v>240</v>
      </c>
      <c r="K4060" s="7" t="s">
        <v>312</v>
      </c>
      <c r="L4060" s="8">
        <v>44</v>
      </c>
      <c r="M4060" s="7">
        <f>IF(INDEX([1]equip.xml!$B:$B,MATCH(D4060,[1]equip.xml!$A:$A,0))=0,0,N4060)</f>
        <v>25</v>
      </c>
      <c r="N4060" s="8">
        <v>25</v>
      </c>
    </row>
    <row r="4061" spans="1:14">
      <c r="A4061" s="7">
        <f t="shared" si="4866"/>
        <v>20018</v>
      </c>
      <c r="B4061" s="8">
        <f t="shared" ref="B4061:C4061" si="4969">B3973</f>
        <v>40000</v>
      </c>
      <c r="C4061" s="8" t="str">
        <f t="shared" si="4969"/>
        <v>装备</v>
      </c>
      <c r="D4061" s="8">
        <v>50700105</v>
      </c>
      <c r="E4061" s="8"/>
      <c r="F4061" s="8">
        <v>1</v>
      </c>
      <c r="G4061" s="8">
        <f>3*INDEX([1]equip.xml!$I:$I,MATCH(D4061,[1]equip.xml!$A:$A,0))</f>
        <v>420000</v>
      </c>
      <c r="H4061" s="8" t="str">
        <f t="shared" ref="H4061:J4061" si="4970">H3973</f>
        <v>10_10,50_20,80_30</v>
      </c>
      <c r="I4061" s="8">
        <v>1</v>
      </c>
      <c r="J4061" s="8">
        <f t="shared" si="4970"/>
        <v>240</v>
      </c>
      <c r="K4061" s="7" t="s">
        <v>312</v>
      </c>
      <c r="L4061" s="8">
        <v>44</v>
      </c>
      <c r="M4061" s="7">
        <f>IF(INDEX([1]equip.xml!$B:$B,MATCH(D4061,[1]equip.xml!$A:$A,0))=0,0,N4061)</f>
        <v>25</v>
      </c>
      <c r="N4061" s="8">
        <v>25</v>
      </c>
    </row>
    <row r="4062" spans="1:14">
      <c r="A4062" s="7">
        <f t="shared" si="4866"/>
        <v>20018</v>
      </c>
      <c r="B4062" s="8">
        <f t="shared" ref="B4062:C4062" si="4971">B3974</f>
        <v>40000</v>
      </c>
      <c r="C4062" s="8" t="str">
        <f t="shared" si="4971"/>
        <v>装备</v>
      </c>
      <c r="D4062" s="8">
        <v>50701055</v>
      </c>
      <c r="E4062" s="8"/>
      <c r="F4062" s="8">
        <v>1</v>
      </c>
      <c r="G4062" s="8">
        <f>3*INDEX([1]equip.xml!$I:$I,MATCH(D4062,[1]equip.xml!$A:$A,0))</f>
        <v>420000</v>
      </c>
      <c r="H4062" s="8" t="str">
        <f t="shared" ref="H4062:J4062" si="4972">H3974</f>
        <v>10_10,50_20,80_30</v>
      </c>
      <c r="I4062" s="8">
        <v>1</v>
      </c>
      <c r="J4062" s="8">
        <f t="shared" si="4972"/>
        <v>240</v>
      </c>
      <c r="K4062" s="7" t="s">
        <v>312</v>
      </c>
      <c r="L4062" s="8">
        <v>44</v>
      </c>
      <c r="M4062" s="7">
        <f>IF(INDEX([1]equip.xml!$B:$B,MATCH(D4062,[1]equip.xml!$A:$A,0))=0,0,N4062)</f>
        <v>25</v>
      </c>
      <c r="N4062" s="8">
        <v>25</v>
      </c>
    </row>
    <row r="4063" spans="1:14">
      <c r="A4063" s="7">
        <f t="shared" ref="A4063:A4077" si="4973">10000+A1247</f>
        <v>20018</v>
      </c>
      <c r="B4063" s="8">
        <f t="shared" ref="B4063:C4063" si="4974">B3975</f>
        <v>40000</v>
      </c>
      <c r="C4063" s="8" t="str">
        <f t="shared" si="4974"/>
        <v>装备</v>
      </c>
      <c r="D4063" s="8">
        <v>50701056</v>
      </c>
      <c r="E4063" s="8"/>
      <c r="F4063" s="8">
        <v>1</v>
      </c>
      <c r="G4063" s="8">
        <f>3*INDEX([1]equip.xml!$I:$I,MATCH(D4063,[1]equip.xml!$A:$A,0))</f>
        <v>438000</v>
      </c>
      <c r="H4063" s="8" t="str">
        <f t="shared" ref="H4063:J4063" si="4975">H3975</f>
        <v>10_10,50_20,80_30</v>
      </c>
      <c r="I4063" s="8">
        <v>1</v>
      </c>
      <c r="J4063" s="8">
        <f t="shared" si="4975"/>
        <v>240</v>
      </c>
      <c r="K4063" s="7" t="s">
        <v>312</v>
      </c>
      <c r="L4063" s="8">
        <v>44</v>
      </c>
      <c r="M4063" s="7">
        <f>IF(INDEX([1]equip.xml!$B:$B,MATCH(D4063,[1]equip.xml!$A:$A,0))=0,0,N4063)</f>
        <v>0</v>
      </c>
      <c r="N4063" s="8">
        <v>25</v>
      </c>
    </row>
    <row r="4064" spans="1:14">
      <c r="A4064" s="7">
        <f t="shared" si="4973"/>
        <v>20018</v>
      </c>
      <c r="B4064" s="8">
        <f t="shared" ref="B4064:C4064" si="4976">B3976</f>
        <v>40000</v>
      </c>
      <c r="C4064" s="8" t="str">
        <f t="shared" si="4976"/>
        <v>装备</v>
      </c>
      <c r="D4064" s="8">
        <v>50701065</v>
      </c>
      <c r="E4064" s="8"/>
      <c r="F4064" s="8">
        <v>1</v>
      </c>
      <c r="G4064" s="8">
        <f>3*INDEX([1]equip.xml!$I:$I,MATCH(D4064,[1]equip.xml!$A:$A,0))</f>
        <v>420000</v>
      </c>
      <c r="H4064" s="8" t="str">
        <f t="shared" ref="H4064:J4064" si="4977">H3976</f>
        <v>10_10,50_20,80_30</v>
      </c>
      <c r="I4064" s="8">
        <v>1</v>
      </c>
      <c r="J4064" s="8">
        <f t="shared" si="4977"/>
        <v>240</v>
      </c>
      <c r="K4064" s="7" t="s">
        <v>312</v>
      </c>
      <c r="L4064" s="8">
        <v>44</v>
      </c>
      <c r="M4064" s="7">
        <f>IF(INDEX([1]equip.xml!$B:$B,MATCH(D4064,[1]equip.xml!$A:$A,0))=0,0,N4064)</f>
        <v>25</v>
      </c>
      <c r="N4064" s="8">
        <v>25</v>
      </c>
    </row>
    <row r="4065" spans="1:14">
      <c r="A4065" s="7">
        <f t="shared" si="4973"/>
        <v>20018</v>
      </c>
      <c r="B4065" s="8">
        <f t="shared" ref="B4065:C4065" si="4978">B3977</f>
        <v>40000</v>
      </c>
      <c r="C4065" s="8" t="str">
        <f t="shared" si="4978"/>
        <v>装备</v>
      </c>
      <c r="D4065" s="8">
        <v>50701066</v>
      </c>
      <c r="E4065" s="8"/>
      <c r="F4065" s="8">
        <v>1</v>
      </c>
      <c r="G4065" s="8">
        <f>3*INDEX([1]equip.xml!$I:$I,MATCH(D4065,[1]equip.xml!$A:$A,0))</f>
        <v>438000</v>
      </c>
      <c r="H4065" s="8" t="str">
        <f t="shared" ref="H4065:J4065" si="4979">H3977</f>
        <v>10_10,50_20,80_30</v>
      </c>
      <c r="I4065" s="8">
        <v>1</v>
      </c>
      <c r="J4065" s="8">
        <f t="shared" si="4979"/>
        <v>240</v>
      </c>
      <c r="K4065" s="7" t="s">
        <v>312</v>
      </c>
      <c r="L4065" s="8">
        <v>44</v>
      </c>
      <c r="M4065" s="7">
        <f>IF(INDEX([1]equip.xml!$B:$B,MATCH(D4065,[1]equip.xml!$A:$A,0))=0,0,N4065)</f>
        <v>0</v>
      </c>
      <c r="N4065" s="8">
        <v>25</v>
      </c>
    </row>
    <row r="4066" spans="1:14">
      <c r="A4066" s="7">
        <f t="shared" si="4973"/>
        <v>20018</v>
      </c>
      <c r="B4066" s="8">
        <f t="shared" ref="B4066:C4066" si="4980">B3978</f>
        <v>40000</v>
      </c>
      <c r="C4066" s="8" t="str">
        <f t="shared" si="4980"/>
        <v>装备</v>
      </c>
      <c r="D4066" s="8">
        <v>50702055</v>
      </c>
      <c r="E4066" s="8"/>
      <c r="F4066" s="8">
        <v>1</v>
      </c>
      <c r="G4066" s="8">
        <f>3*INDEX([1]equip.xml!$I:$I,MATCH(D4066,[1]equip.xml!$A:$A,0))</f>
        <v>420000</v>
      </c>
      <c r="H4066" s="8" t="str">
        <f t="shared" ref="H4066:J4066" si="4981">H3978</f>
        <v>10_10,50_20,80_30</v>
      </c>
      <c r="I4066" s="8">
        <v>1</v>
      </c>
      <c r="J4066" s="8">
        <f t="shared" si="4981"/>
        <v>240</v>
      </c>
      <c r="K4066" s="7" t="s">
        <v>312</v>
      </c>
      <c r="L4066" s="8">
        <v>44</v>
      </c>
      <c r="M4066" s="7">
        <f>IF(INDEX([1]equip.xml!$B:$B,MATCH(D4066,[1]equip.xml!$A:$A,0))=0,0,N4066)</f>
        <v>25</v>
      </c>
      <c r="N4066" s="8">
        <v>25</v>
      </c>
    </row>
    <row r="4067" spans="1:14">
      <c r="A4067" s="7">
        <f t="shared" si="4973"/>
        <v>20018</v>
      </c>
      <c r="B4067" s="8">
        <f t="shared" ref="B4067:C4067" si="4982">B3979</f>
        <v>40000</v>
      </c>
      <c r="C4067" s="8" t="str">
        <f t="shared" si="4982"/>
        <v>装备</v>
      </c>
      <c r="D4067" s="8">
        <v>50702056</v>
      </c>
      <c r="E4067" s="8"/>
      <c r="F4067" s="8">
        <v>1</v>
      </c>
      <c r="G4067" s="8">
        <f>3*INDEX([1]equip.xml!$I:$I,MATCH(D4067,[1]equip.xml!$A:$A,0))</f>
        <v>438000</v>
      </c>
      <c r="H4067" s="8" t="str">
        <f t="shared" ref="H4067:J4067" si="4983">H3979</f>
        <v>10_10,50_20,80_30</v>
      </c>
      <c r="I4067" s="8">
        <v>1</v>
      </c>
      <c r="J4067" s="8">
        <f t="shared" si="4983"/>
        <v>240</v>
      </c>
      <c r="K4067" s="7" t="s">
        <v>312</v>
      </c>
      <c r="L4067" s="8">
        <v>44</v>
      </c>
      <c r="M4067" s="7">
        <f>IF(INDEX([1]equip.xml!$B:$B,MATCH(D4067,[1]equip.xml!$A:$A,0))=0,0,N4067)</f>
        <v>0</v>
      </c>
      <c r="N4067" s="8">
        <v>25</v>
      </c>
    </row>
    <row r="4068" spans="1:14">
      <c r="A4068" s="7">
        <f t="shared" si="4973"/>
        <v>20018</v>
      </c>
      <c r="B4068" s="8">
        <f t="shared" ref="B4068:C4068" si="4984">B3980</f>
        <v>40000</v>
      </c>
      <c r="C4068" s="8" t="str">
        <f t="shared" si="4984"/>
        <v>装备</v>
      </c>
      <c r="D4068" s="8">
        <v>50702065</v>
      </c>
      <c r="E4068" s="8"/>
      <c r="F4068" s="8">
        <v>1</v>
      </c>
      <c r="G4068" s="8">
        <f>3*INDEX([1]equip.xml!$I:$I,MATCH(D4068,[1]equip.xml!$A:$A,0))</f>
        <v>420000</v>
      </c>
      <c r="H4068" s="8" t="str">
        <f t="shared" ref="H4068:J4068" si="4985">H3980</f>
        <v>10_10,50_20,80_30</v>
      </c>
      <c r="I4068" s="8">
        <v>1</v>
      </c>
      <c r="J4068" s="8">
        <f t="shared" si="4985"/>
        <v>240</v>
      </c>
      <c r="K4068" s="7" t="s">
        <v>312</v>
      </c>
      <c r="L4068" s="8">
        <v>44</v>
      </c>
      <c r="M4068" s="7">
        <f>IF(INDEX([1]equip.xml!$B:$B,MATCH(D4068,[1]equip.xml!$A:$A,0))=0,0,N4068)</f>
        <v>25</v>
      </c>
      <c r="N4068" s="8">
        <v>25</v>
      </c>
    </row>
    <row r="4069" spans="1:14">
      <c r="A4069" s="7">
        <f t="shared" si="4973"/>
        <v>20018</v>
      </c>
      <c r="B4069" s="8">
        <f t="shared" ref="B4069:C4069" si="4986">B3981</f>
        <v>40000</v>
      </c>
      <c r="C4069" s="8" t="str">
        <f t="shared" si="4986"/>
        <v>装备</v>
      </c>
      <c r="D4069" s="8">
        <v>50702066</v>
      </c>
      <c r="E4069" s="8"/>
      <c r="F4069" s="8">
        <v>1</v>
      </c>
      <c r="G4069" s="8">
        <f>3*INDEX([1]equip.xml!$I:$I,MATCH(D4069,[1]equip.xml!$A:$A,0))</f>
        <v>438000</v>
      </c>
      <c r="H4069" s="8" t="str">
        <f t="shared" ref="H4069:J4069" si="4987">H3981</f>
        <v>10_10,50_20,80_30</v>
      </c>
      <c r="I4069" s="8">
        <v>1</v>
      </c>
      <c r="J4069" s="8">
        <f t="shared" si="4987"/>
        <v>240</v>
      </c>
      <c r="K4069" s="7" t="s">
        <v>312</v>
      </c>
      <c r="L4069" s="8">
        <v>44</v>
      </c>
      <c r="M4069" s="7">
        <f>IF(INDEX([1]equip.xml!$B:$B,MATCH(D4069,[1]equip.xml!$A:$A,0))=0,0,N4069)</f>
        <v>0</v>
      </c>
      <c r="N4069" s="8">
        <v>25</v>
      </c>
    </row>
    <row r="4070" spans="1:14">
      <c r="A4070" s="7">
        <f t="shared" si="4973"/>
        <v>20018</v>
      </c>
      <c r="B4070" s="8">
        <f t="shared" ref="B4070:C4070" si="4988">B3982</f>
        <v>40000</v>
      </c>
      <c r="C4070" s="8" t="str">
        <f t="shared" si="4988"/>
        <v>装备</v>
      </c>
      <c r="D4070" s="8">
        <v>50703055</v>
      </c>
      <c r="E4070" s="8"/>
      <c r="F4070" s="8">
        <v>1</v>
      </c>
      <c r="G4070" s="8">
        <f>3*INDEX([1]equip.xml!$I:$I,MATCH(D4070,[1]equip.xml!$A:$A,0))</f>
        <v>420000</v>
      </c>
      <c r="H4070" s="8" t="str">
        <f t="shared" ref="H4070:J4070" si="4989">H3982</f>
        <v>10_10,50_20,80_30</v>
      </c>
      <c r="I4070" s="8">
        <v>1</v>
      </c>
      <c r="J4070" s="8">
        <f t="shared" si="4989"/>
        <v>240</v>
      </c>
      <c r="K4070" s="7" t="s">
        <v>312</v>
      </c>
      <c r="L4070" s="8">
        <v>44</v>
      </c>
      <c r="M4070" s="7">
        <f>IF(INDEX([1]equip.xml!$B:$B,MATCH(D4070,[1]equip.xml!$A:$A,0))=0,0,N4070)</f>
        <v>25</v>
      </c>
      <c r="N4070" s="8">
        <v>25</v>
      </c>
    </row>
    <row r="4071" spans="1:14">
      <c r="A4071" s="7">
        <f t="shared" si="4973"/>
        <v>20018</v>
      </c>
      <c r="B4071" s="8">
        <f t="shared" ref="B4071:C4071" si="4990">B3983</f>
        <v>40000</v>
      </c>
      <c r="C4071" s="8" t="str">
        <f t="shared" si="4990"/>
        <v>装备</v>
      </c>
      <c r="D4071" s="8">
        <v>50703056</v>
      </c>
      <c r="E4071" s="8"/>
      <c r="F4071" s="8">
        <v>1</v>
      </c>
      <c r="G4071" s="8">
        <f>3*INDEX([1]equip.xml!$I:$I,MATCH(D4071,[1]equip.xml!$A:$A,0))</f>
        <v>438000</v>
      </c>
      <c r="H4071" s="8" t="str">
        <f t="shared" ref="H4071:J4071" si="4991">H3983</f>
        <v>10_10,50_20,80_30</v>
      </c>
      <c r="I4071" s="8">
        <v>1</v>
      </c>
      <c r="J4071" s="8">
        <f t="shared" si="4991"/>
        <v>240</v>
      </c>
      <c r="K4071" s="7" t="s">
        <v>312</v>
      </c>
      <c r="L4071" s="8">
        <v>44</v>
      </c>
      <c r="M4071" s="7">
        <f>IF(INDEX([1]equip.xml!$B:$B,MATCH(D4071,[1]equip.xml!$A:$A,0))=0,0,N4071)</f>
        <v>0</v>
      </c>
      <c r="N4071" s="8">
        <v>25</v>
      </c>
    </row>
    <row r="4072" spans="1:14">
      <c r="A4072" s="7">
        <f t="shared" si="4973"/>
        <v>20018</v>
      </c>
      <c r="B4072" s="8">
        <f t="shared" ref="B4072:C4072" si="4992">B3984</f>
        <v>40000</v>
      </c>
      <c r="C4072" s="8" t="str">
        <f t="shared" si="4992"/>
        <v>装备</v>
      </c>
      <c r="D4072" s="8">
        <v>50703065</v>
      </c>
      <c r="E4072" s="8"/>
      <c r="F4072" s="8">
        <v>1</v>
      </c>
      <c r="G4072" s="8">
        <f>3*INDEX([1]equip.xml!$I:$I,MATCH(D4072,[1]equip.xml!$A:$A,0))</f>
        <v>420000</v>
      </c>
      <c r="H4072" s="8" t="str">
        <f t="shared" ref="H4072:J4072" si="4993">H3984</f>
        <v>10_10,50_20,80_30</v>
      </c>
      <c r="I4072" s="8">
        <v>1</v>
      </c>
      <c r="J4072" s="8">
        <f t="shared" si="4993"/>
        <v>240</v>
      </c>
      <c r="K4072" s="7" t="s">
        <v>312</v>
      </c>
      <c r="L4072" s="8">
        <v>44</v>
      </c>
      <c r="M4072" s="7">
        <f>IF(INDEX([1]equip.xml!$B:$B,MATCH(D4072,[1]equip.xml!$A:$A,0))=0,0,N4072)</f>
        <v>25</v>
      </c>
      <c r="N4072" s="8">
        <v>25</v>
      </c>
    </row>
    <row r="4073" spans="1:14">
      <c r="A4073" s="7">
        <f t="shared" si="4973"/>
        <v>20018</v>
      </c>
      <c r="B4073" s="8">
        <f t="shared" ref="B4073:C4073" si="4994">B3985</f>
        <v>40000</v>
      </c>
      <c r="C4073" s="8" t="str">
        <f t="shared" si="4994"/>
        <v>装备</v>
      </c>
      <c r="D4073" s="8">
        <v>50703066</v>
      </c>
      <c r="E4073" s="8"/>
      <c r="F4073" s="8">
        <v>1</v>
      </c>
      <c r="G4073" s="8">
        <f>3*INDEX([1]equip.xml!$I:$I,MATCH(D4073,[1]equip.xml!$A:$A,0))</f>
        <v>438000</v>
      </c>
      <c r="H4073" s="8" t="str">
        <f t="shared" ref="H4073:J4073" si="4995">H3985</f>
        <v>10_10,50_20,80_30</v>
      </c>
      <c r="I4073" s="8">
        <v>1</v>
      </c>
      <c r="J4073" s="8">
        <f t="shared" si="4995"/>
        <v>240</v>
      </c>
      <c r="K4073" s="7" t="s">
        <v>312</v>
      </c>
      <c r="L4073" s="8">
        <v>44</v>
      </c>
      <c r="M4073" s="7">
        <f>IF(INDEX([1]equip.xml!$B:$B,MATCH(D4073,[1]equip.xml!$A:$A,0))=0,0,N4073)</f>
        <v>0</v>
      </c>
      <c r="N4073" s="8">
        <v>25</v>
      </c>
    </row>
    <row r="4074" spans="1:14">
      <c r="A4074" s="7">
        <f t="shared" si="4973"/>
        <v>20018</v>
      </c>
      <c r="B4074" s="8">
        <f t="shared" ref="B4074:C4074" si="4996">B3986</f>
        <v>40000</v>
      </c>
      <c r="C4074" s="8" t="str">
        <f t="shared" si="4996"/>
        <v>装备</v>
      </c>
      <c r="D4074" s="8">
        <v>50700045</v>
      </c>
      <c r="E4074" s="8"/>
      <c r="F4074" s="8">
        <v>1</v>
      </c>
      <c r="G4074" s="8">
        <f>3*INDEX([1]equip.xml!$I:$I,MATCH(D4074,[1]equip.xml!$A:$A,0))</f>
        <v>420000</v>
      </c>
      <c r="H4074" s="8" t="str">
        <f t="shared" ref="H4074:J4074" si="4997">H3986</f>
        <v>10_10,50_20,80_30</v>
      </c>
      <c r="I4074" s="8">
        <v>1</v>
      </c>
      <c r="J4074" s="8">
        <f t="shared" si="4997"/>
        <v>240</v>
      </c>
      <c r="K4074" s="7" t="s">
        <v>312</v>
      </c>
      <c r="L4074" s="8">
        <v>44</v>
      </c>
      <c r="M4074" s="7">
        <f>IF(INDEX([1]equip.xml!$B:$B,MATCH(D4074,[1]equip.xml!$A:$A,0))=0,0,N4074)</f>
        <v>25</v>
      </c>
      <c r="N4074" s="8">
        <v>25</v>
      </c>
    </row>
    <row r="4075" spans="1:14">
      <c r="A4075" s="7">
        <f t="shared" si="4973"/>
        <v>20018</v>
      </c>
      <c r="B4075" s="8">
        <f t="shared" ref="B4075:C4075" si="4998">B3987</f>
        <v>40000</v>
      </c>
      <c r="C4075" s="8" t="str">
        <f t="shared" si="4998"/>
        <v>装备</v>
      </c>
      <c r="D4075" s="8">
        <v>50700046</v>
      </c>
      <c r="E4075" s="8"/>
      <c r="F4075" s="8">
        <v>1</v>
      </c>
      <c r="G4075" s="8">
        <f>3*INDEX([1]equip.xml!$I:$I,MATCH(D4075,[1]equip.xml!$A:$A,0))</f>
        <v>438000</v>
      </c>
      <c r="H4075" s="8" t="str">
        <f t="shared" ref="H4075:J4075" si="4999">H3987</f>
        <v>10_10,50_20,80_30</v>
      </c>
      <c r="I4075" s="8">
        <v>1</v>
      </c>
      <c r="J4075" s="8">
        <f t="shared" si="4999"/>
        <v>240</v>
      </c>
      <c r="K4075" s="7" t="s">
        <v>312</v>
      </c>
      <c r="L4075" s="8">
        <v>44</v>
      </c>
      <c r="M4075" s="7">
        <f>IF(INDEX([1]equip.xml!$B:$B,MATCH(D4075,[1]equip.xml!$A:$A,0))=0,0,N4075)</f>
        <v>0</v>
      </c>
      <c r="N4075" s="8">
        <v>25</v>
      </c>
    </row>
    <row r="4076" spans="1:14">
      <c r="A4076" s="7">
        <f t="shared" si="4973"/>
        <v>20018</v>
      </c>
      <c r="B4076" s="8">
        <f t="shared" ref="B4076:C4076" si="5000">B3988</f>
        <v>40000</v>
      </c>
      <c r="C4076" s="8" t="str">
        <f t="shared" si="5000"/>
        <v>装备</v>
      </c>
      <c r="D4076" s="8">
        <v>50700075</v>
      </c>
      <c r="E4076" s="8"/>
      <c r="F4076" s="8">
        <v>1</v>
      </c>
      <c r="G4076" s="8">
        <f>3*INDEX([1]equip.xml!$I:$I,MATCH(D4076,[1]equip.xml!$A:$A,0))</f>
        <v>420000</v>
      </c>
      <c r="H4076" s="8" t="str">
        <f t="shared" ref="H4076:J4076" si="5001">H3988</f>
        <v>10_10,50_20,80_30</v>
      </c>
      <c r="I4076" s="8">
        <v>1</v>
      </c>
      <c r="J4076" s="8">
        <f t="shared" si="5001"/>
        <v>240</v>
      </c>
      <c r="K4076" s="7" t="s">
        <v>312</v>
      </c>
      <c r="L4076" s="8">
        <v>44</v>
      </c>
      <c r="M4076" s="7">
        <f>IF(INDEX([1]equip.xml!$B:$B,MATCH(D4076,[1]equip.xml!$A:$A,0))=0,0,N4076)</f>
        <v>25</v>
      </c>
      <c r="N4076" s="8">
        <v>25</v>
      </c>
    </row>
    <row r="4077" spans="1:14">
      <c r="A4077" s="7">
        <f t="shared" si="4973"/>
        <v>20018</v>
      </c>
      <c r="B4077" s="8">
        <f t="shared" ref="B4077:C4077" si="5002">B3989</f>
        <v>40000</v>
      </c>
      <c r="C4077" s="8" t="str">
        <f t="shared" si="5002"/>
        <v>装备</v>
      </c>
      <c r="D4077" s="8">
        <v>50700076</v>
      </c>
      <c r="E4077" s="8"/>
      <c r="F4077" s="8">
        <v>1</v>
      </c>
      <c r="G4077" s="8">
        <f>3*INDEX([1]equip.xml!$I:$I,MATCH(D4077,[1]equip.xml!$A:$A,0))</f>
        <v>438000</v>
      </c>
      <c r="H4077" s="8" t="str">
        <f t="shared" ref="H4077:J4077" si="5003">H3989</f>
        <v>10_10,50_20,80_30</v>
      </c>
      <c r="I4077" s="8">
        <v>1</v>
      </c>
      <c r="J4077" s="8">
        <f t="shared" si="5003"/>
        <v>240</v>
      </c>
      <c r="K4077" s="7" t="s">
        <v>312</v>
      </c>
      <c r="L4077" s="8">
        <v>44</v>
      </c>
      <c r="M4077" s="7">
        <f>IF(INDEX([1]equip.xml!$B:$B,MATCH(D4077,[1]equip.xml!$A:$A,0))=0,0,N4077)</f>
        <v>0</v>
      </c>
      <c r="N4077" s="8">
        <v>25</v>
      </c>
    </row>
    <row r="4078" spans="1:14">
      <c r="A4078" s="7">
        <f>10000+A2846</f>
        <v>30005</v>
      </c>
      <c r="B4078" s="7">
        <v>40000</v>
      </c>
      <c r="C4078" s="7" t="s">
        <v>132</v>
      </c>
      <c r="D4078" s="7" t="s">
        <v>44</v>
      </c>
      <c r="E4078" s="7" t="s">
        <v>88</v>
      </c>
      <c r="F4078" s="7">
        <v>1</v>
      </c>
      <c r="G4078" s="7">
        <f>3*INDEX([1]equip.xml!$I:$I,MATCH(D4078&amp;"",[1]equip.xml!$A:$A,0))</f>
        <v>3000</v>
      </c>
      <c r="H4078" s="7" t="s">
        <v>31</v>
      </c>
      <c r="I4078" s="7">
        <v>13</v>
      </c>
      <c r="J4078" s="7">
        <v>50</v>
      </c>
      <c r="K4078" s="7" t="s">
        <v>293</v>
      </c>
      <c r="L4078" s="7">
        <v>18</v>
      </c>
      <c r="M4078" s="7">
        <f>IF(INDEX([1]equip.xml!$B:$B,MATCH(D4078&amp;"",[1]equip.xml!$A:$A,0))=0,0,N4078)</f>
        <v>0</v>
      </c>
      <c r="N4078" s="7">
        <v>100</v>
      </c>
    </row>
    <row r="4079" spans="1:14">
      <c r="A4079" s="7">
        <f t="shared" ref="A4079:A4142" si="5004">10000+A2847</f>
        <v>30005</v>
      </c>
      <c r="B4079" s="7">
        <v>40000</v>
      </c>
      <c r="C4079" s="7" t="s">
        <v>132</v>
      </c>
      <c r="D4079" s="7" t="s">
        <v>45</v>
      </c>
      <c r="E4079" s="7" t="s">
        <v>89</v>
      </c>
      <c r="F4079" s="7">
        <v>1</v>
      </c>
      <c r="G4079" s="7">
        <f>3*INDEX([1]equip.xml!$I:$I,MATCH(D4079&amp;"",[1]equip.xml!$A:$A,0))</f>
        <v>3000</v>
      </c>
      <c r="H4079" s="7" t="s">
        <v>31</v>
      </c>
      <c r="I4079" s="7">
        <v>13</v>
      </c>
      <c r="J4079" s="7">
        <v>50</v>
      </c>
      <c r="K4079" s="7" t="s">
        <v>293</v>
      </c>
      <c r="L4079" s="7">
        <v>18</v>
      </c>
      <c r="M4079" s="7">
        <f>IF(INDEX([1]equip.xml!$B:$B,MATCH(D4079&amp;"",[1]equip.xml!$A:$A,0))=0,0,N4079)</f>
        <v>0</v>
      </c>
      <c r="N4079" s="7">
        <v>100</v>
      </c>
    </row>
    <row r="4080" spans="1:14">
      <c r="A4080" s="7">
        <f t="shared" si="5004"/>
        <v>30005</v>
      </c>
      <c r="B4080" s="7">
        <v>40000</v>
      </c>
      <c r="C4080" s="7" t="s">
        <v>132</v>
      </c>
      <c r="D4080" s="7" t="s">
        <v>46</v>
      </c>
      <c r="E4080" s="7" t="s">
        <v>90</v>
      </c>
      <c r="F4080" s="7">
        <v>1</v>
      </c>
      <c r="G4080" s="7">
        <f>3*INDEX([1]equip.xml!$I:$I,MATCH(D4080&amp;"",[1]equip.xml!$A:$A,0))</f>
        <v>3000</v>
      </c>
      <c r="H4080" s="7" t="s">
        <v>31</v>
      </c>
      <c r="I4080" s="7">
        <v>13</v>
      </c>
      <c r="J4080" s="7">
        <v>50</v>
      </c>
      <c r="K4080" s="7" t="s">
        <v>293</v>
      </c>
      <c r="L4080" s="7">
        <v>18</v>
      </c>
      <c r="M4080" s="7">
        <f>IF(INDEX([1]equip.xml!$B:$B,MATCH(D4080&amp;"",[1]equip.xml!$A:$A,0))=0,0,N4080)</f>
        <v>0</v>
      </c>
      <c r="N4080" s="7">
        <v>100</v>
      </c>
    </row>
    <row r="4081" spans="1:14">
      <c r="A4081" s="7">
        <f t="shared" si="5004"/>
        <v>30005</v>
      </c>
      <c r="B4081" s="7">
        <v>40000</v>
      </c>
      <c r="C4081" s="7" t="s">
        <v>132</v>
      </c>
      <c r="D4081" s="7" t="s">
        <v>47</v>
      </c>
      <c r="E4081" s="7" t="s">
        <v>91</v>
      </c>
      <c r="F4081" s="7">
        <v>1</v>
      </c>
      <c r="G4081" s="7">
        <f>3*INDEX([1]equip.xml!$I:$I,MATCH(D4081&amp;"",[1]equip.xml!$A:$A,0))</f>
        <v>3000</v>
      </c>
      <c r="H4081" s="7" t="s">
        <v>31</v>
      </c>
      <c r="I4081" s="7">
        <v>13</v>
      </c>
      <c r="J4081" s="7">
        <v>50</v>
      </c>
      <c r="K4081" s="7" t="s">
        <v>293</v>
      </c>
      <c r="L4081" s="7">
        <v>18</v>
      </c>
      <c r="M4081" s="7">
        <f>IF(INDEX([1]equip.xml!$B:$B,MATCH(D4081&amp;"",[1]equip.xml!$A:$A,0))=0,0,N4081)</f>
        <v>100</v>
      </c>
      <c r="N4081" s="7">
        <v>100</v>
      </c>
    </row>
    <row r="4082" spans="1:14">
      <c r="A4082" s="7">
        <f t="shared" si="5004"/>
        <v>30005</v>
      </c>
      <c r="B4082" s="7">
        <v>40000</v>
      </c>
      <c r="C4082" s="7" t="s">
        <v>132</v>
      </c>
      <c r="D4082" s="7" t="s">
        <v>48</v>
      </c>
      <c r="E4082" s="7" t="s">
        <v>92</v>
      </c>
      <c r="F4082" s="7">
        <v>1</v>
      </c>
      <c r="G4082" s="7">
        <f>3*INDEX([1]equip.xml!$I:$I,MATCH(D4082&amp;"",[1]equip.xml!$A:$A,0))</f>
        <v>3000</v>
      </c>
      <c r="H4082" s="7" t="s">
        <v>31</v>
      </c>
      <c r="I4082" s="7">
        <v>13</v>
      </c>
      <c r="J4082" s="7">
        <v>50</v>
      </c>
      <c r="K4082" s="7" t="s">
        <v>293</v>
      </c>
      <c r="L4082" s="7">
        <v>18</v>
      </c>
      <c r="M4082" s="7">
        <f>IF(INDEX([1]equip.xml!$B:$B,MATCH(D4082&amp;"",[1]equip.xml!$A:$A,0))=0,0,N4082)</f>
        <v>100</v>
      </c>
      <c r="N4082" s="7">
        <v>100</v>
      </c>
    </row>
    <row r="4083" spans="1:14">
      <c r="A4083" s="7">
        <f t="shared" si="5004"/>
        <v>30005</v>
      </c>
      <c r="B4083" s="7">
        <v>40000</v>
      </c>
      <c r="C4083" s="7" t="s">
        <v>132</v>
      </c>
      <c r="D4083" s="7" t="s">
        <v>49</v>
      </c>
      <c r="E4083" s="7" t="s">
        <v>93</v>
      </c>
      <c r="F4083" s="7">
        <v>1</v>
      </c>
      <c r="G4083" s="7">
        <f>3*INDEX([1]equip.xml!$I:$I,MATCH(D4083&amp;"",[1]equip.xml!$A:$A,0))</f>
        <v>3000</v>
      </c>
      <c r="H4083" s="7" t="s">
        <v>31</v>
      </c>
      <c r="I4083" s="7">
        <v>13</v>
      </c>
      <c r="J4083" s="7">
        <v>50</v>
      </c>
      <c r="K4083" s="7" t="s">
        <v>293</v>
      </c>
      <c r="L4083" s="7">
        <v>18</v>
      </c>
      <c r="M4083" s="7">
        <f>IF(INDEX([1]equip.xml!$B:$B,MATCH(D4083&amp;"",[1]equip.xml!$A:$A,0))=0,0,N4083)</f>
        <v>0</v>
      </c>
      <c r="N4083" s="7">
        <v>100</v>
      </c>
    </row>
    <row r="4084" spans="1:14">
      <c r="A4084" s="7">
        <f t="shared" si="5004"/>
        <v>30005</v>
      </c>
      <c r="B4084" s="7">
        <v>40000</v>
      </c>
      <c r="C4084" s="7" t="s">
        <v>132</v>
      </c>
      <c r="D4084" s="7" t="s">
        <v>50</v>
      </c>
      <c r="E4084" s="7" t="s">
        <v>94</v>
      </c>
      <c r="F4084" s="7">
        <v>1</v>
      </c>
      <c r="G4084" s="7">
        <f>3*INDEX([1]equip.xml!$I:$I,MATCH(D4084&amp;"",[1]equip.xml!$A:$A,0))</f>
        <v>3000</v>
      </c>
      <c r="H4084" s="7" t="s">
        <v>31</v>
      </c>
      <c r="I4084" s="7">
        <v>13</v>
      </c>
      <c r="J4084" s="7">
        <v>50</v>
      </c>
      <c r="K4084" s="7" t="s">
        <v>293</v>
      </c>
      <c r="L4084" s="7">
        <v>18</v>
      </c>
      <c r="M4084" s="7">
        <f>IF(INDEX([1]equip.xml!$B:$B,MATCH(D4084&amp;"",[1]equip.xml!$A:$A,0))=0,0,N4084)</f>
        <v>100</v>
      </c>
      <c r="N4084" s="7">
        <v>100</v>
      </c>
    </row>
    <row r="4085" spans="1:14">
      <c r="A4085" s="7">
        <f t="shared" si="5004"/>
        <v>30005</v>
      </c>
      <c r="B4085" s="7">
        <v>40000</v>
      </c>
      <c r="C4085" s="7" t="s">
        <v>132</v>
      </c>
      <c r="D4085" s="7" t="s">
        <v>51</v>
      </c>
      <c r="E4085" s="7" t="s">
        <v>95</v>
      </c>
      <c r="F4085" s="7">
        <v>1</v>
      </c>
      <c r="G4085" s="7">
        <f>3*INDEX([1]equip.xml!$I:$I,MATCH(D4085&amp;"",[1]equip.xml!$A:$A,0))</f>
        <v>12000</v>
      </c>
      <c r="H4085" s="7" t="s">
        <v>31</v>
      </c>
      <c r="I4085" s="7">
        <v>13</v>
      </c>
      <c r="J4085" s="7">
        <v>50</v>
      </c>
      <c r="K4085" s="7" t="s">
        <v>293</v>
      </c>
      <c r="L4085" s="7">
        <v>18</v>
      </c>
      <c r="M4085" s="7">
        <f>IF(INDEX([1]equip.xml!$B:$B,MATCH(D4085&amp;"",[1]equip.xml!$A:$A,0))=0,0,N4085)</f>
        <v>100</v>
      </c>
      <c r="N4085" s="7">
        <v>100</v>
      </c>
    </row>
    <row r="4086" spans="1:14">
      <c r="A4086" s="7">
        <f t="shared" si="5004"/>
        <v>30005</v>
      </c>
      <c r="B4086" s="7">
        <v>40000</v>
      </c>
      <c r="C4086" s="7" t="s">
        <v>132</v>
      </c>
      <c r="D4086" s="7" t="s">
        <v>52</v>
      </c>
      <c r="E4086" s="7" t="s">
        <v>96</v>
      </c>
      <c r="F4086" s="7">
        <v>1</v>
      </c>
      <c r="G4086" s="7">
        <f>3*INDEX([1]equip.xml!$I:$I,MATCH(D4086&amp;"",[1]equip.xml!$A:$A,0))</f>
        <v>3000</v>
      </c>
      <c r="H4086" s="7" t="s">
        <v>31</v>
      </c>
      <c r="I4086" s="7">
        <v>13</v>
      </c>
      <c r="J4086" s="7">
        <v>50</v>
      </c>
      <c r="K4086" s="7" t="s">
        <v>293</v>
      </c>
      <c r="L4086" s="7">
        <v>18</v>
      </c>
      <c r="M4086" s="7">
        <f>IF(INDEX([1]equip.xml!$B:$B,MATCH(D4086&amp;"",[1]equip.xml!$A:$A,0))=0,0,N4086)</f>
        <v>100</v>
      </c>
      <c r="N4086" s="7">
        <v>100</v>
      </c>
    </row>
    <row r="4087" spans="1:14">
      <c r="A4087" s="7">
        <f t="shared" si="5004"/>
        <v>30005</v>
      </c>
      <c r="B4087" s="7">
        <v>40000</v>
      </c>
      <c r="C4087" s="7" t="s">
        <v>132</v>
      </c>
      <c r="D4087" s="7" t="s">
        <v>53</v>
      </c>
      <c r="E4087" s="7" t="s">
        <v>97</v>
      </c>
      <c r="F4087" s="7">
        <v>1</v>
      </c>
      <c r="G4087" s="7">
        <f>3*INDEX([1]equip.xml!$I:$I,MATCH(D4087&amp;"",[1]equip.xml!$A:$A,0))</f>
        <v>12000</v>
      </c>
      <c r="H4087" s="7" t="s">
        <v>31</v>
      </c>
      <c r="I4087" s="7">
        <v>13</v>
      </c>
      <c r="J4087" s="7">
        <v>50</v>
      </c>
      <c r="K4087" s="7" t="s">
        <v>293</v>
      </c>
      <c r="L4087" s="7">
        <v>18</v>
      </c>
      <c r="M4087" s="7">
        <f>IF(INDEX([1]equip.xml!$B:$B,MATCH(D4087&amp;"",[1]equip.xml!$A:$A,0))=0,0,N4087)</f>
        <v>0</v>
      </c>
      <c r="N4087" s="7">
        <v>100</v>
      </c>
    </row>
    <row r="4088" spans="1:14">
      <c r="A4088" s="7">
        <f t="shared" si="5004"/>
        <v>30005</v>
      </c>
      <c r="B4088" s="7">
        <v>40000</v>
      </c>
      <c r="C4088" s="7" t="s">
        <v>132</v>
      </c>
      <c r="D4088" s="7" t="s">
        <v>54</v>
      </c>
      <c r="E4088" s="7" t="s">
        <v>98</v>
      </c>
      <c r="F4088" s="7">
        <v>1</v>
      </c>
      <c r="G4088" s="7">
        <f>3*INDEX([1]equip.xml!$I:$I,MATCH(D4088&amp;"",[1]equip.xml!$A:$A,0))</f>
        <v>3000</v>
      </c>
      <c r="H4088" s="7" t="s">
        <v>31</v>
      </c>
      <c r="I4088" s="7">
        <v>13</v>
      </c>
      <c r="J4088" s="7">
        <v>50</v>
      </c>
      <c r="K4088" s="7" t="s">
        <v>293</v>
      </c>
      <c r="L4088" s="7">
        <v>18</v>
      </c>
      <c r="M4088" s="7">
        <f>IF(INDEX([1]equip.xml!$B:$B,MATCH(D4088&amp;"",[1]equip.xml!$A:$A,0))=0,0,N4088)</f>
        <v>100</v>
      </c>
      <c r="N4088" s="7">
        <v>100</v>
      </c>
    </row>
    <row r="4089" spans="1:14">
      <c r="A4089" s="7">
        <f t="shared" si="5004"/>
        <v>30005</v>
      </c>
      <c r="B4089" s="7">
        <v>40000</v>
      </c>
      <c r="C4089" s="7" t="s">
        <v>132</v>
      </c>
      <c r="D4089" s="7" t="s">
        <v>55</v>
      </c>
      <c r="E4089" s="7" t="s">
        <v>99</v>
      </c>
      <c r="F4089" s="7">
        <v>1</v>
      </c>
      <c r="G4089" s="7">
        <f>3*INDEX([1]equip.xml!$I:$I,MATCH(D4089&amp;"",[1]equip.xml!$A:$A,0))</f>
        <v>12000</v>
      </c>
      <c r="H4089" s="7" t="s">
        <v>31</v>
      </c>
      <c r="I4089" s="7">
        <v>13</v>
      </c>
      <c r="J4089" s="7">
        <v>50</v>
      </c>
      <c r="K4089" s="7" t="s">
        <v>293</v>
      </c>
      <c r="L4089" s="7">
        <v>18</v>
      </c>
      <c r="M4089" s="7">
        <f>IF(INDEX([1]equip.xml!$B:$B,MATCH(D4089&amp;"",[1]equip.xml!$A:$A,0))=0,0,N4089)</f>
        <v>100</v>
      </c>
      <c r="N4089" s="7">
        <v>100</v>
      </c>
    </row>
    <row r="4090" spans="1:14">
      <c r="A4090" s="7">
        <f t="shared" si="5004"/>
        <v>30005</v>
      </c>
      <c r="B4090" s="7">
        <v>40000</v>
      </c>
      <c r="C4090" s="7" t="s">
        <v>132</v>
      </c>
      <c r="D4090" s="7" t="s">
        <v>56</v>
      </c>
      <c r="E4090" s="7" t="s">
        <v>100</v>
      </c>
      <c r="F4090" s="7">
        <v>1</v>
      </c>
      <c r="G4090" s="7">
        <f>3*INDEX([1]equip.xml!$I:$I,MATCH(D4090&amp;"",[1]equip.xml!$A:$A,0))</f>
        <v>3000</v>
      </c>
      <c r="H4090" s="7" t="s">
        <v>31</v>
      </c>
      <c r="I4090" s="7">
        <v>13</v>
      </c>
      <c r="J4090" s="7">
        <v>50</v>
      </c>
      <c r="K4090" s="7" t="s">
        <v>293</v>
      </c>
      <c r="L4090" s="7">
        <v>18</v>
      </c>
      <c r="M4090" s="7">
        <f>IF(INDEX([1]equip.xml!$B:$B,MATCH(D4090&amp;"",[1]equip.xml!$A:$A,0))=0,0,N4090)</f>
        <v>100</v>
      </c>
      <c r="N4090" s="7">
        <v>100</v>
      </c>
    </row>
    <row r="4091" spans="1:14">
      <c r="A4091" s="7">
        <f t="shared" si="5004"/>
        <v>30005</v>
      </c>
      <c r="B4091" s="7">
        <v>40000</v>
      </c>
      <c r="C4091" s="7" t="s">
        <v>132</v>
      </c>
      <c r="D4091" s="7" t="s">
        <v>57</v>
      </c>
      <c r="E4091" s="7" t="s">
        <v>101</v>
      </c>
      <c r="F4091" s="7">
        <v>1</v>
      </c>
      <c r="G4091" s="7">
        <f>3*INDEX([1]equip.xml!$I:$I,MATCH(D4091&amp;"",[1]equip.xml!$A:$A,0))</f>
        <v>12000</v>
      </c>
      <c r="H4091" s="7" t="s">
        <v>31</v>
      </c>
      <c r="I4091" s="7">
        <v>13</v>
      </c>
      <c r="J4091" s="7">
        <v>50</v>
      </c>
      <c r="K4091" s="7" t="s">
        <v>293</v>
      </c>
      <c r="L4091" s="7">
        <v>18</v>
      </c>
      <c r="M4091" s="7">
        <f>IF(INDEX([1]equip.xml!$B:$B,MATCH(D4091&amp;"",[1]equip.xml!$A:$A,0))=0,0,N4091)</f>
        <v>0</v>
      </c>
      <c r="N4091" s="7">
        <v>100</v>
      </c>
    </row>
    <row r="4092" spans="1:14">
      <c r="A4092" s="7">
        <f t="shared" si="5004"/>
        <v>30005</v>
      </c>
      <c r="B4092" s="7">
        <v>40000</v>
      </c>
      <c r="C4092" s="7" t="s">
        <v>132</v>
      </c>
      <c r="D4092" s="7" t="s">
        <v>58</v>
      </c>
      <c r="E4092" s="7" t="s">
        <v>102</v>
      </c>
      <c r="F4092" s="7">
        <v>1</v>
      </c>
      <c r="G4092" s="7">
        <f>3*INDEX([1]equip.xml!$I:$I,MATCH(D4092&amp;"",[1]equip.xml!$A:$A,0))</f>
        <v>3000</v>
      </c>
      <c r="H4092" s="7" t="s">
        <v>31</v>
      </c>
      <c r="I4092" s="7">
        <v>13</v>
      </c>
      <c r="J4092" s="7">
        <v>50</v>
      </c>
      <c r="K4092" s="7" t="s">
        <v>293</v>
      </c>
      <c r="L4092" s="7">
        <v>18</v>
      </c>
      <c r="M4092" s="7">
        <f>IF(INDEX([1]equip.xml!$B:$B,MATCH(D4092&amp;"",[1]equip.xml!$A:$A,0))=0,0,N4092)</f>
        <v>100</v>
      </c>
      <c r="N4092" s="7">
        <v>100</v>
      </c>
    </row>
    <row r="4093" spans="1:14">
      <c r="A4093" s="7">
        <f t="shared" si="5004"/>
        <v>30005</v>
      </c>
      <c r="B4093" s="7">
        <v>40000</v>
      </c>
      <c r="C4093" s="7" t="s">
        <v>132</v>
      </c>
      <c r="D4093" s="7" t="s">
        <v>59</v>
      </c>
      <c r="E4093" s="7" t="s">
        <v>103</v>
      </c>
      <c r="F4093" s="7">
        <v>1</v>
      </c>
      <c r="G4093" s="7">
        <f>3*INDEX([1]equip.xml!$I:$I,MATCH(D4093&amp;"",[1]equip.xml!$A:$A,0))</f>
        <v>12000</v>
      </c>
      <c r="H4093" s="7" t="s">
        <v>31</v>
      </c>
      <c r="I4093" s="7">
        <v>13</v>
      </c>
      <c r="J4093" s="7">
        <v>50</v>
      </c>
      <c r="K4093" s="7" t="s">
        <v>293</v>
      </c>
      <c r="L4093" s="7">
        <v>18</v>
      </c>
      <c r="M4093" s="7">
        <f>IF(INDEX([1]equip.xml!$B:$B,MATCH(D4093&amp;"",[1]equip.xml!$A:$A,0))=0,0,N4093)</f>
        <v>100</v>
      </c>
      <c r="N4093" s="7">
        <v>100</v>
      </c>
    </row>
    <row r="4094" spans="1:14">
      <c r="A4094" s="7">
        <f t="shared" si="5004"/>
        <v>30005</v>
      </c>
      <c r="B4094" s="7">
        <v>40000</v>
      </c>
      <c r="C4094" s="7" t="s">
        <v>132</v>
      </c>
      <c r="D4094" s="7" t="s">
        <v>60</v>
      </c>
      <c r="E4094" s="7" t="s">
        <v>104</v>
      </c>
      <c r="F4094" s="7">
        <v>1</v>
      </c>
      <c r="G4094" s="7">
        <f>3*INDEX([1]equip.xml!$I:$I,MATCH(D4094&amp;"",[1]equip.xml!$A:$A,0))</f>
        <v>3000</v>
      </c>
      <c r="H4094" s="7" t="s">
        <v>31</v>
      </c>
      <c r="I4094" s="7">
        <v>13</v>
      </c>
      <c r="J4094" s="7">
        <v>50</v>
      </c>
      <c r="K4094" s="7" t="s">
        <v>293</v>
      </c>
      <c r="L4094" s="7">
        <v>18</v>
      </c>
      <c r="M4094" s="7">
        <f>IF(INDEX([1]equip.xml!$B:$B,MATCH(D4094&amp;"",[1]equip.xml!$A:$A,0))=0,0,N4094)</f>
        <v>100</v>
      </c>
      <c r="N4094" s="7">
        <v>100</v>
      </c>
    </row>
    <row r="4095" spans="1:14">
      <c r="A4095" s="7">
        <f t="shared" si="5004"/>
        <v>30005</v>
      </c>
      <c r="B4095" s="7">
        <v>40000</v>
      </c>
      <c r="C4095" s="7" t="s">
        <v>132</v>
      </c>
      <c r="D4095" s="7" t="s">
        <v>61</v>
      </c>
      <c r="E4095" s="7" t="s">
        <v>105</v>
      </c>
      <c r="F4095" s="7">
        <v>1</v>
      </c>
      <c r="G4095" s="7">
        <f>3*INDEX([1]equip.xml!$I:$I,MATCH(D4095&amp;"",[1]equip.xml!$A:$A,0))</f>
        <v>12000</v>
      </c>
      <c r="H4095" s="7" t="s">
        <v>31</v>
      </c>
      <c r="I4095" s="7">
        <v>13</v>
      </c>
      <c r="J4095" s="7">
        <v>50</v>
      </c>
      <c r="K4095" s="7" t="s">
        <v>293</v>
      </c>
      <c r="L4095" s="7">
        <v>18</v>
      </c>
      <c r="M4095" s="7">
        <f>IF(INDEX([1]equip.xml!$B:$B,MATCH(D4095&amp;"",[1]equip.xml!$A:$A,0))=0,0,N4095)</f>
        <v>0</v>
      </c>
      <c r="N4095" s="7">
        <v>100</v>
      </c>
    </row>
    <row r="4096" spans="1:14">
      <c r="A4096" s="7">
        <f t="shared" si="5004"/>
        <v>30005</v>
      </c>
      <c r="B4096" s="7">
        <v>40000</v>
      </c>
      <c r="C4096" s="7" t="s">
        <v>132</v>
      </c>
      <c r="D4096" s="7" t="s">
        <v>62</v>
      </c>
      <c r="E4096" s="7" t="s">
        <v>106</v>
      </c>
      <c r="F4096" s="7">
        <v>1</v>
      </c>
      <c r="G4096" s="7">
        <f>3*INDEX([1]equip.xml!$I:$I,MATCH(D4096&amp;"",[1]equip.xml!$A:$A,0))</f>
        <v>3000</v>
      </c>
      <c r="H4096" s="7" t="s">
        <v>31</v>
      </c>
      <c r="I4096" s="7">
        <v>13</v>
      </c>
      <c r="J4096" s="7">
        <v>50</v>
      </c>
      <c r="K4096" s="7" t="s">
        <v>293</v>
      </c>
      <c r="L4096" s="7">
        <v>18</v>
      </c>
      <c r="M4096" s="7">
        <f>IF(INDEX([1]equip.xml!$B:$B,MATCH(D4096&amp;"",[1]equip.xml!$A:$A,0))=0,0,N4096)</f>
        <v>100</v>
      </c>
      <c r="N4096" s="7">
        <v>100</v>
      </c>
    </row>
    <row r="4097" spans="1:14">
      <c r="A4097" s="7">
        <f t="shared" si="5004"/>
        <v>30005</v>
      </c>
      <c r="B4097" s="7">
        <v>40000</v>
      </c>
      <c r="C4097" s="7" t="s">
        <v>132</v>
      </c>
      <c r="D4097" s="7" t="s">
        <v>63</v>
      </c>
      <c r="E4097" s="7" t="s">
        <v>107</v>
      </c>
      <c r="F4097" s="7">
        <v>1</v>
      </c>
      <c r="G4097" s="7">
        <f>3*INDEX([1]equip.xml!$I:$I,MATCH(D4097&amp;"",[1]equip.xml!$A:$A,0))</f>
        <v>12000</v>
      </c>
      <c r="H4097" s="7" t="s">
        <v>31</v>
      </c>
      <c r="I4097" s="7">
        <v>13</v>
      </c>
      <c r="J4097" s="7">
        <v>50</v>
      </c>
      <c r="K4097" s="7" t="s">
        <v>293</v>
      </c>
      <c r="L4097" s="7">
        <v>18</v>
      </c>
      <c r="M4097" s="7">
        <f>IF(INDEX([1]equip.xml!$B:$B,MATCH(D4097&amp;"",[1]equip.xml!$A:$A,0))=0,0,N4097)</f>
        <v>0</v>
      </c>
      <c r="N4097" s="7">
        <v>100</v>
      </c>
    </row>
    <row r="4098" spans="1:14">
      <c r="A4098" s="7">
        <f t="shared" si="5004"/>
        <v>30005</v>
      </c>
      <c r="B4098" s="7">
        <v>40000</v>
      </c>
      <c r="C4098" s="7" t="s">
        <v>132</v>
      </c>
      <c r="D4098" s="7" t="s">
        <v>64</v>
      </c>
      <c r="E4098" s="7" t="s">
        <v>108</v>
      </c>
      <c r="F4098" s="7">
        <v>1</v>
      </c>
      <c r="G4098" s="7">
        <f>3*INDEX([1]equip.xml!$I:$I,MATCH(D4098&amp;"",[1]equip.xml!$A:$A,0))</f>
        <v>3000</v>
      </c>
      <c r="H4098" s="7" t="s">
        <v>31</v>
      </c>
      <c r="I4098" s="7">
        <v>13</v>
      </c>
      <c r="J4098" s="7">
        <v>50</v>
      </c>
      <c r="K4098" s="7" t="s">
        <v>293</v>
      </c>
      <c r="L4098" s="7">
        <v>18</v>
      </c>
      <c r="M4098" s="7">
        <f>IF(INDEX([1]equip.xml!$B:$B,MATCH(D4098&amp;"",[1]equip.xml!$A:$A,0))=0,0,N4098)</f>
        <v>0</v>
      </c>
      <c r="N4098" s="7">
        <v>100</v>
      </c>
    </row>
    <row r="4099" spans="1:14">
      <c r="A4099" s="7">
        <f t="shared" si="5004"/>
        <v>30005</v>
      </c>
      <c r="B4099" s="7">
        <v>40000</v>
      </c>
      <c r="C4099" s="7" t="s">
        <v>132</v>
      </c>
      <c r="D4099" s="7" t="s">
        <v>65</v>
      </c>
      <c r="E4099" s="7" t="s">
        <v>109</v>
      </c>
      <c r="F4099" s="7">
        <v>1</v>
      </c>
      <c r="G4099" s="7">
        <f>3*INDEX([1]equip.xml!$I:$I,MATCH(D4099&amp;"",[1]equip.xml!$A:$A,0))</f>
        <v>12000</v>
      </c>
      <c r="H4099" s="7" t="s">
        <v>31</v>
      </c>
      <c r="I4099" s="7">
        <v>13</v>
      </c>
      <c r="J4099" s="7">
        <v>50</v>
      </c>
      <c r="K4099" s="7" t="s">
        <v>293</v>
      </c>
      <c r="L4099" s="7">
        <v>18</v>
      </c>
      <c r="M4099" s="7">
        <f>IF(INDEX([1]equip.xml!$B:$B,MATCH(D4099&amp;"",[1]equip.xml!$A:$A,0))=0,0,N4099)</f>
        <v>0</v>
      </c>
      <c r="N4099" s="7">
        <v>100</v>
      </c>
    </row>
    <row r="4100" spans="1:14">
      <c r="A4100" s="7">
        <f t="shared" si="5004"/>
        <v>30005</v>
      </c>
      <c r="B4100" s="7">
        <v>40000</v>
      </c>
      <c r="C4100" s="7" t="s">
        <v>132</v>
      </c>
      <c r="D4100" s="7" t="s">
        <v>66</v>
      </c>
      <c r="E4100" s="7" t="s">
        <v>110</v>
      </c>
      <c r="F4100" s="7">
        <v>1</v>
      </c>
      <c r="G4100" s="7">
        <f>3*INDEX([1]equip.xml!$I:$I,MATCH(D4100&amp;"",[1]equip.xml!$A:$A,0))</f>
        <v>15000</v>
      </c>
      <c r="H4100" s="7" t="s">
        <v>31</v>
      </c>
      <c r="I4100" s="7">
        <v>13</v>
      </c>
      <c r="J4100" s="7">
        <v>50</v>
      </c>
      <c r="K4100" s="7" t="s">
        <v>293</v>
      </c>
      <c r="L4100" s="7">
        <v>18</v>
      </c>
      <c r="M4100" s="7">
        <f>IF(INDEX([1]equip.xml!$B:$B,MATCH(D4100&amp;"",[1]equip.xml!$A:$A,0))=0,0,N4100)</f>
        <v>70</v>
      </c>
      <c r="N4100" s="7">
        <v>70</v>
      </c>
    </row>
    <row r="4101" spans="1:14">
      <c r="A4101" s="7">
        <f t="shared" si="5004"/>
        <v>30005</v>
      </c>
      <c r="B4101" s="7">
        <v>40000</v>
      </c>
      <c r="C4101" s="7" t="s">
        <v>132</v>
      </c>
      <c r="D4101" s="7" t="s">
        <v>67</v>
      </c>
      <c r="E4101" s="7" t="s">
        <v>111</v>
      </c>
      <c r="F4101" s="7">
        <v>1</v>
      </c>
      <c r="G4101" s="7">
        <f>3*INDEX([1]equip.xml!$I:$I,MATCH(D4101&amp;"",[1]equip.xml!$A:$A,0))</f>
        <v>15000</v>
      </c>
      <c r="H4101" s="7" t="s">
        <v>31</v>
      </c>
      <c r="I4101" s="7">
        <v>13</v>
      </c>
      <c r="J4101" s="7">
        <v>50</v>
      </c>
      <c r="K4101" s="7" t="s">
        <v>293</v>
      </c>
      <c r="L4101" s="7">
        <v>18</v>
      </c>
      <c r="M4101" s="7">
        <f>IF(INDEX([1]equip.xml!$B:$B,MATCH(D4101&amp;"",[1]equip.xml!$A:$A,0))=0,0,N4101)</f>
        <v>70</v>
      </c>
      <c r="N4101" s="7">
        <v>70</v>
      </c>
    </row>
    <row r="4102" spans="1:14" s="4" customFormat="1">
      <c r="A4102" s="7">
        <f t="shared" si="5004"/>
        <v>30005</v>
      </c>
      <c r="B4102" s="8">
        <v>40000</v>
      </c>
      <c r="C4102" s="8" t="s">
        <v>132</v>
      </c>
      <c r="D4102" s="8" t="s">
        <v>68</v>
      </c>
      <c r="E4102" s="8" t="s">
        <v>112</v>
      </c>
      <c r="F4102" s="8">
        <v>1</v>
      </c>
      <c r="G4102" s="8">
        <f>3*INDEX([1]equip.xml!$I:$I,MATCH(D4102&amp;"",[1]equip.xml!$A:$A,0))</f>
        <v>15000</v>
      </c>
      <c r="H4102" s="8" t="s">
        <v>31</v>
      </c>
      <c r="I4102" s="8">
        <v>13</v>
      </c>
      <c r="J4102" s="8">
        <v>50</v>
      </c>
      <c r="K4102" s="7" t="s">
        <v>293</v>
      </c>
      <c r="L4102" s="8">
        <v>18</v>
      </c>
      <c r="M4102" s="8">
        <f>IF(INDEX([1]equip.xml!$B:$B,MATCH(D4102&amp;"",[1]equip.xml!$A:$A,0))=0,0,N4102)</f>
        <v>70</v>
      </c>
      <c r="N4102" s="8">
        <v>70</v>
      </c>
    </row>
    <row r="4103" spans="1:14">
      <c r="A4103" s="7">
        <f t="shared" si="5004"/>
        <v>30005</v>
      </c>
      <c r="B4103" s="7">
        <v>40000</v>
      </c>
      <c r="C4103" s="7" t="s">
        <v>132</v>
      </c>
      <c r="D4103" s="7" t="s">
        <v>69</v>
      </c>
      <c r="E4103" s="7" t="s">
        <v>113</v>
      </c>
      <c r="F4103" s="7">
        <v>1</v>
      </c>
      <c r="G4103" s="7">
        <f>3*INDEX([1]equip.xml!$I:$I,MATCH(D4103&amp;"",[1]equip.xml!$A:$A,0))</f>
        <v>15000</v>
      </c>
      <c r="H4103" s="7" t="s">
        <v>31</v>
      </c>
      <c r="I4103" s="7">
        <v>13</v>
      </c>
      <c r="J4103" s="7">
        <v>50</v>
      </c>
      <c r="K4103" s="7" t="s">
        <v>293</v>
      </c>
      <c r="L4103" s="7">
        <v>18</v>
      </c>
      <c r="M4103" s="7">
        <f>IF(INDEX([1]equip.xml!$B:$B,MATCH(D4103&amp;"",[1]equip.xml!$A:$A,0))=0,0,N4103)</f>
        <v>0</v>
      </c>
      <c r="N4103" s="7">
        <v>70</v>
      </c>
    </row>
    <row r="4104" spans="1:14">
      <c r="A4104" s="7">
        <f t="shared" si="5004"/>
        <v>30005</v>
      </c>
      <c r="B4104" s="7">
        <v>40000</v>
      </c>
      <c r="C4104" s="7" t="s">
        <v>132</v>
      </c>
      <c r="D4104" s="7" t="s">
        <v>70</v>
      </c>
      <c r="E4104" s="7" t="s">
        <v>114</v>
      </c>
      <c r="F4104" s="7">
        <v>1</v>
      </c>
      <c r="G4104" s="7">
        <f>3*INDEX([1]equip.xml!$I:$I,MATCH(D4104&amp;"",[1]equip.xml!$A:$A,0))</f>
        <v>15000</v>
      </c>
      <c r="H4104" s="7" t="s">
        <v>31</v>
      </c>
      <c r="I4104" s="7">
        <v>13</v>
      </c>
      <c r="J4104" s="7">
        <v>50</v>
      </c>
      <c r="K4104" s="7" t="s">
        <v>293</v>
      </c>
      <c r="L4104" s="7">
        <v>18</v>
      </c>
      <c r="M4104" s="7">
        <f>IF(INDEX([1]equip.xml!$B:$B,MATCH(D4104&amp;"",[1]equip.xml!$A:$A,0))=0,0,N4104)</f>
        <v>0</v>
      </c>
      <c r="N4104" s="7">
        <v>70</v>
      </c>
    </row>
    <row r="4105" spans="1:14">
      <c r="A4105" s="7">
        <f t="shared" si="5004"/>
        <v>30005</v>
      </c>
      <c r="B4105" s="7">
        <v>40000</v>
      </c>
      <c r="C4105" s="7" t="s">
        <v>132</v>
      </c>
      <c r="D4105" s="7" t="s">
        <v>71</v>
      </c>
      <c r="E4105" s="7" t="s">
        <v>115</v>
      </c>
      <c r="F4105" s="7">
        <v>1</v>
      </c>
      <c r="G4105" s="7">
        <f>3*INDEX([1]equip.xml!$I:$I,MATCH(D4105&amp;"",[1]equip.xml!$A:$A,0))</f>
        <v>15000</v>
      </c>
      <c r="H4105" s="7" t="s">
        <v>31</v>
      </c>
      <c r="I4105" s="7">
        <v>13</v>
      </c>
      <c r="J4105" s="7">
        <v>50</v>
      </c>
      <c r="K4105" s="7" t="s">
        <v>293</v>
      </c>
      <c r="L4105" s="7">
        <v>18</v>
      </c>
      <c r="M4105" s="7">
        <f>IF(INDEX([1]equip.xml!$B:$B,MATCH(D4105&amp;"",[1]equip.xml!$A:$A,0))=0,0,N4105)</f>
        <v>70</v>
      </c>
      <c r="N4105" s="7">
        <v>70</v>
      </c>
    </row>
    <row r="4106" spans="1:14">
      <c r="A4106" s="7">
        <f t="shared" si="5004"/>
        <v>30005</v>
      </c>
      <c r="B4106" s="7">
        <v>40000</v>
      </c>
      <c r="C4106" s="7" t="s">
        <v>132</v>
      </c>
      <c r="D4106" s="7" t="s">
        <v>72</v>
      </c>
      <c r="E4106" s="7" t="s">
        <v>116</v>
      </c>
      <c r="F4106" s="7">
        <v>1</v>
      </c>
      <c r="G4106" s="7">
        <f>3*INDEX([1]equip.xml!$I:$I,MATCH(D4106&amp;"",[1]equip.xml!$A:$A,0))</f>
        <v>15000</v>
      </c>
      <c r="H4106" s="7" t="s">
        <v>31</v>
      </c>
      <c r="I4106" s="7">
        <v>13</v>
      </c>
      <c r="J4106" s="7">
        <v>50</v>
      </c>
      <c r="K4106" s="7" t="s">
        <v>293</v>
      </c>
      <c r="L4106" s="7">
        <v>18</v>
      </c>
      <c r="M4106" s="7">
        <f>IF(INDEX([1]equip.xml!$B:$B,MATCH(D4106&amp;"",[1]equip.xml!$A:$A,0))=0,0,N4106)</f>
        <v>70</v>
      </c>
      <c r="N4106" s="7">
        <v>70</v>
      </c>
    </row>
    <row r="4107" spans="1:14">
      <c r="A4107" s="7">
        <f t="shared" si="5004"/>
        <v>30005</v>
      </c>
      <c r="B4107" s="7">
        <v>40000</v>
      </c>
      <c r="C4107" s="7" t="s">
        <v>132</v>
      </c>
      <c r="D4107" s="7" t="s">
        <v>73</v>
      </c>
      <c r="E4107" s="7" t="s">
        <v>117</v>
      </c>
      <c r="F4107" s="7">
        <v>1</v>
      </c>
      <c r="G4107" s="7">
        <f>3*INDEX([1]equip.xml!$I:$I,MATCH(D4107&amp;"",[1]equip.xml!$A:$A,0))</f>
        <v>24000</v>
      </c>
      <c r="H4107" s="7" t="s">
        <v>31</v>
      </c>
      <c r="I4107" s="7">
        <v>13</v>
      </c>
      <c r="J4107" s="7">
        <v>50</v>
      </c>
      <c r="K4107" s="7" t="s">
        <v>293</v>
      </c>
      <c r="L4107" s="7">
        <v>18</v>
      </c>
      <c r="M4107" s="7">
        <f>IF(INDEX([1]equip.xml!$B:$B,MATCH(D4107&amp;"",[1]equip.xml!$A:$A,0))=0,0,N4107)</f>
        <v>70</v>
      </c>
      <c r="N4107" s="7">
        <v>70</v>
      </c>
    </row>
    <row r="4108" spans="1:14">
      <c r="A4108" s="7">
        <f t="shared" si="5004"/>
        <v>30005</v>
      </c>
      <c r="B4108" s="7">
        <v>40000</v>
      </c>
      <c r="C4108" s="7" t="s">
        <v>132</v>
      </c>
      <c r="D4108" s="7" t="s">
        <v>74</v>
      </c>
      <c r="E4108" s="7" t="s">
        <v>118</v>
      </c>
      <c r="F4108" s="7">
        <v>1</v>
      </c>
      <c r="G4108" s="7">
        <f>3*INDEX([1]equip.xml!$I:$I,MATCH(D4108&amp;"",[1]equip.xml!$A:$A,0))</f>
        <v>15000</v>
      </c>
      <c r="H4108" s="7" t="s">
        <v>31</v>
      </c>
      <c r="I4108" s="7">
        <v>13</v>
      </c>
      <c r="J4108" s="7">
        <v>50</v>
      </c>
      <c r="K4108" s="7" t="s">
        <v>293</v>
      </c>
      <c r="L4108" s="7">
        <v>18</v>
      </c>
      <c r="M4108" s="7">
        <f>IF(INDEX([1]equip.xml!$B:$B,MATCH(D4108&amp;"",[1]equip.xml!$A:$A,0))=0,0,N4108)</f>
        <v>70</v>
      </c>
      <c r="N4108" s="7">
        <v>70</v>
      </c>
    </row>
    <row r="4109" spans="1:14">
      <c r="A4109" s="7">
        <f t="shared" si="5004"/>
        <v>30005</v>
      </c>
      <c r="B4109" s="7">
        <v>40000</v>
      </c>
      <c r="C4109" s="7" t="s">
        <v>132</v>
      </c>
      <c r="D4109" s="7" t="s">
        <v>75</v>
      </c>
      <c r="E4109" s="7" t="s">
        <v>119</v>
      </c>
      <c r="F4109" s="7">
        <v>1</v>
      </c>
      <c r="G4109" s="7">
        <f>3*INDEX([1]equip.xml!$I:$I,MATCH(D4109&amp;"",[1]equip.xml!$A:$A,0))</f>
        <v>24000</v>
      </c>
      <c r="H4109" s="7" t="s">
        <v>31</v>
      </c>
      <c r="I4109" s="7">
        <v>13</v>
      </c>
      <c r="J4109" s="7">
        <v>50</v>
      </c>
      <c r="K4109" s="7" t="s">
        <v>293</v>
      </c>
      <c r="L4109" s="7">
        <v>18</v>
      </c>
      <c r="M4109" s="7">
        <f>IF(INDEX([1]equip.xml!$B:$B,MATCH(D4109&amp;"",[1]equip.xml!$A:$A,0))=0,0,N4109)</f>
        <v>0</v>
      </c>
      <c r="N4109" s="7">
        <v>70</v>
      </c>
    </row>
    <row r="4110" spans="1:14">
      <c r="A4110" s="7">
        <f t="shared" si="5004"/>
        <v>30005</v>
      </c>
      <c r="B4110" s="7">
        <v>40000</v>
      </c>
      <c r="C4110" s="7" t="s">
        <v>132</v>
      </c>
      <c r="D4110" s="7" t="s">
        <v>76</v>
      </c>
      <c r="E4110" s="7" t="s">
        <v>120</v>
      </c>
      <c r="F4110" s="7">
        <v>1</v>
      </c>
      <c r="G4110" s="7">
        <f>3*INDEX([1]equip.xml!$I:$I,MATCH(D4110&amp;"",[1]equip.xml!$A:$A,0))</f>
        <v>15000</v>
      </c>
      <c r="H4110" s="7" t="s">
        <v>31</v>
      </c>
      <c r="I4110" s="7">
        <v>13</v>
      </c>
      <c r="J4110" s="7">
        <v>50</v>
      </c>
      <c r="K4110" s="7" t="s">
        <v>293</v>
      </c>
      <c r="L4110" s="7">
        <v>18</v>
      </c>
      <c r="M4110" s="7">
        <f>IF(INDEX([1]equip.xml!$B:$B,MATCH(D4110&amp;"",[1]equip.xml!$A:$A,0))=0,0,N4110)</f>
        <v>70</v>
      </c>
      <c r="N4110" s="7">
        <v>70</v>
      </c>
    </row>
    <row r="4111" spans="1:14">
      <c r="A4111" s="7">
        <f t="shared" si="5004"/>
        <v>30005</v>
      </c>
      <c r="B4111" s="7">
        <v>40000</v>
      </c>
      <c r="C4111" s="7" t="s">
        <v>132</v>
      </c>
      <c r="D4111" s="7" t="s">
        <v>77</v>
      </c>
      <c r="E4111" s="7" t="s">
        <v>121</v>
      </c>
      <c r="F4111" s="7">
        <v>1</v>
      </c>
      <c r="G4111" s="7">
        <f>3*INDEX([1]equip.xml!$I:$I,MATCH(D4111&amp;"",[1]equip.xml!$A:$A,0))</f>
        <v>24000</v>
      </c>
      <c r="H4111" s="7" t="s">
        <v>31</v>
      </c>
      <c r="I4111" s="7">
        <v>13</v>
      </c>
      <c r="J4111" s="7">
        <v>50</v>
      </c>
      <c r="K4111" s="7" t="s">
        <v>293</v>
      </c>
      <c r="L4111" s="7">
        <v>18</v>
      </c>
      <c r="M4111" s="7">
        <f>IF(INDEX([1]equip.xml!$B:$B,MATCH(D4111&amp;"",[1]equip.xml!$A:$A,0))=0,0,N4111)</f>
        <v>70</v>
      </c>
      <c r="N4111" s="7">
        <v>70</v>
      </c>
    </row>
    <row r="4112" spans="1:14">
      <c r="A4112" s="7">
        <f t="shared" si="5004"/>
        <v>30005</v>
      </c>
      <c r="B4112" s="7">
        <v>40000</v>
      </c>
      <c r="C4112" s="7" t="s">
        <v>132</v>
      </c>
      <c r="D4112" s="7" t="s">
        <v>78</v>
      </c>
      <c r="E4112" s="7" t="s">
        <v>122</v>
      </c>
      <c r="F4112" s="7">
        <v>1</v>
      </c>
      <c r="G4112" s="7">
        <f>3*INDEX([1]equip.xml!$I:$I,MATCH(D4112&amp;"",[1]equip.xml!$A:$A,0))</f>
        <v>15000</v>
      </c>
      <c r="H4112" s="7" t="s">
        <v>31</v>
      </c>
      <c r="I4112" s="7">
        <v>13</v>
      </c>
      <c r="J4112" s="7">
        <v>50</v>
      </c>
      <c r="K4112" s="7" t="s">
        <v>293</v>
      </c>
      <c r="L4112" s="7">
        <v>18</v>
      </c>
      <c r="M4112" s="7">
        <f>IF(INDEX([1]equip.xml!$B:$B,MATCH(D4112&amp;"",[1]equip.xml!$A:$A,0))=0,0,N4112)</f>
        <v>70</v>
      </c>
      <c r="N4112" s="7">
        <v>70</v>
      </c>
    </row>
    <row r="4113" spans="1:14">
      <c r="A4113" s="7">
        <f t="shared" si="5004"/>
        <v>30005</v>
      </c>
      <c r="B4113" s="7">
        <v>40000</v>
      </c>
      <c r="C4113" s="7" t="s">
        <v>132</v>
      </c>
      <c r="D4113" s="7" t="s">
        <v>79</v>
      </c>
      <c r="E4113" s="7" t="s">
        <v>123</v>
      </c>
      <c r="F4113" s="7">
        <v>1</v>
      </c>
      <c r="G4113" s="7">
        <f>3*INDEX([1]equip.xml!$I:$I,MATCH(D4113&amp;"",[1]equip.xml!$A:$A,0))</f>
        <v>24000</v>
      </c>
      <c r="H4113" s="7" t="s">
        <v>31</v>
      </c>
      <c r="I4113" s="7">
        <v>13</v>
      </c>
      <c r="J4113" s="7">
        <v>50</v>
      </c>
      <c r="K4113" s="7" t="s">
        <v>293</v>
      </c>
      <c r="L4113" s="7">
        <v>18</v>
      </c>
      <c r="M4113" s="7">
        <f>IF(INDEX([1]equip.xml!$B:$B,MATCH(D4113&amp;"",[1]equip.xml!$A:$A,0))=0,0,N4113)</f>
        <v>0</v>
      </c>
      <c r="N4113" s="7">
        <v>70</v>
      </c>
    </row>
    <row r="4114" spans="1:14">
      <c r="A4114" s="7">
        <f t="shared" si="5004"/>
        <v>30005</v>
      </c>
      <c r="B4114" s="7">
        <v>40000</v>
      </c>
      <c r="C4114" s="7" t="s">
        <v>132</v>
      </c>
      <c r="D4114" s="7" t="s">
        <v>80</v>
      </c>
      <c r="E4114" s="7" t="s">
        <v>124</v>
      </c>
      <c r="F4114" s="7">
        <v>1</v>
      </c>
      <c r="G4114" s="7">
        <f>3*INDEX([1]equip.xml!$I:$I,MATCH(D4114&amp;"",[1]equip.xml!$A:$A,0))</f>
        <v>15000</v>
      </c>
      <c r="H4114" s="7" t="s">
        <v>31</v>
      </c>
      <c r="I4114" s="7">
        <v>13</v>
      </c>
      <c r="J4114" s="7">
        <v>50</v>
      </c>
      <c r="K4114" s="7" t="s">
        <v>293</v>
      </c>
      <c r="L4114" s="7">
        <v>18</v>
      </c>
      <c r="M4114" s="7">
        <f>IF(INDEX([1]equip.xml!$B:$B,MATCH(D4114&amp;"",[1]equip.xml!$A:$A,0))=0,0,N4114)</f>
        <v>70</v>
      </c>
      <c r="N4114" s="7">
        <v>70</v>
      </c>
    </row>
    <row r="4115" spans="1:14">
      <c r="A4115" s="7">
        <f t="shared" si="5004"/>
        <v>30005</v>
      </c>
      <c r="B4115" s="7">
        <v>40000</v>
      </c>
      <c r="C4115" s="7" t="s">
        <v>132</v>
      </c>
      <c r="D4115" s="7" t="s">
        <v>81</v>
      </c>
      <c r="E4115" s="7" t="s">
        <v>125</v>
      </c>
      <c r="F4115" s="7">
        <v>1</v>
      </c>
      <c r="G4115" s="7">
        <f>3*INDEX([1]equip.xml!$I:$I,MATCH(D4115&amp;"",[1]equip.xml!$A:$A,0))</f>
        <v>24000</v>
      </c>
      <c r="H4115" s="7" t="s">
        <v>31</v>
      </c>
      <c r="I4115" s="7">
        <v>13</v>
      </c>
      <c r="J4115" s="7">
        <v>50</v>
      </c>
      <c r="K4115" s="7" t="s">
        <v>293</v>
      </c>
      <c r="L4115" s="7">
        <v>18</v>
      </c>
      <c r="M4115" s="7">
        <f>IF(INDEX([1]equip.xml!$B:$B,MATCH(D4115&amp;"",[1]equip.xml!$A:$A,0))=0,0,N4115)</f>
        <v>70</v>
      </c>
      <c r="N4115" s="7">
        <v>70</v>
      </c>
    </row>
    <row r="4116" spans="1:14">
      <c r="A4116" s="7">
        <f t="shared" si="5004"/>
        <v>30005</v>
      </c>
      <c r="B4116" s="7">
        <v>40000</v>
      </c>
      <c r="C4116" s="7" t="s">
        <v>132</v>
      </c>
      <c r="D4116" s="7" t="s">
        <v>82</v>
      </c>
      <c r="E4116" s="7" t="s">
        <v>126</v>
      </c>
      <c r="F4116" s="7">
        <v>1</v>
      </c>
      <c r="G4116" s="7">
        <f>3*INDEX([1]equip.xml!$I:$I,MATCH(D4116&amp;"",[1]equip.xml!$A:$A,0))</f>
        <v>15000</v>
      </c>
      <c r="H4116" s="7" t="s">
        <v>31</v>
      </c>
      <c r="I4116" s="7">
        <v>13</v>
      </c>
      <c r="J4116" s="7">
        <v>50</v>
      </c>
      <c r="K4116" s="7" t="s">
        <v>293</v>
      </c>
      <c r="L4116" s="7">
        <v>18</v>
      </c>
      <c r="M4116" s="7">
        <f>IF(INDEX([1]equip.xml!$B:$B,MATCH(D4116&amp;"",[1]equip.xml!$A:$A,0))=0,0,N4116)</f>
        <v>70</v>
      </c>
      <c r="N4116" s="7">
        <v>70</v>
      </c>
    </row>
    <row r="4117" spans="1:14">
      <c r="A4117" s="7">
        <f t="shared" si="5004"/>
        <v>30005</v>
      </c>
      <c r="B4117" s="7">
        <v>40000</v>
      </c>
      <c r="C4117" s="7" t="s">
        <v>132</v>
      </c>
      <c r="D4117" s="7" t="s">
        <v>83</v>
      </c>
      <c r="E4117" s="7" t="s">
        <v>127</v>
      </c>
      <c r="F4117" s="7">
        <v>1</v>
      </c>
      <c r="G4117" s="7">
        <f>3*INDEX([1]equip.xml!$I:$I,MATCH(D4117&amp;"",[1]equip.xml!$A:$A,0))</f>
        <v>24000</v>
      </c>
      <c r="H4117" s="7" t="s">
        <v>31</v>
      </c>
      <c r="I4117" s="7">
        <v>13</v>
      </c>
      <c r="J4117" s="7">
        <v>50</v>
      </c>
      <c r="K4117" s="7" t="s">
        <v>293</v>
      </c>
      <c r="L4117" s="7">
        <v>18</v>
      </c>
      <c r="M4117" s="7">
        <f>IF(INDEX([1]equip.xml!$B:$B,MATCH(D4117&amp;"",[1]equip.xml!$A:$A,0))=0,0,N4117)</f>
        <v>0</v>
      </c>
      <c r="N4117" s="7">
        <v>70</v>
      </c>
    </row>
    <row r="4118" spans="1:14">
      <c r="A4118" s="7">
        <f t="shared" si="5004"/>
        <v>30005</v>
      </c>
      <c r="B4118" s="7">
        <v>40000</v>
      </c>
      <c r="C4118" s="7" t="s">
        <v>132</v>
      </c>
      <c r="D4118" s="7" t="s">
        <v>84</v>
      </c>
      <c r="E4118" s="7" t="s">
        <v>128</v>
      </c>
      <c r="F4118" s="7">
        <v>1</v>
      </c>
      <c r="G4118" s="7">
        <f>3*INDEX([1]equip.xml!$I:$I,MATCH(D4118&amp;"",[1]equip.xml!$A:$A,0))</f>
        <v>15000</v>
      </c>
      <c r="H4118" s="7" t="s">
        <v>31</v>
      </c>
      <c r="I4118" s="7">
        <v>13</v>
      </c>
      <c r="J4118" s="7">
        <v>50</v>
      </c>
      <c r="K4118" s="7" t="s">
        <v>293</v>
      </c>
      <c r="L4118" s="7">
        <v>18</v>
      </c>
      <c r="M4118" s="7">
        <f>IF(INDEX([1]equip.xml!$B:$B,MATCH(D4118&amp;"",[1]equip.xml!$A:$A,0))=0,0,N4118)</f>
        <v>70</v>
      </c>
      <c r="N4118" s="7">
        <v>70</v>
      </c>
    </row>
    <row r="4119" spans="1:14">
      <c r="A4119" s="7">
        <f t="shared" si="5004"/>
        <v>30005</v>
      </c>
      <c r="B4119" s="7">
        <v>40000</v>
      </c>
      <c r="C4119" s="7" t="s">
        <v>132</v>
      </c>
      <c r="D4119" s="7" t="s">
        <v>85</v>
      </c>
      <c r="E4119" s="7" t="s">
        <v>129</v>
      </c>
      <c r="F4119" s="7">
        <v>1</v>
      </c>
      <c r="G4119" s="7">
        <f>3*INDEX([1]equip.xml!$I:$I,MATCH(D4119&amp;"",[1]equip.xml!$A:$A,0))</f>
        <v>24000</v>
      </c>
      <c r="H4119" s="7" t="s">
        <v>31</v>
      </c>
      <c r="I4119" s="7">
        <v>13</v>
      </c>
      <c r="J4119" s="7">
        <v>50</v>
      </c>
      <c r="K4119" s="7" t="s">
        <v>293</v>
      </c>
      <c r="L4119" s="7">
        <v>18</v>
      </c>
      <c r="M4119" s="7">
        <f>IF(INDEX([1]equip.xml!$B:$B,MATCH(D4119&amp;"",[1]equip.xml!$A:$A,0))=0,0,N4119)</f>
        <v>70</v>
      </c>
      <c r="N4119" s="7">
        <v>70</v>
      </c>
    </row>
    <row r="4120" spans="1:14">
      <c r="A4120" s="7">
        <f t="shared" si="5004"/>
        <v>30005</v>
      </c>
      <c r="B4120" s="7">
        <v>40000</v>
      </c>
      <c r="C4120" s="7" t="s">
        <v>132</v>
      </c>
      <c r="D4120" s="7" t="s">
        <v>86</v>
      </c>
      <c r="E4120" s="7" t="s">
        <v>130</v>
      </c>
      <c r="F4120" s="7">
        <v>1</v>
      </c>
      <c r="G4120" s="7">
        <f>3*INDEX([1]equip.xml!$I:$I,MATCH(D4120&amp;"",[1]equip.xml!$A:$A,0))</f>
        <v>15000</v>
      </c>
      <c r="H4120" s="7" t="s">
        <v>31</v>
      </c>
      <c r="I4120" s="7">
        <v>13</v>
      </c>
      <c r="J4120" s="7">
        <v>50</v>
      </c>
      <c r="K4120" s="7" t="s">
        <v>293</v>
      </c>
      <c r="L4120" s="7">
        <v>18</v>
      </c>
      <c r="M4120" s="7">
        <f>IF(INDEX([1]equip.xml!$B:$B,MATCH(D4120&amp;"",[1]equip.xml!$A:$A,0))=0,0,N4120)</f>
        <v>70</v>
      </c>
      <c r="N4120" s="7">
        <v>70</v>
      </c>
    </row>
    <row r="4121" spans="1:14">
      <c r="A4121" s="7">
        <f t="shared" si="5004"/>
        <v>30005</v>
      </c>
      <c r="B4121" s="7">
        <v>40000</v>
      </c>
      <c r="C4121" s="7" t="s">
        <v>132</v>
      </c>
      <c r="D4121" s="7" t="s">
        <v>87</v>
      </c>
      <c r="E4121" s="7" t="s">
        <v>131</v>
      </c>
      <c r="F4121" s="7">
        <v>1</v>
      </c>
      <c r="G4121" s="7">
        <f>3*INDEX([1]equip.xml!$I:$I,MATCH(D4121&amp;"",[1]equip.xml!$A:$A,0))</f>
        <v>24000</v>
      </c>
      <c r="H4121" s="7" t="s">
        <v>31</v>
      </c>
      <c r="I4121" s="7">
        <v>13</v>
      </c>
      <c r="J4121" s="7">
        <v>50</v>
      </c>
      <c r="K4121" s="7" t="s">
        <v>293</v>
      </c>
      <c r="L4121" s="7">
        <v>18</v>
      </c>
      <c r="M4121" s="7">
        <f>IF(INDEX([1]equip.xml!$B:$B,MATCH(D4121&amp;"",[1]equip.xml!$A:$A,0))=0,0,N4121)</f>
        <v>70</v>
      </c>
      <c r="N4121" s="7">
        <v>70</v>
      </c>
    </row>
    <row r="4122" spans="1:14">
      <c r="A4122" s="7">
        <f t="shared" si="5004"/>
        <v>30005</v>
      </c>
      <c r="B4122" s="7">
        <v>40000</v>
      </c>
      <c r="C4122" s="7" t="s">
        <v>132</v>
      </c>
      <c r="D4122" s="7">
        <v>50010015</v>
      </c>
      <c r="E4122" s="7" t="s">
        <v>133</v>
      </c>
      <c r="F4122" s="7">
        <v>1</v>
      </c>
      <c r="G4122" s="8">
        <f>3*INDEX([1]equip.xml!$I:$I,MATCH(D4122,[1]equip.xml!$A:$A,0))</f>
        <v>6000</v>
      </c>
      <c r="H4122" s="7" t="s">
        <v>31</v>
      </c>
      <c r="I4122" s="7">
        <v>13</v>
      </c>
      <c r="J4122" s="7">
        <v>240</v>
      </c>
      <c r="K4122" s="7" t="s">
        <v>293</v>
      </c>
      <c r="L4122" s="7">
        <v>18</v>
      </c>
      <c r="M4122" s="7">
        <f>IF(INDEX([1]equip.xml!$B:$B,MATCH(D4122,[1]equip.xml!$A:$A,0))=0,0,N4122)</f>
        <v>0</v>
      </c>
      <c r="N4122" s="7">
        <f>N4078*2</f>
        <v>200</v>
      </c>
    </row>
    <row r="4123" spans="1:14">
      <c r="A4123" s="7">
        <f t="shared" si="5004"/>
        <v>30005</v>
      </c>
      <c r="B4123" s="7">
        <v>40000</v>
      </c>
      <c r="C4123" s="7" t="s">
        <v>132</v>
      </c>
      <c r="D4123" s="7">
        <v>50010025</v>
      </c>
      <c r="E4123" s="7" t="s">
        <v>134</v>
      </c>
      <c r="F4123" s="7">
        <v>1</v>
      </c>
      <c r="G4123" s="8">
        <f>3*INDEX([1]equip.xml!$I:$I,MATCH(D4123,[1]equip.xml!$A:$A,0))</f>
        <v>6000</v>
      </c>
      <c r="H4123" s="7" t="s">
        <v>31</v>
      </c>
      <c r="I4123" s="7">
        <v>13</v>
      </c>
      <c r="J4123" s="7">
        <v>240</v>
      </c>
      <c r="K4123" s="7" t="s">
        <v>293</v>
      </c>
      <c r="L4123" s="7">
        <v>18</v>
      </c>
      <c r="M4123" s="7">
        <f>IF(INDEX([1]equip.xml!$B:$B,MATCH(D4123,[1]equip.xml!$A:$A,0))=0,0,N4123)</f>
        <v>0</v>
      </c>
      <c r="N4123" s="7">
        <f t="shared" ref="N4123:N4165" si="5005">N4079*2</f>
        <v>200</v>
      </c>
    </row>
    <row r="4124" spans="1:14">
      <c r="A4124" s="7">
        <f t="shared" si="5004"/>
        <v>30005</v>
      </c>
      <c r="B4124" s="7">
        <v>40000</v>
      </c>
      <c r="C4124" s="7" t="s">
        <v>132</v>
      </c>
      <c r="D4124" s="7">
        <v>50010035</v>
      </c>
      <c r="E4124" s="7" t="s">
        <v>135</v>
      </c>
      <c r="F4124" s="7">
        <v>1</v>
      </c>
      <c r="G4124" s="8">
        <f>3*INDEX([1]equip.xml!$I:$I,MATCH(D4124,[1]equip.xml!$A:$A,0))</f>
        <v>6000</v>
      </c>
      <c r="H4124" s="7" t="s">
        <v>31</v>
      </c>
      <c r="I4124" s="7">
        <v>13</v>
      </c>
      <c r="J4124" s="7">
        <v>240</v>
      </c>
      <c r="K4124" s="7" t="s">
        <v>293</v>
      </c>
      <c r="L4124" s="7">
        <v>18</v>
      </c>
      <c r="M4124" s="7">
        <f>IF(INDEX([1]equip.xml!$B:$B,MATCH(D4124,[1]equip.xml!$A:$A,0))=0,0,N4124)</f>
        <v>0</v>
      </c>
      <c r="N4124" s="7">
        <f t="shared" si="5005"/>
        <v>200</v>
      </c>
    </row>
    <row r="4125" spans="1:14">
      <c r="A4125" s="7">
        <f t="shared" si="5004"/>
        <v>30005</v>
      </c>
      <c r="B4125" s="7">
        <v>40000</v>
      </c>
      <c r="C4125" s="7" t="s">
        <v>132</v>
      </c>
      <c r="D4125" s="7">
        <v>50010085</v>
      </c>
      <c r="E4125" s="7" t="s">
        <v>136</v>
      </c>
      <c r="F4125" s="7">
        <v>1</v>
      </c>
      <c r="G4125" s="8">
        <f>3*INDEX([1]equip.xml!$I:$I,MATCH(D4125,[1]equip.xml!$A:$A,0))</f>
        <v>6000</v>
      </c>
      <c r="H4125" s="7" t="s">
        <v>31</v>
      </c>
      <c r="I4125" s="7">
        <v>13</v>
      </c>
      <c r="J4125" s="7">
        <v>240</v>
      </c>
      <c r="K4125" s="7" t="s">
        <v>293</v>
      </c>
      <c r="L4125" s="7">
        <v>18</v>
      </c>
      <c r="M4125" s="7">
        <f>IF(INDEX([1]equip.xml!$B:$B,MATCH(D4125,[1]equip.xml!$A:$A,0))=0,0,N4125)</f>
        <v>200</v>
      </c>
      <c r="N4125" s="7">
        <f t="shared" si="5005"/>
        <v>200</v>
      </c>
    </row>
    <row r="4126" spans="1:14">
      <c r="A4126" s="7">
        <f t="shared" si="5004"/>
        <v>30005</v>
      </c>
      <c r="B4126" s="7">
        <v>40000</v>
      </c>
      <c r="C4126" s="7" t="s">
        <v>132</v>
      </c>
      <c r="D4126" s="7">
        <v>50010095</v>
      </c>
      <c r="E4126" s="7" t="s">
        <v>137</v>
      </c>
      <c r="F4126" s="7">
        <v>1</v>
      </c>
      <c r="G4126" s="8">
        <f>3*INDEX([1]equip.xml!$I:$I,MATCH(D4126,[1]equip.xml!$A:$A,0))</f>
        <v>6000</v>
      </c>
      <c r="H4126" s="7" t="s">
        <v>31</v>
      </c>
      <c r="I4126" s="7">
        <v>13</v>
      </c>
      <c r="J4126" s="7">
        <v>240</v>
      </c>
      <c r="K4126" s="7" t="s">
        <v>293</v>
      </c>
      <c r="L4126" s="7">
        <v>18</v>
      </c>
      <c r="M4126" s="7">
        <f>IF(INDEX([1]equip.xml!$B:$B,MATCH(D4126,[1]equip.xml!$A:$A,0))=0,0,N4126)</f>
        <v>200</v>
      </c>
      <c r="N4126" s="7">
        <f t="shared" si="5005"/>
        <v>200</v>
      </c>
    </row>
    <row r="4127" spans="1:14">
      <c r="A4127" s="7">
        <f t="shared" si="5004"/>
        <v>30005</v>
      </c>
      <c r="B4127" s="7">
        <v>40000</v>
      </c>
      <c r="C4127" s="7" t="s">
        <v>132</v>
      </c>
      <c r="D4127" s="7">
        <v>50010105</v>
      </c>
      <c r="E4127" s="7" t="s">
        <v>138</v>
      </c>
      <c r="F4127" s="7">
        <v>1</v>
      </c>
      <c r="G4127" s="8">
        <f>3*INDEX([1]equip.xml!$I:$I,MATCH(D4127,[1]equip.xml!$A:$A,0))</f>
        <v>6000</v>
      </c>
      <c r="H4127" s="7" t="s">
        <v>31</v>
      </c>
      <c r="I4127" s="7">
        <v>13</v>
      </c>
      <c r="J4127" s="7">
        <v>240</v>
      </c>
      <c r="K4127" s="7" t="s">
        <v>293</v>
      </c>
      <c r="L4127" s="7">
        <v>18</v>
      </c>
      <c r="M4127" s="7">
        <f>IF(INDEX([1]equip.xml!$B:$B,MATCH(D4127,[1]equip.xml!$A:$A,0))=0,0,N4127)</f>
        <v>0</v>
      </c>
      <c r="N4127" s="7">
        <f t="shared" si="5005"/>
        <v>200</v>
      </c>
    </row>
    <row r="4128" spans="1:14">
      <c r="A4128" s="7">
        <f t="shared" si="5004"/>
        <v>30005</v>
      </c>
      <c r="B4128" s="7">
        <v>40000</v>
      </c>
      <c r="C4128" s="7" t="s">
        <v>132</v>
      </c>
      <c r="D4128" s="7">
        <v>50011055</v>
      </c>
      <c r="E4128" s="7" t="s">
        <v>139</v>
      </c>
      <c r="F4128" s="7">
        <v>1</v>
      </c>
      <c r="G4128" s="8">
        <f>3*INDEX([1]equip.xml!$I:$I,MATCH(D4128,[1]equip.xml!$A:$A,0))</f>
        <v>6000</v>
      </c>
      <c r="H4128" s="7" t="s">
        <v>31</v>
      </c>
      <c r="I4128" s="7">
        <v>13</v>
      </c>
      <c r="J4128" s="7">
        <v>240</v>
      </c>
      <c r="K4128" s="7" t="s">
        <v>293</v>
      </c>
      <c r="L4128" s="7">
        <v>18</v>
      </c>
      <c r="M4128" s="7">
        <f>IF(INDEX([1]equip.xml!$B:$B,MATCH(D4128,[1]equip.xml!$A:$A,0))=0,0,N4128)</f>
        <v>200</v>
      </c>
      <c r="N4128" s="7">
        <f t="shared" si="5005"/>
        <v>200</v>
      </c>
    </row>
    <row r="4129" spans="1:14">
      <c r="A4129" s="7">
        <f t="shared" si="5004"/>
        <v>30005</v>
      </c>
      <c r="B4129" s="7">
        <v>40000</v>
      </c>
      <c r="C4129" s="7" t="s">
        <v>132</v>
      </c>
      <c r="D4129" s="7">
        <v>50011056</v>
      </c>
      <c r="E4129" s="7" t="s">
        <v>140</v>
      </c>
      <c r="F4129" s="7">
        <v>1</v>
      </c>
      <c r="G4129" s="8">
        <f>3*INDEX([1]equip.xml!$I:$I,MATCH(D4129,[1]equip.xml!$A:$A,0))</f>
        <v>24000</v>
      </c>
      <c r="H4129" s="7" t="s">
        <v>31</v>
      </c>
      <c r="I4129" s="7">
        <v>13</v>
      </c>
      <c r="J4129" s="7">
        <v>240</v>
      </c>
      <c r="K4129" s="7" t="s">
        <v>293</v>
      </c>
      <c r="L4129" s="7">
        <v>18</v>
      </c>
      <c r="M4129" s="7">
        <f>IF(INDEX([1]equip.xml!$B:$B,MATCH(D4129,[1]equip.xml!$A:$A,0))=0,0,N4129)</f>
        <v>200</v>
      </c>
      <c r="N4129" s="7">
        <f t="shared" si="5005"/>
        <v>200</v>
      </c>
    </row>
    <row r="4130" spans="1:14">
      <c r="A4130" s="7">
        <f t="shared" si="5004"/>
        <v>30005</v>
      </c>
      <c r="B4130" s="7">
        <v>40000</v>
      </c>
      <c r="C4130" s="7" t="s">
        <v>132</v>
      </c>
      <c r="D4130" s="7">
        <v>50011065</v>
      </c>
      <c r="E4130" s="7" t="s">
        <v>141</v>
      </c>
      <c r="F4130" s="7">
        <v>1</v>
      </c>
      <c r="G4130" s="8">
        <f>3*INDEX([1]equip.xml!$I:$I,MATCH(D4130,[1]equip.xml!$A:$A,0))</f>
        <v>6000</v>
      </c>
      <c r="H4130" s="7" t="s">
        <v>31</v>
      </c>
      <c r="I4130" s="7">
        <v>13</v>
      </c>
      <c r="J4130" s="7">
        <v>240</v>
      </c>
      <c r="K4130" s="7" t="s">
        <v>293</v>
      </c>
      <c r="L4130" s="7">
        <v>18</v>
      </c>
      <c r="M4130" s="7">
        <f>IF(INDEX([1]equip.xml!$B:$B,MATCH(D4130,[1]equip.xml!$A:$A,0))=0,0,N4130)</f>
        <v>200</v>
      </c>
      <c r="N4130" s="7">
        <f t="shared" si="5005"/>
        <v>200</v>
      </c>
    </row>
    <row r="4131" spans="1:14">
      <c r="A4131" s="7">
        <f t="shared" si="5004"/>
        <v>30005</v>
      </c>
      <c r="B4131" s="7">
        <v>40000</v>
      </c>
      <c r="C4131" s="7" t="s">
        <v>132</v>
      </c>
      <c r="D4131" s="7">
        <v>50011066</v>
      </c>
      <c r="E4131" s="7" t="s">
        <v>142</v>
      </c>
      <c r="F4131" s="7">
        <v>1</v>
      </c>
      <c r="G4131" s="8">
        <f>3*INDEX([1]equip.xml!$I:$I,MATCH(D4131,[1]equip.xml!$A:$A,0))</f>
        <v>24000</v>
      </c>
      <c r="H4131" s="7" t="s">
        <v>31</v>
      </c>
      <c r="I4131" s="7">
        <v>13</v>
      </c>
      <c r="J4131" s="7">
        <v>240</v>
      </c>
      <c r="K4131" s="7" t="s">
        <v>293</v>
      </c>
      <c r="L4131" s="7">
        <v>18</v>
      </c>
      <c r="M4131" s="7">
        <f>IF(INDEX([1]equip.xml!$B:$B,MATCH(D4131,[1]equip.xml!$A:$A,0))=0,0,N4131)</f>
        <v>0</v>
      </c>
      <c r="N4131" s="7">
        <f t="shared" si="5005"/>
        <v>200</v>
      </c>
    </row>
    <row r="4132" spans="1:14">
      <c r="A4132" s="7">
        <f t="shared" si="5004"/>
        <v>30005</v>
      </c>
      <c r="B4132" s="7">
        <v>40000</v>
      </c>
      <c r="C4132" s="7" t="s">
        <v>132</v>
      </c>
      <c r="D4132" s="7">
        <v>50012055</v>
      </c>
      <c r="E4132" s="7" t="s">
        <v>143</v>
      </c>
      <c r="F4132" s="7">
        <v>1</v>
      </c>
      <c r="G4132" s="8">
        <f>3*INDEX([1]equip.xml!$I:$I,MATCH(D4132,[1]equip.xml!$A:$A,0))</f>
        <v>6000</v>
      </c>
      <c r="H4132" s="7" t="s">
        <v>31</v>
      </c>
      <c r="I4132" s="7">
        <v>13</v>
      </c>
      <c r="J4132" s="7">
        <v>240</v>
      </c>
      <c r="K4132" s="7" t="s">
        <v>293</v>
      </c>
      <c r="L4132" s="7">
        <v>18</v>
      </c>
      <c r="M4132" s="7">
        <f>IF(INDEX([1]equip.xml!$B:$B,MATCH(D4132,[1]equip.xml!$A:$A,0))=0,0,N4132)</f>
        <v>200</v>
      </c>
      <c r="N4132" s="7">
        <f t="shared" si="5005"/>
        <v>200</v>
      </c>
    </row>
    <row r="4133" spans="1:14">
      <c r="A4133" s="7">
        <f t="shared" si="5004"/>
        <v>30005</v>
      </c>
      <c r="B4133" s="7">
        <v>40000</v>
      </c>
      <c r="C4133" s="7" t="s">
        <v>132</v>
      </c>
      <c r="D4133" s="7">
        <v>50012056</v>
      </c>
      <c r="E4133" s="7" t="s">
        <v>144</v>
      </c>
      <c r="F4133" s="7">
        <v>1</v>
      </c>
      <c r="G4133" s="8">
        <f>3*INDEX([1]equip.xml!$I:$I,MATCH(D4133,[1]equip.xml!$A:$A,0))</f>
        <v>24000</v>
      </c>
      <c r="H4133" s="7" t="s">
        <v>31</v>
      </c>
      <c r="I4133" s="7">
        <v>13</v>
      </c>
      <c r="J4133" s="7">
        <v>240</v>
      </c>
      <c r="K4133" s="7" t="s">
        <v>293</v>
      </c>
      <c r="L4133" s="7">
        <v>18</v>
      </c>
      <c r="M4133" s="7">
        <f>IF(INDEX([1]equip.xml!$B:$B,MATCH(D4133,[1]equip.xml!$A:$A,0))=0,0,N4133)</f>
        <v>200</v>
      </c>
      <c r="N4133" s="7">
        <f t="shared" si="5005"/>
        <v>200</v>
      </c>
    </row>
    <row r="4134" spans="1:14">
      <c r="A4134" s="7">
        <f t="shared" si="5004"/>
        <v>30005</v>
      </c>
      <c r="B4134" s="7">
        <v>40000</v>
      </c>
      <c r="C4134" s="7" t="s">
        <v>132</v>
      </c>
      <c r="D4134" s="7">
        <v>50012065</v>
      </c>
      <c r="E4134" s="7" t="s">
        <v>145</v>
      </c>
      <c r="F4134" s="7">
        <v>1</v>
      </c>
      <c r="G4134" s="8">
        <f>3*INDEX([1]equip.xml!$I:$I,MATCH(D4134,[1]equip.xml!$A:$A,0))</f>
        <v>6000</v>
      </c>
      <c r="H4134" s="7" t="s">
        <v>31</v>
      </c>
      <c r="I4134" s="7">
        <v>13</v>
      </c>
      <c r="J4134" s="7">
        <v>240</v>
      </c>
      <c r="K4134" s="7" t="s">
        <v>293</v>
      </c>
      <c r="L4134" s="7">
        <v>18</v>
      </c>
      <c r="M4134" s="7">
        <f>IF(INDEX([1]equip.xml!$B:$B,MATCH(D4134,[1]equip.xml!$A:$A,0))=0,0,N4134)</f>
        <v>200</v>
      </c>
      <c r="N4134" s="7">
        <f t="shared" si="5005"/>
        <v>200</v>
      </c>
    </row>
    <row r="4135" spans="1:14">
      <c r="A4135" s="7">
        <f t="shared" si="5004"/>
        <v>30005</v>
      </c>
      <c r="B4135" s="7">
        <v>40000</v>
      </c>
      <c r="C4135" s="7" t="s">
        <v>132</v>
      </c>
      <c r="D4135" s="7">
        <v>50012066</v>
      </c>
      <c r="E4135" s="7" t="s">
        <v>146</v>
      </c>
      <c r="F4135" s="7">
        <v>1</v>
      </c>
      <c r="G4135" s="8">
        <f>3*INDEX([1]equip.xml!$I:$I,MATCH(D4135,[1]equip.xml!$A:$A,0))</f>
        <v>24000</v>
      </c>
      <c r="H4135" s="7" t="s">
        <v>31</v>
      </c>
      <c r="I4135" s="7">
        <v>13</v>
      </c>
      <c r="J4135" s="7">
        <v>240</v>
      </c>
      <c r="K4135" s="7" t="s">
        <v>293</v>
      </c>
      <c r="L4135" s="7">
        <v>18</v>
      </c>
      <c r="M4135" s="7">
        <f>IF(INDEX([1]equip.xml!$B:$B,MATCH(D4135,[1]equip.xml!$A:$A,0))=0,0,N4135)</f>
        <v>0</v>
      </c>
      <c r="N4135" s="7">
        <f t="shared" si="5005"/>
        <v>200</v>
      </c>
    </row>
    <row r="4136" spans="1:14">
      <c r="A4136" s="7">
        <f t="shared" si="5004"/>
        <v>30005</v>
      </c>
      <c r="B4136" s="7">
        <v>40000</v>
      </c>
      <c r="C4136" s="7" t="s">
        <v>132</v>
      </c>
      <c r="D4136" s="7">
        <v>50013055</v>
      </c>
      <c r="E4136" s="7" t="s">
        <v>147</v>
      </c>
      <c r="F4136" s="7">
        <v>1</v>
      </c>
      <c r="G4136" s="8">
        <f>3*INDEX([1]equip.xml!$I:$I,MATCH(D4136,[1]equip.xml!$A:$A,0))</f>
        <v>6000</v>
      </c>
      <c r="H4136" s="7" t="s">
        <v>31</v>
      </c>
      <c r="I4136" s="7">
        <v>13</v>
      </c>
      <c r="J4136" s="7">
        <v>240</v>
      </c>
      <c r="K4136" s="7" t="s">
        <v>293</v>
      </c>
      <c r="L4136" s="7">
        <v>18</v>
      </c>
      <c r="M4136" s="7">
        <f>IF(INDEX([1]equip.xml!$B:$B,MATCH(D4136,[1]equip.xml!$A:$A,0))=0,0,N4136)</f>
        <v>200</v>
      </c>
      <c r="N4136" s="7">
        <f t="shared" si="5005"/>
        <v>200</v>
      </c>
    </row>
    <row r="4137" spans="1:14">
      <c r="A4137" s="7">
        <f t="shared" si="5004"/>
        <v>30005</v>
      </c>
      <c r="B4137" s="7">
        <v>40000</v>
      </c>
      <c r="C4137" s="7" t="s">
        <v>132</v>
      </c>
      <c r="D4137" s="7">
        <v>50013056</v>
      </c>
      <c r="E4137" s="7" t="s">
        <v>148</v>
      </c>
      <c r="F4137" s="7">
        <v>1</v>
      </c>
      <c r="G4137" s="8">
        <f>3*INDEX([1]equip.xml!$I:$I,MATCH(D4137,[1]equip.xml!$A:$A,0))</f>
        <v>24000</v>
      </c>
      <c r="H4137" s="7" t="s">
        <v>31</v>
      </c>
      <c r="I4137" s="7">
        <v>13</v>
      </c>
      <c r="J4137" s="7">
        <v>240</v>
      </c>
      <c r="K4137" s="7" t="s">
        <v>293</v>
      </c>
      <c r="L4137" s="7">
        <v>18</v>
      </c>
      <c r="M4137" s="7">
        <f>IF(INDEX([1]equip.xml!$B:$B,MATCH(D4137,[1]equip.xml!$A:$A,0))=0,0,N4137)</f>
        <v>200</v>
      </c>
      <c r="N4137" s="7">
        <f t="shared" si="5005"/>
        <v>200</v>
      </c>
    </row>
    <row r="4138" spans="1:14">
      <c r="A4138" s="7">
        <f t="shared" si="5004"/>
        <v>30005</v>
      </c>
      <c r="B4138" s="7">
        <v>40000</v>
      </c>
      <c r="C4138" s="7" t="s">
        <v>132</v>
      </c>
      <c r="D4138" s="7">
        <v>50013065</v>
      </c>
      <c r="E4138" s="7" t="s">
        <v>149</v>
      </c>
      <c r="F4138" s="7">
        <v>1</v>
      </c>
      <c r="G4138" s="8">
        <f>3*INDEX([1]equip.xml!$I:$I,MATCH(D4138,[1]equip.xml!$A:$A,0))</f>
        <v>6000</v>
      </c>
      <c r="H4138" s="7" t="s">
        <v>31</v>
      </c>
      <c r="I4138" s="7">
        <v>13</v>
      </c>
      <c r="J4138" s="7">
        <v>240</v>
      </c>
      <c r="K4138" s="7" t="s">
        <v>293</v>
      </c>
      <c r="L4138" s="7">
        <v>18</v>
      </c>
      <c r="M4138" s="7">
        <f>IF(INDEX([1]equip.xml!$B:$B,MATCH(D4138,[1]equip.xml!$A:$A,0))=0,0,N4138)</f>
        <v>200</v>
      </c>
      <c r="N4138" s="7">
        <f t="shared" si="5005"/>
        <v>200</v>
      </c>
    </row>
    <row r="4139" spans="1:14">
      <c r="A4139" s="7">
        <f t="shared" si="5004"/>
        <v>30005</v>
      </c>
      <c r="B4139" s="7">
        <v>40000</v>
      </c>
      <c r="C4139" s="7" t="s">
        <v>132</v>
      </c>
      <c r="D4139" s="7">
        <v>50013066</v>
      </c>
      <c r="E4139" s="7" t="s">
        <v>150</v>
      </c>
      <c r="F4139" s="7">
        <v>1</v>
      </c>
      <c r="G4139" s="8">
        <f>3*INDEX([1]equip.xml!$I:$I,MATCH(D4139,[1]equip.xml!$A:$A,0))</f>
        <v>24000</v>
      </c>
      <c r="H4139" s="7" t="s">
        <v>31</v>
      </c>
      <c r="I4139" s="7">
        <v>13</v>
      </c>
      <c r="J4139" s="7">
        <v>240</v>
      </c>
      <c r="K4139" s="7" t="s">
        <v>293</v>
      </c>
      <c r="L4139" s="7">
        <v>18</v>
      </c>
      <c r="M4139" s="7">
        <f>IF(INDEX([1]equip.xml!$B:$B,MATCH(D4139,[1]equip.xml!$A:$A,0))=0,0,N4139)</f>
        <v>0</v>
      </c>
      <c r="N4139" s="7">
        <f t="shared" si="5005"/>
        <v>200</v>
      </c>
    </row>
    <row r="4140" spans="1:14">
      <c r="A4140" s="7">
        <f t="shared" si="5004"/>
        <v>30005</v>
      </c>
      <c r="B4140" s="7">
        <v>40000</v>
      </c>
      <c r="C4140" s="7" t="s">
        <v>132</v>
      </c>
      <c r="D4140" s="7">
        <v>50010045</v>
      </c>
      <c r="E4140" s="7" t="s">
        <v>151</v>
      </c>
      <c r="F4140" s="7">
        <v>1</v>
      </c>
      <c r="G4140" s="8">
        <f>3*INDEX([1]equip.xml!$I:$I,MATCH(D4140,[1]equip.xml!$A:$A,0))</f>
        <v>6000</v>
      </c>
      <c r="H4140" s="7" t="s">
        <v>31</v>
      </c>
      <c r="I4140" s="7">
        <v>13</v>
      </c>
      <c r="J4140" s="7">
        <v>240</v>
      </c>
      <c r="K4140" s="7" t="s">
        <v>293</v>
      </c>
      <c r="L4140" s="7">
        <v>18</v>
      </c>
      <c r="M4140" s="7">
        <f>IF(INDEX([1]equip.xml!$B:$B,MATCH(D4140,[1]equip.xml!$A:$A,0))=0,0,N4140)</f>
        <v>200</v>
      </c>
      <c r="N4140" s="7">
        <f t="shared" si="5005"/>
        <v>200</v>
      </c>
    </row>
    <row r="4141" spans="1:14">
      <c r="A4141" s="7">
        <f t="shared" si="5004"/>
        <v>30005</v>
      </c>
      <c r="B4141" s="7">
        <v>40000</v>
      </c>
      <c r="C4141" s="7" t="s">
        <v>132</v>
      </c>
      <c r="D4141" s="7">
        <v>50010046</v>
      </c>
      <c r="E4141" s="7" t="s">
        <v>152</v>
      </c>
      <c r="F4141" s="7">
        <v>1</v>
      </c>
      <c r="G4141" s="8">
        <f>3*INDEX([1]equip.xml!$I:$I,MATCH(D4141,[1]equip.xml!$A:$A,0))</f>
        <v>24000</v>
      </c>
      <c r="H4141" s="7" t="s">
        <v>31</v>
      </c>
      <c r="I4141" s="7">
        <v>13</v>
      </c>
      <c r="J4141" s="7">
        <v>240</v>
      </c>
      <c r="K4141" s="7" t="s">
        <v>293</v>
      </c>
      <c r="L4141" s="7">
        <v>18</v>
      </c>
      <c r="M4141" s="7">
        <f>IF(INDEX([1]equip.xml!$B:$B,MATCH(D4141,[1]equip.xml!$A:$A,0))=0,0,N4141)</f>
        <v>0</v>
      </c>
      <c r="N4141" s="7">
        <f t="shared" si="5005"/>
        <v>200</v>
      </c>
    </row>
    <row r="4142" spans="1:14">
      <c r="A4142" s="7">
        <f t="shared" si="5004"/>
        <v>30005</v>
      </c>
      <c r="B4142" s="7">
        <v>40000</v>
      </c>
      <c r="C4142" s="7" t="s">
        <v>132</v>
      </c>
      <c r="D4142" s="7">
        <v>50010075</v>
      </c>
      <c r="E4142" s="7" t="s">
        <v>153</v>
      </c>
      <c r="F4142" s="7">
        <v>1</v>
      </c>
      <c r="G4142" s="8">
        <f>3*INDEX([1]equip.xml!$I:$I,MATCH(D4142,[1]equip.xml!$A:$A,0))</f>
        <v>6000</v>
      </c>
      <c r="H4142" s="7" t="s">
        <v>31</v>
      </c>
      <c r="I4142" s="7">
        <v>13</v>
      </c>
      <c r="J4142" s="7">
        <v>240</v>
      </c>
      <c r="K4142" s="7" t="s">
        <v>293</v>
      </c>
      <c r="L4142" s="7">
        <v>18</v>
      </c>
      <c r="M4142" s="7">
        <f>IF(INDEX([1]equip.xml!$B:$B,MATCH(D4142,[1]equip.xml!$A:$A,0))=0,0,N4142)</f>
        <v>0</v>
      </c>
      <c r="N4142" s="7">
        <f t="shared" si="5005"/>
        <v>200</v>
      </c>
    </row>
    <row r="4143" spans="1:14">
      <c r="A4143" s="7">
        <f t="shared" ref="A4143:A4206" si="5006">10000+A2911</f>
        <v>30005</v>
      </c>
      <c r="B4143" s="7">
        <v>40000</v>
      </c>
      <c r="C4143" s="7" t="s">
        <v>132</v>
      </c>
      <c r="D4143" s="7">
        <v>50010076</v>
      </c>
      <c r="E4143" s="7" t="s">
        <v>154</v>
      </c>
      <c r="F4143" s="7">
        <v>1</v>
      </c>
      <c r="G4143" s="8">
        <f>3*INDEX([1]equip.xml!$I:$I,MATCH(D4143,[1]equip.xml!$A:$A,0))</f>
        <v>24000</v>
      </c>
      <c r="H4143" s="7" t="s">
        <v>31</v>
      </c>
      <c r="I4143" s="7">
        <v>13</v>
      </c>
      <c r="J4143" s="7">
        <v>240</v>
      </c>
      <c r="K4143" s="7" t="s">
        <v>293</v>
      </c>
      <c r="L4143" s="7">
        <v>18</v>
      </c>
      <c r="M4143" s="7">
        <f>IF(INDEX([1]equip.xml!$B:$B,MATCH(D4143,[1]equip.xml!$A:$A,0))=0,0,N4143)</f>
        <v>0</v>
      </c>
      <c r="N4143" s="7">
        <f t="shared" si="5005"/>
        <v>200</v>
      </c>
    </row>
    <row r="4144" spans="1:14">
      <c r="A4144" s="7">
        <f t="shared" si="5006"/>
        <v>30005</v>
      </c>
      <c r="B4144" s="7">
        <v>40000</v>
      </c>
      <c r="C4144" s="7" t="s">
        <v>132</v>
      </c>
      <c r="D4144" s="7">
        <v>50050015</v>
      </c>
      <c r="E4144" s="7" t="s">
        <v>155</v>
      </c>
      <c r="F4144" s="7">
        <v>1</v>
      </c>
      <c r="G4144" s="8">
        <f>3*INDEX([1]equip.xml!$I:$I,MATCH(D4144,[1]equip.xml!$A:$A,0))</f>
        <v>30000</v>
      </c>
      <c r="H4144" s="7" t="s">
        <v>31</v>
      </c>
      <c r="I4144" s="7">
        <v>13</v>
      </c>
      <c r="J4144" s="7">
        <v>240</v>
      </c>
      <c r="K4144" s="7" t="s">
        <v>293</v>
      </c>
      <c r="L4144" s="7">
        <v>18</v>
      </c>
      <c r="M4144" s="7">
        <f>IF(INDEX([1]equip.xml!$B:$B,MATCH(D4144,[1]equip.xml!$A:$A,0))=0,0,N4144)</f>
        <v>140</v>
      </c>
      <c r="N4144" s="7">
        <f t="shared" si="5005"/>
        <v>140</v>
      </c>
    </row>
    <row r="4145" spans="1:14">
      <c r="A4145" s="7">
        <f t="shared" si="5006"/>
        <v>30005</v>
      </c>
      <c r="B4145" s="7">
        <v>40000</v>
      </c>
      <c r="C4145" s="7" t="s">
        <v>132</v>
      </c>
      <c r="D4145" s="7">
        <v>50050025</v>
      </c>
      <c r="E4145" s="7" t="s">
        <v>156</v>
      </c>
      <c r="F4145" s="7">
        <v>1</v>
      </c>
      <c r="G4145" s="8">
        <f>3*INDEX([1]equip.xml!$I:$I,MATCH(D4145,[1]equip.xml!$A:$A,0))</f>
        <v>30000</v>
      </c>
      <c r="H4145" s="7" t="s">
        <v>31</v>
      </c>
      <c r="I4145" s="7">
        <v>13</v>
      </c>
      <c r="J4145" s="7">
        <v>240</v>
      </c>
      <c r="K4145" s="7" t="s">
        <v>293</v>
      </c>
      <c r="L4145" s="7">
        <v>18</v>
      </c>
      <c r="M4145" s="7">
        <f>IF(INDEX([1]equip.xml!$B:$B,MATCH(D4145,[1]equip.xml!$A:$A,0))=0,0,N4145)</f>
        <v>140</v>
      </c>
      <c r="N4145" s="7">
        <f t="shared" si="5005"/>
        <v>140</v>
      </c>
    </row>
    <row r="4146" spans="1:14">
      <c r="A4146" s="7">
        <f t="shared" si="5006"/>
        <v>30005</v>
      </c>
      <c r="B4146" s="7">
        <v>40000</v>
      </c>
      <c r="C4146" s="7" t="s">
        <v>132</v>
      </c>
      <c r="D4146" s="7">
        <v>50050035</v>
      </c>
      <c r="E4146" s="7" t="s">
        <v>157</v>
      </c>
      <c r="F4146" s="7">
        <v>1</v>
      </c>
      <c r="G4146" s="8">
        <f>3*INDEX([1]equip.xml!$I:$I,MATCH(D4146,[1]equip.xml!$A:$A,0))</f>
        <v>30000</v>
      </c>
      <c r="H4146" s="7" t="s">
        <v>31</v>
      </c>
      <c r="I4146" s="7">
        <v>13</v>
      </c>
      <c r="J4146" s="7">
        <v>240</v>
      </c>
      <c r="K4146" s="7" t="s">
        <v>293</v>
      </c>
      <c r="L4146" s="7">
        <v>18</v>
      </c>
      <c r="M4146" s="7">
        <f>IF(INDEX([1]equip.xml!$B:$B,MATCH(D4146,[1]equip.xml!$A:$A,0))=0,0,N4146)</f>
        <v>140</v>
      </c>
      <c r="N4146" s="7">
        <f t="shared" si="5005"/>
        <v>140</v>
      </c>
    </row>
    <row r="4147" spans="1:14">
      <c r="A4147" s="7">
        <f t="shared" si="5006"/>
        <v>30005</v>
      </c>
      <c r="B4147" s="7">
        <v>40000</v>
      </c>
      <c r="C4147" s="7" t="s">
        <v>132</v>
      </c>
      <c r="D4147" s="7">
        <v>50050085</v>
      </c>
      <c r="E4147" s="7" t="s">
        <v>158</v>
      </c>
      <c r="F4147" s="7">
        <v>1</v>
      </c>
      <c r="G4147" s="8">
        <f>3*INDEX([1]equip.xml!$I:$I,MATCH(D4147,[1]equip.xml!$A:$A,0))</f>
        <v>30000</v>
      </c>
      <c r="H4147" s="7" t="s">
        <v>31</v>
      </c>
      <c r="I4147" s="7">
        <v>13</v>
      </c>
      <c r="J4147" s="7">
        <v>240</v>
      </c>
      <c r="K4147" s="7" t="s">
        <v>293</v>
      </c>
      <c r="L4147" s="7">
        <v>18</v>
      </c>
      <c r="M4147" s="7">
        <f>IF(INDEX([1]equip.xml!$B:$B,MATCH(D4147,[1]equip.xml!$A:$A,0))=0,0,N4147)</f>
        <v>0</v>
      </c>
      <c r="N4147" s="7">
        <f t="shared" si="5005"/>
        <v>140</v>
      </c>
    </row>
    <row r="4148" spans="1:14">
      <c r="A4148" s="7">
        <f t="shared" si="5006"/>
        <v>30005</v>
      </c>
      <c r="B4148" s="7">
        <v>40000</v>
      </c>
      <c r="C4148" s="7" t="s">
        <v>132</v>
      </c>
      <c r="D4148" s="7">
        <v>50050095</v>
      </c>
      <c r="E4148" s="7" t="s">
        <v>159</v>
      </c>
      <c r="F4148" s="7">
        <v>1</v>
      </c>
      <c r="G4148" s="8">
        <f>3*INDEX([1]equip.xml!$I:$I,MATCH(D4148,[1]equip.xml!$A:$A,0))</f>
        <v>30000</v>
      </c>
      <c r="H4148" s="7" t="s">
        <v>31</v>
      </c>
      <c r="I4148" s="7">
        <v>13</v>
      </c>
      <c r="J4148" s="7">
        <v>240</v>
      </c>
      <c r="K4148" s="7" t="s">
        <v>293</v>
      </c>
      <c r="L4148" s="7">
        <v>18</v>
      </c>
      <c r="M4148" s="7">
        <f>IF(INDEX([1]equip.xml!$B:$B,MATCH(D4148,[1]equip.xml!$A:$A,0))=0,0,N4148)</f>
        <v>0</v>
      </c>
      <c r="N4148" s="7">
        <f t="shared" si="5005"/>
        <v>140</v>
      </c>
    </row>
    <row r="4149" spans="1:14">
      <c r="A4149" s="7">
        <f t="shared" si="5006"/>
        <v>30005</v>
      </c>
      <c r="B4149" s="7">
        <v>40000</v>
      </c>
      <c r="C4149" s="7" t="s">
        <v>132</v>
      </c>
      <c r="D4149" s="7">
        <v>50050105</v>
      </c>
      <c r="E4149" s="7" t="s">
        <v>160</v>
      </c>
      <c r="F4149" s="7">
        <v>1</v>
      </c>
      <c r="G4149" s="8">
        <f>3*INDEX([1]equip.xml!$I:$I,MATCH(D4149,[1]equip.xml!$A:$A,0))</f>
        <v>30000</v>
      </c>
      <c r="H4149" s="7" t="s">
        <v>31</v>
      </c>
      <c r="I4149" s="7">
        <v>13</v>
      </c>
      <c r="J4149" s="7">
        <v>240</v>
      </c>
      <c r="K4149" s="7" t="s">
        <v>293</v>
      </c>
      <c r="L4149" s="7">
        <v>18</v>
      </c>
      <c r="M4149" s="7">
        <f>IF(INDEX([1]equip.xml!$B:$B,MATCH(D4149,[1]equip.xml!$A:$A,0))=0,0,N4149)</f>
        <v>140</v>
      </c>
      <c r="N4149" s="7">
        <f t="shared" si="5005"/>
        <v>140</v>
      </c>
    </row>
    <row r="4150" spans="1:14">
      <c r="A4150" s="7">
        <f t="shared" si="5006"/>
        <v>30005</v>
      </c>
      <c r="B4150" s="7">
        <v>40000</v>
      </c>
      <c r="C4150" s="7" t="s">
        <v>132</v>
      </c>
      <c r="D4150" s="7">
        <v>50051055</v>
      </c>
      <c r="E4150" s="7" t="s">
        <v>161</v>
      </c>
      <c r="F4150" s="7">
        <v>1</v>
      </c>
      <c r="G4150" s="8">
        <f>3*INDEX([1]equip.xml!$I:$I,MATCH(D4150,[1]equip.xml!$A:$A,0))</f>
        <v>30000</v>
      </c>
      <c r="H4150" s="7" t="s">
        <v>31</v>
      </c>
      <c r="I4150" s="7">
        <v>13</v>
      </c>
      <c r="J4150" s="7">
        <v>240</v>
      </c>
      <c r="K4150" s="7" t="s">
        <v>293</v>
      </c>
      <c r="L4150" s="7">
        <v>18</v>
      </c>
      <c r="M4150" s="7">
        <f>IF(INDEX([1]equip.xml!$B:$B,MATCH(D4150,[1]equip.xml!$A:$A,0))=0,0,N4150)</f>
        <v>140</v>
      </c>
      <c r="N4150" s="7">
        <f t="shared" si="5005"/>
        <v>140</v>
      </c>
    </row>
    <row r="4151" spans="1:14">
      <c r="A4151" s="7">
        <f t="shared" si="5006"/>
        <v>30005</v>
      </c>
      <c r="B4151" s="7">
        <v>40000</v>
      </c>
      <c r="C4151" s="7" t="s">
        <v>132</v>
      </c>
      <c r="D4151" s="7">
        <v>50051056</v>
      </c>
      <c r="E4151" s="7" t="s">
        <v>162</v>
      </c>
      <c r="F4151" s="7">
        <v>1</v>
      </c>
      <c r="G4151" s="8">
        <f>3*INDEX([1]equip.xml!$I:$I,MATCH(D4151,[1]equip.xml!$A:$A,0))</f>
        <v>48000</v>
      </c>
      <c r="H4151" s="7" t="s">
        <v>31</v>
      </c>
      <c r="I4151" s="7">
        <v>13</v>
      </c>
      <c r="J4151" s="7">
        <v>240</v>
      </c>
      <c r="K4151" s="7" t="s">
        <v>293</v>
      </c>
      <c r="L4151" s="7">
        <v>18</v>
      </c>
      <c r="M4151" s="7">
        <f>IF(INDEX([1]equip.xml!$B:$B,MATCH(D4151,[1]equip.xml!$A:$A,0))=0,0,N4151)</f>
        <v>140</v>
      </c>
      <c r="N4151" s="7">
        <f t="shared" si="5005"/>
        <v>140</v>
      </c>
    </row>
    <row r="4152" spans="1:14">
      <c r="A4152" s="7">
        <f t="shared" si="5006"/>
        <v>30005</v>
      </c>
      <c r="B4152" s="7">
        <v>40000</v>
      </c>
      <c r="C4152" s="7" t="s">
        <v>132</v>
      </c>
      <c r="D4152" s="7">
        <v>50051065</v>
      </c>
      <c r="E4152" s="7" t="s">
        <v>163</v>
      </c>
      <c r="F4152" s="7">
        <v>1</v>
      </c>
      <c r="G4152" s="8">
        <f>3*INDEX([1]equip.xml!$I:$I,MATCH(D4152,[1]equip.xml!$A:$A,0))</f>
        <v>30000</v>
      </c>
      <c r="H4152" s="7" t="s">
        <v>31</v>
      </c>
      <c r="I4152" s="7">
        <v>13</v>
      </c>
      <c r="J4152" s="7">
        <v>240</v>
      </c>
      <c r="K4152" s="7" t="s">
        <v>293</v>
      </c>
      <c r="L4152" s="7">
        <v>18</v>
      </c>
      <c r="M4152" s="7">
        <f>IF(INDEX([1]equip.xml!$B:$B,MATCH(D4152,[1]equip.xml!$A:$A,0))=0,0,N4152)</f>
        <v>140</v>
      </c>
      <c r="N4152" s="7">
        <f t="shared" si="5005"/>
        <v>140</v>
      </c>
    </row>
    <row r="4153" spans="1:14">
      <c r="A4153" s="7">
        <f t="shared" si="5006"/>
        <v>30005</v>
      </c>
      <c r="B4153" s="7">
        <v>40000</v>
      </c>
      <c r="C4153" s="7" t="s">
        <v>132</v>
      </c>
      <c r="D4153" s="7">
        <v>50051066</v>
      </c>
      <c r="E4153" s="7" t="s">
        <v>164</v>
      </c>
      <c r="F4153" s="7">
        <v>1</v>
      </c>
      <c r="G4153" s="8">
        <f>3*INDEX([1]equip.xml!$I:$I,MATCH(D4153,[1]equip.xml!$A:$A,0))</f>
        <v>48000</v>
      </c>
      <c r="H4153" s="7" t="s">
        <v>31</v>
      </c>
      <c r="I4153" s="7">
        <v>13</v>
      </c>
      <c r="J4153" s="7">
        <v>240</v>
      </c>
      <c r="K4153" s="7" t="s">
        <v>293</v>
      </c>
      <c r="L4153" s="7">
        <v>18</v>
      </c>
      <c r="M4153" s="7">
        <f>IF(INDEX([1]equip.xml!$B:$B,MATCH(D4153,[1]equip.xml!$A:$A,0))=0,0,N4153)</f>
        <v>0</v>
      </c>
      <c r="N4153" s="7">
        <f t="shared" si="5005"/>
        <v>140</v>
      </c>
    </row>
    <row r="4154" spans="1:14">
      <c r="A4154" s="7">
        <f t="shared" si="5006"/>
        <v>30005</v>
      </c>
      <c r="B4154" s="7">
        <v>40000</v>
      </c>
      <c r="C4154" s="7" t="s">
        <v>132</v>
      </c>
      <c r="D4154" s="7">
        <v>50052055</v>
      </c>
      <c r="E4154" s="7" t="s">
        <v>165</v>
      </c>
      <c r="F4154" s="7">
        <v>1</v>
      </c>
      <c r="G4154" s="8">
        <f>3*INDEX([1]equip.xml!$I:$I,MATCH(D4154,[1]equip.xml!$A:$A,0))</f>
        <v>30000</v>
      </c>
      <c r="H4154" s="7" t="s">
        <v>31</v>
      </c>
      <c r="I4154" s="7">
        <v>13</v>
      </c>
      <c r="J4154" s="7">
        <v>240</v>
      </c>
      <c r="K4154" s="7" t="s">
        <v>293</v>
      </c>
      <c r="L4154" s="7">
        <v>18</v>
      </c>
      <c r="M4154" s="7">
        <f>IF(INDEX([1]equip.xml!$B:$B,MATCH(D4154,[1]equip.xml!$A:$A,0))=0,0,N4154)</f>
        <v>140</v>
      </c>
      <c r="N4154" s="7">
        <f t="shared" si="5005"/>
        <v>140</v>
      </c>
    </row>
    <row r="4155" spans="1:14">
      <c r="A4155" s="7">
        <f t="shared" si="5006"/>
        <v>30005</v>
      </c>
      <c r="B4155" s="7">
        <v>40000</v>
      </c>
      <c r="C4155" s="7" t="s">
        <v>132</v>
      </c>
      <c r="D4155" s="7">
        <v>50052056</v>
      </c>
      <c r="E4155" s="7" t="s">
        <v>166</v>
      </c>
      <c r="F4155" s="7">
        <v>1</v>
      </c>
      <c r="G4155" s="8">
        <f>3*INDEX([1]equip.xml!$I:$I,MATCH(D4155,[1]equip.xml!$A:$A,0))</f>
        <v>48000</v>
      </c>
      <c r="H4155" s="7" t="s">
        <v>31</v>
      </c>
      <c r="I4155" s="7">
        <v>13</v>
      </c>
      <c r="J4155" s="7">
        <v>240</v>
      </c>
      <c r="K4155" s="7" t="s">
        <v>293</v>
      </c>
      <c r="L4155" s="7">
        <v>18</v>
      </c>
      <c r="M4155" s="7">
        <f>IF(INDEX([1]equip.xml!$B:$B,MATCH(D4155,[1]equip.xml!$A:$A,0))=0,0,N4155)</f>
        <v>140</v>
      </c>
      <c r="N4155" s="7">
        <f t="shared" si="5005"/>
        <v>140</v>
      </c>
    </row>
    <row r="4156" spans="1:14">
      <c r="A4156" s="7">
        <f t="shared" si="5006"/>
        <v>30005</v>
      </c>
      <c r="B4156" s="7">
        <v>40000</v>
      </c>
      <c r="C4156" s="7" t="s">
        <v>132</v>
      </c>
      <c r="D4156" s="7">
        <v>50052065</v>
      </c>
      <c r="E4156" s="7" t="s">
        <v>167</v>
      </c>
      <c r="F4156" s="7">
        <v>1</v>
      </c>
      <c r="G4156" s="8">
        <f>3*INDEX([1]equip.xml!$I:$I,MATCH(D4156,[1]equip.xml!$A:$A,0))</f>
        <v>30000</v>
      </c>
      <c r="H4156" s="7" t="s">
        <v>31</v>
      </c>
      <c r="I4156" s="7">
        <v>13</v>
      </c>
      <c r="J4156" s="7">
        <v>240</v>
      </c>
      <c r="K4156" s="7" t="s">
        <v>293</v>
      </c>
      <c r="L4156" s="7">
        <v>18</v>
      </c>
      <c r="M4156" s="7">
        <f>IF(INDEX([1]equip.xml!$B:$B,MATCH(D4156,[1]equip.xml!$A:$A,0))=0,0,N4156)</f>
        <v>140</v>
      </c>
      <c r="N4156" s="7">
        <f t="shared" si="5005"/>
        <v>140</v>
      </c>
    </row>
    <row r="4157" spans="1:14">
      <c r="A4157" s="7">
        <f t="shared" si="5006"/>
        <v>30005</v>
      </c>
      <c r="B4157" s="7">
        <v>40000</v>
      </c>
      <c r="C4157" s="7" t="s">
        <v>132</v>
      </c>
      <c r="D4157" s="7">
        <v>50052066</v>
      </c>
      <c r="E4157" s="7" t="s">
        <v>168</v>
      </c>
      <c r="F4157" s="7">
        <v>1</v>
      </c>
      <c r="G4157" s="8">
        <f>3*INDEX([1]equip.xml!$I:$I,MATCH(D4157,[1]equip.xml!$A:$A,0))</f>
        <v>48000</v>
      </c>
      <c r="H4157" s="7" t="s">
        <v>31</v>
      </c>
      <c r="I4157" s="7">
        <v>13</v>
      </c>
      <c r="J4157" s="7">
        <v>240</v>
      </c>
      <c r="K4157" s="7" t="s">
        <v>293</v>
      </c>
      <c r="L4157" s="7">
        <v>18</v>
      </c>
      <c r="M4157" s="7">
        <f>IF(INDEX([1]equip.xml!$B:$B,MATCH(D4157,[1]equip.xml!$A:$A,0))=0,0,N4157)</f>
        <v>0</v>
      </c>
      <c r="N4157" s="7">
        <f t="shared" si="5005"/>
        <v>140</v>
      </c>
    </row>
    <row r="4158" spans="1:14">
      <c r="A4158" s="7">
        <f t="shared" si="5006"/>
        <v>30005</v>
      </c>
      <c r="B4158" s="7">
        <v>40000</v>
      </c>
      <c r="C4158" s="7" t="s">
        <v>132</v>
      </c>
      <c r="D4158" s="7">
        <v>50053055</v>
      </c>
      <c r="E4158" s="7" t="s">
        <v>169</v>
      </c>
      <c r="F4158" s="7">
        <v>1</v>
      </c>
      <c r="G4158" s="8">
        <f>3*INDEX([1]equip.xml!$I:$I,MATCH(D4158,[1]equip.xml!$A:$A,0))</f>
        <v>30000</v>
      </c>
      <c r="H4158" s="7" t="s">
        <v>31</v>
      </c>
      <c r="I4158" s="7">
        <v>13</v>
      </c>
      <c r="J4158" s="7">
        <v>240</v>
      </c>
      <c r="K4158" s="7" t="s">
        <v>293</v>
      </c>
      <c r="L4158" s="7">
        <v>18</v>
      </c>
      <c r="M4158" s="7">
        <f>IF(INDEX([1]equip.xml!$B:$B,MATCH(D4158,[1]equip.xml!$A:$A,0))=0,0,N4158)</f>
        <v>140</v>
      </c>
      <c r="N4158" s="7">
        <f t="shared" si="5005"/>
        <v>140</v>
      </c>
    </row>
    <row r="4159" spans="1:14">
      <c r="A4159" s="7">
        <f t="shared" si="5006"/>
        <v>30005</v>
      </c>
      <c r="B4159" s="7">
        <v>40000</v>
      </c>
      <c r="C4159" s="7" t="s">
        <v>132</v>
      </c>
      <c r="D4159" s="7">
        <v>50053056</v>
      </c>
      <c r="E4159" s="7" t="s">
        <v>170</v>
      </c>
      <c r="F4159" s="7">
        <v>1</v>
      </c>
      <c r="G4159" s="8">
        <f>3*INDEX([1]equip.xml!$I:$I,MATCH(D4159,[1]equip.xml!$A:$A,0))</f>
        <v>48000</v>
      </c>
      <c r="H4159" s="7" t="s">
        <v>31</v>
      </c>
      <c r="I4159" s="7">
        <v>13</v>
      </c>
      <c r="J4159" s="7">
        <v>240</v>
      </c>
      <c r="K4159" s="7" t="s">
        <v>293</v>
      </c>
      <c r="L4159" s="7">
        <v>18</v>
      </c>
      <c r="M4159" s="7">
        <f>IF(INDEX([1]equip.xml!$B:$B,MATCH(D4159,[1]equip.xml!$A:$A,0))=0,0,N4159)</f>
        <v>140</v>
      </c>
      <c r="N4159" s="7">
        <f t="shared" si="5005"/>
        <v>140</v>
      </c>
    </row>
    <row r="4160" spans="1:14">
      <c r="A4160" s="7">
        <f t="shared" si="5006"/>
        <v>30005</v>
      </c>
      <c r="B4160" s="7">
        <v>40000</v>
      </c>
      <c r="C4160" s="7" t="s">
        <v>132</v>
      </c>
      <c r="D4160" s="7">
        <v>50053065</v>
      </c>
      <c r="E4160" s="7" t="s">
        <v>171</v>
      </c>
      <c r="F4160" s="7">
        <v>1</v>
      </c>
      <c r="G4160" s="8">
        <f>3*INDEX([1]equip.xml!$I:$I,MATCH(D4160,[1]equip.xml!$A:$A,0))</f>
        <v>30000</v>
      </c>
      <c r="H4160" s="7" t="s">
        <v>31</v>
      </c>
      <c r="I4160" s="7">
        <v>13</v>
      </c>
      <c r="J4160" s="7">
        <v>240</v>
      </c>
      <c r="K4160" s="7" t="s">
        <v>293</v>
      </c>
      <c r="L4160" s="7">
        <v>18</v>
      </c>
      <c r="M4160" s="7">
        <f>IF(INDEX([1]equip.xml!$B:$B,MATCH(D4160,[1]equip.xml!$A:$A,0))=0,0,N4160)</f>
        <v>140</v>
      </c>
      <c r="N4160" s="7">
        <f t="shared" si="5005"/>
        <v>140</v>
      </c>
    </row>
    <row r="4161" spans="1:14">
      <c r="A4161" s="7">
        <f t="shared" si="5006"/>
        <v>30005</v>
      </c>
      <c r="B4161" s="7">
        <v>40000</v>
      </c>
      <c r="C4161" s="7" t="s">
        <v>132</v>
      </c>
      <c r="D4161" s="7">
        <v>50053066</v>
      </c>
      <c r="E4161" s="7" t="s">
        <v>172</v>
      </c>
      <c r="F4161" s="7">
        <v>1</v>
      </c>
      <c r="G4161" s="8">
        <f>3*INDEX([1]equip.xml!$I:$I,MATCH(D4161,[1]equip.xml!$A:$A,0))</f>
        <v>48000</v>
      </c>
      <c r="H4161" s="7" t="s">
        <v>31</v>
      </c>
      <c r="I4161" s="7">
        <v>13</v>
      </c>
      <c r="J4161" s="7">
        <v>240</v>
      </c>
      <c r="K4161" s="7" t="s">
        <v>293</v>
      </c>
      <c r="L4161" s="7">
        <v>18</v>
      </c>
      <c r="M4161" s="7">
        <f>IF(INDEX([1]equip.xml!$B:$B,MATCH(D4161,[1]equip.xml!$A:$A,0))=0,0,N4161)</f>
        <v>0</v>
      </c>
      <c r="N4161" s="7">
        <f t="shared" si="5005"/>
        <v>140</v>
      </c>
    </row>
    <row r="4162" spans="1:14">
      <c r="A4162" s="7">
        <f t="shared" si="5006"/>
        <v>30005</v>
      </c>
      <c r="B4162" s="7">
        <v>40000</v>
      </c>
      <c r="C4162" s="7" t="s">
        <v>132</v>
      </c>
      <c r="D4162" s="7">
        <v>50050045</v>
      </c>
      <c r="E4162" s="7" t="s">
        <v>173</v>
      </c>
      <c r="F4162" s="7">
        <v>1</v>
      </c>
      <c r="G4162" s="8">
        <f>3*INDEX([1]equip.xml!$I:$I,MATCH(D4162,[1]equip.xml!$A:$A,0))</f>
        <v>30000</v>
      </c>
      <c r="H4162" s="7" t="s">
        <v>31</v>
      </c>
      <c r="I4162" s="7">
        <v>13</v>
      </c>
      <c r="J4162" s="7">
        <v>240</v>
      </c>
      <c r="K4162" s="7" t="s">
        <v>293</v>
      </c>
      <c r="L4162" s="7">
        <v>18</v>
      </c>
      <c r="M4162" s="7">
        <f>IF(INDEX([1]equip.xml!$B:$B,MATCH(D4162,[1]equip.xml!$A:$A,0))=0,0,N4162)</f>
        <v>140</v>
      </c>
      <c r="N4162" s="7">
        <f t="shared" si="5005"/>
        <v>140</v>
      </c>
    </row>
    <row r="4163" spans="1:14">
      <c r="A4163" s="7">
        <f t="shared" si="5006"/>
        <v>30005</v>
      </c>
      <c r="B4163" s="7">
        <v>40000</v>
      </c>
      <c r="C4163" s="7" t="s">
        <v>132</v>
      </c>
      <c r="D4163" s="7">
        <v>50050046</v>
      </c>
      <c r="E4163" s="7" t="s">
        <v>174</v>
      </c>
      <c r="F4163" s="7">
        <v>1</v>
      </c>
      <c r="G4163" s="8">
        <f>3*INDEX([1]equip.xml!$I:$I,MATCH(D4163,[1]equip.xml!$A:$A,0))</f>
        <v>48000</v>
      </c>
      <c r="H4163" s="7" t="s">
        <v>31</v>
      </c>
      <c r="I4163" s="7">
        <v>13</v>
      </c>
      <c r="J4163" s="7">
        <v>240</v>
      </c>
      <c r="K4163" s="7" t="s">
        <v>293</v>
      </c>
      <c r="L4163" s="7">
        <v>18</v>
      </c>
      <c r="M4163" s="7">
        <f>IF(INDEX([1]equip.xml!$B:$B,MATCH(D4163,[1]equip.xml!$A:$A,0))=0,0,N4163)</f>
        <v>140</v>
      </c>
      <c r="N4163" s="7">
        <f t="shared" si="5005"/>
        <v>140</v>
      </c>
    </row>
    <row r="4164" spans="1:14">
      <c r="A4164" s="7">
        <f t="shared" si="5006"/>
        <v>30005</v>
      </c>
      <c r="B4164" s="7">
        <v>40000</v>
      </c>
      <c r="C4164" s="7" t="s">
        <v>132</v>
      </c>
      <c r="D4164" s="7">
        <v>50050075</v>
      </c>
      <c r="E4164" s="7" t="s">
        <v>175</v>
      </c>
      <c r="F4164" s="7">
        <v>1</v>
      </c>
      <c r="G4164" s="8">
        <f>3*INDEX([1]equip.xml!$I:$I,MATCH(D4164,[1]equip.xml!$A:$A,0))</f>
        <v>30000</v>
      </c>
      <c r="H4164" s="7" t="s">
        <v>31</v>
      </c>
      <c r="I4164" s="7">
        <v>13</v>
      </c>
      <c r="J4164" s="7">
        <v>240</v>
      </c>
      <c r="K4164" s="7" t="s">
        <v>293</v>
      </c>
      <c r="L4164" s="7">
        <v>18</v>
      </c>
      <c r="M4164" s="7">
        <f>IF(INDEX([1]equip.xml!$B:$B,MATCH(D4164,[1]equip.xml!$A:$A,0))=0,0,N4164)</f>
        <v>140</v>
      </c>
      <c r="N4164" s="7">
        <f t="shared" si="5005"/>
        <v>140</v>
      </c>
    </row>
    <row r="4165" spans="1:14">
      <c r="A4165" s="7">
        <f t="shared" si="5006"/>
        <v>30005</v>
      </c>
      <c r="B4165" s="7">
        <v>40000</v>
      </c>
      <c r="C4165" s="7" t="s">
        <v>132</v>
      </c>
      <c r="D4165" s="7">
        <v>50050076</v>
      </c>
      <c r="E4165" s="7" t="s">
        <v>176</v>
      </c>
      <c r="F4165" s="7">
        <v>1</v>
      </c>
      <c r="G4165" s="8">
        <f>3*INDEX([1]equip.xml!$I:$I,MATCH(D4165,[1]equip.xml!$A:$A,0))</f>
        <v>48000</v>
      </c>
      <c r="H4165" s="7" t="s">
        <v>31</v>
      </c>
      <c r="I4165" s="7">
        <v>13</v>
      </c>
      <c r="J4165" s="7">
        <v>240</v>
      </c>
      <c r="K4165" s="7" t="s">
        <v>293</v>
      </c>
      <c r="L4165" s="7">
        <v>18</v>
      </c>
      <c r="M4165" s="7">
        <f>IF(INDEX([1]equip.xml!$B:$B,MATCH(D4165,[1]equip.xml!$A:$A,0))=0,0,N4165)</f>
        <v>140</v>
      </c>
      <c r="N4165" s="7">
        <f t="shared" si="5005"/>
        <v>140</v>
      </c>
    </row>
    <row r="4166" spans="1:14">
      <c r="A4166" s="7">
        <f t="shared" si="5006"/>
        <v>30006</v>
      </c>
      <c r="B4166" s="8">
        <v>40000</v>
      </c>
      <c r="C4166" s="8" t="s">
        <v>132</v>
      </c>
      <c r="D4166" s="8" t="s">
        <v>66</v>
      </c>
      <c r="E4166" s="8" t="s">
        <v>110</v>
      </c>
      <c r="F4166" s="8">
        <v>1</v>
      </c>
      <c r="G4166" s="8">
        <f>3*INDEX([1]equip.xml!$I:$I,MATCH(D4166&amp;"",[1]equip.xml!$A:$A,0))</f>
        <v>15000</v>
      </c>
      <c r="H4166" s="8" t="str">
        <f t="shared" ref="H4166:J4166" si="5007">H4078</f>
        <v>10_10,50_20,80_30</v>
      </c>
      <c r="I4166" s="8">
        <v>12</v>
      </c>
      <c r="J4166" s="8">
        <f t="shared" si="5007"/>
        <v>50</v>
      </c>
      <c r="K4166" s="7" t="s">
        <v>293</v>
      </c>
      <c r="L4166" s="8">
        <v>20</v>
      </c>
      <c r="M4166" s="7">
        <f>IF(INDEX([1]equip.xml!$B:$B,MATCH(D4166&amp;"",[1]equip.xml!$A:$A,0))=0,0,N4166)</f>
        <v>100</v>
      </c>
      <c r="N4166" s="7">
        <f>N4078</f>
        <v>100</v>
      </c>
    </row>
    <row r="4167" spans="1:14">
      <c r="A4167" s="7">
        <f t="shared" si="5006"/>
        <v>30006</v>
      </c>
      <c r="B4167" s="8">
        <v>40000</v>
      </c>
      <c r="C4167" s="8" t="s">
        <v>132</v>
      </c>
      <c r="D4167" s="8" t="s">
        <v>67</v>
      </c>
      <c r="E4167" s="8" t="s">
        <v>111</v>
      </c>
      <c r="F4167" s="8">
        <v>1</v>
      </c>
      <c r="G4167" s="8">
        <f>3*INDEX([1]equip.xml!$I:$I,MATCH(D4167&amp;"",[1]equip.xml!$A:$A,0))</f>
        <v>15000</v>
      </c>
      <c r="H4167" s="8" t="str">
        <f t="shared" ref="H4167:J4167" si="5008">H4079</f>
        <v>10_10,50_20,80_30</v>
      </c>
      <c r="I4167" s="8">
        <v>12</v>
      </c>
      <c r="J4167" s="8">
        <f t="shared" si="5008"/>
        <v>50</v>
      </c>
      <c r="K4167" s="7" t="s">
        <v>293</v>
      </c>
      <c r="L4167" s="8">
        <v>20</v>
      </c>
      <c r="M4167" s="7">
        <f>IF(INDEX([1]equip.xml!$B:$B,MATCH(D4167&amp;"",[1]equip.xml!$A:$A,0))=0,0,N4167)</f>
        <v>100</v>
      </c>
      <c r="N4167" s="7">
        <f t="shared" ref="N4167:N4230" si="5009">N4079</f>
        <v>100</v>
      </c>
    </row>
    <row r="4168" spans="1:14">
      <c r="A4168" s="7">
        <f t="shared" si="5006"/>
        <v>30006</v>
      </c>
      <c r="B4168" s="8">
        <v>40000</v>
      </c>
      <c r="C4168" s="8" t="s">
        <v>132</v>
      </c>
      <c r="D4168" s="8" t="s">
        <v>68</v>
      </c>
      <c r="E4168" s="8" t="s">
        <v>112</v>
      </c>
      <c r="F4168" s="8">
        <v>1</v>
      </c>
      <c r="G4168" s="8">
        <f>3*INDEX([1]equip.xml!$I:$I,MATCH(D4168&amp;"",[1]equip.xml!$A:$A,0))</f>
        <v>15000</v>
      </c>
      <c r="H4168" s="8" t="str">
        <f t="shared" ref="H4168:J4168" si="5010">H4080</f>
        <v>10_10,50_20,80_30</v>
      </c>
      <c r="I4168" s="8">
        <v>12</v>
      </c>
      <c r="J4168" s="8">
        <f t="shared" si="5010"/>
        <v>50</v>
      </c>
      <c r="K4168" s="7" t="s">
        <v>293</v>
      </c>
      <c r="L4168" s="8">
        <v>20</v>
      </c>
      <c r="M4168" s="7">
        <f>IF(INDEX([1]equip.xml!$B:$B,MATCH(D4168&amp;"",[1]equip.xml!$A:$A,0))=0,0,N4168)</f>
        <v>100</v>
      </c>
      <c r="N4168" s="7">
        <f t="shared" si="5009"/>
        <v>100</v>
      </c>
    </row>
    <row r="4169" spans="1:14">
      <c r="A4169" s="7">
        <f t="shared" si="5006"/>
        <v>30006</v>
      </c>
      <c r="B4169" s="8">
        <v>40000</v>
      </c>
      <c r="C4169" s="8" t="s">
        <v>132</v>
      </c>
      <c r="D4169" s="8" t="s">
        <v>69</v>
      </c>
      <c r="E4169" s="8" t="s">
        <v>113</v>
      </c>
      <c r="F4169" s="8">
        <v>1</v>
      </c>
      <c r="G4169" s="8">
        <f>3*INDEX([1]equip.xml!$I:$I,MATCH(D4169&amp;"",[1]equip.xml!$A:$A,0))</f>
        <v>15000</v>
      </c>
      <c r="H4169" s="8" t="str">
        <f t="shared" ref="H4169:J4169" si="5011">H4081</f>
        <v>10_10,50_20,80_30</v>
      </c>
      <c r="I4169" s="8">
        <v>12</v>
      </c>
      <c r="J4169" s="8">
        <f t="shared" si="5011"/>
        <v>50</v>
      </c>
      <c r="K4169" s="7" t="s">
        <v>293</v>
      </c>
      <c r="L4169" s="8">
        <v>20</v>
      </c>
      <c r="M4169" s="7">
        <f>IF(INDEX([1]equip.xml!$B:$B,MATCH(D4169&amp;"",[1]equip.xml!$A:$A,0))=0,0,N4169)</f>
        <v>0</v>
      </c>
      <c r="N4169" s="7">
        <f t="shared" si="5009"/>
        <v>100</v>
      </c>
    </row>
    <row r="4170" spans="1:14">
      <c r="A4170" s="7">
        <f t="shared" si="5006"/>
        <v>30006</v>
      </c>
      <c r="B4170" s="8">
        <v>40000</v>
      </c>
      <c r="C4170" s="8" t="s">
        <v>132</v>
      </c>
      <c r="D4170" s="8" t="s">
        <v>70</v>
      </c>
      <c r="E4170" s="8" t="s">
        <v>114</v>
      </c>
      <c r="F4170" s="8">
        <v>1</v>
      </c>
      <c r="G4170" s="8">
        <f>3*INDEX([1]equip.xml!$I:$I,MATCH(D4170&amp;"",[1]equip.xml!$A:$A,0))</f>
        <v>15000</v>
      </c>
      <c r="H4170" s="8" t="str">
        <f t="shared" ref="H4170:J4170" si="5012">H4082</f>
        <v>10_10,50_20,80_30</v>
      </c>
      <c r="I4170" s="8">
        <v>12</v>
      </c>
      <c r="J4170" s="8">
        <f t="shared" si="5012"/>
        <v>50</v>
      </c>
      <c r="K4170" s="7" t="s">
        <v>293</v>
      </c>
      <c r="L4170" s="8">
        <v>20</v>
      </c>
      <c r="M4170" s="7">
        <f>IF(INDEX([1]equip.xml!$B:$B,MATCH(D4170&amp;"",[1]equip.xml!$A:$A,0))=0,0,N4170)</f>
        <v>0</v>
      </c>
      <c r="N4170" s="7">
        <f t="shared" si="5009"/>
        <v>100</v>
      </c>
    </row>
    <row r="4171" spans="1:14">
      <c r="A4171" s="7">
        <f t="shared" si="5006"/>
        <v>30006</v>
      </c>
      <c r="B4171" s="8">
        <v>40000</v>
      </c>
      <c r="C4171" s="8" t="s">
        <v>132</v>
      </c>
      <c r="D4171" s="8" t="s">
        <v>71</v>
      </c>
      <c r="E4171" s="8" t="s">
        <v>115</v>
      </c>
      <c r="F4171" s="8">
        <v>1</v>
      </c>
      <c r="G4171" s="8">
        <f>3*INDEX([1]equip.xml!$I:$I,MATCH(D4171&amp;"",[1]equip.xml!$A:$A,0))</f>
        <v>15000</v>
      </c>
      <c r="H4171" s="8" t="str">
        <f t="shared" ref="H4171:J4171" si="5013">H4083</f>
        <v>10_10,50_20,80_30</v>
      </c>
      <c r="I4171" s="8">
        <v>12</v>
      </c>
      <c r="J4171" s="8">
        <f t="shared" si="5013"/>
        <v>50</v>
      </c>
      <c r="K4171" s="7" t="s">
        <v>293</v>
      </c>
      <c r="L4171" s="8">
        <v>20</v>
      </c>
      <c r="M4171" s="7">
        <f>IF(INDEX([1]equip.xml!$B:$B,MATCH(D4171&amp;"",[1]equip.xml!$A:$A,0))=0,0,N4171)</f>
        <v>100</v>
      </c>
      <c r="N4171" s="7">
        <f t="shared" si="5009"/>
        <v>100</v>
      </c>
    </row>
    <row r="4172" spans="1:14">
      <c r="A4172" s="7">
        <f t="shared" si="5006"/>
        <v>30006</v>
      </c>
      <c r="B4172" s="8">
        <v>40000</v>
      </c>
      <c r="C4172" s="8" t="s">
        <v>132</v>
      </c>
      <c r="D4172" s="8" t="s">
        <v>72</v>
      </c>
      <c r="E4172" s="8" t="s">
        <v>116</v>
      </c>
      <c r="F4172" s="8">
        <v>1</v>
      </c>
      <c r="G4172" s="8">
        <f>3*INDEX([1]equip.xml!$I:$I,MATCH(D4172&amp;"",[1]equip.xml!$A:$A,0))</f>
        <v>15000</v>
      </c>
      <c r="H4172" s="8" t="str">
        <f t="shared" ref="H4172:J4172" si="5014">H4084</f>
        <v>10_10,50_20,80_30</v>
      </c>
      <c r="I4172" s="8">
        <v>12</v>
      </c>
      <c r="J4172" s="8">
        <f t="shared" si="5014"/>
        <v>50</v>
      </c>
      <c r="K4172" s="7" t="s">
        <v>293</v>
      </c>
      <c r="L4172" s="8">
        <v>20</v>
      </c>
      <c r="M4172" s="7">
        <f>IF(INDEX([1]equip.xml!$B:$B,MATCH(D4172&amp;"",[1]equip.xml!$A:$A,0))=0,0,N4172)</f>
        <v>100</v>
      </c>
      <c r="N4172" s="7">
        <f t="shared" si="5009"/>
        <v>100</v>
      </c>
    </row>
    <row r="4173" spans="1:14">
      <c r="A4173" s="7">
        <f t="shared" si="5006"/>
        <v>30006</v>
      </c>
      <c r="B4173" s="8">
        <v>40000</v>
      </c>
      <c r="C4173" s="8" t="s">
        <v>132</v>
      </c>
      <c r="D4173" s="8" t="s">
        <v>73</v>
      </c>
      <c r="E4173" s="8" t="s">
        <v>117</v>
      </c>
      <c r="F4173" s="8">
        <v>1</v>
      </c>
      <c r="G4173" s="8">
        <f>3*INDEX([1]equip.xml!$I:$I,MATCH(D4173&amp;"",[1]equip.xml!$A:$A,0))</f>
        <v>24000</v>
      </c>
      <c r="H4173" s="8" t="str">
        <f t="shared" ref="H4173:J4173" si="5015">H4085</f>
        <v>10_10,50_20,80_30</v>
      </c>
      <c r="I4173" s="8">
        <v>12</v>
      </c>
      <c r="J4173" s="8">
        <f t="shared" si="5015"/>
        <v>50</v>
      </c>
      <c r="K4173" s="7" t="s">
        <v>293</v>
      </c>
      <c r="L4173" s="8">
        <v>20</v>
      </c>
      <c r="M4173" s="7">
        <f>IF(INDEX([1]equip.xml!$B:$B,MATCH(D4173&amp;"",[1]equip.xml!$A:$A,0))=0,0,N4173)</f>
        <v>100</v>
      </c>
      <c r="N4173" s="7">
        <f t="shared" si="5009"/>
        <v>100</v>
      </c>
    </row>
    <row r="4174" spans="1:14">
      <c r="A4174" s="7">
        <f t="shared" si="5006"/>
        <v>30006</v>
      </c>
      <c r="B4174" s="8">
        <v>40000</v>
      </c>
      <c r="C4174" s="8" t="s">
        <v>132</v>
      </c>
      <c r="D4174" s="8" t="s">
        <v>74</v>
      </c>
      <c r="E4174" s="8" t="s">
        <v>118</v>
      </c>
      <c r="F4174" s="8">
        <v>1</v>
      </c>
      <c r="G4174" s="8">
        <f>3*INDEX([1]equip.xml!$I:$I,MATCH(D4174&amp;"",[1]equip.xml!$A:$A,0))</f>
        <v>15000</v>
      </c>
      <c r="H4174" s="8" t="str">
        <f t="shared" ref="H4174:J4174" si="5016">H4086</f>
        <v>10_10,50_20,80_30</v>
      </c>
      <c r="I4174" s="8">
        <v>12</v>
      </c>
      <c r="J4174" s="8">
        <f t="shared" si="5016"/>
        <v>50</v>
      </c>
      <c r="K4174" s="7" t="s">
        <v>293</v>
      </c>
      <c r="L4174" s="8">
        <v>20</v>
      </c>
      <c r="M4174" s="7">
        <f>IF(INDEX([1]equip.xml!$B:$B,MATCH(D4174&amp;"",[1]equip.xml!$A:$A,0))=0,0,N4174)</f>
        <v>100</v>
      </c>
      <c r="N4174" s="7">
        <f t="shared" si="5009"/>
        <v>100</v>
      </c>
    </row>
    <row r="4175" spans="1:14">
      <c r="A4175" s="7">
        <f t="shared" si="5006"/>
        <v>30006</v>
      </c>
      <c r="B4175" s="8">
        <v>40000</v>
      </c>
      <c r="C4175" s="8" t="s">
        <v>132</v>
      </c>
      <c r="D4175" s="8" t="s">
        <v>75</v>
      </c>
      <c r="E4175" s="8" t="s">
        <v>119</v>
      </c>
      <c r="F4175" s="8">
        <v>1</v>
      </c>
      <c r="G4175" s="8">
        <f>3*INDEX([1]equip.xml!$I:$I,MATCH(D4175&amp;"",[1]equip.xml!$A:$A,0))</f>
        <v>24000</v>
      </c>
      <c r="H4175" s="8" t="str">
        <f t="shared" ref="H4175:J4175" si="5017">H4087</f>
        <v>10_10,50_20,80_30</v>
      </c>
      <c r="I4175" s="8">
        <v>12</v>
      </c>
      <c r="J4175" s="8">
        <f t="shared" si="5017"/>
        <v>50</v>
      </c>
      <c r="K4175" s="7" t="s">
        <v>293</v>
      </c>
      <c r="L4175" s="8">
        <v>20</v>
      </c>
      <c r="M4175" s="7">
        <f>IF(INDEX([1]equip.xml!$B:$B,MATCH(D4175&amp;"",[1]equip.xml!$A:$A,0))=0,0,N4175)</f>
        <v>0</v>
      </c>
      <c r="N4175" s="7">
        <f t="shared" si="5009"/>
        <v>100</v>
      </c>
    </row>
    <row r="4176" spans="1:14">
      <c r="A4176" s="7">
        <f t="shared" si="5006"/>
        <v>30006</v>
      </c>
      <c r="B4176" s="8">
        <v>40000</v>
      </c>
      <c r="C4176" s="8" t="s">
        <v>132</v>
      </c>
      <c r="D4176" s="8" t="s">
        <v>76</v>
      </c>
      <c r="E4176" s="8" t="s">
        <v>120</v>
      </c>
      <c r="F4176" s="8">
        <v>1</v>
      </c>
      <c r="G4176" s="8">
        <f>3*INDEX([1]equip.xml!$I:$I,MATCH(D4176&amp;"",[1]equip.xml!$A:$A,0))</f>
        <v>15000</v>
      </c>
      <c r="H4176" s="8" t="str">
        <f t="shared" ref="H4176:J4176" si="5018">H4088</f>
        <v>10_10,50_20,80_30</v>
      </c>
      <c r="I4176" s="8">
        <v>12</v>
      </c>
      <c r="J4176" s="8">
        <f t="shared" si="5018"/>
        <v>50</v>
      </c>
      <c r="K4176" s="7" t="s">
        <v>293</v>
      </c>
      <c r="L4176" s="8">
        <v>20</v>
      </c>
      <c r="M4176" s="7">
        <f>IF(INDEX([1]equip.xml!$B:$B,MATCH(D4176&amp;"",[1]equip.xml!$A:$A,0))=0,0,N4176)</f>
        <v>100</v>
      </c>
      <c r="N4176" s="7">
        <f t="shared" si="5009"/>
        <v>100</v>
      </c>
    </row>
    <row r="4177" spans="1:14">
      <c r="A4177" s="7">
        <f t="shared" si="5006"/>
        <v>30006</v>
      </c>
      <c r="B4177" s="8">
        <v>40000</v>
      </c>
      <c r="C4177" s="8" t="s">
        <v>132</v>
      </c>
      <c r="D4177" s="8" t="s">
        <v>77</v>
      </c>
      <c r="E4177" s="8" t="s">
        <v>121</v>
      </c>
      <c r="F4177" s="8">
        <v>1</v>
      </c>
      <c r="G4177" s="8">
        <f>3*INDEX([1]equip.xml!$I:$I,MATCH(D4177&amp;"",[1]equip.xml!$A:$A,0))</f>
        <v>24000</v>
      </c>
      <c r="H4177" s="8" t="str">
        <f t="shared" ref="H4177:J4177" si="5019">H4089</f>
        <v>10_10,50_20,80_30</v>
      </c>
      <c r="I4177" s="8">
        <v>12</v>
      </c>
      <c r="J4177" s="8">
        <f t="shared" si="5019"/>
        <v>50</v>
      </c>
      <c r="K4177" s="7" t="s">
        <v>293</v>
      </c>
      <c r="L4177" s="8">
        <v>20</v>
      </c>
      <c r="M4177" s="7">
        <f>IF(INDEX([1]equip.xml!$B:$B,MATCH(D4177&amp;"",[1]equip.xml!$A:$A,0))=0,0,N4177)</f>
        <v>100</v>
      </c>
      <c r="N4177" s="7">
        <f t="shared" si="5009"/>
        <v>100</v>
      </c>
    </row>
    <row r="4178" spans="1:14">
      <c r="A4178" s="7">
        <f t="shared" si="5006"/>
        <v>30006</v>
      </c>
      <c r="B4178" s="8">
        <v>40000</v>
      </c>
      <c r="C4178" s="8" t="s">
        <v>132</v>
      </c>
      <c r="D4178" s="8" t="s">
        <v>78</v>
      </c>
      <c r="E4178" s="8" t="s">
        <v>122</v>
      </c>
      <c r="F4178" s="8">
        <v>1</v>
      </c>
      <c r="G4178" s="8">
        <f>3*INDEX([1]equip.xml!$I:$I,MATCH(D4178&amp;"",[1]equip.xml!$A:$A,0))</f>
        <v>15000</v>
      </c>
      <c r="H4178" s="8" t="str">
        <f t="shared" ref="H4178:J4178" si="5020">H4090</f>
        <v>10_10,50_20,80_30</v>
      </c>
      <c r="I4178" s="8">
        <v>12</v>
      </c>
      <c r="J4178" s="8">
        <f t="shared" si="5020"/>
        <v>50</v>
      </c>
      <c r="K4178" s="7" t="s">
        <v>293</v>
      </c>
      <c r="L4178" s="8">
        <v>20</v>
      </c>
      <c r="M4178" s="7">
        <f>IF(INDEX([1]equip.xml!$B:$B,MATCH(D4178&amp;"",[1]equip.xml!$A:$A,0))=0,0,N4178)</f>
        <v>100</v>
      </c>
      <c r="N4178" s="7">
        <f t="shared" si="5009"/>
        <v>100</v>
      </c>
    </row>
    <row r="4179" spans="1:14">
      <c r="A4179" s="7">
        <f t="shared" si="5006"/>
        <v>30006</v>
      </c>
      <c r="B4179" s="8">
        <v>40000</v>
      </c>
      <c r="C4179" s="8" t="s">
        <v>132</v>
      </c>
      <c r="D4179" s="8" t="s">
        <v>79</v>
      </c>
      <c r="E4179" s="8" t="s">
        <v>123</v>
      </c>
      <c r="F4179" s="8">
        <v>1</v>
      </c>
      <c r="G4179" s="8">
        <f>3*INDEX([1]equip.xml!$I:$I,MATCH(D4179&amp;"",[1]equip.xml!$A:$A,0))</f>
        <v>24000</v>
      </c>
      <c r="H4179" s="8" t="str">
        <f t="shared" ref="H4179:J4179" si="5021">H4091</f>
        <v>10_10,50_20,80_30</v>
      </c>
      <c r="I4179" s="8">
        <v>12</v>
      </c>
      <c r="J4179" s="8">
        <f t="shared" si="5021"/>
        <v>50</v>
      </c>
      <c r="K4179" s="7" t="s">
        <v>293</v>
      </c>
      <c r="L4179" s="8">
        <v>20</v>
      </c>
      <c r="M4179" s="7">
        <f>IF(INDEX([1]equip.xml!$B:$B,MATCH(D4179&amp;"",[1]equip.xml!$A:$A,0))=0,0,N4179)</f>
        <v>0</v>
      </c>
      <c r="N4179" s="7">
        <f t="shared" si="5009"/>
        <v>100</v>
      </c>
    </row>
    <row r="4180" spans="1:14">
      <c r="A4180" s="7">
        <f t="shared" si="5006"/>
        <v>30006</v>
      </c>
      <c r="B4180" s="8">
        <v>40000</v>
      </c>
      <c r="C4180" s="8" t="s">
        <v>132</v>
      </c>
      <c r="D4180" s="8" t="s">
        <v>80</v>
      </c>
      <c r="E4180" s="8" t="s">
        <v>124</v>
      </c>
      <c r="F4180" s="8">
        <v>1</v>
      </c>
      <c r="G4180" s="8">
        <f>3*INDEX([1]equip.xml!$I:$I,MATCH(D4180&amp;"",[1]equip.xml!$A:$A,0))</f>
        <v>15000</v>
      </c>
      <c r="H4180" s="8" t="str">
        <f t="shared" ref="H4180:J4180" si="5022">H4092</f>
        <v>10_10,50_20,80_30</v>
      </c>
      <c r="I4180" s="8">
        <v>12</v>
      </c>
      <c r="J4180" s="8">
        <f t="shared" si="5022"/>
        <v>50</v>
      </c>
      <c r="K4180" s="7" t="s">
        <v>293</v>
      </c>
      <c r="L4180" s="8">
        <v>20</v>
      </c>
      <c r="M4180" s="7">
        <f>IF(INDEX([1]equip.xml!$B:$B,MATCH(D4180&amp;"",[1]equip.xml!$A:$A,0))=0,0,N4180)</f>
        <v>100</v>
      </c>
      <c r="N4180" s="7">
        <f t="shared" si="5009"/>
        <v>100</v>
      </c>
    </row>
    <row r="4181" spans="1:14">
      <c r="A4181" s="7">
        <f t="shared" si="5006"/>
        <v>30006</v>
      </c>
      <c r="B4181" s="8">
        <v>40000</v>
      </c>
      <c r="C4181" s="8" t="s">
        <v>132</v>
      </c>
      <c r="D4181" s="8" t="s">
        <v>81</v>
      </c>
      <c r="E4181" s="8" t="s">
        <v>125</v>
      </c>
      <c r="F4181" s="8">
        <v>1</v>
      </c>
      <c r="G4181" s="8">
        <f>3*INDEX([1]equip.xml!$I:$I,MATCH(D4181&amp;"",[1]equip.xml!$A:$A,0))</f>
        <v>24000</v>
      </c>
      <c r="H4181" s="8" t="str">
        <f t="shared" ref="H4181:J4181" si="5023">H4093</f>
        <v>10_10,50_20,80_30</v>
      </c>
      <c r="I4181" s="8">
        <v>12</v>
      </c>
      <c r="J4181" s="8">
        <f t="shared" si="5023"/>
        <v>50</v>
      </c>
      <c r="K4181" s="7" t="s">
        <v>293</v>
      </c>
      <c r="L4181" s="8">
        <v>20</v>
      </c>
      <c r="M4181" s="7">
        <f>IF(INDEX([1]equip.xml!$B:$B,MATCH(D4181&amp;"",[1]equip.xml!$A:$A,0))=0,0,N4181)</f>
        <v>100</v>
      </c>
      <c r="N4181" s="7">
        <f t="shared" si="5009"/>
        <v>100</v>
      </c>
    </row>
    <row r="4182" spans="1:14">
      <c r="A4182" s="7">
        <f t="shared" si="5006"/>
        <v>30006</v>
      </c>
      <c r="B4182" s="8">
        <v>40000</v>
      </c>
      <c r="C4182" s="8" t="s">
        <v>132</v>
      </c>
      <c r="D4182" s="8" t="s">
        <v>82</v>
      </c>
      <c r="E4182" s="8" t="s">
        <v>126</v>
      </c>
      <c r="F4182" s="8">
        <v>1</v>
      </c>
      <c r="G4182" s="8">
        <f>3*INDEX([1]equip.xml!$I:$I,MATCH(D4182&amp;"",[1]equip.xml!$A:$A,0))</f>
        <v>15000</v>
      </c>
      <c r="H4182" s="8" t="str">
        <f t="shared" ref="H4182:J4182" si="5024">H4094</f>
        <v>10_10,50_20,80_30</v>
      </c>
      <c r="I4182" s="8">
        <v>12</v>
      </c>
      <c r="J4182" s="8">
        <f t="shared" si="5024"/>
        <v>50</v>
      </c>
      <c r="K4182" s="7" t="s">
        <v>293</v>
      </c>
      <c r="L4182" s="8">
        <v>20</v>
      </c>
      <c r="M4182" s="7">
        <f>IF(INDEX([1]equip.xml!$B:$B,MATCH(D4182&amp;"",[1]equip.xml!$A:$A,0))=0,0,N4182)</f>
        <v>100</v>
      </c>
      <c r="N4182" s="7">
        <f t="shared" si="5009"/>
        <v>100</v>
      </c>
    </row>
    <row r="4183" spans="1:14">
      <c r="A4183" s="7">
        <f t="shared" si="5006"/>
        <v>30006</v>
      </c>
      <c r="B4183" s="8">
        <v>40000</v>
      </c>
      <c r="C4183" s="8" t="s">
        <v>132</v>
      </c>
      <c r="D4183" s="8" t="s">
        <v>83</v>
      </c>
      <c r="E4183" s="8" t="s">
        <v>127</v>
      </c>
      <c r="F4183" s="8">
        <v>1</v>
      </c>
      <c r="G4183" s="8">
        <f>3*INDEX([1]equip.xml!$I:$I,MATCH(D4183&amp;"",[1]equip.xml!$A:$A,0))</f>
        <v>24000</v>
      </c>
      <c r="H4183" s="8" t="str">
        <f t="shared" ref="H4183:J4183" si="5025">H4095</f>
        <v>10_10,50_20,80_30</v>
      </c>
      <c r="I4183" s="8">
        <v>12</v>
      </c>
      <c r="J4183" s="8">
        <f t="shared" si="5025"/>
        <v>50</v>
      </c>
      <c r="K4183" s="7" t="s">
        <v>293</v>
      </c>
      <c r="L4183" s="8">
        <v>20</v>
      </c>
      <c r="M4183" s="7">
        <f>IF(INDEX([1]equip.xml!$B:$B,MATCH(D4183&amp;"",[1]equip.xml!$A:$A,0))=0,0,N4183)</f>
        <v>0</v>
      </c>
      <c r="N4183" s="7">
        <f t="shared" si="5009"/>
        <v>100</v>
      </c>
    </row>
    <row r="4184" spans="1:14">
      <c r="A4184" s="7">
        <f t="shared" si="5006"/>
        <v>30006</v>
      </c>
      <c r="B4184" s="8">
        <v>40000</v>
      </c>
      <c r="C4184" s="8" t="s">
        <v>132</v>
      </c>
      <c r="D4184" s="8" t="s">
        <v>84</v>
      </c>
      <c r="E4184" s="8" t="s">
        <v>128</v>
      </c>
      <c r="F4184" s="8">
        <v>1</v>
      </c>
      <c r="G4184" s="8">
        <f>3*INDEX([1]equip.xml!$I:$I,MATCH(D4184&amp;"",[1]equip.xml!$A:$A,0))</f>
        <v>15000</v>
      </c>
      <c r="H4184" s="8" t="str">
        <f t="shared" ref="H4184:J4184" si="5026">H4096</f>
        <v>10_10,50_20,80_30</v>
      </c>
      <c r="I4184" s="8">
        <v>12</v>
      </c>
      <c r="J4184" s="8">
        <f t="shared" si="5026"/>
        <v>50</v>
      </c>
      <c r="K4184" s="7" t="s">
        <v>293</v>
      </c>
      <c r="L4184" s="8">
        <v>20</v>
      </c>
      <c r="M4184" s="7">
        <f>IF(INDEX([1]equip.xml!$B:$B,MATCH(D4184&amp;"",[1]equip.xml!$A:$A,0))=0,0,N4184)</f>
        <v>100</v>
      </c>
      <c r="N4184" s="7">
        <f t="shared" si="5009"/>
        <v>100</v>
      </c>
    </row>
    <row r="4185" spans="1:14">
      <c r="A4185" s="7">
        <f t="shared" si="5006"/>
        <v>30006</v>
      </c>
      <c r="B4185" s="8">
        <v>40000</v>
      </c>
      <c r="C4185" s="8" t="s">
        <v>132</v>
      </c>
      <c r="D4185" s="8" t="s">
        <v>85</v>
      </c>
      <c r="E4185" s="8" t="s">
        <v>129</v>
      </c>
      <c r="F4185" s="8">
        <v>1</v>
      </c>
      <c r="G4185" s="8">
        <f>3*INDEX([1]equip.xml!$I:$I,MATCH(D4185&amp;"",[1]equip.xml!$A:$A,0))</f>
        <v>24000</v>
      </c>
      <c r="H4185" s="8" t="str">
        <f t="shared" ref="H4185:J4185" si="5027">H4097</f>
        <v>10_10,50_20,80_30</v>
      </c>
      <c r="I4185" s="8">
        <v>12</v>
      </c>
      <c r="J4185" s="8">
        <f t="shared" si="5027"/>
        <v>50</v>
      </c>
      <c r="K4185" s="7" t="s">
        <v>293</v>
      </c>
      <c r="L4185" s="8">
        <v>20</v>
      </c>
      <c r="M4185" s="7">
        <f>IF(INDEX([1]equip.xml!$B:$B,MATCH(D4185&amp;"",[1]equip.xml!$A:$A,0))=0,0,N4185)</f>
        <v>100</v>
      </c>
      <c r="N4185" s="7">
        <f t="shared" si="5009"/>
        <v>100</v>
      </c>
    </row>
    <row r="4186" spans="1:14">
      <c r="A4186" s="7">
        <f t="shared" si="5006"/>
        <v>30006</v>
      </c>
      <c r="B4186" s="8">
        <v>40000</v>
      </c>
      <c r="C4186" s="8" t="s">
        <v>132</v>
      </c>
      <c r="D4186" s="8" t="s">
        <v>86</v>
      </c>
      <c r="E4186" s="8" t="s">
        <v>130</v>
      </c>
      <c r="F4186" s="8">
        <v>1</v>
      </c>
      <c r="G4186" s="8">
        <f>3*INDEX([1]equip.xml!$I:$I,MATCH(D4186&amp;"",[1]equip.xml!$A:$A,0))</f>
        <v>15000</v>
      </c>
      <c r="H4186" s="8" t="str">
        <f t="shared" ref="H4186:J4186" si="5028">H4098</f>
        <v>10_10,50_20,80_30</v>
      </c>
      <c r="I4186" s="8">
        <v>12</v>
      </c>
      <c r="J4186" s="8">
        <f t="shared" si="5028"/>
        <v>50</v>
      </c>
      <c r="K4186" s="7" t="s">
        <v>293</v>
      </c>
      <c r="L4186" s="8">
        <v>20</v>
      </c>
      <c r="M4186" s="7">
        <f>IF(INDEX([1]equip.xml!$B:$B,MATCH(D4186&amp;"",[1]equip.xml!$A:$A,0))=0,0,N4186)</f>
        <v>100</v>
      </c>
      <c r="N4186" s="7">
        <f t="shared" si="5009"/>
        <v>100</v>
      </c>
    </row>
    <row r="4187" spans="1:14">
      <c r="A4187" s="7">
        <f t="shared" si="5006"/>
        <v>30006</v>
      </c>
      <c r="B4187" s="8">
        <v>40000</v>
      </c>
      <c r="C4187" s="8" t="s">
        <v>132</v>
      </c>
      <c r="D4187" s="8" t="s">
        <v>87</v>
      </c>
      <c r="E4187" s="8" t="s">
        <v>131</v>
      </c>
      <c r="F4187" s="8">
        <v>1</v>
      </c>
      <c r="G4187" s="8">
        <f>3*INDEX([1]equip.xml!$I:$I,MATCH(D4187&amp;"",[1]equip.xml!$A:$A,0))</f>
        <v>24000</v>
      </c>
      <c r="H4187" s="8" t="str">
        <f t="shared" ref="H4187:J4187" si="5029">H4099</f>
        <v>10_10,50_20,80_30</v>
      </c>
      <c r="I4187" s="8">
        <v>12</v>
      </c>
      <c r="J4187" s="8">
        <f t="shared" si="5029"/>
        <v>50</v>
      </c>
      <c r="K4187" s="7" t="s">
        <v>293</v>
      </c>
      <c r="L4187" s="8">
        <v>20</v>
      </c>
      <c r="M4187" s="7">
        <f>IF(INDEX([1]equip.xml!$B:$B,MATCH(D4187&amp;"",[1]equip.xml!$A:$A,0))=0,0,N4187)</f>
        <v>100</v>
      </c>
      <c r="N4187" s="7">
        <f t="shared" si="5009"/>
        <v>100</v>
      </c>
    </row>
    <row r="4188" spans="1:14">
      <c r="A4188" s="7">
        <f t="shared" si="5006"/>
        <v>30006</v>
      </c>
      <c r="B4188" s="8">
        <v>40000</v>
      </c>
      <c r="C4188" s="8" t="s">
        <v>132</v>
      </c>
      <c r="D4188" s="8" t="s">
        <v>177</v>
      </c>
      <c r="E4188" s="8" t="s">
        <v>178</v>
      </c>
      <c r="F4188" s="8">
        <v>1</v>
      </c>
      <c r="G4188" s="8">
        <f>3*INDEX([1]equip.xml!$I:$I,MATCH(D4188&amp;"",[1]equip.xml!$A:$A,0))</f>
        <v>30000</v>
      </c>
      <c r="H4188" s="8" t="str">
        <f t="shared" ref="H4188:J4188" si="5030">H4100</f>
        <v>10_10,50_20,80_30</v>
      </c>
      <c r="I4188" s="8">
        <v>12</v>
      </c>
      <c r="J4188" s="8">
        <f t="shared" si="5030"/>
        <v>50</v>
      </c>
      <c r="K4188" s="7" t="s">
        <v>293</v>
      </c>
      <c r="L4188" s="8">
        <v>20</v>
      </c>
      <c r="M4188" s="7">
        <f>IF(INDEX([1]equip.xml!$B:$B,MATCH(D4188&amp;"",[1]equip.xml!$A:$A,0))=0,0,N4188)</f>
        <v>70</v>
      </c>
      <c r="N4188" s="7">
        <f t="shared" si="5009"/>
        <v>70</v>
      </c>
    </row>
    <row r="4189" spans="1:14">
      <c r="A4189" s="7">
        <f t="shared" si="5006"/>
        <v>30006</v>
      </c>
      <c r="B4189" s="8">
        <v>40000</v>
      </c>
      <c r="C4189" s="8" t="s">
        <v>132</v>
      </c>
      <c r="D4189" s="8" t="s">
        <v>179</v>
      </c>
      <c r="E4189" s="8" t="s">
        <v>180</v>
      </c>
      <c r="F4189" s="8">
        <v>1</v>
      </c>
      <c r="G4189" s="8">
        <f>3*INDEX([1]equip.xml!$I:$I,MATCH(D4189&amp;"",[1]equip.xml!$A:$A,0))</f>
        <v>30000</v>
      </c>
      <c r="H4189" s="8" t="str">
        <f t="shared" ref="H4189:J4189" si="5031">H4101</f>
        <v>10_10,50_20,80_30</v>
      </c>
      <c r="I4189" s="8">
        <v>12</v>
      </c>
      <c r="J4189" s="8">
        <f t="shared" si="5031"/>
        <v>50</v>
      </c>
      <c r="K4189" s="7" t="s">
        <v>293</v>
      </c>
      <c r="L4189" s="8">
        <v>20</v>
      </c>
      <c r="M4189" s="7">
        <f>IF(INDEX([1]equip.xml!$B:$B,MATCH(D4189&amp;"",[1]equip.xml!$A:$A,0))=0,0,N4189)</f>
        <v>70</v>
      </c>
      <c r="N4189" s="7">
        <f t="shared" si="5009"/>
        <v>70</v>
      </c>
    </row>
    <row r="4190" spans="1:14">
      <c r="A4190" s="7">
        <f t="shared" si="5006"/>
        <v>30006</v>
      </c>
      <c r="B4190" s="8">
        <v>40000</v>
      </c>
      <c r="C4190" s="8" t="s">
        <v>132</v>
      </c>
      <c r="D4190" s="8" t="s">
        <v>181</v>
      </c>
      <c r="E4190" s="8" t="s">
        <v>182</v>
      </c>
      <c r="F4190" s="8">
        <v>1</v>
      </c>
      <c r="G4190" s="8">
        <f>3*INDEX([1]equip.xml!$I:$I,MATCH(D4190&amp;"",[1]equip.xml!$A:$A,0))</f>
        <v>30000</v>
      </c>
      <c r="H4190" s="8" t="str">
        <f t="shared" ref="H4190:J4190" si="5032">H4102</f>
        <v>10_10,50_20,80_30</v>
      </c>
      <c r="I4190" s="8">
        <v>12</v>
      </c>
      <c r="J4190" s="8">
        <f t="shared" si="5032"/>
        <v>50</v>
      </c>
      <c r="K4190" s="7" t="s">
        <v>293</v>
      </c>
      <c r="L4190" s="8">
        <v>20</v>
      </c>
      <c r="M4190" s="7">
        <f>IF(INDEX([1]equip.xml!$B:$B,MATCH(D4190&amp;"",[1]equip.xml!$A:$A,0))=0,0,N4190)</f>
        <v>70</v>
      </c>
      <c r="N4190" s="7">
        <f t="shared" si="5009"/>
        <v>70</v>
      </c>
    </row>
    <row r="4191" spans="1:14">
      <c r="A4191" s="7">
        <f t="shared" si="5006"/>
        <v>30006</v>
      </c>
      <c r="B4191" s="8">
        <v>40000</v>
      </c>
      <c r="C4191" s="8" t="s">
        <v>132</v>
      </c>
      <c r="D4191" s="8" t="s">
        <v>183</v>
      </c>
      <c r="E4191" s="8" t="s">
        <v>184</v>
      </c>
      <c r="F4191" s="8">
        <v>1</v>
      </c>
      <c r="G4191" s="8">
        <f>3*INDEX([1]equip.xml!$I:$I,MATCH(D4191&amp;"",[1]equip.xml!$A:$A,0))</f>
        <v>30000</v>
      </c>
      <c r="H4191" s="8" t="str">
        <f t="shared" ref="H4191:J4191" si="5033">H4103</f>
        <v>10_10,50_20,80_30</v>
      </c>
      <c r="I4191" s="8">
        <v>12</v>
      </c>
      <c r="J4191" s="8">
        <f t="shared" si="5033"/>
        <v>50</v>
      </c>
      <c r="K4191" s="7" t="s">
        <v>293</v>
      </c>
      <c r="L4191" s="8">
        <v>20</v>
      </c>
      <c r="M4191" s="7">
        <f>IF(INDEX([1]equip.xml!$B:$B,MATCH(D4191&amp;"",[1]equip.xml!$A:$A,0))=0,0,N4191)</f>
        <v>70</v>
      </c>
      <c r="N4191" s="7">
        <f t="shared" si="5009"/>
        <v>70</v>
      </c>
    </row>
    <row r="4192" spans="1:14">
      <c r="A4192" s="7">
        <f t="shared" si="5006"/>
        <v>30006</v>
      </c>
      <c r="B4192" s="8">
        <v>40000</v>
      </c>
      <c r="C4192" s="8" t="s">
        <v>132</v>
      </c>
      <c r="D4192" s="8" t="s">
        <v>185</v>
      </c>
      <c r="E4192" s="8" t="s">
        <v>186</v>
      </c>
      <c r="F4192" s="8">
        <v>1</v>
      </c>
      <c r="G4192" s="8">
        <f>3*INDEX([1]equip.xml!$I:$I,MATCH(D4192&amp;"",[1]equip.xml!$A:$A,0))</f>
        <v>30000</v>
      </c>
      <c r="H4192" s="8" t="str">
        <f t="shared" ref="H4192:J4192" si="5034">H4104</f>
        <v>10_10,50_20,80_30</v>
      </c>
      <c r="I4192" s="8">
        <v>12</v>
      </c>
      <c r="J4192" s="8">
        <f t="shared" si="5034"/>
        <v>50</v>
      </c>
      <c r="K4192" s="7" t="s">
        <v>293</v>
      </c>
      <c r="L4192" s="8">
        <v>20</v>
      </c>
      <c r="M4192" s="7">
        <f>IF(INDEX([1]equip.xml!$B:$B,MATCH(D4192&amp;"",[1]equip.xml!$A:$A,0))=0,0,N4192)</f>
        <v>70</v>
      </c>
      <c r="N4192" s="7">
        <f t="shared" si="5009"/>
        <v>70</v>
      </c>
    </row>
    <row r="4193" spans="1:14">
      <c r="A4193" s="7">
        <f t="shared" si="5006"/>
        <v>30006</v>
      </c>
      <c r="B4193" s="8">
        <v>40000</v>
      </c>
      <c r="C4193" s="8" t="s">
        <v>132</v>
      </c>
      <c r="D4193" s="8" t="s">
        <v>187</v>
      </c>
      <c r="E4193" s="8" t="s">
        <v>188</v>
      </c>
      <c r="F4193" s="8">
        <v>1</v>
      </c>
      <c r="G4193" s="8">
        <f>3*INDEX([1]equip.xml!$I:$I,MATCH(D4193&amp;"",[1]equip.xml!$A:$A,0))</f>
        <v>30000</v>
      </c>
      <c r="H4193" s="8" t="str">
        <f t="shared" ref="H4193:J4193" si="5035">H4105</f>
        <v>10_10,50_20,80_30</v>
      </c>
      <c r="I4193" s="8">
        <v>12</v>
      </c>
      <c r="J4193" s="8">
        <f t="shared" si="5035"/>
        <v>50</v>
      </c>
      <c r="K4193" s="7" t="s">
        <v>293</v>
      </c>
      <c r="L4193" s="8">
        <v>20</v>
      </c>
      <c r="M4193" s="7">
        <f>IF(INDEX([1]equip.xml!$B:$B,MATCH(D4193&amp;"",[1]equip.xml!$A:$A,0))=0,0,N4193)</f>
        <v>0</v>
      </c>
      <c r="N4193" s="7">
        <f t="shared" si="5009"/>
        <v>70</v>
      </c>
    </row>
    <row r="4194" spans="1:14">
      <c r="A4194" s="7">
        <f t="shared" si="5006"/>
        <v>30006</v>
      </c>
      <c r="B4194" s="8">
        <v>40000</v>
      </c>
      <c r="C4194" s="8" t="s">
        <v>132</v>
      </c>
      <c r="D4194" s="8" t="s">
        <v>189</v>
      </c>
      <c r="E4194" s="8" t="s">
        <v>190</v>
      </c>
      <c r="F4194" s="8">
        <v>1</v>
      </c>
      <c r="G4194" s="8">
        <f>3*INDEX([1]equip.xml!$I:$I,MATCH(D4194&amp;"",[1]equip.xml!$A:$A,0))</f>
        <v>30000</v>
      </c>
      <c r="H4194" s="8" t="str">
        <f t="shared" ref="H4194:J4194" si="5036">H4106</f>
        <v>10_10,50_20,80_30</v>
      </c>
      <c r="I4194" s="8">
        <v>12</v>
      </c>
      <c r="J4194" s="8">
        <f t="shared" si="5036"/>
        <v>50</v>
      </c>
      <c r="K4194" s="7" t="s">
        <v>293</v>
      </c>
      <c r="L4194" s="8">
        <v>20</v>
      </c>
      <c r="M4194" s="7">
        <f>IF(INDEX([1]equip.xml!$B:$B,MATCH(D4194&amp;"",[1]equip.xml!$A:$A,0))=0,0,N4194)</f>
        <v>70</v>
      </c>
      <c r="N4194" s="7">
        <f t="shared" si="5009"/>
        <v>70</v>
      </c>
    </row>
    <row r="4195" spans="1:14">
      <c r="A4195" s="7">
        <f t="shared" si="5006"/>
        <v>30006</v>
      </c>
      <c r="B4195" s="8">
        <v>40000</v>
      </c>
      <c r="C4195" s="8" t="s">
        <v>132</v>
      </c>
      <c r="D4195" s="8" t="s">
        <v>191</v>
      </c>
      <c r="E4195" s="8" t="s">
        <v>192</v>
      </c>
      <c r="F4195" s="8">
        <v>1</v>
      </c>
      <c r="G4195" s="8">
        <f>3*INDEX([1]equip.xml!$I:$I,MATCH(D4195&amp;"",[1]equip.xml!$A:$A,0))</f>
        <v>39000</v>
      </c>
      <c r="H4195" s="8" t="str">
        <f t="shared" ref="H4195:J4195" si="5037">H4107</f>
        <v>10_10,50_20,80_30</v>
      </c>
      <c r="I4195" s="8">
        <v>12</v>
      </c>
      <c r="J4195" s="8">
        <f t="shared" si="5037"/>
        <v>50</v>
      </c>
      <c r="K4195" s="7" t="s">
        <v>293</v>
      </c>
      <c r="L4195" s="8">
        <v>20</v>
      </c>
      <c r="M4195" s="7">
        <f>IF(INDEX([1]equip.xml!$B:$B,MATCH(D4195&amp;"",[1]equip.xml!$A:$A,0))=0,0,N4195)</f>
        <v>70</v>
      </c>
      <c r="N4195" s="7">
        <f t="shared" si="5009"/>
        <v>70</v>
      </c>
    </row>
    <row r="4196" spans="1:14">
      <c r="A4196" s="7">
        <f t="shared" si="5006"/>
        <v>30006</v>
      </c>
      <c r="B4196" s="8">
        <v>40000</v>
      </c>
      <c r="C4196" s="8" t="s">
        <v>132</v>
      </c>
      <c r="D4196" s="8" t="s">
        <v>193</v>
      </c>
      <c r="E4196" s="8" t="s">
        <v>194</v>
      </c>
      <c r="F4196" s="8">
        <v>1</v>
      </c>
      <c r="G4196" s="8">
        <f>3*INDEX([1]equip.xml!$I:$I,MATCH(D4196&amp;"",[1]equip.xml!$A:$A,0))</f>
        <v>30000</v>
      </c>
      <c r="H4196" s="8" t="str">
        <f t="shared" ref="H4196:J4196" si="5038">H4108</f>
        <v>10_10,50_20,80_30</v>
      </c>
      <c r="I4196" s="8">
        <v>12</v>
      </c>
      <c r="J4196" s="8">
        <f t="shared" si="5038"/>
        <v>50</v>
      </c>
      <c r="K4196" s="7" t="s">
        <v>293</v>
      </c>
      <c r="L4196" s="8">
        <v>20</v>
      </c>
      <c r="M4196" s="7">
        <f>IF(INDEX([1]equip.xml!$B:$B,MATCH(D4196&amp;"",[1]equip.xml!$A:$A,0))=0,0,N4196)</f>
        <v>70</v>
      </c>
      <c r="N4196" s="7">
        <f t="shared" si="5009"/>
        <v>70</v>
      </c>
    </row>
    <row r="4197" spans="1:14">
      <c r="A4197" s="7">
        <f t="shared" si="5006"/>
        <v>30006</v>
      </c>
      <c r="B4197" s="8">
        <v>40000</v>
      </c>
      <c r="C4197" s="8" t="s">
        <v>132</v>
      </c>
      <c r="D4197" s="8" t="s">
        <v>195</v>
      </c>
      <c r="E4197" s="8" t="s">
        <v>196</v>
      </c>
      <c r="F4197" s="8">
        <v>1</v>
      </c>
      <c r="G4197" s="8">
        <f>3*INDEX([1]equip.xml!$I:$I,MATCH(D4197&amp;"",[1]equip.xml!$A:$A,0))</f>
        <v>39000</v>
      </c>
      <c r="H4197" s="8" t="str">
        <f t="shared" ref="H4197:J4197" si="5039">H4109</f>
        <v>10_10,50_20,80_30</v>
      </c>
      <c r="I4197" s="8">
        <v>12</v>
      </c>
      <c r="J4197" s="8">
        <f t="shared" si="5039"/>
        <v>50</v>
      </c>
      <c r="K4197" s="7" t="s">
        <v>293</v>
      </c>
      <c r="L4197" s="8">
        <v>20</v>
      </c>
      <c r="M4197" s="7">
        <f>IF(INDEX([1]equip.xml!$B:$B,MATCH(D4197&amp;"",[1]equip.xml!$A:$A,0))=0,0,N4197)</f>
        <v>0</v>
      </c>
      <c r="N4197" s="7">
        <f t="shared" si="5009"/>
        <v>70</v>
      </c>
    </row>
    <row r="4198" spans="1:14">
      <c r="A4198" s="7">
        <f t="shared" si="5006"/>
        <v>30006</v>
      </c>
      <c r="B4198" s="8">
        <v>40000</v>
      </c>
      <c r="C4198" s="8" t="s">
        <v>132</v>
      </c>
      <c r="D4198" s="8" t="s">
        <v>197</v>
      </c>
      <c r="E4198" s="8" t="s">
        <v>198</v>
      </c>
      <c r="F4198" s="8">
        <v>1</v>
      </c>
      <c r="G4198" s="8">
        <f>3*INDEX([1]equip.xml!$I:$I,MATCH(D4198&amp;"",[1]equip.xml!$A:$A,0))</f>
        <v>30000</v>
      </c>
      <c r="H4198" s="8" t="str">
        <f t="shared" ref="H4198:J4198" si="5040">H4110</f>
        <v>10_10,50_20,80_30</v>
      </c>
      <c r="I4198" s="8">
        <v>12</v>
      </c>
      <c r="J4198" s="8">
        <f t="shared" si="5040"/>
        <v>50</v>
      </c>
      <c r="K4198" s="7" t="s">
        <v>293</v>
      </c>
      <c r="L4198" s="8">
        <v>20</v>
      </c>
      <c r="M4198" s="7">
        <f>IF(INDEX([1]equip.xml!$B:$B,MATCH(D4198&amp;"",[1]equip.xml!$A:$A,0))=0,0,N4198)</f>
        <v>70</v>
      </c>
      <c r="N4198" s="7">
        <f t="shared" si="5009"/>
        <v>70</v>
      </c>
    </row>
    <row r="4199" spans="1:14">
      <c r="A4199" s="7">
        <f t="shared" si="5006"/>
        <v>30006</v>
      </c>
      <c r="B4199" s="8">
        <v>40000</v>
      </c>
      <c r="C4199" s="8" t="s">
        <v>132</v>
      </c>
      <c r="D4199" s="8" t="s">
        <v>199</v>
      </c>
      <c r="E4199" s="8" t="s">
        <v>200</v>
      </c>
      <c r="F4199" s="8">
        <v>1</v>
      </c>
      <c r="G4199" s="8">
        <f>3*INDEX([1]equip.xml!$I:$I,MATCH(D4199&amp;"",[1]equip.xml!$A:$A,0))</f>
        <v>39000</v>
      </c>
      <c r="H4199" s="8" t="str">
        <f t="shared" ref="H4199:J4199" si="5041">H4111</f>
        <v>10_10,50_20,80_30</v>
      </c>
      <c r="I4199" s="8">
        <v>12</v>
      </c>
      <c r="J4199" s="8">
        <f t="shared" si="5041"/>
        <v>50</v>
      </c>
      <c r="K4199" s="7" t="s">
        <v>293</v>
      </c>
      <c r="L4199" s="8">
        <v>20</v>
      </c>
      <c r="M4199" s="7">
        <f>IF(INDEX([1]equip.xml!$B:$B,MATCH(D4199&amp;"",[1]equip.xml!$A:$A,0))=0,0,N4199)</f>
        <v>70</v>
      </c>
      <c r="N4199" s="7">
        <f t="shared" si="5009"/>
        <v>70</v>
      </c>
    </row>
    <row r="4200" spans="1:14">
      <c r="A4200" s="7">
        <f t="shared" si="5006"/>
        <v>30006</v>
      </c>
      <c r="B4200" s="8">
        <v>40000</v>
      </c>
      <c r="C4200" s="8" t="s">
        <v>132</v>
      </c>
      <c r="D4200" s="8" t="s">
        <v>201</v>
      </c>
      <c r="E4200" s="8" t="s">
        <v>202</v>
      </c>
      <c r="F4200" s="8">
        <v>1</v>
      </c>
      <c r="G4200" s="8">
        <f>3*INDEX([1]equip.xml!$I:$I,MATCH(D4200&amp;"",[1]equip.xml!$A:$A,0))</f>
        <v>30000</v>
      </c>
      <c r="H4200" s="8" t="str">
        <f t="shared" ref="H4200:J4200" si="5042">H4112</f>
        <v>10_10,50_20,80_30</v>
      </c>
      <c r="I4200" s="8">
        <v>12</v>
      </c>
      <c r="J4200" s="8">
        <f t="shared" si="5042"/>
        <v>50</v>
      </c>
      <c r="K4200" s="7" t="s">
        <v>293</v>
      </c>
      <c r="L4200" s="8">
        <v>20</v>
      </c>
      <c r="M4200" s="7">
        <f>IF(INDEX([1]equip.xml!$B:$B,MATCH(D4200&amp;"",[1]equip.xml!$A:$A,0))=0,0,N4200)</f>
        <v>70</v>
      </c>
      <c r="N4200" s="7">
        <f t="shared" si="5009"/>
        <v>70</v>
      </c>
    </row>
    <row r="4201" spans="1:14">
      <c r="A4201" s="7">
        <f t="shared" si="5006"/>
        <v>30006</v>
      </c>
      <c r="B4201" s="8">
        <v>40000</v>
      </c>
      <c r="C4201" s="8" t="s">
        <v>132</v>
      </c>
      <c r="D4201" s="8" t="s">
        <v>203</v>
      </c>
      <c r="E4201" s="8" t="s">
        <v>204</v>
      </c>
      <c r="F4201" s="8">
        <v>1</v>
      </c>
      <c r="G4201" s="8">
        <f>3*INDEX([1]equip.xml!$I:$I,MATCH(D4201&amp;"",[1]equip.xml!$A:$A,0))</f>
        <v>39000</v>
      </c>
      <c r="H4201" s="8" t="str">
        <f t="shared" ref="H4201:J4201" si="5043">H4113</f>
        <v>10_10,50_20,80_30</v>
      </c>
      <c r="I4201" s="8">
        <v>12</v>
      </c>
      <c r="J4201" s="8">
        <f t="shared" si="5043"/>
        <v>50</v>
      </c>
      <c r="K4201" s="7" t="s">
        <v>293</v>
      </c>
      <c r="L4201" s="8">
        <v>20</v>
      </c>
      <c r="M4201" s="7">
        <f>IF(INDEX([1]equip.xml!$B:$B,MATCH(D4201&amp;"",[1]equip.xml!$A:$A,0))=0,0,N4201)</f>
        <v>0</v>
      </c>
      <c r="N4201" s="7">
        <f t="shared" si="5009"/>
        <v>70</v>
      </c>
    </row>
    <row r="4202" spans="1:14">
      <c r="A4202" s="7">
        <f t="shared" si="5006"/>
        <v>30006</v>
      </c>
      <c r="B4202" s="8">
        <v>40000</v>
      </c>
      <c r="C4202" s="8" t="s">
        <v>132</v>
      </c>
      <c r="D4202" s="8" t="s">
        <v>205</v>
      </c>
      <c r="E4202" s="8" t="s">
        <v>206</v>
      </c>
      <c r="F4202" s="8">
        <v>1</v>
      </c>
      <c r="G4202" s="8">
        <f>3*INDEX([1]equip.xml!$I:$I,MATCH(D4202&amp;"",[1]equip.xml!$A:$A,0))</f>
        <v>30000</v>
      </c>
      <c r="H4202" s="8" t="str">
        <f t="shared" ref="H4202:J4202" si="5044">H4114</f>
        <v>10_10,50_20,80_30</v>
      </c>
      <c r="I4202" s="8">
        <v>12</v>
      </c>
      <c r="J4202" s="8">
        <f t="shared" si="5044"/>
        <v>50</v>
      </c>
      <c r="K4202" s="7" t="s">
        <v>293</v>
      </c>
      <c r="L4202" s="8">
        <v>20</v>
      </c>
      <c r="M4202" s="7">
        <f>IF(INDEX([1]equip.xml!$B:$B,MATCH(D4202&amp;"",[1]equip.xml!$A:$A,0))=0,0,N4202)</f>
        <v>70</v>
      </c>
      <c r="N4202" s="7">
        <f t="shared" si="5009"/>
        <v>70</v>
      </c>
    </row>
    <row r="4203" spans="1:14">
      <c r="A4203" s="7">
        <f t="shared" si="5006"/>
        <v>30006</v>
      </c>
      <c r="B4203" s="8">
        <v>40000</v>
      </c>
      <c r="C4203" s="8" t="s">
        <v>132</v>
      </c>
      <c r="D4203" s="8" t="s">
        <v>207</v>
      </c>
      <c r="E4203" s="8" t="s">
        <v>208</v>
      </c>
      <c r="F4203" s="8">
        <v>1</v>
      </c>
      <c r="G4203" s="8">
        <f>3*INDEX([1]equip.xml!$I:$I,MATCH(D4203&amp;"",[1]equip.xml!$A:$A,0))</f>
        <v>39000</v>
      </c>
      <c r="H4203" s="8" t="str">
        <f t="shared" ref="H4203:J4203" si="5045">H4115</f>
        <v>10_10,50_20,80_30</v>
      </c>
      <c r="I4203" s="8">
        <v>12</v>
      </c>
      <c r="J4203" s="8">
        <f t="shared" si="5045"/>
        <v>50</v>
      </c>
      <c r="K4203" s="7" t="s">
        <v>293</v>
      </c>
      <c r="L4203" s="8">
        <v>20</v>
      </c>
      <c r="M4203" s="7">
        <f>IF(INDEX([1]equip.xml!$B:$B,MATCH(D4203&amp;"",[1]equip.xml!$A:$A,0))=0,0,N4203)</f>
        <v>70</v>
      </c>
      <c r="N4203" s="7">
        <f t="shared" si="5009"/>
        <v>70</v>
      </c>
    </row>
    <row r="4204" spans="1:14">
      <c r="A4204" s="7">
        <f t="shared" si="5006"/>
        <v>30006</v>
      </c>
      <c r="B4204" s="8">
        <v>40000</v>
      </c>
      <c r="C4204" s="8" t="s">
        <v>132</v>
      </c>
      <c r="D4204" s="8" t="s">
        <v>209</v>
      </c>
      <c r="E4204" s="8" t="s">
        <v>210</v>
      </c>
      <c r="F4204" s="8">
        <v>1</v>
      </c>
      <c r="G4204" s="8">
        <f>3*INDEX([1]equip.xml!$I:$I,MATCH(D4204&amp;"",[1]equip.xml!$A:$A,0))</f>
        <v>30000</v>
      </c>
      <c r="H4204" s="8" t="str">
        <f t="shared" ref="H4204:J4204" si="5046">H4116</f>
        <v>10_10,50_20,80_30</v>
      </c>
      <c r="I4204" s="8">
        <v>12</v>
      </c>
      <c r="J4204" s="8">
        <f t="shared" si="5046"/>
        <v>50</v>
      </c>
      <c r="K4204" s="7" t="s">
        <v>293</v>
      </c>
      <c r="L4204" s="8">
        <v>20</v>
      </c>
      <c r="M4204" s="7">
        <f>IF(INDEX([1]equip.xml!$B:$B,MATCH(D4204&amp;"",[1]equip.xml!$A:$A,0))=0,0,N4204)</f>
        <v>70</v>
      </c>
      <c r="N4204" s="7">
        <f t="shared" si="5009"/>
        <v>70</v>
      </c>
    </row>
    <row r="4205" spans="1:14">
      <c r="A4205" s="7">
        <f t="shared" si="5006"/>
        <v>30006</v>
      </c>
      <c r="B4205" s="8">
        <v>40000</v>
      </c>
      <c r="C4205" s="8" t="s">
        <v>132</v>
      </c>
      <c r="D4205" s="8" t="s">
        <v>211</v>
      </c>
      <c r="E4205" s="8" t="s">
        <v>212</v>
      </c>
      <c r="F4205" s="8">
        <v>1</v>
      </c>
      <c r="G4205" s="8">
        <f>3*INDEX([1]equip.xml!$I:$I,MATCH(D4205&amp;"",[1]equip.xml!$A:$A,0))</f>
        <v>39000</v>
      </c>
      <c r="H4205" s="8" t="str">
        <f t="shared" ref="H4205:J4205" si="5047">H4117</f>
        <v>10_10,50_20,80_30</v>
      </c>
      <c r="I4205" s="8">
        <v>12</v>
      </c>
      <c r="J4205" s="8">
        <f t="shared" si="5047"/>
        <v>50</v>
      </c>
      <c r="K4205" s="7" t="s">
        <v>293</v>
      </c>
      <c r="L4205" s="8">
        <v>20</v>
      </c>
      <c r="M4205" s="7">
        <f>IF(INDEX([1]equip.xml!$B:$B,MATCH(D4205&amp;"",[1]equip.xml!$A:$A,0))=0,0,N4205)</f>
        <v>0</v>
      </c>
      <c r="N4205" s="7">
        <f t="shared" si="5009"/>
        <v>70</v>
      </c>
    </row>
    <row r="4206" spans="1:14">
      <c r="A4206" s="7">
        <f t="shared" si="5006"/>
        <v>30006</v>
      </c>
      <c r="B4206" s="8">
        <v>40000</v>
      </c>
      <c r="C4206" s="8" t="s">
        <v>132</v>
      </c>
      <c r="D4206" s="8" t="s">
        <v>213</v>
      </c>
      <c r="E4206" s="8" t="s">
        <v>214</v>
      </c>
      <c r="F4206" s="8">
        <v>1</v>
      </c>
      <c r="G4206" s="8">
        <f>3*INDEX([1]equip.xml!$I:$I,MATCH(D4206&amp;"",[1]equip.xml!$A:$A,0))</f>
        <v>30000</v>
      </c>
      <c r="H4206" s="8" t="str">
        <f t="shared" ref="H4206:J4206" si="5048">H4118</f>
        <v>10_10,50_20,80_30</v>
      </c>
      <c r="I4206" s="8">
        <v>12</v>
      </c>
      <c r="J4206" s="8">
        <f t="shared" si="5048"/>
        <v>50</v>
      </c>
      <c r="K4206" s="7" t="s">
        <v>293</v>
      </c>
      <c r="L4206" s="8">
        <v>20</v>
      </c>
      <c r="M4206" s="7">
        <f>IF(INDEX([1]equip.xml!$B:$B,MATCH(D4206&amp;"",[1]equip.xml!$A:$A,0))=0,0,N4206)</f>
        <v>70</v>
      </c>
      <c r="N4206" s="7">
        <f t="shared" si="5009"/>
        <v>70</v>
      </c>
    </row>
    <row r="4207" spans="1:14">
      <c r="A4207" s="7">
        <f t="shared" ref="A4207:A4270" si="5049">10000+A2975</f>
        <v>30006</v>
      </c>
      <c r="B4207" s="8">
        <v>40000</v>
      </c>
      <c r="C4207" s="8" t="s">
        <v>132</v>
      </c>
      <c r="D4207" s="8" t="s">
        <v>215</v>
      </c>
      <c r="E4207" s="8" t="s">
        <v>216</v>
      </c>
      <c r="F4207" s="8">
        <v>1</v>
      </c>
      <c r="G4207" s="8">
        <f>3*INDEX([1]equip.xml!$I:$I,MATCH(D4207&amp;"",[1]equip.xml!$A:$A,0))</f>
        <v>39000</v>
      </c>
      <c r="H4207" s="8" t="str">
        <f t="shared" ref="H4207:J4207" si="5050">H4119</f>
        <v>10_10,50_20,80_30</v>
      </c>
      <c r="I4207" s="8">
        <v>12</v>
      </c>
      <c r="J4207" s="8">
        <f t="shared" si="5050"/>
        <v>50</v>
      </c>
      <c r="K4207" s="7" t="s">
        <v>293</v>
      </c>
      <c r="L4207" s="8">
        <v>20</v>
      </c>
      <c r="M4207" s="7">
        <f>IF(INDEX([1]equip.xml!$B:$B,MATCH(D4207&amp;"",[1]equip.xml!$A:$A,0))=0,0,N4207)</f>
        <v>0</v>
      </c>
      <c r="N4207" s="7">
        <f t="shared" si="5009"/>
        <v>70</v>
      </c>
    </row>
    <row r="4208" spans="1:14">
      <c r="A4208" s="7">
        <f t="shared" si="5049"/>
        <v>30006</v>
      </c>
      <c r="B4208" s="8">
        <v>40000</v>
      </c>
      <c r="C4208" s="8" t="s">
        <v>132</v>
      </c>
      <c r="D4208" s="8" t="s">
        <v>217</v>
      </c>
      <c r="E4208" s="8" t="s">
        <v>218</v>
      </c>
      <c r="F4208" s="8">
        <v>1</v>
      </c>
      <c r="G4208" s="8">
        <f>3*INDEX([1]equip.xml!$I:$I,MATCH(D4208&amp;"",[1]equip.xml!$A:$A,0))</f>
        <v>30000</v>
      </c>
      <c r="H4208" s="8" t="str">
        <f t="shared" ref="H4208:J4208" si="5051">H4120</f>
        <v>10_10,50_20,80_30</v>
      </c>
      <c r="I4208" s="8">
        <v>12</v>
      </c>
      <c r="J4208" s="8">
        <f t="shared" si="5051"/>
        <v>50</v>
      </c>
      <c r="K4208" s="7" t="s">
        <v>293</v>
      </c>
      <c r="L4208" s="8">
        <v>20</v>
      </c>
      <c r="M4208" s="7">
        <f>IF(INDEX([1]equip.xml!$B:$B,MATCH(D4208&amp;"",[1]equip.xml!$A:$A,0))=0,0,N4208)</f>
        <v>70</v>
      </c>
      <c r="N4208" s="7">
        <f t="shared" si="5009"/>
        <v>70</v>
      </c>
    </row>
    <row r="4209" spans="1:14">
      <c r="A4209" s="7">
        <f t="shared" si="5049"/>
        <v>30006</v>
      </c>
      <c r="B4209" s="8">
        <v>40000</v>
      </c>
      <c r="C4209" s="8" t="s">
        <v>132</v>
      </c>
      <c r="D4209" s="8" t="s">
        <v>219</v>
      </c>
      <c r="E4209" s="8" t="s">
        <v>220</v>
      </c>
      <c r="F4209" s="8">
        <v>1</v>
      </c>
      <c r="G4209" s="8">
        <f>3*INDEX([1]equip.xml!$I:$I,MATCH(D4209&amp;"",[1]equip.xml!$A:$A,0))</f>
        <v>39000</v>
      </c>
      <c r="H4209" s="8" t="str">
        <f t="shared" ref="H4209:J4209" si="5052">H4121</f>
        <v>10_10,50_20,80_30</v>
      </c>
      <c r="I4209" s="8">
        <v>12</v>
      </c>
      <c r="J4209" s="8">
        <f t="shared" si="5052"/>
        <v>50</v>
      </c>
      <c r="K4209" s="7" t="s">
        <v>293</v>
      </c>
      <c r="L4209" s="8">
        <v>20</v>
      </c>
      <c r="M4209" s="7">
        <f>IF(INDEX([1]equip.xml!$B:$B,MATCH(D4209&amp;"",[1]equip.xml!$A:$A,0))=0,0,N4209)</f>
        <v>0</v>
      </c>
      <c r="N4209" s="7">
        <f t="shared" si="5009"/>
        <v>70</v>
      </c>
    </row>
    <row r="4210" spans="1:14">
      <c r="A4210" s="7">
        <f t="shared" si="5049"/>
        <v>30006</v>
      </c>
      <c r="B4210" s="8">
        <v>40000</v>
      </c>
      <c r="C4210" s="8" t="s">
        <v>132</v>
      </c>
      <c r="D4210" s="8">
        <v>50050015</v>
      </c>
      <c r="E4210" s="8" t="s">
        <v>155</v>
      </c>
      <c r="F4210" s="8">
        <v>1</v>
      </c>
      <c r="G4210" s="8">
        <f>3*INDEX([1]equip.xml!$I:$I,MATCH(D4210,[1]equip.xml!$A:$A,0))</f>
        <v>30000</v>
      </c>
      <c r="H4210" s="8" t="str">
        <f t="shared" ref="H4210:J4210" si="5053">H4122</f>
        <v>10_10,50_20,80_30</v>
      </c>
      <c r="I4210" s="8">
        <v>12</v>
      </c>
      <c r="J4210" s="8">
        <f t="shared" si="5053"/>
        <v>240</v>
      </c>
      <c r="K4210" s="7" t="s">
        <v>293</v>
      </c>
      <c r="L4210" s="8">
        <v>20</v>
      </c>
      <c r="M4210" s="7">
        <f>IF(INDEX([1]equip.xml!$B:$B,MATCH(D4210,[1]equip.xml!$A:$A,0))=0,0,N4210)</f>
        <v>200</v>
      </c>
      <c r="N4210" s="7">
        <f t="shared" si="5009"/>
        <v>200</v>
      </c>
    </row>
    <row r="4211" spans="1:14">
      <c r="A4211" s="7">
        <f t="shared" si="5049"/>
        <v>30006</v>
      </c>
      <c r="B4211" s="8">
        <v>40000</v>
      </c>
      <c r="C4211" s="8" t="s">
        <v>132</v>
      </c>
      <c r="D4211" s="8">
        <v>50050025</v>
      </c>
      <c r="E4211" s="8" t="s">
        <v>156</v>
      </c>
      <c r="F4211" s="8">
        <v>1</v>
      </c>
      <c r="G4211" s="8">
        <f>3*INDEX([1]equip.xml!$I:$I,MATCH(D4211,[1]equip.xml!$A:$A,0))</f>
        <v>30000</v>
      </c>
      <c r="H4211" s="8" t="str">
        <f t="shared" ref="H4211:J4211" si="5054">H4123</f>
        <v>10_10,50_20,80_30</v>
      </c>
      <c r="I4211" s="8">
        <v>12</v>
      </c>
      <c r="J4211" s="8">
        <f t="shared" si="5054"/>
        <v>240</v>
      </c>
      <c r="K4211" s="7" t="s">
        <v>293</v>
      </c>
      <c r="L4211" s="8">
        <v>20</v>
      </c>
      <c r="M4211" s="7">
        <f>IF(INDEX([1]equip.xml!$B:$B,MATCH(D4211,[1]equip.xml!$A:$A,0))=0,0,N4211)</f>
        <v>200</v>
      </c>
      <c r="N4211" s="7">
        <f t="shared" si="5009"/>
        <v>200</v>
      </c>
    </row>
    <row r="4212" spans="1:14">
      <c r="A4212" s="7">
        <f t="shared" si="5049"/>
        <v>30006</v>
      </c>
      <c r="B4212" s="8">
        <v>40000</v>
      </c>
      <c r="C4212" s="8" t="s">
        <v>132</v>
      </c>
      <c r="D4212" s="8">
        <v>50050035</v>
      </c>
      <c r="E4212" s="8" t="s">
        <v>157</v>
      </c>
      <c r="F4212" s="8">
        <v>1</v>
      </c>
      <c r="G4212" s="8">
        <f>3*INDEX([1]equip.xml!$I:$I,MATCH(D4212,[1]equip.xml!$A:$A,0))</f>
        <v>30000</v>
      </c>
      <c r="H4212" s="8" t="str">
        <f t="shared" ref="H4212:J4212" si="5055">H4124</f>
        <v>10_10,50_20,80_30</v>
      </c>
      <c r="I4212" s="8">
        <v>12</v>
      </c>
      <c r="J4212" s="8">
        <f t="shared" si="5055"/>
        <v>240</v>
      </c>
      <c r="K4212" s="7" t="s">
        <v>293</v>
      </c>
      <c r="L4212" s="8">
        <v>20</v>
      </c>
      <c r="M4212" s="7">
        <f>IF(INDEX([1]equip.xml!$B:$B,MATCH(D4212,[1]equip.xml!$A:$A,0))=0,0,N4212)</f>
        <v>200</v>
      </c>
      <c r="N4212" s="7">
        <f t="shared" si="5009"/>
        <v>200</v>
      </c>
    </row>
    <row r="4213" spans="1:14">
      <c r="A4213" s="7">
        <f t="shared" si="5049"/>
        <v>30006</v>
      </c>
      <c r="B4213" s="8">
        <v>40000</v>
      </c>
      <c r="C4213" s="8" t="s">
        <v>132</v>
      </c>
      <c r="D4213" s="8">
        <v>50050085</v>
      </c>
      <c r="E4213" s="8" t="s">
        <v>158</v>
      </c>
      <c r="F4213" s="8">
        <v>1</v>
      </c>
      <c r="G4213" s="8">
        <f>3*INDEX([1]equip.xml!$I:$I,MATCH(D4213,[1]equip.xml!$A:$A,0))</f>
        <v>30000</v>
      </c>
      <c r="H4213" s="8" t="str">
        <f t="shared" ref="H4213:J4213" si="5056">H4125</f>
        <v>10_10,50_20,80_30</v>
      </c>
      <c r="I4213" s="8">
        <v>12</v>
      </c>
      <c r="J4213" s="8">
        <f t="shared" si="5056"/>
        <v>240</v>
      </c>
      <c r="K4213" s="7" t="s">
        <v>293</v>
      </c>
      <c r="L4213" s="8">
        <v>20</v>
      </c>
      <c r="M4213" s="7">
        <f>IF(INDEX([1]equip.xml!$B:$B,MATCH(D4213,[1]equip.xml!$A:$A,0))=0,0,N4213)</f>
        <v>0</v>
      </c>
      <c r="N4213" s="7">
        <f t="shared" si="5009"/>
        <v>200</v>
      </c>
    </row>
    <row r="4214" spans="1:14">
      <c r="A4214" s="7">
        <f t="shared" si="5049"/>
        <v>30006</v>
      </c>
      <c r="B4214" s="8">
        <v>40000</v>
      </c>
      <c r="C4214" s="8" t="s">
        <v>132</v>
      </c>
      <c r="D4214" s="8">
        <v>50050095</v>
      </c>
      <c r="E4214" s="8" t="s">
        <v>159</v>
      </c>
      <c r="F4214" s="8">
        <v>1</v>
      </c>
      <c r="G4214" s="8">
        <f>3*INDEX([1]equip.xml!$I:$I,MATCH(D4214,[1]equip.xml!$A:$A,0))</f>
        <v>30000</v>
      </c>
      <c r="H4214" s="8" t="str">
        <f t="shared" ref="H4214:J4214" si="5057">H4126</f>
        <v>10_10,50_20,80_30</v>
      </c>
      <c r="I4214" s="8">
        <v>12</v>
      </c>
      <c r="J4214" s="8">
        <f t="shared" si="5057"/>
        <v>240</v>
      </c>
      <c r="K4214" s="7" t="s">
        <v>293</v>
      </c>
      <c r="L4214" s="8">
        <v>20</v>
      </c>
      <c r="M4214" s="7">
        <f>IF(INDEX([1]equip.xml!$B:$B,MATCH(D4214,[1]equip.xml!$A:$A,0))=0,0,N4214)</f>
        <v>0</v>
      </c>
      <c r="N4214" s="7">
        <f t="shared" si="5009"/>
        <v>200</v>
      </c>
    </row>
    <row r="4215" spans="1:14">
      <c r="A4215" s="7">
        <f t="shared" si="5049"/>
        <v>30006</v>
      </c>
      <c r="B4215" s="8">
        <v>40000</v>
      </c>
      <c r="C4215" s="8" t="s">
        <v>132</v>
      </c>
      <c r="D4215" s="8">
        <v>50050105</v>
      </c>
      <c r="E4215" s="8" t="s">
        <v>160</v>
      </c>
      <c r="F4215" s="8">
        <v>1</v>
      </c>
      <c r="G4215" s="8">
        <f>3*INDEX([1]equip.xml!$I:$I,MATCH(D4215,[1]equip.xml!$A:$A,0))</f>
        <v>30000</v>
      </c>
      <c r="H4215" s="8" t="str">
        <f t="shared" ref="H4215:J4215" si="5058">H4127</f>
        <v>10_10,50_20,80_30</v>
      </c>
      <c r="I4215" s="8">
        <v>12</v>
      </c>
      <c r="J4215" s="8">
        <f t="shared" si="5058"/>
        <v>240</v>
      </c>
      <c r="K4215" s="7" t="s">
        <v>293</v>
      </c>
      <c r="L4215" s="8">
        <v>20</v>
      </c>
      <c r="M4215" s="7">
        <f>IF(INDEX([1]equip.xml!$B:$B,MATCH(D4215,[1]equip.xml!$A:$A,0))=0,0,N4215)</f>
        <v>200</v>
      </c>
      <c r="N4215" s="7">
        <f t="shared" si="5009"/>
        <v>200</v>
      </c>
    </row>
    <row r="4216" spans="1:14">
      <c r="A4216" s="7">
        <f t="shared" si="5049"/>
        <v>30006</v>
      </c>
      <c r="B4216" s="8">
        <v>40000</v>
      </c>
      <c r="C4216" s="8" t="s">
        <v>132</v>
      </c>
      <c r="D4216" s="8">
        <v>50051055</v>
      </c>
      <c r="E4216" s="8" t="s">
        <v>161</v>
      </c>
      <c r="F4216" s="8">
        <v>1</v>
      </c>
      <c r="G4216" s="8">
        <f>3*INDEX([1]equip.xml!$I:$I,MATCH(D4216,[1]equip.xml!$A:$A,0))</f>
        <v>30000</v>
      </c>
      <c r="H4216" s="8" t="str">
        <f t="shared" ref="H4216:J4216" si="5059">H4128</f>
        <v>10_10,50_20,80_30</v>
      </c>
      <c r="I4216" s="8">
        <v>12</v>
      </c>
      <c r="J4216" s="8">
        <f t="shared" si="5059"/>
        <v>240</v>
      </c>
      <c r="K4216" s="7" t="s">
        <v>293</v>
      </c>
      <c r="L4216" s="8">
        <v>20</v>
      </c>
      <c r="M4216" s="7">
        <f>IF(INDEX([1]equip.xml!$B:$B,MATCH(D4216,[1]equip.xml!$A:$A,0))=0,0,N4216)</f>
        <v>200</v>
      </c>
      <c r="N4216" s="7">
        <f t="shared" si="5009"/>
        <v>200</v>
      </c>
    </row>
    <row r="4217" spans="1:14">
      <c r="A4217" s="7">
        <f t="shared" si="5049"/>
        <v>30006</v>
      </c>
      <c r="B4217" s="8">
        <v>40000</v>
      </c>
      <c r="C4217" s="8" t="s">
        <v>132</v>
      </c>
      <c r="D4217" s="8">
        <v>50051056</v>
      </c>
      <c r="E4217" s="8" t="s">
        <v>162</v>
      </c>
      <c r="F4217" s="8">
        <v>1</v>
      </c>
      <c r="G4217" s="8">
        <f>3*INDEX([1]equip.xml!$I:$I,MATCH(D4217,[1]equip.xml!$A:$A,0))</f>
        <v>48000</v>
      </c>
      <c r="H4217" s="8" t="str">
        <f t="shared" ref="H4217:J4217" si="5060">H4129</f>
        <v>10_10,50_20,80_30</v>
      </c>
      <c r="I4217" s="8">
        <v>12</v>
      </c>
      <c r="J4217" s="8">
        <f t="shared" si="5060"/>
        <v>240</v>
      </c>
      <c r="K4217" s="7" t="s">
        <v>293</v>
      </c>
      <c r="L4217" s="8">
        <v>20</v>
      </c>
      <c r="M4217" s="7">
        <f>IF(INDEX([1]equip.xml!$B:$B,MATCH(D4217,[1]equip.xml!$A:$A,0))=0,0,N4217)</f>
        <v>200</v>
      </c>
      <c r="N4217" s="7">
        <f t="shared" si="5009"/>
        <v>200</v>
      </c>
    </row>
    <row r="4218" spans="1:14">
      <c r="A4218" s="7">
        <f t="shared" si="5049"/>
        <v>30006</v>
      </c>
      <c r="B4218" s="8">
        <v>40000</v>
      </c>
      <c r="C4218" s="8" t="s">
        <v>132</v>
      </c>
      <c r="D4218" s="8">
        <v>50051065</v>
      </c>
      <c r="E4218" s="8" t="s">
        <v>163</v>
      </c>
      <c r="F4218" s="8">
        <v>1</v>
      </c>
      <c r="G4218" s="8">
        <f>3*INDEX([1]equip.xml!$I:$I,MATCH(D4218,[1]equip.xml!$A:$A,0))</f>
        <v>30000</v>
      </c>
      <c r="H4218" s="8" t="str">
        <f t="shared" ref="H4218:J4218" si="5061">H4130</f>
        <v>10_10,50_20,80_30</v>
      </c>
      <c r="I4218" s="8">
        <v>12</v>
      </c>
      <c r="J4218" s="8">
        <f t="shared" si="5061"/>
        <v>240</v>
      </c>
      <c r="K4218" s="7" t="s">
        <v>293</v>
      </c>
      <c r="L4218" s="8">
        <v>20</v>
      </c>
      <c r="M4218" s="7">
        <f>IF(INDEX([1]equip.xml!$B:$B,MATCH(D4218,[1]equip.xml!$A:$A,0))=0,0,N4218)</f>
        <v>200</v>
      </c>
      <c r="N4218" s="7">
        <f t="shared" si="5009"/>
        <v>200</v>
      </c>
    </row>
    <row r="4219" spans="1:14">
      <c r="A4219" s="7">
        <f t="shared" si="5049"/>
        <v>30006</v>
      </c>
      <c r="B4219" s="8">
        <v>40000</v>
      </c>
      <c r="C4219" s="8" t="s">
        <v>132</v>
      </c>
      <c r="D4219" s="8">
        <v>50051066</v>
      </c>
      <c r="E4219" s="8" t="s">
        <v>164</v>
      </c>
      <c r="F4219" s="8">
        <v>1</v>
      </c>
      <c r="G4219" s="8">
        <f>3*INDEX([1]equip.xml!$I:$I,MATCH(D4219,[1]equip.xml!$A:$A,0))</f>
        <v>48000</v>
      </c>
      <c r="H4219" s="8" t="str">
        <f t="shared" ref="H4219:J4219" si="5062">H4131</f>
        <v>10_10,50_20,80_30</v>
      </c>
      <c r="I4219" s="8">
        <v>12</v>
      </c>
      <c r="J4219" s="8">
        <f t="shared" si="5062"/>
        <v>240</v>
      </c>
      <c r="K4219" s="7" t="s">
        <v>293</v>
      </c>
      <c r="L4219" s="8">
        <v>20</v>
      </c>
      <c r="M4219" s="7">
        <f>IF(INDEX([1]equip.xml!$B:$B,MATCH(D4219,[1]equip.xml!$A:$A,0))=0,0,N4219)</f>
        <v>0</v>
      </c>
      <c r="N4219" s="7">
        <f t="shared" si="5009"/>
        <v>200</v>
      </c>
    </row>
    <row r="4220" spans="1:14">
      <c r="A4220" s="7">
        <f t="shared" si="5049"/>
        <v>30006</v>
      </c>
      <c r="B4220" s="8">
        <v>40000</v>
      </c>
      <c r="C4220" s="8" t="s">
        <v>132</v>
      </c>
      <c r="D4220" s="8">
        <v>50052055</v>
      </c>
      <c r="E4220" s="8" t="s">
        <v>165</v>
      </c>
      <c r="F4220" s="8">
        <v>1</v>
      </c>
      <c r="G4220" s="8">
        <f>3*INDEX([1]equip.xml!$I:$I,MATCH(D4220,[1]equip.xml!$A:$A,0))</f>
        <v>30000</v>
      </c>
      <c r="H4220" s="8" t="str">
        <f t="shared" ref="H4220:J4220" si="5063">H4132</f>
        <v>10_10,50_20,80_30</v>
      </c>
      <c r="I4220" s="8">
        <v>12</v>
      </c>
      <c r="J4220" s="8">
        <f t="shared" si="5063"/>
        <v>240</v>
      </c>
      <c r="K4220" s="7" t="s">
        <v>293</v>
      </c>
      <c r="L4220" s="8">
        <v>20</v>
      </c>
      <c r="M4220" s="7">
        <f>IF(INDEX([1]equip.xml!$B:$B,MATCH(D4220,[1]equip.xml!$A:$A,0))=0,0,N4220)</f>
        <v>200</v>
      </c>
      <c r="N4220" s="7">
        <f t="shared" si="5009"/>
        <v>200</v>
      </c>
    </row>
    <row r="4221" spans="1:14">
      <c r="A4221" s="7">
        <f t="shared" si="5049"/>
        <v>30006</v>
      </c>
      <c r="B4221" s="8">
        <v>40000</v>
      </c>
      <c r="C4221" s="8" t="s">
        <v>132</v>
      </c>
      <c r="D4221" s="8">
        <v>50052056</v>
      </c>
      <c r="E4221" s="8" t="s">
        <v>166</v>
      </c>
      <c r="F4221" s="8">
        <v>1</v>
      </c>
      <c r="G4221" s="8">
        <f>3*INDEX([1]equip.xml!$I:$I,MATCH(D4221,[1]equip.xml!$A:$A,0))</f>
        <v>48000</v>
      </c>
      <c r="H4221" s="8" t="str">
        <f t="shared" ref="H4221:J4221" si="5064">H4133</f>
        <v>10_10,50_20,80_30</v>
      </c>
      <c r="I4221" s="8">
        <v>12</v>
      </c>
      <c r="J4221" s="8">
        <f t="shared" si="5064"/>
        <v>240</v>
      </c>
      <c r="K4221" s="7" t="s">
        <v>293</v>
      </c>
      <c r="L4221" s="8">
        <v>20</v>
      </c>
      <c r="M4221" s="7">
        <f>IF(INDEX([1]equip.xml!$B:$B,MATCH(D4221,[1]equip.xml!$A:$A,0))=0,0,N4221)</f>
        <v>200</v>
      </c>
      <c r="N4221" s="7">
        <f t="shared" si="5009"/>
        <v>200</v>
      </c>
    </row>
    <row r="4222" spans="1:14">
      <c r="A4222" s="7">
        <f t="shared" si="5049"/>
        <v>30006</v>
      </c>
      <c r="B4222" s="8">
        <v>40000</v>
      </c>
      <c r="C4222" s="8" t="s">
        <v>132</v>
      </c>
      <c r="D4222" s="8">
        <v>50052065</v>
      </c>
      <c r="E4222" s="8" t="s">
        <v>167</v>
      </c>
      <c r="F4222" s="8">
        <v>1</v>
      </c>
      <c r="G4222" s="8">
        <f>3*INDEX([1]equip.xml!$I:$I,MATCH(D4222,[1]equip.xml!$A:$A,0))</f>
        <v>30000</v>
      </c>
      <c r="H4222" s="8" t="str">
        <f t="shared" ref="H4222:J4222" si="5065">H4134</f>
        <v>10_10,50_20,80_30</v>
      </c>
      <c r="I4222" s="8">
        <v>12</v>
      </c>
      <c r="J4222" s="8">
        <f t="shared" si="5065"/>
        <v>240</v>
      </c>
      <c r="K4222" s="7" t="s">
        <v>293</v>
      </c>
      <c r="L4222" s="8">
        <v>20</v>
      </c>
      <c r="M4222" s="7">
        <f>IF(INDEX([1]equip.xml!$B:$B,MATCH(D4222,[1]equip.xml!$A:$A,0))=0,0,N4222)</f>
        <v>200</v>
      </c>
      <c r="N4222" s="7">
        <f t="shared" si="5009"/>
        <v>200</v>
      </c>
    </row>
    <row r="4223" spans="1:14">
      <c r="A4223" s="7">
        <f t="shared" si="5049"/>
        <v>30006</v>
      </c>
      <c r="B4223" s="8">
        <v>40000</v>
      </c>
      <c r="C4223" s="8" t="s">
        <v>132</v>
      </c>
      <c r="D4223" s="8">
        <v>50052066</v>
      </c>
      <c r="E4223" s="8" t="s">
        <v>168</v>
      </c>
      <c r="F4223" s="8">
        <v>1</v>
      </c>
      <c r="G4223" s="8">
        <f>3*INDEX([1]equip.xml!$I:$I,MATCH(D4223,[1]equip.xml!$A:$A,0))</f>
        <v>48000</v>
      </c>
      <c r="H4223" s="8" t="str">
        <f t="shared" ref="H4223:J4223" si="5066">H4135</f>
        <v>10_10,50_20,80_30</v>
      </c>
      <c r="I4223" s="8">
        <v>12</v>
      </c>
      <c r="J4223" s="8">
        <f t="shared" si="5066"/>
        <v>240</v>
      </c>
      <c r="K4223" s="7" t="s">
        <v>293</v>
      </c>
      <c r="L4223" s="8">
        <v>20</v>
      </c>
      <c r="M4223" s="7">
        <f>IF(INDEX([1]equip.xml!$B:$B,MATCH(D4223,[1]equip.xml!$A:$A,0))=0,0,N4223)</f>
        <v>0</v>
      </c>
      <c r="N4223" s="7">
        <f t="shared" si="5009"/>
        <v>200</v>
      </c>
    </row>
    <row r="4224" spans="1:14">
      <c r="A4224" s="7">
        <f t="shared" si="5049"/>
        <v>30006</v>
      </c>
      <c r="B4224" s="8">
        <v>40000</v>
      </c>
      <c r="C4224" s="8" t="s">
        <v>132</v>
      </c>
      <c r="D4224" s="8">
        <v>50053055</v>
      </c>
      <c r="E4224" s="8" t="s">
        <v>169</v>
      </c>
      <c r="F4224" s="8">
        <v>1</v>
      </c>
      <c r="G4224" s="8">
        <f>3*INDEX([1]equip.xml!$I:$I,MATCH(D4224,[1]equip.xml!$A:$A,0))</f>
        <v>30000</v>
      </c>
      <c r="H4224" s="8" t="str">
        <f t="shared" ref="H4224:J4224" si="5067">H4136</f>
        <v>10_10,50_20,80_30</v>
      </c>
      <c r="I4224" s="8">
        <v>12</v>
      </c>
      <c r="J4224" s="8">
        <f t="shared" si="5067"/>
        <v>240</v>
      </c>
      <c r="K4224" s="7" t="s">
        <v>293</v>
      </c>
      <c r="L4224" s="8">
        <v>20</v>
      </c>
      <c r="M4224" s="7">
        <f>IF(INDEX([1]equip.xml!$B:$B,MATCH(D4224,[1]equip.xml!$A:$A,0))=0,0,N4224)</f>
        <v>200</v>
      </c>
      <c r="N4224" s="7">
        <f t="shared" si="5009"/>
        <v>200</v>
      </c>
    </row>
    <row r="4225" spans="1:14">
      <c r="A4225" s="7">
        <f t="shared" si="5049"/>
        <v>30006</v>
      </c>
      <c r="B4225" s="8">
        <v>40000</v>
      </c>
      <c r="C4225" s="8" t="s">
        <v>132</v>
      </c>
      <c r="D4225" s="8">
        <v>50053056</v>
      </c>
      <c r="E4225" s="8" t="s">
        <v>170</v>
      </c>
      <c r="F4225" s="8">
        <v>1</v>
      </c>
      <c r="G4225" s="8">
        <f>3*INDEX([1]equip.xml!$I:$I,MATCH(D4225,[1]equip.xml!$A:$A,0))</f>
        <v>48000</v>
      </c>
      <c r="H4225" s="8" t="str">
        <f t="shared" ref="H4225:J4225" si="5068">H4137</f>
        <v>10_10,50_20,80_30</v>
      </c>
      <c r="I4225" s="8">
        <v>12</v>
      </c>
      <c r="J4225" s="8">
        <f t="shared" si="5068"/>
        <v>240</v>
      </c>
      <c r="K4225" s="7" t="s">
        <v>293</v>
      </c>
      <c r="L4225" s="8">
        <v>20</v>
      </c>
      <c r="M4225" s="7">
        <f>IF(INDEX([1]equip.xml!$B:$B,MATCH(D4225,[1]equip.xml!$A:$A,0))=0,0,N4225)</f>
        <v>200</v>
      </c>
      <c r="N4225" s="7">
        <f t="shared" si="5009"/>
        <v>200</v>
      </c>
    </row>
    <row r="4226" spans="1:14">
      <c r="A4226" s="7">
        <f t="shared" si="5049"/>
        <v>30006</v>
      </c>
      <c r="B4226" s="8">
        <v>40000</v>
      </c>
      <c r="C4226" s="8" t="s">
        <v>132</v>
      </c>
      <c r="D4226" s="8">
        <v>50053065</v>
      </c>
      <c r="E4226" s="8" t="s">
        <v>171</v>
      </c>
      <c r="F4226" s="8">
        <v>1</v>
      </c>
      <c r="G4226" s="8">
        <f>3*INDEX([1]equip.xml!$I:$I,MATCH(D4226,[1]equip.xml!$A:$A,0))</f>
        <v>30000</v>
      </c>
      <c r="H4226" s="8" t="str">
        <f t="shared" ref="H4226:J4226" si="5069">H4138</f>
        <v>10_10,50_20,80_30</v>
      </c>
      <c r="I4226" s="8">
        <v>12</v>
      </c>
      <c r="J4226" s="8">
        <f t="shared" si="5069"/>
        <v>240</v>
      </c>
      <c r="K4226" s="7" t="s">
        <v>293</v>
      </c>
      <c r="L4226" s="8">
        <v>20</v>
      </c>
      <c r="M4226" s="7">
        <f>IF(INDEX([1]equip.xml!$B:$B,MATCH(D4226,[1]equip.xml!$A:$A,0))=0,0,N4226)</f>
        <v>200</v>
      </c>
      <c r="N4226" s="7">
        <f t="shared" si="5009"/>
        <v>200</v>
      </c>
    </row>
    <row r="4227" spans="1:14">
      <c r="A4227" s="7">
        <f t="shared" si="5049"/>
        <v>30006</v>
      </c>
      <c r="B4227" s="8">
        <v>40000</v>
      </c>
      <c r="C4227" s="8" t="s">
        <v>132</v>
      </c>
      <c r="D4227" s="8">
        <v>50053066</v>
      </c>
      <c r="E4227" s="8" t="s">
        <v>172</v>
      </c>
      <c r="F4227" s="8">
        <v>1</v>
      </c>
      <c r="G4227" s="8">
        <f>3*INDEX([1]equip.xml!$I:$I,MATCH(D4227,[1]equip.xml!$A:$A,0))</f>
        <v>48000</v>
      </c>
      <c r="H4227" s="8" t="str">
        <f t="shared" ref="H4227:J4227" si="5070">H4139</f>
        <v>10_10,50_20,80_30</v>
      </c>
      <c r="I4227" s="8">
        <v>12</v>
      </c>
      <c r="J4227" s="8">
        <f t="shared" si="5070"/>
        <v>240</v>
      </c>
      <c r="K4227" s="7" t="s">
        <v>293</v>
      </c>
      <c r="L4227" s="8">
        <v>20</v>
      </c>
      <c r="M4227" s="7">
        <f>IF(INDEX([1]equip.xml!$B:$B,MATCH(D4227,[1]equip.xml!$A:$A,0))=0,0,N4227)</f>
        <v>0</v>
      </c>
      <c r="N4227" s="7">
        <f t="shared" si="5009"/>
        <v>200</v>
      </c>
    </row>
    <row r="4228" spans="1:14">
      <c r="A4228" s="7">
        <f t="shared" si="5049"/>
        <v>30006</v>
      </c>
      <c r="B4228" s="8">
        <v>40000</v>
      </c>
      <c r="C4228" s="8" t="s">
        <v>132</v>
      </c>
      <c r="D4228" s="8">
        <v>50050045</v>
      </c>
      <c r="E4228" s="8" t="s">
        <v>173</v>
      </c>
      <c r="F4228" s="8">
        <v>1</v>
      </c>
      <c r="G4228" s="8">
        <f>3*INDEX([1]equip.xml!$I:$I,MATCH(D4228,[1]equip.xml!$A:$A,0))</f>
        <v>30000</v>
      </c>
      <c r="H4228" s="8" t="str">
        <f t="shared" ref="H4228:J4228" si="5071">H4140</f>
        <v>10_10,50_20,80_30</v>
      </c>
      <c r="I4228" s="8">
        <v>12</v>
      </c>
      <c r="J4228" s="8">
        <f t="shared" si="5071"/>
        <v>240</v>
      </c>
      <c r="K4228" s="7" t="s">
        <v>293</v>
      </c>
      <c r="L4228" s="8">
        <v>20</v>
      </c>
      <c r="M4228" s="7">
        <f>IF(INDEX([1]equip.xml!$B:$B,MATCH(D4228,[1]equip.xml!$A:$A,0))=0,0,N4228)</f>
        <v>200</v>
      </c>
      <c r="N4228" s="7">
        <f t="shared" si="5009"/>
        <v>200</v>
      </c>
    </row>
    <row r="4229" spans="1:14">
      <c r="A4229" s="7">
        <f t="shared" si="5049"/>
        <v>30006</v>
      </c>
      <c r="B4229" s="8">
        <v>40000</v>
      </c>
      <c r="C4229" s="8" t="s">
        <v>132</v>
      </c>
      <c r="D4229" s="8">
        <v>50050046</v>
      </c>
      <c r="E4229" s="8" t="s">
        <v>174</v>
      </c>
      <c r="F4229" s="8">
        <v>1</v>
      </c>
      <c r="G4229" s="8">
        <f>3*INDEX([1]equip.xml!$I:$I,MATCH(D4229,[1]equip.xml!$A:$A,0))</f>
        <v>48000</v>
      </c>
      <c r="H4229" s="8" t="str">
        <f t="shared" ref="H4229:J4229" si="5072">H4141</f>
        <v>10_10,50_20,80_30</v>
      </c>
      <c r="I4229" s="8">
        <v>12</v>
      </c>
      <c r="J4229" s="8">
        <f t="shared" si="5072"/>
        <v>240</v>
      </c>
      <c r="K4229" s="7" t="s">
        <v>293</v>
      </c>
      <c r="L4229" s="8">
        <v>20</v>
      </c>
      <c r="M4229" s="7">
        <f>IF(INDEX([1]equip.xml!$B:$B,MATCH(D4229,[1]equip.xml!$A:$A,0))=0,0,N4229)</f>
        <v>200</v>
      </c>
      <c r="N4229" s="7">
        <f t="shared" si="5009"/>
        <v>200</v>
      </c>
    </row>
    <row r="4230" spans="1:14">
      <c r="A4230" s="7">
        <f t="shared" si="5049"/>
        <v>30006</v>
      </c>
      <c r="B4230" s="8">
        <v>40000</v>
      </c>
      <c r="C4230" s="8" t="s">
        <v>132</v>
      </c>
      <c r="D4230" s="8">
        <v>50050075</v>
      </c>
      <c r="E4230" s="8" t="s">
        <v>175</v>
      </c>
      <c r="F4230" s="8">
        <v>1</v>
      </c>
      <c r="G4230" s="8">
        <f>3*INDEX([1]equip.xml!$I:$I,MATCH(D4230,[1]equip.xml!$A:$A,0))</f>
        <v>30000</v>
      </c>
      <c r="H4230" s="8" t="str">
        <f t="shared" ref="H4230:J4230" si="5073">H4142</f>
        <v>10_10,50_20,80_30</v>
      </c>
      <c r="I4230" s="8">
        <v>12</v>
      </c>
      <c r="J4230" s="8">
        <f t="shared" si="5073"/>
        <v>240</v>
      </c>
      <c r="K4230" s="7" t="s">
        <v>293</v>
      </c>
      <c r="L4230" s="8">
        <v>20</v>
      </c>
      <c r="M4230" s="7">
        <f>IF(INDEX([1]equip.xml!$B:$B,MATCH(D4230,[1]equip.xml!$A:$A,0))=0,0,N4230)</f>
        <v>200</v>
      </c>
      <c r="N4230" s="7">
        <f t="shared" si="5009"/>
        <v>200</v>
      </c>
    </row>
    <row r="4231" spans="1:14">
      <c r="A4231" s="7">
        <f t="shared" si="5049"/>
        <v>30006</v>
      </c>
      <c r="B4231" s="8">
        <v>40000</v>
      </c>
      <c r="C4231" s="8" t="s">
        <v>132</v>
      </c>
      <c r="D4231" s="8">
        <v>50050076</v>
      </c>
      <c r="E4231" s="8" t="s">
        <v>176</v>
      </c>
      <c r="F4231" s="8">
        <v>1</v>
      </c>
      <c r="G4231" s="8">
        <f>3*INDEX([1]equip.xml!$I:$I,MATCH(D4231,[1]equip.xml!$A:$A,0))</f>
        <v>48000</v>
      </c>
      <c r="H4231" s="8" t="str">
        <f t="shared" ref="H4231:J4231" si="5074">H4143</f>
        <v>10_10,50_20,80_30</v>
      </c>
      <c r="I4231" s="8">
        <v>12</v>
      </c>
      <c r="J4231" s="8">
        <f t="shared" si="5074"/>
        <v>240</v>
      </c>
      <c r="K4231" s="7" t="s">
        <v>293</v>
      </c>
      <c r="L4231" s="8">
        <v>20</v>
      </c>
      <c r="M4231" s="7">
        <f>IF(INDEX([1]equip.xml!$B:$B,MATCH(D4231,[1]equip.xml!$A:$A,0))=0,0,N4231)</f>
        <v>200</v>
      </c>
      <c r="N4231" s="7">
        <f t="shared" ref="N4231:N4294" si="5075">N4143</f>
        <v>200</v>
      </c>
    </row>
    <row r="4232" spans="1:14">
      <c r="A4232" s="7">
        <f t="shared" si="5049"/>
        <v>30006</v>
      </c>
      <c r="B4232" s="8">
        <v>40000</v>
      </c>
      <c r="C4232" s="8" t="s">
        <v>132</v>
      </c>
      <c r="D4232" s="8">
        <v>50100015</v>
      </c>
      <c r="E4232" s="8" t="s">
        <v>221</v>
      </c>
      <c r="F4232" s="8">
        <v>1</v>
      </c>
      <c r="G4232" s="8">
        <f>3*INDEX([1]equip.xml!$I:$I,MATCH(D4232,[1]equip.xml!$A:$A,0))</f>
        <v>60000</v>
      </c>
      <c r="H4232" s="8" t="str">
        <f t="shared" ref="H4232:J4232" si="5076">H4144</f>
        <v>10_10,50_20,80_30</v>
      </c>
      <c r="I4232" s="8">
        <v>12</v>
      </c>
      <c r="J4232" s="8">
        <f t="shared" si="5076"/>
        <v>240</v>
      </c>
      <c r="K4232" s="7" t="s">
        <v>293</v>
      </c>
      <c r="L4232" s="8">
        <v>20</v>
      </c>
      <c r="M4232" s="7">
        <f>IF(INDEX([1]equip.xml!$B:$B,MATCH(D4232,[1]equip.xml!$A:$A,0))=0,0,N4232)</f>
        <v>140</v>
      </c>
      <c r="N4232" s="7">
        <f t="shared" si="5075"/>
        <v>140</v>
      </c>
    </row>
    <row r="4233" spans="1:14">
      <c r="A4233" s="7">
        <f t="shared" si="5049"/>
        <v>30006</v>
      </c>
      <c r="B4233" s="8">
        <v>40000</v>
      </c>
      <c r="C4233" s="8" t="s">
        <v>132</v>
      </c>
      <c r="D4233" s="8">
        <v>50100025</v>
      </c>
      <c r="E4233" s="8" t="s">
        <v>222</v>
      </c>
      <c r="F4233" s="8">
        <v>1</v>
      </c>
      <c r="G4233" s="8">
        <f>3*INDEX([1]equip.xml!$I:$I,MATCH(D4233,[1]equip.xml!$A:$A,0))</f>
        <v>60000</v>
      </c>
      <c r="H4233" s="8" t="str">
        <f t="shared" ref="H4233:J4233" si="5077">H4145</f>
        <v>10_10,50_20,80_30</v>
      </c>
      <c r="I4233" s="8">
        <v>12</v>
      </c>
      <c r="J4233" s="8">
        <f t="shared" si="5077"/>
        <v>240</v>
      </c>
      <c r="K4233" s="7" t="s">
        <v>293</v>
      </c>
      <c r="L4233" s="8">
        <v>20</v>
      </c>
      <c r="M4233" s="7">
        <f>IF(INDEX([1]equip.xml!$B:$B,MATCH(D4233,[1]equip.xml!$A:$A,0))=0,0,N4233)</f>
        <v>140</v>
      </c>
      <c r="N4233" s="7">
        <f t="shared" si="5075"/>
        <v>140</v>
      </c>
    </row>
    <row r="4234" spans="1:14">
      <c r="A4234" s="7">
        <f t="shared" si="5049"/>
        <v>30006</v>
      </c>
      <c r="B4234" s="8">
        <v>40000</v>
      </c>
      <c r="C4234" s="8" t="s">
        <v>132</v>
      </c>
      <c r="D4234" s="8">
        <v>50100035</v>
      </c>
      <c r="E4234" s="8" t="s">
        <v>223</v>
      </c>
      <c r="F4234" s="8">
        <v>1</v>
      </c>
      <c r="G4234" s="8">
        <f>3*INDEX([1]equip.xml!$I:$I,MATCH(D4234,[1]equip.xml!$A:$A,0))</f>
        <v>60000</v>
      </c>
      <c r="H4234" s="8" t="str">
        <f t="shared" ref="H4234:J4234" si="5078">H4146</f>
        <v>10_10,50_20,80_30</v>
      </c>
      <c r="I4234" s="8">
        <v>12</v>
      </c>
      <c r="J4234" s="8">
        <f t="shared" si="5078"/>
        <v>240</v>
      </c>
      <c r="K4234" s="7" t="s">
        <v>293</v>
      </c>
      <c r="L4234" s="8">
        <v>20</v>
      </c>
      <c r="M4234" s="7">
        <f>IF(INDEX([1]equip.xml!$B:$B,MATCH(D4234,[1]equip.xml!$A:$A,0))=0,0,N4234)</f>
        <v>140</v>
      </c>
      <c r="N4234" s="7">
        <f t="shared" si="5075"/>
        <v>140</v>
      </c>
    </row>
    <row r="4235" spans="1:14">
      <c r="A4235" s="7">
        <f t="shared" si="5049"/>
        <v>30006</v>
      </c>
      <c r="B4235" s="8">
        <v>40000</v>
      </c>
      <c r="C4235" s="8" t="s">
        <v>132</v>
      </c>
      <c r="D4235" s="8">
        <v>50100085</v>
      </c>
      <c r="E4235" s="8" t="s">
        <v>224</v>
      </c>
      <c r="F4235" s="8">
        <v>1</v>
      </c>
      <c r="G4235" s="8">
        <f>3*INDEX([1]equip.xml!$I:$I,MATCH(D4235,[1]equip.xml!$A:$A,0))</f>
        <v>60000</v>
      </c>
      <c r="H4235" s="8" t="str">
        <f t="shared" ref="H4235:J4235" si="5079">H4147</f>
        <v>10_10,50_20,80_30</v>
      </c>
      <c r="I4235" s="8">
        <v>12</v>
      </c>
      <c r="J4235" s="8">
        <f t="shared" si="5079"/>
        <v>240</v>
      </c>
      <c r="K4235" s="7" t="s">
        <v>293</v>
      </c>
      <c r="L4235" s="8">
        <v>20</v>
      </c>
      <c r="M4235" s="7">
        <f>IF(INDEX([1]equip.xml!$B:$B,MATCH(D4235,[1]equip.xml!$A:$A,0))=0,0,N4235)</f>
        <v>140</v>
      </c>
      <c r="N4235" s="7">
        <f t="shared" si="5075"/>
        <v>140</v>
      </c>
    </row>
    <row r="4236" spans="1:14">
      <c r="A4236" s="7">
        <f t="shared" si="5049"/>
        <v>30006</v>
      </c>
      <c r="B4236" s="8">
        <v>40000</v>
      </c>
      <c r="C4236" s="8" t="s">
        <v>132</v>
      </c>
      <c r="D4236" s="8">
        <v>50100095</v>
      </c>
      <c r="E4236" s="8" t="s">
        <v>225</v>
      </c>
      <c r="F4236" s="8">
        <v>1</v>
      </c>
      <c r="G4236" s="8">
        <f>3*INDEX([1]equip.xml!$I:$I,MATCH(D4236,[1]equip.xml!$A:$A,0))</f>
        <v>60000</v>
      </c>
      <c r="H4236" s="8" t="str">
        <f t="shared" ref="H4236:J4236" si="5080">H4148</f>
        <v>10_10,50_20,80_30</v>
      </c>
      <c r="I4236" s="8">
        <v>12</v>
      </c>
      <c r="J4236" s="8">
        <f t="shared" si="5080"/>
        <v>240</v>
      </c>
      <c r="K4236" s="7" t="s">
        <v>293</v>
      </c>
      <c r="L4236" s="8">
        <v>20</v>
      </c>
      <c r="M4236" s="7">
        <f>IF(INDEX([1]equip.xml!$B:$B,MATCH(D4236,[1]equip.xml!$A:$A,0))=0,0,N4236)</f>
        <v>140</v>
      </c>
      <c r="N4236" s="7">
        <f t="shared" si="5075"/>
        <v>140</v>
      </c>
    </row>
    <row r="4237" spans="1:14">
      <c r="A4237" s="7">
        <f t="shared" si="5049"/>
        <v>30006</v>
      </c>
      <c r="B4237" s="8">
        <v>40000</v>
      </c>
      <c r="C4237" s="8" t="s">
        <v>132</v>
      </c>
      <c r="D4237" s="8">
        <v>50100105</v>
      </c>
      <c r="E4237" s="8" t="s">
        <v>226</v>
      </c>
      <c r="F4237" s="8">
        <v>1</v>
      </c>
      <c r="G4237" s="8">
        <f>3*INDEX([1]equip.xml!$I:$I,MATCH(D4237,[1]equip.xml!$A:$A,0))</f>
        <v>60000</v>
      </c>
      <c r="H4237" s="8" t="str">
        <f t="shared" ref="H4237:J4237" si="5081">H4149</f>
        <v>10_10,50_20,80_30</v>
      </c>
      <c r="I4237" s="8">
        <v>12</v>
      </c>
      <c r="J4237" s="8">
        <f t="shared" si="5081"/>
        <v>240</v>
      </c>
      <c r="K4237" s="7" t="s">
        <v>293</v>
      </c>
      <c r="L4237" s="8">
        <v>20</v>
      </c>
      <c r="M4237" s="7">
        <f>IF(INDEX([1]equip.xml!$B:$B,MATCH(D4237,[1]equip.xml!$A:$A,0))=0,0,N4237)</f>
        <v>0</v>
      </c>
      <c r="N4237" s="7">
        <f t="shared" si="5075"/>
        <v>140</v>
      </c>
    </row>
    <row r="4238" spans="1:14">
      <c r="A4238" s="7">
        <f t="shared" si="5049"/>
        <v>30006</v>
      </c>
      <c r="B4238" s="8">
        <v>40000</v>
      </c>
      <c r="C4238" s="8" t="s">
        <v>132</v>
      </c>
      <c r="D4238" s="8">
        <v>50101055</v>
      </c>
      <c r="E4238" s="8" t="s">
        <v>227</v>
      </c>
      <c r="F4238" s="8">
        <v>1</v>
      </c>
      <c r="G4238" s="8">
        <f>3*INDEX([1]equip.xml!$I:$I,MATCH(D4238,[1]equip.xml!$A:$A,0))</f>
        <v>60000</v>
      </c>
      <c r="H4238" s="8" t="str">
        <f t="shared" ref="H4238:J4238" si="5082">H4150</f>
        <v>10_10,50_20,80_30</v>
      </c>
      <c r="I4238" s="8">
        <v>12</v>
      </c>
      <c r="J4238" s="8">
        <f t="shared" si="5082"/>
        <v>240</v>
      </c>
      <c r="K4238" s="7" t="s">
        <v>293</v>
      </c>
      <c r="L4238" s="8">
        <v>20</v>
      </c>
      <c r="M4238" s="7">
        <f>IF(INDEX([1]equip.xml!$B:$B,MATCH(D4238,[1]equip.xml!$A:$A,0))=0,0,N4238)</f>
        <v>140</v>
      </c>
      <c r="N4238" s="7">
        <f t="shared" si="5075"/>
        <v>140</v>
      </c>
    </row>
    <row r="4239" spans="1:14">
      <c r="A4239" s="7">
        <f t="shared" si="5049"/>
        <v>30006</v>
      </c>
      <c r="B4239" s="8">
        <v>40000</v>
      </c>
      <c r="C4239" s="8" t="s">
        <v>132</v>
      </c>
      <c r="D4239" s="8">
        <v>50101056</v>
      </c>
      <c r="E4239" s="8" t="s">
        <v>228</v>
      </c>
      <c r="F4239" s="8">
        <v>1</v>
      </c>
      <c r="G4239" s="8">
        <f>3*INDEX([1]equip.xml!$I:$I,MATCH(D4239,[1]equip.xml!$A:$A,0))</f>
        <v>78000</v>
      </c>
      <c r="H4239" s="8" t="str">
        <f t="shared" ref="H4239:J4239" si="5083">H4151</f>
        <v>10_10,50_20,80_30</v>
      </c>
      <c r="I4239" s="8">
        <v>12</v>
      </c>
      <c r="J4239" s="8">
        <f t="shared" si="5083"/>
        <v>240</v>
      </c>
      <c r="K4239" s="7" t="s">
        <v>293</v>
      </c>
      <c r="L4239" s="8">
        <v>20</v>
      </c>
      <c r="M4239" s="7">
        <f>IF(INDEX([1]equip.xml!$B:$B,MATCH(D4239,[1]equip.xml!$A:$A,0))=0,0,N4239)</f>
        <v>140</v>
      </c>
      <c r="N4239" s="7">
        <f t="shared" si="5075"/>
        <v>140</v>
      </c>
    </row>
    <row r="4240" spans="1:14">
      <c r="A4240" s="7">
        <f t="shared" si="5049"/>
        <v>30006</v>
      </c>
      <c r="B4240" s="8">
        <v>40000</v>
      </c>
      <c r="C4240" s="8" t="s">
        <v>132</v>
      </c>
      <c r="D4240" s="8">
        <v>50101065</v>
      </c>
      <c r="E4240" s="8" t="s">
        <v>229</v>
      </c>
      <c r="F4240" s="8">
        <v>1</v>
      </c>
      <c r="G4240" s="8">
        <f>3*INDEX([1]equip.xml!$I:$I,MATCH(D4240,[1]equip.xml!$A:$A,0))</f>
        <v>60000</v>
      </c>
      <c r="H4240" s="8" t="str">
        <f t="shared" ref="H4240:J4240" si="5084">H4152</f>
        <v>10_10,50_20,80_30</v>
      </c>
      <c r="I4240" s="8">
        <v>12</v>
      </c>
      <c r="J4240" s="8">
        <f t="shared" si="5084"/>
        <v>240</v>
      </c>
      <c r="K4240" s="7" t="s">
        <v>293</v>
      </c>
      <c r="L4240" s="8">
        <v>20</v>
      </c>
      <c r="M4240" s="7">
        <f>IF(INDEX([1]equip.xml!$B:$B,MATCH(D4240,[1]equip.xml!$A:$A,0))=0,0,N4240)</f>
        <v>140</v>
      </c>
      <c r="N4240" s="7">
        <f t="shared" si="5075"/>
        <v>140</v>
      </c>
    </row>
    <row r="4241" spans="1:14">
      <c r="A4241" s="7">
        <f t="shared" si="5049"/>
        <v>30006</v>
      </c>
      <c r="B4241" s="8">
        <v>40000</v>
      </c>
      <c r="C4241" s="8" t="s">
        <v>132</v>
      </c>
      <c r="D4241" s="8">
        <v>50101066</v>
      </c>
      <c r="E4241" s="8" t="s">
        <v>230</v>
      </c>
      <c r="F4241" s="8">
        <v>1</v>
      </c>
      <c r="G4241" s="8">
        <f>3*INDEX([1]equip.xml!$I:$I,MATCH(D4241,[1]equip.xml!$A:$A,0))</f>
        <v>78000</v>
      </c>
      <c r="H4241" s="8" t="str">
        <f t="shared" ref="H4241:J4241" si="5085">H4153</f>
        <v>10_10,50_20,80_30</v>
      </c>
      <c r="I4241" s="8">
        <v>12</v>
      </c>
      <c r="J4241" s="8">
        <f t="shared" si="5085"/>
        <v>240</v>
      </c>
      <c r="K4241" s="7" t="s">
        <v>293</v>
      </c>
      <c r="L4241" s="8">
        <v>20</v>
      </c>
      <c r="M4241" s="7">
        <f>IF(INDEX([1]equip.xml!$B:$B,MATCH(D4241,[1]equip.xml!$A:$A,0))=0,0,N4241)</f>
        <v>0</v>
      </c>
      <c r="N4241" s="7">
        <f t="shared" si="5075"/>
        <v>140</v>
      </c>
    </row>
    <row r="4242" spans="1:14">
      <c r="A4242" s="7">
        <f t="shared" si="5049"/>
        <v>30006</v>
      </c>
      <c r="B4242" s="8">
        <v>40000</v>
      </c>
      <c r="C4242" s="8" t="s">
        <v>132</v>
      </c>
      <c r="D4242" s="8">
        <v>50102055</v>
      </c>
      <c r="E4242" s="8" t="s">
        <v>231</v>
      </c>
      <c r="F4242" s="8">
        <v>1</v>
      </c>
      <c r="G4242" s="8">
        <f>3*INDEX([1]equip.xml!$I:$I,MATCH(D4242,[1]equip.xml!$A:$A,0))</f>
        <v>60000</v>
      </c>
      <c r="H4242" s="8" t="str">
        <f t="shared" ref="H4242:J4242" si="5086">H4154</f>
        <v>10_10,50_20,80_30</v>
      </c>
      <c r="I4242" s="8">
        <v>12</v>
      </c>
      <c r="J4242" s="8">
        <f t="shared" si="5086"/>
        <v>240</v>
      </c>
      <c r="K4242" s="7" t="s">
        <v>293</v>
      </c>
      <c r="L4242" s="8">
        <v>20</v>
      </c>
      <c r="M4242" s="7">
        <f>IF(INDEX([1]equip.xml!$B:$B,MATCH(D4242,[1]equip.xml!$A:$A,0))=0,0,N4242)</f>
        <v>140</v>
      </c>
      <c r="N4242" s="7">
        <f t="shared" si="5075"/>
        <v>140</v>
      </c>
    </row>
    <row r="4243" spans="1:14">
      <c r="A4243" s="7">
        <f t="shared" si="5049"/>
        <v>30006</v>
      </c>
      <c r="B4243" s="8">
        <v>40000</v>
      </c>
      <c r="C4243" s="8" t="s">
        <v>132</v>
      </c>
      <c r="D4243" s="8">
        <v>50102056</v>
      </c>
      <c r="E4243" s="8" t="s">
        <v>232</v>
      </c>
      <c r="F4243" s="8">
        <v>1</v>
      </c>
      <c r="G4243" s="8">
        <f>3*INDEX([1]equip.xml!$I:$I,MATCH(D4243,[1]equip.xml!$A:$A,0))</f>
        <v>78000</v>
      </c>
      <c r="H4243" s="8" t="str">
        <f t="shared" ref="H4243:J4243" si="5087">H4155</f>
        <v>10_10,50_20,80_30</v>
      </c>
      <c r="I4243" s="8">
        <v>12</v>
      </c>
      <c r="J4243" s="8">
        <f t="shared" si="5087"/>
        <v>240</v>
      </c>
      <c r="K4243" s="7" t="s">
        <v>293</v>
      </c>
      <c r="L4243" s="8">
        <v>20</v>
      </c>
      <c r="M4243" s="7">
        <f>IF(INDEX([1]equip.xml!$B:$B,MATCH(D4243,[1]equip.xml!$A:$A,0))=0,0,N4243)</f>
        <v>140</v>
      </c>
      <c r="N4243" s="7">
        <f t="shared" si="5075"/>
        <v>140</v>
      </c>
    </row>
    <row r="4244" spans="1:14">
      <c r="A4244" s="7">
        <f t="shared" si="5049"/>
        <v>30006</v>
      </c>
      <c r="B4244" s="8">
        <v>40000</v>
      </c>
      <c r="C4244" s="8" t="s">
        <v>132</v>
      </c>
      <c r="D4244" s="8">
        <v>50102065</v>
      </c>
      <c r="E4244" s="8" t="s">
        <v>233</v>
      </c>
      <c r="F4244" s="8">
        <v>1</v>
      </c>
      <c r="G4244" s="8">
        <f>3*INDEX([1]equip.xml!$I:$I,MATCH(D4244,[1]equip.xml!$A:$A,0))</f>
        <v>60000</v>
      </c>
      <c r="H4244" s="8" t="str">
        <f t="shared" ref="H4244:J4244" si="5088">H4156</f>
        <v>10_10,50_20,80_30</v>
      </c>
      <c r="I4244" s="8">
        <v>12</v>
      </c>
      <c r="J4244" s="8">
        <f t="shared" si="5088"/>
        <v>240</v>
      </c>
      <c r="K4244" s="7" t="s">
        <v>293</v>
      </c>
      <c r="L4244" s="8">
        <v>20</v>
      </c>
      <c r="M4244" s="7">
        <f>IF(INDEX([1]equip.xml!$B:$B,MATCH(D4244,[1]equip.xml!$A:$A,0))=0,0,N4244)</f>
        <v>140</v>
      </c>
      <c r="N4244" s="7">
        <f t="shared" si="5075"/>
        <v>140</v>
      </c>
    </row>
    <row r="4245" spans="1:14">
      <c r="A4245" s="7">
        <f t="shared" si="5049"/>
        <v>30006</v>
      </c>
      <c r="B4245" s="8">
        <v>40000</v>
      </c>
      <c r="C4245" s="8" t="s">
        <v>132</v>
      </c>
      <c r="D4245" s="8">
        <v>50102066</v>
      </c>
      <c r="E4245" s="8" t="s">
        <v>234</v>
      </c>
      <c r="F4245" s="8">
        <v>1</v>
      </c>
      <c r="G4245" s="8">
        <f>3*INDEX([1]equip.xml!$I:$I,MATCH(D4245,[1]equip.xml!$A:$A,0))</f>
        <v>78000</v>
      </c>
      <c r="H4245" s="8" t="str">
        <f t="shared" ref="H4245:J4245" si="5089">H4157</f>
        <v>10_10,50_20,80_30</v>
      </c>
      <c r="I4245" s="8">
        <v>12</v>
      </c>
      <c r="J4245" s="8">
        <f t="shared" si="5089"/>
        <v>240</v>
      </c>
      <c r="K4245" s="7" t="s">
        <v>293</v>
      </c>
      <c r="L4245" s="8">
        <v>20</v>
      </c>
      <c r="M4245" s="7">
        <f>IF(INDEX([1]equip.xml!$B:$B,MATCH(D4245,[1]equip.xml!$A:$A,0))=0,0,N4245)</f>
        <v>0</v>
      </c>
      <c r="N4245" s="7">
        <f t="shared" si="5075"/>
        <v>140</v>
      </c>
    </row>
    <row r="4246" spans="1:14">
      <c r="A4246" s="7">
        <f t="shared" si="5049"/>
        <v>30006</v>
      </c>
      <c r="B4246" s="8">
        <v>40000</v>
      </c>
      <c r="C4246" s="8" t="s">
        <v>132</v>
      </c>
      <c r="D4246" s="8">
        <v>50103055</v>
      </c>
      <c r="E4246" s="8" t="s">
        <v>235</v>
      </c>
      <c r="F4246" s="8">
        <v>1</v>
      </c>
      <c r="G4246" s="8">
        <f>3*INDEX([1]equip.xml!$I:$I,MATCH(D4246,[1]equip.xml!$A:$A,0))</f>
        <v>60000</v>
      </c>
      <c r="H4246" s="8" t="str">
        <f t="shared" ref="H4246:J4246" si="5090">H4158</f>
        <v>10_10,50_20,80_30</v>
      </c>
      <c r="I4246" s="8">
        <v>12</v>
      </c>
      <c r="J4246" s="8">
        <f t="shared" si="5090"/>
        <v>240</v>
      </c>
      <c r="K4246" s="7" t="s">
        <v>293</v>
      </c>
      <c r="L4246" s="8">
        <v>20</v>
      </c>
      <c r="M4246" s="7">
        <f>IF(INDEX([1]equip.xml!$B:$B,MATCH(D4246,[1]equip.xml!$A:$A,0))=0,0,N4246)</f>
        <v>140</v>
      </c>
      <c r="N4246" s="7">
        <f t="shared" si="5075"/>
        <v>140</v>
      </c>
    </row>
    <row r="4247" spans="1:14">
      <c r="A4247" s="7">
        <f t="shared" si="5049"/>
        <v>30006</v>
      </c>
      <c r="B4247" s="8">
        <v>40000</v>
      </c>
      <c r="C4247" s="8" t="s">
        <v>132</v>
      </c>
      <c r="D4247" s="8">
        <v>50103056</v>
      </c>
      <c r="E4247" s="8" t="s">
        <v>236</v>
      </c>
      <c r="F4247" s="8">
        <v>1</v>
      </c>
      <c r="G4247" s="8">
        <f>3*INDEX([1]equip.xml!$I:$I,MATCH(D4247,[1]equip.xml!$A:$A,0))</f>
        <v>78000</v>
      </c>
      <c r="H4247" s="8" t="str">
        <f t="shared" ref="H4247:J4247" si="5091">H4159</f>
        <v>10_10,50_20,80_30</v>
      </c>
      <c r="I4247" s="8">
        <v>12</v>
      </c>
      <c r="J4247" s="8">
        <f t="shared" si="5091"/>
        <v>240</v>
      </c>
      <c r="K4247" s="7" t="s">
        <v>293</v>
      </c>
      <c r="L4247" s="8">
        <v>20</v>
      </c>
      <c r="M4247" s="7">
        <f>IF(INDEX([1]equip.xml!$B:$B,MATCH(D4247,[1]equip.xml!$A:$A,0))=0,0,N4247)</f>
        <v>140</v>
      </c>
      <c r="N4247" s="7">
        <f t="shared" si="5075"/>
        <v>140</v>
      </c>
    </row>
    <row r="4248" spans="1:14">
      <c r="A4248" s="7">
        <f t="shared" si="5049"/>
        <v>30006</v>
      </c>
      <c r="B4248" s="8">
        <v>40000</v>
      </c>
      <c r="C4248" s="8" t="s">
        <v>132</v>
      </c>
      <c r="D4248" s="8">
        <v>50103065</v>
      </c>
      <c r="E4248" s="8" t="s">
        <v>237</v>
      </c>
      <c r="F4248" s="8">
        <v>1</v>
      </c>
      <c r="G4248" s="8">
        <f>3*INDEX([1]equip.xml!$I:$I,MATCH(D4248,[1]equip.xml!$A:$A,0))</f>
        <v>60000</v>
      </c>
      <c r="H4248" s="8" t="str">
        <f t="shared" ref="H4248:J4248" si="5092">H4160</f>
        <v>10_10,50_20,80_30</v>
      </c>
      <c r="I4248" s="8">
        <v>12</v>
      </c>
      <c r="J4248" s="8">
        <f t="shared" si="5092"/>
        <v>240</v>
      </c>
      <c r="K4248" s="7" t="s">
        <v>293</v>
      </c>
      <c r="L4248" s="8">
        <v>20</v>
      </c>
      <c r="M4248" s="7">
        <f>IF(INDEX([1]equip.xml!$B:$B,MATCH(D4248,[1]equip.xml!$A:$A,0))=0,0,N4248)</f>
        <v>140</v>
      </c>
      <c r="N4248" s="7">
        <f t="shared" si="5075"/>
        <v>140</v>
      </c>
    </row>
    <row r="4249" spans="1:14">
      <c r="A4249" s="7">
        <f t="shared" si="5049"/>
        <v>30006</v>
      </c>
      <c r="B4249" s="8">
        <v>40000</v>
      </c>
      <c r="C4249" s="8" t="s">
        <v>132</v>
      </c>
      <c r="D4249" s="8">
        <v>50103066</v>
      </c>
      <c r="E4249" s="8" t="s">
        <v>238</v>
      </c>
      <c r="F4249" s="8">
        <v>1</v>
      </c>
      <c r="G4249" s="8">
        <f>3*INDEX([1]equip.xml!$I:$I,MATCH(D4249,[1]equip.xml!$A:$A,0))</f>
        <v>78000</v>
      </c>
      <c r="H4249" s="8" t="str">
        <f t="shared" ref="H4249:J4249" si="5093">H4161</f>
        <v>10_10,50_20,80_30</v>
      </c>
      <c r="I4249" s="8">
        <v>12</v>
      </c>
      <c r="J4249" s="8">
        <f t="shared" si="5093"/>
        <v>240</v>
      </c>
      <c r="K4249" s="7" t="s">
        <v>293</v>
      </c>
      <c r="L4249" s="8">
        <v>20</v>
      </c>
      <c r="M4249" s="7">
        <f>IF(INDEX([1]equip.xml!$B:$B,MATCH(D4249,[1]equip.xml!$A:$A,0))=0,0,N4249)</f>
        <v>0</v>
      </c>
      <c r="N4249" s="7">
        <f t="shared" si="5075"/>
        <v>140</v>
      </c>
    </row>
    <row r="4250" spans="1:14">
      <c r="A4250" s="7">
        <f t="shared" si="5049"/>
        <v>30006</v>
      </c>
      <c r="B4250" s="8">
        <v>40000</v>
      </c>
      <c r="C4250" s="8" t="s">
        <v>132</v>
      </c>
      <c r="D4250" s="8">
        <v>50100045</v>
      </c>
      <c r="E4250" s="8" t="s">
        <v>239</v>
      </c>
      <c r="F4250" s="8">
        <v>1</v>
      </c>
      <c r="G4250" s="8">
        <f>3*INDEX([1]equip.xml!$I:$I,MATCH(D4250,[1]equip.xml!$A:$A,0))</f>
        <v>60000</v>
      </c>
      <c r="H4250" s="8" t="str">
        <f t="shared" ref="H4250:J4250" si="5094">H4162</f>
        <v>10_10,50_20,80_30</v>
      </c>
      <c r="I4250" s="8">
        <v>12</v>
      </c>
      <c r="J4250" s="8">
        <f t="shared" si="5094"/>
        <v>240</v>
      </c>
      <c r="K4250" s="7" t="s">
        <v>293</v>
      </c>
      <c r="L4250" s="8">
        <v>20</v>
      </c>
      <c r="M4250" s="7">
        <f>IF(INDEX([1]equip.xml!$B:$B,MATCH(D4250,[1]equip.xml!$A:$A,0))=0,0,N4250)</f>
        <v>140</v>
      </c>
      <c r="N4250" s="7">
        <f t="shared" si="5075"/>
        <v>140</v>
      </c>
    </row>
    <row r="4251" spans="1:14">
      <c r="A4251" s="7">
        <f t="shared" si="5049"/>
        <v>30006</v>
      </c>
      <c r="B4251" s="8">
        <v>40000</v>
      </c>
      <c r="C4251" s="8" t="s">
        <v>132</v>
      </c>
      <c r="D4251" s="8">
        <v>50100046</v>
      </c>
      <c r="E4251" s="8" t="s">
        <v>240</v>
      </c>
      <c r="F4251" s="8">
        <v>1</v>
      </c>
      <c r="G4251" s="8">
        <f>3*INDEX([1]equip.xml!$I:$I,MATCH(D4251,[1]equip.xml!$A:$A,0))</f>
        <v>78000</v>
      </c>
      <c r="H4251" s="8" t="str">
        <f t="shared" ref="H4251:J4251" si="5095">H4163</f>
        <v>10_10,50_20,80_30</v>
      </c>
      <c r="I4251" s="8">
        <v>12</v>
      </c>
      <c r="J4251" s="8">
        <f t="shared" si="5095"/>
        <v>240</v>
      </c>
      <c r="K4251" s="7" t="s">
        <v>293</v>
      </c>
      <c r="L4251" s="8">
        <v>20</v>
      </c>
      <c r="M4251" s="7">
        <f>IF(INDEX([1]equip.xml!$B:$B,MATCH(D4251,[1]equip.xml!$A:$A,0))=0,0,N4251)</f>
        <v>0</v>
      </c>
      <c r="N4251" s="7">
        <f t="shared" si="5075"/>
        <v>140</v>
      </c>
    </row>
    <row r="4252" spans="1:14">
      <c r="A4252" s="7">
        <f t="shared" si="5049"/>
        <v>30006</v>
      </c>
      <c r="B4252" s="8">
        <v>40000</v>
      </c>
      <c r="C4252" s="8" t="s">
        <v>132</v>
      </c>
      <c r="D4252" s="8">
        <v>50100075</v>
      </c>
      <c r="E4252" s="8" t="s">
        <v>241</v>
      </c>
      <c r="F4252" s="8">
        <v>1</v>
      </c>
      <c r="G4252" s="8">
        <f>3*INDEX([1]equip.xml!$I:$I,MATCH(D4252,[1]equip.xml!$A:$A,0))</f>
        <v>60000</v>
      </c>
      <c r="H4252" s="8" t="str">
        <f t="shared" ref="H4252:J4252" si="5096">H4164</f>
        <v>10_10,50_20,80_30</v>
      </c>
      <c r="I4252" s="8">
        <v>12</v>
      </c>
      <c r="J4252" s="8">
        <f t="shared" si="5096"/>
        <v>240</v>
      </c>
      <c r="K4252" s="7" t="s">
        <v>293</v>
      </c>
      <c r="L4252" s="8">
        <v>20</v>
      </c>
      <c r="M4252" s="7">
        <f>IF(INDEX([1]equip.xml!$B:$B,MATCH(D4252,[1]equip.xml!$A:$A,0))=0,0,N4252)</f>
        <v>140</v>
      </c>
      <c r="N4252" s="7">
        <f t="shared" si="5075"/>
        <v>140</v>
      </c>
    </row>
    <row r="4253" spans="1:14">
      <c r="A4253" s="7">
        <f t="shared" si="5049"/>
        <v>30006</v>
      </c>
      <c r="B4253" s="8">
        <v>40000</v>
      </c>
      <c r="C4253" s="8" t="s">
        <v>132</v>
      </c>
      <c r="D4253" s="8">
        <v>50100076</v>
      </c>
      <c r="E4253" s="8" t="s">
        <v>242</v>
      </c>
      <c r="F4253" s="8">
        <v>1</v>
      </c>
      <c r="G4253" s="8">
        <f>3*INDEX([1]equip.xml!$I:$I,MATCH(D4253,[1]equip.xml!$A:$A,0))</f>
        <v>78000</v>
      </c>
      <c r="H4253" s="8" t="str">
        <f t="shared" ref="H4253:J4253" si="5097">H4165</f>
        <v>10_10,50_20,80_30</v>
      </c>
      <c r="I4253" s="8">
        <v>12</v>
      </c>
      <c r="J4253" s="8">
        <f t="shared" si="5097"/>
        <v>240</v>
      </c>
      <c r="K4253" s="7" t="s">
        <v>293</v>
      </c>
      <c r="L4253" s="8">
        <v>20</v>
      </c>
      <c r="M4253" s="7">
        <f>IF(INDEX([1]equip.xml!$B:$B,MATCH(D4253,[1]equip.xml!$A:$A,0))=0,0,N4253)</f>
        <v>0</v>
      </c>
      <c r="N4253" s="7">
        <f t="shared" si="5075"/>
        <v>140</v>
      </c>
    </row>
    <row r="4254" spans="1:14">
      <c r="A4254" s="7">
        <f t="shared" si="5049"/>
        <v>30007</v>
      </c>
      <c r="B4254" s="7">
        <f>B4166</f>
        <v>40000</v>
      </c>
      <c r="C4254" s="7" t="str">
        <f>C4166</f>
        <v>装备</v>
      </c>
      <c r="D4254" s="7" t="s">
        <v>177</v>
      </c>
      <c r="E4254" s="7"/>
      <c r="F4254" s="7">
        <v>1</v>
      </c>
      <c r="G4254" s="7">
        <f>3*INDEX([1]equip.xml!$I:$I,MATCH(D4254&amp;"",[1]equip.xml!$A:$A,0))</f>
        <v>30000</v>
      </c>
      <c r="H4254" s="7" t="str">
        <f t="shared" ref="H4254:J4254" si="5098">H4166</f>
        <v>10_10,50_20,80_30</v>
      </c>
      <c r="I4254" s="7">
        <v>11</v>
      </c>
      <c r="J4254" s="7">
        <f t="shared" si="5098"/>
        <v>50</v>
      </c>
      <c r="K4254" s="7" t="s">
        <v>293</v>
      </c>
      <c r="L4254" s="7">
        <v>22</v>
      </c>
      <c r="M4254" s="7">
        <f>IF(INDEX([1]equip.xml!$B:$B,MATCH(D4254&amp;"",[1]equip.xml!$A:$A,0))=0,0,N4254)</f>
        <v>100</v>
      </c>
      <c r="N4254" s="7">
        <f t="shared" si="5075"/>
        <v>100</v>
      </c>
    </row>
    <row r="4255" spans="1:14">
      <c r="A4255" s="7">
        <f t="shared" si="5049"/>
        <v>30007</v>
      </c>
      <c r="B4255" s="7">
        <f t="shared" ref="B4255:C4255" si="5099">B4167</f>
        <v>40000</v>
      </c>
      <c r="C4255" s="7" t="str">
        <f t="shared" si="5099"/>
        <v>装备</v>
      </c>
      <c r="D4255" s="7" t="s">
        <v>179</v>
      </c>
      <c r="E4255" s="7"/>
      <c r="F4255" s="7">
        <v>1</v>
      </c>
      <c r="G4255" s="7">
        <f>3*INDEX([1]equip.xml!$I:$I,MATCH(D4255&amp;"",[1]equip.xml!$A:$A,0))</f>
        <v>30000</v>
      </c>
      <c r="H4255" s="7" t="str">
        <f t="shared" ref="H4255:J4255" si="5100">H4167</f>
        <v>10_10,50_20,80_30</v>
      </c>
      <c r="I4255" s="7">
        <v>11</v>
      </c>
      <c r="J4255" s="7">
        <f t="shared" si="5100"/>
        <v>50</v>
      </c>
      <c r="K4255" s="7" t="s">
        <v>293</v>
      </c>
      <c r="L4255" s="7">
        <v>22</v>
      </c>
      <c r="M4255" s="7">
        <f>IF(INDEX([1]equip.xml!$B:$B,MATCH(D4255&amp;"",[1]equip.xml!$A:$A,0))=0,0,N4255)</f>
        <v>100</v>
      </c>
      <c r="N4255" s="7">
        <f t="shared" si="5075"/>
        <v>100</v>
      </c>
    </row>
    <row r="4256" spans="1:14">
      <c r="A4256" s="7">
        <f t="shared" si="5049"/>
        <v>30007</v>
      </c>
      <c r="B4256" s="7">
        <f t="shared" ref="B4256:C4256" si="5101">B4168</f>
        <v>40000</v>
      </c>
      <c r="C4256" s="7" t="str">
        <f t="shared" si="5101"/>
        <v>装备</v>
      </c>
      <c r="D4256" s="7" t="s">
        <v>181</v>
      </c>
      <c r="E4256" s="7"/>
      <c r="F4256" s="7">
        <v>1</v>
      </c>
      <c r="G4256" s="7">
        <f>3*INDEX([1]equip.xml!$I:$I,MATCH(D4256&amp;"",[1]equip.xml!$A:$A,0))</f>
        <v>30000</v>
      </c>
      <c r="H4256" s="7" t="str">
        <f t="shared" ref="H4256:J4256" si="5102">H4168</f>
        <v>10_10,50_20,80_30</v>
      </c>
      <c r="I4256" s="7">
        <v>11</v>
      </c>
      <c r="J4256" s="7">
        <f t="shared" si="5102"/>
        <v>50</v>
      </c>
      <c r="K4256" s="7" t="s">
        <v>293</v>
      </c>
      <c r="L4256" s="7">
        <v>22</v>
      </c>
      <c r="M4256" s="7">
        <f>IF(INDEX([1]equip.xml!$B:$B,MATCH(D4256&amp;"",[1]equip.xml!$A:$A,0))=0,0,N4256)</f>
        <v>100</v>
      </c>
      <c r="N4256" s="7">
        <f t="shared" si="5075"/>
        <v>100</v>
      </c>
    </row>
    <row r="4257" spans="1:14">
      <c r="A4257" s="7">
        <f t="shared" si="5049"/>
        <v>30007</v>
      </c>
      <c r="B4257" s="7">
        <f t="shared" ref="B4257:C4257" si="5103">B4169</f>
        <v>40000</v>
      </c>
      <c r="C4257" s="7" t="str">
        <f t="shared" si="5103"/>
        <v>装备</v>
      </c>
      <c r="D4257" s="7" t="s">
        <v>183</v>
      </c>
      <c r="E4257" s="7"/>
      <c r="F4257" s="7">
        <v>1</v>
      </c>
      <c r="G4257" s="7">
        <f>3*INDEX([1]equip.xml!$I:$I,MATCH(D4257&amp;"",[1]equip.xml!$A:$A,0))</f>
        <v>30000</v>
      </c>
      <c r="H4257" s="7" t="str">
        <f t="shared" ref="H4257:J4257" si="5104">H4169</f>
        <v>10_10,50_20,80_30</v>
      </c>
      <c r="I4257" s="7">
        <v>11</v>
      </c>
      <c r="J4257" s="7">
        <f t="shared" si="5104"/>
        <v>50</v>
      </c>
      <c r="K4257" s="7" t="s">
        <v>293</v>
      </c>
      <c r="L4257" s="7">
        <v>22</v>
      </c>
      <c r="M4257" s="7">
        <f>IF(INDEX([1]equip.xml!$B:$B,MATCH(D4257&amp;"",[1]equip.xml!$A:$A,0))=0,0,N4257)</f>
        <v>100</v>
      </c>
      <c r="N4257" s="7">
        <f t="shared" si="5075"/>
        <v>100</v>
      </c>
    </row>
    <row r="4258" spans="1:14">
      <c r="A4258" s="7">
        <f t="shared" si="5049"/>
        <v>30007</v>
      </c>
      <c r="B4258" s="7">
        <f t="shared" ref="B4258:C4258" si="5105">B4170</f>
        <v>40000</v>
      </c>
      <c r="C4258" s="7" t="str">
        <f t="shared" si="5105"/>
        <v>装备</v>
      </c>
      <c r="D4258" s="7" t="s">
        <v>185</v>
      </c>
      <c r="E4258" s="7"/>
      <c r="F4258" s="7">
        <v>1</v>
      </c>
      <c r="G4258" s="7">
        <f>3*INDEX([1]equip.xml!$I:$I,MATCH(D4258&amp;"",[1]equip.xml!$A:$A,0))</f>
        <v>30000</v>
      </c>
      <c r="H4258" s="7" t="str">
        <f t="shared" ref="H4258:J4258" si="5106">H4170</f>
        <v>10_10,50_20,80_30</v>
      </c>
      <c r="I4258" s="7">
        <v>11</v>
      </c>
      <c r="J4258" s="7">
        <f t="shared" si="5106"/>
        <v>50</v>
      </c>
      <c r="K4258" s="7" t="s">
        <v>293</v>
      </c>
      <c r="L4258" s="7">
        <v>22</v>
      </c>
      <c r="M4258" s="7">
        <f>IF(INDEX([1]equip.xml!$B:$B,MATCH(D4258&amp;"",[1]equip.xml!$A:$A,0))=0,0,N4258)</f>
        <v>100</v>
      </c>
      <c r="N4258" s="7">
        <f t="shared" si="5075"/>
        <v>100</v>
      </c>
    </row>
    <row r="4259" spans="1:14">
      <c r="A4259" s="7">
        <f t="shared" si="5049"/>
        <v>30007</v>
      </c>
      <c r="B4259" s="7">
        <f t="shared" ref="B4259:C4259" si="5107">B4171</f>
        <v>40000</v>
      </c>
      <c r="C4259" s="7" t="str">
        <f t="shared" si="5107"/>
        <v>装备</v>
      </c>
      <c r="D4259" s="7" t="s">
        <v>187</v>
      </c>
      <c r="E4259" s="7"/>
      <c r="F4259" s="7">
        <v>1</v>
      </c>
      <c r="G4259" s="7">
        <f>3*INDEX([1]equip.xml!$I:$I,MATCH(D4259&amp;"",[1]equip.xml!$A:$A,0))</f>
        <v>30000</v>
      </c>
      <c r="H4259" s="7" t="str">
        <f t="shared" ref="H4259:J4259" si="5108">H4171</f>
        <v>10_10,50_20,80_30</v>
      </c>
      <c r="I4259" s="7">
        <v>11</v>
      </c>
      <c r="J4259" s="7">
        <f t="shared" si="5108"/>
        <v>50</v>
      </c>
      <c r="K4259" s="7" t="s">
        <v>293</v>
      </c>
      <c r="L4259" s="7">
        <v>22</v>
      </c>
      <c r="M4259" s="7">
        <f>IF(INDEX([1]equip.xml!$B:$B,MATCH(D4259&amp;"",[1]equip.xml!$A:$A,0))=0,0,N4259)</f>
        <v>0</v>
      </c>
      <c r="N4259" s="7">
        <f t="shared" si="5075"/>
        <v>100</v>
      </c>
    </row>
    <row r="4260" spans="1:14">
      <c r="A4260" s="7">
        <f t="shared" si="5049"/>
        <v>30007</v>
      </c>
      <c r="B4260" s="7">
        <f t="shared" ref="B4260:C4260" si="5109">B4172</f>
        <v>40000</v>
      </c>
      <c r="C4260" s="7" t="str">
        <f t="shared" si="5109"/>
        <v>装备</v>
      </c>
      <c r="D4260" s="7" t="s">
        <v>189</v>
      </c>
      <c r="E4260" s="7"/>
      <c r="F4260" s="7">
        <v>1</v>
      </c>
      <c r="G4260" s="7">
        <f>3*INDEX([1]equip.xml!$I:$I,MATCH(D4260&amp;"",[1]equip.xml!$A:$A,0))</f>
        <v>30000</v>
      </c>
      <c r="H4260" s="7" t="str">
        <f t="shared" ref="H4260:J4260" si="5110">H4172</f>
        <v>10_10,50_20,80_30</v>
      </c>
      <c r="I4260" s="7">
        <v>11</v>
      </c>
      <c r="J4260" s="7">
        <f t="shared" si="5110"/>
        <v>50</v>
      </c>
      <c r="K4260" s="7" t="s">
        <v>293</v>
      </c>
      <c r="L4260" s="7">
        <v>22</v>
      </c>
      <c r="M4260" s="7">
        <f>IF(INDEX([1]equip.xml!$B:$B,MATCH(D4260&amp;"",[1]equip.xml!$A:$A,0))=0,0,N4260)</f>
        <v>100</v>
      </c>
      <c r="N4260" s="7">
        <f t="shared" si="5075"/>
        <v>100</v>
      </c>
    </row>
    <row r="4261" spans="1:14">
      <c r="A4261" s="7">
        <f t="shared" si="5049"/>
        <v>30007</v>
      </c>
      <c r="B4261" s="7">
        <f t="shared" ref="B4261:C4261" si="5111">B4173</f>
        <v>40000</v>
      </c>
      <c r="C4261" s="7" t="str">
        <f t="shared" si="5111"/>
        <v>装备</v>
      </c>
      <c r="D4261" s="7" t="s">
        <v>191</v>
      </c>
      <c r="E4261" s="7"/>
      <c r="F4261" s="7">
        <v>1</v>
      </c>
      <c r="G4261" s="7">
        <f>3*INDEX([1]equip.xml!$I:$I,MATCH(D4261&amp;"",[1]equip.xml!$A:$A,0))</f>
        <v>39000</v>
      </c>
      <c r="H4261" s="7" t="str">
        <f t="shared" ref="H4261:J4261" si="5112">H4173</f>
        <v>10_10,50_20,80_30</v>
      </c>
      <c r="I4261" s="7">
        <v>11</v>
      </c>
      <c r="J4261" s="7">
        <f t="shared" si="5112"/>
        <v>50</v>
      </c>
      <c r="K4261" s="7" t="s">
        <v>293</v>
      </c>
      <c r="L4261" s="7">
        <v>22</v>
      </c>
      <c r="M4261" s="7">
        <f>IF(INDEX([1]equip.xml!$B:$B,MATCH(D4261&amp;"",[1]equip.xml!$A:$A,0))=0,0,N4261)</f>
        <v>100</v>
      </c>
      <c r="N4261" s="7">
        <f t="shared" si="5075"/>
        <v>100</v>
      </c>
    </row>
    <row r="4262" spans="1:14">
      <c r="A4262" s="7">
        <f t="shared" si="5049"/>
        <v>30007</v>
      </c>
      <c r="B4262" s="7">
        <f t="shared" ref="B4262:C4262" si="5113">B4174</f>
        <v>40000</v>
      </c>
      <c r="C4262" s="7" t="str">
        <f t="shared" si="5113"/>
        <v>装备</v>
      </c>
      <c r="D4262" s="7" t="s">
        <v>193</v>
      </c>
      <c r="E4262" s="7"/>
      <c r="F4262" s="7">
        <v>1</v>
      </c>
      <c r="G4262" s="7">
        <f>3*INDEX([1]equip.xml!$I:$I,MATCH(D4262&amp;"",[1]equip.xml!$A:$A,0))</f>
        <v>30000</v>
      </c>
      <c r="H4262" s="7" t="str">
        <f t="shared" ref="H4262:J4262" si="5114">H4174</f>
        <v>10_10,50_20,80_30</v>
      </c>
      <c r="I4262" s="7">
        <v>11</v>
      </c>
      <c r="J4262" s="7">
        <f t="shared" si="5114"/>
        <v>50</v>
      </c>
      <c r="K4262" s="7" t="s">
        <v>293</v>
      </c>
      <c r="L4262" s="7">
        <v>22</v>
      </c>
      <c r="M4262" s="7">
        <f>IF(INDEX([1]equip.xml!$B:$B,MATCH(D4262&amp;"",[1]equip.xml!$A:$A,0))=0,0,N4262)</f>
        <v>100</v>
      </c>
      <c r="N4262" s="7">
        <f t="shared" si="5075"/>
        <v>100</v>
      </c>
    </row>
    <row r="4263" spans="1:14">
      <c r="A4263" s="7">
        <f t="shared" si="5049"/>
        <v>30007</v>
      </c>
      <c r="B4263" s="7">
        <f t="shared" ref="B4263:C4263" si="5115">B4175</f>
        <v>40000</v>
      </c>
      <c r="C4263" s="7" t="str">
        <f t="shared" si="5115"/>
        <v>装备</v>
      </c>
      <c r="D4263" s="7" t="s">
        <v>195</v>
      </c>
      <c r="E4263" s="7"/>
      <c r="F4263" s="7">
        <v>1</v>
      </c>
      <c r="G4263" s="7">
        <f>3*INDEX([1]equip.xml!$I:$I,MATCH(D4263&amp;"",[1]equip.xml!$A:$A,0))</f>
        <v>39000</v>
      </c>
      <c r="H4263" s="7" t="str">
        <f t="shared" ref="H4263:J4263" si="5116">H4175</f>
        <v>10_10,50_20,80_30</v>
      </c>
      <c r="I4263" s="7">
        <v>11</v>
      </c>
      <c r="J4263" s="7">
        <f t="shared" si="5116"/>
        <v>50</v>
      </c>
      <c r="K4263" s="7" t="s">
        <v>293</v>
      </c>
      <c r="L4263" s="7">
        <v>22</v>
      </c>
      <c r="M4263" s="7">
        <f>IF(INDEX([1]equip.xml!$B:$B,MATCH(D4263&amp;"",[1]equip.xml!$A:$A,0))=0,0,N4263)</f>
        <v>0</v>
      </c>
      <c r="N4263" s="7">
        <f t="shared" si="5075"/>
        <v>100</v>
      </c>
    </row>
    <row r="4264" spans="1:14">
      <c r="A4264" s="7">
        <f t="shared" si="5049"/>
        <v>30007</v>
      </c>
      <c r="B4264" s="7">
        <f t="shared" ref="B4264:C4264" si="5117">B4176</f>
        <v>40000</v>
      </c>
      <c r="C4264" s="7" t="str">
        <f t="shared" si="5117"/>
        <v>装备</v>
      </c>
      <c r="D4264" s="7" t="s">
        <v>197</v>
      </c>
      <c r="E4264" s="7"/>
      <c r="F4264" s="7">
        <v>1</v>
      </c>
      <c r="G4264" s="7">
        <f>3*INDEX([1]equip.xml!$I:$I,MATCH(D4264&amp;"",[1]equip.xml!$A:$A,0))</f>
        <v>30000</v>
      </c>
      <c r="H4264" s="7" t="str">
        <f t="shared" ref="H4264:J4264" si="5118">H4176</f>
        <v>10_10,50_20,80_30</v>
      </c>
      <c r="I4264" s="7">
        <v>11</v>
      </c>
      <c r="J4264" s="7">
        <f t="shared" si="5118"/>
        <v>50</v>
      </c>
      <c r="K4264" s="7" t="s">
        <v>293</v>
      </c>
      <c r="L4264" s="7">
        <v>22</v>
      </c>
      <c r="M4264" s="7">
        <f>IF(INDEX([1]equip.xml!$B:$B,MATCH(D4264&amp;"",[1]equip.xml!$A:$A,0))=0,0,N4264)</f>
        <v>100</v>
      </c>
      <c r="N4264" s="7">
        <f t="shared" si="5075"/>
        <v>100</v>
      </c>
    </row>
    <row r="4265" spans="1:14">
      <c r="A4265" s="7">
        <f t="shared" si="5049"/>
        <v>30007</v>
      </c>
      <c r="B4265" s="7">
        <f t="shared" ref="B4265:C4265" si="5119">B4177</f>
        <v>40000</v>
      </c>
      <c r="C4265" s="7" t="str">
        <f t="shared" si="5119"/>
        <v>装备</v>
      </c>
      <c r="D4265" s="7" t="s">
        <v>199</v>
      </c>
      <c r="E4265" s="7"/>
      <c r="F4265" s="7">
        <v>1</v>
      </c>
      <c r="G4265" s="7">
        <f>3*INDEX([1]equip.xml!$I:$I,MATCH(D4265&amp;"",[1]equip.xml!$A:$A,0))</f>
        <v>39000</v>
      </c>
      <c r="H4265" s="7" t="str">
        <f t="shared" ref="H4265:J4265" si="5120">H4177</f>
        <v>10_10,50_20,80_30</v>
      </c>
      <c r="I4265" s="7">
        <v>11</v>
      </c>
      <c r="J4265" s="7">
        <f t="shared" si="5120"/>
        <v>50</v>
      </c>
      <c r="K4265" s="7" t="s">
        <v>293</v>
      </c>
      <c r="L4265" s="7">
        <v>22</v>
      </c>
      <c r="M4265" s="7">
        <f>IF(INDEX([1]equip.xml!$B:$B,MATCH(D4265&amp;"",[1]equip.xml!$A:$A,0))=0,0,N4265)</f>
        <v>100</v>
      </c>
      <c r="N4265" s="7">
        <f t="shared" si="5075"/>
        <v>100</v>
      </c>
    </row>
    <row r="4266" spans="1:14">
      <c r="A4266" s="7">
        <f t="shared" si="5049"/>
        <v>30007</v>
      </c>
      <c r="B4266" s="7">
        <f t="shared" ref="B4266:C4266" si="5121">B4178</f>
        <v>40000</v>
      </c>
      <c r="C4266" s="7" t="str">
        <f t="shared" si="5121"/>
        <v>装备</v>
      </c>
      <c r="D4266" s="7" t="s">
        <v>201</v>
      </c>
      <c r="E4266" s="7"/>
      <c r="F4266" s="7">
        <v>1</v>
      </c>
      <c r="G4266" s="7">
        <f>3*INDEX([1]equip.xml!$I:$I,MATCH(D4266&amp;"",[1]equip.xml!$A:$A,0))</f>
        <v>30000</v>
      </c>
      <c r="H4266" s="7" t="str">
        <f t="shared" ref="H4266:J4266" si="5122">H4178</f>
        <v>10_10,50_20,80_30</v>
      </c>
      <c r="I4266" s="7">
        <v>11</v>
      </c>
      <c r="J4266" s="7">
        <f t="shared" si="5122"/>
        <v>50</v>
      </c>
      <c r="K4266" s="7" t="s">
        <v>293</v>
      </c>
      <c r="L4266" s="7">
        <v>22</v>
      </c>
      <c r="M4266" s="7">
        <f>IF(INDEX([1]equip.xml!$B:$B,MATCH(D4266&amp;"",[1]equip.xml!$A:$A,0))=0,0,N4266)</f>
        <v>100</v>
      </c>
      <c r="N4266" s="7">
        <f t="shared" si="5075"/>
        <v>100</v>
      </c>
    </row>
    <row r="4267" spans="1:14">
      <c r="A4267" s="7">
        <f t="shared" si="5049"/>
        <v>30007</v>
      </c>
      <c r="B4267" s="7">
        <f t="shared" ref="B4267:C4267" si="5123">B4179</f>
        <v>40000</v>
      </c>
      <c r="C4267" s="7" t="str">
        <f t="shared" si="5123"/>
        <v>装备</v>
      </c>
      <c r="D4267" s="7" t="s">
        <v>203</v>
      </c>
      <c r="E4267" s="7"/>
      <c r="F4267" s="7">
        <v>1</v>
      </c>
      <c r="G4267" s="7">
        <f>3*INDEX([1]equip.xml!$I:$I,MATCH(D4267&amp;"",[1]equip.xml!$A:$A,0))</f>
        <v>39000</v>
      </c>
      <c r="H4267" s="7" t="str">
        <f t="shared" ref="H4267:J4267" si="5124">H4179</f>
        <v>10_10,50_20,80_30</v>
      </c>
      <c r="I4267" s="7">
        <v>11</v>
      </c>
      <c r="J4267" s="7">
        <f t="shared" si="5124"/>
        <v>50</v>
      </c>
      <c r="K4267" s="7" t="s">
        <v>293</v>
      </c>
      <c r="L4267" s="7">
        <v>22</v>
      </c>
      <c r="M4267" s="7">
        <f>IF(INDEX([1]equip.xml!$B:$B,MATCH(D4267&amp;"",[1]equip.xml!$A:$A,0))=0,0,N4267)</f>
        <v>0</v>
      </c>
      <c r="N4267" s="7">
        <f t="shared" si="5075"/>
        <v>100</v>
      </c>
    </row>
    <row r="4268" spans="1:14">
      <c r="A4268" s="7">
        <f t="shared" si="5049"/>
        <v>30007</v>
      </c>
      <c r="B4268" s="7">
        <f t="shared" ref="B4268:C4268" si="5125">B4180</f>
        <v>40000</v>
      </c>
      <c r="C4268" s="7" t="str">
        <f t="shared" si="5125"/>
        <v>装备</v>
      </c>
      <c r="D4268" s="7" t="s">
        <v>205</v>
      </c>
      <c r="E4268" s="7"/>
      <c r="F4268" s="7">
        <v>1</v>
      </c>
      <c r="G4268" s="7">
        <f>3*INDEX([1]equip.xml!$I:$I,MATCH(D4268&amp;"",[1]equip.xml!$A:$A,0))</f>
        <v>30000</v>
      </c>
      <c r="H4268" s="7" t="str">
        <f t="shared" ref="H4268:J4268" si="5126">H4180</f>
        <v>10_10,50_20,80_30</v>
      </c>
      <c r="I4268" s="7">
        <v>11</v>
      </c>
      <c r="J4268" s="7">
        <f t="shared" si="5126"/>
        <v>50</v>
      </c>
      <c r="K4268" s="7" t="s">
        <v>293</v>
      </c>
      <c r="L4268" s="7">
        <v>22</v>
      </c>
      <c r="M4268" s="7">
        <f>IF(INDEX([1]equip.xml!$B:$B,MATCH(D4268&amp;"",[1]equip.xml!$A:$A,0))=0,0,N4268)</f>
        <v>100</v>
      </c>
      <c r="N4268" s="7">
        <f t="shared" si="5075"/>
        <v>100</v>
      </c>
    </row>
    <row r="4269" spans="1:14">
      <c r="A4269" s="7">
        <f t="shared" si="5049"/>
        <v>30007</v>
      </c>
      <c r="B4269" s="7">
        <f t="shared" ref="B4269:C4269" si="5127">B4181</f>
        <v>40000</v>
      </c>
      <c r="C4269" s="7" t="str">
        <f t="shared" si="5127"/>
        <v>装备</v>
      </c>
      <c r="D4269" s="7" t="s">
        <v>207</v>
      </c>
      <c r="E4269" s="7"/>
      <c r="F4269" s="7">
        <v>1</v>
      </c>
      <c r="G4269" s="7">
        <f>3*INDEX([1]equip.xml!$I:$I,MATCH(D4269&amp;"",[1]equip.xml!$A:$A,0))</f>
        <v>39000</v>
      </c>
      <c r="H4269" s="7" t="str">
        <f t="shared" ref="H4269:J4269" si="5128">H4181</f>
        <v>10_10,50_20,80_30</v>
      </c>
      <c r="I4269" s="7">
        <v>11</v>
      </c>
      <c r="J4269" s="7">
        <f t="shared" si="5128"/>
        <v>50</v>
      </c>
      <c r="K4269" s="7" t="s">
        <v>293</v>
      </c>
      <c r="L4269" s="7">
        <v>22</v>
      </c>
      <c r="M4269" s="7">
        <f>IF(INDEX([1]equip.xml!$B:$B,MATCH(D4269&amp;"",[1]equip.xml!$A:$A,0))=0,0,N4269)</f>
        <v>100</v>
      </c>
      <c r="N4269" s="7">
        <f t="shared" si="5075"/>
        <v>100</v>
      </c>
    </row>
    <row r="4270" spans="1:14">
      <c r="A4270" s="7">
        <f t="shared" si="5049"/>
        <v>30007</v>
      </c>
      <c r="B4270" s="7">
        <f t="shared" ref="B4270:C4270" si="5129">B4182</f>
        <v>40000</v>
      </c>
      <c r="C4270" s="7" t="str">
        <f t="shared" si="5129"/>
        <v>装备</v>
      </c>
      <c r="D4270" s="7" t="s">
        <v>209</v>
      </c>
      <c r="E4270" s="7"/>
      <c r="F4270" s="7">
        <v>1</v>
      </c>
      <c r="G4270" s="7">
        <f>3*INDEX([1]equip.xml!$I:$I,MATCH(D4270&amp;"",[1]equip.xml!$A:$A,0))</f>
        <v>30000</v>
      </c>
      <c r="H4270" s="7" t="str">
        <f t="shared" ref="H4270:J4270" si="5130">H4182</f>
        <v>10_10,50_20,80_30</v>
      </c>
      <c r="I4270" s="7">
        <v>11</v>
      </c>
      <c r="J4270" s="7">
        <f t="shared" si="5130"/>
        <v>50</v>
      </c>
      <c r="K4270" s="7" t="s">
        <v>293</v>
      </c>
      <c r="L4270" s="7">
        <v>22</v>
      </c>
      <c r="M4270" s="7">
        <f>IF(INDEX([1]equip.xml!$B:$B,MATCH(D4270&amp;"",[1]equip.xml!$A:$A,0))=0,0,N4270)</f>
        <v>100</v>
      </c>
      <c r="N4270" s="7">
        <f t="shared" si="5075"/>
        <v>100</v>
      </c>
    </row>
    <row r="4271" spans="1:14">
      <c r="A4271" s="7">
        <f t="shared" ref="A4271:A4334" si="5131">10000+A3039</f>
        <v>30007</v>
      </c>
      <c r="B4271" s="7">
        <f t="shared" ref="B4271:C4271" si="5132">B4183</f>
        <v>40000</v>
      </c>
      <c r="C4271" s="7" t="str">
        <f t="shared" si="5132"/>
        <v>装备</v>
      </c>
      <c r="D4271" s="7" t="s">
        <v>211</v>
      </c>
      <c r="E4271" s="7"/>
      <c r="F4271" s="7">
        <v>1</v>
      </c>
      <c r="G4271" s="7">
        <f>3*INDEX([1]equip.xml!$I:$I,MATCH(D4271&amp;"",[1]equip.xml!$A:$A,0))</f>
        <v>39000</v>
      </c>
      <c r="H4271" s="7" t="str">
        <f t="shared" ref="H4271:J4271" si="5133">H4183</f>
        <v>10_10,50_20,80_30</v>
      </c>
      <c r="I4271" s="7">
        <v>11</v>
      </c>
      <c r="J4271" s="7">
        <f t="shared" si="5133"/>
        <v>50</v>
      </c>
      <c r="K4271" s="7" t="s">
        <v>293</v>
      </c>
      <c r="L4271" s="7">
        <v>22</v>
      </c>
      <c r="M4271" s="7">
        <f>IF(INDEX([1]equip.xml!$B:$B,MATCH(D4271&amp;"",[1]equip.xml!$A:$A,0))=0,0,N4271)</f>
        <v>0</v>
      </c>
      <c r="N4271" s="7">
        <f t="shared" si="5075"/>
        <v>100</v>
      </c>
    </row>
    <row r="4272" spans="1:14">
      <c r="A4272" s="7">
        <f t="shared" si="5131"/>
        <v>30007</v>
      </c>
      <c r="B4272" s="7">
        <f t="shared" ref="B4272:C4272" si="5134">B4184</f>
        <v>40000</v>
      </c>
      <c r="C4272" s="7" t="str">
        <f t="shared" si="5134"/>
        <v>装备</v>
      </c>
      <c r="D4272" s="7" t="s">
        <v>213</v>
      </c>
      <c r="E4272" s="7"/>
      <c r="F4272" s="7">
        <v>1</v>
      </c>
      <c r="G4272" s="7">
        <f>3*INDEX([1]equip.xml!$I:$I,MATCH(D4272&amp;"",[1]equip.xml!$A:$A,0))</f>
        <v>30000</v>
      </c>
      <c r="H4272" s="7" t="str">
        <f t="shared" ref="H4272:J4272" si="5135">H4184</f>
        <v>10_10,50_20,80_30</v>
      </c>
      <c r="I4272" s="7">
        <v>11</v>
      </c>
      <c r="J4272" s="7">
        <f t="shared" si="5135"/>
        <v>50</v>
      </c>
      <c r="K4272" s="7" t="s">
        <v>293</v>
      </c>
      <c r="L4272" s="7">
        <v>22</v>
      </c>
      <c r="M4272" s="7">
        <f>IF(INDEX([1]equip.xml!$B:$B,MATCH(D4272&amp;"",[1]equip.xml!$A:$A,0))=0,0,N4272)</f>
        <v>100</v>
      </c>
      <c r="N4272" s="7">
        <f t="shared" si="5075"/>
        <v>100</v>
      </c>
    </row>
    <row r="4273" spans="1:14">
      <c r="A4273" s="7">
        <f t="shared" si="5131"/>
        <v>30007</v>
      </c>
      <c r="B4273" s="7">
        <f t="shared" ref="B4273:C4273" si="5136">B4185</f>
        <v>40000</v>
      </c>
      <c r="C4273" s="7" t="str">
        <f t="shared" si="5136"/>
        <v>装备</v>
      </c>
      <c r="D4273" s="7">
        <v>40100041</v>
      </c>
      <c r="E4273" s="7"/>
      <c r="F4273" s="7">
        <v>1</v>
      </c>
      <c r="G4273" s="7">
        <f>3*INDEX([1]equip.xml!$I:$I,MATCH(D4273&amp;"",[1]equip.xml!$A:$A,0))</f>
        <v>39000</v>
      </c>
      <c r="H4273" s="7" t="str">
        <f t="shared" ref="H4273:J4273" si="5137">H4185</f>
        <v>10_10,50_20,80_30</v>
      </c>
      <c r="I4273" s="7">
        <v>11</v>
      </c>
      <c r="J4273" s="7">
        <f t="shared" si="5137"/>
        <v>50</v>
      </c>
      <c r="K4273" s="7" t="s">
        <v>293</v>
      </c>
      <c r="L4273" s="7">
        <v>22</v>
      </c>
      <c r="M4273" s="7">
        <f>IF(INDEX([1]equip.xml!$B:$B,MATCH(D4273&amp;"",[1]equip.xml!$A:$A,0))=0,0,N4273)</f>
        <v>0</v>
      </c>
      <c r="N4273" s="7">
        <f t="shared" si="5075"/>
        <v>100</v>
      </c>
    </row>
    <row r="4274" spans="1:14">
      <c r="A4274" s="7">
        <f t="shared" si="5131"/>
        <v>30007</v>
      </c>
      <c r="B4274" s="7">
        <f t="shared" ref="B4274:C4274" si="5138">B4186</f>
        <v>40000</v>
      </c>
      <c r="C4274" s="7" t="str">
        <f t="shared" si="5138"/>
        <v>装备</v>
      </c>
      <c r="D4274" s="7" t="s">
        <v>217</v>
      </c>
      <c r="E4274" s="7"/>
      <c r="F4274" s="7">
        <v>1</v>
      </c>
      <c r="G4274" s="7">
        <f>3*INDEX([1]equip.xml!$I:$I,MATCH(D4274&amp;"",[1]equip.xml!$A:$A,0))</f>
        <v>30000</v>
      </c>
      <c r="H4274" s="7" t="str">
        <f t="shared" ref="H4274:J4274" si="5139">H4186</f>
        <v>10_10,50_20,80_30</v>
      </c>
      <c r="I4274" s="7">
        <v>11</v>
      </c>
      <c r="J4274" s="7">
        <f t="shared" si="5139"/>
        <v>50</v>
      </c>
      <c r="K4274" s="7" t="s">
        <v>293</v>
      </c>
      <c r="L4274" s="7">
        <v>22</v>
      </c>
      <c r="M4274" s="7">
        <f>IF(INDEX([1]equip.xml!$B:$B,MATCH(D4274&amp;"",[1]equip.xml!$A:$A,0))=0,0,N4274)</f>
        <v>100</v>
      </c>
      <c r="N4274" s="7">
        <f t="shared" si="5075"/>
        <v>100</v>
      </c>
    </row>
    <row r="4275" spans="1:14">
      <c r="A4275" s="7">
        <f t="shared" si="5131"/>
        <v>30007</v>
      </c>
      <c r="B4275" s="7">
        <f t="shared" ref="B4275:C4275" si="5140">B4187</f>
        <v>40000</v>
      </c>
      <c r="C4275" s="7" t="str">
        <f t="shared" si="5140"/>
        <v>装备</v>
      </c>
      <c r="D4275" s="7" t="s">
        <v>219</v>
      </c>
      <c r="E4275" s="7"/>
      <c r="F4275" s="7">
        <v>1</v>
      </c>
      <c r="G4275" s="7">
        <f>3*INDEX([1]equip.xml!$I:$I,MATCH(D4275&amp;"",[1]equip.xml!$A:$A,0))</f>
        <v>39000</v>
      </c>
      <c r="H4275" s="7" t="str">
        <f t="shared" ref="H4275:J4275" si="5141">H4187</f>
        <v>10_10,50_20,80_30</v>
      </c>
      <c r="I4275" s="7">
        <v>11</v>
      </c>
      <c r="J4275" s="7">
        <f t="shared" si="5141"/>
        <v>50</v>
      </c>
      <c r="K4275" s="7" t="s">
        <v>293</v>
      </c>
      <c r="L4275" s="7">
        <v>22</v>
      </c>
      <c r="M4275" s="7">
        <f>IF(INDEX([1]equip.xml!$B:$B,MATCH(D4275&amp;"",[1]equip.xml!$A:$A,0))=0,0,N4275)</f>
        <v>0</v>
      </c>
      <c r="N4275" s="7">
        <f t="shared" si="5075"/>
        <v>100</v>
      </c>
    </row>
    <row r="4276" spans="1:14">
      <c r="A4276" s="7">
        <f t="shared" si="5131"/>
        <v>30007</v>
      </c>
      <c r="B4276" s="7">
        <f t="shared" ref="B4276:C4276" si="5142">B4188</f>
        <v>40000</v>
      </c>
      <c r="C4276" s="7" t="str">
        <f t="shared" si="5142"/>
        <v>装备</v>
      </c>
      <c r="D4276" s="7" t="s">
        <v>319</v>
      </c>
      <c r="E4276" s="7"/>
      <c r="F4276" s="7">
        <v>1</v>
      </c>
      <c r="G4276" s="7">
        <f>3*INDEX([1]equip.xml!$I:$I,MATCH(D4276&amp;"",[1]equip.xml!$A:$A,0))</f>
        <v>45000</v>
      </c>
      <c r="H4276" s="7" t="str">
        <f t="shared" ref="H4276:J4276" si="5143">H4188</f>
        <v>10_10,50_20,80_30</v>
      </c>
      <c r="I4276" s="7">
        <v>11</v>
      </c>
      <c r="J4276" s="7">
        <f t="shared" si="5143"/>
        <v>50</v>
      </c>
      <c r="K4276" s="7" t="s">
        <v>293</v>
      </c>
      <c r="L4276" s="7">
        <v>22</v>
      </c>
      <c r="M4276" s="7">
        <f>IF(INDEX([1]equip.xml!$B:$B,MATCH(D4276&amp;"",[1]equip.xml!$A:$A,0))=0,0,N4276)</f>
        <v>0</v>
      </c>
      <c r="N4276" s="7">
        <f t="shared" si="5075"/>
        <v>70</v>
      </c>
    </row>
    <row r="4277" spans="1:14">
      <c r="A4277" s="7">
        <f t="shared" si="5131"/>
        <v>30007</v>
      </c>
      <c r="B4277" s="7">
        <f t="shared" ref="B4277:C4277" si="5144">B4189</f>
        <v>40000</v>
      </c>
      <c r="C4277" s="7" t="str">
        <f t="shared" si="5144"/>
        <v>装备</v>
      </c>
      <c r="D4277" s="7" t="s">
        <v>320</v>
      </c>
      <c r="E4277" s="7"/>
      <c r="F4277" s="7">
        <v>1</v>
      </c>
      <c r="G4277" s="7">
        <f>3*INDEX([1]equip.xml!$I:$I,MATCH(D4277&amp;"",[1]equip.xml!$A:$A,0))</f>
        <v>45000</v>
      </c>
      <c r="H4277" s="7" t="str">
        <f t="shared" ref="H4277:J4277" si="5145">H4189</f>
        <v>10_10,50_20,80_30</v>
      </c>
      <c r="I4277" s="7">
        <v>11</v>
      </c>
      <c r="J4277" s="7">
        <f t="shared" si="5145"/>
        <v>50</v>
      </c>
      <c r="K4277" s="7" t="s">
        <v>293</v>
      </c>
      <c r="L4277" s="7">
        <v>22</v>
      </c>
      <c r="M4277" s="7">
        <f>IF(INDEX([1]equip.xml!$B:$B,MATCH(D4277&amp;"",[1]equip.xml!$A:$A,0))=0,0,N4277)</f>
        <v>0</v>
      </c>
      <c r="N4277" s="7">
        <f t="shared" si="5075"/>
        <v>70</v>
      </c>
    </row>
    <row r="4278" spans="1:14">
      <c r="A4278" s="7">
        <f t="shared" si="5131"/>
        <v>30007</v>
      </c>
      <c r="B4278" s="7">
        <f t="shared" ref="B4278:C4278" si="5146">B4190</f>
        <v>40000</v>
      </c>
      <c r="C4278" s="7" t="str">
        <f t="shared" si="5146"/>
        <v>装备</v>
      </c>
      <c r="D4278" s="7" t="s">
        <v>321</v>
      </c>
      <c r="E4278" s="7"/>
      <c r="F4278" s="7">
        <v>1</v>
      </c>
      <c r="G4278" s="7">
        <f>3*INDEX([1]equip.xml!$I:$I,MATCH(D4278&amp;"",[1]equip.xml!$A:$A,0))</f>
        <v>45000</v>
      </c>
      <c r="H4278" s="7" t="str">
        <f t="shared" ref="H4278:J4278" si="5147">H4190</f>
        <v>10_10,50_20,80_30</v>
      </c>
      <c r="I4278" s="7">
        <v>11</v>
      </c>
      <c r="J4278" s="7">
        <f t="shared" si="5147"/>
        <v>50</v>
      </c>
      <c r="K4278" s="7" t="s">
        <v>293</v>
      </c>
      <c r="L4278" s="7">
        <v>22</v>
      </c>
      <c r="M4278" s="7">
        <f>IF(INDEX([1]equip.xml!$B:$B,MATCH(D4278&amp;"",[1]equip.xml!$A:$A,0))=0,0,N4278)</f>
        <v>70</v>
      </c>
      <c r="N4278" s="7">
        <f t="shared" si="5075"/>
        <v>70</v>
      </c>
    </row>
    <row r="4279" spans="1:14">
      <c r="A4279" s="7">
        <f t="shared" si="5131"/>
        <v>30007</v>
      </c>
      <c r="B4279" s="7">
        <f t="shared" ref="B4279:C4279" si="5148">B4191</f>
        <v>40000</v>
      </c>
      <c r="C4279" s="7" t="str">
        <f t="shared" si="5148"/>
        <v>装备</v>
      </c>
      <c r="D4279" s="7" t="s">
        <v>322</v>
      </c>
      <c r="E4279" s="7"/>
      <c r="F4279" s="7">
        <v>1</v>
      </c>
      <c r="G4279" s="7">
        <f>3*INDEX([1]equip.xml!$I:$I,MATCH(D4279&amp;"",[1]equip.xml!$A:$A,0))</f>
        <v>45000</v>
      </c>
      <c r="H4279" s="7" t="str">
        <f t="shared" ref="H4279:J4279" si="5149">H4191</f>
        <v>10_10,50_20,80_30</v>
      </c>
      <c r="I4279" s="7">
        <v>11</v>
      </c>
      <c r="J4279" s="7">
        <f t="shared" si="5149"/>
        <v>50</v>
      </c>
      <c r="K4279" s="7" t="s">
        <v>293</v>
      </c>
      <c r="L4279" s="7">
        <v>22</v>
      </c>
      <c r="M4279" s="7">
        <f>IF(INDEX([1]equip.xml!$B:$B,MATCH(D4279&amp;"",[1]equip.xml!$A:$A,0))=0,0,N4279)</f>
        <v>70</v>
      </c>
      <c r="N4279" s="7">
        <f t="shared" si="5075"/>
        <v>70</v>
      </c>
    </row>
    <row r="4280" spans="1:14">
      <c r="A4280" s="7">
        <f t="shared" si="5131"/>
        <v>30007</v>
      </c>
      <c r="B4280" s="7">
        <f t="shared" ref="B4280:C4280" si="5150">B4192</f>
        <v>40000</v>
      </c>
      <c r="C4280" s="7" t="str">
        <f t="shared" si="5150"/>
        <v>装备</v>
      </c>
      <c r="D4280" s="7" t="s">
        <v>323</v>
      </c>
      <c r="E4280" s="7"/>
      <c r="F4280" s="7">
        <v>1</v>
      </c>
      <c r="G4280" s="7">
        <f>3*INDEX([1]equip.xml!$I:$I,MATCH(D4280&amp;"",[1]equip.xml!$A:$A,0))</f>
        <v>45000</v>
      </c>
      <c r="H4280" s="7" t="str">
        <f t="shared" ref="H4280:J4280" si="5151">H4192</f>
        <v>10_10,50_20,80_30</v>
      </c>
      <c r="I4280" s="7">
        <v>11</v>
      </c>
      <c r="J4280" s="7">
        <f t="shared" si="5151"/>
        <v>50</v>
      </c>
      <c r="K4280" s="7" t="s">
        <v>293</v>
      </c>
      <c r="L4280" s="7">
        <v>22</v>
      </c>
      <c r="M4280" s="7">
        <f>IF(INDEX([1]equip.xml!$B:$B,MATCH(D4280&amp;"",[1]equip.xml!$A:$A,0))=0,0,N4280)</f>
        <v>70</v>
      </c>
      <c r="N4280" s="7">
        <f t="shared" si="5075"/>
        <v>70</v>
      </c>
    </row>
    <row r="4281" spans="1:14">
      <c r="A4281" s="7">
        <f t="shared" si="5131"/>
        <v>30007</v>
      </c>
      <c r="B4281" s="7">
        <f t="shared" ref="B4281:C4281" si="5152">B4193</f>
        <v>40000</v>
      </c>
      <c r="C4281" s="7" t="str">
        <f t="shared" si="5152"/>
        <v>装备</v>
      </c>
      <c r="D4281" s="7" t="s">
        <v>324</v>
      </c>
      <c r="E4281" s="7"/>
      <c r="F4281" s="7">
        <v>1</v>
      </c>
      <c r="G4281" s="7">
        <f>3*INDEX([1]equip.xml!$I:$I,MATCH(D4281&amp;"",[1]equip.xml!$A:$A,0))</f>
        <v>45000</v>
      </c>
      <c r="H4281" s="7" t="str">
        <f t="shared" ref="H4281:J4281" si="5153">H4193</f>
        <v>10_10,50_20,80_30</v>
      </c>
      <c r="I4281" s="7">
        <v>11</v>
      </c>
      <c r="J4281" s="7">
        <f t="shared" si="5153"/>
        <v>50</v>
      </c>
      <c r="K4281" s="7" t="s">
        <v>293</v>
      </c>
      <c r="L4281" s="7">
        <v>22</v>
      </c>
      <c r="M4281" s="7">
        <f>IF(INDEX([1]equip.xml!$B:$B,MATCH(D4281&amp;"",[1]equip.xml!$A:$A,0))=0,0,N4281)</f>
        <v>70</v>
      </c>
      <c r="N4281" s="7">
        <f t="shared" si="5075"/>
        <v>70</v>
      </c>
    </row>
    <row r="4282" spans="1:14">
      <c r="A4282" s="7">
        <f t="shared" si="5131"/>
        <v>30007</v>
      </c>
      <c r="B4282" s="7">
        <f t="shared" ref="B4282:C4282" si="5154">B4194</f>
        <v>40000</v>
      </c>
      <c r="C4282" s="7" t="str">
        <f t="shared" si="5154"/>
        <v>装备</v>
      </c>
      <c r="D4282" s="7" t="s">
        <v>325</v>
      </c>
      <c r="E4282" s="7"/>
      <c r="F4282" s="7">
        <v>1</v>
      </c>
      <c r="G4282" s="7">
        <f>3*INDEX([1]equip.xml!$I:$I,MATCH(D4282&amp;"",[1]equip.xml!$A:$A,0))</f>
        <v>45000</v>
      </c>
      <c r="H4282" s="7" t="str">
        <f t="shared" ref="H4282:J4282" si="5155">H4194</f>
        <v>10_10,50_20,80_30</v>
      </c>
      <c r="I4282" s="7">
        <v>11</v>
      </c>
      <c r="J4282" s="7">
        <f t="shared" si="5155"/>
        <v>50</v>
      </c>
      <c r="K4282" s="7" t="s">
        <v>293</v>
      </c>
      <c r="L4282" s="7">
        <v>22</v>
      </c>
      <c r="M4282" s="7">
        <f>IF(INDEX([1]equip.xml!$B:$B,MATCH(D4282&amp;"",[1]equip.xml!$A:$A,0))=0,0,N4282)</f>
        <v>70</v>
      </c>
      <c r="N4282" s="7">
        <f t="shared" si="5075"/>
        <v>70</v>
      </c>
    </row>
    <row r="4283" spans="1:14">
      <c r="A4283" s="7">
        <f t="shared" si="5131"/>
        <v>30007</v>
      </c>
      <c r="B4283" s="7">
        <f t="shared" ref="B4283:C4283" si="5156">B4195</f>
        <v>40000</v>
      </c>
      <c r="C4283" s="7" t="str">
        <f t="shared" si="5156"/>
        <v>装备</v>
      </c>
      <c r="D4283" s="7">
        <v>40151051</v>
      </c>
      <c r="E4283" s="7"/>
      <c r="F4283" s="7">
        <v>1</v>
      </c>
      <c r="G4283" s="7">
        <f>3*INDEX([1]equip.xml!$I:$I,MATCH(D4283,[1]equip.xml!$A:$A,0))</f>
        <v>54000</v>
      </c>
      <c r="H4283" s="7" t="str">
        <f t="shared" ref="H4283:J4283" si="5157">H4195</f>
        <v>10_10,50_20,80_30</v>
      </c>
      <c r="I4283" s="7">
        <v>11</v>
      </c>
      <c r="J4283" s="7">
        <f t="shared" si="5157"/>
        <v>50</v>
      </c>
      <c r="K4283" s="7" t="s">
        <v>293</v>
      </c>
      <c r="L4283" s="7">
        <v>22</v>
      </c>
      <c r="M4283" s="7">
        <f>IF(INDEX([1]equip.xml!$B:$B,MATCH(D4283,[1]equip.xml!$A:$A,0))=0,0,N4283)</f>
        <v>70</v>
      </c>
      <c r="N4283" s="7">
        <f t="shared" si="5075"/>
        <v>70</v>
      </c>
    </row>
    <row r="4284" spans="1:14">
      <c r="A4284" s="7">
        <f t="shared" si="5131"/>
        <v>30007</v>
      </c>
      <c r="B4284" s="7">
        <f t="shared" ref="B4284:C4284" si="5158">B4196</f>
        <v>40000</v>
      </c>
      <c r="C4284" s="7" t="str">
        <f t="shared" si="5158"/>
        <v>装备</v>
      </c>
      <c r="D4284" s="7">
        <v>40151060</v>
      </c>
      <c r="E4284" s="7"/>
      <c r="F4284" s="7">
        <v>1</v>
      </c>
      <c r="G4284" s="7">
        <f>3*INDEX([1]equip.xml!$I:$I,MATCH(D4284&amp;"",[1]equip.xml!$A:$A,0))</f>
        <v>45000</v>
      </c>
      <c r="H4284" s="7" t="str">
        <f t="shared" ref="H4284:J4284" si="5159">H4196</f>
        <v>10_10,50_20,80_30</v>
      </c>
      <c r="I4284" s="7">
        <v>11</v>
      </c>
      <c r="J4284" s="7">
        <f t="shared" si="5159"/>
        <v>50</v>
      </c>
      <c r="K4284" s="7" t="s">
        <v>293</v>
      </c>
      <c r="L4284" s="7">
        <v>22</v>
      </c>
      <c r="M4284" s="7">
        <f>IF(INDEX([1]equip.xml!$B:$B,MATCH(D4284&amp;"",[1]equip.xml!$A:$A,0))=0,0,N4284)</f>
        <v>70</v>
      </c>
      <c r="N4284" s="7">
        <f t="shared" si="5075"/>
        <v>70</v>
      </c>
    </row>
    <row r="4285" spans="1:14">
      <c r="A4285" s="7">
        <f t="shared" si="5131"/>
        <v>30007</v>
      </c>
      <c r="B4285" s="7">
        <f t="shared" ref="B4285:C4285" si="5160">B4197</f>
        <v>40000</v>
      </c>
      <c r="C4285" s="7" t="str">
        <f t="shared" si="5160"/>
        <v>装备</v>
      </c>
      <c r="D4285" s="7">
        <v>40151061</v>
      </c>
      <c r="E4285" s="7"/>
      <c r="F4285" s="7">
        <v>1</v>
      </c>
      <c r="G4285" s="7">
        <f>3*INDEX([1]equip.xml!$I:$I,MATCH(D4285&amp;"",[1]equip.xml!$A:$A,0))</f>
        <v>54000</v>
      </c>
      <c r="H4285" s="7" t="str">
        <f t="shared" ref="H4285:J4285" si="5161">H4197</f>
        <v>10_10,50_20,80_30</v>
      </c>
      <c r="I4285" s="7">
        <v>11</v>
      </c>
      <c r="J4285" s="7">
        <f t="shared" si="5161"/>
        <v>50</v>
      </c>
      <c r="K4285" s="7" t="s">
        <v>293</v>
      </c>
      <c r="L4285" s="7">
        <v>22</v>
      </c>
      <c r="M4285" s="7">
        <f>IF(INDEX([1]equip.xml!$B:$B,MATCH(D4285&amp;"",[1]equip.xml!$A:$A,0))=0,0,N4285)</f>
        <v>0</v>
      </c>
      <c r="N4285" s="7">
        <f t="shared" si="5075"/>
        <v>70</v>
      </c>
    </row>
    <row r="4286" spans="1:14">
      <c r="A4286" s="7">
        <f t="shared" si="5131"/>
        <v>30007</v>
      </c>
      <c r="B4286" s="7">
        <f t="shared" ref="B4286:C4286" si="5162">B4198</f>
        <v>40000</v>
      </c>
      <c r="C4286" s="7" t="str">
        <f t="shared" si="5162"/>
        <v>装备</v>
      </c>
      <c r="D4286" s="7">
        <v>40152050</v>
      </c>
      <c r="E4286" s="7"/>
      <c r="F4286" s="7">
        <v>1</v>
      </c>
      <c r="G4286" s="7">
        <f>3*INDEX([1]equip.xml!$I:$I,MATCH(D4286&amp;"",[1]equip.xml!$A:$A,0))</f>
        <v>45000</v>
      </c>
      <c r="H4286" s="7" t="str">
        <f t="shared" ref="H4286:J4286" si="5163">H4198</f>
        <v>10_10,50_20,80_30</v>
      </c>
      <c r="I4286" s="7">
        <v>11</v>
      </c>
      <c r="J4286" s="7">
        <f t="shared" si="5163"/>
        <v>50</v>
      </c>
      <c r="K4286" s="7" t="s">
        <v>293</v>
      </c>
      <c r="L4286" s="7">
        <v>22</v>
      </c>
      <c r="M4286" s="7">
        <f>IF(INDEX([1]equip.xml!$B:$B,MATCH(D4286&amp;"",[1]equip.xml!$A:$A,0))=0,0,N4286)</f>
        <v>70</v>
      </c>
      <c r="N4286" s="7">
        <f t="shared" si="5075"/>
        <v>70</v>
      </c>
    </row>
    <row r="4287" spans="1:14">
      <c r="A4287" s="7">
        <f t="shared" si="5131"/>
        <v>30007</v>
      </c>
      <c r="B4287" s="7">
        <f t="shared" ref="B4287:C4287" si="5164">B4199</f>
        <v>40000</v>
      </c>
      <c r="C4287" s="7" t="str">
        <f t="shared" si="5164"/>
        <v>装备</v>
      </c>
      <c r="D4287" s="7">
        <v>40152051</v>
      </c>
      <c r="E4287" s="7"/>
      <c r="F4287" s="7">
        <v>1</v>
      </c>
      <c r="G4287" s="7">
        <f>3*INDEX([1]equip.xml!$I:$I,MATCH(D4287,[1]equip.xml!$A:$A,0))</f>
        <v>54000</v>
      </c>
      <c r="H4287" s="7" t="str">
        <f t="shared" ref="H4287:J4287" si="5165">H4199</f>
        <v>10_10,50_20,80_30</v>
      </c>
      <c r="I4287" s="7">
        <v>11</v>
      </c>
      <c r="J4287" s="7">
        <f t="shared" si="5165"/>
        <v>50</v>
      </c>
      <c r="K4287" s="7" t="s">
        <v>293</v>
      </c>
      <c r="L4287" s="7">
        <v>22</v>
      </c>
      <c r="M4287" s="7">
        <f>IF(INDEX([1]equip.xml!$B:$B,MATCH(D4287,[1]equip.xml!$A:$A,0))=0,0,N4287)</f>
        <v>70</v>
      </c>
      <c r="N4287" s="7">
        <f t="shared" si="5075"/>
        <v>70</v>
      </c>
    </row>
    <row r="4288" spans="1:14">
      <c r="A4288" s="7">
        <f t="shared" si="5131"/>
        <v>30007</v>
      </c>
      <c r="B4288" s="7">
        <f t="shared" ref="B4288:C4288" si="5166">B4200</f>
        <v>40000</v>
      </c>
      <c r="C4288" s="7" t="str">
        <f t="shared" si="5166"/>
        <v>装备</v>
      </c>
      <c r="D4288" s="7">
        <v>40152060</v>
      </c>
      <c r="E4288" s="7"/>
      <c r="F4288" s="7">
        <v>1</v>
      </c>
      <c r="G4288" s="7">
        <f>3*INDEX([1]equip.xml!$I:$I,MATCH(D4288&amp;"",[1]equip.xml!$A:$A,0))</f>
        <v>45000</v>
      </c>
      <c r="H4288" s="7" t="str">
        <f t="shared" ref="H4288:J4288" si="5167">H4200</f>
        <v>10_10,50_20,80_30</v>
      </c>
      <c r="I4288" s="7">
        <v>11</v>
      </c>
      <c r="J4288" s="7">
        <f t="shared" si="5167"/>
        <v>50</v>
      </c>
      <c r="K4288" s="7" t="s">
        <v>293</v>
      </c>
      <c r="L4288" s="7">
        <v>22</v>
      </c>
      <c r="M4288" s="7">
        <f>IF(INDEX([1]equip.xml!$B:$B,MATCH(D4288&amp;"",[1]equip.xml!$A:$A,0))=0,0,N4288)</f>
        <v>70</v>
      </c>
      <c r="N4288" s="7">
        <f t="shared" si="5075"/>
        <v>70</v>
      </c>
    </row>
    <row r="4289" spans="1:14">
      <c r="A4289" s="7">
        <f t="shared" si="5131"/>
        <v>30007</v>
      </c>
      <c r="B4289" s="7">
        <f t="shared" ref="B4289:C4289" si="5168">B4201</f>
        <v>40000</v>
      </c>
      <c r="C4289" s="7" t="str">
        <f t="shared" si="5168"/>
        <v>装备</v>
      </c>
      <c r="D4289" s="7">
        <v>40152061</v>
      </c>
      <c r="E4289" s="7"/>
      <c r="F4289" s="7">
        <v>1</v>
      </c>
      <c r="G4289" s="7">
        <f>3*INDEX([1]equip.xml!$I:$I,MATCH(D4289&amp;"",[1]equip.xml!$A:$A,0))</f>
        <v>54000</v>
      </c>
      <c r="H4289" s="7" t="str">
        <f t="shared" ref="H4289:J4289" si="5169">H4201</f>
        <v>10_10,50_20,80_30</v>
      </c>
      <c r="I4289" s="7">
        <v>11</v>
      </c>
      <c r="J4289" s="7">
        <f t="shared" si="5169"/>
        <v>50</v>
      </c>
      <c r="K4289" s="7" t="s">
        <v>293</v>
      </c>
      <c r="L4289" s="7">
        <v>22</v>
      </c>
      <c r="M4289" s="7">
        <f>IF(INDEX([1]equip.xml!$B:$B,MATCH(D4289&amp;"",[1]equip.xml!$A:$A,0))=0,0,N4289)</f>
        <v>0</v>
      </c>
      <c r="N4289" s="7">
        <f t="shared" si="5075"/>
        <v>70</v>
      </c>
    </row>
    <row r="4290" spans="1:14">
      <c r="A4290" s="7">
        <f t="shared" si="5131"/>
        <v>30007</v>
      </c>
      <c r="B4290" s="7">
        <f t="shared" ref="B4290:C4290" si="5170">B4202</f>
        <v>40000</v>
      </c>
      <c r="C4290" s="7" t="str">
        <f t="shared" si="5170"/>
        <v>装备</v>
      </c>
      <c r="D4290" s="7">
        <v>40153050</v>
      </c>
      <c r="E4290" s="7"/>
      <c r="F4290" s="7">
        <v>1</v>
      </c>
      <c r="G4290" s="7">
        <f>3*INDEX([1]equip.xml!$I:$I,MATCH(D4290&amp;"",[1]equip.xml!$A:$A,0))</f>
        <v>45000</v>
      </c>
      <c r="H4290" s="7" t="str">
        <f t="shared" ref="H4290:J4290" si="5171">H4202</f>
        <v>10_10,50_20,80_30</v>
      </c>
      <c r="I4290" s="7">
        <v>11</v>
      </c>
      <c r="J4290" s="7">
        <f t="shared" si="5171"/>
        <v>50</v>
      </c>
      <c r="K4290" s="7" t="s">
        <v>293</v>
      </c>
      <c r="L4290" s="7">
        <v>22</v>
      </c>
      <c r="M4290" s="7">
        <f>IF(INDEX([1]equip.xml!$B:$B,MATCH(D4290&amp;"",[1]equip.xml!$A:$A,0))=0,0,N4290)</f>
        <v>70</v>
      </c>
      <c r="N4290" s="7">
        <f t="shared" si="5075"/>
        <v>70</v>
      </c>
    </row>
    <row r="4291" spans="1:14">
      <c r="A4291" s="7">
        <f t="shared" si="5131"/>
        <v>30007</v>
      </c>
      <c r="B4291" s="7">
        <f t="shared" ref="B4291:C4291" si="5172">B4203</f>
        <v>40000</v>
      </c>
      <c r="C4291" s="7" t="str">
        <f t="shared" si="5172"/>
        <v>装备</v>
      </c>
      <c r="D4291" s="7">
        <v>40153051</v>
      </c>
      <c r="E4291" s="7"/>
      <c r="F4291" s="7">
        <v>1</v>
      </c>
      <c r="G4291" s="7">
        <f>3*INDEX([1]equip.xml!$I:$I,MATCH(D4291,[1]equip.xml!$A:$A,0))</f>
        <v>54000</v>
      </c>
      <c r="H4291" s="7" t="str">
        <f t="shared" ref="H4291:J4291" si="5173">H4203</f>
        <v>10_10,50_20,80_30</v>
      </c>
      <c r="I4291" s="7">
        <v>11</v>
      </c>
      <c r="J4291" s="7">
        <f t="shared" si="5173"/>
        <v>50</v>
      </c>
      <c r="K4291" s="7" t="s">
        <v>293</v>
      </c>
      <c r="L4291" s="7">
        <v>22</v>
      </c>
      <c r="M4291" s="7">
        <f>IF(INDEX([1]equip.xml!$B:$B,MATCH(D4291,[1]equip.xml!$A:$A,0))=0,0,N4291)</f>
        <v>70</v>
      </c>
      <c r="N4291" s="7">
        <f t="shared" si="5075"/>
        <v>70</v>
      </c>
    </row>
    <row r="4292" spans="1:14">
      <c r="A4292" s="7">
        <f t="shared" si="5131"/>
        <v>30007</v>
      </c>
      <c r="B4292" s="7">
        <f t="shared" ref="B4292:C4292" si="5174">B4204</f>
        <v>40000</v>
      </c>
      <c r="C4292" s="7" t="str">
        <f t="shared" si="5174"/>
        <v>装备</v>
      </c>
      <c r="D4292" s="7">
        <v>40153060</v>
      </c>
      <c r="E4292" s="7"/>
      <c r="F4292" s="7">
        <v>1</v>
      </c>
      <c r="G4292" s="7">
        <f>3*INDEX([1]equip.xml!$I:$I,MATCH(D4292&amp;"",[1]equip.xml!$A:$A,0))</f>
        <v>45000</v>
      </c>
      <c r="H4292" s="7" t="str">
        <f t="shared" ref="H4292:J4292" si="5175">H4204</f>
        <v>10_10,50_20,80_30</v>
      </c>
      <c r="I4292" s="7">
        <v>11</v>
      </c>
      <c r="J4292" s="7">
        <f t="shared" si="5175"/>
        <v>50</v>
      </c>
      <c r="K4292" s="7" t="s">
        <v>293</v>
      </c>
      <c r="L4292" s="7">
        <v>22</v>
      </c>
      <c r="M4292" s="7">
        <f>IF(INDEX([1]equip.xml!$B:$B,MATCH(D4292&amp;"",[1]equip.xml!$A:$A,0))=0,0,N4292)</f>
        <v>70</v>
      </c>
      <c r="N4292" s="7">
        <f t="shared" si="5075"/>
        <v>70</v>
      </c>
    </row>
    <row r="4293" spans="1:14">
      <c r="A4293" s="7">
        <f t="shared" si="5131"/>
        <v>30007</v>
      </c>
      <c r="B4293" s="7">
        <f t="shared" ref="B4293:C4293" si="5176">B4205</f>
        <v>40000</v>
      </c>
      <c r="C4293" s="7" t="str">
        <f t="shared" si="5176"/>
        <v>装备</v>
      </c>
      <c r="D4293" s="7">
        <v>40153061</v>
      </c>
      <c r="E4293" s="7"/>
      <c r="F4293" s="7">
        <v>1</v>
      </c>
      <c r="G4293" s="7">
        <f>3*INDEX([1]equip.xml!$I:$I,MATCH(D4293&amp;"",[1]equip.xml!$A:$A,0))</f>
        <v>54000</v>
      </c>
      <c r="H4293" s="7" t="str">
        <f t="shared" ref="H4293:J4293" si="5177">H4205</f>
        <v>10_10,50_20,80_30</v>
      </c>
      <c r="I4293" s="7">
        <v>11</v>
      </c>
      <c r="J4293" s="7">
        <f t="shared" si="5177"/>
        <v>50</v>
      </c>
      <c r="K4293" s="7" t="s">
        <v>293</v>
      </c>
      <c r="L4293" s="7">
        <v>22</v>
      </c>
      <c r="M4293" s="7">
        <f>IF(INDEX([1]equip.xml!$B:$B,MATCH(D4293&amp;"",[1]equip.xml!$A:$A,0))=0,0,N4293)</f>
        <v>0</v>
      </c>
      <c r="N4293" s="7">
        <f t="shared" si="5075"/>
        <v>70</v>
      </c>
    </row>
    <row r="4294" spans="1:14">
      <c r="A4294" s="7">
        <f t="shared" si="5131"/>
        <v>30007</v>
      </c>
      <c r="B4294" s="7">
        <f t="shared" ref="B4294:C4294" si="5178">B4206</f>
        <v>40000</v>
      </c>
      <c r="C4294" s="7" t="str">
        <f t="shared" si="5178"/>
        <v>装备</v>
      </c>
      <c r="D4294" s="7">
        <v>40150040</v>
      </c>
      <c r="E4294" s="7"/>
      <c r="F4294" s="7">
        <v>1</v>
      </c>
      <c r="G4294" s="7">
        <f>3*INDEX([1]equip.xml!$I:$I,MATCH(D4294&amp;"",[1]equip.xml!$A:$A,0))</f>
        <v>45000</v>
      </c>
      <c r="H4294" s="7" t="str">
        <f t="shared" ref="H4294:J4294" si="5179">H4206</f>
        <v>10_10,50_20,80_30</v>
      </c>
      <c r="I4294" s="7">
        <v>11</v>
      </c>
      <c r="J4294" s="7">
        <f t="shared" si="5179"/>
        <v>50</v>
      </c>
      <c r="K4294" s="7" t="s">
        <v>293</v>
      </c>
      <c r="L4294" s="7">
        <v>22</v>
      </c>
      <c r="M4294" s="7">
        <f>IF(INDEX([1]equip.xml!$B:$B,MATCH(D4294&amp;"",[1]equip.xml!$A:$A,0))=0,0,N4294)</f>
        <v>70</v>
      </c>
      <c r="N4294" s="7">
        <f t="shared" si="5075"/>
        <v>70</v>
      </c>
    </row>
    <row r="4295" spans="1:14">
      <c r="A4295" s="7">
        <f t="shared" si="5131"/>
        <v>30007</v>
      </c>
      <c r="B4295" s="7">
        <f t="shared" ref="B4295:C4295" si="5180">B4207</f>
        <v>40000</v>
      </c>
      <c r="C4295" s="7" t="str">
        <f t="shared" si="5180"/>
        <v>装备</v>
      </c>
      <c r="D4295" s="7">
        <v>40150041</v>
      </c>
      <c r="E4295" s="7"/>
      <c r="F4295" s="7">
        <v>1</v>
      </c>
      <c r="G4295" s="7">
        <f>3*INDEX([1]equip.xml!$I:$I,MATCH(D4295&amp;"",[1]equip.xml!$A:$A,0))</f>
        <v>54000</v>
      </c>
      <c r="H4295" s="7" t="str">
        <f t="shared" ref="H4295:J4295" si="5181">H4207</f>
        <v>10_10,50_20,80_30</v>
      </c>
      <c r="I4295" s="7">
        <v>11</v>
      </c>
      <c r="J4295" s="7">
        <f t="shared" si="5181"/>
        <v>50</v>
      </c>
      <c r="K4295" s="7" t="s">
        <v>293</v>
      </c>
      <c r="L4295" s="7">
        <v>22</v>
      </c>
      <c r="M4295" s="7">
        <f>IF(INDEX([1]equip.xml!$B:$B,MATCH(D4295&amp;"",[1]equip.xml!$A:$A,0))=0,0,N4295)</f>
        <v>0</v>
      </c>
      <c r="N4295" s="7">
        <f t="shared" ref="N4295:N4358" si="5182">N4207</f>
        <v>70</v>
      </c>
    </row>
    <row r="4296" spans="1:14">
      <c r="A4296" s="7">
        <f t="shared" si="5131"/>
        <v>30007</v>
      </c>
      <c r="B4296" s="7">
        <f t="shared" ref="B4296:C4296" si="5183">B4208</f>
        <v>40000</v>
      </c>
      <c r="C4296" s="7" t="str">
        <f t="shared" si="5183"/>
        <v>装备</v>
      </c>
      <c r="D4296" s="7">
        <v>40150070</v>
      </c>
      <c r="E4296" s="7"/>
      <c r="F4296" s="7">
        <v>1</v>
      </c>
      <c r="G4296" s="7">
        <f>3*INDEX([1]equip.xml!$I:$I,MATCH(D4296&amp;"",[1]equip.xml!$A:$A,0))</f>
        <v>45000</v>
      </c>
      <c r="H4296" s="7" t="str">
        <f t="shared" ref="H4296:J4296" si="5184">H4208</f>
        <v>10_10,50_20,80_30</v>
      </c>
      <c r="I4296" s="7">
        <v>11</v>
      </c>
      <c r="J4296" s="7">
        <f t="shared" si="5184"/>
        <v>50</v>
      </c>
      <c r="K4296" s="7" t="s">
        <v>293</v>
      </c>
      <c r="L4296" s="7">
        <v>22</v>
      </c>
      <c r="M4296" s="7">
        <f>IF(INDEX([1]equip.xml!$B:$B,MATCH(D4296&amp;"",[1]equip.xml!$A:$A,0))=0,0,N4296)</f>
        <v>70</v>
      </c>
      <c r="N4296" s="7">
        <f t="shared" si="5182"/>
        <v>70</v>
      </c>
    </row>
    <row r="4297" spans="1:14">
      <c r="A4297" s="7">
        <f t="shared" si="5131"/>
        <v>30007</v>
      </c>
      <c r="B4297" s="7">
        <f t="shared" ref="B4297:C4297" si="5185">B4209</f>
        <v>40000</v>
      </c>
      <c r="C4297" s="7" t="str">
        <f t="shared" si="5185"/>
        <v>装备</v>
      </c>
      <c r="D4297" s="7">
        <v>40150071</v>
      </c>
      <c r="E4297" s="7"/>
      <c r="F4297" s="7">
        <v>1</v>
      </c>
      <c r="G4297" s="7">
        <f>3*INDEX([1]equip.xml!$I:$I,MATCH(D4297&amp;"",[1]equip.xml!$A:$A,0))</f>
        <v>54000</v>
      </c>
      <c r="H4297" s="7" t="str">
        <f t="shared" ref="H4297:J4297" si="5186">H4209</f>
        <v>10_10,50_20,80_30</v>
      </c>
      <c r="I4297" s="7">
        <v>11</v>
      </c>
      <c r="J4297" s="7">
        <f t="shared" si="5186"/>
        <v>50</v>
      </c>
      <c r="K4297" s="7" t="s">
        <v>293</v>
      </c>
      <c r="L4297" s="7">
        <v>22</v>
      </c>
      <c r="M4297" s="7">
        <f>IF(INDEX([1]equip.xml!$B:$B,MATCH(D4297&amp;"",[1]equip.xml!$A:$A,0))=0,0,N4297)</f>
        <v>0</v>
      </c>
      <c r="N4297" s="7">
        <f t="shared" si="5182"/>
        <v>70</v>
      </c>
    </row>
    <row r="4298" spans="1:14">
      <c r="A4298" s="7">
        <f t="shared" si="5131"/>
        <v>30007</v>
      </c>
      <c r="B4298" s="7">
        <f t="shared" ref="B4298:C4298" si="5187">B4210</f>
        <v>40000</v>
      </c>
      <c r="C4298" s="7" t="str">
        <f t="shared" si="5187"/>
        <v>装备</v>
      </c>
      <c r="D4298" s="7">
        <v>50100015</v>
      </c>
      <c r="E4298" s="7"/>
      <c r="F4298" s="7">
        <v>1</v>
      </c>
      <c r="G4298" s="8">
        <f>3*INDEX([1]equip.xml!$I:$I,MATCH(D4298,[1]equip.xml!$A:$A,0))</f>
        <v>60000</v>
      </c>
      <c r="H4298" s="7" t="str">
        <f t="shared" ref="H4298:J4298" si="5188">H4210</f>
        <v>10_10,50_20,80_30</v>
      </c>
      <c r="I4298" s="7">
        <v>11</v>
      </c>
      <c r="J4298" s="7">
        <f t="shared" si="5188"/>
        <v>240</v>
      </c>
      <c r="K4298" s="7" t="s">
        <v>293</v>
      </c>
      <c r="L4298" s="7">
        <v>22</v>
      </c>
      <c r="M4298" s="7">
        <f>IF(INDEX([1]equip.xml!$B:$B,MATCH(D4298,[1]equip.xml!$A:$A,0))=0,0,N4298)</f>
        <v>200</v>
      </c>
      <c r="N4298" s="7">
        <f t="shared" si="5182"/>
        <v>200</v>
      </c>
    </row>
    <row r="4299" spans="1:14">
      <c r="A4299" s="7">
        <f t="shared" si="5131"/>
        <v>30007</v>
      </c>
      <c r="B4299" s="7">
        <f t="shared" ref="B4299:C4299" si="5189">B4211</f>
        <v>40000</v>
      </c>
      <c r="C4299" s="7" t="str">
        <f t="shared" si="5189"/>
        <v>装备</v>
      </c>
      <c r="D4299" s="7">
        <v>50100025</v>
      </c>
      <c r="E4299" s="7"/>
      <c r="F4299" s="7">
        <v>1</v>
      </c>
      <c r="G4299" s="8">
        <f>3*INDEX([1]equip.xml!$I:$I,MATCH(D4299,[1]equip.xml!$A:$A,0))</f>
        <v>60000</v>
      </c>
      <c r="H4299" s="7" t="str">
        <f t="shared" ref="H4299:J4299" si="5190">H4211</f>
        <v>10_10,50_20,80_30</v>
      </c>
      <c r="I4299" s="7">
        <v>11</v>
      </c>
      <c r="J4299" s="7">
        <f t="shared" si="5190"/>
        <v>240</v>
      </c>
      <c r="K4299" s="7" t="s">
        <v>293</v>
      </c>
      <c r="L4299" s="7">
        <v>22</v>
      </c>
      <c r="M4299" s="7">
        <f>IF(INDEX([1]equip.xml!$B:$B,MATCH(D4299,[1]equip.xml!$A:$A,0))=0,0,N4299)</f>
        <v>200</v>
      </c>
      <c r="N4299" s="7">
        <f t="shared" si="5182"/>
        <v>200</v>
      </c>
    </row>
    <row r="4300" spans="1:14">
      <c r="A4300" s="7">
        <f t="shared" si="5131"/>
        <v>30007</v>
      </c>
      <c r="B4300" s="7">
        <f t="shared" ref="B4300:C4300" si="5191">B4212</f>
        <v>40000</v>
      </c>
      <c r="C4300" s="7" t="str">
        <f t="shared" si="5191"/>
        <v>装备</v>
      </c>
      <c r="D4300" s="7">
        <v>50100035</v>
      </c>
      <c r="E4300" s="7"/>
      <c r="F4300" s="7">
        <v>1</v>
      </c>
      <c r="G4300" s="8">
        <f>3*INDEX([1]equip.xml!$I:$I,MATCH(D4300,[1]equip.xml!$A:$A,0))</f>
        <v>60000</v>
      </c>
      <c r="H4300" s="7" t="str">
        <f t="shared" ref="H4300:J4300" si="5192">H4212</f>
        <v>10_10,50_20,80_30</v>
      </c>
      <c r="I4300" s="7">
        <v>11</v>
      </c>
      <c r="J4300" s="7">
        <f t="shared" si="5192"/>
        <v>240</v>
      </c>
      <c r="K4300" s="7" t="s">
        <v>293</v>
      </c>
      <c r="L4300" s="7">
        <v>22</v>
      </c>
      <c r="M4300" s="7">
        <f>IF(INDEX([1]equip.xml!$B:$B,MATCH(D4300,[1]equip.xml!$A:$A,0))=0,0,N4300)</f>
        <v>200</v>
      </c>
      <c r="N4300" s="7">
        <f t="shared" si="5182"/>
        <v>200</v>
      </c>
    </row>
    <row r="4301" spans="1:14">
      <c r="A4301" s="7">
        <f t="shared" si="5131"/>
        <v>30007</v>
      </c>
      <c r="B4301" s="7">
        <f t="shared" ref="B4301:C4301" si="5193">B4213</f>
        <v>40000</v>
      </c>
      <c r="C4301" s="7" t="str">
        <f t="shared" si="5193"/>
        <v>装备</v>
      </c>
      <c r="D4301" s="7">
        <v>50100085</v>
      </c>
      <c r="E4301" s="7"/>
      <c r="F4301" s="7">
        <v>1</v>
      </c>
      <c r="G4301" s="8">
        <f>3*INDEX([1]equip.xml!$I:$I,MATCH(D4301,[1]equip.xml!$A:$A,0))</f>
        <v>60000</v>
      </c>
      <c r="H4301" s="7" t="str">
        <f t="shared" ref="H4301:J4301" si="5194">H4213</f>
        <v>10_10,50_20,80_30</v>
      </c>
      <c r="I4301" s="7">
        <v>11</v>
      </c>
      <c r="J4301" s="7">
        <f t="shared" si="5194"/>
        <v>240</v>
      </c>
      <c r="K4301" s="7" t="s">
        <v>293</v>
      </c>
      <c r="L4301" s="7">
        <v>22</v>
      </c>
      <c r="M4301" s="7">
        <f>IF(INDEX([1]equip.xml!$B:$B,MATCH(D4301,[1]equip.xml!$A:$A,0))=0,0,N4301)</f>
        <v>200</v>
      </c>
      <c r="N4301" s="7">
        <f t="shared" si="5182"/>
        <v>200</v>
      </c>
    </row>
    <row r="4302" spans="1:14">
      <c r="A4302" s="7">
        <f t="shared" si="5131"/>
        <v>30007</v>
      </c>
      <c r="B4302" s="7">
        <f t="shared" ref="B4302:C4302" si="5195">B4214</f>
        <v>40000</v>
      </c>
      <c r="C4302" s="7" t="str">
        <f t="shared" si="5195"/>
        <v>装备</v>
      </c>
      <c r="D4302" s="7">
        <v>50100095</v>
      </c>
      <c r="E4302" s="7"/>
      <c r="F4302" s="7">
        <v>1</v>
      </c>
      <c r="G4302" s="8">
        <f>3*INDEX([1]equip.xml!$I:$I,MATCH(D4302,[1]equip.xml!$A:$A,0))</f>
        <v>60000</v>
      </c>
      <c r="H4302" s="7" t="str">
        <f t="shared" ref="H4302:J4302" si="5196">H4214</f>
        <v>10_10,50_20,80_30</v>
      </c>
      <c r="I4302" s="7">
        <v>11</v>
      </c>
      <c r="J4302" s="7">
        <f t="shared" si="5196"/>
        <v>240</v>
      </c>
      <c r="K4302" s="7" t="s">
        <v>293</v>
      </c>
      <c r="L4302" s="7">
        <v>22</v>
      </c>
      <c r="M4302" s="7">
        <f>IF(INDEX([1]equip.xml!$B:$B,MATCH(D4302,[1]equip.xml!$A:$A,0))=0,0,N4302)</f>
        <v>200</v>
      </c>
      <c r="N4302" s="7">
        <f t="shared" si="5182"/>
        <v>200</v>
      </c>
    </row>
    <row r="4303" spans="1:14">
      <c r="A4303" s="7">
        <f t="shared" si="5131"/>
        <v>30007</v>
      </c>
      <c r="B4303" s="7">
        <f t="shared" ref="B4303:C4303" si="5197">B4215</f>
        <v>40000</v>
      </c>
      <c r="C4303" s="7" t="str">
        <f t="shared" si="5197"/>
        <v>装备</v>
      </c>
      <c r="D4303" s="7">
        <v>50100105</v>
      </c>
      <c r="E4303" s="7"/>
      <c r="F4303" s="7">
        <v>1</v>
      </c>
      <c r="G4303" s="8">
        <f>3*INDEX([1]equip.xml!$I:$I,MATCH(D4303,[1]equip.xml!$A:$A,0))</f>
        <v>60000</v>
      </c>
      <c r="H4303" s="7" t="str">
        <f t="shared" ref="H4303:J4303" si="5198">H4215</f>
        <v>10_10,50_20,80_30</v>
      </c>
      <c r="I4303" s="7">
        <v>11</v>
      </c>
      <c r="J4303" s="7">
        <f t="shared" si="5198"/>
        <v>240</v>
      </c>
      <c r="K4303" s="7" t="s">
        <v>293</v>
      </c>
      <c r="L4303" s="7">
        <v>22</v>
      </c>
      <c r="M4303" s="7">
        <f>IF(INDEX([1]equip.xml!$B:$B,MATCH(D4303,[1]equip.xml!$A:$A,0))=0,0,N4303)</f>
        <v>0</v>
      </c>
      <c r="N4303" s="7">
        <f t="shared" si="5182"/>
        <v>200</v>
      </c>
    </row>
    <row r="4304" spans="1:14">
      <c r="A4304" s="7">
        <f t="shared" si="5131"/>
        <v>30007</v>
      </c>
      <c r="B4304" s="7">
        <f t="shared" ref="B4304:C4304" si="5199">B4216</f>
        <v>40000</v>
      </c>
      <c r="C4304" s="7" t="str">
        <f t="shared" si="5199"/>
        <v>装备</v>
      </c>
      <c r="D4304" s="7">
        <v>50101055</v>
      </c>
      <c r="E4304" s="7"/>
      <c r="F4304" s="7">
        <v>1</v>
      </c>
      <c r="G4304" s="8">
        <f>3*INDEX([1]equip.xml!$I:$I,MATCH(D4304,[1]equip.xml!$A:$A,0))</f>
        <v>60000</v>
      </c>
      <c r="H4304" s="7" t="str">
        <f t="shared" ref="H4304:J4304" si="5200">H4216</f>
        <v>10_10,50_20,80_30</v>
      </c>
      <c r="I4304" s="7">
        <v>11</v>
      </c>
      <c r="J4304" s="7">
        <f t="shared" si="5200"/>
        <v>240</v>
      </c>
      <c r="K4304" s="7" t="s">
        <v>293</v>
      </c>
      <c r="L4304" s="7">
        <v>22</v>
      </c>
      <c r="M4304" s="7">
        <f>IF(INDEX([1]equip.xml!$B:$B,MATCH(D4304,[1]equip.xml!$A:$A,0))=0,0,N4304)</f>
        <v>200</v>
      </c>
      <c r="N4304" s="7">
        <f t="shared" si="5182"/>
        <v>200</v>
      </c>
    </row>
    <row r="4305" spans="1:14">
      <c r="A4305" s="7">
        <f t="shared" si="5131"/>
        <v>30007</v>
      </c>
      <c r="B4305" s="7">
        <f t="shared" ref="B4305:C4305" si="5201">B4217</f>
        <v>40000</v>
      </c>
      <c r="C4305" s="7" t="str">
        <f t="shared" si="5201"/>
        <v>装备</v>
      </c>
      <c r="D4305" s="7">
        <v>50101056</v>
      </c>
      <c r="E4305" s="7"/>
      <c r="F4305" s="7">
        <v>1</v>
      </c>
      <c r="G4305" s="8">
        <f>3*INDEX([1]equip.xml!$I:$I,MATCH(D4305,[1]equip.xml!$A:$A,0))</f>
        <v>78000</v>
      </c>
      <c r="H4305" s="7" t="str">
        <f t="shared" ref="H4305:J4305" si="5202">H4217</f>
        <v>10_10,50_20,80_30</v>
      </c>
      <c r="I4305" s="7">
        <v>11</v>
      </c>
      <c r="J4305" s="7">
        <f t="shared" si="5202"/>
        <v>240</v>
      </c>
      <c r="K4305" s="7" t="s">
        <v>293</v>
      </c>
      <c r="L4305" s="7">
        <v>22</v>
      </c>
      <c r="M4305" s="7">
        <f>IF(INDEX([1]equip.xml!$B:$B,MATCH(D4305,[1]equip.xml!$A:$A,0))=0,0,N4305)</f>
        <v>200</v>
      </c>
      <c r="N4305" s="7">
        <f t="shared" si="5182"/>
        <v>200</v>
      </c>
    </row>
    <row r="4306" spans="1:14">
      <c r="A4306" s="7">
        <f t="shared" si="5131"/>
        <v>30007</v>
      </c>
      <c r="B4306" s="7">
        <f t="shared" ref="B4306:C4306" si="5203">B4218</f>
        <v>40000</v>
      </c>
      <c r="C4306" s="7" t="str">
        <f t="shared" si="5203"/>
        <v>装备</v>
      </c>
      <c r="D4306" s="7">
        <v>50101065</v>
      </c>
      <c r="E4306" s="7"/>
      <c r="F4306" s="7">
        <v>1</v>
      </c>
      <c r="G4306" s="8">
        <f>3*INDEX([1]equip.xml!$I:$I,MATCH(D4306,[1]equip.xml!$A:$A,0))</f>
        <v>60000</v>
      </c>
      <c r="H4306" s="7" t="str">
        <f t="shared" ref="H4306:J4306" si="5204">H4218</f>
        <v>10_10,50_20,80_30</v>
      </c>
      <c r="I4306" s="7">
        <v>11</v>
      </c>
      <c r="J4306" s="7">
        <f t="shared" si="5204"/>
        <v>240</v>
      </c>
      <c r="K4306" s="7" t="s">
        <v>293</v>
      </c>
      <c r="L4306" s="7">
        <v>22</v>
      </c>
      <c r="M4306" s="7">
        <f>IF(INDEX([1]equip.xml!$B:$B,MATCH(D4306,[1]equip.xml!$A:$A,0))=0,0,N4306)</f>
        <v>200</v>
      </c>
      <c r="N4306" s="7">
        <f t="shared" si="5182"/>
        <v>200</v>
      </c>
    </row>
    <row r="4307" spans="1:14">
      <c r="A4307" s="7">
        <f t="shared" si="5131"/>
        <v>30007</v>
      </c>
      <c r="B4307" s="7">
        <f t="shared" ref="B4307:C4307" si="5205">B4219</f>
        <v>40000</v>
      </c>
      <c r="C4307" s="7" t="str">
        <f t="shared" si="5205"/>
        <v>装备</v>
      </c>
      <c r="D4307" s="7">
        <v>50101066</v>
      </c>
      <c r="E4307" s="7"/>
      <c r="F4307" s="7">
        <v>1</v>
      </c>
      <c r="G4307" s="8">
        <f>3*INDEX([1]equip.xml!$I:$I,MATCH(D4307,[1]equip.xml!$A:$A,0))</f>
        <v>78000</v>
      </c>
      <c r="H4307" s="7" t="str">
        <f t="shared" ref="H4307:J4307" si="5206">H4219</f>
        <v>10_10,50_20,80_30</v>
      </c>
      <c r="I4307" s="7">
        <v>11</v>
      </c>
      <c r="J4307" s="7">
        <f t="shared" si="5206"/>
        <v>240</v>
      </c>
      <c r="K4307" s="7" t="s">
        <v>293</v>
      </c>
      <c r="L4307" s="7">
        <v>22</v>
      </c>
      <c r="M4307" s="7">
        <f>IF(INDEX([1]equip.xml!$B:$B,MATCH(D4307,[1]equip.xml!$A:$A,0))=0,0,N4307)</f>
        <v>0</v>
      </c>
      <c r="N4307" s="7">
        <f t="shared" si="5182"/>
        <v>200</v>
      </c>
    </row>
    <row r="4308" spans="1:14">
      <c r="A4308" s="7">
        <f t="shared" si="5131"/>
        <v>30007</v>
      </c>
      <c r="B4308" s="7">
        <f t="shared" ref="B4308:C4308" si="5207">B4220</f>
        <v>40000</v>
      </c>
      <c r="C4308" s="7" t="str">
        <f t="shared" si="5207"/>
        <v>装备</v>
      </c>
      <c r="D4308" s="7">
        <v>50102055</v>
      </c>
      <c r="E4308" s="7"/>
      <c r="F4308" s="7">
        <v>1</v>
      </c>
      <c r="G4308" s="8">
        <f>3*INDEX([1]equip.xml!$I:$I,MATCH(D4308,[1]equip.xml!$A:$A,0))</f>
        <v>60000</v>
      </c>
      <c r="H4308" s="7" t="str">
        <f t="shared" ref="H4308:J4308" si="5208">H4220</f>
        <v>10_10,50_20,80_30</v>
      </c>
      <c r="I4308" s="7">
        <v>11</v>
      </c>
      <c r="J4308" s="7">
        <f t="shared" si="5208"/>
        <v>240</v>
      </c>
      <c r="K4308" s="7" t="s">
        <v>293</v>
      </c>
      <c r="L4308" s="7">
        <v>22</v>
      </c>
      <c r="M4308" s="7">
        <f>IF(INDEX([1]equip.xml!$B:$B,MATCH(D4308,[1]equip.xml!$A:$A,0))=0,0,N4308)</f>
        <v>200</v>
      </c>
      <c r="N4308" s="7">
        <f t="shared" si="5182"/>
        <v>200</v>
      </c>
    </row>
    <row r="4309" spans="1:14">
      <c r="A4309" s="7">
        <f t="shared" si="5131"/>
        <v>30007</v>
      </c>
      <c r="B4309" s="7">
        <f t="shared" ref="B4309:C4309" si="5209">B4221</f>
        <v>40000</v>
      </c>
      <c r="C4309" s="7" t="str">
        <f t="shared" si="5209"/>
        <v>装备</v>
      </c>
      <c r="D4309" s="7">
        <v>50102056</v>
      </c>
      <c r="E4309" s="7"/>
      <c r="F4309" s="7">
        <v>1</v>
      </c>
      <c r="G4309" s="8">
        <f>3*INDEX([1]equip.xml!$I:$I,MATCH(D4309,[1]equip.xml!$A:$A,0))</f>
        <v>78000</v>
      </c>
      <c r="H4309" s="7" t="str">
        <f t="shared" ref="H4309:J4309" si="5210">H4221</f>
        <v>10_10,50_20,80_30</v>
      </c>
      <c r="I4309" s="7">
        <v>11</v>
      </c>
      <c r="J4309" s="7">
        <f t="shared" si="5210"/>
        <v>240</v>
      </c>
      <c r="K4309" s="7" t="s">
        <v>293</v>
      </c>
      <c r="L4309" s="7">
        <v>22</v>
      </c>
      <c r="M4309" s="7">
        <f>IF(INDEX([1]equip.xml!$B:$B,MATCH(D4309,[1]equip.xml!$A:$A,0))=0,0,N4309)</f>
        <v>200</v>
      </c>
      <c r="N4309" s="7">
        <f t="shared" si="5182"/>
        <v>200</v>
      </c>
    </row>
    <row r="4310" spans="1:14">
      <c r="A4310" s="7">
        <f t="shared" si="5131"/>
        <v>30007</v>
      </c>
      <c r="B4310" s="7">
        <f t="shared" ref="B4310:C4310" si="5211">B4222</f>
        <v>40000</v>
      </c>
      <c r="C4310" s="7" t="str">
        <f t="shared" si="5211"/>
        <v>装备</v>
      </c>
      <c r="D4310" s="7">
        <v>50102065</v>
      </c>
      <c r="E4310" s="7"/>
      <c r="F4310" s="7">
        <v>1</v>
      </c>
      <c r="G4310" s="8">
        <f>3*INDEX([1]equip.xml!$I:$I,MATCH(D4310,[1]equip.xml!$A:$A,0))</f>
        <v>60000</v>
      </c>
      <c r="H4310" s="7" t="str">
        <f t="shared" ref="H4310:J4310" si="5212">H4222</f>
        <v>10_10,50_20,80_30</v>
      </c>
      <c r="I4310" s="7">
        <v>11</v>
      </c>
      <c r="J4310" s="7">
        <f t="shared" si="5212"/>
        <v>240</v>
      </c>
      <c r="K4310" s="7" t="s">
        <v>293</v>
      </c>
      <c r="L4310" s="7">
        <v>22</v>
      </c>
      <c r="M4310" s="7">
        <f>IF(INDEX([1]equip.xml!$B:$B,MATCH(D4310,[1]equip.xml!$A:$A,0))=0,0,N4310)</f>
        <v>200</v>
      </c>
      <c r="N4310" s="7">
        <f t="shared" si="5182"/>
        <v>200</v>
      </c>
    </row>
    <row r="4311" spans="1:14">
      <c r="A4311" s="7">
        <f t="shared" si="5131"/>
        <v>30007</v>
      </c>
      <c r="B4311" s="7">
        <f t="shared" ref="B4311:C4311" si="5213">B4223</f>
        <v>40000</v>
      </c>
      <c r="C4311" s="7" t="str">
        <f t="shared" si="5213"/>
        <v>装备</v>
      </c>
      <c r="D4311" s="7">
        <v>50102066</v>
      </c>
      <c r="E4311" s="7"/>
      <c r="F4311" s="7">
        <v>1</v>
      </c>
      <c r="G4311" s="8">
        <f>3*INDEX([1]equip.xml!$I:$I,MATCH(D4311,[1]equip.xml!$A:$A,0))</f>
        <v>78000</v>
      </c>
      <c r="H4311" s="7" t="str">
        <f t="shared" ref="H4311:J4311" si="5214">H4223</f>
        <v>10_10,50_20,80_30</v>
      </c>
      <c r="I4311" s="7">
        <v>11</v>
      </c>
      <c r="J4311" s="7">
        <f t="shared" si="5214"/>
        <v>240</v>
      </c>
      <c r="K4311" s="7" t="s">
        <v>293</v>
      </c>
      <c r="L4311" s="7">
        <v>22</v>
      </c>
      <c r="M4311" s="7">
        <f>IF(INDEX([1]equip.xml!$B:$B,MATCH(D4311,[1]equip.xml!$A:$A,0))=0,0,N4311)</f>
        <v>0</v>
      </c>
      <c r="N4311" s="7">
        <f t="shared" si="5182"/>
        <v>200</v>
      </c>
    </row>
    <row r="4312" spans="1:14">
      <c r="A4312" s="7">
        <f t="shared" si="5131"/>
        <v>30007</v>
      </c>
      <c r="B4312" s="7">
        <f t="shared" ref="B4312:C4312" si="5215">B4224</f>
        <v>40000</v>
      </c>
      <c r="C4312" s="7" t="str">
        <f t="shared" si="5215"/>
        <v>装备</v>
      </c>
      <c r="D4312" s="7">
        <v>50103055</v>
      </c>
      <c r="E4312" s="7"/>
      <c r="F4312" s="7">
        <v>1</v>
      </c>
      <c r="G4312" s="8">
        <f>3*INDEX([1]equip.xml!$I:$I,MATCH(D4312,[1]equip.xml!$A:$A,0))</f>
        <v>60000</v>
      </c>
      <c r="H4312" s="7" t="str">
        <f t="shared" ref="H4312:J4312" si="5216">H4224</f>
        <v>10_10,50_20,80_30</v>
      </c>
      <c r="I4312" s="7">
        <v>11</v>
      </c>
      <c r="J4312" s="7">
        <f t="shared" si="5216"/>
        <v>240</v>
      </c>
      <c r="K4312" s="7" t="s">
        <v>293</v>
      </c>
      <c r="L4312" s="7">
        <v>22</v>
      </c>
      <c r="M4312" s="7">
        <f>IF(INDEX([1]equip.xml!$B:$B,MATCH(D4312,[1]equip.xml!$A:$A,0))=0,0,N4312)</f>
        <v>200</v>
      </c>
      <c r="N4312" s="7">
        <f t="shared" si="5182"/>
        <v>200</v>
      </c>
    </row>
    <row r="4313" spans="1:14">
      <c r="A4313" s="7">
        <f t="shared" si="5131"/>
        <v>30007</v>
      </c>
      <c r="B4313" s="7">
        <f t="shared" ref="B4313:C4313" si="5217">B4225</f>
        <v>40000</v>
      </c>
      <c r="C4313" s="7" t="str">
        <f t="shared" si="5217"/>
        <v>装备</v>
      </c>
      <c r="D4313" s="7">
        <v>50103056</v>
      </c>
      <c r="E4313" s="7"/>
      <c r="F4313" s="7">
        <v>1</v>
      </c>
      <c r="G4313" s="8">
        <f>3*INDEX([1]equip.xml!$I:$I,MATCH(D4313,[1]equip.xml!$A:$A,0))</f>
        <v>78000</v>
      </c>
      <c r="H4313" s="7" t="str">
        <f t="shared" ref="H4313:J4313" si="5218">H4225</f>
        <v>10_10,50_20,80_30</v>
      </c>
      <c r="I4313" s="7">
        <v>11</v>
      </c>
      <c r="J4313" s="7">
        <f t="shared" si="5218"/>
        <v>240</v>
      </c>
      <c r="K4313" s="7" t="s">
        <v>293</v>
      </c>
      <c r="L4313" s="7">
        <v>22</v>
      </c>
      <c r="M4313" s="7">
        <f>IF(INDEX([1]equip.xml!$B:$B,MATCH(D4313,[1]equip.xml!$A:$A,0))=0,0,N4313)</f>
        <v>200</v>
      </c>
      <c r="N4313" s="7">
        <f t="shared" si="5182"/>
        <v>200</v>
      </c>
    </row>
    <row r="4314" spans="1:14">
      <c r="A4314" s="7">
        <f t="shared" si="5131"/>
        <v>30007</v>
      </c>
      <c r="B4314" s="7">
        <f t="shared" ref="B4314:C4314" si="5219">B4226</f>
        <v>40000</v>
      </c>
      <c r="C4314" s="7" t="str">
        <f t="shared" si="5219"/>
        <v>装备</v>
      </c>
      <c r="D4314" s="7">
        <v>50103065</v>
      </c>
      <c r="E4314" s="7"/>
      <c r="F4314" s="7">
        <v>1</v>
      </c>
      <c r="G4314" s="8">
        <f>3*INDEX([1]equip.xml!$I:$I,MATCH(D4314,[1]equip.xml!$A:$A,0))</f>
        <v>60000</v>
      </c>
      <c r="H4314" s="7" t="str">
        <f t="shared" ref="H4314:J4314" si="5220">H4226</f>
        <v>10_10,50_20,80_30</v>
      </c>
      <c r="I4314" s="7">
        <v>11</v>
      </c>
      <c r="J4314" s="7">
        <f t="shared" si="5220"/>
        <v>240</v>
      </c>
      <c r="K4314" s="7" t="s">
        <v>293</v>
      </c>
      <c r="L4314" s="7">
        <v>22</v>
      </c>
      <c r="M4314" s="7">
        <f>IF(INDEX([1]equip.xml!$B:$B,MATCH(D4314,[1]equip.xml!$A:$A,0))=0,0,N4314)</f>
        <v>200</v>
      </c>
      <c r="N4314" s="7">
        <f t="shared" si="5182"/>
        <v>200</v>
      </c>
    </row>
    <row r="4315" spans="1:14">
      <c r="A4315" s="7">
        <f t="shared" si="5131"/>
        <v>30007</v>
      </c>
      <c r="B4315" s="7">
        <f t="shared" ref="B4315:C4315" si="5221">B4227</f>
        <v>40000</v>
      </c>
      <c r="C4315" s="7" t="str">
        <f t="shared" si="5221"/>
        <v>装备</v>
      </c>
      <c r="D4315" s="7">
        <v>50103066</v>
      </c>
      <c r="E4315" s="7"/>
      <c r="F4315" s="7">
        <v>1</v>
      </c>
      <c r="G4315" s="8">
        <f>3*INDEX([1]equip.xml!$I:$I,MATCH(D4315,[1]equip.xml!$A:$A,0))</f>
        <v>78000</v>
      </c>
      <c r="H4315" s="7" t="str">
        <f t="shared" ref="H4315:J4315" si="5222">H4227</f>
        <v>10_10,50_20,80_30</v>
      </c>
      <c r="I4315" s="7">
        <v>11</v>
      </c>
      <c r="J4315" s="7">
        <f t="shared" si="5222"/>
        <v>240</v>
      </c>
      <c r="K4315" s="7" t="s">
        <v>293</v>
      </c>
      <c r="L4315" s="7">
        <v>22</v>
      </c>
      <c r="M4315" s="7">
        <f>IF(INDEX([1]equip.xml!$B:$B,MATCH(D4315,[1]equip.xml!$A:$A,0))=0,0,N4315)</f>
        <v>0</v>
      </c>
      <c r="N4315" s="7">
        <f t="shared" si="5182"/>
        <v>200</v>
      </c>
    </row>
    <row r="4316" spans="1:14">
      <c r="A4316" s="7">
        <f t="shared" si="5131"/>
        <v>30007</v>
      </c>
      <c r="B4316" s="7">
        <f t="shared" ref="B4316:C4316" si="5223">B4228</f>
        <v>40000</v>
      </c>
      <c r="C4316" s="7" t="str">
        <f t="shared" si="5223"/>
        <v>装备</v>
      </c>
      <c r="D4316" s="7">
        <v>50100045</v>
      </c>
      <c r="E4316" s="7"/>
      <c r="F4316" s="7">
        <v>1</v>
      </c>
      <c r="G4316" s="8">
        <f>3*INDEX([1]equip.xml!$I:$I,MATCH(D4316,[1]equip.xml!$A:$A,0))</f>
        <v>60000</v>
      </c>
      <c r="H4316" s="7" t="str">
        <f t="shared" ref="H4316:J4316" si="5224">H4228</f>
        <v>10_10,50_20,80_30</v>
      </c>
      <c r="I4316" s="7">
        <v>11</v>
      </c>
      <c r="J4316" s="7">
        <f t="shared" si="5224"/>
        <v>240</v>
      </c>
      <c r="K4316" s="7" t="s">
        <v>293</v>
      </c>
      <c r="L4316" s="7">
        <v>22</v>
      </c>
      <c r="M4316" s="7">
        <f>IF(INDEX([1]equip.xml!$B:$B,MATCH(D4316,[1]equip.xml!$A:$A,0))=0,0,N4316)</f>
        <v>200</v>
      </c>
      <c r="N4316" s="7">
        <f t="shared" si="5182"/>
        <v>200</v>
      </c>
    </row>
    <row r="4317" spans="1:14">
      <c r="A4317" s="7">
        <f t="shared" si="5131"/>
        <v>30007</v>
      </c>
      <c r="B4317" s="7">
        <f t="shared" ref="B4317:C4317" si="5225">B4229</f>
        <v>40000</v>
      </c>
      <c r="C4317" s="7" t="str">
        <f t="shared" si="5225"/>
        <v>装备</v>
      </c>
      <c r="D4317" s="7">
        <v>50100046</v>
      </c>
      <c r="E4317" s="7"/>
      <c r="F4317" s="7">
        <v>1</v>
      </c>
      <c r="G4317" s="8">
        <f>3*INDEX([1]equip.xml!$I:$I,MATCH(D4317,[1]equip.xml!$A:$A,0))</f>
        <v>78000</v>
      </c>
      <c r="H4317" s="7" t="str">
        <f t="shared" ref="H4317:J4317" si="5226">H4229</f>
        <v>10_10,50_20,80_30</v>
      </c>
      <c r="I4317" s="7">
        <v>11</v>
      </c>
      <c r="J4317" s="7">
        <f t="shared" si="5226"/>
        <v>240</v>
      </c>
      <c r="K4317" s="7" t="s">
        <v>293</v>
      </c>
      <c r="L4317" s="7">
        <v>22</v>
      </c>
      <c r="M4317" s="7">
        <f>IF(INDEX([1]equip.xml!$B:$B,MATCH(D4317,[1]equip.xml!$A:$A,0))=0,0,N4317)</f>
        <v>0</v>
      </c>
      <c r="N4317" s="7">
        <f t="shared" si="5182"/>
        <v>200</v>
      </c>
    </row>
    <row r="4318" spans="1:14">
      <c r="A4318" s="7">
        <f t="shared" si="5131"/>
        <v>30007</v>
      </c>
      <c r="B4318" s="7">
        <f t="shared" ref="B4318:C4318" si="5227">B4230</f>
        <v>40000</v>
      </c>
      <c r="C4318" s="7" t="str">
        <f t="shared" si="5227"/>
        <v>装备</v>
      </c>
      <c r="D4318" s="7">
        <v>50100075</v>
      </c>
      <c r="E4318" s="7"/>
      <c r="F4318" s="7">
        <v>1</v>
      </c>
      <c r="G4318" s="8">
        <f>3*INDEX([1]equip.xml!$I:$I,MATCH(D4318,[1]equip.xml!$A:$A,0))</f>
        <v>60000</v>
      </c>
      <c r="H4318" s="7" t="str">
        <f t="shared" ref="H4318:J4318" si="5228">H4230</f>
        <v>10_10,50_20,80_30</v>
      </c>
      <c r="I4318" s="7">
        <v>11</v>
      </c>
      <c r="J4318" s="7">
        <f t="shared" si="5228"/>
        <v>240</v>
      </c>
      <c r="K4318" s="7" t="s">
        <v>293</v>
      </c>
      <c r="L4318" s="7">
        <v>22</v>
      </c>
      <c r="M4318" s="7">
        <f>IF(INDEX([1]equip.xml!$B:$B,MATCH(D4318,[1]equip.xml!$A:$A,0))=0,0,N4318)</f>
        <v>200</v>
      </c>
      <c r="N4318" s="7">
        <f t="shared" si="5182"/>
        <v>200</v>
      </c>
    </row>
    <row r="4319" spans="1:14">
      <c r="A4319" s="7">
        <f t="shared" si="5131"/>
        <v>30007</v>
      </c>
      <c r="B4319" s="7">
        <f t="shared" ref="B4319:C4319" si="5229">B4231</f>
        <v>40000</v>
      </c>
      <c r="C4319" s="7" t="str">
        <f t="shared" si="5229"/>
        <v>装备</v>
      </c>
      <c r="D4319" s="7">
        <v>50100076</v>
      </c>
      <c r="E4319" s="7"/>
      <c r="F4319" s="7">
        <v>1</v>
      </c>
      <c r="G4319" s="8">
        <f>3*INDEX([1]equip.xml!$I:$I,MATCH(D4319,[1]equip.xml!$A:$A,0))</f>
        <v>78000</v>
      </c>
      <c r="H4319" s="7" t="str">
        <f t="shared" ref="H4319:J4319" si="5230">H4231</f>
        <v>10_10,50_20,80_30</v>
      </c>
      <c r="I4319" s="7">
        <v>11</v>
      </c>
      <c r="J4319" s="7">
        <f t="shared" si="5230"/>
        <v>240</v>
      </c>
      <c r="K4319" s="7" t="s">
        <v>293</v>
      </c>
      <c r="L4319" s="7">
        <v>22</v>
      </c>
      <c r="M4319" s="7">
        <f>IF(INDEX([1]equip.xml!$B:$B,MATCH(D4319,[1]equip.xml!$A:$A,0))=0,0,N4319)</f>
        <v>0</v>
      </c>
      <c r="N4319" s="7">
        <f t="shared" si="5182"/>
        <v>200</v>
      </c>
    </row>
    <row r="4320" spans="1:14">
      <c r="A4320" s="7">
        <f t="shared" si="5131"/>
        <v>30007</v>
      </c>
      <c r="B4320" s="7">
        <f t="shared" ref="B4320:C4320" si="5231">B4232</f>
        <v>40000</v>
      </c>
      <c r="C4320" s="7" t="str">
        <f t="shared" si="5231"/>
        <v>装备</v>
      </c>
      <c r="D4320" s="7">
        <v>50150015</v>
      </c>
      <c r="E4320" s="7"/>
      <c r="F4320" s="7">
        <v>1</v>
      </c>
      <c r="G4320" s="8">
        <f>3*INDEX([1]equip.xml!$I:$I,MATCH(D4320,[1]equip.xml!$A:$A,0))</f>
        <v>90000</v>
      </c>
      <c r="H4320" s="7" t="str">
        <f t="shared" ref="H4320:J4320" si="5232">H4232</f>
        <v>10_10,50_20,80_30</v>
      </c>
      <c r="I4320" s="7">
        <v>11</v>
      </c>
      <c r="J4320" s="7">
        <f t="shared" si="5232"/>
        <v>240</v>
      </c>
      <c r="K4320" s="7" t="s">
        <v>293</v>
      </c>
      <c r="L4320" s="7">
        <v>22</v>
      </c>
      <c r="M4320" s="7">
        <f>IF(INDEX([1]equip.xml!$B:$B,MATCH(D4320,[1]equip.xml!$A:$A,0))=0,0,N4320)</f>
        <v>0</v>
      </c>
      <c r="N4320" s="7">
        <f t="shared" si="5182"/>
        <v>140</v>
      </c>
    </row>
    <row r="4321" spans="1:14">
      <c r="A4321" s="7">
        <f t="shared" si="5131"/>
        <v>30007</v>
      </c>
      <c r="B4321" s="7">
        <f t="shared" ref="B4321:C4321" si="5233">B4233</f>
        <v>40000</v>
      </c>
      <c r="C4321" s="7" t="str">
        <f t="shared" si="5233"/>
        <v>装备</v>
      </c>
      <c r="D4321" s="7">
        <v>50150025</v>
      </c>
      <c r="E4321" s="7"/>
      <c r="F4321" s="7">
        <v>1</v>
      </c>
      <c r="G4321" s="8">
        <f>3*INDEX([1]equip.xml!$I:$I,MATCH(D4321,[1]equip.xml!$A:$A,0))</f>
        <v>90000</v>
      </c>
      <c r="H4321" s="7" t="str">
        <f t="shared" ref="H4321:J4321" si="5234">H4233</f>
        <v>10_10,50_20,80_30</v>
      </c>
      <c r="I4321" s="7">
        <v>11</v>
      </c>
      <c r="J4321" s="7">
        <f t="shared" si="5234"/>
        <v>240</v>
      </c>
      <c r="K4321" s="7" t="s">
        <v>293</v>
      </c>
      <c r="L4321" s="7">
        <v>22</v>
      </c>
      <c r="M4321" s="7">
        <f>IF(INDEX([1]equip.xml!$B:$B,MATCH(D4321,[1]equip.xml!$A:$A,0))=0,0,N4321)</f>
        <v>0</v>
      </c>
      <c r="N4321" s="7">
        <f t="shared" si="5182"/>
        <v>140</v>
      </c>
    </row>
    <row r="4322" spans="1:14">
      <c r="A4322" s="7">
        <f t="shared" si="5131"/>
        <v>30007</v>
      </c>
      <c r="B4322" s="7">
        <f t="shared" ref="B4322:C4322" si="5235">B4234</f>
        <v>40000</v>
      </c>
      <c r="C4322" s="7" t="str">
        <f t="shared" si="5235"/>
        <v>装备</v>
      </c>
      <c r="D4322" s="7">
        <v>50150035</v>
      </c>
      <c r="E4322" s="7"/>
      <c r="F4322" s="7">
        <v>1</v>
      </c>
      <c r="G4322" s="8">
        <f>3*INDEX([1]equip.xml!$I:$I,MATCH(D4322,[1]equip.xml!$A:$A,0))</f>
        <v>90000</v>
      </c>
      <c r="H4322" s="7" t="str">
        <f t="shared" ref="H4322:J4322" si="5236">H4234</f>
        <v>10_10,50_20,80_30</v>
      </c>
      <c r="I4322" s="7">
        <v>11</v>
      </c>
      <c r="J4322" s="7">
        <f t="shared" si="5236"/>
        <v>240</v>
      </c>
      <c r="K4322" s="7" t="s">
        <v>293</v>
      </c>
      <c r="L4322" s="7">
        <v>22</v>
      </c>
      <c r="M4322" s="7">
        <f>IF(INDEX([1]equip.xml!$B:$B,MATCH(D4322,[1]equip.xml!$A:$A,0))=0,0,N4322)</f>
        <v>140</v>
      </c>
      <c r="N4322" s="7">
        <f t="shared" si="5182"/>
        <v>140</v>
      </c>
    </row>
    <row r="4323" spans="1:14">
      <c r="A4323" s="7">
        <f t="shared" si="5131"/>
        <v>30007</v>
      </c>
      <c r="B4323" s="7">
        <f t="shared" ref="B4323:C4323" si="5237">B4235</f>
        <v>40000</v>
      </c>
      <c r="C4323" s="7" t="str">
        <f t="shared" si="5237"/>
        <v>装备</v>
      </c>
      <c r="D4323" s="7">
        <v>50150085</v>
      </c>
      <c r="E4323" s="7"/>
      <c r="F4323" s="7">
        <v>1</v>
      </c>
      <c r="G4323" s="8">
        <f>3*INDEX([1]equip.xml!$I:$I,MATCH(D4323,[1]equip.xml!$A:$A,0))</f>
        <v>90000</v>
      </c>
      <c r="H4323" s="7" t="str">
        <f t="shared" ref="H4323:J4323" si="5238">H4235</f>
        <v>10_10,50_20,80_30</v>
      </c>
      <c r="I4323" s="7">
        <v>11</v>
      </c>
      <c r="J4323" s="7">
        <f t="shared" si="5238"/>
        <v>240</v>
      </c>
      <c r="K4323" s="7" t="s">
        <v>293</v>
      </c>
      <c r="L4323" s="7">
        <v>22</v>
      </c>
      <c r="M4323" s="7">
        <f>IF(INDEX([1]equip.xml!$B:$B,MATCH(D4323,[1]equip.xml!$A:$A,0))=0,0,N4323)</f>
        <v>140</v>
      </c>
      <c r="N4323" s="7">
        <f t="shared" si="5182"/>
        <v>140</v>
      </c>
    </row>
    <row r="4324" spans="1:14">
      <c r="A4324" s="7">
        <f t="shared" si="5131"/>
        <v>30007</v>
      </c>
      <c r="B4324" s="7">
        <f t="shared" ref="B4324:C4324" si="5239">B4236</f>
        <v>40000</v>
      </c>
      <c r="C4324" s="7" t="str">
        <f t="shared" si="5239"/>
        <v>装备</v>
      </c>
      <c r="D4324" s="7">
        <v>50150095</v>
      </c>
      <c r="E4324" s="7"/>
      <c r="F4324" s="7">
        <v>1</v>
      </c>
      <c r="G4324" s="8">
        <f>3*INDEX([1]equip.xml!$I:$I,MATCH(D4324,[1]equip.xml!$A:$A,0))</f>
        <v>90000</v>
      </c>
      <c r="H4324" s="7" t="str">
        <f t="shared" ref="H4324:J4324" si="5240">H4236</f>
        <v>10_10,50_20,80_30</v>
      </c>
      <c r="I4324" s="7">
        <v>11</v>
      </c>
      <c r="J4324" s="7">
        <f t="shared" si="5240"/>
        <v>240</v>
      </c>
      <c r="K4324" s="7" t="s">
        <v>293</v>
      </c>
      <c r="L4324" s="7">
        <v>22</v>
      </c>
      <c r="M4324" s="7">
        <f>IF(INDEX([1]equip.xml!$B:$B,MATCH(D4324,[1]equip.xml!$A:$A,0))=0,0,N4324)</f>
        <v>140</v>
      </c>
      <c r="N4324" s="7">
        <f t="shared" si="5182"/>
        <v>140</v>
      </c>
    </row>
    <row r="4325" spans="1:14">
      <c r="A4325" s="7">
        <f t="shared" si="5131"/>
        <v>30007</v>
      </c>
      <c r="B4325" s="7">
        <f t="shared" ref="B4325:C4325" si="5241">B4237</f>
        <v>40000</v>
      </c>
      <c r="C4325" s="7" t="str">
        <f t="shared" si="5241"/>
        <v>装备</v>
      </c>
      <c r="D4325" s="7">
        <v>50150105</v>
      </c>
      <c r="E4325" s="7"/>
      <c r="F4325" s="7">
        <v>1</v>
      </c>
      <c r="G4325" s="8">
        <f>3*INDEX([1]equip.xml!$I:$I,MATCH(D4325,[1]equip.xml!$A:$A,0))</f>
        <v>90000</v>
      </c>
      <c r="H4325" s="7" t="str">
        <f t="shared" ref="H4325:J4325" si="5242">H4237</f>
        <v>10_10,50_20,80_30</v>
      </c>
      <c r="I4325" s="7">
        <v>11</v>
      </c>
      <c r="J4325" s="7">
        <f t="shared" si="5242"/>
        <v>240</v>
      </c>
      <c r="K4325" s="7" t="s">
        <v>293</v>
      </c>
      <c r="L4325" s="7">
        <v>22</v>
      </c>
      <c r="M4325" s="7">
        <f>IF(INDEX([1]equip.xml!$B:$B,MATCH(D4325,[1]equip.xml!$A:$A,0))=0,0,N4325)</f>
        <v>140</v>
      </c>
      <c r="N4325" s="7">
        <f t="shared" si="5182"/>
        <v>140</v>
      </c>
    </row>
    <row r="4326" spans="1:14">
      <c r="A4326" s="7">
        <f t="shared" si="5131"/>
        <v>30007</v>
      </c>
      <c r="B4326" s="7">
        <f t="shared" ref="B4326:C4326" si="5243">B4238</f>
        <v>40000</v>
      </c>
      <c r="C4326" s="7" t="str">
        <f t="shared" si="5243"/>
        <v>装备</v>
      </c>
      <c r="D4326" s="7">
        <v>50151055</v>
      </c>
      <c r="E4326" s="7"/>
      <c r="F4326" s="7">
        <v>1</v>
      </c>
      <c r="G4326" s="8">
        <f>3*INDEX([1]equip.xml!$I:$I,MATCH(D4326,[1]equip.xml!$A:$A,0))</f>
        <v>90000</v>
      </c>
      <c r="H4326" s="7" t="str">
        <f t="shared" ref="H4326:J4326" si="5244">H4238</f>
        <v>10_10,50_20,80_30</v>
      </c>
      <c r="I4326" s="7">
        <v>11</v>
      </c>
      <c r="J4326" s="7">
        <f t="shared" si="5244"/>
        <v>240</v>
      </c>
      <c r="K4326" s="7" t="s">
        <v>293</v>
      </c>
      <c r="L4326" s="7">
        <v>22</v>
      </c>
      <c r="M4326" s="7">
        <f>IF(INDEX([1]equip.xml!$B:$B,MATCH(D4326,[1]equip.xml!$A:$A,0))=0,0,N4326)</f>
        <v>140</v>
      </c>
      <c r="N4326" s="7">
        <f t="shared" si="5182"/>
        <v>140</v>
      </c>
    </row>
    <row r="4327" spans="1:14">
      <c r="A4327" s="7">
        <f t="shared" si="5131"/>
        <v>30007</v>
      </c>
      <c r="B4327" s="7">
        <f t="shared" ref="B4327:C4327" si="5245">B4239</f>
        <v>40000</v>
      </c>
      <c r="C4327" s="7" t="str">
        <f t="shared" si="5245"/>
        <v>装备</v>
      </c>
      <c r="D4327" s="7">
        <v>50151056</v>
      </c>
      <c r="E4327" s="7"/>
      <c r="F4327" s="7">
        <v>1</v>
      </c>
      <c r="G4327" s="8">
        <f>3*INDEX([1]equip.xml!$I:$I,MATCH(D4327,[1]equip.xml!$A:$A,0))</f>
        <v>108000</v>
      </c>
      <c r="H4327" s="7" t="str">
        <f t="shared" ref="H4327:J4327" si="5246">H4239</f>
        <v>10_10,50_20,80_30</v>
      </c>
      <c r="I4327" s="7">
        <v>11</v>
      </c>
      <c r="J4327" s="7">
        <f t="shared" si="5246"/>
        <v>240</v>
      </c>
      <c r="K4327" s="7" t="s">
        <v>293</v>
      </c>
      <c r="L4327" s="7">
        <v>22</v>
      </c>
      <c r="M4327" s="7">
        <f>IF(INDEX([1]equip.xml!$B:$B,MATCH(D4327,[1]equip.xml!$A:$A,0))=0,0,N4327)</f>
        <v>140</v>
      </c>
      <c r="N4327" s="7">
        <f t="shared" si="5182"/>
        <v>140</v>
      </c>
    </row>
    <row r="4328" spans="1:14">
      <c r="A4328" s="7">
        <f t="shared" si="5131"/>
        <v>30007</v>
      </c>
      <c r="B4328" s="7">
        <f t="shared" ref="B4328:C4328" si="5247">B4240</f>
        <v>40000</v>
      </c>
      <c r="C4328" s="7" t="str">
        <f t="shared" si="5247"/>
        <v>装备</v>
      </c>
      <c r="D4328" s="7">
        <v>50151065</v>
      </c>
      <c r="E4328" s="7"/>
      <c r="F4328" s="7">
        <v>1</v>
      </c>
      <c r="G4328" s="8">
        <f>3*INDEX([1]equip.xml!$I:$I,MATCH(D4328,[1]equip.xml!$A:$A,0))</f>
        <v>90000</v>
      </c>
      <c r="H4328" s="7" t="str">
        <f t="shared" ref="H4328:J4328" si="5248">H4240</f>
        <v>10_10,50_20,80_30</v>
      </c>
      <c r="I4328" s="7">
        <v>11</v>
      </c>
      <c r="J4328" s="7">
        <f t="shared" si="5248"/>
        <v>240</v>
      </c>
      <c r="K4328" s="7" t="s">
        <v>293</v>
      </c>
      <c r="L4328" s="7">
        <v>22</v>
      </c>
      <c r="M4328" s="7">
        <f>IF(INDEX([1]equip.xml!$B:$B,MATCH(D4328,[1]equip.xml!$A:$A,0))=0,0,N4328)</f>
        <v>140</v>
      </c>
      <c r="N4328" s="7">
        <f t="shared" si="5182"/>
        <v>140</v>
      </c>
    </row>
    <row r="4329" spans="1:14">
      <c r="A4329" s="7">
        <f t="shared" si="5131"/>
        <v>30007</v>
      </c>
      <c r="B4329" s="7">
        <f t="shared" ref="B4329:C4329" si="5249">B4241</f>
        <v>40000</v>
      </c>
      <c r="C4329" s="7" t="str">
        <f t="shared" si="5249"/>
        <v>装备</v>
      </c>
      <c r="D4329" s="7">
        <v>50151066</v>
      </c>
      <c r="E4329" s="7"/>
      <c r="F4329" s="7">
        <v>1</v>
      </c>
      <c r="G4329" s="8">
        <f>3*INDEX([1]equip.xml!$I:$I,MATCH(D4329,[1]equip.xml!$A:$A,0))</f>
        <v>108000</v>
      </c>
      <c r="H4329" s="7" t="str">
        <f t="shared" ref="H4329:J4329" si="5250">H4241</f>
        <v>10_10,50_20,80_30</v>
      </c>
      <c r="I4329" s="7">
        <v>11</v>
      </c>
      <c r="J4329" s="7">
        <f t="shared" si="5250"/>
        <v>240</v>
      </c>
      <c r="K4329" s="7" t="s">
        <v>293</v>
      </c>
      <c r="L4329" s="7">
        <v>22</v>
      </c>
      <c r="M4329" s="7">
        <f>IF(INDEX([1]equip.xml!$B:$B,MATCH(D4329,[1]equip.xml!$A:$A,0))=0,0,N4329)</f>
        <v>0</v>
      </c>
      <c r="N4329" s="7">
        <f t="shared" si="5182"/>
        <v>140</v>
      </c>
    </row>
    <row r="4330" spans="1:14">
      <c r="A4330" s="7">
        <f t="shared" si="5131"/>
        <v>30007</v>
      </c>
      <c r="B4330" s="7">
        <f t="shared" ref="B4330:C4330" si="5251">B4242</f>
        <v>40000</v>
      </c>
      <c r="C4330" s="7" t="str">
        <f t="shared" si="5251"/>
        <v>装备</v>
      </c>
      <c r="D4330" s="7">
        <v>50152055</v>
      </c>
      <c r="E4330" s="7"/>
      <c r="F4330" s="7">
        <v>1</v>
      </c>
      <c r="G4330" s="8">
        <f>3*INDEX([1]equip.xml!$I:$I,MATCH(D4330,[1]equip.xml!$A:$A,0))</f>
        <v>90000</v>
      </c>
      <c r="H4330" s="7" t="str">
        <f t="shared" ref="H4330:J4330" si="5252">H4242</f>
        <v>10_10,50_20,80_30</v>
      </c>
      <c r="I4330" s="7">
        <v>11</v>
      </c>
      <c r="J4330" s="7">
        <f t="shared" si="5252"/>
        <v>240</v>
      </c>
      <c r="K4330" s="7" t="s">
        <v>293</v>
      </c>
      <c r="L4330" s="7">
        <v>22</v>
      </c>
      <c r="M4330" s="7">
        <f>IF(INDEX([1]equip.xml!$B:$B,MATCH(D4330,[1]equip.xml!$A:$A,0))=0,0,N4330)</f>
        <v>140</v>
      </c>
      <c r="N4330" s="7">
        <f t="shared" si="5182"/>
        <v>140</v>
      </c>
    </row>
    <row r="4331" spans="1:14">
      <c r="A4331" s="7">
        <f t="shared" si="5131"/>
        <v>30007</v>
      </c>
      <c r="B4331" s="7">
        <f t="shared" ref="B4331:C4331" si="5253">B4243</f>
        <v>40000</v>
      </c>
      <c r="C4331" s="7" t="str">
        <f t="shared" si="5253"/>
        <v>装备</v>
      </c>
      <c r="D4331" s="7">
        <v>50152056</v>
      </c>
      <c r="E4331" s="7"/>
      <c r="F4331" s="7">
        <v>1</v>
      </c>
      <c r="G4331" s="8">
        <f>3*INDEX([1]equip.xml!$I:$I,MATCH(D4331,[1]equip.xml!$A:$A,0))</f>
        <v>108000</v>
      </c>
      <c r="H4331" s="7" t="str">
        <f t="shared" ref="H4331:J4331" si="5254">H4243</f>
        <v>10_10,50_20,80_30</v>
      </c>
      <c r="I4331" s="7">
        <v>11</v>
      </c>
      <c r="J4331" s="7">
        <f t="shared" si="5254"/>
        <v>240</v>
      </c>
      <c r="K4331" s="7" t="s">
        <v>293</v>
      </c>
      <c r="L4331" s="7">
        <v>22</v>
      </c>
      <c r="M4331" s="7">
        <f>IF(INDEX([1]equip.xml!$B:$B,MATCH(D4331,[1]equip.xml!$A:$A,0))=0,0,N4331)</f>
        <v>140</v>
      </c>
      <c r="N4331" s="7">
        <f t="shared" si="5182"/>
        <v>140</v>
      </c>
    </row>
    <row r="4332" spans="1:14">
      <c r="A4332" s="7">
        <f t="shared" si="5131"/>
        <v>30007</v>
      </c>
      <c r="B4332" s="7">
        <f t="shared" ref="B4332:C4332" si="5255">B4244</f>
        <v>40000</v>
      </c>
      <c r="C4332" s="7" t="str">
        <f t="shared" si="5255"/>
        <v>装备</v>
      </c>
      <c r="D4332" s="7">
        <v>50152065</v>
      </c>
      <c r="E4332" s="7"/>
      <c r="F4332" s="7">
        <v>1</v>
      </c>
      <c r="G4332" s="8">
        <f>3*INDEX([1]equip.xml!$I:$I,MATCH(D4332,[1]equip.xml!$A:$A,0))</f>
        <v>90000</v>
      </c>
      <c r="H4332" s="7" t="str">
        <f t="shared" ref="H4332:J4332" si="5256">H4244</f>
        <v>10_10,50_20,80_30</v>
      </c>
      <c r="I4332" s="7">
        <v>11</v>
      </c>
      <c r="J4332" s="7">
        <f t="shared" si="5256"/>
        <v>240</v>
      </c>
      <c r="K4332" s="7" t="s">
        <v>293</v>
      </c>
      <c r="L4332" s="7">
        <v>22</v>
      </c>
      <c r="M4332" s="7">
        <f>IF(INDEX([1]equip.xml!$B:$B,MATCH(D4332,[1]equip.xml!$A:$A,0))=0,0,N4332)</f>
        <v>140</v>
      </c>
      <c r="N4332" s="7">
        <f t="shared" si="5182"/>
        <v>140</v>
      </c>
    </row>
    <row r="4333" spans="1:14">
      <c r="A4333" s="7">
        <f t="shared" si="5131"/>
        <v>30007</v>
      </c>
      <c r="B4333" s="7">
        <f t="shared" ref="B4333:C4333" si="5257">B4245</f>
        <v>40000</v>
      </c>
      <c r="C4333" s="7" t="str">
        <f t="shared" si="5257"/>
        <v>装备</v>
      </c>
      <c r="D4333" s="7">
        <v>50152066</v>
      </c>
      <c r="E4333" s="7"/>
      <c r="F4333" s="7">
        <v>1</v>
      </c>
      <c r="G4333" s="8">
        <f>3*INDEX([1]equip.xml!$I:$I,MATCH(D4333,[1]equip.xml!$A:$A,0))</f>
        <v>108000</v>
      </c>
      <c r="H4333" s="7" t="str">
        <f t="shared" ref="H4333:J4333" si="5258">H4245</f>
        <v>10_10,50_20,80_30</v>
      </c>
      <c r="I4333" s="7">
        <v>11</v>
      </c>
      <c r="J4333" s="7">
        <f t="shared" si="5258"/>
        <v>240</v>
      </c>
      <c r="K4333" s="7" t="s">
        <v>293</v>
      </c>
      <c r="L4333" s="7">
        <v>22</v>
      </c>
      <c r="M4333" s="7">
        <f>IF(INDEX([1]equip.xml!$B:$B,MATCH(D4333,[1]equip.xml!$A:$A,0))=0,0,N4333)</f>
        <v>0</v>
      </c>
      <c r="N4333" s="7">
        <f t="shared" si="5182"/>
        <v>140</v>
      </c>
    </row>
    <row r="4334" spans="1:14">
      <c r="A4334" s="7">
        <f t="shared" si="5131"/>
        <v>30007</v>
      </c>
      <c r="B4334" s="7">
        <f t="shared" ref="B4334:C4334" si="5259">B4246</f>
        <v>40000</v>
      </c>
      <c r="C4334" s="7" t="str">
        <f t="shared" si="5259"/>
        <v>装备</v>
      </c>
      <c r="D4334" s="7">
        <v>50153055</v>
      </c>
      <c r="E4334" s="7"/>
      <c r="F4334" s="7">
        <v>1</v>
      </c>
      <c r="G4334" s="8">
        <f>3*INDEX([1]equip.xml!$I:$I,MATCH(D4334,[1]equip.xml!$A:$A,0))</f>
        <v>90000</v>
      </c>
      <c r="H4334" s="7" t="str">
        <f t="shared" ref="H4334:J4334" si="5260">H4246</f>
        <v>10_10,50_20,80_30</v>
      </c>
      <c r="I4334" s="7">
        <v>11</v>
      </c>
      <c r="J4334" s="7">
        <f t="shared" si="5260"/>
        <v>240</v>
      </c>
      <c r="K4334" s="7" t="s">
        <v>293</v>
      </c>
      <c r="L4334" s="7">
        <v>22</v>
      </c>
      <c r="M4334" s="7">
        <f>IF(INDEX([1]equip.xml!$B:$B,MATCH(D4334,[1]equip.xml!$A:$A,0))=0,0,N4334)</f>
        <v>140</v>
      </c>
      <c r="N4334" s="7">
        <f t="shared" si="5182"/>
        <v>140</v>
      </c>
    </row>
    <row r="4335" spans="1:14">
      <c r="A4335" s="7">
        <f t="shared" ref="A4335:A4398" si="5261">10000+A3103</f>
        <v>30007</v>
      </c>
      <c r="B4335" s="7">
        <f t="shared" ref="B4335:C4335" si="5262">B4247</f>
        <v>40000</v>
      </c>
      <c r="C4335" s="7" t="str">
        <f t="shared" si="5262"/>
        <v>装备</v>
      </c>
      <c r="D4335" s="7">
        <v>50153056</v>
      </c>
      <c r="E4335" s="7"/>
      <c r="F4335" s="7">
        <v>1</v>
      </c>
      <c r="G4335" s="8">
        <f>3*INDEX([1]equip.xml!$I:$I,MATCH(D4335,[1]equip.xml!$A:$A,0))</f>
        <v>108000</v>
      </c>
      <c r="H4335" s="7" t="str">
        <f t="shared" ref="H4335:J4335" si="5263">H4247</f>
        <v>10_10,50_20,80_30</v>
      </c>
      <c r="I4335" s="7">
        <v>11</v>
      </c>
      <c r="J4335" s="7">
        <f t="shared" si="5263"/>
        <v>240</v>
      </c>
      <c r="K4335" s="7" t="s">
        <v>293</v>
      </c>
      <c r="L4335" s="7">
        <v>22</v>
      </c>
      <c r="M4335" s="7">
        <f>IF(INDEX([1]equip.xml!$B:$B,MATCH(D4335,[1]equip.xml!$A:$A,0))=0,0,N4335)</f>
        <v>140</v>
      </c>
      <c r="N4335" s="7">
        <f t="shared" si="5182"/>
        <v>140</v>
      </c>
    </row>
    <row r="4336" spans="1:14">
      <c r="A4336" s="7">
        <f t="shared" si="5261"/>
        <v>30007</v>
      </c>
      <c r="B4336" s="7">
        <f t="shared" ref="B4336:C4336" si="5264">B4248</f>
        <v>40000</v>
      </c>
      <c r="C4336" s="7" t="str">
        <f t="shared" si="5264"/>
        <v>装备</v>
      </c>
      <c r="D4336" s="7">
        <v>50153065</v>
      </c>
      <c r="E4336" s="7"/>
      <c r="F4336" s="7">
        <v>1</v>
      </c>
      <c r="G4336" s="8">
        <f>3*INDEX([1]equip.xml!$I:$I,MATCH(D4336,[1]equip.xml!$A:$A,0))</f>
        <v>90000</v>
      </c>
      <c r="H4336" s="7" t="str">
        <f t="shared" ref="H4336:J4336" si="5265">H4248</f>
        <v>10_10,50_20,80_30</v>
      </c>
      <c r="I4336" s="7">
        <v>11</v>
      </c>
      <c r="J4336" s="7">
        <f t="shared" si="5265"/>
        <v>240</v>
      </c>
      <c r="K4336" s="7" t="s">
        <v>293</v>
      </c>
      <c r="L4336" s="7">
        <v>22</v>
      </c>
      <c r="M4336" s="7">
        <f>IF(INDEX([1]equip.xml!$B:$B,MATCH(D4336,[1]equip.xml!$A:$A,0))=0,0,N4336)</f>
        <v>140</v>
      </c>
      <c r="N4336" s="7">
        <f t="shared" si="5182"/>
        <v>140</v>
      </c>
    </row>
    <row r="4337" spans="1:14">
      <c r="A4337" s="7">
        <f t="shared" si="5261"/>
        <v>30007</v>
      </c>
      <c r="B4337" s="7">
        <f t="shared" ref="B4337:C4337" si="5266">B4249</f>
        <v>40000</v>
      </c>
      <c r="C4337" s="7" t="str">
        <f t="shared" si="5266"/>
        <v>装备</v>
      </c>
      <c r="D4337" s="7">
        <v>50153066</v>
      </c>
      <c r="E4337" s="7"/>
      <c r="F4337" s="7">
        <v>1</v>
      </c>
      <c r="G4337" s="8">
        <f>3*INDEX([1]equip.xml!$I:$I,MATCH(D4337,[1]equip.xml!$A:$A,0))</f>
        <v>108000</v>
      </c>
      <c r="H4337" s="7" t="str">
        <f t="shared" ref="H4337:J4337" si="5267">H4249</f>
        <v>10_10,50_20,80_30</v>
      </c>
      <c r="I4337" s="7">
        <v>11</v>
      </c>
      <c r="J4337" s="7">
        <f t="shared" si="5267"/>
        <v>240</v>
      </c>
      <c r="K4337" s="7" t="s">
        <v>293</v>
      </c>
      <c r="L4337" s="7">
        <v>22</v>
      </c>
      <c r="M4337" s="7">
        <f>IF(INDEX([1]equip.xml!$B:$B,MATCH(D4337,[1]equip.xml!$A:$A,0))=0,0,N4337)</f>
        <v>0</v>
      </c>
      <c r="N4337" s="7">
        <f t="shared" si="5182"/>
        <v>140</v>
      </c>
    </row>
    <row r="4338" spans="1:14">
      <c r="A4338" s="7">
        <f t="shared" si="5261"/>
        <v>30007</v>
      </c>
      <c r="B4338" s="7">
        <f t="shared" ref="B4338:C4338" si="5268">B4250</f>
        <v>40000</v>
      </c>
      <c r="C4338" s="7" t="str">
        <f t="shared" si="5268"/>
        <v>装备</v>
      </c>
      <c r="D4338" s="7">
        <v>50150045</v>
      </c>
      <c r="E4338" s="7"/>
      <c r="F4338" s="7">
        <v>1</v>
      </c>
      <c r="G4338" s="8">
        <f>3*INDEX([1]equip.xml!$I:$I,MATCH(D4338,[1]equip.xml!$A:$A,0))</f>
        <v>90000</v>
      </c>
      <c r="H4338" s="7" t="str">
        <f t="shared" ref="H4338:J4338" si="5269">H4250</f>
        <v>10_10,50_20,80_30</v>
      </c>
      <c r="I4338" s="7">
        <v>11</v>
      </c>
      <c r="J4338" s="7">
        <f t="shared" si="5269"/>
        <v>240</v>
      </c>
      <c r="K4338" s="7" t="s">
        <v>293</v>
      </c>
      <c r="L4338" s="7">
        <v>22</v>
      </c>
      <c r="M4338" s="7">
        <f>IF(INDEX([1]equip.xml!$B:$B,MATCH(D4338,[1]equip.xml!$A:$A,0))=0,0,N4338)</f>
        <v>140</v>
      </c>
      <c r="N4338" s="7">
        <f t="shared" si="5182"/>
        <v>140</v>
      </c>
    </row>
    <row r="4339" spans="1:14">
      <c r="A4339" s="7">
        <f t="shared" si="5261"/>
        <v>30007</v>
      </c>
      <c r="B4339" s="7">
        <f t="shared" ref="B4339:C4339" si="5270">B4251</f>
        <v>40000</v>
      </c>
      <c r="C4339" s="7" t="str">
        <f t="shared" si="5270"/>
        <v>装备</v>
      </c>
      <c r="D4339" s="7">
        <v>50150046</v>
      </c>
      <c r="E4339" s="7"/>
      <c r="F4339" s="7">
        <v>1</v>
      </c>
      <c r="G4339" s="8">
        <f>3*INDEX([1]equip.xml!$I:$I,MATCH(D4339,[1]equip.xml!$A:$A,0))</f>
        <v>108000</v>
      </c>
      <c r="H4339" s="7" t="str">
        <f t="shared" ref="H4339:J4339" si="5271">H4251</f>
        <v>10_10,50_20,80_30</v>
      </c>
      <c r="I4339" s="7">
        <v>11</v>
      </c>
      <c r="J4339" s="7">
        <f t="shared" si="5271"/>
        <v>240</v>
      </c>
      <c r="K4339" s="7" t="s">
        <v>293</v>
      </c>
      <c r="L4339" s="7">
        <v>22</v>
      </c>
      <c r="M4339" s="7">
        <f>IF(INDEX([1]equip.xml!$B:$B,MATCH(D4339,[1]equip.xml!$A:$A,0))=0,0,N4339)</f>
        <v>0</v>
      </c>
      <c r="N4339" s="7">
        <f t="shared" si="5182"/>
        <v>140</v>
      </c>
    </row>
    <row r="4340" spans="1:14">
      <c r="A4340" s="7">
        <f t="shared" si="5261"/>
        <v>30007</v>
      </c>
      <c r="B4340" s="7">
        <f t="shared" ref="B4340:C4340" si="5272">B4252</f>
        <v>40000</v>
      </c>
      <c r="C4340" s="7" t="str">
        <f t="shared" si="5272"/>
        <v>装备</v>
      </c>
      <c r="D4340" s="7">
        <v>50150075</v>
      </c>
      <c r="E4340" s="7"/>
      <c r="F4340" s="7">
        <v>1</v>
      </c>
      <c r="G4340" s="8">
        <f>3*INDEX([1]equip.xml!$I:$I,MATCH(D4340,[1]equip.xml!$A:$A,0))</f>
        <v>90000</v>
      </c>
      <c r="H4340" s="7" t="str">
        <f t="shared" ref="H4340:J4340" si="5273">H4252</f>
        <v>10_10,50_20,80_30</v>
      </c>
      <c r="I4340" s="7">
        <v>11</v>
      </c>
      <c r="J4340" s="7">
        <f t="shared" si="5273"/>
        <v>240</v>
      </c>
      <c r="K4340" s="7" t="s">
        <v>293</v>
      </c>
      <c r="L4340" s="7">
        <v>22</v>
      </c>
      <c r="M4340" s="7">
        <f>IF(INDEX([1]equip.xml!$B:$B,MATCH(D4340,[1]equip.xml!$A:$A,0))=0,0,N4340)</f>
        <v>140</v>
      </c>
      <c r="N4340" s="7">
        <f t="shared" si="5182"/>
        <v>140</v>
      </c>
    </row>
    <row r="4341" spans="1:14">
      <c r="A4341" s="7">
        <f t="shared" si="5261"/>
        <v>30007</v>
      </c>
      <c r="B4341" s="7">
        <f t="shared" ref="B4341:C4341" si="5274">B4253</f>
        <v>40000</v>
      </c>
      <c r="C4341" s="7" t="str">
        <f t="shared" si="5274"/>
        <v>装备</v>
      </c>
      <c r="D4341" s="7">
        <v>50150076</v>
      </c>
      <c r="E4341" s="7"/>
      <c r="F4341" s="7">
        <v>1</v>
      </c>
      <c r="G4341" s="8">
        <f>3*INDEX([1]equip.xml!$I:$I,MATCH(D4341,[1]equip.xml!$A:$A,0))</f>
        <v>108000</v>
      </c>
      <c r="H4341" s="7" t="str">
        <f t="shared" ref="H4341:J4341" si="5275">H4253</f>
        <v>10_10,50_20,80_30</v>
      </c>
      <c r="I4341" s="7">
        <v>11</v>
      </c>
      <c r="J4341" s="7">
        <f t="shared" si="5275"/>
        <v>240</v>
      </c>
      <c r="K4341" s="7" t="s">
        <v>293</v>
      </c>
      <c r="L4341" s="7">
        <v>22</v>
      </c>
      <c r="M4341" s="7">
        <f>IF(INDEX([1]equip.xml!$B:$B,MATCH(D4341,[1]equip.xml!$A:$A,0))=0,0,N4341)</f>
        <v>0</v>
      </c>
      <c r="N4341" s="7">
        <f t="shared" si="5182"/>
        <v>140</v>
      </c>
    </row>
    <row r="4342" spans="1:14">
      <c r="A4342" s="7">
        <f t="shared" si="5261"/>
        <v>30008</v>
      </c>
      <c r="B4342" s="8">
        <f t="shared" ref="B4342:C4342" si="5276">B4254</f>
        <v>40000</v>
      </c>
      <c r="C4342" s="8" t="str">
        <f t="shared" si="5276"/>
        <v>装备</v>
      </c>
      <c r="D4342" s="8">
        <v>40150010</v>
      </c>
      <c r="E4342" s="8"/>
      <c r="F4342" s="8">
        <v>1</v>
      </c>
      <c r="G4342" s="7">
        <f>3*INDEX([1]equip.xml!$I:$I,MATCH(D4342&amp;"",[1]equip.xml!$A:$A,0))</f>
        <v>45000</v>
      </c>
      <c r="H4342" s="8" t="str">
        <f t="shared" ref="H4342:J4342" si="5277">H4254</f>
        <v>10_10,50_20,80_30</v>
      </c>
      <c r="I4342" s="8">
        <v>10</v>
      </c>
      <c r="J4342" s="8">
        <f t="shared" si="5277"/>
        <v>50</v>
      </c>
      <c r="K4342" s="7" t="s">
        <v>309</v>
      </c>
      <c r="L4342" s="8">
        <v>24</v>
      </c>
      <c r="M4342" s="7">
        <f>IF(INDEX([1]equip.xml!$B:$B,MATCH(D4342&amp;"",[1]equip.xml!$A:$A,0))=0,0,N4342)</f>
        <v>0</v>
      </c>
      <c r="N4342" s="7">
        <f t="shared" si="5182"/>
        <v>100</v>
      </c>
    </row>
    <row r="4343" spans="1:14">
      <c r="A4343" s="7">
        <f t="shared" si="5261"/>
        <v>30008</v>
      </c>
      <c r="B4343" s="8">
        <f t="shared" ref="B4343:C4343" si="5278">B4255</f>
        <v>40000</v>
      </c>
      <c r="C4343" s="8" t="str">
        <f t="shared" si="5278"/>
        <v>装备</v>
      </c>
      <c r="D4343" s="8">
        <v>40150020</v>
      </c>
      <c r="E4343" s="8"/>
      <c r="F4343" s="8">
        <v>1</v>
      </c>
      <c r="G4343" s="7">
        <f>3*INDEX([1]equip.xml!$I:$I,MATCH(D4343&amp;"",[1]equip.xml!$A:$A,0))</f>
        <v>45000</v>
      </c>
      <c r="H4343" s="8" t="str">
        <f t="shared" ref="H4343:J4343" si="5279">H4255</f>
        <v>10_10,50_20,80_30</v>
      </c>
      <c r="I4343" s="8">
        <v>10</v>
      </c>
      <c r="J4343" s="8">
        <f t="shared" si="5279"/>
        <v>50</v>
      </c>
      <c r="K4343" s="7" t="s">
        <v>309</v>
      </c>
      <c r="L4343" s="8">
        <v>24</v>
      </c>
      <c r="M4343" s="7">
        <f>IF(INDEX([1]equip.xml!$B:$B,MATCH(D4343&amp;"",[1]equip.xml!$A:$A,0))=0,0,N4343)</f>
        <v>0</v>
      </c>
      <c r="N4343" s="7">
        <f t="shared" si="5182"/>
        <v>100</v>
      </c>
    </row>
    <row r="4344" spans="1:14">
      <c r="A4344" s="7">
        <f t="shared" si="5261"/>
        <v>30008</v>
      </c>
      <c r="B4344" s="8">
        <f t="shared" ref="B4344:C4344" si="5280">B4256</f>
        <v>40000</v>
      </c>
      <c r="C4344" s="8" t="str">
        <f t="shared" si="5280"/>
        <v>装备</v>
      </c>
      <c r="D4344" s="8">
        <v>40150030</v>
      </c>
      <c r="E4344" s="8"/>
      <c r="F4344" s="8">
        <v>1</v>
      </c>
      <c r="G4344" s="7">
        <f>3*INDEX([1]equip.xml!$I:$I,MATCH(D4344&amp;"",[1]equip.xml!$A:$A,0))</f>
        <v>45000</v>
      </c>
      <c r="H4344" s="8" t="str">
        <f t="shared" ref="H4344:J4344" si="5281">H4256</f>
        <v>10_10,50_20,80_30</v>
      </c>
      <c r="I4344" s="8">
        <v>10</v>
      </c>
      <c r="J4344" s="8">
        <f t="shared" si="5281"/>
        <v>50</v>
      </c>
      <c r="K4344" s="7" t="s">
        <v>309</v>
      </c>
      <c r="L4344" s="8">
        <v>24</v>
      </c>
      <c r="M4344" s="7">
        <f>IF(INDEX([1]equip.xml!$B:$B,MATCH(D4344&amp;"",[1]equip.xml!$A:$A,0))=0,0,N4344)</f>
        <v>100</v>
      </c>
      <c r="N4344" s="7">
        <f t="shared" si="5182"/>
        <v>100</v>
      </c>
    </row>
    <row r="4345" spans="1:14">
      <c r="A4345" s="7">
        <f t="shared" si="5261"/>
        <v>30008</v>
      </c>
      <c r="B4345" s="8">
        <f t="shared" ref="B4345:C4345" si="5282">B4257</f>
        <v>40000</v>
      </c>
      <c r="C4345" s="8" t="str">
        <f t="shared" si="5282"/>
        <v>装备</v>
      </c>
      <c r="D4345" s="8">
        <v>40150080</v>
      </c>
      <c r="E4345" s="8"/>
      <c r="F4345" s="8">
        <v>1</v>
      </c>
      <c r="G4345" s="7">
        <f>3*INDEX([1]equip.xml!$I:$I,MATCH(D4345&amp;"",[1]equip.xml!$A:$A,0))</f>
        <v>45000</v>
      </c>
      <c r="H4345" s="8" t="str">
        <f t="shared" ref="H4345:J4345" si="5283">H4257</f>
        <v>10_10,50_20,80_30</v>
      </c>
      <c r="I4345" s="8">
        <v>10</v>
      </c>
      <c r="J4345" s="8">
        <f t="shared" si="5283"/>
        <v>50</v>
      </c>
      <c r="K4345" s="7" t="s">
        <v>309</v>
      </c>
      <c r="L4345" s="8">
        <v>24</v>
      </c>
      <c r="M4345" s="7">
        <f>IF(INDEX([1]equip.xml!$B:$B,MATCH(D4345&amp;"",[1]equip.xml!$A:$A,0))=0,0,N4345)</f>
        <v>100</v>
      </c>
      <c r="N4345" s="7">
        <f t="shared" si="5182"/>
        <v>100</v>
      </c>
    </row>
    <row r="4346" spans="1:14">
      <c r="A4346" s="7">
        <f t="shared" si="5261"/>
        <v>30008</v>
      </c>
      <c r="B4346" s="8">
        <f t="shared" ref="B4346:C4346" si="5284">B4258</f>
        <v>40000</v>
      </c>
      <c r="C4346" s="8" t="str">
        <f t="shared" si="5284"/>
        <v>装备</v>
      </c>
      <c r="D4346" s="8">
        <v>40150090</v>
      </c>
      <c r="E4346" s="8"/>
      <c r="F4346" s="8">
        <v>1</v>
      </c>
      <c r="G4346" s="7">
        <f>3*INDEX([1]equip.xml!$I:$I,MATCH(D4346&amp;"",[1]equip.xml!$A:$A,0))</f>
        <v>45000</v>
      </c>
      <c r="H4346" s="8" t="str">
        <f t="shared" ref="H4346:J4346" si="5285">H4258</f>
        <v>10_10,50_20,80_30</v>
      </c>
      <c r="I4346" s="8">
        <v>10</v>
      </c>
      <c r="J4346" s="8">
        <f t="shared" si="5285"/>
        <v>50</v>
      </c>
      <c r="K4346" s="7" t="s">
        <v>309</v>
      </c>
      <c r="L4346" s="8">
        <v>24</v>
      </c>
      <c r="M4346" s="7">
        <f>IF(INDEX([1]equip.xml!$B:$B,MATCH(D4346&amp;"",[1]equip.xml!$A:$A,0))=0,0,N4346)</f>
        <v>100</v>
      </c>
      <c r="N4346" s="7">
        <f t="shared" si="5182"/>
        <v>100</v>
      </c>
    </row>
    <row r="4347" spans="1:14">
      <c r="A4347" s="7">
        <f t="shared" si="5261"/>
        <v>30008</v>
      </c>
      <c r="B4347" s="8">
        <f t="shared" ref="B4347:C4347" si="5286">B4259</f>
        <v>40000</v>
      </c>
      <c r="C4347" s="8" t="str">
        <f t="shared" si="5286"/>
        <v>装备</v>
      </c>
      <c r="D4347" s="8">
        <v>40150100</v>
      </c>
      <c r="E4347" s="8"/>
      <c r="F4347" s="8">
        <v>1</v>
      </c>
      <c r="G4347" s="7">
        <f>3*INDEX([1]equip.xml!$I:$I,MATCH(D4347&amp;"",[1]equip.xml!$A:$A,0))</f>
        <v>45000</v>
      </c>
      <c r="H4347" s="8" t="str">
        <f t="shared" ref="H4347:J4347" si="5287">H4259</f>
        <v>10_10,50_20,80_30</v>
      </c>
      <c r="I4347" s="8">
        <v>10</v>
      </c>
      <c r="J4347" s="8">
        <f t="shared" si="5287"/>
        <v>50</v>
      </c>
      <c r="K4347" s="7" t="s">
        <v>309</v>
      </c>
      <c r="L4347" s="8">
        <v>24</v>
      </c>
      <c r="M4347" s="7">
        <f>IF(INDEX([1]equip.xml!$B:$B,MATCH(D4347&amp;"",[1]equip.xml!$A:$A,0))=0,0,N4347)</f>
        <v>100</v>
      </c>
      <c r="N4347" s="7">
        <f t="shared" si="5182"/>
        <v>100</v>
      </c>
    </row>
    <row r="4348" spans="1:14">
      <c r="A4348" s="7">
        <f t="shared" si="5261"/>
        <v>30008</v>
      </c>
      <c r="B4348" s="8">
        <f t="shared" ref="B4348:C4348" si="5288">B4260</f>
        <v>40000</v>
      </c>
      <c r="C4348" s="8" t="str">
        <f t="shared" si="5288"/>
        <v>装备</v>
      </c>
      <c r="D4348" s="8">
        <v>40151050</v>
      </c>
      <c r="E4348" s="8"/>
      <c r="F4348" s="8">
        <v>1</v>
      </c>
      <c r="G4348" s="7">
        <f>3*INDEX([1]equip.xml!$I:$I,MATCH(D4348&amp;"",[1]equip.xml!$A:$A,0))</f>
        <v>45000</v>
      </c>
      <c r="H4348" s="8" t="str">
        <f t="shared" ref="H4348:J4348" si="5289">H4260</f>
        <v>10_10,50_20,80_30</v>
      </c>
      <c r="I4348" s="8">
        <v>10</v>
      </c>
      <c r="J4348" s="8">
        <f t="shared" si="5289"/>
        <v>50</v>
      </c>
      <c r="K4348" s="7" t="s">
        <v>309</v>
      </c>
      <c r="L4348" s="8">
        <v>24</v>
      </c>
      <c r="M4348" s="7">
        <f>IF(INDEX([1]equip.xml!$B:$B,MATCH(D4348&amp;"",[1]equip.xml!$A:$A,0))=0,0,N4348)</f>
        <v>100</v>
      </c>
      <c r="N4348" s="7">
        <f t="shared" si="5182"/>
        <v>100</v>
      </c>
    </row>
    <row r="4349" spans="1:14">
      <c r="A4349" s="7">
        <f t="shared" si="5261"/>
        <v>30008</v>
      </c>
      <c r="B4349" s="8">
        <f t="shared" ref="B4349:C4349" si="5290">B4261</f>
        <v>40000</v>
      </c>
      <c r="C4349" s="8" t="str">
        <f t="shared" si="5290"/>
        <v>装备</v>
      </c>
      <c r="D4349" s="8">
        <v>40151051</v>
      </c>
      <c r="E4349" s="8"/>
      <c r="F4349" s="8">
        <v>1</v>
      </c>
      <c r="G4349" s="7">
        <f>3*INDEX([1]equip.xml!$I:$I,MATCH(D4349,[1]equip.xml!$A:$A,0))</f>
        <v>54000</v>
      </c>
      <c r="H4349" s="8" t="str">
        <f t="shared" ref="H4349:J4349" si="5291">H4261</f>
        <v>10_10,50_20,80_30</v>
      </c>
      <c r="I4349" s="8">
        <v>10</v>
      </c>
      <c r="J4349" s="8">
        <f t="shared" si="5291"/>
        <v>50</v>
      </c>
      <c r="K4349" s="7" t="s">
        <v>309</v>
      </c>
      <c r="L4349" s="8">
        <v>24</v>
      </c>
      <c r="M4349" s="7">
        <f>IF(INDEX([1]equip.xml!$B:$B,MATCH(D4349,[1]equip.xml!$A:$A,0))=0,0,N4349)</f>
        <v>100</v>
      </c>
      <c r="N4349" s="7">
        <f t="shared" si="5182"/>
        <v>100</v>
      </c>
    </row>
    <row r="4350" spans="1:14">
      <c r="A4350" s="7">
        <f t="shared" si="5261"/>
        <v>30008</v>
      </c>
      <c r="B4350" s="8">
        <f t="shared" ref="B4350:C4350" si="5292">B4262</f>
        <v>40000</v>
      </c>
      <c r="C4350" s="8" t="str">
        <f t="shared" si="5292"/>
        <v>装备</v>
      </c>
      <c r="D4350" s="8">
        <v>40151060</v>
      </c>
      <c r="E4350" s="8"/>
      <c r="F4350" s="8">
        <v>1</v>
      </c>
      <c r="G4350" s="7">
        <f>3*INDEX([1]equip.xml!$I:$I,MATCH(D4350&amp;"",[1]equip.xml!$A:$A,0))</f>
        <v>45000</v>
      </c>
      <c r="H4350" s="8" t="str">
        <f t="shared" ref="H4350:J4350" si="5293">H4262</f>
        <v>10_10,50_20,80_30</v>
      </c>
      <c r="I4350" s="8">
        <v>10</v>
      </c>
      <c r="J4350" s="8">
        <f t="shared" si="5293"/>
        <v>50</v>
      </c>
      <c r="K4350" s="7" t="s">
        <v>309</v>
      </c>
      <c r="L4350" s="8">
        <v>24</v>
      </c>
      <c r="M4350" s="7">
        <f>IF(INDEX([1]equip.xml!$B:$B,MATCH(D4350&amp;"",[1]equip.xml!$A:$A,0))=0,0,N4350)</f>
        <v>100</v>
      </c>
      <c r="N4350" s="7">
        <f t="shared" si="5182"/>
        <v>100</v>
      </c>
    </row>
    <row r="4351" spans="1:14">
      <c r="A4351" s="7">
        <f t="shared" si="5261"/>
        <v>30008</v>
      </c>
      <c r="B4351" s="8">
        <f t="shared" ref="B4351:C4351" si="5294">B4263</f>
        <v>40000</v>
      </c>
      <c r="C4351" s="8" t="str">
        <f t="shared" si="5294"/>
        <v>装备</v>
      </c>
      <c r="D4351" s="8">
        <v>40151061</v>
      </c>
      <c r="E4351" s="8"/>
      <c r="F4351" s="8">
        <v>1</v>
      </c>
      <c r="G4351" s="7">
        <f>3*INDEX([1]equip.xml!$I:$I,MATCH(D4351&amp;"",[1]equip.xml!$A:$A,0))</f>
        <v>54000</v>
      </c>
      <c r="H4351" s="8" t="str">
        <f t="shared" ref="H4351:J4351" si="5295">H4263</f>
        <v>10_10,50_20,80_30</v>
      </c>
      <c r="I4351" s="8">
        <v>10</v>
      </c>
      <c r="J4351" s="8">
        <f t="shared" si="5295"/>
        <v>50</v>
      </c>
      <c r="K4351" s="7" t="s">
        <v>309</v>
      </c>
      <c r="L4351" s="8">
        <v>24</v>
      </c>
      <c r="M4351" s="7">
        <f>IF(INDEX([1]equip.xml!$B:$B,MATCH(D4351&amp;"",[1]equip.xml!$A:$A,0))=0,0,N4351)</f>
        <v>0</v>
      </c>
      <c r="N4351" s="7">
        <f t="shared" si="5182"/>
        <v>100</v>
      </c>
    </row>
    <row r="4352" spans="1:14">
      <c r="A4352" s="7">
        <f t="shared" si="5261"/>
        <v>30008</v>
      </c>
      <c r="B4352" s="8">
        <f t="shared" ref="B4352:C4352" si="5296">B4264</f>
        <v>40000</v>
      </c>
      <c r="C4352" s="8" t="str">
        <f t="shared" si="5296"/>
        <v>装备</v>
      </c>
      <c r="D4352" s="8">
        <v>40152050</v>
      </c>
      <c r="E4352" s="8"/>
      <c r="F4352" s="8">
        <v>1</v>
      </c>
      <c r="G4352" s="7">
        <f>3*INDEX([1]equip.xml!$I:$I,MATCH(D4352&amp;"",[1]equip.xml!$A:$A,0))</f>
        <v>45000</v>
      </c>
      <c r="H4352" s="8" t="str">
        <f t="shared" ref="H4352:J4352" si="5297">H4264</f>
        <v>10_10,50_20,80_30</v>
      </c>
      <c r="I4352" s="8">
        <v>10</v>
      </c>
      <c r="J4352" s="8">
        <f t="shared" si="5297"/>
        <v>50</v>
      </c>
      <c r="K4352" s="7" t="s">
        <v>309</v>
      </c>
      <c r="L4352" s="8">
        <v>24</v>
      </c>
      <c r="M4352" s="7">
        <f>IF(INDEX([1]equip.xml!$B:$B,MATCH(D4352&amp;"",[1]equip.xml!$A:$A,0))=0,0,N4352)</f>
        <v>100</v>
      </c>
      <c r="N4352" s="7">
        <f t="shared" si="5182"/>
        <v>100</v>
      </c>
    </row>
    <row r="4353" spans="1:14">
      <c r="A4353" s="7">
        <f t="shared" si="5261"/>
        <v>30008</v>
      </c>
      <c r="B4353" s="8">
        <f t="shared" ref="B4353:C4353" si="5298">B4265</f>
        <v>40000</v>
      </c>
      <c r="C4353" s="8" t="str">
        <f t="shared" si="5298"/>
        <v>装备</v>
      </c>
      <c r="D4353" s="8">
        <v>40152051</v>
      </c>
      <c r="E4353" s="8"/>
      <c r="F4353" s="8">
        <v>1</v>
      </c>
      <c r="G4353" s="7">
        <f>3*INDEX([1]equip.xml!$I:$I,MATCH(D4353,[1]equip.xml!$A:$A,0))</f>
        <v>54000</v>
      </c>
      <c r="H4353" s="8" t="str">
        <f t="shared" ref="H4353:J4353" si="5299">H4265</f>
        <v>10_10,50_20,80_30</v>
      </c>
      <c r="I4353" s="8">
        <v>10</v>
      </c>
      <c r="J4353" s="8">
        <f t="shared" si="5299"/>
        <v>50</v>
      </c>
      <c r="K4353" s="7" t="s">
        <v>309</v>
      </c>
      <c r="L4353" s="8">
        <v>24</v>
      </c>
      <c r="M4353" s="7">
        <f>IF(INDEX([1]equip.xml!$B:$B,MATCH(D4353,[1]equip.xml!$A:$A,0))=0,0,N4353)</f>
        <v>100</v>
      </c>
      <c r="N4353" s="7">
        <f t="shared" si="5182"/>
        <v>100</v>
      </c>
    </row>
    <row r="4354" spans="1:14">
      <c r="A4354" s="7">
        <f t="shared" si="5261"/>
        <v>30008</v>
      </c>
      <c r="B4354" s="8">
        <f t="shared" ref="B4354:C4354" si="5300">B4266</f>
        <v>40000</v>
      </c>
      <c r="C4354" s="8" t="str">
        <f t="shared" si="5300"/>
        <v>装备</v>
      </c>
      <c r="D4354" s="8">
        <v>40152060</v>
      </c>
      <c r="E4354" s="8"/>
      <c r="F4354" s="8">
        <v>1</v>
      </c>
      <c r="G4354" s="7">
        <f>3*INDEX([1]equip.xml!$I:$I,MATCH(D4354&amp;"",[1]equip.xml!$A:$A,0))</f>
        <v>45000</v>
      </c>
      <c r="H4354" s="8" t="str">
        <f t="shared" ref="H4354:J4354" si="5301">H4266</f>
        <v>10_10,50_20,80_30</v>
      </c>
      <c r="I4354" s="8">
        <v>10</v>
      </c>
      <c r="J4354" s="8">
        <f t="shared" si="5301"/>
        <v>50</v>
      </c>
      <c r="K4354" s="7" t="s">
        <v>309</v>
      </c>
      <c r="L4354" s="8">
        <v>24</v>
      </c>
      <c r="M4354" s="7">
        <f>IF(INDEX([1]equip.xml!$B:$B,MATCH(D4354&amp;"",[1]equip.xml!$A:$A,0))=0,0,N4354)</f>
        <v>100</v>
      </c>
      <c r="N4354" s="7">
        <f t="shared" si="5182"/>
        <v>100</v>
      </c>
    </row>
    <row r="4355" spans="1:14">
      <c r="A4355" s="7">
        <f t="shared" si="5261"/>
        <v>30008</v>
      </c>
      <c r="B4355" s="8">
        <f t="shared" ref="B4355:C4355" si="5302">B4267</f>
        <v>40000</v>
      </c>
      <c r="C4355" s="8" t="str">
        <f t="shared" si="5302"/>
        <v>装备</v>
      </c>
      <c r="D4355" s="8">
        <v>40152061</v>
      </c>
      <c r="E4355" s="8"/>
      <c r="F4355" s="8">
        <v>1</v>
      </c>
      <c r="G4355" s="7">
        <f>3*INDEX([1]equip.xml!$I:$I,MATCH(D4355&amp;"",[1]equip.xml!$A:$A,0))</f>
        <v>54000</v>
      </c>
      <c r="H4355" s="8" t="str">
        <f t="shared" ref="H4355:J4355" si="5303">H4267</f>
        <v>10_10,50_20,80_30</v>
      </c>
      <c r="I4355" s="8">
        <v>10</v>
      </c>
      <c r="J4355" s="8">
        <f t="shared" si="5303"/>
        <v>50</v>
      </c>
      <c r="K4355" s="7" t="s">
        <v>309</v>
      </c>
      <c r="L4355" s="8">
        <v>24</v>
      </c>
      <c r="M4355" s="7">
        <f>IF(INDEX([1]equip.xml!$B:$B,MATCH(D4355&amp;"",[1]equip.xml!$A:$A,0))=0,0,N4355)</f>
        <v>0</v>
      </c>
      <c r="N4355" s="7">
        <f t="shared" si="5182"/>
        <v>100</v>
      </c>
    </row>
    <row r="4356" spans="1:14">
      <c r="A4356" s="7">
        <f t="shared" si="5261"/>
        <v>30008</v>
      </c>
      <c r="B4356" s="8">
        <f t="shared" ref="B4356:C4356" si="5304">B4268</f>
        <v>40000</v>
      </c>
      <c r="C4356" s="8" t="str">
        <f t="shared" si="5304"/>
        <v>装备</v>
      </c>
      <c r="D4356" s="8">
        <v>40153050</v>
      </c>
      <c r="E4356" s="8"/>
      <c r="F4356" s="8">
        <v>1</v>
      </c>
      <c r="G4356" s="7">
        <f>3*INDEX([1]equip.xml!$I:$I,MATCH(D4356&amp;"",[1]equip.xml!$A:$A,0))</f>
        <v>45000</v>
      </c>
      <c r="H4356" s="8" t="str">
        <f t="shared" ref="H4356:J4356" si="5305">H4268</f>
        <v>10_10,50_20,80_30</v>
      </c>
      <c r="I4356" s="8">
        <v>10</v>
      </c>
      <c r="J4356" s="8">
        <f t="shared" si="5305"/>
        <v>50</v>
      </c>
      <c r="K4356" s="7" t="s">
        <v>309</v>
      </c>
      <c r="L4356" s="8">
        <v>24</v>
      </c>
      <c r="M4356" s="7">
        <f>IF(INDEX([1]equip.xml!$B:$B,MATCH(D4356&amp;"",[1]equip.xml!$A:$A,0))=0,0,N4356)</f>
        <v>100</v>
      </c>
      <c r="N4356" s="7">
        <f t="shared" si="5182"/>
        <v>100</v>
      </c>
    </row>
    <row r="4357" spans="1:14">
      <c r="A4357" s="7">
        <f t="shared" si="5261"/>
        <v>30008</v>
      </c>
      <c r="B4357" s="8">
        <f t="shared" ref="B4357:C4357" si="5306">B4269</f>
        <v>40000</v>
      </c>
      <c r="C4357" s="8" t="str">
        <f t="shared" si="5306"/>
        <v>装备</v>
      </c>
      <c r="D4357" s="8">
        <v>40153051</v>
      </c>
      <c r="E4357" s="8"/>
      <c r="F4357" s="8">
        <v>1</v>
      </c>
      <c r="G4357" s="7">
        <f>3*INDEX([1]equip.xml!$I:$I,MATCH(D4357,[1]equip.xml!$A:$A,0))</f>
        <v>54000</v>
      </c>
      <c r="H4357" s="8" t="str">
        <f t="shared" ref="H4357:J4357" si="5307">H4269</f>
        <v>10_10,50_20,80_30</v>
      </c>
      <c r="I4357" s="8">
        <v>10</v>
      </c>
      <c r="J4357" s="8">
        <f t="shared" si="5307"/>
        <v>50</v>
      </c>
      <c r="K4357" s="7" t="s">
        <v>309</v>
      </c>
      <c r="L4357" s="8">
        <v>24</v>
      </c>
      <c r="M4357" s="7">
        <f>IF(INDEX([1]equip.xml!$B:$B,MATCH(D4357,[1]equip.xml!$A:$A,0))=0,0,N4357)</f>
        <v>100</v>
      </c>
      <c r="N4357" s="7">
        <f t="shared" si="5182"/>
        <v>100</v>
      </c>
    </row>
    <row r="4358" spans="1:14">
      <c r="A4358" s="7">
        <f t="shared" si="5261"/>
        <v>30008</v>
      </c>
      <c r="B4358" s="8">
        <f t="shared" ref="B4358:C4358" si="5308">B4270</f>
        <v>40000</v>
      </c>
      <c r="C4358" s="8" t="str">
        <f t="shared" si="5308"/>
        <v>装备</v>
      </c>
      <c r="D4358" s="8">
        <v>40153060</v>
      </c>
      <c r="E4358" s="8"/>
      <c r="F4358" s="8">
        <v>1</v>
      </c>
      <c r="G4358" s="7">
        <f>3*INDEX([1]equip.xml!$I:$I,MATCH(D4358&amp;"",[1]equip.xml!$A:$A,0))</f>
        <v>45000</v>
      </c>
      <c r="H4358" s="8" t="str">
        <f t="shared" ref="H4358:J4358" si="5309">H4270</f>
        <v>10_10,50_20,80_30</v>
      </c>
      <c r="I4358" s="8">
        <v>10</v>
      </c>
      <c r="J4358" s="8">
        <f t="shared" si="5309"/>
        <v>50</v>
      </c>
      <c r="K4358" s="7" t="s">
        <v>309</v>
      </c>
      <c r="L4358" s="8">
        <v>24</v>
      </c>
      <c r="M4358" s="7">
        <f>IF(INDEX([1]equip.xml!$B:$B,MATCH(D4358&amp;"",[1]equip.xml!$A:$A,0))=0,0,N4358)</f>
        <v>100</v>
      </c>
      <c r="N4358" s="7">
        <f t="shared" si="5182"/>
        <v>100</v>
      </c>
    </row>
    <row r="4359" spans="1:14">
      <c r="A4359" s="7">
        <f t="shared" si="5261"/>
        <v>30008</v>
      </c>
      <c r="B4359" s="8">
        <f t="shared" ref="B4359:C4359" si="5310">B4271</f>
        <v>40000</v>
      </c>
      <c r="C4359" s="8" t="str">
        <f t="shared" si="5310"/>
        <v>装备</v>
      </c>
      <c r="D4359" s="8">
        <v>40153061</v>
      </c>
      <c r="E4359" s="8"/>
      <c r="F4359" s="8">
        <v>1</v>
      </c>
      <c r="G4359" s="7">
        <f>3*INDEX([1]equip.xml!$I:$I,MATCH(D4359&amp;"",[1]equip.xml!$A:$A,0))</f>
        <v>54000</v>
      </c>
      <c r="H4359" s="8" t="str">
        <f t="shared" ref="H4359:J4359" si="5311">H4271</f>
        <v>10_10,50_20,80_30</v>
      </c>
      <c r="I4359" s="8">
        <v>10</v>
      </c>
      <c r="J4359" s="8">
        <f t="shared" si="5311"/>
        <v>50</v>
      </c>
      <c r="K4359" s="7" t="s">
        <v>309</v>
      </c>
      <c r="L4359" s="8">
        <v>24</v>
      </c>
      <c r="M4359" s="7">
        <f>IF(INDEX([1]equip.xml!$B:$B,MATCH(D4359&amp;"",[1]equip.xml!$A:$A,0))=0,0,N4359)</f>
        <v>0</v>
      </c>
      <c r="N4359" s="7">
        <f t="shared" ref="N4359:N4422" si="5312">N4271</f>
        <v>100</v>
      </c>
    </row>
    <row r="4360" spans="1:14">
      <c r="A4360" s="7">
        <f t="shared" si="5261"/>
        <v>30008</v>
      </c>
      <c r="B4360" s="8">
        <f t="shared" ref="B4360:C4360" si="5313">B4272</f>
        <v>40000</v>
      </c>
      <c r="C4360" s="8" t="str">
        <f t="shared" si="5313"/>
        <v>装备</v>
      </c>
      <c r="D4360" s="8">
        <v>40150040</v>
      </c>
      <c r="E4360" s="8"/>
      <c r="F4360" s="8">
        <v>1</v>
      </c>
      <c r="G4360" s="7">
        <f>3*INDEX([1]equip.xml!$I:$I,MATCH(D4360&amp;"",[1]equip.xml!$A:$A,0))</f>
        <v>45000</v>
      </c>
      <c r="H4360" s="8" t="str">
        <f t="shared" ref="H4360:J4360" si="5314">H4272</f>
        <v>10_10,50_20,80_30</v>
      </c>
      <c r="I4360" s="8">
        <v>10</v>
      </c>
      <c r="J4360" s="8">
        <f t="shared" si="5314"/>
        <v>50</v>
      </c>
      <c r="K4360" s="7" t="s">
        <v>309</v>
      </c>
      <c r="L4360" s="8">
        <v>24</v>
      </c>
      <c r="M4360" s="7">
        <f>IF(INDEX([1]equip.xml!$B:$B,MATCH(D4360&amp;"",[1]equip.xml!$A:$A,0))=0,0,N4360)</f>
        <v>100</v>
      </c>
      <c r="N4360" s="7">
        <f t="shared" si="5312"/>
        <v>100</v>
      </c>
    </row>
    <row r="4361" spans="1:14">
      <c r="A4361" s="7">
        <f t="shared" si="5261"/>
        <v>30008</v>
      </c>
      <c r="B4361" s="8">
        <f t="shared" ref="B4361:C4361" si="5315">B4273</f>
        <v>40000</v>
      </c>
      <c r="C4361" s="8" t="str">
        <f t="shared" si="5315"/>
        <v>装备</v>
      </c>
      <c r="D4361" s="8">
        <v>40150041</v>
      </c>
      <c r="E4361" s="8"/>
      <c r="F4361" s="8">
        <v>1</v>
      </c>
      <c r="G4361" s="7">
        <f>3*INDEX([1]equip.xml!$I:$I,MATCH(D4361&amp;"",[1]equip.xml!$A:$A,0))</f>
        <v>54000</v>
      </c>
      <c r="H4361" s="8" t="str">
        <f t="shared" ref="H4361:J4361" si="5316">H4273</f>
        <v>10_10,50_20,80_30</v>
      </c>
      <c r="I4361" s="8">
        <v>10</v>
      </c>
      <c r="J4361" s="8">
        <f t="shared" si="5316"/>
        <v>50</v>
      </c>
      <c r="K4361" s="7" t="s">
        <v>309</v>
      </c>
      <c r="L4361" s="8">
        <v>24</v>
      </c>
      <c r="M4361" s="7">
        <f>IF(INDEX([1]equip.xml!$B:$B,MATCH(D4361&amp;"",[1]equip.xml!$A:$A,0))=0,0,N4361)</f>
        <v>0</v>
      </c>
      <c r="N4361" s="7">
        <f t="shared" si="5312"/>
        <v>100</v>
      </c>
    </row>
    <row r="4362" spans="1:14">
      <c r="A4362" s="7">
        <f t="shared" si="5261"/>
        <v>30008</v>
      </c>
      <c r="B4362" s="8">
        <f t="shared" ref="B4362:C4362" si="5317">B4274</f>
        <v>40000</v>
      </c>
      <c r="C4362" s="8" t="str">
        <f t="shared" si="5317"/>
        <v>装备</v>
      </c>
      <c r="D4362" s="8">
        <v>40150070</v>
      </c>
      <c r="E4362" s="8"/>
      <c r="F4362" s="8">
        <v>1</v>
      </c>
      <c r="G4362" s="7">
        <f>3*INDEX([1]equip.xml!$I:$I,MATCH(D4362&amp;"",[1]equip.xml!$A:$A,0))</f>
        <v>45000</v>
      </c>
      <c r="H4362" s="8" t="str">
        <f t="shared" ref="H4362:J4362" si="5318">H4274</f>
        <v>10_10,50_20,80_30</v>
      </c>
      <c r="I4362" s="8">
        <v>10</v>
      </c>
      <c r="J4362" s="8">
        <f t="shared" si="5318"/>
        <v>50</v>
      </c>
      <c r="K4362" s="7" t="s">
        <v>309</v>
      </c>
      <c r="L4362" s="8">
        <v>24</v>
      </c>
      <c r="M4362" s="7">
        <f>IF(INDEX([1]equip.xml!$B:$B,MATCH(D4362&amp;"",[1]equip.xml!$A:$A,0))=0,0,N4362)</f>
        <v>100</v>
      </c>
      <c r="N4362" s="7">
        <f t="shared" si="5312"/>
        <v>100</v>
      </c>
    </row>
    <row r="4363" spans="1:14">
      <c r="A4363" s="7">
        <f t="shared" si="5261"/>
        <v>30008</v>
      </c>
      <c r="B4363" s="8">
        <f t="shared" ref="B4363:C4363" si="5319">B4275</f>
        <v>40000</v>
      </c>
      <c r="C4363" s="8" t="str">
        <f t="shared" si="5319"/>
        <v>装备</v>
      </c>
      <c r="D4363" s="8">
        <v>40150071</v>
      </c>
      <c r="E4363" s="8"/>
      <c r="F4363" s="8">
        <v>1</v>
      </c>
      <c r="G4363" s="7">
        <f>3*INDEX([1]equip.xml!$I:$I,MATCH(D4363&amp;"",[1]equip.xml!$A:$A,0))</f>
        <v>54000</v>
      </c>
      <c r="H4363" s="8" t="str">
        <f t="shared" ref="H4363:J4363" si="5320">H4275</f>
        <v>10_10,50_20,80_30</v>
      </c>
      <c r="I4363" s="8">
        <v>10</v>
      </c>
      <c r="J4363" s="8">
        <f t="shared" si="5320"/>
        <v>50</v>
      </c>
      <c r="K4363" s="7" t="s">
        <v>309</v>
      </c>
      <c r="L4363" s="8">
        <v>24</v>
      </c>
      <c r="M4363" s="7">
        <f>IF(INDEX([1]equip.xml!$B:$B,MATCH(D4363&amp;"",[1]equip.xml!$A:$A,0))=0,0,N4363)</f>
        <v>0</v>
      </c>
      <c r="N4363" s="7">
        <f t="shared" si="5312"/>
        <v>100</v>
      </c>
    </row>
    <row r="4364" spans="1:14">
      <c r="A4364" s="7">
        <f t="shared" si="5261"/>
        <v>30008</v>
      </c>
      <c r="B4364" s="8">
        <f t="shared" ref="B4364:C4364" si="5321">B4276</f>
        <v>40000</v>
      </c>
      <c r="C4364" s="8" t="str">
        <f t="shared" si="5321"/>
        <v>装备</v>
      </c>
      <c r="D4364" s="8">
        <v>40200010</v>
      </c>
      <c r="E4364" s="8"/>
      <c r="F4364" s="8">
        <v>1</v>
      </c>
      <c r="G4364" s="7">
        <f>3*INDEX([1]equip.xml!$I:$I,MATCH(D4364&amp;"",[1]equip.xml!$A:$A,0))</f>
        <v>60000</v>
      </c>
      <c r="H4364" s="8" t="str">
        <f t="shared" ref="H4364:J4364" si="5322">H4276</f>
        <v>10_10,50_20,80_30</v>
      </c>
      <c r="I4364" s="8">
        <v>10</v>
      </c>
      <c r="J4364" s="8">
        <f t="shared" si="5322"/>
        <v>50</v>
      </c>
      <c r="K4364" s="7" t="s">
        <v>309</v>
      </c>
      <c r="L4364" s="8">
        <v>24</v>
      </c>
      <c r="M4364" s="7">
        <f>IF(INDEX([1]equip.xml!$B:$B,MATCH(D4364&amp;"",[1]equip.xml!$A:$A,0))=0,0,N4364)</f>
        <v>70</v>
      </c>
      <c r="N4364" s="7">
        <f t="shared" si="5312"/>
        <v>70</v>
      </c>
    </row>
    <row r="4365" spans="1:14">
      <c r="A4365" s="7">
        <f t="shared" si="5261"/>
        <v>30008</v>
      </c>
      <c r="B4365" s="8">
        <f t="shared" ref="B4365:C4365" si="5323">B4277</f>
        <v>40000</v>
      </c>
      <c r="C4365" s="8" t="str">
        <f t="shared" si="5323"/>
        <v>装备</v>
      </c>
      <c r="D4365" s="8">
        <v>40200020</v>
      </c>
      <c r="E4365" s="8"/>
      <c r="F4365" s="8">
        <v>1</v>
      </c>
      <c r="G4365" s="7">
        <f>3*INDEX([1]equip.xml!$I:$I,MATCH(D4365&amp;"",[1]equip.xml!$A:$A,0))</f>
        <v>60000</v>
      </c>
      <c r="H4365" s="8" t="str">
        <f t="shared" ref="H4365:J4365" si="5324">H4277</f>
        <v>10_10,50_20,80_30</v>
      </c>
      <c r="I4365" s="8">
        <v>10</v>
      </c>
      <c r="J4365" s="8">
        <f t="shared" si="5324"/>
        <v>50</v>
      </c>
      <c r="K4365" s="7" t="s">
        <v>309</v>
      </c>
      <c r="L4365" s="8">
        <v>24</v>
      </c>
      <c r="M4365" s="7">
        <f>IF(INDEX([1]equip.xml!$B:$B,MATCH(D4365&amp;"",[1]equip.xml!$A:$A,0))=0,0,N4365)</f>
        <v>70</v>
      </c>
      <c r="N4365" s="7">
        <f t="shared" si="5312"/>
        <v>70</v>
      </c>
    </row>
    <row r="4366" spans="1:14">
      <c r="A4366" s="7">
        <f t="shared" si="5261"/>
        <v>30008</v>
      </c>
      <c r="B4366" s="8">
        <f t="shared" ref="B4366:C4366" si="5325">B4278</f>
        <v>40000</v>
      </c>
      <c r="C4366" s="8" t="str">
        <f t="shared" si="5325"/>
        <v>装备</v>
      </c>
      <c r="D4366" s="8">
        <v>40200030</v>
      </c>
      <c r="E4366" s="8"/>
      <c r="F4366" s="8">
        <v>1</v>
      </c>
      <c r="G4366" s="7">
        <f>3*INDEX([1]equip.xml!$I:$I,MATCH(D4366&amp;"",[1]equip.xml!$A:$A,0))</f>
        <v>60000</v>
      </c>
      <c r="H4366" s="8" t="str">
        <f t="shared" ref="H4366:J4366" si="5326">H4278</f>
        <v>10_10,50_20,80_30</v>
      </c>
      <c r="I4366" s="8">
        <v>10</v>
      </c>
      <c r="J4366" s="8">
        <f t="shared" si="5326"/>
        <v>50</v>
      </c>
      <c r="K4366" s="7" t="s">
        <v>309</v>
      </c>
      <c r="L4366" s="8">
        <v>24</v>
      </c>
      <c r="M4366" s="7">
        <f>IF(INDEX([1]equip.xml!$B:$B,MATCH(D4366&amp;"",[1]equip.xml!$A:$A,0))=0,0,N4366)</f>
        <v>70</v>
      </c>
      <c r="N4366" s="7">
        <f t="shared" si="5312"/>
        <v>70</v>
      </c>
    </row>
    <row r="4367" spans="1:14">
      <c r="A4367" s="7">
        <f t="shared" si="5261"/>
        <v>30008</v>
      </c>
      <c r="B4367" s="8">
        <f t="shared" ref="B4367:C4367" si="5327">B4279</f>
        <v>40000</v>
      </c>
      <c r="C4367" s="8" t="str">
        <f t="shared" si="5327"/>
        <v>装备</v>
      </c>
      <c r="D4367" s="8">
        <v>40200080</v>
      </c>
      <c r="E4367" s="8"/>
      <c r="F4367" s="8">
        <v>1</v>
      </c>
      <c r="G4367" s="7">
        <f>3*INDEX([1]equip.xml!$I:$I,MATCH(D4367&amp;"",[1]equip.xml!$A:$A,0))</f>
        <v>60000</v>
      </c>
      <c r="H4367" s="8" t="str">
        <f t="shared" ref="H4367:J4367" si="5328">H4279</f>
        <v>10_10,50_20,80_30</v>
      </c>
      <c r="I4367" s="8">
        <v>10</v>
      </c>
      <c r="J4367" s="8">
        <f t="shared" si="5328"/>
        <v>50</v>
      </c>
      <c r="K4367" s="7" t="s">
        <v>309</v>
      </c>
      <c r="L4367" s="8">
        <v>24</v>
      </c>
      <c r="M4367" s="7">
        <f>IF(INDEX([1]equip.xml!$B:$B,MATCH(D4367&amp;"",[1]equip.xml!$A:$A,0))=0,0,N4367)</f>
        <v>70</v>
      </c>
      <c r="N4367" s="7">
        <f t="shared" si="5312"/>
        <v>70</v>
      </c>
    </row>
    <row r="4368" spans="1:14">
      <c r="A4368" s="7">
        <f t="shared" si="5261"/>
        <v>30008</v>
      </c>
      <c r="B4368" s="8">
        <f t="shared" ref="B4368:C4368" si="5329">B4280</f>
        <v>40000</v>
      </c>
      <c r="C4368" s="8" t="str">
        <f t="shared" si="5329"/>
        <v>装备</v>
      </c>
      <c r="D4368" s="8">
        <v>40200090</v>
      </c>
      <c r="E4368" s="8"/>
      <c r="F4368" s="8">
        <v>1</v>
      </c>
      <c r="G4368" s="7">
        <f>3*INDEX([1]equip.xml!$I:$I,MATCH(D4368&amp;"",[1]equip.xml!$A:$A,0))</f>
        <v>60000</v>
      </c>
      <c r="H4368" s="8" t="str">
        <f t="shared" ref="H4368:J4368" si="5330">H4280</f>
        <v>10_10,50_20,80_30</v>
      </c>
      <c r="I4368" s="8">
        <v>10</v>
      </c>
      <c r="J4368" s="8">
        <f t="shared" si="5330"/>
        <v>50</v>
      </c>
      <c r="K4368" s="7" t="s">
        <v>309</v>
      </c>
      <c r="L4368" s="8">
        <v>24</v>
      </c>
      <c r="M4368" s="7">
        <f>IF(INDEX([1]equip.xml!$B:$B,MATCH(D4368&amp;"",[1]equip.xml!$A:$A,0))=0,0,N4368)</f>
        <v>70</v>
      </c>
      <c r="N4368" s="7">
        <f t="shared" si="5312"/>
        <v>70</v>
      </c>
    </row>
    <row r="4369" spans="1:14">
      <c r="A4369" s="7">
        <f t="shared" si="5261"/>
        <v>30008</v>
      </c>
      <c r="B4369" s="8">
        <f t="shared" ref="B4369:C4369" si="5331">B4281</f>
        <v>40000</v>
      </c>
      <c r="C4369" s="8" t="str">
        <f t="shared" si="5331"/>
        <v>装备</v>
      </c>
      <c r="D4369" s="8">
        <v>40200100</v>
      </c>
      <c r="E4369" s="8"/>
      <c r="F4369" s="8">
        <v>1</v>
      </c>
      <c r="G4369" s="7">
        <f>3*INDEX([1]equip.xml!$I:$I,MATCH(D4369&amp;"",[1]equip.xml!$A:$A,0))</f>
        <v>60000</v>
      </c>
      <c r="H4369" s="8" t="str">
        <f t="shared" ref="H4369:J4369" si="5332">H4281</f>
        <v>10_10,50_20,80_30</v>
      </c>
      <c r="I4369" s="8">
        <v>10</v>
      </c>
      <c r="J4369" s="8">
        <f t="shared" si="5332"/>
        <v>50</v>
      </c>
      <c r="K4369" s="7" t="s">
        <v>309</v>
      </c>
      <c r="L4369" s="8">
        <v>24</v>
      </c>
      <c r="M4369" s="7">
        <f>IF(INDEX([1]equip.xml!$B:$B,MATCH(D4369&amp;"",[1]equip.xml!$A:$A,0))=0,0,N4369)</f>
        <v>70</v>
      </c>
      <c r="N4369" s="7">
        <f t="shared" si="5312"/>
        <v>70</v>
      </c>
    </row>
    <row r="4370" spans="1:14">
      <c r="A4370" s="7">
        <f t="shared" si="5261"/>
        <v>30008</v>
      </c>
      <c r="B4370" s="8">
        <f t="shared" ref="B4370:C4370" si="5333">B4282</f>
        <v>40000</v>
      </c>
      <c r="C4370" s="8" t="str">
        <f t="shared" si="5333"/>
        <v>装备</v>
      </c>
      <c r="D4370" s="8">
        <v>40201050</v>
      </c>
      <c r="E4370" s="8"/>
      <c r="F4370" s="8">
        <v>1</v>
      </c>
      <c r="G4370" s="7">
        <f>3*INDEX([1]equip.xml!$I:$I,MATCH(D4370&amp;"",[1]equip.xml!$A:$A,0))</f>
        <v>60000</v>
      </c>
      <c r="H4370" s="8" t="str">
        <f t="shared" ref="H4370:J4370" si="5334">H4282</f>
        <v>10_10,50_20,80_30</v>
      </c>
      <c r="I4370" s="8">
        <v>10</v>
      </c>
      <c r="J4370" s="8">
        <f t="shared" si="5334"/>
        <v>50</v>
      </c>
      <c r="K4370" s="7" t="s">
        <v>309</v>
      </c>
      <c r="L4370" s="8">
        <v>24</v>
      </c>
      <c r="M4370" s="7">
        <f>IF(INDEX([1]equip.xml!$B:$B,MATCH(D4370&amp;"",[1]equip.xml!$A:$A,0))=0,0,N4370)</f>
        <v>70</v>
      </c>
      <c r="N4370" s="7">
        <f t="shared" si="5312"/>
        <v>70</v>
      </c>
    </row>
    <row r="4371" spans="1:14">
      <c r="A4371" s="7">
        <f t="shared" si="5261"/>
        <v>30008</v>
      </c>
      <c r="B4371" s="8">
        <f t="shared" ref="B4371:C4371" si="5335">B4283</f>
        <v>40000</v>
      </c>
      <c r="C4371" s="8" t="str">
        <f t="shared" si="5335"/>
        <v>装备</v>
      </c>
      <c r="D4371" s="8">
        <v>40201051</v>
      </c>
      <c r="E4371" s="8"/>
      <c r="F4371" s="8">
        <v>1</v>
      </c>
      <c r="G4371" s="7">
        <f>3*INDEX([1]equip.xml!$I:$I,MATCH(D4371&amp;"",[1]equip.xml!$A:$A,0))</f>
        <v>69000</v>
      </c>
      <c r="H4371" s="8" t="str">
        <f t="shared" ref="H4371:J4371" si="5336">H4283</f>
        <v>10_10,50_20,80_30</v>
      </c>
      <c r="I4371" s="8">
        <v>10</v>
      </c>
      <c r="J4371" s="8">
        <f t="shared" si="5336"/>
        <v>50</v>
      </c>
      <c r="K4371" s="7" t="s">
        <v>309</v>
      </c>
      <c r="L4371" s="8">
        <v>24</v>
      </c>
      <c r="M4371" s="7">
        <f>IF(INDEX([1]equip.xml!$B:$B,MATCH(D4371&amp;"",[1]equip.xml!$A:$A,0))=0,0,N4371)</f>
        <v>0</v>
      </c>
      <c r="N4371" s="7">
        <f t="shared" si="5312"/>
        <v>70</v>
      </c>
    </row>
    <row r="4372" spans="1:14">
      <c r="A4372" s="7">
        <f t="shared" si="5261"/>
        <v>30008</v>
      </c>
      <c r="B4372" s="8">
        <f t="shared" ref="B4372:C4372" si="5337">B4284</f>
        <v>40000</v>
      </c>
      <c r="C4372" s="8" t="str">
        <f t="shared" si="5337"/>
        <v>装备</v>
      </c>
      <c r="D4372" s="8">
        <v>40201060</v>
      </c>
      <c r="E4372" s="8"/>
      <c r="F4372" s="8">
        <v>1</v>
      </c>
      <c r="G4372" s="7">
        <f>3*INDEX([1]equip.xml!$I:$I,MATCH(D4372&amp;"",[1]equip.xml!$A:$A,0))</f>
        <v>60000</v>
      </c>
      <c r="H4372" s="8" t="str">
        <f t="shared" ref="H4372:J4372" si="5338">H4284</f>
        <v>10_10,50_20,80_30</v>
      </c>
      <c r="I4372" s="8">
        <v>10</v>
      </c>
      <c r="J4372" s="8">
        <f t="shared" si="5338"/>
        <v>50</v>
      </c>
      <c r="K4372" s="7" t="s">
        <v>309</v>
      </c>
      <c r="L4372" s="8">
        <v>24</v>
      </c>
      <c r="M4372" s="7">
        <f>IF(INDEX([1]equip.xml!$B:$B,MATCH(D4372&amp;"",[1]equip.xml!$A:$A,0))=0,0,N4372)</f>
        <v>70</v>
      </c>
      <c r="N4372" s="7">
        <f t="shared" si="5312"/>
        <v>70</v>
      </c>
    </row>
    <row r="4373" spans="1:14">
      <c r="A4373" s="7">
        <f t="shared" si="5261"/>
        <v>30008</v>
      </c>
      <c r="B4373" s="8">
        <f t="shared" ref="B4373:C4373" si="5339">B4285</f>
        <v>40000</v>
      </c>
      <c r="C4373" s="8" t="str">
        <f t="shared" si="5339"/>
        <v>装备</v>
      </c>
      <c r="D4373" s="8">
        <v>40201061</v>
      </c>
      <c r="E4373" s="8"/>
      <c r="F4373" s="8">
        <v>1</v>
      </c>
      <c r="G4373" s="7">
        <f>3*INDEX([1]equip.xml!$I:$I,MATCH(D4373&amp;"",[1]equip.xml!$A:$A,0))</f>
        <v>69000</v>
      </c>
      <c r="H4373" s="8" t="str">
        <f t="shared" ref="H4373:J4373" si="5340">H4285</f>
        <v>10_10,50_20,80_30</v>
      </c>
      <c r="I4373" s="8">
        <v>10</v>
      </c>
      <c r="J4373" s="8">
        <f t="shared" si="5340"/>
        <v>50</v>
      </c>
      <c r="K4373" s="7" t="s">
        <v>309</v>
      </c>
      <c r="L4373" s="8">
        <v>24</v>
      </c>
      <c r="M4373" s="7">
        <f>IF(INDEX([1]equip.xml!$B:$B,MATCH(D4373&amp;"",[1]equip.xml!$A:$A,0))=0,0,N4373)</f>
        <v>0</v>
      </c>
      <c r="N4373" s="7">
        <f t="shared" si="5312"/>
        <v>70</v>
      </c>
    </row>
    <row r="4374" spans="1:14">
      <c r="A4374" s="7">
        <f t="shared" si="5261"/>
        <v>30008</v>
      </c>
      <c r="B4374" s="8">
        <f t="shared" ref="B4374:C4374" si="5341">B4286</f>
        <v>40000</v>
      </c>
      <c r="C4374" s="8" t="str">
        <f t="shared" si="5341"/>
        <v>装备</v>
      </c>
      <c r="D4374" s="8">
        <v>40202050</v>
      </c>
      <c r="E4374" s="8"/>
      <c r="F4374" s="8">
        <v>1</v>
      </c>
      <c r="G4374" s="7">
        <f>3*INDEX([1]equip.xml!$I:$I,MATCH(D4374&amp;"",[1]equip.xml!$A:$A,0))</f>
        <v>60000</v>
      </c>
      <c r="H4374" s="8" t="str">
        <f t="shared" ref="H4374:J4374" si="5342">H4286</f>
        <v>10_10,50_20,80_30</v>
      </c>
      <c r="I4374" s="8">
        <v>10</v>
      </c>
      <c r="J4374" s="8">
        <f t="shared" si="5342"/>
        <v>50</v>
      </c>
      <c r="K4374" s="7" t="s">
        <v>309</v>
      </c>
      <c r="L4374" s="8">
        <v>24</v>
      </c>
      <c r="M4374" s="7">
        <f>IF(INDEX([1]equip.xml!$B:$B,MATCH(D4374&amp;"",[1]equip.xml!$A:$A,0))=0,0,N4374)</f>
        <v>70</v>
      </c>
      <c r="N4374" s="7">
        <f t="shared" si="5312"/>
        <v>70</v>
      </c>
    </row>
    <row r="4375" spans="1:14">
      <c r="A4375" s="7">
        <f t="shared" si="5261"/>
        <v>30008</v>
      </c>
      <c r="B4375" s="8">
        <f t="shared" ref="B4375:C4375" si="5343">B4287</f>
        <v>40000</v>
      </c>
      <c r="C4375" s="8" t="str">
        <f t="shared" si="5343"/>
        <v>装备</v>
      </c>
      <c r="D4375" s="8">
        <v>40202051</v>
      </c>
      <c r="E4375" s="8"/>
      <c r="F4375" s="8">
        <v>1</v>
      </c>
      <c r="G4375" s="7">
        <f>3*INDEX([1]equip.xml!$I:$I,MATCH(D4375&amp;"",[1]equip.xml!$A:$A,0))</f>
        <v>69000</v>
      </c>
      <c r="H4375" s="8" t="str">
        <f t="shared" ref="H4375:J4375" si="5344">H4287</f>
        <v>10_10,50_20,80_30</v>
      </c>
      <c r="I4375" s="8">
        <v>10</v>
      </c>
      <c r="J4375" s="8">
        <f t="shared" si="5344"/>
        <v>50</v>
      </c>
      <c r="K4375" s="7" t="s">
        <v>309</v>
      </c>
      <c r="L4375" s="8">
        <v>24</v>
      </c>
      <c r="M4375" s="7">
        <f>IF(INDEX([1]equip.xml!$B:$B,MATCH(D4375&amp;"",[1]equip.xml!$A:$A,0))=0,0,N4375)</f>
        <v>0</v>
      </c>
      <c r="N4375" s="7">
        <f t="shared" si="5312"/>
        <v>70</v>
      </c>
    </row>
    <row r="4376" spans="1:14">
      <c r="A4376" s="7">
        <f t="shared" si="5261"/>
        <v>30008</v>
      </c>
      <c r="B4376" s="8">
        <f t="shared" ref="B4376:C4376" si="5345">B4288</f>
        <v>40000</v>
      </c>
      <c r="C4376" s="8" t="str">
        <f t="shared" si="5345"/>
        <v>装备</v>
      </c>
      <c r="D4376" s="8">
        <v>40202060</v>
      </c>
      <c r="E4376" s="8"/>
      <c r="F4376" s="8">
        <v>1</v>
      </c>
      <c r="G4376" s="7">
        <f>3*INDEX([1]equip.xml!$I:$I,MATCH(D4376&amp;"",[1]equip.xml!$A:$A,0))</f>
        <v>60000</v>
      </c>
      <c r="H4376" s="8" t="str">
        <f t="shared" ref="H4376:J4376" si="5346">H4288</f>
        <v>10_10,50_20,80_30</v>
      </c>
      <c r="I4376" s="8">
        <v>10</v>
      </c>
      <c r="J4376" s="8">
        <f t="shared" si="5346"/>
        <v>50</v>
      </c>
      <c r="K4376" s="7" t="s">
        <v>309</v>
      </c>
      <c r="L4376" s="8">
        <v>24</v>
      </c>
      <c r="M4376" s="7">
        <f>IF(INDEX([1]equip.xml!$B:$B,MATCH(D4376&amp;"",[1]equip.xml!$A:$A,0))=0,0,N4376)</f>
        <v>70</v>
      </c>
      <c r="N4376" s="7">
        <f t="shared" si="5312"/>
        <v>70</v>
      </c>
    </row>
    <row r="4377" spans="1:14">
      <c r="A4377" s="7">
        <f t="shared" si="5261"/>
        <v>30008</v>
      </c>
      <c r="B4377" s="8">
        <f t="shared" ref="B4377:C4377" si="5347">B4289</f>
        <v>40000</v>
      </c>
      <c r="C4377" s="8" t="str">
        <f t="shared" si="5347"/>
        <v>装备</v>
      </c>
      <c r="D4377" s="8">
        <v>40202061</v>
      </c>
      <c r="E4377" s="8"/>
      <c r="F4377" s="8">
        <v>1</v>
      </c>
      <c r="G4377" s="7">
        <f>3*INDEX([1]equip.xml!$I:$I,MATCH(D4377&amp;"",[1]equip.xml!$A:$A,0))</f>
        <v>69000</v>
      </c>
      <c r="H4377" s="8" t="str">
        <f t="shared" ref="H4377:J4377" si="5348">H4289</f>
        <v>10_10,50_20,80_30</v>
      </c>
      <c r="I4377" s="8">
        <v>10</v>
      </c>
      <c r="J4377" s="8">
        <f t="shared" si="5348"/>
        <v>50</v>
      </c>
      <c r="K4377" s="7" t="s">
        <v>309</v>
      </c>
      <c r="L4377" s="8">
        <v>24</v>
      </c>
      <c r="M4377" s="7">
        <f>IF(INDEX([1]equip.xml!$B:$B,MATCH(D4377&amp;"",[1]equip.xml!$A:$A,0))=0,0,N4377)</f>
        <v>0</v>
      </c>
      <c r="N4377" s="7">
        <f t="shared" si="5312"/>
        <v>70</v>
      </c>
    </row>
    <row r="4378" spans="1:14">
      <c r="A4378" s="7">
        <f t="shared" si="5261"/>
        <v>30008</v>
      </c>
      <c r="B4378" s="8">
        <f t="shared" ref="B4378:C4378" si="5349">B4290</f>
        <v>40000</v>
      </c>
      <c r="C4378" s="8" t="str">
        <f t="shared" si="5349"/>
        <v>装备</v>
      </c>
      <c r="D4378" s="8">
        <v>40203050</v>
      </c>
      <c r="E4378" s="8"/>
      <c r="F4378" s="8">
        <v>1</v>
      </c>
      <c r="G4378" s="7">
        <f>3*INDEX([1]equip.xml!$I:$I,MATCH(D4378&amp;"",[1]equip.xml!$A:$A,0))</f>
        <v>60000</v>
      </c>
      <c r="H4378" s="8" t="str">
        <f t="shared" ref="H4378:J4378" si="5350">H4290</f>
        <v>10_10,50_20,80_30</v>
      </c>
      <c r="I4378" s="8">
        <v>10</v>
      </c>
      <c r="J4378" s="8">
        <f t="shared" si="5350"/>
        <v>50</v>
      </c>
      <c r="K4378" s="7" t="s">
        <v>309</v>
      </c>
      <c r="L4378" s="8">
        <v>24</v>
      </c>
      <c r="M4378" s="7">
        <f>IF(INDEX([1]equip.xml!$B:$B,MATCH(D4378&amp;"",[1]equip.xml!$A:$A,0))=0,0,N4378)</f>
        <v>70</v>
      </c>
      <c r="N4378" s="7">
        <f t="shared" si="5312"/>
        <v>70</v>
      </c>
    </row>
    <row r="4379" spans="1:14">
      <c r="A4379" s="7">
        <f t="shared" si="5261"/>
        <v>30008</v>
      </c>
      <c r="B4379" s="8">
        <f t="shared" ref="B4379:C4379" si="5351">B4291</f>
        <v>40000</v>
      </c>
      <c r="C4379" s="8" t="str">
        <f t="shared" si="5351"/>
        <v>装备</v>
      </c>
      <c r="D4379" s="8">
        <v>40203051</v>
      </c>
      <c r="E4379" s="8"/>
      <c r="F4379" s="8">
        <v>1</v>
      </c>
      <c r="G4379" s="7">
        <f>3*INDEX([1]equip.xml!$I:$I,MATCH(D4379&amp;"",[1]equip.xml!$A:$A,0))</f>
        <v>69000</v>
      </c>
      <c r="H4379" s="8" t="str">
        <f t="shared" ref="H4379:J4379" si="5352">H4291</f>
        <v>10_10,50_20,80_30</v>
      </c>
      <c r="I4379" s="8">
        <v>10</v>
      </c>
      <c r="J4379" s="8">
        <f t="shared" si="5352"/>
        <v>50</v>
      </c>
      <c r="K4379" s="7" t="s">
        <v>309</v>
      </c>
      <c r="L4379" s="8">
        <v>24</v>
      </c>
      <c r="M4379" s="7">
        <f>IF(INDEX([1]equip.xml!$B:$B,MATCH(D4379&amp;"",[1]equip.xml!$A:$A,0))=0,0,N4379)</f>
        <v>70</v>
      </c>
      <c r="N4379" s="7">
        <f t="shared" si="5312"/>
        <v>70</v>
      </c>
    </row>
    <row r="4380" spans="1:14">
      <c r="A4380" s="7">
        <f t="shared" si="5261"/>
        <v>30008</v>
      </c>
      <c r="B4380" s="8">
        <f t="shared" ref="B4380:C4380" si="5353">B4292</f>
        <v>40000</v>
      </c>
      <c r="C4380" s="8" t="str">
        <f t="shared" si="5353"/>
        <v>装备</v>
      </c>
      <c r="D4380" s="8">
        <v>40203060</v>
      </c>
      <c r="E4380" s="8"/>
      <c r="F4380" s="8">
        <v>1</v>
      </c>
      <c r="G4380" s="7">
        <f>3*INDEX([1]equip.xml!$I:$I,MATCH(D4380&amp;"",[1]equip.xml!$A:$A,0))</f>
        <v>60000</v>
      </c>
      <c r="H4380" s="8" t="str">
        <f t="shared" ref="H4380:J4380" si="5354">H4292</f>
        <v>10_10,50_20,80_30</v>
      </c>
      <c r="I4380" s="8">
        <v>10</v>
      </c>
      <c r="J4380" s="8">
        <f t="shared" si="5354"/>
        <v>50</v>
      </c>
      <c r="K4380" s="7" t="s">
        <v>309</v>
      </c>
      <c r="L4380" s="8">
        <v>24</v>
      </c>
      <c r="M4380" s="7">
        <f>IF(INDEX([1]equip.xml!$B:$B,MATCH(D4380&amp;"",[1]equip.xml!$A:$A,0))=0,0,N4380)</f>
        <v>70</v>
      </c>
      <c r="N4380" s="7">
        <f t="shared" si="5312"/>
        <v>70</v>
      </c>
    </row>
    <row r="4381" spans="1:14">
      <c r="A4381" s="7">
        <f t="shared" si="5261"/>
        <v>30008</v>
      </c>
      <c r="B4381" s="8">
        <f t="shared" ref="B4381:C4381" si="5355">B4293</f>
        <v>40000</v>
      </c>
      <c r="C4381" s="8" t="str">
        <f t="shared" si="5355"/>
        <v>装备</v>
      </c>
      <c r="D4381" s="8">
        <v>40203061</v>
      </c>
      <c r="E4381" s="8"/>
      <c r="F4381" s="8">
        <v>1</v>
      </c>
      <c r="G4381" s="7">
        <f>3*INDEX([1]equip.xml!$I:$I,MATCH(D4381&amp;"",[1]equip.xml!$A:$A,0))</f>
        <v>69000</v>
      </c>
      <c r="H4381" s="8" t="str">
        <f t="shared" ref="H4381:J4381" si="5356">H4293</f>
        <v>10_10,50_20,80_30</v>
      </c>
      <c r="I4381" s="8">
        <v>10</v>
      </c>
      <c r="J4381" s="8">
        <f t="shared" si="5356"/>
        <v>50</v>
      </c>
      <c r="K4381" s="7" t="s">
        <v>309</v>
      </c>
      <c r="L4381" s="8">
        <v>24</v>
      </c>
      <c r="M4381" s="7">
        <f>IF(INDEX([1]equip.xml!$B:$B,MATCH(D4381&amp;"",[1]equip.xml!$A:$A,0))=0,0,N4381)</f>
        <v>0</v>
      </c>
      <c r="N4381" s="7">
        <f t="shared" si="5312"/>
        <v>70</v>
      </c>
    </row>
    <row r="4382" spans="1:14">
      <c r="A4382" s="7">
        <f t="shared" si="5261"/>
        <v>30008</v>
      </c>
      <c r="B4382" s="8">
        <f t="shared" ref="B4382:C4382" si="5357">B4294</f>
        <v>40000</v>
      </c>
      <c r="C4382" s="8" t="str">
        <f t="shared" si="5357"/>
        <v>装备</v>
      </c>
      <c r="D4382" s="8">
        <v>40200040</v>
      </c>
      <c r="E4382" s="8"/>
      <c r="F4382" s="8">
        <v>1</v>
      </c>
      <c r="G4382" s="7">
        <f>3*INDEX([1]equip.xml!$I:$I,MATCH(D4382&amp;"",[1]equip.xml!$A:$A,0))</f>
        <v>60000</v>
      </c>
      <c r="H4382" s="8" t="str">
        <f t="shared" ref="H4382:J4382" si="5358">H4294</f>
        <v>10_10,50_20,80_30</v>
      </c>
      <c r="I4382" s="8">
        <v>10</v>
      </c>
      <c r="J4382" s="8">
        <f t="shared" si="5358"/>
        <v>50</v>
      </c>
      <c r="K4382" s="7" t="s">
        <v>309</v>
      </c>
      <c r="L4382" s="8">
        <v>24</v>
      </c>
      <c r="M4382" s="7">
        <f>IF(INDEX([1]equip.xml!$B:$B,MATCH(D4382&amp;"",[1]equip.xml!$A:$A,0))=0,0,N4382)</f>
        <v>70</v>
      </c>
      <c r="N4382" s="7">
        <f t="shared" si="5312"/>
        <v>70</v>
      </c>
    </row>
    <row r="4383" spans="1:14">
      <c r="A4383" s="7">
        <f t="shared" si="5261"/>
        <v>30008</v>
      </c>
      <c r="B4383" s="8">
        <f t="shared" ref="B4383:C4383" si="5359">B4295</f>
        <v>40000</v>
      </c>
      <c r="C4383" s="8" t="str">
        <f t="shared" si="5359"/>
        <v>装备</v>
      </c>
      <c r="D4383" s="8">
        <v>40200041</v>
      </c>
      <c r="E4383" s="8"/>
      <c r="F4383" s="8">
        <v>1</v>
      </c>
      <c r="G4383" s="7">
        <f>3*INDEX([1]equip.xml!$I:$I,MATCH(D4383&amp;"",[1]equip.xml!$A:$A,0))</f>
        <v>69000</v>
      </c>
      <c r="H4383" s="8" t="str">
        <f t="shared" ref="H4383:J4383" si="5360">H4295</f>
        <v>10_10,50_20,80_30</v>
      </c>
      <c r="I4383" s="8">
        <v>10</v>
      </c>
      <c r="J4383" s="8">
        <f t="shared" si="5360"/>
        <v>50</v>
      </c>
      <c r="K4383" s="7" t="s">
        <v>309</v>
      </c>
      <c r="L4383" s="8">
        <v>24</v>
      </c>
      <c r="M4383" s="7">
        <f>IF(INDEX([1]equip.xml!$B:$B,MATCH(D4383&amp;"",[1]equip.xml!$A:$A,0))=0,0,N4383)</f>
        <v>70</v>
      </c>
      <c r="N4383" s="7">
        <f t="shared" si="5312"/>
        <v>70</v>
      </c>
    </row>
    <row r="4384" spans="1:14">
      <c r="A4384" s="7">
        <f t="shared" si="5261"/>
        <v>30008</v>
      </c>
      <c r="B4384" s="8">
        <f t="shared" ref="B4384:C4384" si="5361">B4296</f>
        <v>40000</v>
      </c>
      <c r="C4384" s="8" t="str">
        <f t="shared" si="5361"/>
        <v>装备</v>
      </c>
      <c r="D4384" s="8">
        <v>40200070</v>
      </c>
      <c r="E4384" s="8"/>
      <c r="F4384" s="8">
        <v>1</v>
      </c>
      <c r="G4384" s="7">
        <f>3*INDEX([1]equip.xml!$I:$I,MATCH(D4384&amp;"",[1]equip.xml!$A:$A,0))</f>
        <v>60000</v>
      </c>
      <c r="H4384" s="8" t="str">
        <f t="shared" ref="H4384:J4384" si="5362">H4296</f>
        <v>10_10,50_20,80_30</v>
      </c>
      <c r="I4384" s="8">
        <v>10</v>
      </c>
      <c r="J4384" s="8">
        <f t="shared" si="5362"/>
        <v>50</v>
      </c>
      <c r="K4384" s="7" t="s">
        <v>309</v>
      </c>
      <c r="L4384" s="8">
        <v>24</v>
      </c>
      <c r="M4384" s="7">
        <f>IF(INDEX([1]equip.xml!$B:$B,MATCH(D4384&amp;"",[1]equip.xml!$A:$A,0))=0,0,N4384)</f>
        <v>70</v>
      </c>
      <c r="N4384" s="7">
        <f t="shared" si="5312"/>
        <v>70</v>
      </c>
    </row>
    <row r="4385" spans="1:14">
      <c r="A4385" s="7">
        <f t="shared" si="5261"/>
        <v>30008</v>
      </c>
      <c r="B4385" s="8">
        <f t="shared" ref="B4385:C4385" si="5363">B4297</f>
        <v>40000</v>
      </c>
      <c r="C4385" s="8" t="str">
        <f t="shared" si="5363"/>
        <v>装备</v>
      </c>
      <c r="D4385" s="8">
        <v>40200071</v>
      </c>
      <c r="E4385" s="8"/>
      <c r="F4385" s="8">
        <v>1</v>
      </c>
      <c r="G4385" s="7">
        <f>3*INDEX([1]equip.xml!$I:$I,MATCH(D4385&amp;"",[1]equip.xml!$A:$A,0))</f>
        <v>69000</v>
      </c>
      <c r="H4385" s="8" t="str">
        <f t="shared" ref="H4385:J4385" si="5364">H4297</f>
        <v>10_10,50_20,80_30</v>
      </c>
      <c r="I4385" s="8">
        <v>10</v>
      </c>
      <c r="J4385" s="8">
        <f t="shared" si="5364"/>
        <v>50</v>
      </c>
      <c r="K4385" s="7" t="s">
        <v>309</v>
      </c>
      <c r="L4385" s="8">
        <v>24</v>
      </c>
      <c r="M4385" s="7">
        <f>IF(INDEX([1]equip.xml!$B:$B,MATCH(D4385&amp;"",[1]equip.xml!$A:$A,0))=0,0,N4385)</f>
        <v>70</v>
      </c>
      <c r="N4385" s="7">
        <f t="shared" si="5312"/>
        <v>70</v>
      </c>
    </row>
    <row r="4386" spans="1:14">
      <c r="A4386" s="7">
        <f t="shared" si="5261"/>
        <v>30008</v>
      </c>
      <c r="B4386" s="8">
        <f t="shared" ref="B4386:C4386" si="5365">B4298</f>
        <v>40000</v>
      </c>
      <c r="C4386" s="8" t="str">
        <f t="shared" si="5365"/>
        <v>装备</v>
      </c>
      <c r="D4386" s="8">
        <v>50150015</v>
      </c>
      <c r="E4386" s="8"/>
      <c r="F4386" s="8">
        <v>1</v>
      </c>
      <c r="G4386" s="8">
        <f>3*INDEX([1]equip.xml!$I:$I,MATCH(D4386,[1]equip.xml!$A:$A,0))</f>
        <v>90000</v>
      </c>
      <c r="H4386" s="8" t="str">
        <f t="shared" ref="H4386:J4386" si="5366">H4298</f>
        <v>10_10,50_20,80_30</v>
      </c>
      <c r="I4386" s="8">
        <v>10</v>
      </c>
      <c r="J4386" s="8">
        <f t="shared" si="5366"/>
        <v>240</v>
      </c>
      <c r="K4386" s="7" t="s">
        <v>309</v>
      </c>
      <c r="L4386" s="8">
        <v>24</v>
      </c>
      <c r="M4386" s="7">
        <f>IF(INDEX([1]equip.xml!$B:$B,MATCH(D4386,[1]equip.xml!$A:$A,0))=0,0,N4386)</f>
        <v>0</v>
      </c>
      <c r="N4386" s="7">
        <f t="shared" si="5312"/>
        <v>200</v>
      </c>
    </row>
    <row r="4387" spans="1:14">
      <c r="A4387" s="7">
        <f t="shared" si="5261"/>
        <v>30008</v>
      </c>
      <c r="B4387" s="8">
        <f t="shared" ref="B4387:C4387" si="5367">B4299</f>
        <v>40000</v>
      </c>
      <c r="C4387" s="8" t="str">
        <f t="shared" si="5367"/>
        <v>装备</v>
      </c>
      <c r="D4387" s="8">
        <v>50150025</v>
      </c>
      <c r="E4387" s="8"/>
      <c r="F4387" s="8">
        <v>1</v>
      </c>
      <c r="G4387" s="8">
        <f>3*INDEX([1]equip.xml!$I:$I,MATCH(D4387,[1]equip.xml!$A:$A,0))</f>
        <v>90000</v>
      </c>
      <c r="H4387" s="8" t="str">
        <f t="shared" ref="H4387:J4387" si="5368">H4299</f>
        <v>10_10,50_20,80_30</v>
      </c>
      <c r="I4387" s="8">
        <v>10</v>
      </c>
      <c r="J4387" s="8">
        <f t="shared" si="5368"/>
        <v>240</v>
      </c>
      <c r="K4387" s="7" t="s">
        <v>309</v>
      </c>
      <c r="L4387" s="8">
        <v>24</v>
      </c>
      <c r="M4387" s="7">
        <f>IF(INDEX([1]equip.xml!$B:$B,MATCH(D4387,[1]equip.xml!$A:$A,0))=0,0,N4387)</f>
        <v>0</v>
      </c>
      <c r="N4387" s="7">
        <f t="shared" si="5312"/>
        <v>200</v>
      </c>
    </row>
    <row r="4388" spans="1:14">
      <c r="A4388" s="7">
        <f t="shared" si="5261"/>
        <v>30008</v>
      </c>
      <c r="B4388" s="8">
        <f t="shared" ref="B4388:C4388" si="5369">B4300</f>
        <v>40000</v>
      </c>
      <c r="C4388" s="8" t="str">
        <f t="shared" si="5369"/>
        <v>装备</v>
      </c>
      <c r="D4388" s="8">
        <v>50150035</v>
      </c>
      <c r="E4388" s="8"/>
      <c r="F4388" s="8">
        <v>1</v>
      </c>
      <c r="G4388" s="8">
        <f>3*INDEX([1]equip.xml!$I:$I,MATCH(D4388,[1]equip.xml!$A:$A,0))</f>
        <v>90000</v>
      </c>
      <c r="H4388" s="8" t="str">
        <f t="shared" ref="H4388:J4388" si="5370">H4300</f>
        <v>10_10,50_20,80_30</v>
      </c>
      <c r="I4388" s="8">
        <v>10</v>
      </c>
      <c r="J4388" s="8">
        <f t="shared" si="5370"/>
        <v>240</v>
      </c>
      <c r="K4388" s="7" t="s">
        <v>309</v>
      </c>
      <c r="L4388" s="8">
        <v>24</v>
      </c>
      <c r="M4388" s="7">
        <f>IF(INDEX([1]equip.xml!$B:$B,MATCH(D4388,[1]equip.xml!$A:$A,0))=0,0,N4388)</f>
        <v>200</v>
      </c>
      <c r="N4388" s="7">
        <f t="shared" si="5312"/>
        <v>200</v>
      </c>
    </row>
    <row r="4389" spans="1:14">
      <c r="A4389" s="7">
        <f t="shared" si="5261"/>
        <v>30008</v>
      </c>
      <c r="B4389" s="8">
        <f t="shared" ref="B4389:C4389" si="5371">B4301</f>
        <v>40000</v>
      </c>
      <c r="C4389" s="8" t="str">
        <f t="shared" si="5371"/>
        <v>装备</v>
      </c>
      <c r="D4389" s="8">
        <v>50150085</v>
      </c>
      <c r="E4389" s="8"/>
      <c r="F4389" s="8">
        <v>1</v>
      </c>
      <c r="G4389" s="8">
        <f>3*INDEX([1]equip.xml!$I:$I,MATCH(D4389,[1]equip.xml!$A:$A,0))</f>
        <v>90000</v>
      </c>
      <c r="H4389" s="8" t="str">
        <f t="shared" ref="H4389:J4389" si="5372">H4301</f>
        <v>10_10,50_20,80_30</v>
      </c>
      <c r="I4389" s="8">
        <v>10</v>
      </c>
      <c r="J4389" s="8">
        <f t="shared" si="5372"/>
        <v>240</v>
      </c>
      <c r="K4389" s="7" t="s">
        <v>309</v>
      </c>
      <c r="L4389" s="8">
        <v>24</v>
      </c>
      <c r="M4389" s="7">
        <f>IF(INDEX([1]equip.xml!$B:$B,MATCH(D4389,[1]equip.xml!$A:$A,0))=0,0,N4389)</f>
        <v>200</v>
      </c>
      <c r="N4389" s="7">
        <f t="shared" si="5312"/>
        <v>200</v>
      </c>
    </row>
    <row r="4390" spans="1:14">
      <c r="A4390" s="7">
        <f t="shared" si="5261"/>
        <v>30008</v>
      </c>
      <c r="B4390" s="8">
        <f t="shared" ref="B4390:C4390" si="5373">B4302</f>
        <v>40000</v>
      </c>
      <c r="C4390" s="8" t="str">
        <f t="shared" si="5373"/>
        <v>装备</v>
      </c>
      <c r="D4390" s="8">
        <v>50150095</v>
      </c>
      <c r="E4390" s="8"/>
      <c r="F4390" s="8">
        <v>1</v>
      </c>
      <c r="G4390" s="8">
        <f>3*INDEX([1]equip.xml!$I:$I,MATCH(D4390,[1]equip.xml!$A:$A,0))</f>
        <v>90000</v>
      </c>
      <c r="H4390" s="8" t="str">
        <f t="shared" ref="H4390:J4390" si="5374">H4302</f>
        <v>10_10,50_20,80_30</v>
      </c>
      <c r="I4390" s="8">
        <v>10</v>
      </c>
      <c r="J4390" s="8">
        <f t="shared" si="5374"/>
        <v>240</v>
      </c>
      <c r="K4390" s="7" t="s">
        <v>309</v>
      </c>
      <c r="L4390" s="8">
        <v>24</v>
      </c>
      <c r="M4390" s="7">
        <f>IF(INDEX([1]equip.xml!$B:$B,MATCH(D4390,[1]equip.xml!$A:$A,0))=0,0,N4390)</f>
        <v>200</v>
      </c>
      <c r="N4390" s="7">
        <f t="shared" si="5312"/>
        <v>200</v>
      </c>
    </row>
    <row r="4391" spans="1:14">
      <c r="A4391" s="7">
        <f t="shared" si="5261"/>
        <v>30008</v>
      </c>
      <c r="B4391" s="8">
        <f t="shared" ref="B4391:C4391" si="5375">B4303</f>
        <v>40000</v>
      </c>
      <c r="C4391" s="8" t="str">
        <f t="shared" si="5375"/>
        <v>装备</v>
      </c>
      <c r="D4391" s="8">
        <v>50150105</v>
      </c>
      <c r="E4391" s="8"/>
      <c r="F4391" s="8">
        <v>1</v>
      </c>
      <c r="G4391" s="8">
        <f>3*INDEX([1]equip.xml!$I:$I,MATCH(D4391,[1]equip.xml!$A:$A,0))</f>
        <v>90000</v>
      </c>
      <c r="H4391" s="8" t="str">
        <f t="shared" ref="H4391:J4391" si="5376">H4303</f>
        <v>10_10,50_20,80_30</v>
      </c>
      <c r="I4391" s="8">
        <v>10</v>
      </c>
      <c r="J4391" s="8">
        <f t="shared" si="5376"/>
        <v>240</v>
      </c>
      <c r="K4391" s="7" t="s">
        <v>309</v>
      </c>
      <c r="L4391" s="8">
        <v>24</v>
      </c>
      <c r="M4391" s="7">
        <f>IF(INDEX([1]equip.xml!$B:$B,MATCH(D4391,[1]equip.xml!$A:$A,0))=0,0,N4391)</f>
        <v>200</v>
      </c>
      <c r="N4391" s="7">
        <f t="shared" si="5312"/>
        <v>200</v>
      </c>
    </row>
    <row r="4392" spans="1:14">
      <c r="A4392" s="7">
        <f t="shared" si="5261"/>
        <v>30008</v>
      </c>
      <c r="B4392" s="8">
        <f t="shared" ref="B4392:C4392" si="5377">B4304</f>
        <v>40000</v>
      </c>
      <c r="C4392" s="8" t="str">
        <f t="shared" si="5377"/>
        <v>装备</v>
      </c>
      <c r="D4392" s="8">
        <v>50151055</v>
      </c>
      <c r="E4392" s="8"/>
      <c r="F4392" s="8">
        <v>1</v>
      </c>
      <c r="G4392" s="8">
        <f>3*INDEX([1]equip.xml!$I:$I,MATCH(D4392,[1]equip.xml!$A:$A,0))</f>
        <v>90000</v>
      </c>
      <c r="H4392" s="8" t="str">
        <f t="shared" ref="H4392:J4392" si="5378">H4304</f>
        <v>10_10,50_20,80_30</v>
      </c>
      <c r="I4392" s="8">
        <v>10</v>
      </c>
      <c r="J4392" s="8">
        <f t="shared" si="5378"/>
        <v>240</v>
      </c>
      <c r="K4392" s="7" t="s">
        <v>309</v>
      </c>
      <c r="L4392" s="8">
        <v>24</v>
      </c>
      <c r="M4392" s="7">
        <f>IF(INDEX([1]equip.xml!$B:$B,MATCH(D4392,[1]equip.xml!$A:$A,0))=0,0,N4392)</f>
        <v>200</v>
      </c>
      <c r="N4392" s="7">
        <f t="shared" si="5312"/>
        <v>200</v>
      </c>
    </row>
    <row r="4393" spans="1:14">
      <c r="A4393" s="7">
        <f t="shared" si="5261"/>
        <v>30008</v>
      </c>
      <c r="B4393" s="8">
        <f t="shared" ref="B4393:C4393" si="5379">B4305</f>
        <v>40000</v>
      </c>
      <c r="C4393" s="8" t="str">
        <f t="shared" si="5379"/>
        <v>装备</v>
      </c>
      <c r="D4393" s="8">
        <v>50151056</v>
      </c>
      <c r="E4393" s="8"/>
      <c r="F4393" s="8">
        <v>1</v>
      </c>
      <c r="G4393" s="8">
        <f>3*INDEX([1]equip.xml!$I:$I,MATCH(D4393,[1]equip.xml!$A:$A,0))</f>
        <v>108000</v>
      </c>
      <c r="H4393" s="8" t="str">
        <f t="shared" ref="H4393:J4393" si="5380">H4305</f>
        <v>10_10,50_20,80_30</v>
      </c>
      <c r="I4393" s="8">
        <v>10</v>
      </c>
      <c r="J4393" s="8">
        <f t="shared" si="5380"/>
        <v>240</v>
      </c>
      <c r="K4393" s="7" t="s">
        <v>309</v>
      </c>
      <c r="L4393" s="8">
        <v>24</v>
      </c>
      <c r="M4393" s="7">
        <f>IF(INDEX([1]equip.xml!$B:$B,MATCH(D4393,[1]equip.xml!$A:$A,0))=0,0,N4393)</f>
        <v>200</v>
      </c>
      <c r="N4393" s="7">
        <f t="shared" si="5312"/>
        <v>200</v>
      </c>
    </row>
    <row r="4394" spans="1:14">
      <c r="A4394" s="7">
        <f t="shared" si="5261"/>
        <v>30008</v>
      </c>
      <c r="B4394" s="8">
        <f t="shared" ref="B4394:C4394" si="5381">B4306</f>
        <v>40000</v>
      </c>
      <c r="C4394" s="8" t="str">
        <f t="shared" si="5381"/>
        <v>装备</v>
      </c>
      <c r="D4394" s="8">
        <v>50151065</v>
      </c>
      <c r="E4394" s="8"/>
      <c r="F4394" s="8">
        <v>1</v>
      </c>
      <c r="G4394" s="8">
        <f>3*INDEX([1]equip.xml!$I:$I,MATCH(D4394,[1]equip.xml!$A:$A,0))</f>
        <v>90000</v>
      </c>
      <c r="H4394" s="8" t="str">
        <f t="shared" ref="H4394:J4394" si="5382">H4306</f>
        <v>10_10,50_20,80_30</v>
      </c>
      <c r="I4394" s="8">
        <v>10</v>
      </c>
      <c r="J4394" s="8">
        <f t="shared" si="5382"/>
        <v>240</v>
      </c>
      <c r="K4394" s="7" t="s">
        <v>309</v>
      </c>
      <c r="L4394" s="8">
        <v>24</v>
      </c>
      <c r="M4394" s="7">
        <f>IF(INDEX([1]equip.xml!$B:$B,MATCH(D4394,[1]equip.xml!$A:$A,0))=0,0,N4394)</f>
        <v>200</v>
      </c>
      <c r="N4394" s="7">
        <f t="shared" si="5312"/>
        <v>200</v>
      </c>
    </row>
    <row r="4395" spans="1:14">
      <c r="A4395" s="7">
        <f t="shared" si="5261"/>
        <v>30008</v>
      </c>
      <c r="B4395" s="8">
        <f t="shared" ref="B4395:C4395" si="5383">B4307</f>
        <v>40000</v>
      </c>
      <c r="C4395" s="8" t="str">
        <f t="shared" si="5383"/>
        <v>装备</v>
      </c>
      <c r="D4395" s="8">
        <v>50151066</v>
      </c>
      <c r="E4395" s="8"/>
      <c r="F4395" s="8">
        <v>1</v>
      </c>
      <c r="G4395" s="8">
        <f>3*INDEX([1]equip.xml!$I:$I,MATCH(D4395,[1]equip.xml!$A:$A,0))</f>
        <v>108000</v>
      </c>
      <c r="H4395" s="8" t="str">
        <f t="shared" ref="H4395:J4395" si="5384">H4307</f>
        <v>10_10,50_20,80_30</v>
      </c>
      <c r="I4395" s="8">
        <v>10</v>
      </c>
      <c r="J4395" s="8">
        <f t="shared" si="5384"/>
        <v>240</v>
      </c>
      <c r="K4395" s="7" t="s">
        <v>309</v>
      </c>
      <c r="L4395" s="8">
        <v>24</v>
      </c>
      <c r="M4395" s="7">
        <f>IF(INDEX([1]equip.xml!$B:$B,MATCH(D4395,[1]equip.xml!$A:$A,0))=0,0,N4395)</f>
        <v>0</v>
      </c>
      <c r="N4395" s="7">
        <f t="shared" si="5312"/>
        <v>200</v>
      </c>
    </row>
    <row r="4396" spans="1:14">
      <c r="A4396" s="7">
        <f t="shared" si="5261"/>
        <v>30008</v>
      </c>
      <c r="B4396" s="8">
        <f t="shared" ref="B4396:C4396" si="5385">B4308</f>
        <v>40000</v>
      </c>
      <c r="C4396" s="8" t="str">
        <f t="shared" si="5385"/>
        <v>装备</v>
      </c>
      <c r="D4396" s="8">
        <v>50152055</v>
      </c>
      <c r="E4396" s="8"/>
      <c r="F4396" s="8">
        <v>1</v>
      </c>
      <c r="G4396" s="8">
        <f>3*INDEX([1]equip.xml!$I:$I,MATCH(D4396,[1]equip.xml!$A:$A,0))</f>
        <v>90000</v>
      </c>
      <c r="H4396" s="8" t="str">
        <f t="shared" ref="H4396:J4396" si="5386">H4308</f>
        <v>10_10,50_20,80_30</v>
      </c>
      <c r="I4396" s="8">
        <v>10</v>
      </c>
      <c r="J4396" s="8">
        <f t="shared" si="5386"/>
        <v>240</v>
      </c>
      <c r="K4396" s="7" t="s">
        <v>309</v>
      </c>
      <c r="L4396" s="8">
        <v>24</v>
      </c>
      <c r="M4396" s="7">
        <f>IF(INDEX([1]equip.xml!$B:$B,MATCH(D4396,[1]equip.xml!$A:$A,0))=0,0,N4396)</f>
        <v>200</v>
      </c>
      <c r="N4396" s="7">
        <f t="shared" si="5312"/>
        <v>200</v>
      </c>
    </row>
    <row r="4397" spans="1:14">
      <c r="A4397" s="7">
        <f t="shared" si="5261"/>
        <v>30008</v>
      </c>
      <c r="B4397" s="8">
        <f t="shared" ref="B4397:C4397" si="5387">B4309</f>
        <v>40000</v>
      </c>
      <c r="C4397" s="8" t="str">
        <f t="shared" si="5387"/>
        <v>装备</v>
      </c>
      <c r="D4397" s="8">
        <v>50152056</v>
      </c>
      <c r="E4397" s="8"/>
      <c r="F4397" s="8">
        <v>1</v>
      </c>
      <c r="G4397" s="8">
        <f>3*INDEX([1]equip.xml!$I:$I,MATCH(D4397,[1]equip.xml!$A:$A,0))</f>
        <v>108000</v>
      </c>
      <c r="H4397" s="8" t="str">
        <f t="shared" ref="H4397:J4397" si="5388">H4309</f>
        <v>10_10,50_20,80_30</v>
      </c>
      <c r="I4397" s="8">
        <v>10</v>
      </c>
      <c r="J4397" s="8">
        <f t="shared" si="5388"/>
        <v>240</v>
      </c>
      <c r="K4397" s="7" t="s">
        <v>309</v>
      </c>
      <c r="L4397" s="8">
        <v>24</v>
      </c>
      <c r="M4397" s="7">
        <f>IF(INDEX([1]equip.xml!$B:$B,MATCH(D4397,[1]equip.xml!$A:$A,0))=0,0,N4397)</f>
        <v>200</v>
      </c>
      <c r="N4397" s="7">
        <f t="shared" si="5312"/>
        <v>200</v>
      </c>
    </row>
    <row r="4398" spans="1:14">
      <c r="A4398" s="7">
        <f t="shared" si="5261"/>
        <v>30008</v>
      </c>
      <c r="B4398" s="8">
        <f t="shared" ref="B4398:C4398" si="5389">B4310</f>
        <v>40000</v>
      </c>
      <c r="C4398" s="8" t="str">
        <f t="shared" si="5389"/>
        <v>装备</v>
      </c>
      <c r="D4398" s="8">
        <v>50152065</v>
      </c>
      <c r="E4398" s="8"/>
      <c r="F4398" s="8">
        <v>1</v>
      </c>
      <c r="G4398" s="8">
        <f>3*INDEX([1]equip.xml!$I:$I,MATCH(D4398,[1]equip.xml!$A:$A,0))</f>
        <v>90000</v>
      </c>
      <c r="H4398" s="8" t="str">
        <f t="shared" ref="H4398:J4398" si="5390">H4310</f>
        <v>10_10,50_20,80_30</v>
      </c>
      <c r="I4398" s="8">
        <v>10</v>
      </c>
      <c r="J4398" s="8">
        <f t="shared" si="5390"/>
        <v>240</v>
      </c>
      <c r="K4398" s="7" t="s">
        <v>309</v>
      </c>
      <c r="L4398" s="8">
        <v>24</v>
      </c>
      <c r="M4398" s="7">
        <f>IF(INDEX([1]equip.xml!$B:$B,MATCH(D4398,[1]equip.xml!$A:$A,0))=0,0,N4398)</f>
        <v>200</v>
      </c>
      <c r="N4398" s="7">
        <f t="shared" si="5312"/>
        <v>200</v>
      </c>
    </row>
    <row r="4399" spans="1:14">
      <c r="A4399" s="7">
        <f t="shared" ref="A4399:A4462" si="5391">10000+A3167</f>
        <v>30008</v>
      </c>
      <c r="B4399" s="8">
        <f t="shared" ref="B4399:C4399" si="5392">B4311</f>
        <v>40000</v>
      </c>
      <c r="C4399" s="8" t="str">
        <f t="shared" si="5392"/>
        <v>装备</v>
      </c>
      <c r="D4399" s="8">
        <v>50152066</v>
      </c>
      <c r="E4399" s="8"/>
      <c r="F4399" s="8">
        <v>1</v>
      </c>
      <c r="G4399" s="8">
        <f>3*INDEX([1]equip.xml!$I:$I,MATCH(D4399,[1]equip.xml!$A:$A,0))</f>
        <v>108000</v>
      </c>
      <c r="H4399" s="8" t="str">
        <f t="shared" ref="H4399:J4399" si="5393">H4311</f>
        <v>10_10,50_20,80_30</v>
      </c>
      <c r="I4399" s="8">
        <v>10</v>
      </c>
      <c r="J4399" s="8">
        <f t="shared" si="5393"/>
        <v>240</v>
      </c>
      <c r="K4399" s="7" t="s">
        <v>309</v>
      </c>
      <c r="L4399" s="8">
        <v>24</v>
      </c>
      <c r="M4399" s="7">
        <f>IF(INDEX([1]equip.xml!$B:$B,MATCH(D4399,[1]equip.xml!$A:$A,0))=0,0,N4399)</f>
        <v>0</v>
      </c>
      <c r="N4399" s="7">
        <f t="shared" si="5312"/>
        <v>200</v>
      </c>
    </row>
    <row r="4400" spans="1:14">
      <c r="A4400" s="7">
        <f t="shared" si="5391"/>
        <v>30008</v>
      </c>
      <c r="B4400" s="8">
        <f t="shared" ref="B4400:C4400" si="5394">B4312</f>
        <v>40000</v>
      </c>
      <c r="C4400" s="8" t="str">
        <f t="shared" si="5394"/>
        <v>装备</v>
      </c>
      <c r="D4400" s="8">
        <v>50153055</v>
      </c>
      <c r="E4400" s="8"/>
      <c r="F4400" s="8">
        <v>1</v>
      </c>
      <c r="G4400" s="8">
        <f>3*INDEX([1]equip.xml!$I:$I,MATCH(D4400,[1]equip.xml!$A:$A,0))</f>
        <v>90000</v>
      </c>
      <c r="H4400" s="8" t="str">
        <f t="shared" ref="H4400:J4400" si="5395">H4312</f>
        <v>10_10,50_20,80_30</v>
      </c>
      <c r="I4400" s="8">
        <v>10</v>
      </c>
      <c r="J4400" s="8">
        <f t="shared" si="5395"/>
        <v>240</v>
      </c>
      <c r="K4400" s="7" t="s">
        <v>309</v>
      </c>
      <c r="L4400" s="8">
        <v>24</v>
      </c>
      <c r="M4400" s="7">
        <f>IF(INDEX([1]equip.xml!$B:$B,MATCH(D4400,[1]equip.xml!$A:$A,0))=0,0,N4400)</f>
        <v>200</v>
      </c>
      <c r="N4400" s="7">
        <f t="shared" si="5312"/>
        <v>200</v>
      </c>
    </row>
    <row r="4401" spans="1:14">
      <c r="A4401" s="7">
        <f t="shared" si="5391"/>
        <v>30008</v>
      </c>
      <c r="B4401" s="8">
        <f t="shared" ref="B4401:C4401" si="5396">B4313</f>
        <v>40000</v>
      </c>
      <c r="C4401" s="8" t="str">
        <f t="shared" si="5396"/>
        <v>装备</v>
      </c>
      <c r="D4401" s="8">
        <v>50153056</v>
      </c>
      <c r="E4401" s="8"/>
      <c r="F4401" s="8">
        <v>1</v>
      </c>
      <c r="G4401" s="8">
        <f>3*INDEX([1]equip.xml!$I:$I,MATCH(D4401,[1]equip.xml!$A:$A,0))</f>
        <v>108000</v>
      </c>
      <c r="H4401" s="8" t="str">
        <f t="shared" ref="H4401:J4401" si="5397">H4313</f>
        <v>10_10,50_20,80_30</v>
      </c>
      <c r="I4401" s="8">
        <v>10</v>
      </c>
      <c r="J4401" s="8">
        <f t="shared" si="5397"/>
        <v>240</v>
      </c>
      <c r="K4401" s="7" t="s">
        <v>309</v>
      </c>
      <c r="L4401" s="8">
        <v>24</v>
      </c>
      <c r="M4401" s="7">
        <f>IF(INDEX([1]equip.xml!$B:$B,MATCH(D4401,[1]equip.xml!$A:$A,0))=0,0,N4401)</f>
        <v>200</v>
      </c>
      <c r="N4401" s="7">
        <f t="shared" si="5312"/>
        <v>200</v>
      </c>
    </row>
    <row r="4402" spans="1:14">
      <c r="A4402" s="7">
        <f t="shared" si="5391"/>
        <v>30008</v>
      </c>
      <c r="B4402" s="8">
        <f t="shared" ref="B4402:C4402" si="5398">B4314</f>
        <v>40000</v>
      </c>
      <c r="C4402" s="8" t="str">
        <f t="shared" si="5398"/>
        <v>装备</v>
      </c>
      <c r="D4402" s="8">
        <v>50153065</v>
      </c>
      <c r="E4402" s="8"/>
      <c r="F4402" s="8">
        <v>1</v>
      </c>
      <c r="G4402" s="8">
        <f>3*INDEX([1]equip.xml!$I:$I,MATCH(D4402,[1]equip.xml!$A:$A,0))</f>
        <v>90000</v>
      </c>
      <c r="H4402" s="8" t="str">
        <f t="shared" ref="H4402:J4402" si="5399">H4314</f>
        <v>10_10,50_20,80_30</v>
      </c>
      <c r="I4402" s="8">
        <v>10</v>
      </c>
      <c r="J4402" s="8">
        <f t="shared" si="5399"/>
        <v>240</v>
      </c>
      <c r="K4402" s="7" t="s">
        <v>309</v>
      </c>
      <c r="L4402" s="8">
        <v>24</v>
      </c>
      <c r="M4402" s="7">
        <f>IF(INDEX([1]equip.xml!$B:$B,MATCH(D4402,[1]equip.xml!$A:$A,0))=0,0,N4402)</f>
        <v>200</v>
      </c>
      <c r="N4402" s="7">
        <f t="shared" si="5312"/>
        <v>200</v>
      </c>
    </row>
    <row r="4403" spans="1:14">
      <c r="A4403" s="7">
        <f t="shared" si="5391"/>
        <v>30008</v>
      </c>
      <c r="B4403" s="8">
        <f t="shared" ref="B4403:C4403" si="5400">B4315</f>
        <v>40000</v>
      </c>
      <c r="C4403" s="8" t="str">
        <f t="shared" si="5400"/>
        <v>装备</v>
      </c>
      <c r="D4403" s="8">
        <v>50153066</v>
      </c>
      <c r="E4403" s="8"/>
      <c r="F4403" s="8">
        <v>1</v>
      </c>
      <c r="G4403" s="8">
        <f>3*INDEX([1]equip.xml!$I:$I,MATCH(D4403,[1]equip.xml!$A:$A,0))</f>
        <v>108000</v>
      </c>
      <c r="H4403" s="8" t="str">
        <f t="shared" ref="H4403:J4403" si="5401">H4315</f>
        <v>10_10,50_20,80_30</v>
      </c>
      <c r="I4403" s="8">
        <v>10</v>
      </c>
      <c r="J4403" s="8">
        <f t="shared" si="5401"/>
        <v>240</v>
      </c>
      <c r="K4403" s="7" t="s">
        <v>309</v>
      </c>
      <c r="L4403" s="8">
        <v>24</v>
      </c>
      <c r="M4403" s="7">
        <f>IF(INDEX([1]equip.xml!$B:$B,MATCH(D4403,[1]equip.xml!$A:$A,0))=0,0,N4403)</f>
        <v>0</v>
      </c>
      <c r="N4403" s="7">
        <f t="shared" si="5312"/>
        <v>200</v>
      </c>
    </row>
    <row r="4404" spans="1:14">
      <c r="A4404" s="7">
        <f t="shared" si="5391"/>
        <v>30008</v>
      </c>
      <c r="B4404" s="8">
        <f t="shared" ref="B4404:C4404" si="5402">B4316</f>
        <v>40000</v>
      </c>
      <c r="C4404" s="8" t="str">
        <f t="shared" si="5402"/>
        <v>装备</v>
      </c>
      <c r="D4404" s="8">
        <v>50150045</v>
      </c>
      <c r="E4404" s="8"/>
      <c r="F4404" s="8">
        <v>1</v>
      </c>
      <c r="G4404" s="8">
        <f>3*INDEX([1]equip.xml!$I:$I,MATCH(D4404,[1]equip.xml!$A:$A,0))</f>
        <v>90000</v>
      </c>
      <c r="H4404" s="8" t="str">
        <f t="shared" ref="H4404:J4404" si="5403">H4316</f>
        <v>10_10,50_20,80_30</v>
      </c>
      <c r="I4404" s="8">
        <v>10</v>
      </c>
      <c r="J4404" s="8">
        <f t="shared" si="5403"/>
        <v>240</v>
      </c>
      <c r="K4404" s="7" t="s">
        <v>309</v>
      </c>
      <c r="L4404" s="8">
        <v>24</v>
      </c>
      <c r="M4404" s="7">
        <f>IF(INDEX([1]equip.xml!$B:$B,MATCH(D4404,[1]equip.xml!$A:$A,0))=0,0,N4404)</f>
        <v>200</v>
      </c>
      <c r="N4404" s="7">
        <f t="shared" si="5312"/>
        <v>200</v>
      </c>
    </row>
    <row r="4405" spans="1:14">
      <c r="A4405" s="7">
        <f t="shared" si="5391"/>
        <v>30008</v>
      </c>
      <c r="B4405" s="8">
        <f t="shared" ref="B4405:C4405" si="5404">B4317</f>
        <v>40000</v>
      </c>
      <c r="C4405" s="8" t="str">
        <f t="shared" si="5404"/>
        <v>装备</v>
      </c>
      <c r="D4405" s="8">
        <v>50150046</v>
      </c>
      <c r="E4405" s="8"/>
      <c r="F4405" s="8">
        <v>1</v>
      </c>
      <c r="G4405" s="8">
        <f>3*INDEX([1]equip.xml!$I:$I,MATCH(D4405,[1]equip.xml!$A:$A,0))</f>
        <v>108000</v>
      </c>
      <c r="H4405" s="8" t="str">
        <f t="shared" ref="H4405:J4405" si="5405">H4317</f>
        <v>10_10,50_20,80_30</v>
      </c>
      <c r="I4405" s="8">
        <v>10</v>
      </c>
      <c r="J4405" s="8">
        <f t="shared" si="5405"/>
        <v>240</v>
      </c>
      <c r="K4405" s="7" t="s">
        <v>309</v>
      </c>
      <c r="L4405" s="8">
        <v>24</v>
      </c>
      <c r="M4405" s="7">
        <f>IF(INDEX([1]equip.xml!$B:$B,MATCH(D4405,[1]equip.xml!$A:$A,0))=0,0,N4405)</f>
        <v>0</v>
      </c>
      <c r="N4405" s="7">
        <f t="shared" si="5312"/>
        <v>200</v>
      </c>
    </row>
    <row r="4406" spans="1:14">
      <c r="A4406" s="7">
        <f t="shared" si="5391"/>
        <v>30008</v>
      </c>
      <c r="B4406" s="8">
        <f t="shared" ref="B4406:C4406" si="5406">B4318</f>
        <v>40000</v>
      </c>
      <c r="C4406" s="8" t="str">
        <f t="shared" si="5406"/>
        <v>装备</v>
      </c>
      <c r="D4406" s="8">
        <v>50150075</v>
      </c>
      <c r="E4406" s="8"/>
      <c r="F4406" s="8">
        <v>1</v>
      </c>
      <c r="G4406" s="8">
        <f>3*INDEX([1]equip.xml!$I:$I,MATCH(D4406,[1]equip.xml!$A:$A,0))</f>
        <v>90000</v>
      </c>
      <c r="H4406" s="8" t="str">
        <f t="shared" ref="H4406:J4406" si="5407">H4318</f>
        <v>10_10,50_20,80_30</v>
      </c>
      <c r="I4406" s="8">
        <v>10</v>
      </c>
      <c r="J4406" s="8">
        <f t="shared" si="5407"/>
        <v>240</v>
      </c>
      <c r="K4406" s="7" t="s">
        <v>309</v>
      </c>
      <c r="L4406" s="8">
        <v>24</v>
      </c>
      <c r="M4406" s="7">
        <f>IF(INDEX([1]equip.xml!$B:$B,MATCH(D4406,[1]equip.xml!$A:$A,0))=0,0,N4406)</f>
        <v>200</v>
      </c>
      <c r="N4406" s="7">
        <f t="shared" si="5312"/>
        <v>200</v>
      </c>
    </row>
    <row r="4407" spans="1:14">
      <c r="A4407" s="7">
        <f t="shared" si="5391"/>
        <v>30008</v>
      </c>
      <c r="B4407" s="8">
        <f t="shared" ref="B4407:C4407" si="5408">B4319</f>
        <v>40000</v>
      </c>
      <c r="C4407" s="8" t="str">
        <f t="shared" si="5408"/>
        <v>装备</v>
      </c>
      <c r="D4407" s="8">
        <v>50150076</v>
      </c>
      <c r="E4407" s="8"/>
      <c r="F4407" s="8">
        <v>1</v>
      </c>
      <c r="G4407" s="8">
        <f>3*INDEX([1]equip.xml!$I:$I,MATCH(D4407,[1]equip.xml!$A:$A,0))</f>
        <v>108000</v>
      </c>
      <c r="H4407" s="8" t="str">
        <f t="shared" ref="H4407:J4407" si="5409">H4319</f>
        <v>10_10,50_20,80_30</v>
      </c>
      <c r="I4407" s="8">
        <v>10</v>
      </c>
      <c r="J4407" s="8">
        <f t="shared" si="5409"/>
        <v>240</v>
      </c>
      <c r="K4407" s="7" t="s">
        <v>309</v>
      </c>
      <c r="L4407" s="8">
        <v>24</v>
      </c>
      <c r="M4407" s="7">
        <f>IF(INDEX([1]equip.xml!$B:$B,MATCH(D4407,[1]equip.xml!$A:$A,0))=0,0,N4407)</f>
        <v>0</v>
      </c>
      <c r="N4407" s="7">
        <f t="shared" si="5312"/>
        <v>200</v>
      </c>
    </row>
    <row r="4408" spans="1:14">
      <c r="A4408" s="7">
        <f t="shared" si="5391"/>
        <v>30008</v>
      </c>
      <c r="B4408" s="8">
        <f t="shared" ref="B4408:C4408" si="5410">B4320</f>
        <v>40000</v>
      </c>
      <c r="C4408" s="8" t="str">
        <f t="shared" si="5410"/>
        <v>装备</v>
      </c>
      <c r="D4408" s="8">
        <v>50200015</v>
      </c>
      <c r="E4408" s="8"/>
      <c r="F4408" s="8">
        <v>1</v>
      </c>
      <c r="G4408" s="8">
        <f>3*INDEX([1]equip.xml!$I:$I,MATCH(D4408,[1]equip.xml!$A:$A,0))</f>
        <v>120000</v>
      </c>
      <c r="H4408" s="8" t="str">
        <f t="shared" ref="H4408:J4408" si="5411">H4320</f>
        <v>10_10,50_20,80_30</v>
      </c>
      <c r="I4408" s="8">
        <v>10</v>
      </c>
      <c r="J4408" s="8">
        <f t="shared" si="5411"/>
        <v>240</v>
      </c>
      <c r="K4408" s="7" t="s">
        <v>309</v>
      </c>
      <c r="L4408" s="8">
        <v>24</v>
      </c>
      <c r="M4408" s="7">
        <f>IF(INDEX([1]equip.xml!$B:$B,MATCH(D4408,[1]equip.xml!$A:$A,0))=0,0,N4408)</f>
        <v>140</v>
      </c>
      <c r="N4408" s="7">
        <f t="shared" si="5312"/>
        <v>140</v>
      </c>
    </row>
    <row r="4409" spans="1:14">
      <c r="A4409" s="7">
        <f t="shared" si="5391"/>
        <v>30008</v>
      </c>
      <c r="B4409" s="8">
        <f t="shared" ref="B4409:C4409" si="5412">B4321</f>
        <v>40000</v>
      </c>
      <c r="C4409" s="8" t="str">
        <f t="shared" si="5412"/>
        <v>装备</v>
      </c>
      <c r="D4409" s="8">
        <v>50200025</v>
      </c>
      <c r="E4409" s="8"/>
      <c r="F4409" s="8">
        <v>1</v>
      </c>
      <c r="G4409" s="8">
        <f>3*INDEX([1]equip.xml!$I:$I,MATCH(D4409,[1]equip.xml!$A:$A,0))</f>
        <v>120000</v>
      </c>
      <c r="H4409" s="8" t="str">
        <f t="shared" ref="H4409:J4409" si="5413">H4321</f>
        <v>10_10,50_20,80_30</v>
      </c>
      <c r="I4409" s="8">
        <v>10</v>
      </c>
      <c r="J4409" s="8">
        <f t="shared" si="5413"/>
        <v>240</v>
      </c>
      <c r="K4409" s="7" t="s">
        <v>309</v>
      </c>
      <c r="L4409" s="8">
        <v>24</v>
      </c>
      <c r="M4409" s="7">
        <f>IF(INDEX([1]equip.xml!$B:$B,MATCH(D4409,[1]equip.xml!$A:$A,0))=0,0,N4409)</f>
        <v>140</v>
      </c>
      <c r="N4409" s="7">
        <f t="shared" si="5312"/>
        <v>140</v>
      </c>
    </row>
    <row r="4410" spans="1:14">
      <c r="A4410" s="7">
        <f t="shared" si="5391"/>
        <v>30008</v>
      </c>
      <c r="B4410" s="8">
        <f t="shared" ref="B4410:C4410" si="5414">B4322</f>
        <v>40000</v>
      </c>
      <c r="C4410" s="8" t="str">
        <f t="shared" si="5414"/>
        <v>装备</v>
      </c>
      <c r="D4410" s="8">
        <v>50200035</v>
      </c>
      <c r="E4410" s="8"/>
      <c r="F4410" s="8">
        <v>1</v>
      </c>
      <c r="G4410" s="8">
        <f>3*INDEX([1]equip.xml!$I:$I,MATCH(D4410,[1]equip.xml!$A:$A,0))</f>
        <v>120000</v>
      </c>
      <c r="H4410" s="8" t="str">
        <f t="shared" ref="H4410:J4410" si="5415">H4322</f>
        <v>10_10,50_20,80_30</v>
      </c>
      <c r="I4410" s="8">
        <v>10</v>
      </c>
      <c r="J4410" s="8">
        <f t="shared" si="5415"/>
        <v>240</v>
      </c>
      <c r="K4410" s="7" t="s">
        <v>309</v>
      </c>
      <c r="L4410" s="8">
        <v>24</v>
      </c>
      <c r="M4410" s="7">
        <f>IF(INDEX([1]equip.xml!$B:$B,MATCH(D4410,[1]equip.xml!$A:$A,0))=0,0,N4410)</f>
        <v>140</v>
      </c>
      <c r="N4410" s="7">
        <f t="shared" si="5312"/>
        <v>140</v>
      </c>
    </row>
    <row r="4411" spans="1:14">
      <c r="A4411" s="7">
        <f t="shared" si="5391"/>
        <v>30008</v>
      </c>
      <c r="B4411" s="8">
        <f t="shared" ref="B4411:C4411" si="5416">B4323</f>
        <v>40000</v>
      </c>
      <c r="C4411" s="8" t="str">
        <f t="shared" si="5416"/>
        <v>装备</v>
      </c>
      <c r="D4411" s="8">
        <v>50200085</v>
      </c>
      <c r="E4411" s="8"/>
      <c r="F4411" s="8">
        <v>1</v>
      </c>
      <c r="G4411" s="8">
        <f>3*INDEX([1]equip.xml!$I:$I,MATCH(D4411,[1]equip.xml!$A:$A,0))</f>
        <v>120000</v>
      </c>
      <c r="H4411" s="8" t="str">
        <f t="shared" ref="H4411:J4411" si="5417">H4323</f>
        <v>10_10,50_20,80_30</v>
      </c>
      <c r="I4411" s="8">
        <v>10</v>
      </c>
      <c r="J4411" s="8">
        <f t="shared" si="5417"/>
        <v>240</v>
      </c>
      <c r="K4411" s="7" t="s">
        <v>309</v>
      </c>
      <c r="L4411" s="8">
        <v>24</v>
      </c>
      <c r="M4411" s="7">
        <f>IF(INDEX([1]equip.xml!$B:$B,MATCH(D4411,[1]equip.xml!$A:$A,0))=0,0,N4411)</f>
        <v>140</v>
      </c>
      <c r="N4411" s="7">
        <f t="shared" si="5312"/>
        <v>140</v>
      </c>
    </row>
    <row r="4412" spans="1:14">
      <c r="A4412" s="7">
        <f t="shared" si="5391"/>
        <v>30008</v>
      </c>
      <c r="B4412" s="8">
        <f t="shared" ref="B4412:C4412" si="5418">B4324</f>
        <v>40000</v>
      </c>
      <c r="C4412" s="8" t="str">
        <f t="shared" si="5418"/>
        <v>装备</v>
      </c>
      <c r="D4412" s="8">
        <v>50200095</v>
      </c>
      <c r="E4412" s="8"/>
      <c r="F4412" s="8">
        <v>1</v>
      </c>
      <c r="G4412" s="8">
        <f>3*INDEX([1]equip.xml!$I:$I,MATCH(D4412,[1]equip.xml!$A:$A,0))</f>
        <v>120000</v>
      </c>
      <c r="H4412" s="8" t="str">
        <f t="shared" ref="H4412:J4412" si="5419">H4324</f>
        <v>10_10,50_20,80_30</v>
      </c>
      <c r="I4412" s="8">
        <v>10</v>
      </c>
      <c r="J4412" s="8">
        <f t="shared" si="5419"/>
        <v>240</v>
      </c>
      <c r="K4412" s="7" t="s">
        <v>309</v>
      </c>
      <c r="L4412" s="8">
        <v>24</v>
      </c>
      <c r="M4412" s="7">
        <f>IF(INDEX([1]equip.xml!$B:$B,MATCH(D4412,[1]equip.xml!$A:$A,0))=0,0,N4412)</f>
        <v>140</v>
      </c>
      <c r="N4412" s="7">
        <f t="shared" si="5312"/>
        <v>140</v>
      </c>
    </row>
    <row r="4413" spans="1:14">
      <c r="A4413" s="7">
        <f t="shared" si="5391"/>
        <v>30008</v>
      </c>
      <c r="B4413" s="8">
        <f t="shared" ref="B4413:C4413" si="5420">B4325</f>
        <v>40000</v>
      </c>
      <c r="C4413" s="8" t="str">
        <f t="shared" si="5420"/>
        <v>装备</v>
      </c>
      <c r="D4413" s="8">
        <v>50200105</v>
      </c>
      <c r="E4413" s="8"/>
      <c r="F4413" s="8">
        <v>1</v>
      </c>
      <c r="G4413" s="8">
        <f>3*INDEX([1]equip.xml!$I:$I,MATCH(D4413,[1]equip.xml!$A:$A,0))</f>
        <v>120000</v>
      </c>
      <c r="H4413" s="8" t="str">
        <f t="shared" ref="H4413:J4413" si="5421">H4325</f>
        <v>10_10,50_20,80_30</v>
      </c>
      <c r="I4413" s="8">
        <v>10</v>
      </c>
      <c r="J4413" s="8">
        <f t="shared" si="5421"/>
        <v>240</v>
      </c>
      <c r="K4413" s="7" t="s">
        <v>309</v>
      </c>
      <c r="L4413" s="8">
        <v>24</v>
      </c>
      <c r="M4413" s="7">
        <f>IF(INDEX([1]equip.xml!$B:$B,MATCH(D4413,[1]equip.xml!$A:$A,0))=0,0,N4413)</f>
        <v>140</v>
      </c>
      <c r="N4413" s="7">
        <f t="shared" si="5312"/>
        <v>140</v>
      </c>
    </row>
    <row r="4414" spans="1:14">
      <c r="A4414" s="7">
        <f t="shared" si="5391"/>
        <v>30008</v>
      </c>
      <c r="B4414" s="8">
        <f t="shared" ref="B4414:C4414" si="5422">B4326</f>
        <v>40000</v>
      </c>
      <c r="C4414" s="8" t="str">
        <f t="shared" si="5422"/>
        <v>装备</v>
      </c>
      <c r="D4414" s="8">
        <v>50201055</v>
      </c>
      <c r="E4414" s="8"/>
      <c r="F4414" s="8">
        <v>1</v>
      </c>
      <c r="G4414" s="8">
        <f>3*INDEX([1]equip.xml!$I:$I,MATCH(D4414,[1]equip.xml!$A:$A,0))</f>
        <v>120000</v>
      </c>
      <c r="H4414" s="8" t="str">
        <f t="shared" ref="H4414:J4414" si="5423">H4326</f>
        <v>10_10,50_20,80_30</v>
      </c>
      <c r="I4414" s="8">
        <v>10</v>
      </c>
      <c r="J4414" s="8">
        <f t="shared" si="5423"/>
        <v>240</v>
      </c>
      <c r="K4414" s="7" t="s">
        <v>309</v>
      </c>
      <c r="L4414" s="8">
        <v>24</v>
      </c>
      <c r="M4414" s="7">
        <f>IF(INDEX([1]equip.xml!$B:$B,MATCH(D4414,[1]equip.xml!$A:$A,0))=0,0,N4414)</f>
        <v>140</v>
      </c>
      <c r="N4414" s="7">
        <f t="shared" si="5312"/>
        <v>140</v>
      </c>
    </row>
    <row r="4415" spans="1:14">
      <c r="A4415" s="7">
        <f t="shared" si="5391"/>
        <v>30008</v>
      </c>
      <c r="B4415" s="8">
        <f t="shared" ref="B4415:C4415" si="5424">B4327</f>
        <v>40000</v>
      </c>
      <c r="C4415" s="8" t="str">
        <f t="shared" si="5424"/>
        <v>装备</v>
      </c>
      <c r="D4415" s="8">
        <v>50201056</v>
      </c>
      <c r="E4415" s="8"/>
      <c r="F4415" s="8">
        <v>1</v>
      </c>
      <c r="G4415" s="8">
        <f>3*INDEX([1]equip.xml!$I:$I,MATCH(D4415,[1]equip.xml!$A:$A,0))</f>
        <v>138000</v>
      </c>
      <c r="H4415" s="8" t="str">
        <f t="shared" ref="H4415:J4415" si="5425">H4327</f>
        <v>10_10,50_20,80_30</v>
      </c>
      <c r="I4415" s="8">
        <v>10</v>
      </c>
      <c r="J4415" s="8">
        <f t="shared" si="5425"/>
        <v>240</v>
      </c>
      <c r="K4415" s="7" t="s">
        <v>309</v>
      </c>
      <c r="L4415" s="8">
        <v>24</v>
      </c>
      <c r="M4415" s="7">
        <f>IF(INDEX([1]equip.xml!$B:$B,MATCH(D4415,[1]equip.xml!$A:$A,0))=0,0,N4415)</f>
        <v>0</v>
      </c>
      <c r="N4415" s="7">
        <f t="shared" si="5312"/>
        <v>140</v>
      </c>
    </row>
    <row r="4416" spans="1:14">
      <c r="A4416" s="7">
        <f t="shared" si="5391"/>
        <v>30008</v>
      </c>
      <c r="B4416" s="8">
        <f t="shared" ref="B4416:C4416" si="5426">B4328</f>
        <v>40000</v>
      </c>
      <c r="C4416" s="8" t="str">
        <f t="shared" si="5426"/>
        <v>装备</v>
      </c>
      <c r="D4416" s="8">
        <v>50201065</v>
      </c>
      <c r="E4416" s="8"/>
      <c r="F4416" s="8">
        <v>1</v>
      </c>
      <c r="G4416" s="8">
        <f>3*INDEX([1]equip.xml!$I:$I,MATCH(D4416,[1]equip.xml!$A:$A,0))</f>
        <v>120000</v>
      </c>
      <c r="H4416" s="8" t="str">
        <f t="shared" ref="H4416:J4416" si="5427">H4328</f>
        <v>10_10,50_20,80_30</v>
      </c>
      <c r="I4416" s="8">
        <v>10</v>
      </c>
      <c r="J4416" s="8">
        <f t="shared" si="5427"/>
        <v>240</v>
      </c>
      <c r="K4416" s="7" t="s">
        <v>309</v>
      </c>
      <c r="L4416" s="8">
        <v>24</v>
      </c>
      <c r="M4416" s="7">
        <f>IF(INDEX([1]equip.xml!$B:$B,MATCH(D4416,[1]equip.xml!$A:$A,0))=0,0,N4416)</f>
        <v>140</v>
      </c>
      <c r="N4416" s="7">
        <f t="shared" si="5312"/>
        <v>140</v>
      </c>
    </row>
    <row r="4417" spans="1:14">
      <c r="A4417" s="7">
        <f t="shared" si="5391"/>
        <v>30008</v>
      </c>
      <c r="B4417" s="8">
        <f t="shared" ref="B4417:C4417" si="5428">B4329</f>
        <v>40000</v>
      </c>
      <c r="C4417" s="8" t="str">
        <f t="shared" si="5428"/>
        <v>装备</v>
      </c>
      <c r="D4417" s="8">
        <v>50201066</v>
      </c>
      <c r="E4417" s="8"/>
      <c r="F4417" s="8">
        <v>1</v>
      </c>
      <c r="G4417" s="8">
        <f>3*INDEX([1]equip.xml!$I:$I,MATCH(D4417,[1]equip.xml!$A:$A,0))</f>
        <v>138000</v>
      </c>
      <c r="H4417" s="8" t="str">
        <f t="shared" ref="H4417:J4417" si="5429">H4329</f>
        <v>10_10,50_20,80_30</v>
      </c>
      <c r="I4417" s="8">
        <v>10</v>
      </c>
      <c r="J4417" s="8">
        <f t="shared" si="5429"/>
        <v>240</v>
      </c>
      <c r="K4417" s="7" t="s">
        <v>309</v>
      </c>
      <c r="L4417" s="8">
        <v>24</v>
      </c>
      <c r="M4417" s="7">
        <f>IF(INDEX([1]equip.xml!$B:$B,MATCH(D4417,[1]equip.xml!$A:$A,0))=0,0,N4417)</f>
        <v>0</v>
      </c>
      <c r="N4417" s="7">
        <f t="shared" si="5312"/>
        <v>140</v>
      </c>
    </row>
    <row r="4418" spans="1:14">
      <c r="A4418" s="7">
        <f t="shared" si="5391"/>
        <v>30008</v>
      </c>
      <c r="B4418" s="8">
        <f t="shared" ref="B4418:C4418" si="5430">B4330</f>
        <v>40000</v>
      </c>
      <c r="C4418" s="8" t="str">
        <f t="shared" si="5430"/>
        <v>装备</v>
      </c>
      <c r="D4418" s="8">
        <v>50202055</v>
      </c>
      <c r="E4418" s="8"/>
      <c r="F4418" s="8">
        <v>1</v>
      </c>
      <c r="G4418" s="8">
        <f>3*INDEX([1]equip.xml!$I:$I,MATCH(D4418,[1]equip.xml!$A:$A,0))</f>
        <v>120000</v>
      </c>
      <c r="H4418" s="8" t="str">
        <f t="shared" ref="H4418:J4418" si="5431">H4330</f>
        <v>10_10,50_20,80_30</v>
      </c>
      <c r="I4418" s="8">
        <v>10</v>
      </c>
      <c r="J4418" s="8">
        <f t="shared" si="5431"/>
        <v>240</v>
      </c>
      <c r="K4418" s="7" t="s">
        <v>309</v>
      </c>
      <c r="L4418" s="8">
        <v>24</v>
      </c>
      <c r="M4418" s="7">
        <f>IF(INDEX([1]equip.xml!$B:$B,MATCH(D4418,[1]equip.xml!$A:$A,0))=0,0,N4418)</f>
        <v>140</v>
      </c>
      <c r="N4418" s="7">
        <f t="shared" si="5312"/>
        <v>140</v>
      </c>
    </row>
    <row r="4419" spans="1:14">
      <c r="A4419" s="7">
        <f t="shared" si="5391"/>
        <v>30008</v>
      </c>
      <c r="B4419" s="8">
        <f t="shared" ref="B4419:C4419" si="5432">B4331</f>
        <v>40000</v>
      </c>
      <c r="C4419" s="8" t="str">
        <f t="shared" si="5432"/>
        <v>装备</v>
      </c>
      <c r="D4419" s="8">
        <v>50202056</v>
      </c>
      <c r="E4419" s="8"/>
      <c r="F4419" s="8">
        <v>1</v>
      </c>
      <c r="G4419" s="8">
        <f>3*INDEX([1]equip.xml!$I:$I,MATCH(D4419,[1]equip.xml!$A:$A,0))</f>
        <v>138000</v>
      </c>
      <c r="H4419" s="8" t="str">
        <f t="shared" ref="H4419:J4419" si="5433">H4331</f>
        <v>10_10,50_20,80_30</v>
      </c>
      <c r="I4419" s="8">
        <v>10</v>
      </c>
      <c r="J4419" s="8">
        <f t="shared" si="5433"/>
        <v>240</v>
      </c>
      <c r="K4419" s="7" t="s">
        <v>309</v>
      </c>
      <c r="L4419" s="8">
        <v>24</v>
      </c>
      <c r="M4419" s="7">
        <f>IF(INDEX([1]equip.xml!$B:$B,MATCH(D4419,[1]equip.xml!$A:$A,0))=0,0,N4419)</f>
        <v>0</v>
      </c>
      <c r="N4419" s="7">
        <f t="shared" si="5312"/>
        <v>140</v>
      </c>
    </row>
    <row r="4420" spans="1:14">
      <c r="A4420" s="7">
        <f t="shared" si="5391"/>
        <v>30008</v>
      </c>
      <c r="B4420" s="8">
        <f t="shared" ref="B4420:C4420" si="5434">B4332</f>
        <v>40000</v>
      </c>
      <c r="C4420" s="8" t="str">
        <f t="shared" si="5434"/>
        <v>装备</v>
      </c>
      <c r="D4420" s="8">
        <v>50202065</v>
      </c>
      <c r="E4420" s="8"/>
      <c r="F4420" s="8">
        <v>1</v>
      </c>
      <c r="G4420" s="8">
        <f>3*INDEX([1]equip.xml!$I:$I,MATCH(D4420,[1]equip.xml!$A:$A,0))</f>
        <v>120000</v>
      </c>
      <c r="H4420" s="8" t="str">
        <f t="shared" ref="H4420:J4420" si="5435">H4332</f>
        <v>10_10,50_20,80_30</v>
      </c>
      <c r="I4420" s="8">
        <v>10</v>
      </c>
      <c r="J4420" s="8">
        <f t="shared" si="5435"/>
        <v>240</v>
      </c>
      <c r="K4420" s="7" t="s">
        <v>309</v>
      </c>
      <c r="L4420" s="8">
        <v>24</v>
      </c>
      <c r="M4420" s="7">
        <f>IF(INDEX([1]equip.xml!$B:$B,MATCH(D4420,[1]equip.xml!$A:$A,0))=0,0,N4420)</f>
        <v>140</v>
      </c>
      <c r="N4420" s="7">
        <f t="shared" si="5312"/>
        <v>140</v>
      </c>
    </row>
    <row r="4421" spans="1:14">
      <c r="A4421" s="7">
        <f t="shared" si="5391"/>
        <v>30008</v>
      </c>
      <c r="B4421" s="8">
        <f t="shared" ref="B4421:C4421" si="5436">B4333</f>
        <v>40000</v>
      </c>
      <c r="C4421" s="8" t="str">
        <f t="shared" si="5436"/>
        <v>装备</v>
      </c>
      <c r="D4421" s="8">
        <v>50202066</v>
      </c>
      <c r="E4421" s="8"/>
      <c r="F4421" s="8">
        <v>1</v>
      </c>
      <c r="G4421" s="8">
        <f>3*INDEX([1]equip.xml!$I:$I,MATCH(D4421,[1]equip.xml!$A:$A,0))</f>
        <v>138000</v>
      </c>
      <c r="H4421" s="8" t="str">
        <f t="shared" ref="H4421:J4421" si="5437">H4333</f>
        <v>10_10,50_20,80_30</v>
      </c>
      <c r="I4421" s="8">
        <v>10</v>
      </c>
      <c r="J4421" s="8">
        <f t="shared" si="5437"/>
        <v>240</v>
      </c>
      <c r="K4421" s="7" t="s">
        <v>309</v>
      </c>
      <c r="L4421" s="8">
        <v>24</v>
      </c>
      <c r="M4421" s="7">
        <f>IF(INDEX([1]equip.xml!$B:$B,MATCH(D4421,[1]equip.xml!$A:$A,0))=0,0,N4421)</f>
        <v>0</v>
      </c>
      <c r="N4421" s="7">
        <f t="shared" si="5312"/>
        <v>140</v>
      </c>
    </row>
    <row r="4422" spans="1:14">
      <c r="A4422" s="7">
        <f t="shared" si="5391"/>
        <v>30008</v>
      </c>
      <c r="B4422" s="8">
        <f t="shared" ref="B4422:C4422" si="5438">B4334</f>
        <v>40000</v>
      </c>
      <c r="C4422" s="8" t="str">
        <f t="shared" si="5438"/>
        <v>装备</v>
      </c>
      <c r="D4422" s="8">
        <v>50203055</v>
      </c>
      <c r="E4422" s="8"/>
      <c r="F4422" s="8">
        <v>1</v>
      </c>
      <c r="G4422" s="8">
        <f>3*INDEX([1]equip.xml!$I:$I,MATCH(D4422,[1]equip.xml!$A:$A,0))</f>
        <v>120000</v>
      </c>
      <c r="H4422" s="8" t="str">
        <f t="shared" ref="H4422:J4422" si="5439">H4334</f>
        <v>10_10,50_20,80_30</v>
      </c>
      <c r="I4422" s="8">
        <v>10</v>
      </c>
      <c r="J4422" s="8">
        <f t="shared" si="5439"/>
        <v>240</v>
      </c>
      <c r="K4422" s="7" t="s">
        <v>309</v>
      </c>
      <c r="L4422" s="8">
        <v>24</v>
      </c>
      <c r="M4422" s="7">
        <f>IF(INDEX([1]equip.xml!$B:$B,MATCH(D4422,[1]equip.xml!$A:$A,0))=0,0,N4422)</f>
        <v>140</v>
      </c>
      <c r="N4422" s="7">
        <f t="shared" si="5312"/>
        <v>140</v>
      </c>
    </row>
    <row r="4423" spans="1:14">
      <c r="A4423" s="7">
        <f t="shared" si="5391"/>
        <v>30008</v>
      </c>
      <c r="B4423" s="8">
        <f t="shared" ref="B4423:C4423" si="5440">B4335</f>
        <v>40000</v>
      </c>
      <c r="C4423" s="8" t="str">
        <f t="shared" si="5440"/>
        <v>装备</v>
      </c>
      <c r="D4423" s="8">
        <v>50203056</v>
      </c>
      <c r="E4423" s="8"/>
      <c r="F4423" s="8">
        <v>1</v>
      </c>
      <c r="G4423" s="8">
        <f>3*INDEX([1]equip.xml!$I:$I,MATCH(D4423,[1]equip.xml!$A:$A,0))</f>
        <v>138000</v>
      </c>
      <c r="H4423" s="8" t="str">
        <f t="shared" ref="H4423:J4423" si="5441">H4335</f>
        <v>10_10,50_20,80_30</v>
      </c>
      <c r="I4423" s="8">
        <v>10</v>
      </c>
      <c r="J4423" s="8">
        <f t="shared" si="5441"/>
        <v>240</v>
      </c>
      <c r="K4423" s="7" t="s">
        <v>309</v>
      </c>
      <c r="L4423" s="8">
        <v>24</v>
      </c>
      <c r="M4423" s="7">
        <f>IF(INDEX([1]equip.xml!$B:$B,MATCH(D4423,[1]equip.xml!$A:$A,0))=0,0,N4423)</f>
        <v>140</v>
      </c>
      <c r="N4423" s="7">
        <f t="shared" ref="N4423:N4486" si="5442">N4335</f>
        <v>140</v>
      </c>
    </row>
    <row r="4424" spans="1:14">
      <c r="A4424" s="7">
        <f t="shared" si="5391"/>
        <v>30008</v>
      </c>
      <c r="B4424" s="8">
        <f t="shared" ref="B4424:C4424" si="5443">B4336</f>
        <v>40000</v>
      </c>
      <c r="C4424" s="8" t="str">
        <f t="shared" si="5443"/>
        <v>装备</v>
      </c>
      <c r="D4424" s="8">
        <v>50203065</v>
      </c>
      <c r="E4424" s="8"/>
      <c r="F4424" s="8">
        <v>1</v>
      </c>
      <c r="G4424" s="8">
        <f>3*INDEX([1]equip.xml!$I:$I,MATCH(D4424,[1]equip.xml!$A:$A,0))</f>
        <v>120000</v>
      </c>
      <c r="H4424" s="8" t="str">
        <f t="shared" ref="H4424:J4424" si="5444">H4336</f>
        <v>10_10,50_20,80_30</v>
      </c>
      <c r="I4424" s="8">
        <v>10</v>
      </c>
      <c r="J4424" s="8">
        <f t="shared" si="5444"/>
        <v>240</v>
      </c>
      <c r="K4424" s="7" t="s">
        <v>309</v>
      </c>
      <c r="L4424" s="8">
        <v>24</v>
      </c>
      <c r="M4424" s="7">
        <f>IF(INDEX([1]equip.xml!$B:$B,MATCH(D4424,[1]equip.xml!$A:$A,0))=0,0,N4424)</f>
        <v>140</v>
      </c>
      <c r="N4424" s="7">
        <f t="shared" si="5442"/>
        <v>140</v>
      </c>
    </row>
    <row r="4425" spans="1:14">
      <c r="A4425" s="7">
        <f t="shared" si="5391"/>
        <v>30008</v>
      </c>
      <c r="B4425" s="8">
        <f t="shared" ref="B4425:C4425" si="5445">B4337</f>
        <v>40000</v>
      </c>
      <c r="C4425" s="8" t="str">
        <f t="shared" si="5445"/>
        <v>装备</v>
      </c>
      <c r="D4425" s="8">
        <v>50203066</v>
      </c>
      <c r="E4425" s="8"/>
      <c r="F4425" s="8">
        <v>1</v>
      </c>
      <c r="G4425" s="8">
        <f>3*INDEX([1]equip.xml!$I:$I,MATCH(D4425,[1]equip.xml!$A:$A,0))</f>
        <v>138000</v>
      </c>
      <c r="H4425" s="8" t="str">
        <f t="shared" ref="H4425:J4425" si="5446">H4337</f>
        <v>10_10,50_20,80_30</v>
      </c>
      <c r="I4425" s="8">
        <v>10</v>
      </c>
      <c r="J4425" s="8">
        <f t="shared" si="5446"/>
        <v>240</v>
      </c>
      <c r="K4425" s="7" t="s">
        <v>309</v>
      </c>
      <c r="L4425" s="8">
        <v>24</v>
      </c>
      <c r="M4425" s="7">
        <f>IF(INDEX([1]equip.xml!$B:$B,MATCH(D4425,[1]equip.xml!$A:$A,0))=0,0,N4425)</f>
        <v>0</v>
      </c>
      <c r="N4425" s="7">
        <f t="shared" si="5442"/>
        <v>140</v>
      </c>
    </row>
    <row r="4426" spans="1:14">
      <c r="A4426" s="7">
        <f t="shared" si="5391"/>
        <v>30008</v>
      </c>
      <c r="B4426" s="8">
        <f t="shared" ref="B4426:C4426" si="5447">B4338</f>
        <v>40000</v>
      </c>
      <c r="C4426" s="8" t="str">
        <f t="shared" si="5447"/>
        <v>装备</v>
      </c>
      <c r="D4426" s="8">
        <v>50200045</v>
      </c>
      <c r="E4426" s="8"/>
      <c r="F4426" s="8">
        <v>1</v>
      </c>
      <c r="G4426" s="8">
        <f>3*INDEX([1]equip.xml!$I:$I,MATCH(D4426,[1]equip.xml!$A:$A,0))</f>
        <v>120000</v>
      </c>
      <c r="H4426" s="8" t="str">
        <f t="shared" ref="H4426:J4426" si="5448">H4338</f>
        <v>10_10,50_20,80_30</v>
      </c>
      <c r="I4426" s="8">
        <v>10</v>
      </c>
      <c r="J4426" s="8">
        <f t="shared" si="5448"/>
        <v>240</v>
      </c>
      <c r="K4426" s="7" t="s">
        <v>309</v>
      </c>
      <c r="L4426" s="8">
        <v>24</v>
      </c>
      <c r="M4426" s="7">
        <f>IF(INDEX([1]equip.xml!$B:$B,MATCH(D4426,[1]equip.xml!$A:$A,0))=0,0,N4426)</f>
        <v>140</v>
      </c>
      <c r="N4426" s="7">
        <f t="shared" si="5442"/>
        <v>140</v>
      </c>
    </row>
    <row r="4427" spans="1:14">
      <c r="A4427" s="7">
        <f t="shared" si="5391"/>
        <v>30008</v>
      </c>
      <c r="B4427" s="8">
        <f t="shared" ref="B4427:C4427" si="5449">B4339</f>
        <v>40000</v>
      </c>
      <c r="C4427" s="8" t="str">
        <f t="shared" si="5449"/>
        <v>装备</v>
      </c>
      <c r="D4427" s="8">
        <v>50200046</v>
      </c>
      <c r="E4427" s="8"/>
      <c r="F4427" s="8">
        <v>1</v>
      </c>
      <c r="G4427" s="8">
        <f>3*INDEX([1]equip.xml!$I:$I,MATCH(D4427,[1]equip.xml!$A:$A,0))</f>
        <v>138000</v>
      </c>
      <c r="H4427" s="8" t="str">
        <f t="shared" ref="H4427:J4427" si="5450">H4339</f>
        <v>10_10,50_20,80_30</v>
      </c>
      <c r="I4427" s="8">
        <v>10</v>
      </c>
      <c r="J4427" s="8">
        <f t="shared" si="5450"/>
        <v>240</v>
      </c>
      <c r="K4427" s="7" t="s">
        <v>309</v>
      </c>
      <c r="L4427" s="8">
        <v>24</v>
      </c>
      <c r="M4427" s="7">
        <f>IF(INDEX([1]equip.xml!$B:$B,MATCH(D4427,[1]equip.xml!$A:$A,0))=0,0,N4427)</f>
        <v>140</v>
      </c>
      <c r="N4427" s="7">
        <f t="shared" si="5442"/>
        <v>140</v>
      </c>
    </row>
    <row r="4428" spans="1:14">
      <c r="A4428" s="7">
        <f t="shared" si="5391"/>
        <v>30008</v>
      </c>
      <c r="B4428" s="8">
        <f t="shared" ref="B4428:C4428" si="5451">B4340</f>
        <v>40000</v>
      </c>
      <c r="C4428" s="8" t="str">
        <f t="shared" si="5451"/>
        <v>装备</v>
      </c>
      <c r="D4428" s="8">
        <v>50200075</v>
      </c>
      <c r="E4428" s="8"/>
      <c r="F4428" s="8">
        <v>1</v>
      </c>
      <c r="G4428" s="8">
        <f>3*INDEX([1]equip.xml!$I:$I,MATCH(D4428,[1]equip.xml!$A:$A,0))</f>
        <v>120000</v>
      </c>
      <c r="H4428" s="8" t="str">
        <f t="shared" ref="H4428:J4428" si="5452">H4340</f>
        <v>10_10,50_20,80_30</v>
      </c>
      <c r="I4428" s="8">
        <v>10</v>
      </c>
      <c r="J4428" s="8">
        <f t="shared" si="5452"/>
        <v>240</v>
      </c>
      <c r="K4428" s="7" t="s">
        <v>309</v>
      </c>
      <c r="L4428" s="8">
        <v>24</v>
      </c>
      <c r="M4428" s="7">
        <f>IF(INDEX([1]equip.xml!$B:$B,MATCH(D4428,[1]equip.xml!$A:$A,0))=0,0,N4428)</f>
        <v>140</v>
      </c>
      <c r="N4428" s="7">
        <f t="shared" si="5442"/>
        <v>140</v>
      </c>
    </row>
    <row r="4429" spans="1:14">
      <c r="A4429" s="7">
        <f t="shared" si="5391"/>
        <v>30008</v>
      </c>
      <c r="B4429" s="8">
        <f t="shared" ref="B4429:C4429" si="5453">B4341</f>
        <v>40000</v>
      </c>
      <c r="C4429" s="8" t="str">
        <f t="shared" si="5453"/>
        <v>装备</v>
      </c>
      <c r="D4429" s="8">
        <v>50200076</v>
      </c>
      <c r="E4429" s="8"/>
      <c r="F4429" s="8">
        <v>1</v>
      </c>
      <c r="G4429" s="8">
        <f>3*INDEX([1]equip.xml!$I:$I,MATCH(D4429,[1]equip.xml!$A:$A,0))</f>
        <v>138000</v>
      </c>
      <c r="H4429" s="8" t="str">
        <f t="shared" ref="H4429:J4429" si="5454">H4341</f>
        <v>10_10,50_20,80_30</v>
      </c>
      <c r="I4429" s="8">
        <v>10</v>
      </c>
      <c r="J4429" s="8">
        <f t="shared" si="5454"/>
        <v>240</v>
      </c>
      <c r="K4429" s="7" t="s">
        <v>309</v>
      </c>
      <c r="L4429" s="8">
        <v>24</v>
      </c>
      <c r="M4429" s="7">
        <f>IF(INDEX([1]equip.xml!$B:$B,MATCH(D4429,[1]equip.xml!$A:$A,0))=0,0,N4429)</f>
        <v>140</v>
      </c>
      <c r="N4429" s="7">
        <f t="shared" si="5442"/>
        <v>140</v>
      </c>
    </row>
    <row r="4430" spans="1:14">
      <c r="A4430" s="7">
        <f t="shared" si="5391"/>
        <v>30009</v>
      </c>
      <c r="B4430" s="7">
        <f t="shared" ref="B4430:C4430" si="5455">B4342</f>
        <v>40000</v>
      </c>
      <c r="C4430" s="7" t="str">
        <f t="shared" si="5455"/>
        <v>装备</v>
      </c>
      <c r="D4430" s="7">
        <v>40200010</v>
      </c>
      <c r="E4430" s="7"/>
      <c r="F4430" s="7">
        <v>1</v>
      </c>
      <c r="G4430" s="7">
        <f>3*INDEX([1]equip.xml!$I:$I,MATCH(D4430&amp;"",[1]equip.xml!$A:$A,0))</f>
        <v>60000</v>
      </c>
      <c r="H4430" s="7" t="str">
        <f t="shared" ref="H4430:J4430" si="5456">H4342</f>
        <v>10_10,50_20,80_30</v>
      </c>
      <c r="I4430" s="7">
        <v>9</v>
      </c>
      <c r="J4430" s="7">
        <f t="shared" si="5456"/>
        <v>50</v>
      </c>
      <c r="K4430" s="7" t="s">
        <v>309</v>
      </c>
      <c r="L4430" s="7">
        <v>26</v>
      </c>
      <c r="M4430" s="7">
        <f>IF(INDEX([1]equip.xml!$B:$B,MATCH(D4430&amp;"",[1]equip.xml!$A:$A,0))=0,0,N4430)</f>
        <v>100</v>
      </c>
      <c r="N4430" s="7">
        <f t="shared" si="5442"/>
        <v>100</v>
      </c>
    </row>
    <row r="4431" spans="1:14">
      <c r="A4431" s="7">
        <f t="shared" si="5391"/>
        <v>30009</v>
      </c>
      <c r="B4431" s="7">
        <f t="shared" ref="B4431:C4431" si="5457">B4343</f>
        <v>40000</v>
      </c>
      <c r="C4431" s="7" t="str">
        <f t="shared" si="5457"/>
        <v>装备</v>
      </c>
      <c r="D4431" s="7">
        <v>40200020</v>
      </c>
      <c r="E4431" s="7"/>
      <c r="F4431" s="7">
        <v>1</v>
      </c>
      <c r="G4431" s="7">
        <f>3*INDEX([1]equip.xml!$I:$I,MATCH(D4431&amp;"",[1]equip.xml!$A:$A,0))</f>
        <v>60000</v>
      </c>
      <c r="H4431" s="7" t="str">
        <f t="shared" ref="H4431:J4431" si="5458">H4343</f>
        <v>10_10,50_20,80_30</v>
      </c>
      <c r="I4431" s="7">
        <v>9</v>
      </c>
      <c r="J4431" s="7">
        <f t="shared" si="5458"/>
        <v>50</v>
      </c>
      <c r="K4431" s="7" t="s">
        <v>309</v>
      </c>
      <c r="L4431" s="7">
        <v>26</v>
      </c>
      <c r="M4431" s="7">
        <f>IF(INDEX([1]equip.xml!$B:$B,MATCH(D4431&amp;"",[1]equip.xml!$A:$A,0))=0,0,N4431)</f>
        <v>100</v>
      </c>
      <c r="N4431" s="7">
        <f t="shared" si="5442"/>
        <v>100</v>
      </c>
    </row>
    <row r="4432" spans="1:14">
      <c r="A4432" s="7">
        <f t="shared" si="5391"/>
        <v>30009</v>
      </c>
      <c r="B4432" s="7">
        <f t="shared" ref="B4432:C4432" si="5459">B4344</f>
        <v>40000</v>
      </c>
      <c r="C4432" s="7" t="str">
        <f t="shared" si="5459"/>
        <v>装备</v>
      </c>
      <c r="D4432" s="7">
        <v>40200030</v>
      </c>
      <c r="E4432" s="7"/>
      <c r="F4432" s="7">
        <v>1</v>
      </c>
      <c r="G4432" s="7">
        <f>3*INDEX([1]equip.xml!$I:$I,MATCH(D4432&amp;"",[1]equip.xml!$A:$A,0))</f>
        <v>60000</v>
      </c>
      <c r="H4432" s="7" t="str">
        <f t="shared" ref="H4432:J4432" si="5460">H4344</f>
        <v>10_10,50_20,80_30</v>
      </c>
      <c r="I4432" s="7">
        <v>9</v>
      </c>
      <c r="J4432" s="7">
        <f t="shared" si="5460"/>
        <v>50</v>
      </c>
      <c r="K4432" s="7" t="s">
        <v>309</v>
      </c>
      <c r="L4432" s="7">
        <v>26</v>
      </c>
      <c r="M4432" s="7">
        <f>IF(INDEX([1]equip.xml!$B:$B,MATCH(D4432&amp;"",[1]equip.xml!$A:$A,0))=0,0,N4432)</f>
        <v>100</v>
      </c>
      <c r="N4432" s="7">
        <f t="shared" si="5442"/>
        <v>100</v>
      </c>
    </row>
    <row r="4433" spans="1:14">
      <c r="A4433" s="7">
        <f t="shared" si="5391"/>
        <v>30009</v>
      </c>
      <c r="B4433" s="7">
        <f t="shared" ref="B4433:C4433" si="5461">B4345</f>
        <v>40000</v>
      </c>
      <c r="C4433" s="7" t="str">
        <f t="shared" si="5461"/>
        <v>装备</v>
      </c>
      <c r="D4433" s="7">
        <v>40200080</v>
      </c>
      <c r="E4433" s="7"/>
      <c r="F4433" s="7">
        <v>1</v>
      </c>
      <c r="G4433" s="7">
        <f>3*INDEX([1]equip.xml!$I:$I,MATCH(D4433&amp;"",[1]equip.xml!$A:$A,0))</f>
        <v>60000</v>
      </c>
      <c r="H4433" s="7" t="str">
        <f t="shared" ref="H4433:J4433" si="5462">H4345</f>
        <v>10_10,50_20,80_30</v>
      </c>
      <c r="I4433" s="7">
        <v>9</v>
      </c>
      <c r="J4433" s="7">
        <f t="shared" si="5462"/>
        <v>50</v>
      </c>
      <c r="K4433" s="7" t="s">
        <v>309</v>
      </c>
      <c r="L4433" s="7">
        <v>26</v>
      </c>
      <c r="M4433" s="7">
        <f>IF(INDEX([1]equip.xml!$B:$B,MATCH(D4433&amp;"",[1]equip.xml!$A:$A,0))=0,0,N4433)</f>
        <v>100</v>
      </c>
      <c r="N4433" s="7">
        <f t="shared" si="5442"/>
        <v>100</v>
      </c>
    </row>
    <row r="4434" spans="1:14">
      <c r="A4434" s="7">
        <f t="shared" si="5391"/>
        <v>30009</v>
      </c>
      <c r="B4434" s="7">
        <f t="shared" ref="B4434:C4434" si="5463">B4346</f>
        <v>40000</v>
      </c>
      <c r="C4434" s="7" t="str">
        <f t="shared" si="5463"/>
        <v>装备</v>
      </c>
      <c r="D4434" s="7">
        <v>40200090</v>
      </c>
      <c r="E4434" s="7"/>
      <c r="F4434" s="7">
        <v>1</v>
      </c>
      <c r="G4434" s="7">
        <f>3*INDEX([1]equip.xml!$I:$I,MATCH(D4434&amp;"",[1]equip.xml!$A:$A,0))</f>
        <v>60000</v>
      </c>
      <c r="H4434" s="7" t="str">
        <f t="shared" ref="H4434:J4434" si="5464">H4346</f>
        <v>10_10,50_20,80_30</v>
      </c>
      <c r="I4434" s="7">
        <v>9</v>
      </c>
      <c r="J4434" s="7">
        <f t="shared" si="5464"/>
        <v>50</v>
      </c>
      <c r="K4434" s="7" t="s">
        <v>309</v>
      </c>
      <c r="L4434" s="7">
        <v>26</v>
      </c>
      <c r="M4434" s="7">
        <f>IF(INDEX([1]equip.xml!$B:$B,MATCH(D4434&amp;"",[1]equip.xml!$A:$A,0))=0,0,N4434)</f>
        <v>100</v>
      </c>
      <c r="N4434" s="7">
        <f t="shared" si="5442"/>
        <v>100</v>
      </c>
    </row>
    <row r="4435" spans="1:14">
      <c r="A4435" s="7">
        <f t="shared" si="5391"/>
        <v>30009</v>
      </c>
      <c r="B4435" s="7">
        <f t="shared" ref="B4435:C4435" si="5465">B4347</f>
        <v>40000</v>
      </c>
      <c r="C4435" s="7" t="str">
        <f t="shared" si="5465"/>
        <v>装备</v>
      </c>
      <c r="D4435" s="7">
        <v>40200100</v>
      </c>
      <c r="E4435" s="7"/>
      <c r="F4435" s="7">
        <v>1</v>
      </c>
      <c r="G4435" s="7">
        <f>3*INDEX([1]equip.xml!$I:$I,MATCH(D4435&amp;"",[1]equip.xml!$A:$A,0))</f>
        <v>60000</v>
      </c>
      <c r="H4435" s="7" t="str">
        <f t="shared" ref="H4435:J4435" si="5466">H4347</f>
        <v>10_10,50_20,80_30</v>
      </c>
      <c r="I4435" s="7">
        <v>9</v>
      </c>
      <c r="J4435" s="7">
        <f t="shared" si="5466"/>
        <v>50</v>
      </c>
      <c r="K4435" s="7" t="s">
        <v>309</v>
      </c>
      <c r="L4435" s="7">
        <v>26</v>
      </c>
      <c r="M4435" s="7">
        <f>IF(INDEX([1]equip.xml!$B:$B,MATCH(D4435&amp;"",[1]equip.xml!$A:$A,0))=0,0,N4435)</f>
        <v>100</v>
      </c>
      <c r="N4435" s="7">
        <f t="shared" si="5442"/>
        <v>100</v>
      </c>
    </row>
    <row r="4436" spans="1:14">
      <c r="A4436" s="7">
        <f t="shared" si="5391"/>
        <v>30009</v>
      </c>
      <c r="B4436" s="7">
        <f t="shared" ref="B4436:C4436" si="5467">B4348</f>
        <v>40000</v>
      </c>
      <c r="C4436" s="7" t="str">
        <f t="shared" si="5467"/>
        <v>装备</v>
      </c>
      <c r="D4436" s="7">
        <v>40201050</v>
      </c>
      <c r="E4436" s="7"/>
      <c r="F4436" s="7">
        <v>1</v>
      </c>
      <c r="G4436" s="7">
        <f>3*INDEX([1]equip.xml!$I:$I,MATCH(D4436&amp;"",[1]equip.xml!$A:$A,0))</f>
        <v>60000</v>
      </c>
      <c r="H4436" s="7" t="str">
        <f t="shared" ref="H4436:J4436" si="5468">H4348</f>
        <v>10_10,50_20,80_30</v>
      </c>
      <c r="I4436" s="7">
        <v>9</v>
      </c>
      <c r="J4436" s="7">
        <f t="shared" si="5468"/>
        <v>50</v>
      </c>
      <c r="K4436" s="7" t="s">
        <v>309</v>
      </c>
      <c r="L4436" s="7">
        <v>26</v>
      </c>
      <c r="M4436" s="7">
        <f>IF(INDEX([1]equip.xml!$B:$B,MATCH(D4436&amp;"",[1]equip.xml!$A:$A,0))=0,0,N4436)</f>
        <v>100</v>
      </c>
      <c r="N4436" s="7">
        <f t="shared" si="5442"/>
        <v>100</v>
      </c>
    </row>
    <row r="4437" spans="1:14">
      <c r="A4437" s="7">
        <f t="shared" si="5391"/>
        <v>30009</v>
      </c>
      <c r="B4437" s="7">
        <f t="shared" ref="B4437:C4437" si="5469">B4349</f>
        <v>40000</v>
      </c>
      <c r="C4437" s="7" t="str">
        <f t="shared" si="5469"/>
        <v>装备</v>
      </c>
      <c r="D4437" s="7">
        <v>40201051</v>
      </c>
      <c r="E4437" s="7"/>
      <c r="F4437" s="7">
        <v>1</v>
      </c>
      <c r="G4437" s="7">
        <f>3*INDEX([1]equip.xml!$I:$I,MATCH(D4437&amp;"",[1]equip.xml!$A:$A,0))</f>
        <v>69000</v>
      </c>
      <c r="H4437" s="7" t="str">
        <f t="shared" ref="H4437:J4437" si="5470">H4349</f>
        <v>10_10,50_20,80_30</v>
      </c>
      <c r="I4437" s="7">
        <v>9</v>
      </c>
      <c r="J4437" s="7">
        <f t="shared" si="5470"/>
        <v>50</v>
      </c>
      <c r="K4437" s="7" t="s">
        <v>309</v>
      </c>
      <c r="L4437" s="7">
        <v>26</v>
      </c>
      <c r="M4437" s="7">
        <f>IF(INDEX([1]equip.xml!$B:$B,MATCH(D4437&amp;"",[1]equip.xml!$A:$A,0))=0,0,N4437)</f>
        <v>0</v>
      </c>
      <c r="N4437" s="7">
        <f t="shared" si="5442"/>
        <v>100</v>
      </c>
    </row>
    <row r="4438" spans="1:14">
      <c r="A4438" s="7">
        <f t="shared" si="5391"/>
        <v>30009</v>
      </c>
      <c r="B4438" s="7">
        <f t="shared" ref="B4438:C4438" si="5471">B4350</f>
        <v>40000</v>
      </c>
      <c r="C4438" s="7" t="str">
        <f t="shared" si="5471"/>
        <v>装备</v>
      </c>
      <c r="D4438" s="7">
        <v>40201060</v>
      </c>
      <c r="E4438" s="7"/>
      <c r="F4438" s="7">
        <v>1</v>
      </c>
      <c r="G4438" s="7">
        <f>3*INDEX([1]equip.xml!$I:$I,MATCH(D4438&amp;"",[1]equip.xml!$A:$A,0))</f>
        <v>60000</v>
      </c>
      <c r="H4438" s="7" t="str">
        <f t="shared" ref="H4438:J4438" si="5472">H4350</f>
        <v>10_10,50_20,80_30</v>
      </c>
      <c r="I4438" s="7">
        <v>9</v>
      </c>
      <c r="J4438" s="7">
        <f t="shared" si="5472"/>
        <v>50</v>
      </c>
      <c r="K4438" s="7" t="s">
        <v>309</v>
      </c>
      <c r="L4438" s="7">
        <v>26</v>
      </c>
      <c r="M4438" s="7">
        <f>IF(INDEX([1]equip.xml!$B:$B,MATCH(D4438&amp;"",[1]equip.xml!$A:$A,0))=0,0,N4438)</f>
        <v>100</v>
      </c>
      <c r="N4438" s="7">
        <f t="shared" si="5442"/>
        <v>100</v>
      </c>
    </row>
    <row r="4439" spans="1:14">
      <c r="A4439" s="7">
        <f t="shared" si="5391"/>
        <v>30009</v>
      </c>
      <c r="B4439" s="7">
        <f t="shared" ref="B4439:C4439" si="5473">B4351</f>
        <v>40000</v>
      </c>
      <c r="C4439" s="7" t="str">
        <f t="shared" si="5473"/>
        <v>装备</v>
      </c>
      <c r="D4439" s="7">
        <v>40201061</v>
      </c>
      <c r="E4439" s="7"/>
      <c r="F4439" s="7">
        <v>1</v>
      </c>
      <c r="G4439" s="7">
        <f>3*INDEX([1]equip.xml!$I:$I,MATCH(D4439&amp;"",[1]equip.xml!$A:$A,0))</f>
        <v>69000</v>
      </c>
      <c r="H4439" s="7" t="str">
        <f t="shared" ref="H4439:J4439" si="5474">H4351</f>
        <v>10_10,50_20,80_30</v>
      </c>
      <c r="I4439" s="7">
        <v>9</v>
      </c>
      <c r="J4439" s="7">
        <f t="shared" si="5474"/>
        <v>50</v>
      </c>
      <c r="K4439" s="7" t="s">
        <v>309</v>
      </c>
      <c r="L4439" s="7">
        <v>26</v>
      </c>
      <c r="M4439" s="7">
        <f>IF(INDEX([1]equip.xml!$B:$B,MATCH(D4439&amp;"",[1]equip.xml!$A:$A,0))=0,0,N4439)</f>
        <v>0</v>
      </c>
      <c r="N4439" s="7">
        <f t="shared" si="5442"/>
        <v>100</v>
      </c>
    </row>
    <row r="4440" spans="1:14">
      <c r="A4440" s="7">
        <f t="shared" si="5391"/>
        <v>30009</v>
      </c>
      <c r="B4440" s="7">
        <f t="shared" ref="B4440:C4440" si="5475">B4352</f>
        <v>40000</v>
      </c>
      <c r="C4440" s="7" t="str">
        <f t="shared" si="5475"/>
        <v>装备</v>
      </c>
      <c r="D4440" s="7">
        <v>40202050</v>
      </c>
      <c r="E4440" s="7"/>
      <c r="F4440" s="7">
        <v>1</v>
      </c>
      <c r="G4440" s="7">
        <f>3*INDEX([1]equip.xml!$I:$I,MATCH(D4440&amp;"",[1]equip.xml!$A:$A,0))</f>
        <v>60000</v>
      </c>
      <c r="H4440" s="7" t="str">
        <f t="shared" ref="H4440:J4440" si="5476">H4352</f>
        <v>10_10,50_20,80_30</v>
      </c>
      <c r="I4440" s="7">
        <v>9</v>
      </c>
      <c r="J4440" s="7">
        <f t="shared" si="5476"/>
        <v>50</v>
      </c>
      <c r="K4440" s="7" t="s">
        <v>309</v>
      </c>
      <c r="L4440" s="7">
        <v>26</v>
      </c>
      <c r="M4440" s="7">
        <f>IF(INDEX([1]equip.xml!$B:$B,MATCH(D4440&amp;"",[1]equip.xml!$A:$A,0))=0,0,N4440)</f>
        <v>100</v>
      </c>
      <c r="N4440" s="7">
        <f t="shared" si="5442"/>
        <v>100</v>
      </c>
    </row>
    <row r="4441" spans="1:14">
      <c r="A4441" s="7">
        <f t="shared" si="5391"/>
        <v>30009</v>
      </c>
      <c r="B4441" s="7">
        <f t="shared" ref="B4441:C4441" si="5477">B4353</f>
        <v>40000</v>
      </c>
      <c r="C4441" s="7" t="str">
        <f t="shared" si="5477"/>
        <v>装备</v>
      </c>
      <c r="D4441" s="7">
        <v>40202051</v>
      </c>
      <c r="E4441" s="7"/>
      <c r="F4441" s="7">
        <v>1</v>
      </c>
      <c r="G4441" s="7">
        <f>3*INDEX([1]equip.xml!$I:$I,MATCH(D4441&amp;"",[1]equip.xml!$A:$A,0))</f>
        <v>69000</v>
      </c>
      <c r="H4441" s="7" t="str">
        <f t="shared" ref="H4441:J4441" si="5478">H4353</f>
        <v>10_10,50_20,80_30</v>
      </c>
      <c r="I4441" s="7">
        <v>9</v>
      </c>
      <c r="J4441" s="7">
        <f t="shared" si="5478"/>
        <v>50</v>
      </c>
      <c r="K4441" s="7" t="s">
        <v>309</v>
      </c>
      <c r="L4441" s="7">
        <v>26</v>
      </c>
      <c r="M4441" s="7">
        <f>IF(INDEX([1]equip.xml!$B:$B,MATCH(D4441&amp;"",[1]equip.xml!$A:$A,0))=0,0,N4441)</f>
        <v>0</v>
      </c>
      <c r="N4441" s="7">
        <f t="shared" si="5442"/>
        <v>100</v>
      </c>
    </row>
    <row r="4442" spans="1:14">
      <c r="A4442" s="7">
        <f t="shared" si="5391"/>
        <v>30009</v>
      </c>
      <c r="B4442" s="7">
        <f t="shared" ref="B4442:C4442" si="5479">B4354</f>
        <v>40000</v>
      </c>
      <c r="C4442" s="7" t="str">
        <f t="shared" si="5479"/>
        <v>装备</v>
      </c>
      <c r="D4442" s="7">
        <v>40202060</v>
      </c>
      <c r="E4442" s="7"/>
      <c r="F4442" s="7">
        <v>1</v>
      </c>
      <c r="G4442" s="7">
        <f>3*INDEX([1]equip.xml!$I:$I,MATCH(D4442&amp;"",[1]equip.xml!$A:$A,0))</f>
        <v>60000</v>
      </c>
      <c r="H4442" s="7" t="str">
        <f t="shared" ref="H4442:J4442" si="5480">H4354</f>
        <v>10_10,50_20,80_30</v>
      </c>
      <c r="I4442" s="7">
        <v>9</v>
      </c>
      <c r="J4442" s="7">
        <f t="shared" si="5480"/>
        <v>50</v>
      </c>
      <c r="K4442" s="7" t="s">
        <v>309</v>
      </c>
      <c r="L4442" s="7">
        <v>26</v>
      </c>
      <c r="M4442" s="7">
        <f>IF(INDEX([1]equip.xml!$B:$B,MATCH(D4442&amp;"",[1]equip.xml!$A:$A,0))=0,0,N4442)</f>
        <v>100</v>
      </c>
      <c r="N4442" s="7">
        <f t="shared" si="5442"/>
        <v>100</v>
      </c>
    </row>
    <row r="4443" spans="1:14">
      <c r="A4443" s="7">
        <f t="shared" si="5391"/>
        <v>30009</v>
      </c>
      <c r="B4443" s="7">
        <f t="shared" ref="B4443:C4443" si="5481">B4355</f>
        <v>40000</v>
      </c>
      <c r="C4443" s="7" t="str">
        <f t="shared" si="5481"/>
        <v>装备</v>
      </c>
      <c r="D4443" s="7">
        <v>40202061</v>
      </c>
      <c r="E4443" s="7"/>
      <c r="F4443" s="7">
        <v>1</v>
      </c>
      <c r="G4443" s="7">
        <f>3*INDEX([1]equip.xml!$I:$I,MATCH(D4443&amp;"",[1]equip.xml!$A:$A,0))</f>
        <v>69000</v>
      </c>
      <c r="H4443" s="7" t="str">
        <f t="shared" ref="H4443:J4443" si="5482">H4355</f>
        <v>10_10,50_20,80_30</v>
      </c>
      <c r="I4443" s="7">
        <v>9</v>
      </c>
      <c r="J4443" s="7">
        <f t="shared" si="5482"/>
        <v>50</v>
      </c>
      <c r="K4443" s="7" t="s">
        <v>309</v>
      </c>
      <c r="L4443" s="7">
        <v>26</v>
      </c>
      <c r="M4443" s="7">
        <f>IF(INDEX([1]equip.xml!$B:$B,MATCH(D4443&amp;"",[1]equip.xml!$A:$A,0))=0,0,N4443)</f>
        <v>0</v>
      </c>
      <c r="N4443" s="7">
        <f t="shared" si="5442"/>
        <v>100</v>
      </c>
    </row>
    <row r="4444" spans="1:14">
      <c r="A4444" s="7">
        <f t="shared" si="5391"/>
        <v>30009</v>
      </c>
      <c r="B4444" s="7">
        <f t="shared" ref="B4444:C4444" si="5483">B4356</f>
        <v>40000</v>
      </c>
      <c r="C4444" s="7" t="str">
        <f t="shared" si="5483"/>
        <v>装备</v>
      </c>
      <c r="D4444" s="7">
        <v>40203050</v>
      </c>
      <c r="E4444" s="7"/>
      <c r="F4444" s="7">
        <v>1</v>
      </c>
      <c r="G4444" s="7">
        <f>3*INDEX([1]equip.xml!$I:$I,MATCH(D4444&amp;"",[1]equip.xml!$A:$A,0))</f>
        <v>60000</v>
      </c>
      <c r="H4444" s="7" t="str">
        <f t="shared" ref="H4444:J4444" si="5484">H4356</f>
        <v>10_10,50_20,80_30</v>
      </c>
      <c r="I4444" s="7">
        <v>9</v>
      </c>
      <c r="J4444" s="7">
        <f t="shared" si="5484"/>
        <v>50</v>
      </c>
      <c r="K4444" s="7" t="s">
        <v>309</v>
      </c>
      <c r="L4444" s="7">
        <v>26</v>
      </c>
      <c r="M4444" s="7">
        <f>IF(INDEX([1]equip.xml!$B:$B,MATCH(D4444&amp;"",[1]equip.xml!$A:$A,0))=0,0,N4444)</f>
        <v>100</v>
      </c>
      <c r="N4444" s="7">
        <f t="shared" si="5442"/>
        <v>100</v>
      </c>
    </row>
    <row r="4445" spans="1:14">
      <c r="A4445" s="7">
        <f t="shared" si="5391"/>
        <v>30009</v>
      </c>
      <c r="B4445" s="7">
        <f t="shared" ref="B4445:C4445" si="5485">B4357</f>
        <v>40000</v>
      </c>
      <c r="C4445" s="7" t="str">
        <f t="shared" si="5485"/>
        <v>装备</v>
      </c>
      <c r="D4445" s="7">
        <v>40203051</v>
      </c>
      <c r="E4445" s="7"/>
      <c r="F4445" s="7">
        <v>1</v>
      </c>
      <c r="G4445" s="7">
        <f>3*INDEX([1]equip.xml!$I:$I,MATCH(D4445&amp;"",[1]equip.xml!$A:$A,0))</f>
        <v>69000</v>
      </c>
      <c r="H4445" s="7" t="str">
        <f t="shared" ref="H4445:J4445" si="5486">H4357</f>
        <v>10_10,50_20,80_30</v>
      </c>
      <c r="I4445" s="7">
        <v>9</v>
      </c>
      <c r="J4445" s="7">
        <f t="shared" si="5486"/>
        <v>50</v>
      </c>
      <c r="K4445" s="7" t="s">
        <v>309</v>
      </c>
      <c r="L4445" s="7">
        <v>26</v>
      </c>
      <c r="M4445" s="7">
        <f>IF(INDEX([1]equip.xml!$B:$B,MATCH(D4445&amp;"",[1]equip.xml!$A:$A,0))=0,0,N4445)</f>
        <v>100</v>
      </c>
      <c r="N4445" s="7">
        <f t="shared" si="5442"/>
        <v>100</v>
      </c>
    </row>
    <row r="4446" spans="1:14">
      <c r="A4446" s="7">
        <f t="shared" si="5391"/>
        <v>30009</v>
      </c>
      <c r="B4446" s="7">
        <f t="shared" ref="B4446:C4446" si="5487">B4358</f>
        <v>40000</v>
      </c>
      <c r="C4446" s="7" t="str">
        <f t="shared" si="5487"/>
        <v>装备</v>
      </c>
      <c r="D4446" s="7">
        <v>40203060</v>
      </c>
      <c r="E4446" s="7"/>
      <c r="F4446" s="7">
        <v>1</v>
      </c>
      <c r="G4446" s="7">
        <f>3*INDEX([1]equip.xml!$I:$I,MATCH(D4446&amp;"",[1]equip.xml!$A:$A,0))</f>
        <v>60000</v>
      </c>
      <c r="H4446" s="7" t="str">
        <f t="shared" ref="H4446:J4446" si="5488">H4358</f>
        <v>10_10,50_20,80_30</v>
      </c>
      <c r="I4446" s="7">
        <v>9</v>
      </c>
      <c r="J4446" s="7">
        <f t="shared" si="5488"/>
        <v>50</v>
      </c>
      <c r="K4446" s="7" t="s">
        <v>309</v>
      </c>
      <c r="L4446" s="7">
        <v>26</v>
      </c>
      <c r="M4446" s="7">
        <f>IF(INDEX([1]equip.xml!$B:$B,MATCH(D4446&amp;"",[1]equip.xml!$A:$A,0))=0,0,N4446)</f>
        <v>100</v>
      </c>
      <c r="N4446" s="7">
        <f t="shared" si="5442"/>
        <v>100</v>
      </c>
    </row>
    <row r="4447" spans="1:14">
      <c r="A4447" s="7">
        <f t="shared" si="5391"/>
        <v>30009</v>
      </c>
      <c r="B4447" s="7">
        <f t="shared" ref="B4447:C4447" si="5489">B4359</f>
        <v>40000</v>
      </c>
      <c r="C4447" s="7" t="str">
        <f t="shared" si="5489"/>
        <v>装备</v>
      </c>
      <c r="D4447" s="7">
        <v>40203061</v>
      </c>
      <c r="E4447" s="7"/>
      <c r="F4447" s="7">
        <v>1</v>
      </c>
      <c r="G4447" s="7">
        <f>3*INDEX([1]equip.xml!$I:$I,MATCH(D4447&amp;"",[1]equip.xml!$A:$A,0))</f>
        <v>69000</v>
      </c>
      <c r="H4447" s="7" t="str">
        <f t="shared" ref="H4447:J4447" si="5490">H4359</f>
        <v>10_10,50_20,80_30</v>
      </c>
      <c r="I4447" s="7">
        <v>9</v>
      </c>
      <c r="J4447" s="7">
        <f t="shared" si="5490"/>
        <v>50</v>
      </c>
      <c r="K4447" s="7" t="s">
        <v>309</v>
      </c>
      <c r="L4447" s="7">
        <v>26</v>
      </c>
      <c r="M4447" s="7">
        <f>IF(INDEX([1]equip.xml!$B:$B,MATCH(D4447&amp;"",[1]equip.xml!$A:$A,0))=0,0,N4447)</f>
        <v>0</v>
      </c>
      <c r="N4447" s="7">
        <f t="shared" si="5442"/>
        <v>100</v>
      </c>
    </row>
    <row r="4448" spans="1:14">
      <c r="A4448" s="7">
        <f t="shared" si="5391"/>
        <v>30009</v>
      </c>
      <c r="B4448" s="7">
        <f t="shared" ref="B4448:C4448" si="5491">B4360</f>
        <v>40000</v>
      </c>
      <c r="C4448" s="7" t="str">
        <f t="shared" si="5491"/>
        <v>装备</v>
      </c>
      <c r="D4448" s="7">
        <v>40200040</v>
      </c>
      <c r="E4448" s="7"/>
      <c r="F4448" s="7">
        <v>1</v>
      </c>
      <c r="G4448" s="7">
        <f>3*INDEX([1]equip.xml!$I:$I,MATCH(D4448&amp;"",[1]equip.xml!$A:$A,0))</f>
        <v>60000</v>
      </c>
      <c r="H4448" s="7" t="str">
        <f t="shared" ref="H4448:J4448" si="5492">H4360</f>
        <v>10_10,50_20,80_30</v>
      </c>
      <c r="I4448" s="7">
        <v>9</v>
      </c>
      <c r="J4448" s="7">
        <f t="shared" si="5492"/>
        <v>50</v>
      </c>
      <c r="K4448" s="7" t="s">
        <v>309</v>
      </c>
      <c r="L4448" s="7">
        <v>26</v>
      </c>
      <c r="M4448" s="7">
        <f>IF(INDEX([1]equip.xml!$B:$B,MATCH(D4448&amp;"",[1]equip.xml!$A:$A,0))=0,0,N4448)</f>
        <v>100</v>
      </c>
      <c r="N4448" s="7">
        <f t="shared" si="5442"/>
        <v>100</v>
      </c>
    </row>
    <row r="4449" spans="1:14">
      <c r="A4449" s="7">
        <f t="shared" si="5391"/>
        <v>30009</v>
      </c>
      <c r="B4449" s="7">
        <f t="shared" ref="B4449:C4449" si="5493">B4361</f>
        <v>40000</v>
      </c>
      <c r="C4449" s="7" t="str">
        <f t="shared" si="5493"/>
        <v>装备</v>
      </c>
      <c r="D4449" s="7">
        <v>40200041</v>
      </c>
      <c r="E4449" s="7"/>
      <c r="F4449" s="7">
        <v>1</v>
      </c>
      <c r="G4449" s="7">
        <f>3*INDEX([1]equip.xml!$I:$I,MATCH(D4449&amp;"",[1]equip.xml!$A:$A,0))</f>
        <v>69000</v>
      </c>
      <c r="H4449" s="7" t="str">
        <f t="shared" ref="H4449:J4449" si="5494">H4361</f>
        <v>10_10,50_20,80_30</v>
      </c>
      <c r="I4449" s="7">
        <v>9</v>
      </c>
      <c r="J4449" s="7">
        <f t="shared" si="5494"/>
        <v>50</v>
      </c>
      <c r="K4449" s="7" t="s">
        <v>309</v>
      </c>
      <c r="L4449" s="7">
        <v>26</v>
      </c>
      <c r="M4449" s="7">
        <f>IF(INDEX([1]equip.xml!$B:$B,MATCH(D4449&amp;"",[1]equip.xml!$A:$A,0))=0,0,N4449)</f>
        <v>100</v>
      </c>
      <c r="N4449" s="7">
        <f t="shared" si="5442"/>
        <v>100</v>
      </c>
    </row>
    <row r="4450" spans="1:14">
      <c r="A4450" s="7">
        <f t="shared" si="5391"/>
        <v>30009</v>
      </c>
      <c r="B4450" s="7">
        <f t="shared" ref="B4450:C4450" si="5495">B4362</f>
        <v>40000</v>
      </c>
      <c r="C4450" s="7" t="str">
        <f t="shared" si="5495"/>
        <v>装备</v>
      </c>
      <c r="D4450" s="7">
        <v>40200070</v>
      </c>
      <c r="E4450" s="7"/>
      <c r="F4450" s="7">
        <v>1</v>
      </c>
      <c r="G4450" s="7">
        <f>3*INDEX([1]equip.xml!$I:$I,MATCH(D4450&amp;"",[1]equip.xml!$A:$A,0))</f>
        <v>60000</v>
      </c>
      <c r="H4450" s="7" t="str">
        <f t="shared" ref="H4450:J4450" si="5496">H4362</f>
        <v>10_10,50_20,80_30</v>
      </c>
      <c r="I4450" s="7">
        <v>9</v>
      </c>
      <c r="J4450" s="7">
        <f t="shared" si="5496"/>
        <v>50</v>
      </c>
      <c r="K4450" s="7" t="s">
        <v>309</v>
      </c>
      <c r="L4450" s="7">
        <v>26</v>
      </c>
      <c r="M4450" s="7">
        <f>IF(INDEX([1]equip.xml!$B:$B,MATCH(D4450&amp;"",[1]equip.xml!$A:$A,0))=0,0,N4450)</f>
        <v>100</v>
      </c>
      <c r="N4450" s="7">
        <f t="shared" si="5442"/>
        <v>100</v>
      </c>
    </row>
    <row r="4451" spans="1:14">
      <c r="A4451" s="7">
        <f t="shared" si="5391"/>
        <v>30009</v>
      </c>
      <c r="B4451" s="7">
        <f t="shared" ref="B4451:C4451" si="5497">B4363</f>
        <v>40000</v>
      </c>
      <c r="C4451" s="7" t="str">
        <f t="shared" si="5497"/>
        <v>装备</v>
      </c>
      <c r="D4451" s="7">
        <v>40200071</v>
      </c>
      <c r="E4451" s="7"/>
      <c r="F4451" s="7">
        <v>1</v>
      </c>
      <c r="G4451" s="7">
        <f>3*INDEX([1]equip.xml!$I:$I,MATCH(D4451&amp;"",[1]equip.xml!$A:$A,0))</f>
        <v>69000</v>
      </c>
      <c r="H4451" s="7" t="str">
        <f t="shared" ref="H4451:J4451" si="5498">H4363</f>
        <v>10_10,50_20,80_30</v>
      </c>
      <c r="I4451" s="7">
        <v>9</v>
      </c>
      <c r="J4451" s="7">
        <f t="shared" si="5498"/>
        <v>50</v>
      </c>
      <c r="K4451" s="7" t="s">
        <v>309</v>
      </c>
      <c r="L4451" s="7">
        <v>26</v>
      </c>
      <c r="M4451" s="7">
        <f>IF(INDEX([1]equip.xml!$B:$B,MATCH(D4451&amp;"",[1]equip.xml!$A:$A,0))=0,0,N4451)</f>
        <v>100</v>
      </c>
      <c r="N4451" s="7">
        <f t="shared" si="5442"/>
        <v>100</v>
      </c>
    </row>
    <row r="4452" spans="1:14">
      <c r="A4452" s="7">
        <f t="shared" si="5391"/>
        <v>30009</v>
      </c>
      <c r="B4452" s="7">
        <f t="shared" ref="B4452:C4452" si="5499">B4364</f>
        <v>40000</v>
      </c>
      <c r="C4452" s="7" t="str">
        <f t="shared" si="5499"/>
        <v>装备</v>
      </c>
      <c r="D4452" s="7">
        <v>40250010</v>
      </c>
      <c r="E4452" s="7"/>
      <c r="F4452" s="7">
        <v>1</v>
      </c>
      <c r="G4452" s="7">
        <f>3*INDEX([1]equip.xml!$I:$I,MATCH(D4452&amp;"",[1]equip.xml!$A:$A,0))</f>
        <v>75000</v>
      </c>
      <c r="H4452" s="7" t="str">
        <f t="shared" ref="H4452:J4452" si="5500">H4364</f>
        <v>10_10,50_20,80_30</v>
      </c>
      <c r="I4452" s="7">
        <v>9</v>
      </c>
      <c r="J4452" s="7">
        <f t="shared" si="5500"/>
        <v>50</v>
      </c>
      <c r="K4452" s="7" t="s">
        <v>309</v>
      </c>
      <c r="L4452" s="7">
        <v>26</v>
      </c>
      <c r="M4452" s="7">
        <f>IF(INDEX([1]equip.xml!$B:$B,MATCH(D4452&amp;"",[1]equip.xml!$A:$A,0))=0,0,N4452)</f>
        <v>70</v>
      </c>
      <c r="N4452" s="7">
        <f t="shared" si="5442"/>
        <v>70</v>
      </c>
    </row>
    <row r="4453" spans="1:14">
      <c r="A4453" s="7">
        <f t="shared" si="5391"/>
        <v>30009</v>
      </c>
      <c r="B4453" s="7">
        <f t="shared" ref="B4453:C4453" si="5501">B4365</f>
        <v>40000</v>
      </c>
      <c r="C4453" s="7" t="str">
        <f t="shared" si="5501"/>
        <v>装备</v>
      </c>
      <c r="D4453" s="7">
        <v>40250020</v>
      </c>
      <c r="E4453" s="7"/>
      <c r="F4453" s="7">
        <v>1</v>
      </c>
      <c r="G4453" s="7">
        <f>3*INDEX([1]equip.xml!$I:$I,MATCH(D4453&amp;"",[1]equip.xml!$A:$A,0))</f>
        <v>75000</v>
      </c>
      <c r="H4453" s="7" t="str">
        <f t="shared" ref="H4453:J4453" si="5502">H4365</f>
        <v>10_10,50_20,80_30</v>
      </c>
      <c r="I4453" s="7">
        <v>9</v>
      </c>
      <c r="J4453" s="7">
        <f t="shared" si="5502"/>
        <v>50</v>
      </c>
      <c r="K4453" s="7" t="s">
        <v>309</v>
      </c>
      <c r="L4453" s="7">
        <v>26</v>
      </c>
      <c r="M4453" s="7">
        <f>IF(INDEX([1]equip.xml!$B:$B,MATCH(D4453&amp;"",[1]equip.xml!$A:$A,0))=0,0,N4453)</f>
        <v>70</v>
      </c>
      <c r="N4453" s="7">
        <f t="shared" si="5442"/>
        <v>70</v>
      </c>
    </row>
    <row r="4454" spans="1:14">
      <c r="A4454" s="7">
        <f t="shared" si="5391"/>
        <v>30009</v>
      </c>
      <c r="B4454" s="7">
        <f t="shared" ref="B4454:C4454" si="5503">B4366</f>
        <v>40000</v>
      </c>
      <c r="C4454" s="7" t="str">
        <f t="shared" si="5503"/>
        <v>装备</v>
      </c>
      <c r="D4454" s="7">
        <v>40250030</v>
      </c>
      <c r="E4454" s="7"/>
      <c r="F4454" s="7">
        <v>1</v>
      </c>
      <c r="G4454" s="7">
        <f>3*INDEX([1]equip.xml!$I:$I,MATCH(D4454&amp;"",[1]equip.xml!$A:$A,0))</f>
        <v>75000</v>
      </c>
      <c r="H4454" s="7" t="str">
        <f t="shared" ref="H4454:J4454" si="5504">H4366</f>
        <v>10_10,50_20,80_30</v>
      </c>
      <c r="I4454" s="7">
        <v>9</v>
      </c>
      <c r="J4454" s="7">
        <f t="shared" si="5504"/>
        <v>50</v>
      </c>
      <c r="K4454" s="7" t="s">
        <v>309</v>
      </c>
      <c r="L4454" s="7">
        <v>26</v>
      </c>
      <c r="M4454" s="7">
        <f>IF(INDEX([1]equip.xml!$B:$B,MATCH(D4454&amp;"",[1]equip.xml!$A:$A,0))=0,0,N4454)</f>
        <v>70</v>
      </c>
      <c r="N4454" s="7">
        <f t="shared" si="5442"/>
        <v>70</v>
      </c>
    </row>
    <row r="4455" spans="1:14">
      <c r="A4455" s="7">
        <f t="shared" si="5391"/>
        <v>30009</v>
      </c>
      <c r="B4455" s="7">
        <f t="shared" ref="B4455:C4455" si="5505">B4367</f>
        <v>40000</v>
      </c>
      <c r="C4455" s="7" t="str">
        <f t="shared" si="5505"/>
        <v>装备</v>
      </c>
      <c r="D4455" s="7">
        <v>40250080</v>
      </c>
      <c r="E4455" s="7"/>
      <c r="F4455" s="7">
        <v>1</v>
      </c>
      <c r="G4455" s="7">
        <f>3*INDEX([1]equip.xml!$I:$I,MATCH(D4455&amp;"",[1]equip.xml!$A:$A,0))</f>
        <v>75000</v>
      </c>
      <c r="H4455" s="7" t="str">
        <f t="shared" ref="H4455:J4455" si="5506">H4367</f>
        <v>10_10,50_20,80_30</v>
      </c>
      <c r="I4455" s="7">
        <v>9</v>
      </c>
      <c r="J4455" s="7">
        <f t="shared" si="5506"/>
        <v>50</v>
      </c>
      <c r="K4455" s="7" t="s">
        <v>309</v>
      </c>
      <c r="L4455" s="7">
        <v>26</v>
      </c>
      <c r="M4455" s="7">
        <f>IF(INDEX([1]equip.xml!$B:$B,MATCH(D4455&amp;"",[1]equip.xml!$A:$A,0))=0,0,N4455)</f>
        <v>70</v>
      </c>
      <c r="N4455" s="7">
        <f t="shared" si="5442"/>
        <v>70</v>
      </c>
    </row>
    <row r="4456" spans="1:14">
      <c r="A4456" s="7">
        <f t="shared" si="5391"/>
        <v>30009</v>
      </c>
      <c r="B4456" s="7">
        <f t="shared" ref="B4456:C4456" si="5507">B4368</f>
        <v>40000</v>
      </c>
      <c r="C4456" s="7" t="str">
        <f t="shared" si="5507"/>
        <v>装备</v>
      </c>
      <c r="D4456" s="7">
        <v>40250090</v>
      </c>
      <c r="E4456" s="7"/>
      <c r="F4456" s="7">
        <v>1</v>
      </c>
      <c r="G4456" s="7">
        <f>3*INDEX([1]equip.xml!$I:$I,MATCH(D4456&amp;"",[1]equip.xml!$A:$A,0))</f>
        <v>75000</v>
      </c>
      <c r="H4456" s="7" t="str">
        <f t="shared" ref="H4456:J4456" si="5508">H4368</f>
        <v>10_10,50_20,80_30</v>
      </c>
      <c r="I4456" s="7">
        <v>9</v>
      </c>
      <c r="J4456" s="7">
        <f t="shared" si="5508"/>
        <v>50</v>
      </c>
      <c r="K4456" s="7" t="s">
        <v>309</v>
      </c>
      <c r="L4456" s="7">
        <v>26</v>
      </c>
      <c r="M4456" s="7">
        <f>IF(INDEX([1]equip.xml!$B:$B,MATCH(D4456&amp;"",[1]equip.xml!$A:$A,0))=0,0,N4456)</f>
        <v>70</v>
      </c>
      <c r="N4456" s="7">
        <f t="shared" si="5442"/>
        <v>70</v>
      </c>
    </row>
    <row r="4457" spans="1:14">
      <c r="A4457" s="7">
        <f t="shared" si="5391"/>
        <v>30009</v>
      </c>
      <c r="B4457" s="7">
        <f t="shared" ref="B4457:C4457" si="5509">B4369</f>
        <v>40000</v>
      </c>
      <c r="C4457" s="7" t="str">
        <f t="shared" si="5509"/>
        <v>装备</v>
      </c>
      <c r="D4457" s="7">
        <v>40250100</v>
      </c>
      <c r="E4457" s="7"/>
      <c r="F4457" s="7">
        <v>1</v>
      </c>
      <c r="G4457" s="7">
        <f>3*INDEX([1]equip.xml!$I:$I,MATCH(D4457&amp;"",[1]equip.xml!$A:$A,0))</f>
        <v>75000</v>
      </c>
      <c r="H4457" s="7" t="str">
        <f t="shared" ref="H4457:J4457" si="5510">H4369</f>
        <v>10_10,50_20,80_30</v>
      </c>
      <c r="I4457" s="7">
        <v>9</v>
      </c>
      <c r="J4457" s="7">
        <f t="shared" si="5510"/>
        <v>50</v>
      </c>
      <c r="K4457" s="7" t="s">
        <v>309</v>
      </c>
      <c r="L4457" s="7">
        <v>26</v>
      </c>
      <c r="M4457" s="7">
        <f>IF(INDEX([1]equip.xml!$B:$B,MATCH(D4457&amp;"",[1]equip.xml!$A:$A,0))=0,0,N4457)</f>
        <v>70</v>
      </c>
      <c r="N4457" s="7">
        <f t="shared" si="5442"/>
        <v>70</v>
      </c>
    </row>
    <row r="4458" spans="1:14">
      <c r="A4458" s="7">
        <f t="shared" si="5391"/>
        <v>30009</v>
      </c>
      <c r="B4458" s="7">
        <f t="shared" ref="B4458:C4458" si="5511">B4370</f>
        <v>40000</v>
      </c>
      <c r="C4458" s="7" t="str">
        <f t="shared" si="5511"/>
        <v>装备</v>
      </c>
      <c r="D4458" s="7">
        <v>40251050</v>
      </c>
      <c r="E4458" s="7"/>
      <c r="F4458" s="7">
        <v>1</v>
      </c>
      <c r="G4458" s="7">
        <f>3*INDEX([1]equip.xml!$I:$I,MATCH(D4458&amp;"",[1]equip.xml!$A:$A,0))</f>
        <v>75000</v>
      </c>
      <c r="H4458" s="7" t="str">
        <f t="shared" ref="H4458:J4458" si="5512">H4370</f>
        <v>10_10,50_20,80_30</v>
      </c>
      <c r="I4458" s="7">
        <v>9</v>
      </c>
      <c r="J4458" s="7">
        <f t="shared" si="5512"/>
        <v>50</v>
      </c>
      <c r="K4458" s="7" t="s">
        <v>309</v>
      </c>
      <c r="L4458" s="7">
        <v>26</v>
      </c>
      <c r="M4458" s="7">
        <f>IF(INDEX([1]equip.xml!$B:$B,MATCH(D4458&amp;"",[1]equip.xml!$A:$A,0))=0,0,N4458)</f>
        <v>70</v>
      </c>
      <c r="N4458" s="7">
        <f t="shared" si="5442"/>
        <v>70</v>
      </c>
    </row>
    <row r="4459" spans="1:14">
      <c r="A4459" s="7">
        <f t="shared" si="5391"/>
        <v>30009</v>
      </c>
      <c r="B4459" s="7">
        <f t="shared" ref="B4459:C4459" si="5513">B4371</f>
        <v>40000</v>
      </c>
      <c r="C4459" s="7" t="str">
        <f t="shared" si="5513"/>
        <v>装备</v>
      </c>
      <c r="D4459" s="7">
        <v>40251051</v>
      </c>
      <c r="E4459" s="7"/>
      <c r="F4459" s="7">
        <v>1</v>
      </c>
      <c r="G4459" s="7">
        <f>3*INDEX([1]equip.xml!$I:$I,MATCH(D4459&amp;"",[1]equip.xml!$A:$A,0))</f>
        <v>84000</v>
      </c>
      <c r="H4459" s="7" t="str">
        <f t="shared" ref="H4459:J4459" si="5514">H4371</f>
        <v>10_10,50_20,80_30</v>
      </c>
      <c r="I4459" s="7">
        <v>9</v>
      </c>
      <c r="J4459" s="7">
        <f t="shared" si="5514"/>
        <v>50</v>
      </c>
      <c r="K4459" s="7" t="s">
        <v>309</v>
      </c>
      <c r="L4459" s="7">
        <v>26</v>
      </c>
      <c r="M4459" s="7">
        <f>IF(INDEX([1]equip.xml!$B:$B,MATCH(D4459&amp;"",[1]equip.xml!$A:$A,0))=0,0,N4459)</f>
        <v>70</v>
      </c>
      <c r="N4459" s="7">
        <f t="shared" si="5442"/>
        <v>70</v>
      </c>
    </row>
    <row r="4460" spans="1:14">
      <c r="A4460" s="7">
        <f t="shared" si="5391"/>
        <v>30009</v>
      </c>
      <c r="B4460" s="7">
        <f t="shared" ref="B4460:C4460" si="5515">B4372</f>
        <v>40000</v>
      </c>
      <c r="C4460" s="7" t="str">
        <f t="shared" si="5515"/>
        <v>装备</v>
      </c>
      <c r="D4460" s="7">
        <v>40251060</v>
      </c>
      <c r="E4460" s="7"/>
      <c r="F4460" s="7">
        <v>1</v>
      </c>
      <c r="G4460" s="7">
        <f>3*INDEX([1]equip.xml!$I:$I,MATCH(D4460&amp;"",[1]equip.xml!$A:$A,0))</f>
        <v>75000</v>
      </c>
      <c r="H4460" s="7" t="str">
        <f t="shared" ref="H4460:J4460" si="5516">H4372</f>
        <v>10_10,50_20,80_30</v>
      </c>
      <c r="I4460" s="7">
        <v>9</v>
      </c>
      <c r="J4460" s="7">
        <f t="shared" si="5516"/>
        <v>50</v>
      </c>
      <c r="K4460" s="7" t="s">
        <v>309</v>
      </c>
      <c r="L4460" s="7">
        <v>26</v>
      </c>
      <c r="M4460" s="7">
        <f>IF(INDEX([1]equip.xml!$B:$B,MATCH(D4460&amp;"",[1]equip.xml!$A:$A,0))=0,0,N4460)</f>
        <v>70</v>
      </c>
      <c r="N4460" s="7">
        <f t="shared" si="5442"/>
        <v>70</v>
      </c>
    </row>
    <row r="4461" spans="1:14">
      <c r="A4461" s="7">
        <f t="shared" si="5391"/>
        <v>30009</v>
      </c>
      <c r="B4461" s="7">
        <f t="shared" ref="B4461:C4461" si="5517">B4373</f>
        <v>40000</v>
      </c>
      <c r="C4461" s="7" t="str">
        <f t="shared" si="5517"/>
        <v>装备</v>
      </c>
      <c r="D4461" s="7">
        <v>40251061</v>
      </c>
      <c r="E4461" s="7"/>
      <c r="F4461" s="7">
        <v>1</v>
      </c>
      <c r="G4461" s="7">
        <f>3*INDEX([1]equip.xml!$I:$I,MATCH(D4461&amp;"",[1]equip.xml!$A:$A,0))</f>
        <v>84000</v>
      </c>
      <c r="H4461" s="7" t="str">
        <f t="shared" ref="H4461:J4461" si="5518">H4373</f>
        <v>10_10,50_20,80_30</v>
      </c>
      <c r="I4461" s="7">
        <v>9</v>
      </c>
      <c r="J4461" s="7">
        <f t="shared" si="5518"/>
        <v>50</v>
      </c>
      <c r="K4461" s="7" t="s">
        <v>309</v>
      </c>
      <c r="L4461" s="7">
        <v>26</v>
      </c>
      <c r="M4461" s="7">
        <f>IF(INDEX([1]equip.xml!$B:$B,MATCH(D4461&amp;"",[1]equip.xml!$A:$A,0))=0,0,N4461)</f>
        <v>0</v>
      </c>
      <c r="N4461" s="7">
        <f t="shared" si="5442"/>
        <v>70</v>
      </c>
    </row>
    <row r="4462" spans="1:14">
      <c r="A4462" s="7">
        <f t="shared" si="5391"/>
        <v>30009</v>
      </c>
      <c r="B4462" s="7">
        <f t="shared" ref="B4462:C4462" si="5519">B4374</f>
        <v>40000</v>
      </c>
      <c r="C4462" s="7" t="str">
        <f t="shared" si="5519"/>
        <v>装备</v>
      </c>
      <c r="D4462" s="7">
        <v>40252050</v>
      </c>
      <c r="E4462" s="7"/>
      <c r="F4462" s="7">
        <v>1</v>
      </c>
      <c r="G4462" s="7">
        <f>3*INDEX([1]equip.xml!$I:$I,MATCH(D4462&amp;"",[1]equip.xml!$A:$A,0))</f>
        <v>75000</v>
      </c>
      <c r="H4462" s="7" t="str">
        <f t="shared" ref="H4462:J4462" si="5520">H4374</f>
        <v>10_10,50_20,80_30</v>
      </c>
      <c r="I4462" s="7">
        <v>9</v>
      </c>
      <c r="J4462" s="7">
        <f t="shared" si="5520"/>
        <v>50</v>
      </c>
      <c r="K4462" s="7" t="s">
        <v>309</v>
      </c>
      <c r="L4462" s="7">
        <v>26</v>
      </c>
      <c r="M4462" s="7">
        <f>IF(INDEX([1]equip.xml!$B:$B,MATCH(D4462&amp;"",[1]equip.xml!$A:$A,0))=0,0,N4462)</f>
        <v>70</v>
      </c>
      <c r="N4462" s="7">
        <f t="shared" si="5442"/>
        <v>70</v>
      </c>
    </row>
    <row r="4463" spans="1:14">
      <c r="A4463" s="7">
        <f t="shared" ref="A4463:A4526" si="5521">10000+A3231</f>
        <v>30009</v>
      </c>
      <c r="B4463" s="7">
        <f t="shared" ref="B4463:C4463" si="5522">B4375</f>
        <v>40000</v>
      </c>
      <c r="C4463" s="7" t="str">
        <f t="shared" si="5522"/>
        <v>装备</v>
      </c>
      <c r="D4463" s="7">
        <v>40252051</v>
      </c>
      <c r="E4463" s="7"/>
      <c r="F4463" s="7">
        <v>1</v>
      </c>
      <c r="G4463" s="7">
        <f>3*INDEX([1]equip.xml!$I:$I,MATCH(D4463&amp;"",[1]equip.xml!$A:$A,0))</f>
        <v>84000</v>
      </c>
      <c r="H4463" s="7" t="str">
        <f t="shared" ref="H4463:J4463" si="5523">H4375</f>
        <v>10_10,50_20,80_30</v>
      </c>
      <c r="I4463" s="7">
        <v>9</v>
      </c>
      <c r="J4463" s="7">
        <f t="shared" si="5523"/>
        <v>50</v>
      </c>
      <c r="K4463" s="7" t="s">
        <v>309</v>
      </c>
      <c r="L4463" s="7">
        <v>26</v>
      </c>
      <c r="M4463" s="7">
        <f>IF(INDEX([1]equip.xml!$B:$B,MATCH(D4463&amp;"",[1]equip.xml!$A:$A,0))=0,0,N4463)</f>
        <v>70</v>
      </c>
      <c r="N4463" s="7">
        <f t="shared" si="5442"/>
        <v>70</v>
      </c>
    </row>
    <row r="4464" spans="1:14">
      <c r="A4464" s="7">
        <f t="shared" si="5521"/>
        <v>30009</v>
      </c>
      <c r="B4464" s="7">
        <f t="shared" ref="B4464:C4464" si="5524">B4376</f>
        <v>40000</v>
      </c>
      <c r="C4464" s="7" t="str">
        <f t="shared" si="5524"/>
        <v>装备</v>
      </c>
      <c r="D4464" s="7">
        <v>40252060</v>
      </c>
      <c r="E4464" s="7"/>
      <c r="F4464" s="7">
        <v>1</v>
      </c>
      <c r="G4464" s="7">
        <f>3*INDEX([1]equip.xml!$I:$I,MATCH(D4464&amp;"",[1]equip.xml!$A:$A,0))</f>
        <v>75000</v>
      </c>
      <c r="H4464" s="7" t="str">
        <f t="shared" ref="H4464:J4464" si="5525">H4376</f>
        <v>10_10,50_20,80_30</v>
      </c>
      <c r="I4464" s="7">
        <v>9</v>
      </c>
      <c r="J4464" s="7">
        <f t="shared" si="5525"/>
        <v>50</v>
      </c>
      <c r="K4464" s="7" t="s">
        <v>309</v>
      </c>
      <c r="L4464" s="7">
        <v>26</v>
      </c>
      <c r="M4464" s="7">
        <f>IF(INDEX([1]equip.xml!$B:$B,MATCH(D4464&amp;"",[1]equip.xml!$A:$A,0))=0,0,N4464)</f>
        <v>70</v>
      </c>
      <c r="N4464" s="7">
        <f t="shared" si="5442"/>
        <v>70</v>
      </c>
    </row>
    <row r="4465" spans="1:14">
      <c r="A4465" s="7">
        <f t="shared" si="5521"/>
        <v>30009</v>
      </c>
      <c r="B4465" s="7">
        <f t="shared" ref="B4465:C4465" si="5526">B4377</f>
        <v>40000</v>
      </c>
      <c r="C4465" s="7" t="str">
        <f t="shared" si="5526"/>
        <v>装备</v>
      </c>
      <c r="D4465" s="7">
        <v>40252061</v>
      </c>
      <c r="E4465" s="7"/>
      <c r="F4465" s="7">
        <v>1</v>
      </c>
      <c r="G4465" s="7">
        <f>3*INDEX([1]equip.xml!$I:$I,MATCH(D4465&amp;"",[1]equip.xml!$A:$A,0))</f>
        <v>84000</v>
      </c>
      <c r="H4465" s="7" t="str">
        <f t="shared" ref="H4465:J4465" si="5527">H4377</f>
        <v>10_10,50_20,80_30</v>
      </c>
      <c r="I4465" s="7">
        <v>9</v>
      </c>
      <c r="J4465" s="7">
        <f t="shared" si="5527"/>
        <v>50</v>
      </c>
      <c r="K4465" s="7" t="s">
        <v>309</v>
      </c>
      <c r="L4465" s="7">
        <v>26</v>
      </c>
      <c r="M4465" s="7">
        <f>IF(INDEX([1]equip.xml!$B:$B,MATCH(D4465&amp;"",[1]equip.xml!$A:$A,0))=0,0,N4465)</f>
        <v>0</v>
      </c>
      <c r="N4465" s="7">
        <f t="shared" si="5442"/>
        <v>70</v>
      </c>
    </row>
    <row r="4466" spans="1:14">
      <c r="A4466" s="7">
        <f t="shared" si="5521"/>
        <v>30009</v>
      </c>
      <c r="B4466" s="7">
        <f t="shared" ref="B4466:C4466" si="5528">B4378</f>
        <v>40000</v>
      </c>
      <c r="C4466" s="7" t="str">
        <f t="shared" si="5528"/>
        <v>装备</v>
      </c>
      <c r="D4466" s="7">
        <v>40253050</v>
      </c>
      <c r="E4466" s="7"/>
      <c r="F4466" s="7">
        <v>1</v>
      </c>
      <c r="G4466" s="7">
        <f>3*INDEX([1]equip.xml!$I:$I,MATCH(D4466&amp;"",[1]equip.xml!$A:$A,0))</f>
        <v>75000</v>
      </c>
      <c r="H4466" s="7" t="str">
        <f t="shared" ref="H4466:J4466" si="5529">H4378</f>
        <v>10_10,50_20,80_30</v>
      </c>
      <c r="I4466" s="7">
        <v>9</v>
      </c>
      <c r="J4466" s="7">
        <f t="shared" si="5529"/>
        <v>50</v>
      </c>
      <c r="K4466" s="7" t="s">
        <v>309</v>
      </c>
      <c r="L4466" s="7">
        <v>26</v>
      </c>
      <c r="M4466" s="7">
        <f>IF(INDEX([1]equip.xml!$B:$B,MATCH(D4466&amp;"",[1]equip.xml!$A:$A,0))=0,0,N4466)</f>
        <v>70</v>
      </c>
      <c r="N4466" s="7">
        <f t="shared" si="5442"/>
        <v>70</v>
      </c>
    </row>
    <row r="4467" spans="1:14">
      <c r="A4467" s="7">
        <f t="shared" si="5521"/>
        <v>30009</v>
      </c>
      <c r="B4467" s="7">
        <f t="shared" ref="B4467:C4467" si="5530">B4379</f>
        <v>40000</v>
      </c>
      <c r="C4467" s="7" t="str">
        <f t="shared" si="5530"/>
        <v>装备</v>
      </c>
      <c r="D4467" s="7">
        <v>40253051</v>
      </c>
      <c r="E4467" s="7"/>
      <c r="F4467" s="7">
        <v>1</v>
      </c>
      <c r="G4467" s="7">
        <f>3*INDEX([1]equip.xml!$I:$I,MATCH(D4467&amp;"",[1]equip.xml!$A:$A,0))</f>
        <v>84000</v>
      </c>
      <c r="H4467" s="7" t="str">
        <f t="shared" ref="H4467:J4467" si="5531">H4379</f>
        <v>10_10,50_20,80_30</v>
      </c>
      <c r="I4467" s="7">
        <v>9</v>
      </c>
      <c r="J4467" s="7">
        <f t="shared" si="5531"/>
        <v>50</v>
      </c>
      <c r="K4467" s="7" t="s">
        <v>309</v>
      </c>
      <c r="L4467" s="7">
        <v>26</v>
      </c>
      <c r="M4467" s="7">
        <f>IF(INDEX([1]equip.xml!$B:$B,MATCH(D4467&amp;"",[1]equip.xml!$A:$A,0))=0,0,N4467)</f>
        <v>0</v>
      </c>
      <c r="N4467" s="7">
        <f t="shared" si="5442"/>
        <v>70</v>
      </c>
    </row>
    <row r="4468" spans="1:14">
      <c r="A4468" s="7">
        <f t="shared" si="5521"/>
        <v>30009</v>
      </c>
      <c r="B4468" s="7">
        <f t="shared" ref="B4468:C4468" si="5532">B4380</f>
        <v>40000</v>
      </c>
      <c r="C4468" s="7" t="str">
        <f t="shared" si="5532"/>
        <v>装备</v>
      </c>
      <c r="D4468" s="7">
        <v>40253060</v>
      </c>
      <c r="E4468" s="7"/>
      <c r="F4468" s="7">
        <v>1</v>
      </c>
      <c r="G4468" s="7">
        <f>3*INDEX([1]equip.xml!$I:$I,MATCH(D4468&amp;"",[1]equip.xml!$A:$A,0))</f>
        <v>75000</v>
      </c>
      <c r="H4468" s="7" t="str">
        <f t="shared" ref="H4468:J4468" si="5533">H4380</f>
        <v>10_10,50_20,80_30</v>
      </c>
      <c r="I4468" s="7">
        <v>9</v>
      </c>
      <c r="J4468" s="7">
        <f t="shared" si="5533"/>
        <v>50</v>
      </c>
      <c r="K4468" s="7" t="s">
        <v>309</v>
      </c>
      <c r="L4468" s="7">
        <v>26</v>
      </c>
      <c r="M4468" s="7">
        <f>IF(INDEX([1]equip.xml!$B:$B,MATCH(D4468&amp;"",[1]equip.xml!$A:$A,0))=0,0,N4468)</f>
        <v>70</v>
      </c>
      <c r="N4468" s="7">
        <f t="shared" si="5442"/>
        <v>70</v>
      </c>
    </row>
    <row r="4469" spans="1:14">
      <c r="A4469" s="7">
        <f t="shared" si="5521"/>
        <v>30009</v>
      </c>
      <c r="B4469" s="7">
        <f t="shared" ref="B4469:C4469" si="5534">B4381</f>
        <v>40000</v>
      </c>
      <c r="C4469" s="7" t="str">
        <f t="shared" si="5534"/>
        <v>装备</v>
      </c>
      <c r="D4469" s="7">
        <v>40253061</v>
      </c>
      <c r="E4469" s="7"/>
      <c r="F4469" s="7">
        <v>1</v>
      </c>
      <c r="G4469" s="7">
        <f>3*INDEX([1]equip.xml!$I:$I,MATCH(D4469&amp;"",[1]equip.xml!$A:$A,0))</f>
        <v>84000</v>
      </c>
      <c r="H4469" s="7" t="str">
        <f t="shared" ref="H4469:J4469" si="5535">H4381</f>
        <v>10_10,50_20,80_30</v>
      </c>
      <c r="I4469" s="7">
        <v>9</v>
      </c>
      <c r="J4469" s="7">
        <f t="shared" si="5535"/>
        <v>50</v>
      </c>
      <c r="K4469" s="7" t="s">
        <v>309</v>
      </c>
      <c r="L4469" s="7">
        <v>26</v>
      </c>
      <c r="M4469" s="7">
        <f>IF(INDEX([1]equip.xml!$B:$B,MATCH(D4469&amp;"",[1]equip.xml!$A:$A,0))=0,0,N4469)</f>
        <v>0</v>
      </c>
      <c r="N4469" s="7">
        <f t="shared" si="5442"/>
        <v>70</v>
      </c>
    </row>
    <row r="4470" spans="1:14">
      <c r="A4470" s="7">
        <f t="shared" si="5521"/>
        <v>30009</v>
      </c>
      <c r="B4470" s="7">
        <f t="shared" ref="B4470:C4470" si="5536">B4382</f>
        <v>40000</v>
      </c>
      <c r="C4470" s="7" t="str">
        <f t="shared" si="5536"/>
        <v>装备</v>
      </c>
      <c r="D4470" s="7">
        <v>40250040</v>
      </c>
      <c r="E4470" s="7"/>
      <c r="F4470" s="7">
        <v>1</v>
      </c>
      <c r="G4470" s="7">
        <f>3*INDEX([1]equip.xml!$I:$I,MATCH(D4470&amp;"",[1]equip.xml!$A:$A,0))</f>
        <v>75000</v>
      </c>
      <c r="H4470" s="7" t="str">
        <f t="shared" ref="H4470:J4470" si="5537">H4382</f>
        <v>10_10,50_20,80_30</v>
      </c>
      <c r="I4470" s="7">
        <v>9</v>
      </c>
      <c r="J4470" s="7">
        <f t="shared" si="5537"/>
        <v>50</v>
      </c>
      <c r="K4470" s="7" t="s">
        <v>309</v>
      </c>
      <c r="L4470" s="7">
        <v>26</v>
      </c>
      <c r="M4470" s="7">
        <f>IF(INDEX([1]equip.xml!$B:$B,MATCH(D4470&amp;"",[1]equip.xml!$A:$A,0))=0,0,N4470)</f>
        <v>70</v>
      </c>
      <c r="N4470" s="7">
        <f t="shared" si="5442"/>
        <v>70</v>
      </c>
    </row>
    <row r="4471" spans="1:14">
      <c r="A4471" s="7">
        <f t="shared" si="5521"/>
        <v>30009</v>
      </c>
      <c r="B4471" s="7">
        <f t="shared" ref="B4471:C4471" si="5538">B4383</f>
        <v>40000</v>
      </c>
      <c r="C4471" s="7" t="str">
        <f t="shared" si="5538"/>
        <v>装备</v>
      </c>
      <c r="D4471" s="7">
        <v>40250041</v>
      </c>
      <c r="E4471" s="7"/>
      <c r="F4471" s="7">
        <v>1</v>
      </c>
      <c r="G4471" s="7">
        <f>3*INDEX([1]equip.xml!$I:$I,MATCH(D4471&amp;"",[1]equip.xml!$A:$A,0))</f>
        <v>84000</v>
      </c>
      <c r="H4471" s="7" t="str">
        <f t="shared" ref="H4471:J4471" si="5539">H4383</f>
        <v>10_10,50_20,80_30</v>
      </c>
      <c r="I4471" s="7">
        <v>9</v>
      </c>
      <c r="J4471" s="7">
        <f t="shared" si="5539"/>
        <v>50</v>
      </c>
      <c r="K4471" s="7" t="s">
        <v>309</v>
      </c>
      <c r="L4471" s="7">
        <v>26</v>
      </c>
      <c r="M4471" s="7">
        <f>IF(INDEX([1]equip.xml!$B:$B,MATCH(D4471&amp;"",[1]equip.xml!$A:$A,0))=0,0,N4471)</f>
        <v>0</v>
      </c>
      <c r="N4471" s="7">
        <f t="shared" si="5442"/>
        <v>70</v>
      </c>
    </row>
    <row r="4472" spans="1:14">
      <c r="A4472" s="7">
        <f t="shared" si="5521"/>
        <v>30009</v>
      </c>
      <c r="B4472" s="7">
        <f t="shared" ref="B4472:C4472" si="5540">B4384</f>
        <v>40000</v>
      </c>
      <c r="C4472" s="7" t="str">
        <f t="shared" si="5540"/>
        <v>装备</v>
      </c>
      <c r="D4472" s="7">
        <v>40250070</v>
      </c>
      <c r="E4472" s="7"/>
      <c r="F4472" s="7">
        <v>1</v>
      </c>
      <c r="G4472" s="7">
        <f>3*INDEX([1]equip.xml!$I:$I,MATCH(D4472&amp;"",[1]equip.xml!$A:$A,0))</f>
        <v>75000</v>
      </c>
      <c r="H4472" s="7" t="str">
        <f t="shared" ref="H4472:J4472" si="5541">H4384</f>
        <v>10_10,50_20,80_30</v>
      </c>
      <c r="I4472" s="7">
        <v>9</v>
      </c>
      <c r="J4472" s="7">
        <f t="shared" si="5541"/>
        <v>50</v>
      </c>
      <c r="K4472" s="7" t="s">
        <v>309</v>
      </c>
      <c r="L4472" s="7">
        <v>26</v>
      </c>
      <c r="M4472" s="7">
        <f>IF(INDEX([1]equip.xml!$B:$B,MATCH(D4472&amp;"",[1]equip.xml!$A:$A,0))=0,0,N4472)</f>
        <v>70</v>
      </c>
      <c r="N4472" s="7">
        <f t="shared" si="5442"/>
        <v>70</v>
      </c>
    </row>
    <row r="4473" spans="1:14">
      <c r="A4473" s="7">
        <f t="shared" si="5521"/>
        <v>30009</v>
      </c>
      <c r="B4473" s="7">
        <f t="shared" ref="B4473:C4473" si="5542">B4385</f>
        <v>40000</v>
      </c>
      <c r="C4473" s="7" t="str">
        <f t="shared" si="5542"/>
        <v>装备</v>
      </c>
      <c r="D4473" s="7">
        <v>40250071</v>
      </c>
      <c r="E4473" s="7"/>
      <c r="F4473" s="7">
        <v>1</v>
      </c>
      <c r="G4473" s="7">
        <f>3*INDEX([1]equip.xml!$I:$I,MATCH(D4473&amp;"",[1]equip.xml!$A:$A,0))</f>
        <v>84000</v>
      </c>
      <c r="H4473" s="7" t="str">
        <f t="shared" ref="H4473:J4473" si="5543">H4385</f>
        <v>10_10,50_20,80_30</v>
      </c>
      <c r="I4473" s="7">
        <v>9</v>
      </c>
      <c r="J4473" s="7">
        <f t="shared" si="5543"/>
        <v>50</v>
      </c>
      <c r="K4473" s="7" t="s">
        <v>309</v>
      </c>
      <c r="L4473" s="7">
        <v>26</v>
      </c>
      <c r="M4473" s="7">
        <f>IF(INDEX([1]equip.xml!$B:$B,MATCH(D4473&amp;"",[1]equip.xml!$A:$A,0))=0,0,N4473)</f>
        <v>0</v>
      </c>
      <c r="N4473" s="7">
        <f t="shared" si="5442"/>
        <v>70</v>
      </c>
    </row>
    <row r="4474" spans="1:14">
      <c r="A4474" s="7">
        <f t="shared" si="5521"/>
        <v>30009</v>
      </c>
      <c r="B4474" s="7">
        <f t="shared" ref="B4474:C4474" si="5544">B4386</f>
        <v>40000</v>
      </c>
      <c r="C4474" s="7" t="str">
        <f t="shared" si="5544"/>
        <v>装备</v>
      </c>
      <c r="D4474" s="7">
        <v>50200015</v>
      </c>
      <c r="E4474" s="7"/>
      <c r="F4474" s="7">
        <v>1</v>
      </c>
      <c r="G4474" s="8">
        <f>3*INDEX([1]equip.xml!$I:$I,MATCH(D4474,[1]equip.xml!$A:$A,0))</f>
        <v>120000</v>
      </c>
      <c r="H4474" s="7" t="str">
        <f t="shared" ref="H4474:J4474" si="5545">H4386</f>
        <v>10_10,50_20,80_30</v>
      </c>
      <c r="I4474" s="7">
        <v>9</v>
      </c>
      <c r="J4474" s="7">
        <f t="shared" si="5545"/>
        <v>240</v>
      </c>
      <c r="K4474" s="7" t="s">
        <v>309</v>
      </c>
      <c r="L4474" s="7">
        <v>26</v>
      </c>
      <c r="M4474" s="7">
        <f>IF(INDEX([1]equip.xml!$B:$B,MATCH(D4474,[1]equip.xml!$A:$A,0))=0,0,N4474)</f>
        <v>200</v>
      </c>
      <c r="N4474" s="7">
        <f t="shared" si="5442"/>
        <v>200</v>
      </c>
    </row>
    <row r="4475" spans="1:14">
      <c r="A4475" s="7">
        <f t="shared" si="5521"/>
        <v>30009</v>
      </c>
      <c r="B4475" s="7">
        <f t="shared" ref="B4475:C4475" si="5546">B4387</f>
        <v>40000</v>
      </c>
      <c r="C4475" s="7" t="str">
        <f t="shared" si="5546"/>
        <v>装备</v>
      </c>
      <c r="D4475" s="7">
        <v>50200025</v>
      </c>
      <c r="E4475" s="7"/>
      <c r="F4475" s="7">
        <v>1</v>
      </c>
      <c r="G4475" s="8">
        <f>3*INDEX([1]equip.xml!$I:$I,MATCH(D4475,[1]equip.xml!$A:$A,0))</f>
        <v>120000</v>
      </c>
      <c r="H4475" s="7" t="str">
        <f t="shared" ref="H4475:J4475" si="5547">H4387</f>
        <v>10_10,50_20,80_30</v>
      </c>
      <c r="I4475" s="7">
        <v>9</v>
      </c>
      <c r="J4475" s="7">
        <f t="shared" si="5547"/>
        <v>240</v>
      </c>
      <c r="K4475" s="7" t="s">
        <v>309</v>
      </c>
      <c r="L4475" s="7">
        <v>26</v>
      </c>
      <c r="M4475" s="7">
        <f>IF(INDEX([1]equip.xml!$B:$B,MATCH(D4475,[1]equip.xml!$A:$A,0))=0,0,N4475)</f>
        <v>200</v>
      </c>
      <c r="N4475" s="7">
        <f t="shared" si="5442"/>
        <v>200</v>
      </c>
    </row>
    <row r="4476" spans="1:14">
      <c r="A4476" s="7">
        <f t="shared" si="5521"/>
        <v>30009</v>
      </c>
      <c r="B4476" s="7">
        <f t="shared" ref="B4476:C4476" si="5548">B4388</f>
        <v>40000</v>
      </c>
      <c r="C4476" s="7" t="str">
        <f t="shared" si="5548"/>
        <v>装备</v>
      </c>
      <c r="D4476" s="7">
        <v>50200035</v>
      </c>
      <c r="E4476" s="7"/>
      <c r="F4476" s="7">
        <v>1</v>
      </c>
      <c r="G4476" s="8">
        <f>3*INDEX([1]equip.xml!$I:$I,MATCH(D4476,[1]equip.xml!$A:$A,0))</f>
        <v>120000</v>
      </c>
      <c r="H4476" s="7" t="str">
        <f t="shared" ref="H4476:J4476" si="5549">H4388</f>
        <v>10_10,50_20,80_30</v>
      </c>
      <c r="I4476" s="7">
        <v>9</v>
      </c>
      <c r="J4476" s="7">
        <f t="shared" si="5549"/>
        <v>240</v>
      </c>
      <c r="K4476" s="7" t="s">
        <v>309</v>
      </c>
      <c r="L4476" s="7">
        <v>26</v>
      </c>
      <c r="M4476" s="7">
        <f>IF(INDEX([1]equip.xml!$B:$B,MATCH(D4476,[1]equip.xml!$A:$A,0))=0,0,N4476)</f>
        <v>200</v>
      </c>
      <c r="N4476" s="7">
        <f t="shared" si="5442"/>
        <v>200</v>
      </c>
    </row>
    <row r="4477" spans="1:14">
      <c r="A4477" s="7">
        <f t="shared" si="5521"/>
        <v>30009</v>
      </c>
      <c r="B4477" s="7">
        <f t="shared" ref="B4477:C4477" si="5550">B4389</f>
        <v>40000</v>
      </c>
      <c r="C4477" s="7" t="str">
        <f t="shared" si="5550"/>
        <v>装备</v>
      </c>
      <c r="D4477" s="7">
        <v>50200085</v>
      </c>
      <c r="E4477" s="7"/>
      <c r="F4477" s="7">
        <v>1</v>
      </c>
      <c r="G4477" s="8">
        <f>3*INDEX([1]equip.xml!$I:$I,MATCH(D4477,[1]equip.xml!$A:$A,0))</f>
        <v>120000</v>
      </c>
      <c r="H4477" s="7" t="str">
        <f t="shared" ref="H4477:J4477" si="5551">H4389</f>
        <v>10_10,50_20,80_30</v>
      </c>
      <c r="I4477" s="7">
        <v>9</v>
      </c>
      <c r="J4477" s="7">
        <f t="shared" si="5551"/>
        <v>240</v>
      </c>
      <c r="K4477" s="7" t="s">
        <v>309</v>
      </c>
      <c r="L4477" s="7">
        <v>26</v>
      </c>
      <c r="M4477" s="7">
        <f>IF(INDEX([1]equip.xml!$B:$B,MATCH(D4477,[1]equip.xml!$A:$A,0))=0,0,N4477)</f>
        <v>200</v>
      </c>
      <c r="N4477" s="7">
        <f t="shared" si="5442"/>
        <v>200</v>
      </c>
    </row>
    <row r="4478" spans="1:14">
      <c r="A4478" s="7">
        <f t="shared" si="5521"/>
        <v>30009</v>
      </c>
      <c r="B4478" s="7">
        <f t="shared" ref="B4478:C4478" si="5552">B4390</f>
        <v>40000</v>
      </c>
      <c r="C4478" s="7" t="str">
        <f t="shared" si="5552"/>
        <v>装备</v>
      </c>
      <c r="D4478" s="7">
        <v>50200095</v>
      </c>
      <c r="E4478" s="7"/>
      <c r="F4478" s="7">
        <v>1</v>
      </c>
      <c r="G4478" s="8">
        <f>3*INDEX([1]equip.xml!$I:$I,MATCH(D4478,[1]equip.xml!$A:$A,0))</f>
        <v>120000</v>
      </c>
      <c r="H4478" s="7" t="str">
        <f t="shared" ref="H4478:J4478" si="5553">H4390</f>
        <v>10_10,50_20,80_30</v>
      </c>
      <c r="I4478" s="7">
        <v>9</v>
      </c>
      <c r="J4478" s="7">
        <f t="shared" si="5553"/>
        <v>240</v>
      </c>
      <c r="K4478" s="7" t="s">
        <v>309</v>
      </c>
      <c r="L4478" s="7">
        <v>26</v>
      </c>
      <c r="M4478" s="7">
        <f>IF(INDEX([1]equip.xml!$B:$B,MATCH(D4478,[1]equip.xml!$A:$A,0))=0,0,N4478)</f>
        <v>200</v>
      </c>
      <c r="N4478" s="7">
        <f t="shared" si="5442"/>
        <v>200</v>
      </c>
    </row>
    <row r="4479" spans="1:14">
      <c r="A4479" s="7">
        <f t="shared" si="5521"/>
        <v>30009</v>
      </c>
      <c r="B4479" s="7">
        <f t="shared" ref="B4479:C4479" si="5554">B4391</f>
        <v>40000</v>
      </c>
      <c r="C4479" s="7" t="str">
        <f t="shared" si="5554"/>
        <v>装备</v>
      </c>
      <c r="D4479" s="7">
        <v>50200105</v>
      </c>
      <c r="E4479" s="7"/>
      <c r="F4479" s="7">
        <v>1</v>
      </c>
      <c r="G4479" s="8">
        <f>3*INDEX([1]equip.xml!$I:$I,MATCH(D4479,[1]equip.xml!$A:$A,0))</f>
        <v>120000</v>
      </c>
      <c r="H4479" s="7" t="str">
        <f t="shared" ref="H4479:J4479" si="5555">H4391</f>
        <v>10_10,50_20,80_30</v>
      </c>
      <c r="I4479" s="7">
        <v>9</v>
      </c>
      <c r="J4479" s="7">
        <f t="shared" si="5555"/>
        <v>240</v>
      </c>
      <c r="K4479" s="7" t="s">
        <v>309</v>
      </c>
      <c r="L4479" s="7">
        <v>26</v>
      </c>
      <c r="M4479" s="7">
        <f>IF(INDEX([1]equip.xml!$B:$B,MATCH(D4479,[1]equip.xml!$A:$A,0))=0,0,N4479)</f>
        <v>200</v>
      </c>
      <c r="N4479" s="7">
        <f t="shared" si="5442"/>
        <v>200</v>
      </c>
    </row>
    <row r="4480" spans="1:14">
      <c r="A4480" s="7">
        <f t="shared" si="5521"/>
        <v>30009</v>
      </c>
      <c r="B4480" s="7">
        <f t="shared" ref="B4480:C4480" si="5556">B4392</f>
        <v>40000</v>
      </c>
      <c r="C4480" s="7" t="str">
        <f t="shared" si="5556"/>
        <v>装备</v>
      </c>
      <c r="D4480" s="7">
        <v>50201055</v>
      </c>
      <c r="E4480" s="7"/>
      <c r="F4480" s="7">
        <v>1</v>
      </c>
      <c r="G4480" s="8">
        <f>3*INDEX([1]equip.xml!$I:$I,MATCH(D4480,[1]equip.xml!$A:$A,0))</f>
        <v>120000</v>
      </c>
      <c r="H4480" s="7" t="str">
        <f t="shared" ref="H4480:J4480" si="5557">H4392</f>
        <v>10_10,50_20,80_30</v>
      </c>
      <c r="I4480" s="7">
        <v>9</v>
      </c>
      <c r="J4480" s="7">
        <f t="shared" si="5557"/>
        <v>240</v>
      </c>
      <c r="K4480" s="7" t="s">
        <v>309</v>
      </c>
      <c r="L4480" s="7">
        <v>26</v>
      </c>
      <c r="M4480" s="7">
        <f>IF(INDEX([1]equip.xml!$B:$B,MATCH(D4480,[1]equip.xml!$A:$A,0))=0,0,N4480)</f>
        <v>200</v>
      </c>
      <c r="N4480" s="7">
        <f t="shared" si="5442"/>
        <v>200</v>
      </c>
    </row>
    <row r="4481" spans="1:14">
      <c r="A4481" s="7">
        <f t="shared" si="5521"/>
        <v>30009</v>
      </c>
      <c r="B4481" s="7">
        <f t="shared" ref="B4481:C4481" si="5558">B4393</f>
        <v>40000</v>
      </c>
      <c r="C4481" s="7" t="str">
        <f t="shared" si="5558"/>
        <v>装备</v>
      </c>
      <c r="D4481" s="7">
        <v>50201056</v>
      </c>
      <c r="E4481" s="7"/>
      <c r="F4481" s="7">
        <v>1</v>
      </c>
      <c r="G4481" s="8">
        <f>3*INDEX([1]equip.xml!$I:$I,MATCH(D4481,[1]equip.xml!$A:$A,0))</f>
        <v>138000</v>
      </c>
      <c r="H4481" s="7" t="str">
        <f t="shared" ref="H4481:J4481" si="5559">H4393</f>
        <v>10_10,50_20,80_30</v>
      </c>
      <c r="I4481" s="7">
        <v>9</v>
      </c>
      <c r="J4481" s="7">
        <f t="shared" si="5559"/>
        <v>240</v>
      </c>
      <c r="K4481" s="7" t="s">
        <v>309</v>
      </c>
      <c r="L4481" s="7">
        <v>26</v>
      </c>
      <c r="M4481" s="7">
        <f>IF(INDEX([1]equip.xml!$B:$B,MATCH(D4481,[1]equip.xml!$A:$A,0))=0,0,N4481)</f>
        <v>0</v>
      </c>
      <c r="N4481" s="7">
        <f t="shared" si="5442"/>
        <v>200</v>
      </c>
    </row>
    <row r="4482" spans="1:14">
      <c r="A4482" s="7">
        <f t="shared" si="5521"/>
        <v>30009</v>
      </c>
      <c r="B4482" s="7">
        <f t="shared" ref="B4482:C4482" si="5560">B4394</f>
        <v>40000</v>
      </c>
      <c r="C4482" s="7" t="str">
        <f t="shared" si="5560"/>
        <v>装备</v>
      </c>
      <c r="D4482" s="7">
        <v>50201065</v>
      </c>
      <c r="E4482" s="7"/>
      <c r="F4482" s="7">
        <v>1</v>
      </c>
      <c r="G4482" s="8">
        <f>3*INDEX([1]equip.xml!$I:$I,MATCH(D4482,[1]equip.xml!$A:$A,0))</f>
        <v>120000</v>
      </c>
      <c r="H4482" s="7" t="str">
        <f t="shared" ref="H4482:J4482" si="5561">H4394</f>
        <v>10_10,50_20,80_30</v>
      </c>
      <c r="I4482" s="7">
        <v>9</v>
      </c>
      <c r="J4482" s="7">
        <f t="shared" si="5561"/>
        <v>240</v>
      </c>
      <c r="K4482" s="7" t="s">
        <v>309</v>
      </c>
      <c r="L4482" s="7">
        <v>26</v>
      </c>
      <c r="M4482" s="7">
        <f>IF(INDEX([1]equip.xml!$B:$B,MATCH(D4482,[1]equip.xml!$A:$A,0))=0,0,N4482)</f>
        <v>200</v>
      </c>
      <c r="N4482" s="7">
        <f t="shared" si="5442"/>
        <v>200</v>
      </c>
    </row>
    <row r="4483" spans="1:14">
      <c r="A4483" s="7">
        <f t="shared" si="5521"/>
        <v>30009</v>
      </c>
      <c r="B4483" s="7">
        <f t="shared" ref="B4483:C4483" si="5562">B4395</f>
        <v>40000</v>
      </c>
      <c r="C4483" s="7" t="str">
        <f t="shared" si="5562"/>
        <v>装备</v>
      </c>
      <c r="D4483" s="7">
        <v>50201066</v>
      </c>
      <c r="E4483" s="7"/>
      <c r="F4483" s="7">
        <v>1</v>
      </c>
      <c r="G4483" s="8">
        <f>3*INDEX([1]equip.xml!$I:$I,MATCH(D4483,[1]equip.xml!$A:$A,0))</f>
        <v>138000</v>
      </c>
      <c r="H4483" s="7" t="str">
        <f t="shared" ref="H4483:J4483" si="5563">H4395</f>
        <v>10_10,50_20,80_30</v>
      </c>
      <c r="I4483" s="7">
        <v>9</v>
      </c>
      <c r="J4483" s="7">
        <f t="shared" si="5563"/>
        <v>240</v>
      </c>
      <c r="K4483" s="7" t="s">
        <v>309</v>
      </c>
      <c r="L4483" s="7">
        <v>26</v>
      </c>
      <c r="M4483" s="7">
        <f>IF(INDEX([1]equip.xml!$B:$B,MATCH(D4483,[1]equip.xml!$A:$A,0))=0,0,N4483)</f>
        <v>0</v>
      </c>
      <c r="N4483" s="7">
        <f t="shared" si="5442"/>
        <v>200</v>
      </c>
    </row>
    <row r="4484" spans="1:14">
      <c r="A4484" s="7">
        <f t="shared" si="5521"/>
        <v>30009</v>
      </c>
      <c r="B4484" s="7">
        <f t="shared" ref="B4484:C4484" si="5564">B4396</f>
        <v>40000</v>
      </c>
      <c r="C4484" s="7" t="str">
        <f t="shared" si="5564"/>
        <v>装备</v>
      </c>
      <c r="D4484" s="7">
        <v>50202055</v>
      </c>
      <c r="E4484" s="7"/>
      <c r="F4484" s="7">
        <v>1</v>
      </c>
      <c r="G4484" s="8">
        <f>3*INDEX([1]equip.xml!$I:$I,MATCH(D4484,[1]equip.xml!$A:$A,0))</f>
        <v>120000</v>
      </c>
      <c r="H4484" s="7" t="str">
        <f t="shared" ref="H4484:J4484" si="5565">H4396</f>
        <v>10_10,50_20,80_30</v>
      </c>
      <c r="I4484" s="7">
        <v>9</v>
      </c>
      <c r="J4484" s="7">
        <f t="shared" si="5565"/>
        <v>240</v>
      </c>
      <c r="K4484" s="7" t="s">
        <v>309</v>
      </c>
      <c r="L4484" s="7">
        <v>26</v>
      </c>
      <c r="M4484" s="7">
        <f>IF(INDEX([1]equip.xml!$B:$B,MATCH(D4484,[1]equip.xml!$A:$A,0))=0,0,N4484)</f>
        <v>200</v>
      </c>
      <c r="N4484" s="7">
        <f t="shared" si="5442"/>
        <v>200</v>
      </c>
    </row>
    <row r="4485" spans="1:14">
      <c r="A4485" s="7">
        <f t="shared" si="5521"/>
        <v>30009</v>
      </c>
      <c r="B4485" s="7">
        <f t="shared" ref="B4485:C4485" si="5566">B4397</f>
        <v>40000</v>
      </c>
      <c r="C4485" s="7" t="str">
        <f t="shared" si="5566"/>
        <v>装备</v>
      </c>
      <c r="D4485" s="7">
        <v>50202056</v>
      </c>
      <c r="E4485" s="7"/>
      <c r="F4485" s="7">
        <v>1</v>
      </c>
      <c r="G4485" s="8">
        <f>3*INDEX([1]equip.xml!$I:$I,MATCH(D4485,[1]equip.xml!$A:$A,0))</f>
        <v>138000</v>
      </c>
      <c r="H4485" s="7" t="str">
        <f t="shared" ref="H4485:J4485" si="5567">H4397</f>
        <v>10_10,50_20,80_30</v>
      </c>
      <c r="I4485" s="7">
        <v>9</v>
      </c>
      <c r="J4485" s="7">
        <f t="shared" si="5567"/>
        <v>240</v>
      </c>
      <c r="K4485" s="7" t="s">
        <v>309</v>
      </c>
      <c r="L4485" s="7">
        <v>26</v>
      </c>
      <c r="M4485" s="7">
        <f>IF(INDEX([1]equip.xml!$B:$B,MATCH(D4485,[1]equip.xml!$A:$A,0))=0,0,N4485)</f>
        <v>0</v>
      </c>
      <c r="N4485" s="7">
        <f t="shared" si="5442"/>
        <v>200</v>
      </c>
    </row>
    <row r="4486" spans="1:14">
      <c r="A4486" s="7">
        <f t="shared" si="5521"/>
        <v>30009</v>
      </c>
      <c r="B4486" s="7">
        <f t="shared" ref="B4486:C4486" si="5568">B4398</f>
        <v>40000</v>
      </c>
      <c r="C4486" s="7" t="str">
        <f t="shared" si="5568"/>
        <v>装备</v>
      </c>
      <c r="D4486" s="7">
        <v>50202065</v>
      </c>
      <c r="E4486" s="7"/>
      <c r="F4486" s="7">
        <v>1</v>
      </c>
      <c r="G4486" s="8">
        <f>3*INDEX([1]equip.xml!$I:$I,MATCH(D4486,[1]equip.xml!$A:$A,0))</f>
        <v>120000</v>
      </c>
      <c r="H4486" s="7" t="str">
        <f t="shared" ref="H4486:J4486" si="5569">H4398</f>
        <v>10_10,50_20,80_30</v>
      </c>
      <c r="I4486" s="7">
        <v>9</v>
      </c>
      <c r="J4486" s="7">
        <f t="shared" si="5569"/>
        <v>240</v>
      </c>
      <c r="K4486" s="7" t="s">
        <v>309</v>
      </c>
      <c r="L4486" s="7">
        <v>26</v>
      </c>
      <c r="M4486" s="7">
        <f>IF(INDEX([1]equip.xml!$B:$B,MATCH(D4486,[1]equip.xml!$A:$A,0))=0,0,N4486)</f>
        <v>200</v>
      </c>
      <c r="N4486" s="7">
        <f t="shared" si="5442"/>
        <v>200</v>
      </c>
    </row>
    <row r="4487" spans="1:14">
      <c r="A4487" s="7">
        <f t="shared" si="5521"/>
        <v>30009</v>
      </c>
      <c r="B4487" s="7">
        <f t="shared" ref="B4487:C4487" si="5570">B4399</f>
        <v>40000</v>
      </c>
      <c r="C4487" s="7" t="str">
        <f t="shared" si="5570"/>
        <v>装备</v>
      </c>
      <c r="D4487" s="7">
        <v>50202066</v>
      </c>
      <c r="E4487" s="7"/>
      <c r="F4487" s="7">
        <v>1</v>
      </c>
      <c r="G4487" s="8">
        <f>3*INDEX([1]equip.xml!$I:$I,MATCH(D4487,[1]equip.xml!$A:$A,0))</f>
        <v>138000</v>
      </c>
      <c r="H4487" s="7" t="str">
        <f t="shared" ref="H4487:J4487" si="5571">H4399</f>
        <v>10_10,50_20,80_30</v>
      </c>
      <c r="I4487" s="7">
        <v>9</v>
      </c>
      <c r="J4487" s="7">
        <f t="shared" si="5571"/>
        <v>240</v>
      </c>
      <c r="K4487" s="7" t="s">
        <v>309</v>
      </c>
      <c r="L4487" s="7">
        <v>26</v>
      </c>
      <c r="M4487" s="7">
        <f>IF(INDEX([1]equip.xml!$B:$B,MATCH(D4487,[1]equip.xml!$A:$A,0))=0,0,N4487)</f>
        <v>0</v>
      </c>
      <c r="N4487" s="7">
        <f t="shared" ref="N4487:N4550" si="5572">N4399</f>
        <v>200</v>
      </c>
    </row>
    <row r="4488" spans="1:14">
      <c r="A4488" s="7">
        <f t="shared" si="5521"/>
        <v>30009</v>
      </c>
      <c r="B4488" s="7">
        <f t="shared" ref="B4488:C4488" si="5573">B4400</f>
        <v>40000</v>
      </c>
      <c r="C4488" s="7" t="str">
        <f t="shared" si="5573"/>
        <v>装备</v>
      </c>
      <c r="D4488" s="7">
        <v>50203055</v>
      </c>
      <c r="E4488" s="7"/>
      <c r="F4488" s="7">
        <v>1</v>
      </c>
      <c r="G4488" s="8">
        <f>3*INDEX([1]equip.xml!$I:$I,MATCH(D4488,[1]equip.xml!$A:$A,0))</f>
        <v>120000</v>
      </c>
      <c r="H4488" s="7" t="str">
        <f t="shared" ref="H4488:J4488" si="5574">H4400</f>
        <v>10_10,50_20,80_30</v>
      </c>
      <c r="I4488" s="7">
        <v>9</v>
      </c>
      <c r="J4488" s="7">
        <f t="shared" si="5574"/>
        <v>240</v>
      </c>
      <c r="K4488" s="7" t="s">
        <v>309</v>
      </c>
      <c r="L4488" s="7">
        <v>26</v>
      </c>
      <c r="M4488" s="7">
        <f>IF(INDEX([1]equip.xml!$B:$B,MATCH(D4488,[1]equip.xml!$A:$A,0))=0,0,N4488)</f>
        <v>200</v>
      </c>
      <c r="N4488" s="7">
        <f t="shared" si="5572"/>
        <v>200</v>
      </c>
    </row>
    <row r="4489" spans="1:14">
      <c r="A4489" s="7">
        <f t="shared" si="5521"/>
        <v>30009</v>
      </c>
      <c r="B4489" s="7">
        <f t="shared" ref="B4489:C4489" si="5575">B4401</f>
        <v>40000</v>
      </c>
      <c r="C4489" s="7" t="str">
        <f t="shared" si="5575"/>
        <v>装备</v>
      </c>
      <c r="D4489" s="7">
        <v>50203056</v>
      </c>
      <c r="E4489" s="7"/>
      <c r="F4489" s="7">
        <v>1</v>
      </c>
      <c r="G4489" s="8">
        <f>3*INDEX([1]equip.xml!$I:$I,MATCH(D4489,[1]equip.xml!$A:$A,0))</f>
        <v>138000</v>
      </c>
      <c r="H4489" s="7" t="str">
        <f t="shared" ref="H4489:J4489" si="5576">H4401</f>
        <v>10_10,50_20,80_30</v>
      </c>
      <c r="I4489" s="7">
        <v>9</v>
      </c>
      <c r="J4489" s="7">
        <f t="shared" si="5576"/>
        <v>240</v>
      </c>
      <c r="K4489" s="7" t="s">
        <v>309</v>
      </c>
      <c r="L4489" s="7">
        <v>26</v>
      </c>
      <c r="M4489" s="7">
        <f>IF(INDEX([1]equip.xml!$B:$B,MATCH(D4489,[1]equip.xml!$A:$A,0))=0,0,N4489)</f>
        <v>200</v>
      </c>
      <c r="N4489" s="7">
        <f t="shared" si="5572"/>
        <v>200</v>
      </c>
    </row>
    <row r="4490" spans="1:14">
      <c r="A4490" s="7">
        <f t="shared" si="5521"/>
        <v>30009</v>
      </c>
      <c r="B4490" s="7">
        <f t="shared" ref="B4490:C4490" si="5577">B4402</f>
        <v>40000</v>
      </c>
      <c r="C4490" s="7" t="str">
        <f t="shared" si="5577"/>
        <v>装备</v>
      </c>
      <c r="D4490" s="7">
        <v>50203065</v>
      </c>
      <c r="E4490" s="7"/>
      <c r="F4490" s="7">
        <v>1</v>
      </c>
      <c r="G4490" s="8">
        <f>3*INDEX([1]equip.xml!$I:$I,MATCH(D4490,[1]equip.xml!$A:$A,0))</f>
        <v>120000</v>
      </c>
      <c r="H4490" s="7" t="str">
        <f t="shared" ref="H4490:J4490" si="5578">H4402</f>
        <v>10_10,50_20,80_30</v>
      </c>
      <c r="I4490" s="7">
        <v>9</v>
      </c>
      <c r="J4490" s="7">
        <f t="shared" si="5578"/>
        <v>240</v>
      </c>
      <c r="K4490" s="7" t="s">
        <v>309</v>
      </c>
      <c r="L4490" s="7">
        <v>26</v>
      </c>
      <c r="M4490" s="7">
        <f>IF(INDEX([1]equip.xml!$B:$B,MATCH(D4490,[1]equip.xml!$A:$A,0))=0,0,N4490)</f>
        <v>200</v>
      </c>
      <c r="N4490" s="7">
        <f t="shared" si="5572"/>
        <v>200</v>
      </c>
    </row>
    <row r="4491" spans="1:14">
      <c r="A4491" s="7">
        <f t="shared" si="5521"/>
        <v>30009</v>
      </c>
      <c r="B4491" s="7">
        <f t="shared" ref="B4491:C4491" si="5579">B4403</f>
        <v>40000</v>
      </c>
      <c r="C4491" s="7" t="str">
        <f t="shared" si="5579"/>
        <v>装备</v>
      </c>
      <c r="D4491" s="7">
        <v>50203066</v>
      </c>
      <c r="E4491" s="7"/>
      <c r="F4491" s="7">
        <v>1</v>
      </c>
      <c r="G4491" s="8">
        <f>3*INDEX([1]equip.xml!$I:$I,MATCH(D4491,[1]equip.xml!$A:$A,0))</f>
        <v>138000</v>
      </c>
      <c r="H4491" s="7" t="str">
        <f t="shared" ref="H4491:J4491" si="5580">H4403</f>
        <v>10_10,50_20,80_30</v>
      </c>
      <c r="I4491" s="7">
        <v>9</v>
      </c>
      <c r="J4491" s="7">
        <f t="shared" si="5580"/>
        <v>240</v>
      </c>
      <c r="K4491" s="7" t="s">
        <v>309</v>
      </c>
      <c r="L4491" s="7">
        <v>26</v>
      </c>
      <c r="M4491" s="7">
        <f>IF(INDEX([1]equip.xml!$B:$B,MATCH(D4491,[1]equip.xml!$A:$A,0))=0,0,N4491)</f>
        <v>0</v>
      </c>
      <c r="N4491" s="7">
        <f t="shared" si="5572"/>
        <v>200</v>
      </c>
    </row>
    <row r="4492" spans="1:14">
      <c r="A4492" s="7">
        <f t="shared" si="5521"/>
        <v>30009</v>
      </c>
      <c r="B4492" s="7">
        <f t="shared" ref="B4492:C4492" si="5581">B4404</f>
        <v>40000</v>
      </c>
      <c r="C4492" s="7" t="str">
        <f t="shared" si="5581"/>
        <v>装备</v>
      </c>
      <c r="D4492" s="7">
        <v>50200045</v>
      </c>
      <c r="E4492" s="7"/>
      <c r="F4492" s="7">
        <v>1</v>
      </c>
      <c r="G4492" s="8">
        <f>3*INDEX([1]equip.xml!$I:$I,MATCH(D4492,[1]equip.xml!$A:$A,0))</f>
        <v>120000</v>
      </c>
      <c r="H4492" s="7" t="str">
        <f t="shared" ref="H4492:J4492" si="5582">H4404</f>
        <v>10_10,50_20,80_30</v>
      </c>
      <c r="I4492" s="7">
        <v>9</v>
      </c>
      <c r="J4492" s="7">
        <f t="shared" si="5582"/>
        <v>240</v>
      </c>
      <c r="K4492" s="7" t="s">
        <v>309</v>
      </c>
      <c r="L4492" s="7">
        <v>26</v>
      </c>
      <c r="M4492" s="7">
        <f>IF(INDEX([1]equip.xml!$B:$B,MATCH(D4492,[1]equip.xml!$A:$A,0))=0,0,N4492)</f>
        <v>200</v>
      </c>
      <c r="N4492" s="7">
        <f t="shared" si="5572"/>
        <v>200</v>
      </c>
    </row>
    <row r="4493" spans="1:14">
      <c r="A4493" s="7">
        <f t="shared" si="5521"/>
        <v>30009</v>
      </c>
      <c r="B4493" s="7">
        <f t="shared" ref="B4493:C4493" si="5583">B4405</f>
        <v>40000</v>
      </c>
      <c r="C4493" s="7" t="str">
        <f t="shared" si="5583"/>
        <v>装备</v>
      </c>
      <c r="D4493" s="7">
        <v>50200046</v>
      </c>
      <c r="E4493" s="7"/>
      <c r="F4493" s="7">
        <v>1</v>
      </c>
      <c r="G4493" s="8">
        <f>3*INDEX([1]equip.xml!$I:$I,MATCH(D4493,[1]equip.xml!$A:$A,0))</f>
        <v>138000</v>
      </c>
      <c r="H4493" s="7" t="str">
        <f t="shared" ref="H4493:J4493" si="5584">H4405</f>
        <v>10_10,50_20,80_30</v>
      </c>
      <c r="I4493" s="7">
        <v>9</v>
      </c>
      <c r="J4493" s="7">
        <f t="shared" si="5584"/>
        <v>240</v>
      </c>
      <c r="K4493" s="7" t="s">
        <v>309</v>
      </c>
      <c r="L4493" s="7">
        <v>26</v>
      </c>
      <c r="M4493" s="7">
        <f>IF(INDEX([1]equip.xml!$B:$B,MATCH(D4493,[1]equip.xml!$A:$A,0))=0,0,N4493)</f>
        <v>200</v>
      </c>
      <c r="N4493" s="7">
        <f t="shared" si="5572"/>
        <v>200</v>
      </c>
    </row>
    <row r="4494" spans="1:14">
      <c r="A4494" s="7">
        <f t="shared" si="5521"/>
        <v>30009</v>
      </c>
      <c r="B4494" s="7">
        <f t="shared" ref="B4494:C4494" si="5585">B4406</f>
        <v>40000</v>
      </c>
      <c r="C4494" s="7" t="str">
        <f t="shared" si="5585"/>
        <v>装备</v>
      </c>
      <c r="D4494" s="7">
        <v>50200075</v>
      </c>
      <c r="E4494" s="7"/>
      <c r="F4494" s="7">
        <v>1</v>
      </c>
      <c r="G4494" s="8">
        <f>3*INDEX([1]equip.xml!$I:$I,MATCH(D4494,[1]equip.xml!$A:$A,0))</f>
        <v>120000</v>
      </c>
      <c r="H4494" s="7" t="str">
        <f t="shared" ref="H4494:J4494" si="5586">H4406</f>
        <v>10_10,50_20,80_30</v>
      </c>
      <c r="I4494" s="7">
        <v>9</v>
      </c>
      <c r="J4494" s="7">
        <f t="shared" si="5586"/>
        <v>240</v>
      </c>
      <c r="K4494" s="7" t="s">
        <v>309</v>
      </c>
      <c r="L4494" s="7">
        <v>26</v>
      </c>
      <c r="M4494" s="7">
        <f>IF(INDEX([1]equip.xml!$B:$B,MATCH(D4494,[1]equip.xml!$A:$A,0))=0,0,N4494)</f>
        <v>200</v>
      </c>
      <c r="N4494" s="7">
        <f t="shared" si="5572"/>
        <v>200</v>
      </c>
    </row>
    <row r="4495" spans="1:14">
      <c r="A4495" s="7">
        <f t="shared" si="5521"/>
        <v>30009</v>
      </c>
      <c r="B4495" s="7">
        <f t="shared" ref="B4495:C4495" si="5587">B4407</f>
        <v>40000</v>
      </c>
      <c r="C4495" s="7" t="str">
        <f t="shared" si="5587"/>
        <v>装备</v>
      </c>
      <c r="D4495" s="7">
        <v>50200076</v>
      </c>
      <c r="E4495" s="7"/>
      <c r="F4495" s="7">
        <v>1</v>
      </c>
      <c r="G4495" s="8">
        <f>3*INDEX([1]equip.xml!$I:$I,MATCH(D4495,[1]equip.xml!$A:$A,0))</f>
        <v>138000</v>
      </c>
      <c r="H4495" s="7" t="str">
        <f t="shared" ref="H4495:J4495" si="5588">H4407</f>
        <v>10_10,50_20,80_30</v>
      </c>
      <c r="I4495" s="7">
        <v>9</v>
      </c>
      <c r="J4495" s="7">
        <f t="shared" si="5588"/>
        <v>240</v>
      </c>
      <c r="K4495" s="7" t="s">
        <v>309</v>
      </c>
      <c r="L4495" s="7">
        <v>26</v>
      </c>
      <c r="M4495" s="7">
        <f>IF(INDEX([1]equip.xml!$B:$B,MATCH(D4495,[1]equip.xml!$A:$A,0))=0,0,N4495)</f>
        <v>200</v>
      </c>
      <c r="N4495" s="7">
        <f t="shared" si="5572"/>
        <v>200</v>
      </c>
    </row>
    <row r="4496" spans="1:14">
      <c r="A4496" s="7">
        <f t="shared" si="5521"/>
        <v>30009</v>
      </c>
      <c r="B4496" s="7">
        <f t="shared" ref="B4496:C4496" si="5589">B4408</f>
        <v>40000</v>
      </c>
      <c r="C4496" s="7" t="str">
        <f t="shared" si="5589"/>
        <v>装备</v>
      </c>
      <c r="D4496" s="7">
        <v>50250015</v>
      </c>
      <c r="E4496" s="7"/>
      <c r="F4496" s="7">
        <v>1</v>
      </c>
      <c r="G4496" s="8">
        <f>3*INDEX([1]equip.xml!$I:$I,MATCH(D4496,[1]equip.xml!$A:$A,0))</f>
        <v>150000</v>
      </c>
      <c r="H4496" s="7" t="str">
        <f t="shared" ref="H4496:J4496" si="5590">H4408</f>
        <v>10_10,50_20,80_30</v>
      </c>
      <c r="I4496" s="7">
        <v>9</v>
      </c>
      <c r="J4496" s="7">
        <f t="shared" si="5590"/>
        <v>240</v>
      </c>
      <c r="K4496" s="7" t="s">
        <v>309</v>
      </c>
      <c r="L4496" s="7">
        <v>26</v>
      </c>
      <c r="M4496" s="7">
        <f>IF(INDEX([1]equip.xml!$B:$B,MATCH(D4496,[1]equip.xml!$A:$A,0))=0,0,N4496)</f>
        <v>140</v>
      </c>
      <c r="N4496" s="7">
        <f t="shared" si="5572"/>
        <v>140</v>
      </c>
    </row>
    <row r="4497" spans="1:14">
      <c r="A4497" s="7">
        <f t="shared" si="5521"/>
        <v>30009</v>
      </c>
      <c r="B4497" s="7">
        <f t="shared" ref="B4497:C4497" si="5591">B4409</f>
        <v>40000</v>
      </c>
      <c r="C4497" s="7" t="str">
        <f t="shared" si="5591"/>
        <v>装备</v>
      </c>
      <c r="D4497" s="7">
        <v>50250025</v>
      </c>
      <c r="E4497" s="7"/>
      <c r="F4497" s="7">
        <v>1</v>
      </c>
      <c r="G4497" s="8">
        <f>3*INDEX([1]equip.xml!$I:$I,MATCH(D4497,[1]equip.xml!$A:$A,0))</f>
        <v>150000</v>
      </c>
      <c r="H4497" s="7" t="str">
        <f t="shared" ref="H4497:J4497" si="5592">H4409</f>
        <v>10_10,50_20,80_30</v>
      </c>
      <c r="I4497" s="7">
        <v>9</v>
      </c>
      <c r="J4497" s="7">
        <f t="shared" si="5592"/>
        <v>240</v>
      </c>
      <c r="K4497" s="7" t="s">
        <v>309</v>
      </c>
      <c r="L4497" s="7">
        <v>26</v>
      </c>
      <c r="M4497" s="7">
        <f>IF(INDEX([1]equip.xml!$B:$B,MATCH(D4497,[1]equip.xml!$A:$A,0))=0,0,N4497)</f>
        <v>140</v>
      </c>
      <c r="N4497" s="7">
        <f t="shared" si="5572"/>
        <v>140</v>
      </c>
    </row>
    <row r="4498" spans="1:14">
      <c r="A4498" s="7">
        <f t="shared" si="5521"/>
        <v>30009</v>
      </c>
      <c r="B4498" s="7">
        <f t="shared" ref="B4498:C4498" si="5593">B4410</f>
        <v>40000</v>
      </c>
      <c r="C4498" s="7" t="str">
        <f t="shared" si="5593"/>
        <v>装备</v>
      </c>
      <c r="D4498" s="7">
        <v>50250035</v>
      </c>
      <c r="E4498" s="7"/>
      <c r="F4498" s="7">
        <v>1</v>
      </c>
      <c r="G4498" s="8">
        <f>3*INDEX([1]equip.xml!$I:$I,MATCH(D4498,[1]equip.xml!$A:$A,0))</f>
        <v>150000</v>
      </c>
      <c r="H4498" s="7" t="str">
        <f t="shared" ref="H4498:J4498" si="5594">H4410</f>
        <v>10_10,50_20,80_30</v>
      </c>
      <c r="I4498" s="7">
        <v>9</v>
      </c>
      <c r="J4498" s="7">
        <f t="shared" si="5594"/>
        <v>240</v>
      </c>
      <c r="K4498" s="7" t="s">
        <v>309</v>
      </c>
      <c r="L4498" s="7">
        <v>26</v>
      </c>
      <c r="M4498" s="7">
        <f>IF(INDEX([1]equip.xml!$B:$B,MATCH(D4498,[1]equip.xml!$A:$A,0))=0,0,N4498)</f>
        <v>140</v>
      </c>
      <c r="N4498" s="7">
        <f t="shared" si="5572"/>
        <v>140</v>
      </c>
    </row>
    <row r="4499" spans="1:14">
      <c r="A4499" s="7">
        <f t="shared" si="5521"/>
        <v>30009</v>
      </c>
      <c r="B4499" s="7">
        <f t="shared" ref="B4499:C4499" si="5595">B4411</f>
        <v>40000</v>
      </c>
      <c r="C4499" s="7" t="str">
        <f t="shared" si="5595"/>
        <v>装备</v>
      </c>
      <c r="D4499" s="7">
        <v>50250085</v>
      </c>
      <c r="E4499" s="7"/>
      <c r="F4499" s="7">
        <v>1</v>
      </c>
      <c r="G4499" s="8">
        <f>3*INDEX([1]equip.xml!$I:$I,MATCH(D4499,[1]equip.xml!$A:$A,0))</f>
        <v>150000</v>
      </c>
      <c r="H4499" s="7" t="str">
        <f t="shared" ref="H4499:J4499" si="5596">H4411</f>
        <v>10_10,50_20,80_30</v>
      </c>
      <c r="I4499" s="7">
        <v>9</v>
      </c>
      <c r="J4499" s="7">
        <f t="shared" si="5596"/>
        <v>240</v>
      </c>
      <c r="K4499" s="7" t="s">
        <v>309</v>
      </c>
      <c r="L4499" s="7">
        <v>26</v>
      </c>
      <c r="M4499" s="7">
        <f>IF(INDEX([1]equip.xml!$B:$B,MATCH(D4499,[1]equip.xml!$A:$A,0))=0,0,N4499)</f>
        <v>140</v>
      </c>
      <c r="N4499" s="7">
        <f t="shared" si="5572"/>
        <v>140</v>
      </c>
    </row>
    <row r="4500" spans="1:14">
      <c r="A4500" s="7">
        <f t="shared" si="5521"/>
        <v>30009</v>
      </c>
      <c r="B4500" s="7">
        <f t="shared" ref="B4500:C4500" si="5597">B4412</f>
        <v>40000</v>
      </c>
      <c r="C4500" s="7" t="str">
        <f t="shared" si="5597"/>
        <v>装备</v>
      </c>
      <c r="D4500" s="7">
        <v>50250095</v>
      </c>
      <c r="E4500" s="7"/>
      <c r="F4500" s="7">
        <v>1</v>
      </c>
      <c r="G4500" s="8">
        <f>3*INDEX([1]equip.xml!$I:$I,MATCH(D4500,[1]equip.xml!$A:$A,0))</f>
        <v>150000</v>
      </c>
      <c r="H4500" s="7" t="str">
        <f t="shared" ref="H4500:J4500" si="5598">H4412</f>
        <v>10_10,50_20,80_30</v>
      </c>
      <c r="I4500" s="7">
        <v>9</v>
      </c>
      <c r="J4500" s="7">
        <f t="shared" si="5598"/>
        <v>240</v>
      </c>
      <c r="K4500" s="7" t="s">
        <v>309</v>
      </c>
      <c r="L4500" s="7">
        <v>26</v>
      </c>
      <c r="M4500" s="7">
        <f>IF(INDEX([1]equip.xml!$B:$B,MATCH(D4500,[1]equip.xml!$A:$A,0))=0,0,N4500)</f>
        <v>140</v>
      </c>
      <c r="N4500" s="7">
        <f t="shared" si="5572"/>
        <v>140</v>
      </c>
    </row>
    <row r="4501" spans="1:14">
      <c r="A4501" s="7">
        <f t="shared" si="5521"/>
        <v>30009</v>
      </c>
      <c r="B4501" s="7">
        <f t="shared" ref="B4501:C4501" si="5599">B4413</f>
        <v>40000</v>
      </c>
      <c r="C4501" s="7" t="str">
        <f t="shared" si="5599"/>
        <v>装备</v>
      </c>
      <c r="D4501" s="7">
        <v>50250105</v>
      </c>
      <c r="E4501" s="7"/>
      <c r="F4501" s="7">
        <v>1</v>
      </c>
      <c r="G4501" s="8">
        <f>3*INDEX([1]equip.xml!$I:$I,MATCH(D4501,[1]equip.xml!$A:$A,0))</f>
        <v>150000</v>
      </c>
      <c r="H4501" s="7" t="str">
        <f t="shared" ref="H4501:J4501" si="5600">H4413</f>
        <v>10_10,50_20,80_30</v>
      </c>
      <c r="I4501" s="7">
        <v>9</v>
      </c>
      <c r="J4501" s="7">
        <f t="shared" si="5600"/>
        <v>240</v>
      </c>
      <c r="K4501" s="7" t="s">
        <v>309</v>
      </c>
      <c r="L4501" s="7">
        <v>26</v>
      </c>
      <c r="M4501" s="7">
        <f>IF(INDEX([1]equip.xml!$B:$B,MATCH(D4501,[1]equip.xml!$A:$A,0))=0,0,N4501)</f>
        <v>140</v>
      </c>
      <c r="N4501" s="7">
        <f t="shared" si="5572"/>
        <v>140</v>
      </c>
    </row>
    <row r="4502" spans="1:14">
      <c r="A4502" s="7">
        <f t="shared" si="5521"/>
        <v>30009</v>
      </c>
      <c r="B4502" s="7">
        <f t="shared" ref="B4502:C4502" si="5601">B4414</f>
        <v>40000</v>
      </c>
      <c r="C4502" s="7" t="str">
        <f t="shared" si="5601"/>
        <v>装备</v>
      </c>
      <c r="D4502" s="7">
        <v>50251055</v>
      </c>
      <c r="E4502" s="7"/>
      <c r="F4502" s="7">
        <v>1</v>
      </c>
      <c r="G4502" s="8">
        <f>3*INDEX([1]equip.xml!$I:$I,MATCH(D4502,[1]equip.xml!$A:$A,0))</f>
        <v>150000</v>
      </c>
      <c r="H4502" s="7" t="str">
        <f t="shared" ref="H4502:J4502" si="5602">H4414</f>
        <v>10_10,50_20,80_30</v>
      </c>
      <c r="I4502" s="7">
        <v>9</v>
      </c>
      <c r="J4502" s="7">
        <f t="shared" si="5602"/>
        <v>240</v>
      </c>
      <c r="K4502" s="7" t="s">
        <v>309</v>
      </c>
      <c r="L4502" s="7">
        <v>26</v>
      </c>
      <c r="M4502" s="7">
        <f>IF(INDEX([1]equip.xml!$B:$B,MATCH(D4502,[1]equip.xml!$A:$A,0))=0,0,N4502)</f>
        <v>140</v>
      </c>
      <c r="N4502" s="7">
        <f t="shared" si="5572"/>
        <v>140</v>
      </c>
    </row>
    <row r="4503" spans="1:14">
      <c r="A4503" s="7">
        <f t="shared" si="5521"/>
        <v>30009</v>
      </c>
      <c r="B4503" s="7">
        <f t="shared" ref="B4503:C4503" si="5603">B4415</f>
        <v>40000</v>
      </c>
      <c r="C4503" s="7" t="str">
        <f t="shared" si="5603"/>
        <v>装备</v>
      </c>
      <c r="D4503" s="7">
        <v>50251056</v>
      </c>
      <c r="E4503" s="7"/>
      <c r="F4503" s="7">
        <v>1</v>
      </c>
      <c r="G4503" s="8">
        <f>3*INDEX([1]equip.xml!$I:$I,MATCH(D4503,[1]equip.xml!$A:$A,0))</f>
        <v>168000</v>
      </c>
      <c r="H4503" s="7" t="str">
        <f t="shared" ref="H4503:J4503" si="5604">H4415</f>
        <v>10_10,50_20,80_30</v>
      </c>
      <c r="I4503" s="7">
        <v>9</v>
      </c>
      <c r="J4503" s="7">
        <f t="shared" si="5604"/>
        <v>240</v>
      </c>
      <c r="K4503" s="7" t="s">
        <v>309</v>
      </c>
      <c r="L4503" s="7">
        <v>26</v>
      </c>
      <c r="M4503" s="7">
        <f>IF(INDEX([1]equip.xml!$B:$B,MATCH(D4503,[1]equip.xml!$A:$A,0))=0,0,N4503)</f>
        <v>140</v>
      </c>
      <c r="N4503" s="7">
        <f t="shared" si="5572"/>
        <v>140</v>
      </c>
    </row>
    <row r="4504" spans="1:14">
      <c r="A4504" s="7">
        <f t="shared" si="5521"/>
        <v>30009</v>
      </c>
      <c r="B4504" s="7">
        <f t="shared" ref="B4504:C4504" si="5605">B4416</f>
        <v>40000</v>
      </c>
      <c r="C4504" s="7" t="str">
        <f t="shared" si="5605"/>
        <v>装备</v>
      </c>
      <c r="D4504" s="7">
        <v>50251065</v>
      </c>
      <c r="E4504" s="7"/>
      <c r="F4504" s="7">
        <v>1</v>
      </c>
      <c r="G4504" s="8">
        <f>3*INDEX([1]equip.xml!$I:$I,MATCH(D4504,[1]equip.xml!$A:$A,0))</f>
        <v>150000</v>
      </c>
      <c r="H4504" s="7" t="str">
        <f t="shared" ref="H4504:J4504" si="5606">H4416</f>
        <v>10_10,50_20,80_30</v>
      </c>
      <c r="I4504" s="7">
        <v>9</v>
      </c>
      <c r="J4504" s="7">
        <f t="shared" si="5606"/>
        <v>240</v>
      </c>
      <c r="K4504" s="7" t="s">
        <v>309</v>
      </c>
      <c r="L4504" s="7">
        <v>26</v>
      </c>
      <c r="M4504" s="7">
        <f>IF(INDEX([1]equip.xml!$B:$B,MATCH(D4504,[1]equip.xml!$A:$A,0))=0,0,N4504)</f>
        <v>140</v>
      </c>
      <c r="N4504" s="7">
        <f t="shared" si="5572"/>
        <v>140</v>
      </c>
    </row>
    <row r="4505" spans="1:14">
      <c r="A4505" s="7">
        <f t="shared" si="5521"/>
        <v>30009</v>
      </c>
      <c r="B4505" s="7">
        <f t="shared" ref="B4505:C4505" si="5607">B4417</f>
        <v>40000</v>
      </c>
      <c r="C4505" s="7" t="str">
        <f t="shared" si="5607"/>
        <v>装备</v>
      </c>
      <c r="D4505" s="7">
        <v>50251066</v>
      </c>
      <c r="E4505" s="7"/>
      <c r="F4505" s="7">
        <v>1</v>
      </c>
      <c r="G4505" s="8">
        <f>3*INDEX([1]equip.xml!$I:$I,MATCH(D4505,[1]equip.xml!$A:$A,0))</f>
        <v>168000</v>
      </c>
      <c r="H4505" s="7" t="str">
        <f t="shared" ref="H4505:J4505" si="5608">H4417</f>
        <v>10_10,50_20,80_30</v>
      </c>
      <c r="I4505" s="7">
        <v>9</v>
      </c>
      <c r="J4505" s="7">
        <f t="shared" si="5608"/>
        <v>240</v>
      </c>
      <c r="K4505" s="7" t="s">
        <v>309</v>
      </c>
      <c r="L4505" s="7">
        <v>26</v>
      </c>
      <c r="M4505" s="7">
        <f>IF(INDEX([1]equip.xml!$B:$B,MATCH(D4505,[1]equip.xml!$A:$A,0))=0,0,N4505)</f>
        <v>0</v>
      </c>
      <c r="N4505" s="7">
        <f t="shared" si="5572"/>
        <v>140</v>
      </c>
    </row>
    <row r="4506" spans="1:14">
      <c r="A4506" s="7">
        <f t="shared" si="5521"/>
        <v>30009</v>
      </c>
      <c r="B4506" s="7">
        <f t="shared" ref="B4506:C4506" si="5609">B4418</f>
        <v>40000</v>
      </c>
      <c r="C4506" s="7" t="str">
        <f t="shared" si="5609"/>
        <v>装备</v>
      </c>
      <c r="D4506" s="7">
        <v>50252055</v>
      </c>
      <c r="E4506" s="7"/>
      <c r="F4506" s="7">
        <v>1</v>
      </c>
      <c r="G4506" s="8">
        <f>3*INDEX([1]equip.xml!$I:$I,MATCH(D4506,[1]equip.xml!$A:$A,0))</f>
        <v>150000</v>
      </c>
      <c r="H4506" s="7" t="str">
        <f t="shared" ref="H4506:J4506" si="5610">H4418</f>
        <v>10_10,50_20,80_30</v>
      </c>
      <c r="I4506" s="7">
        <v>9</v>
      </c>
      <c r="J4506" s="7">
        <f t="shared" si="5610"/>
        <v>240</v>
      </c>
      <c r="K4506" s="7" t="s">
        <v>309</v>
      </c>
      <c r="L4506" s="7">
        <v>26</v>
      </c>
      <c r="M4506" s="7">
        <f>IF(INDEX([1]equip.xml!$B:$B,MATCH(D4506,[1]equip.xml!$A:$A,0))=0,0,N4506)</f>
        <v>140</v>
      </c>
      <c r="N4506" s="7">
        <f t="shared" si="5572"/>
        <v>140</v>
      </c>
    </row>
    <row r="4507" spans="1:14">
      <c r="A4507" s="7">
        <f t="shared" si="5521"/>
        <v>30009</v>
      </c>
      <c r="B4507" s="7">
        <f t="shared" ref="B4507:C4507" si="5611">B4419</f>
        <v>40000</v>
      </c>
      <c r="C4507" s="7" t="str">
        <f t="shared" si="5611"/>
        <v>装备</v>
      </c>
      <c r="D4507" s="7">
        <v>50252056</v>
      </c>
      <c r="E4507" s="7"/>
      <c r="F4507" s="7">
        <v>1</v>
      </c>
      <c r="G4507" s="8">
        <f>3*INDEX([1]equip.xml!$I:$I,MATCH(D4507,[1]equip.xml!$A:$A,0))</f>
        <v>168000</v>
      </c>
      <c r="H4507" s="7" t="str">
        <f t="shared" ref="H4507:J4507" si="5612">H4419</f>
        <v>10_10,50_20,80_30</v>
      </c>
      <c r="I4507" s="7">
        <v>9</v>
      </c>
      <c r="J4507" s="7">
        <f t="shared" si="5612"/>
        <v>240</v>
      </c>
      <c r="K4507" s="7" t="s">
        <v>309</v>
      </c>
      <c r="L4507" s="7">
        <v>26</v>
      </c>
      <c r="M4507" s="7">
        <f>IF(INDEX([1]equip.xml!$B:$B,MATCH(D4507,[1]equip.xml!$A:$A,0))=0,0,N4507)</f>
        <v>140</v>
      </c>
      <c r="N4507" s="7">
        <f t="shared" si="5572"/>
        <v>140</v>
      </c>
    </row>
    <row r="4508" spans="1:14">
      <c r="A4508" s="7">
        <f t="shared" si="5521"/>
        <v>30009</v>
      </c>
      <c r="B4508" s="7">
        <f t="shared" ref="B4508:C4508" si="5613">B4420</f>
        <v>40000</v>
      </c>
      <c r="C4508" s="7" t="str">
        <f t="shared" si="5613"/>
        <v>装备</v>
      </c>
      <c r="D4508" s="7">
        <v>50252065</v>
      </c>
      <c r="E4508" s="7"/>
      <c r="F4508" s="7">
        <v>1</v>
      </c>
      <c r="G4508" s="8">
        <f>3*INDEX([1]equip.xml!$I:$I,MATCH(D4508,[1]equip.xml!$A:$A,0))</f>
        <v>150000</v>
      </c>
      <c r="H4508" s="7" t="str">
        <f t="shared" ref="H4508:J4508" si="5614">H4420</f>
        <v>10_10,50_20,80_30</v>
      </c>
      <c r="I4508" s="7">
        <v>9</v>
      </c>
      <c r="J4508" s="7">
        <f t="shared" si="5614"/>
        <v>240</v>
      </c>
      <c r="K4508" s="7" t="s">
        <v>309</v>
      </c>
      <c r="L4508" s="7">
        <v>26</v>
      </c>
      <c r="M4508" s="7">
        <f>IF(INDEX([1]equip.xml!$B:$B,MATCH(D4508,[1]equip.xml!$A:$A,0))=0,0,N4508)</f>
        <v>140</v>
      </c>
      <c r="N4508" s="7">
        <f t="shared" si="5572"/>
        <v>140</v>
      </c>
    </row>
    <row r="4509" spans="1:14">
      <c r="A4509" s="7">
        <f t="shared" si="5521"/>
        <v>30009</v>
      </c>
      <c r="B4509" s="7">
        <f t="shared" ref="B4509:C4509" si="5615">B4421</f>
        <v>40000</v>
      </c>
      <c r="C4509" s="7" t="str">
        <f t="shared" si="5615"/>
        <v>装备</v>
      </c>
      <c r="D4509" s="7">
        <v>50252066</v>
      </c>
      <c r="E4509" s="7"/>
      <c r="F4509" s="7">
        <v>1</v>
      </c>
      <c r="G4509" s="8">
        <f>3*INDEX([1]equip.xml!$I:$I,MATCH(D4509,[1]equip.xml!$A:$A,0))</f>
        <v>168000</v>
      </c>
      <c r="H4509" s="7" t="str">
        <f t="shared" ref="H4509:J4509" si="5616">H4421</f>
        <v>10_10,50_20,80_30</v>
      </c>
      <c r="I4509" s="7">
        <v>9</v>
      </c>
      <c r="J4509" s="7">
        <f t="shared" si="5616"/>
        <v>240</v>
      </c>
      <c r="K4509" s="7" t="s">
        <v>309</v>
      </c>
      <c r="L4509" s="7">
        <v>26</v>
      </c>
      <c r="M4509" s="7">
        <f>IF(INDEX([1]equip.xml!$B:$B,MATCH(D4509,[1]equip.xml!$A:$A,0))=0,0,N4509)</f>
        <v>0</v>
      </c>
      <c r="N4509" s="7">
        <f t="shared" si="5572"/>
        <v>140</v>
      </c>
    </row>
    <row r="4510" spans="1:14">
      <c r="A4510" s="7">
        <f t="shared" si="5521"/>
        <v>30009</v>
      </c>
      <c r="B4510" s="7">
        <f t="shared" ref="B4510:C4510" si="5617">B4422</f>
        <v>40000</v>
      </c>
      <c r="C4510" s="7" t="str">
        <f t="shared" si="5617"/>
        <v>装备</v>
      </c>
      <c r="D4510" s="7">
        <v>50253055</v>
      </c>
      <c r="E4510" s="7"/>
      <c r="F4510" s="7">
        <v>1</v>
      </c>
      <c r="G4510" s="8">
        <f>3*INDEX([1]equip.xml!$I:$I,MATCH(D4510,[1]equip.xml!$A:$A,0))</f>
        <v>150000</v>
      </c>
      <c r="H4510" s="7" t="str">
        <f t="shared" ref="H4510:J4510" si="5618">H4422</f>
        <v>10_10,50_20,80_30</v>
      </c>
      <c r="I4510" s="7">
        <v>9</v>
      </c>
      <c r="J4510" s="7">
        <f t="shared" si="5618"/>
        <v>240</v>
      </c>
      <c r="K4510" s="7" t="s">
        <v>309</v>
      </c>
      <c r="L4510" s="7">
        <v>26</v>
      </c>
      <c r="M4510" s="7">
        <f>IF(INDEX([1]equip.xml!$B:$B,MATCH(D4510,[1]equip.xml!$A:$A,0))=0,0,N4510)</f>
        <v>140</v>
      </c>
      <c r="N4510" s="7">
        <f t="shared" si="5572"/>
        <v>140</v>
      </c>
    </row>
    <row r="4511" spans="1:14">
      <c r="A4511" s="7">
        <f t="shared" si="5521"/>
        <v>30009</v>
      </c>
      <c r="B4511" s="7">
        <f t="shared" ref="B4511:C4511" si="5619">B4423</f>
        <v>40000</v>
      </c>
      <c r="C4511" s="7" t="str">
        <f t="shared" si="5619"/>
        <v>装备</v>
      </c>
      <c r="D4511" s="7">
        <v>50253056</v>
      </c>
      <c r="E4511" s="7"/>
      <c r="F4511" s="7">
        <v>1</v>
      </c>
      <c r="G4511" s="8">
        <f>3*INDEX([1]equip.xml!$I:$I,MATCH(D4511,[1]equip.xml!$A:$A,0))</f>
        <v>168000</v>
      </c>
      <c r="H4511" s="7" t="str">
        <f t="shared" ref="H4511:J4511" si="5620">H4423</f>
        <v>10_10,50_20,80_30</v>
      </c>
      <c r="I4511" s="7">
        <v>9</v>
      </c>
      <c r="J4511" s="7">
        <f t="shared" si="5620"/>
        <v>240</v>
      </c>
      <c r="K4511" s="7" t="s">
        <v>309</v>
      </c>
      <c r="L4511" s="7">
        <v>26</v>
      </c>
      <c r="M4511" s="7">
        <f>IF(INDEX([1]equip.xml!$B:$B,MATCH(D4511,[1]equip.xml!$A:$A,0))=0,0,N4511)</f>
        <v>0</v>
      </c>
      <c r="N4511" s="7">
        <f t="shared" si="5572"/>
        <v>140</v>
      </c>
    </row>
    <row r="4512" spans="1:14">
      <c r="A4512" s="7">
        <f t="shared" si="5521"/>
        <v>30009</v>
      </c>
      <c r="B4512" s="7">
        <f t="shared" ref="B4512:C4512" si="5621">B4424</f>
        <v>40000</v>
      </c>
      <c r="C4512" s="7" t="str">
        <f t="shared" si="5621"/>
        <v>装备</v>
      </c>
      <c r="D4512" s="7">
        <v>50253065</v>
      </c>
      <c r="E4512" s="7"/>
      <c r="F4512" s="7">
        <v>1</v>
      </c>
      <c r="G4512" s="8">
        <f>3*INDEX([1]equip.xml!$I:$I,MATCH(D4512,[1]equip.xml!$A:$A,0))</f>
        <v>150000</v>
      </c>
      <c r="H4512" s="7" t="str">
        <f t="shared" ref="H4512:J4512" si="5622">H4424</f>
        <v>10_10,50_20,80_30</v>
      </c>
      <c r="I4512" s="7">
        <v>9</v>
      </c>
      <c r="J4512" s="7">
        <f t="shared" si="5622"/>
        <v>240</v>
      </c>
      <c r="K4512" s="7" t="s">
        <v>309</v>
      </c>
      <c r="L4512" s="7">
        <v>26</v>
      </c>
      <c r="M4512" s="7">
        <f>IF(INDEX([1]equip.xml!$B:$B,MATCH(D4512,[1]equip.xml!$A:$A,0))=0,0,N4512)</f>
        <v>140</v>
      </c>
      <c r="N4512" s="7">
        <f t="shared" si="5572"/>
        <v>140</v>
      </c>
    </row>
    <row r="4513" spans="1:14">
      <c r="A4513" s="7">
        <f t="shared" si="5521"/>
        <v>30009</v>
      </c>
      <c r="B4513" s="7">
        <f t="shared" ref="B4513:C4513" si="5623">B4425</f>
        <v>40000</v>
      </c>
      <c r="C4513" s="7" t="str">
        <f t="shared" si="5623"/>
        <v>装备</v>
      </c>
      <c r="D4513" s="7">
        <v>50253066</v>
      </c>
      <c r="E4513" s="7"/>
      <c r="F4513" s="7">
        <v>1</v>
      </c>
      <c r="G4513" s="8">
        <f>3*INDEX([1]equip.xml!$I:$I,MATCH(D4513,[1]equip.xml!$A:$A,0))</f>
        <v>168000</v>
      </c>
      <c r="H4513" s="7" t="str">
        <f t="shared" ref="H4513:J4513" si="5624">H4425</f>
        <v>10_10,50_20,80_30</v>
      </c>
      <c r="I4513" s="7">
        <v>9</v>
      </c>
      <c r="J4513" s="7">
        <f t="shared" si="5624"/>
        <v>240</v>
      </c>
      <c r="K4513" s="7" t="s">
        <v>309</v>
      </c>
      <c r="L4513" s="7">
        <v>26</v>
      </c>
      <c r="M4513" s="7">
        <f>IF(INDEX([1]equip.xml!$B:$B,MATCH(D4513,[1]equip.xml!$A:$A,0))=0,0,N4513)</f>
        <v>0</v>
      </c>
      <c r="N4513" s="7">
        <f t="shared" si="5572"/>
        <v>140</v>
      </c>
    </row>
    <row r="4514" spans="1:14">
      <c r="A4514" s="7">
        <f t="shared" si="5521"/>
        <v>30009</v>
      </c>
      <c r="B4514" s="7">
        <f t="shared" ref="B4514:C4514" si="5625">B4426</f>
        <v>40000</v>
      </c>
      <c r="C4514" s="7" t="str">
        <f t="shared" si="5625"/>
        <v>装备</v>
      </c>
      <c r="D4514" s="7">
        <v>50250045</v>
      </c>
      <c r="E4514" s="7"/>
      <c r="F4514" s="7">
        <v>1</v>
      </c>
      <c r="G4514" s="8">
        <f>3*INDEX([1]equip.xml!$I:$I,MATCH(D4514,[1]equip.xml!$A:$A,0))</f>
        <v>150000</v>
      </c>
      <c r="H4514" s="7" t="str">
        <f t="shared" ref="H4514:J4514" si="5626">H4426</f>
        <v>10_10,50_20,80_30</v>
      </c>
      <c r="I4514" s="7">
        <v>9</v>
      </c>
      <c r="J4514" s="7">
        <f t="shared" si="5626"/>
        <v>240</v>
      </c>
      <c r="K4514" s="7" t="s">
        <v>309</v>
      </c>
      <c r="L4514" s="7">
        <v>26</v>
      </c>
      <c r="M4514" s="7">
        <f>IF(INDEX([1]equip.xml!$B:$B,MATCH(D4514,[1]equip.xml!$A:$A,0))=0,0,N4514)</f>
        <v>140</v>
      </c>
      <c r="N4514" s="7">
        <f t="shared" si="5572"/>
        <v>140</v>
      </c>
    </row>
    <row r="4515" spans="1:14">
      <c r="A4515" s="7">
        <f t="shared" si="5521"/>
        <v>30009</v>
      </c>
      <c r="B4515" s="7">
        <f t="shared" ref="B4515:C4515" si="5627">B4427</f>
        <v>40000</v>
      </c>
      <c r="C4515" s="7" t="str">
        <f t="shared" si="5627"/>
        <v>装备</v>
      </c>
      <c r="D4515" s="7">
        <v>50250046</v>
      </c>
      <c r="E4515" s="7"/>
      <c r="F4515" s="7">
        <v>1</v>
      </c>
      <c r="G4515" s="8">
        <f>3*INDEX([1]equip.xml!$I:$I,MATCH(D4515,[1]equip.xml!$A:$A,0))</f>
        <v>168000</v>
      </c>
      <c r="H4515" s="7" t="str">
        <f t="shared" ref="H4515:J4515" si="5628">H4427</f>
        <v>10_10,50_20,80_30</v>
      </c>
      <c r="I4515" s="7">
        <v>9</v>
      </c>
      <c r="J4515" s="7">
        <f t="shared" si="5628"/>
        <v>240</v>
      </c>
      <c r="K4515" s="7" t="s">
        <v>309</v>
      </c>
      <c r="L4515" s="7">
        <v>26</v>
      </c>
      <c r="M4515" s="7">
        <f>IF(INDEX([1]equip.xml!$B:$B,MATCH(D4515,[1]equip.xml!$A:$A,0))=0,0,N4515)</f>
        <v>0</v>
      </c>
      <c r="N4515" s="7">
        <f t="shared" si="5572"/>
        <v>140</v>
      </c>
    </row>
    <row r="4516" spans="1:14">
      <c r="A4516" s="7">
        <f t="shared" si="5521"/>
        <v>30009</v>
      </c>
      <c r="B4516" s="7">
        <f t="shared" ref="B4516:C4516" si="5629">B4428</f>
        <v>40000</v>
      </c>
      <c r="C4516" s="7" t="str">
        <f t="shared" si="5629"/>
        <v>装备</v>
      </c>
      <c r="D4516" s="7">
        <v>50250075</v>
      </c>
      <c r="E4516" s="7"/>
      <c r="F4516" s="7">
        <v>1</v>
      </c>
      <c r="G4516" s="8">
        <f>3*INDEX([1]equip.xml!$I:$I,MATCH(D4516,[1]equip.xml!$A:$A,0))</f>
        <v>150000</v>
      </c>
      <c r="H4516" s="7" t="str">
        <f t="shared" ref="H4516:J4516" si="5630">H4428</f>
        <v>10_10,50_20,80_30</v>
      </c>
      <c r="I4516" s="7">
        <v>9</v>
      </c>
      <c r="J4516" s="7">
        <f t="shared" si="5630"/>
        <v>240</v>
      </c>
      <c r="K4516" s="7" t="s">
        <v>309</v>
      </c>
      <c r="L4516" s="7">
        <v>26</v>
      </c>
      <c r="M4516" s="7">
        <f>IF(INDEX([1]equip.xml!$B:$B,MATCH(D4516,[1]equip.xml!$A:$A,0))=0,0,N4516)</f>
        <v>140</v>
      </c>
      <c r="N4516" s="7">
        <f t="shared" si="5572"/>
        <v>140</v>
      </c>
    </row>
    <row r="4517" spans="1:14">
      <c r="A4517" s="7">
        <f t="shared" si="5521"/>
        <v>30009</v>
      </c>
      <c r="B4517" s="7">
        <f t="shared" ref="B4517:C4517" si="5631">B4429</f>
        <v>40000</v>
      </c>
      <c r="C4517" s="7" t="str">
        <f t="shared" si="5631"/>
        <v>装备</v>
      </c>
      <c r="D4517" s="7">
        <v>50250076</v>
      </c>
      <c r="E4517" s="7"/>
      <c r="F4517" s="7">
        <v>1</v>
      </c>
      <c r="G4517" s="8">
        <f>3*INDEX([1]equip.xml!$I:$I,MATCH(D4517,[1]equip.xml!$A:$A,0))</f>
        <v>168000</v>
      </c>
      <c r="H4517" s="7" t="str">
        <f t="shared" ref="H4517:J4517" si="5632">H4429</f>
        <v>10_10,50_20,80_30</v>
      </c>
      <c r="I4517" s="7">
        <v>9</v>
      </c>
      <c r="J4517" s="7">
        <f t="shared" si="5632"/>
        <v>240</v>
      </c>
      <c r="K4517" s="7" t="s">
        <v>309</v>
      </c>
      <c r="L4517" s="7">
        <v>26</v>
      </c>
      <c r="M4517" s="7">
        <f>IF(INDEX([1]equip.xml!$B:$B,MATCH(D4517,[1]equip.xml!$A:$A,0))=0,0,N4517)</f>
        <v>0</v>
      </c>
      <c r="N4517" s="7">
        <f t="shared" si="5572"/>
        <v>140</v>
      </c>
    </row>
    <row r="4518" spans="1:14">
      <c r="A4518" s="7">
        <f t="shared" si="5521"/>
        <v>30010</v>
      </c>
      <c r="B4518" s="8">
        <f t="shared" ref="B4518:C4518" si="5633">B4430</f>
        <v>40000</v>
      </c>
      <c r="C4518" s="8" t="str">
        <f t="shared" si="5633"/>
        <v>装备</v>
      </c>
      <c r="D4518" s="8">
        <v>40250010</v>
      </c>
      <c r="E4518" s="8"/>
      <c r="F4518" s="8">
        <v>1</v>
      </c>
      <c r="G4518" s="7">
        <f>3*INDEX([1]equip.xml!$I:$I,MATCH(D4518&amp;"",[1]equip.xml!$A:$A,0))</f>
        <v>75000</v>
      </c>
      <c r="H4518" s="8" t="str">
        <f t="shared" ref="H4518:J4518" si="5634">H4430</f>
        <v>10_10,50_20,80_30</v>
      </c>
      <c r="I4518" s="8">
        <v>8</v>
      </c>
      <c r="J4518" s="8">
        <f t="shared" si="5634"/>
        <v>50</v>
      </c>
      <c r="K4518" s="7" t="s">
        <v>309</v>
      </c>
      <c r="L4518" s="8">
        <v>28</v>
      </c>
      <c r="M4518" s="7">
        <f>IF(INDEX([1]equip.xml!$B:$B,MATCH(D4518&amp;"",[1]equip.xml!$A:$A,0))=0,0,N4518)</f>
        <v>100</v>
      </c>
      <c r="N4518" s="7">
        <f t="shared" si="5572"/>
        <v>100</v>
      </c>
    </row>
    <row r="4519" spans="1:14">
      <c r="A4519" s="7">
        <f t="shared" si="5521"/>
        <v>30010</v>
      </c>
      <c r="B4519" s="8">
        <f t="shared" ref="B4519:C4519" si="5635">B4431</f>
        <v>40000</v>
      </c>
      <c r="C4519" s="8" t="str">
        <f t="shared" si="5635"/>
        <v>装备</v>
      </c>
      <c r="D4519" s="8">
        <v>40250020</v>
      </c>
      <c r="E4519" s="8"/>
      <c r="F4519" s="8">
        <v>1</v>
      </c>
      <c r="G4519" s="7">
        <f>3*INDEX([1]equip.xml!$I:$I,MATCH(D4519&amp;"",[1]equip.xml!$A:$A,0))</f>
        <v>75000</v>
      </c>
      <c r="H4519" s="8" t="str">
        <f t="shared" ref="H4519:J4519" si="5636">H4431</f>
        <v>10_10,50_20,80_30</v>
      </c>
      <c r="I4519" s="8">
        <v>8</v>
      </c>
      <c r="J4519" s="8">
        <f t="shared" si="5636"/>
        <v>50</v>
      </c>
      <c r="K4519" s="7" t="s">
        <v>309</v>
      </c>
      <c r="L4519" s="8">
        <v>28</v>
      </c>
      <c r="M4519" s="7">
        <f>IF(INDEX([1]equip.xml!$B:$B,MATCH(D4519&amp;"",[1]equip.xml!$A:$A,0))=0,0,N4519)</f>
        <v>100</v>
      </c>
      <c r="N4519" s="7">
        <f t="shared" si="5572"/>
        <v>100</v>
      </c>
    </row>
    <row r="4520" spans="1:14">
      <c r="A4520" s="7">
        <f t="shared" si="5521"/>
        <v>30010</v>
      </c>
      <c r="B4520" s="8">
        <f t="shared" ref="B4520:C4520" si="5637">B4432</f>
        <v>40000</v>
      </c>
      <c r="C4520" s="8" t="str">
        <f t="shared" si="5637"/>
        <v>装备</v>
      </c>
      <c r="D4520" s="8">
        <v>40250030</v>
      </c>
      <c r="E4520" s="8"/>
      <c r="F4520" s="8">
        <v>1</v>
      </c>
      <c r="G4520" s="7">
        <f>3*INDEX([1]equip.xml!$I:$I,MATCH(D4520&amp;"",[1]equip.xml!$A:$A,0))</f>
        <v>75000</v>
      </c>
      <c r="H4520" s="8" t="str">
        <f t="shared" ref="H4520:J4520" si="5638">H4432</f>
        <v>10_10,50_20,80_30</v>
      </c>
      <c r="I4520" s="8">
        <v>8</v>
      </c>
      <c r="J4520" s="8">
        <f t="shared" si="5638"/>
        <v>50</v>
      </c>
      <c r="K4520" s="7" t="s">
        <v>309</v>
      </c>
      <c r="L4520" s="8">
        <v>28</v>
      </c>
      <c r="M4520" s="7">
        <f>IF(INDEX([1]equip.xml!$B:$B,MATCH(D4520&amp;"",[1]equip.xml!$A:$A,0))=0,0,N4520)</f>
        <v>100</v>
      </c>
      <c r="N4520" s="7">
        <f t="shared" si="5572"/>
        <v>100</v>
      </c>
    </row>
    <row r="4521" spans="1:14">
      <c r="A4521" s="7">
        <f t="shared" si="5521"/>
        <v>30010</v>
      </c>
      <c r="B4521" s="8">
        <f t="shared" ref="B4521:C4521" si="5639">B4433</f>
        <v>40000</v>
      </c>
      <c r="C4521" s="8" t="str">
        <f t="shared" si="5639"/>
        <v>装备</v>
      </c>
      <c r="D4521" s="8">
        <v>40250080</v>
      </c>
      <c r="E4521" s="8"/>
      <c r="F4521" s="8">
        <v>1</v>
      </c>
      <c r="G4521" s="7">
        <f>3*INDEX([1]equip.xml!$I:$I,MATCH(D4521&amp;"",[1]equip.xml!$A:$A,0))</f>
        <v>75000</v>
      </c>
      <c r="H4521" s="8" t="str">
        <f t="shared" ref="H4521:J4521" si="5640">H4433</f>
        <v>10_10,50_20,80_30</v>
      </c>
      <c r="I4521" s="8">
        <v>8</v>
      </c>
      <c r="J4521" s="8">
        <f t="shared" si="5640"/>
        <v>50</v>
      </c>
      <c r="K4521" s="7" t="s">
        <v>309</v>
      </c>
      <c r="L4521" s="8">
        <v>28</v>
      </c>
      <c r="M4521" s="7">
        <f>IF(INDEX([1]equip.xml!$B:$B,MATCH(D4521&amp;"",[1]equip.xml!$A:$A,0))=0,0,N4521)</f>
        <v>100</v>
      </c>
      <c r="N4521" s="7">
        <f t="shared" si="5572"/>
        <v>100</v>
      </c>
    </row>
    <row r="4522" spans="1:14">
      <c r="A4522" s="7">
        <f t="shared" si="5521"/>
        <v>30010</v>
      </c>
      <c r="B4522" s="8">
        <f t="shared" ref="B4522:C4522" si="5641">B4434</f>
        <v>40000</v>
      </c>
      <c r="C4522" s="8" t="str">
        <f t="shared" si="5641"/>
        <v>装备</v>
      </c>
      <c r="D4522" s="8">
        <v>40250090</v>
      </c>
      <c r="E4522" s="8"/>
      <c r="F4522" s="8">
        <v>1</v>
      </c>
      <c r="G4522" s="7">
        <f>3*INDEX([1]equip.xml!$I:$I,MATCH(D4522&amp;"",[1]equip.xml!$A:$A,0))</f>
        <v>75000</v>
      </c>
      <c r="H4522" s="8" t="str">
        <f t="shared" ref="H4522:J4522" si="5642">H4434</f>
        <v>10_10,50_20,80_30</v>
      </c>
      <c r="I4522" s="8">
        <v>8</v>
      </c>
      <c r="J4522" s="8">
        <f t="shared" si="5642"/>
        <v>50</v>
      </c>
      <c r="K4522" s="7" t="s">
        <v>309</v>
      </c>
      <c r="L4522" s="8">
        <v>28</v>
      </c>
      <c r="M4522" s="7">
        <f>IF(INDEX([1]equip.xml!$B:$B,MATCH(D4522&amp;"",[1]equip.xml!$A:$A,0))=0,0,N4522)</f>
        <v>100</v>
      </c>
      <c r="N4522" s="7">
        <f t="shared" si="5572"/>
        <v>100</v>
      </c>
    </row>
    <row r="4523" spans="1:14">
      <c r="A4523" s="7">
        <f t="shared" si="5521"/>
        <v>30010</v>
      </c>
      <c r="B4523" s="8">
        <f t="shared" ref="B4523:C4523" si="5643">B4435</f>
        <v>40000</v>
      </c>
      <c r="C4523" s="8" t="str">
        <f t="shared" si="5643"/>
        <v>装备</v>
      </c>
      <c r="D4523" s="8">
        <v>40250100</v>
      </c>
      <c r="E4523" s="8"/>
      <c r="F4523" s="8">
        <v>1</v>
      </c>
      <c r="G4523" s="7">
        <f>3*INDEX([1]equip.xml!$I:$I,MATCH(D4523&amp;"",[1]equip.xml!$A:$A,0))</f>
        <v>75000</v>
      </c>
      <c r="H4523" s="8" t="str">
        <f t="shared" ref="H4523:J4523" si="5644">H4435</f>
        <v>10_10,50_20,80_30</v>
      </c>
      <c r="I4523" s="8">
        <v>8</v>
      </c>
      <c r="J4523" s="8">
        <f t="shared" si="5644"/>
        <v>50</v>
      </c>
      <c r="K4523" s="7" t="s">
        <v>309</v>
      </c>
      <c r="L4523" s="8">
        <v>28</v>
      </c>
      <c r="M4523" s="7">
        <f>IF(INDEX([1]equip.xml!$B:$B,MATCH(D4523&amp;"",[1]equip.xml!$A:$A,0))=0,0,N4523)</f>
        <v>100</v>
      </c>
      <c r="N4523" s="7">
        <f t="shared" si="5572"/>
        <v>100</v>
      </c>
    </row>
    <row r="4524" spans="1:14">
      <c r="A4524" s="7">
        <f t="shared" si="5521"/>
        <v>30010</v>
      </c>
      <c r="B4524" s="8">
        <f t="shared" ref="B4524:C4524" si="5645">B4436</f>
        <v>40000</v>
      </c>
      <c r="C4524" s="8" t="str">
        <f t="shared" si="5645"/>
        <v>装备</v>
      </c>
      <c r="D4524" s="8">
        <v>40251050</v>
      </c>
      <c r="E4524" s="8"/>
      <c r="F4524" s="8">
        <v>1</v>
      </c>
      <c r="G4524" s="7">
        <f>3*INDEX([1]equip.xml!$I:$I,MATCH(D4524&amp;"",[1]equip.xml!$A:$A,0))</f>
        <v>75000</v>
      </c>
      <c r="H4524" s="8" t="str">
        <f t="shared" ref="H4524:J4524" si="5646">H4436</f>
        <v>10_10,50_20,80_30</v>
      </c>
      <c r="I4524" s="8">
        <v>8</v>
      </c>
      <c r="J4524" s="8">
        <f t="shared" si="5646"/>
        <v>50</v>
      </c>
      <c r="K4524" s="7" t="s">
        <v>309</v>
      </c>
      <c r="L4524" s="8">
        <v>28</v>
      </c>
      <c r="M4524" s="7">
        <f>IF(INDEX([1]equip.xml!$B:$B,MATCH(D4524&amp;"",[1]equip.xml!$A:$A,0))=0,0,N4524)</f>
        <v>100</v>
      </c>
      <c r="N4524" s="7">
        <f t="shared" si="5572"/>
        <v>100</v>
      </c>
    </row>
    <row r="4525" spans="1:14">
      <c r="A4525" s="7">
        <f t="shared" si="5521"/>
        <v>30010</v>
      </c>
      <c r="B4525" s="8">
        <f t="shared" ref="B4525:C4525" si="5647">B4437</f>
        <v>40000</v>
      </c>
      <c r="C4525" s="8" t="str">
        <f t="shared" si="5647"/>
        <v>装备</v>
      </c>
      <c r="D4525" s="8">
        <v>40251051</v>
      </c>
      <c r="E4525" s="8"/>
      <c r="F4525" s="8">
        <v>1</v>
      </c>
      <c r="G4525" s="7">
        <f>3*INDEX([1]equip.xml!$I:$I,MATCH(D4525&amp;"",[1]equip.xml!$A:$A,0))</f>
        <v>84000</v>
      </c>
      <c r="H4525" s="8" t="str">
        <f t="shared" ref="H4525:J4525" si="5648">H4437</f>
        <v>10_10,50_20,80_30</v>
      </c>
      <c r="I4525" s="8">
        <v>8</v>
      </c>
      <c r="J4525" s="8">
        <f t="shared" si="5648"/>
        <v>50</v>
      </c>
      <c r="K4525" s="7" t="s">
        <v>309</v>
      </c>
      <c r="L4525" s="8">
        <v>28</v>
      </c>
      <c r="M4525" s="7">
        <f>IF(INDEX([1]equip.xml!$B:$B,MATCH(D4525&amp;"",[1]equip.xml!$A:$A,0))=0,0,N4525)</f>
        <v>100</v>
      </c>
      <c r="N4525" s="7">
        <f t="shared" si="5572"/>
        <v>100</v>
      </c>
    </row>
    <row r="4526" spans="1:14">
      <c r="A4526" s="7">
        <f t="shared" si="5521"/>
        <v>30010</v>
      </c>
      <c r="B4526" s="8">
        <f t="shared" ref="B4526:C4526" si="5649">B4438</f>
        <v>40000</v>
      </c>
      <c r="C4526" s="8" t="str">
        <f t="shared" si="5649"/>
        <v>装备</v>
      </c>
      <c r="D4526" s="8">
        <v>40251060</v>
      </c>
      <c r="E4526" s="8"/>
      <c r="F4526" s="8">
        <v>1</v>
      </c>
      <c r="G4526" s="7">
        <f>3*INDEX([1]equip.xml!$I:$I,MATCH(D4526&amp;"",[1]equip.xml!$A:$A,0))</f>
        <v>75000</v>
      </c>
      <c r="H4526" s="8" t="str">
        <f t="shared" ref="H4526:J4526" si="5650">H4438</f>
        <v>10_10,50_20,80_30</v>
      </c>
      <c r="I4526" s="8">
        <v>8</v>
      </c>
      <c r="J4526" s="8">
        <f t="shared" si="5650"/>
        <v>50</v>
      </c>
      <c r="K4526" s="7" t="s">
        <v>309</v>
      </c>
      <c r="L4526" s="8">
        <v>28</v>
      </c>
      <c r="M4526" s="7">
        <f>IF(INDEX([1]equip.xml!$B:$B,MATCH(D4526&amp;"",[1]equip.xml!$A:$A,0))=0,0,N4526)</f>
        <v>100</v>
      </c>
      <c r="N4526" s="7">
        <f t="shared" si="5572"/>
        <v>100</v>
      </c>
    </row>
    <row r="4527" spans="1:14">
      <c r="A4527" s="7">
        <f t="shared" ref="A4527:A4590" si="5651">10000+A3295</f>
        <v>30010</v>
      </c>
      <c r="B4527" s="8">
        <f t="shared" ref="B4527:C4527" si="5652">B4439</f>
        <v>40000</v>
      </c>
      <c r="C4527" s="8" t="str">
        <f t="shared" si="5652"/>
        <v>装备</v>
      </c>
      <c r="D4527" s="8">
        <v>40251061</v>
      </c>
      <c r="E4527" s="8"/>
      <c r="F4527" s="8">
        <v>1</v>
      </c>
      <c r="G4527" s="7">
        <f>3*INDEX([1]equip.xml!$I:$I,MATCH(D4527&amp;"",[1]equip.xml!$A:$A,0))</f>
        <v>84000</v>
      </c>
      <c r="H4527" s="8" t="str">
        <f t="shared" ref="H4527:J4527" si="5653">H4439</f>
        <v>10_10,50_20,80_30</v>
      </c>
      <c r="I4527" s="8">
        <v>8</v>
      </c>
      <c r="J4527" s="8">
        <f t="shared" si="5653"/>
        <v>50</v>
      </c>
      <c r="K4527" s="7" t="s">
        <v>309</v>
      </c>
      <c r="L4527" s="8">
        <v>28</v>
      </c>
      <c r="M4527" s="7">
        <f>IF(INDEX([1]equip.xml!$B:$B,MATCH(D4527&amp;"",[1]equip.xml!$A:$A,0))=0,0,N4527)</f>
        <v>0</v>
      </c>
      <c r="N4527" s="7">
        <f t="shared" si="5572"/>
        <v>100</v>
      </c>
    </row>
    <row r="4528" spans="1:14">
      <c r="A4528" s="7">
        <f t="shared" si="5651"/>
        <v>30010</v>
      </c>
      <c r="B4528" s="8">
        <f t="shared" ref="B4528:C4528" si="5654">B4440</f>
        <v>40000</v>
      </c>
      <c r="C4528" s="8" t="str">
        <f t="shared" si="5654"/>
        <v>装备</v>
      </c>
      <c r="D4528" s="8">
        <v>40252050</v>
      </c>
      <c r="E4528" s="8"/>
      <c r="F4528" s="8">
        <v>1</v>
      </c>
      <c r="G4528" s="7">
        <f>3*INDEX([1]equip.xml!$I:$I,MATCH(D4528&amp;"",[1]equip.xml!$A:$A,0))</f>
        <v>75000</v>
      </c>
      <c r="H4528" s="8" t="str">
        <f t="shared" ref="H4528:J4528" si="5655">H4440</f>
        <v>10_10,50_20,80_30</v>
      </c>
      <c r="I4528" s="8">
        <v>8</v>
      </c>
      <c r="J4528" s="8">
        <f t="shared" si="5655"/>
        <v>50</v>
      </c>
      <c r="K4528" s="7" t="s">
        <v>309</v>
      </c>
      <c r="L4528" s="8">
        <v>28</v>
      </c>
      <c r="M4528" s="7">
        <f>IF(INDEX([1]equip.xml!$B:$B,MATCH(D4528&amp;"",[1]equip.xml!$A:$A,0))=0,0,N4528)</f>
        <v>100</v>
      </c>
      <c r="N4528" s="7">
        <f t="shared" si="5572"/>
        <v>100</v>
      </c>
    </row>
    <row r="4529" spans="1:14">
      <c r="A4529" s="7">
        <f t="shared" si="5651"/>
        <v>30010</v>
      </c>
      <c r="B4529" s="8">
        <f t="shared" ref="B4529:C4529" si="5656">B4441</f>
        <v>40000</v>
      </c>
      <c r="C4529" s="8" t="str">
        <f t="shared" si="5656"/>
        <v>装备</v>
      </c>
      <c r="D4529" s="8">
        <v>40252051</v>
      </c>
      <c r="E4529" s="8"/>
      <c r="F4529" s="8">
        <v>1</v>
      </c>
      <c r="G4529" s="7">
        <f>3*INDEX([1]equip.xml!$I:$I,MATCH(D4529&amp;"",[1]equip.xml!$A:$A,0))</f>
        <v>84000</v>
      </c>
      <c r="H4529" s="8" t="str">
        <f t="shared" ref="H4529:J4529" si="5657">H4441</f>
        <v>10_10,50_20,80_30</v>
      </c>
      <c r="I4529" s="8">
        <v>8</v>
      </c>
      <c r="J4529" s="8">
        <f t="shared" si="5657"/>
        <v>50</v>
      </c>
      <c r="K4529" s="7" t="s">
        <v>309</v>
      </c>
      <c r="L4529" s="8">
        <v>28</v>
      </c>
      <c r="M4529" s="7">
        <f>IF(INDEX([1]equip.xml!$B:$B,MATCH(D4529&amp;"",[1]equip.xml!$A:$A,0))=0,0,N4529)</f>
        <v>100</v>
      </c>
      <c r="N4529" s="7">
        <f t="shared" si="5572"/>
        <v>100</v>
      </c>
    </row>
    <row r="4530" spans="1:14">
      <c r="A4530" s="7">
        <f t="shared" si="5651"/>
        <v>30010</v>
      </c>
      <c r="B4530" s="8">
        <f t="shared" ref="B4530:C4530" si="5658">B4442</f>
        <v>40000</v>
      </c>
      <c r="C4530" s="8" t="str">
        <f t="shared" si="5658"/>
        <v>装备</v>
      </c>
      <c r="D4530" s="8">
        <v>40252060</v>
      </c>
      <c r="E4530" s="8"/>
      <c r="F4530" s="8">
        <v>1</v>
      </c>
      <c r="G4530" s="7">
        <f>3*INDEX([1]equip.xml!$I:$I,MATCH(D4530&amp;"",[1]equip.xml!$A:$A,0))</f>
        <v>75000</v>
      </c>
      <c r="H4530" s="8" t="str">
        <f t="shared" ref="H4530:J4530" si="5659">H4442</f>
        <v>10_10,50_20,80_30</v>
      </c>
      <c r="I4530" s="8">
        <v>8</v>
      </c>
      <c r="J4530" s="8">
        <f t="shared" si="5659"/>
        <v>50</v>
      </c>
      <c r="K4530" s="7" t="s">
        <v>309</v>
      </c>
      <c r="L4530" s="8">
        <v>28</v>
      </c>
      <c r="M4530" s="7">
        <f>IF(INDEX([1]equip.xml!$B:$B,MATCH(D4530&amp;"",[1]equip.xml!$A:$A,0))=0,0,N4530)</f>
        <v>100</v>
      </c>
      <c r="N4530" s="7">
        <f t="shared" si="5572"/>
        <v>100</v>
      </c>
    </row>
    <row r="4531" spans="1:14">
      <c r="A4531" s="7">
        <f t="shared" si="5651"/>
        <v>30010</v>
      </c>
      <c r="B4531" s="8">
        <f t="shared" ref="B4531:C4531" si="5660">B4443</f>
        <v>40000</v>
      </c>
      <c r="C4531" s="8" t="str">
        <f t="shared" si="5660"/>
        <v>装备</v>
      </c>
      <c r="D4531" s="8">
        <v>40252061</v>
      </c>
      <c r="E4531" s="8"/>
      <c r="F4531" s="8">
        <v>1</v>
      </c>
      <c r="G4531" s="7">
        <f>3*INDEX([1]equip.xml!$I:$I,MATCH(D4531&amp;"",[1]equip.xml!$A:$A,0))</f>
        <v>84000</v>
      </c>
      <c r="H4531" s="8" t="str">
        <f t="shared" ref="H4531:J4531" si="5661">H4443</f>
        <v>10_10,50_20,80_30</v>
      </c>
      <c r="I4531" s="8">
        <v>8</v>
      </c>
      <c r="J4531" s="8">
        <f t="shared" si="5661"/>
        <v>50</v>
      </c>
      <c r="K4531" s="7" t="s">
        <v>309</v>
      </c>
      <c r="L4531" s="8">
        <v>28</v>
      </c>
      <c r="M4531" s="7">
        <f>IF(INDEX([1]equip.xml!$B:$B,MATCH(D4531&amp;"",[1]equip.xml!$A:$A,0))=0,0,N4531)</f>
        <v>0</v>
      </c>
      <c r="N4531" s="7">
        <f t="shared" si="5572"/>
        <v>100</v>
      </c>
    </row>
    <row r="4532" spans="1:14">
      <c r="A4532" s="7">
        <f t="shared" si="5651"/>
        <v>30010</v>
      </c>
      <c r="B4532" s="8">
        <f t="shared" ref="B4532:C4532" si="5662">B4444</f>
        <v>40000</v>
      </c>
      <c r="C4532" s="8" t="str">
        <f t="shared" si="5662"/>
        <v>装备</v>
      </c>
      <c r="D4532" s="8">
        <v>40253050</v>
      </c>
      <c r="E4532" s="8"/>
      <c r="F4532" s="8">
        <v>1</v>
      </c>
      <c r="G4532" s="7">
        <f>3*INDEX([1]equip.xml!$I:$I,MATCH(D4532&amp;"",[1]equip.xml!$A:$A,0))</f>
        <v>75000</v>
      </c>
      <c r="H4532" s="8" t="str">
        <f t="shared" ref="H4532:J4532" si="5663">H4444</f>
        <v>10_10,50_20,80_30</v>
      </c>
      <c r="I4532" s="8">
        <v>8</v>
      </c>
      <c r="J4532" s="8">
        <f t="shared" si="5663"/>
        <v>50</v>
      </c>
      <c r="K4532" s="7" t="s">
        <v>309</v>
      </c>
      <c r="L4532" s="8">
        <v>28</v>
      </c>
      <c r="M4532" s="7">
        <f>IF(INDEX([1]equip.xml!$B:$B,MATCH(D4532&amp;"",[1]equip.xml!$A:$A,0))=0,0,N4532)</f>
        <v>100</v>
      </c>
      <c r="N4532" s="7">
        <f t="shared" si="5572"/>
        <v>100</v>
      </c>
    </row>
    <row r="4533" spans="1:14">
      <c r="A4533" s="7">
        <f t="shared" si="5651"/>
        <v>30010</v>
      </c>
      <c r="B4533" s="8">
        <f t="shared" ref="B4533:C4533" si="5664">B4445</f>
        <v>40000</v>
      </c>
      <c r="C4533" s="8" t="str">
        <f t="shared" si="5664"/>
        <v>装备</v>
      </c>
      <c r="D4533" s="8">
        <v>40253051</v>
      </c>
      <c r="E4533" s="8"/>
      <c r="F4533" s="8">
        <v>1</v>
      </c>
      <c r="G4533" s="7">
        <f>3*INDEX([1]equip.xml!$I:$I,MATCH(D4533&amp;"",[1]equip.xml!$A:$A,0))</f>
        <v>84000</v>
      </c>
      <c r="H4533" s="8" t="str">
        <f t="shared" ref="H4533:J4533" si="5665">H4445</f>
        <v>10_10,50_20,80_30</v>
      </c>
      <c r="I4533" s="8">
        <v>8</v>
      </c>
      <c r="J4533" s="8">
        <f t="shared" si="5665"/>
        <v>50</v>
      </c>
      <c r="K4533" s="7" t="s">
        <v>309</v>
      </c>
      <c r="L4533" s="8">
        <v>28</v>
      </c>
      <c r="M4533" s="7">
        <f>IF(INDEX([1]equip.xml!$B:$B,MATCH(D4533&amp;"",[1]equip.xml!$A:$A,0))=0,0,N4533)</f>
        <v>0</v>
      </c>
      <c r="N4533" s="7">
        <f t="shared" si="5572"/>
        <v>100</v>
      </c>
    </row>
    <row r="4534" spans="1:14">
      <c r="A4534" s="7">
        <f t="shared" si="5651"/>
        <v>30010</v>
      </c>
      <c r="B4534" s="8">
        <f t="shared" ref="B4534:C4534" si="5666">B4446</f>
        <v>40000</v>
      </c>
      <c r="C4534" s="8" t="str">
        <f t="shared" si="5666"/>
        <v>装备</v>
      </c>
      <c r="D4534" s="8">
        <v>40253060</v>
      </c>
      <c r="E4534" s="8"/>
      <c r="F4534" s="8">
        <v>1</v>
      </c>
      <c r="G4534" s="7">
        <f>3*INDEX([1]equip.xml!$I:$I,MATCH(D4534&amp;"",[1]equip.xml!$A:$A,0))</f>
        <v>75000</v>
      </c>
      <c r="H4534" s="8" t="str">
        <f t="shared" ref="H4534:J4534" si="5667">H4446</f>
        <v>10_10,50_20,80_30</v>
      </c>
      <c r="I4534" s="8">
        <v>8</v>
      </c>
      <c r="J4534" s="8">
        <f t="shared" si="5667"/>
        <v>50</v>
      </c>
      <c r="K4534" s="7" t="s">
        <v>309</v>
      </c>
      <c r="L4534" s="8">
        <v>28</v>
      </c>
      <c r="M4534" s="7">
        <f>IF(INDEX([1]equip.xml!$B:$B,MATCH(D4534&amp;"",[1]equip.xml!$A:$A,0))=0,0,N4534)</f>
        <v>100</v>
      </c>
      <c r="N4534" s="7">
        <f t="shared" si="5572"/>
        <v>100</v>
      </c>
    </row>
    <row r="4535" spans="1:14">
      <c r="A4535" s="7">
        <f t="shared" si="5651"/>
        <v>30010</v>
      </c>
      <c r="B4535" s="8">
        <f t="shared" ref="B4535:C4535" si="5668">B4447</f>
        <v>40000</v>
      </c>
      <c r="C4535" s="8" t="str">
        <f t="shared" si="5668"/>
        <v>装备</v>
      </c>
      <c r="D4535" s="8">
        <v>40253061</v>
      </c>
      <c r="E4535" s="8"/>
      <c r="F4535" s="8">
        <v>1</v>
      </c>
      <c r="G4535" s="7">
        <f>3*INDEX([1]equip.xml!$I:$I,MATCH(D4535&amp;"",[1]equip.xml!$A:$A,0))</f>
        <v>84000</v>
      </c>
      <c r="H4535" s="8" t="str">
        <f t="shared" ref="H4535:J4535" si="5669">H4447</f>
        <v>10_10,50_20,80_30</v>
      </c>
      <c r="I4535" s="8">
        <v>8</v>
      </c>
      <c r="J4535" s="8">
        <f t="shared" si="5669"/>
        <v>50</v>
      </c>
      <c r="K4535" s="7" t="s">
        <v>309</v>
      </c>
      <c r="L4535" s="8">
        <v>28</v>
      </c>
      <c r="M4535" s="7">
        <f>IF(INDEX([1]equip.xml!$B:$B,MATCH(D4535&amp;"",[1]equip.xml!$A:$A,0))=0,0,N4535)</f>
        <v>0</v>
      </c>
      <c r="N4535" s="7">
        <f t="shared" si="5572"/>
        <v>100</v>
      </c>
    </row>
    <row r="4536" spans="1:14">
      <c r="A4536" s="7">
        <f t="shared" si="5651"/>
        <v>30010</v>
      </c>
      <c r="B4536" s="8">
        <f t="shared" ref="B4536:C4536" si="5670">B4448</f>
        <v>40000</v>
      </c>
      <c r="C4536" s="8" t="str">
        <f t="shared" si="5670"/>
        <v>装备</v>
      </c>
      <c r="D4536" s="8">
        <v>40250040</v>
      </c>
      <c r="E4536" s="8"/>
      <c r="F4536" s="8">
        <v>1</v>
      </c>
      <c r="G4536" s="7">
        <f>3*INDEX([1]equip.xml!$I:$I,MATCH(D4536&amp;"",[1]equip.xml!$A:$A,0))</f>
        <v>75000</v>
      </c>
      <c r="H4536" s="8" t="str">
        <f t="shared" ref="H4536:J4536" si="5671">H4448</f>
        <v>10_10,50_20,80_30</v>
      </c>
      <c r="I4536" s="8">
        <v>8</v>
      </c>
      <c r="J4536" s="8">
        <f t="shared" si="5671"/>
        <v>50</v>
      </c>
      <c r="K4536" s="7" t="s">
        <v>309</v>
      </c>
      <c r="L4536" s="8">
        <v>28</v>
      </c>
      <c r="M4536" s="7">
        <f>IF(INDEX([1]equip.xml!$B:$B,MATCH(D4536&amp;"",[1]equip.xml!$A:$A,0))=0,0,N4536)</f>
        <v>100</v>
      </c>
      <c r="N4536" s="7">
        <f t="shared" si="5572"/>
        <v>100</v>
      </c>
    </row>
    <row r="4537" spans="1:14">
      <c r="A4537" s="7">
        <f t="shared" si="5651"/>
        <v>30010</v>
      </c>
      <c r="B4537" s="8">
        <f t="shared" ref="B4537:C4537" si="5672">B4449</f>
        <v>40000</v>
      </c>
      <c r="C4537" s="8" t="str">
        <f t="shared" si="5672"/>
        <v>装备</v>
      </c>
      <c r="D4537" s="8">
        <v>40250041</v>
      </c>
      <c r="E4537" s="8"/>
      <c r="F4537" s="8">
        <v>1</v>
      </c>
      <c r="G4537" s="7">
        <f>3*INDEX([1]equip.xml!$I:$I,MATCH(D4537&amp;"",[1]equip.xml!$A:$A,0))</f>
        <v>84000</v>
      </c>
      <c r="H4537" s="8" t="str">
        <f t="shared" ref="H4537:J4537" si="5673">H4449</f>
        <v>10_10,50_20,80_30</v>
      </c>
      <c r="I4537" s="8">
        <v>8</v>
      </c>
      <c r="J4537" s="8">
        <f t="shared" si="5673"/>
        <v>50</v>
      </c>
      <c r="K4537" s="7" t="s">
        <v>309</v>
      </c>
      <c r="L4537" s="8">
        <v>28</v>
      </c>
      <c r="M4537" s="7">
        <f>IF(INDEX([1]equip.xml!$B:$B,MATCH(D4537&amp;"",[1]equip.xml!$A:$A,0))=0,0,N4537)</f>
        <v>0</v>
      </c>
      <c r="N4537" s="7">
        <f t="shared" si="5572"/>
        <v>100</v>
      </c>
    </row>
    <row r="4538" spans="1:14">
      <c r="A4538" s="7">
        <f t="shared" si="5651"/>
        <v>30010</v>
      </c>
      <c r="B4538" s="8">
        <f t="shared" ref="B4538:C4538" si="5674">B4450</f>
        <v>40000</v>
      </c>
      <c r="C4538" s="8" t="str">
        <f t="shared" si="5674"/>
        <v>装备</v>
      </c>
      <c r="D4538" s="8">
        <v>40250070</v>
      </c>
      <c r="E4538" s="8"/>
      <c r="F4538" s="8">
        <v>1</v>
      </c>
      <c r="G4538" s="7">
        <f>3*INDEX([1]equip.xml!$I:$I,MATCH(D4538&amp;"",[1]equip.xml!$A:$A,0))</f>
        <v>75000</v>
      </c>
      <c r="H4538" s="8" t="str">
        <f t="shared" ref="H4538:J4538" si="5675">H4450</f>
        <v>10_10,50_20,80_30</v>
      </c>
      <c r="I4538" s="8">
        <v>8</v>
      </c>
      <c r="J4538" s="8">
        <f t="shared" si="5675"/>
        <v>50</v>
      </c>
      <c r="K4538" s="7" t="s">
        <v>309</v>
      </c>
      <c r="L4538" s="8">
        <v>28</v>
      </c>
      <c r="M4538" s="7">
        <f>IF(INDEX([1]equip.xml!$B:$B,MATCH(D4538&amp;"",[1]equip.xml!$A:$A,0))=0,0,N4538)</f>
        <v>100</v>
      </c>
      <c r="N4538" s="7">
        <f t="shared" si="5572"/>
        <v>100</v>
      </c>
    </row>
    <row r="4539" spans="1:14">
      <c r="A4539" s="7">
        <f t="shared" si="5651"/>
        <v>30010</v>
      </c>
      <c r="B4539" s="8">
        <f t="shared" ref="B4539:C4539" si="5676">B4451</f>
        <v>40000</v>
      </c>
      <c r="C4539" s="8" t="str">
        <f t="shared" si="5676"/>
        <v>装备</v>
      </c>
      <c r="D4539" s="8">
        <v>40250071</v>
      </c>
      <c r="E4539" s="8"/>
      <c r="F4539" s="8">
        <v>1</v>
      </c>
      <c r="G4539" s="7">
        <f>3*INDEX([1]equip.xml!$I:$I,MATCH(D4539&amp;"",[1]equip.xml!$A:$A,0))</f>
        <v>84000</v>
      </c>
      <c r="H4539" s="8" t="str">
        <f t="shared" ref="H4539:J4539" si="5677">H4451</f>
        <v>10_10,50_20,80_30</v>
      </c>
      <c r="I4539" s="8">
        <v>8</v>
      </c>
      <c r="J4539" s="8">
        <f t="shared" si="5677"/>
        <v>50</v>
      </c>
      <c r="K4539" s="7" t="s">
        <v>309</v>
      </c>
      <c r="L4539" s="8">
        <v>28</v>
      </c>
      <c r="M4539" s="7">
        <f>IF(INDEX([1]equip.xml!$B:$B,MATCH(D4539&amp;"",[1]equip.xml!$A:$A,0))=0,0,N4539)</f>
        <v>0</v>
      </c>
      <c r="N4539" s="7">
        <f t="shared" si="5572"/>
        <v>100</v>
      </c>
    </row>
    <row r="4540" spans="1:14">
      <c r="A4540" s="7">
        <f t="shared" si="5651"/>
        <v>30010</v>
      </c>
      <c r="B4540" s="8">
        <f t="shared" ref="B4540:C4540" si="5678">B4452</f>
        <v>40000</v>
      </c>
      <c r="C4540" s="8" t="str">
        <f t="shared" si="5678"/>
        <v>装备</v>
      </c>
      <c r="D4540" s="8">
        <v>40300010</v>
      </c>
      <c r="E4540" s="8"/>
      <c r="F4540" s="8">
        <v>1</v>
      </c>
      <c r="G4540" s="7">
        <f>3*INDEX([1]equip.xml!$I:$I,MATCH(D4540&amp;"",[1]equip.xml!$A:$A,0))</f>
        <v>90000</v>
      </c>
      <c r="H4540" s="8" t="str">
        <f t="shared" ref="H4540:J4540" si="5679">H4452</f>
        <v>10_10,50_20,80_30</v>
      </c>
      <c r="I4540" s="8">
        <v>8</v>
      </c>
      <c r="J4540" s="8">
        <f t="shared" si="5679"/>
        <v>50</v>
      </c>
      <c r="K4540" s="7" t="s">
        <v>309</v>
      </c>
      <c r="L4540" s="8">
        <v>28</v>
      </c>
      <c r="M4540" s="7">
        <f>IF(INDEX([1]equip.xml!$B:$B,MATCH(D4540&amp;"",[1]equip.xml!$A:$A,0))=0,0,N4540)</f>
        <v>70</v>
      </c>
      <c r="N4540" s="7">
        <f t="shared" si="5572"/>
        <v>70</v>
      </c>
    </row>
    <row r="4541" spans="1:14">
      <c r="A4541" s="7">
        <f t="shared" si="5651"/>
        <v>30010</v>
      </c>
      <c r="B4541" s="8">
        <f t="shared" ref="B4541:C4541" si="5680">B4453</f>
        <v>40000</v>
      </c>
      <c r="C4541" s="8" t="str">
        <f t="shared" si="5680"/>
        <v>装备</v>
      </c>
      <c r="D4541" s="8">
        <v>40300020</v>
      </c>
      <c r="E4541" s="8"/>
      <c r="F4541" s="8">
        <v>1</v>
      </c>
      <c r="G4541" s="7">
        <f>3*INDEX([1]equip.xml!$I:$I,MATCH(D4541&amp;"",[1]equip.xml!$A:$A,0))</f>
        <v>90000</v>
      </c>
      <c r="H4541" s="8" t="str">
        <f t="shared" ref="H4541:J4541" si="5681">H4453</f>
        <v>10_10,50_20,80_30</v>
      </c>
      <c r="I4541" s="8">
        <v>8</v>
      </c>
      <c r="J4541" s="8">
        <f t="shared" si="5681"/>
        <v>50</v>
      </c>
      <c r="K4541" s="7" t="s">
        <v>309</v>
      </c>
      <c r="L4541" s="8">
        <v>28</v>
      </c>
      <c r="M4541" s="7">
        <f>IF(INDEX([1]equip.xml!$B:$B,MATCH(D4541&amp;"",[1]equip.xml!$A:$A,0))=0,0,N4541)</f>
        <v>70</v>
      </c>
      <c r="N4541" s="7">
        <f t="shared" si="5572"/>
        <v>70</v>
      </c>
    </row>
    <row r="4542" spans="1:14">
      <c r="A4542" s="7">
        <f t="shared" si="5651"/>
        <v>30010</v>
      </c>
      <c r="B4542" s="8">
        <f t="shared" ref="B4542:C4542" si="5682">B4454</f>
        <v>40000</v>
      </c>
      <c r="C4542" s="8" t="str">
        <f t="shared" si="5682"/>
        <v>装备</v>
      </c>
      <c r="D4542" s="8">
        <v>40300030</v>
      </c>
      <c r="E4542" s="8"/>
      <c r="F4542" s="8">
        <v>1</v>
      </c>
      <c r="G4542" s="7">
        <f>3*INDEX([1]equip.xml!$I:$I,MATCH(D4542&amp;"",[1]equip.xml!$A:$A,0))</f>
        <v>90000</v>
      </c>
      <c r="H4542" s="8" t="str">
        <f t="shared" ref="H4542:J4542" si="5683">H4454</f>
        <v>10_10,50_20,80_30</v>
      </c>
      <c r="I4542" s="8">
        <v>8</v>
      </c>
      <c r="J4542" s="8">
        <f t="shared" si="5683"/>
        <v>50</v>
      </c>
      <c r="K4542" s="7" t="s">
        <v>309</v>
      </c>
      <c r="L4542" s="8">
        <v>28</v>
      </c>
      <c r="M4542" s="7">
        <f>IF(INDEX([1]equip.xml!$B:$B,MATCH(D4542&amp;"",[1]equip.xml!$A:$A,0))=0,0,N4542)</f>
        <v>70</v>
      </c>
      <c r="N4542" s="7">
        <f t="shared" si="5572"/>
        <v>70</v>
      </c>
    </row>
    <row r="4543" spans="1:14">
      <c r="A4543" s="7">
        <f t="shared" si="5651"/>
        <v>30010</v>
      </c>
      <c r="B4543" s="8">
        <f t="shared" ref="B4543:C4543" si="5684">B4455</f>
        <v>40000</v>
      </c>
      <c r="C4543" s="8" t="str">
        <f t="shared" si="5684"/>
        <v>装备</v>
      </c>
      <c r="D4543" s="8">
        <v>40300080</v>
      </c>
      <c r="E4543" s="8"/>
      <c r="F4543" s="8">
        <v>1</v>
      </c>
      <c r="G4543" s="7">
        <f>3*INDEX([1]equip.xml!$I:$I,MATCH(D4543&amp;"",[1]equip.xml!$A:$A,0))</f>
        <v>90000</v>
      </c>
      <c r="H4543" s="8" t="str">
        <f t="shared" ref="H4543:J4543" si="5685">H4455</f>
        <v>10_10,50_20,80_30</v>
      </c>
      <c r="I4543" s="8">
        <v>8</v>
      </c>
      <c r="J4543" s="8">
        <f t="shared" si="5685"/>
        <v>50</v>
      </c>
      <c r="K4543" s="7" t="s">
        <v>309</v>
      </c>
      <c r="L4543" s="8">
        <v>28</v>
      </c>
      <c r="M4543" s="7">
        <f>IF(INDEX([1]equip.xml!$B:$B,MATCH(D4543&amp;"",[1]equip.xml!$A:$A,0))=0,0,N4543)</f>
        <v>70</v>
      </c>
      <c r="N4543" s="7">
        <f t="shared" si="5572"/>
        <v>70</v>
      </c>
    </row>
    <row r="4544" spans="1:14">
      <c r="A4544" s="7">
        <f t="shared" si="5651"/>
        <v>30010</v>
      </c>
      <c r="B4544" s="8">
        <f t="shared" ref="B4544:C4544" si="5686">B4456</f>
        <v>40000</v>
      </c>
      <c r="C4544" s="8" t="str">
        <f t="shared" si="5686"/>
        <v>装备</v>
      </c>
      <c r="D4544" s="8">
        <v>40300090</v>
      </c>
      <c r="E4544" s="8"/>
      <c r="F4544" s="8">
        <v>1</v>
      </c>
      <c r="G4544" s="7">
        <f>3*INDEX([1]equip.xml!$I:$I,MATCH(D4544&amp;"",[1]equip.xml!$A:$A,0))</f>
        <v>90000</v>
      </c>
      <c r="H4544" s="8" t="str">
        <f t="shared" ref="H4544:J4544" si="5687">H4456</f>
        <v>10_10,50_20,80_30</v>
      </c>
      <c r="I4544" s="8">
        <v>8</v>
      </c>
      <c r="J4544" s="8">
        <f t="shared" si="5687"/>
        <v>50</v>
      </c>
      <c r="K4544" s="7" t="s">
        <v>309</v>
      </c>
      <c r="L4544" s="8">
        <v>28</v>
      </c>
      <c r="M4544" s="7">
        <f>IF(INDEX([1]equip.xml!$B:$B,MATCH(D4544&amp;"",[1]equip.xml!$A:$A,0))=0,0,N4544)</f>
        <v>70</v>
      </c>
      <c r="N4544" s="7">
        <f t="shared" si="5572"/>
        <v>70</v>
      </c>
    </row>
    <row r="4545" spans="1:14">
      <c r="A4545" s="7">
        <f t="shared" si="5651"/>
        <v>30010</v>
      </c>
      <c r="B4545" s="8">
        <f t="shared" ref="B4545:C4545" si="5688">B4457</f>
        <v>40000</v>
      </c>
      <c r="C4545" s="8" t="str">
        <f t="shared" si="5688"/>
        <v>装备</v>
      </c>
      <c r="D4545" s="8">
        <v>40300100</v>
      </c>
      <c r="E4545" s="8"/>
      <c r="F4545" s="8">
        <v>1</v>
      </c>
      <c r="G4545" s="7">
        <f>3*INDEX([1]equip.xml!$I:$I,MATCH(D4545&amp;"",[1]equip.xml!$A:$A,0))</f>
        <v>90000</v>
      </c>
      <c r="H4545" s="8" t="str">
        <f t="shared" ref="H4545:J4545" si="5689">H4457</f>
        <v>10_10,50_20,80_30</v>
      </c>
      <c r="I4545" s="8">
        <v>8</v>
      </c>
      <c r="J4545" s="8">
        <f t="shared" si="5689"/>
        <v>50</v>
      </c>
      <c r="K4545" s="7" t="s">
        <v>309</v>
      </c>
      <c r="L4545" s="8">
        <v>28</v>
      </c>
      <c r="M4545" s="7">
        <f>IF(INDEX([1]equip.xml!$B:$B,MATCH(D4545&amp;"",[1]equip.xml!$A:$A,0))=0,0,N4545)</f>
        <v>70</v>
      </c>
      <c r="N4545" s="7">
        <f t="shared" si="5572"/>
        <v>70</v>
      </c>
    </row>
    <row r="4546" spans="1:14">
      <c r="A4546" s="7">
        <f t="shared" si="5651"/>
        <v>30010</v>
      </c>
      <c r="B4546" s="8">
        <f t="shared" ref="B4546:C4546" si="5690">B4458</f>
        <v>40000</v>
      </c>
      <c r="C4546" s="8" t="str">
        <f t="shared" si="5690"/>
        <v>装备</v>
      </c>
      <c r="D4546" s="8">
        <v>40301050</v>
      </c>
      <c r="E4546" s="8"/>
      <c r="F4546" s="8">
        <v>1</v>
      </c>
      <c r="G4546" s="7">
        <f>3*INDEX([1]equip.xml!$I:$I,MATCH(D4546&amp;"",[1]equip.xml!$A:$A,0))</f>
        <v>90000</v>
      </c>
      <c r="H4546" s="8" t="str">
        <f t="shared" ref="H4546:J4546" si="5691">H4458</f>
        <v>10_10,50_20,80_30</v>
      </c>
      <c r="I4546" s="8">
        <v>8</v>
      </c>
      <c r="J4546" s="8">
        <f t="shared" si="5691"/>
        <v>50</v>
      </c>
      <c r="K4546" s="7" t="s">
        <v>309</v>
      </c>
      <c r="L4546" s="8">
        <v>28</v>
      </c>
      <c r="M4546" s="7">
        <f>IF(INDEX([1]equip.xml!$B:$B,MATCH(D4546&amp;"",[1]equip.xml!$A:$A,0))=0,0,N4546)</f>
        <v>70</v>
      </c>
      <c r="N4546" s="7">
        <f t="shared" si="5572"/>
        <v>70</v>
      </c>
    </row>
    <row r="4547" spans="1:14">
      <c r="A4547" s="7">
        <f t="shared" si="5651"/>
        <v>30010</v>
      </c>
      <c r="B4547" s="8">
        <f t="shared" ref="B4547:C4547" si="5692">B4459</f>
        <v>40000</v>
      </c>
      <c r="C4547" s="8" t="str">
        <f t="shared" si="5692"/>
        <v>装备</v>
      </c>
      <c r="D4547" s="8">
        <v>40301051</v>
      </c>
      <c r="E4547" s="8"/>
      <c r="F4547" s="8">
        <v>1</v>
      </c>
      <c r="G4547" s="7">
        <f>3*INDEX([1]equip.xml!$I:$I,MATCH(D4547&amp;"",[1]equip.xml!$A:$A,0))</f>
        <v>99000</v>
      </c>
      <c r="H4547" s="8" t="str">
        <f t="shared" ref="H4547:J4547" si="5693">H4459</f>
        <v>10_10,50_20,80_30</v>
      </c>
      <c r="I4547" s="8">
        <v>8</v>
      </c>
      <c r="J4547" s="8">
        <f t="shared" si="5693"/>
        <v>50</v>
      </c>
      <c r="K4547" s="7" t="s">
        <v>309</v>
      </c>
      <c r="L4547" s="8">
        <v>28</v>
      </c>
      <c r="M4547" s="7">
        <f>IF(INDEX([1]equip.xml!$B:$B,MATCH(D4547&amp;"",[1]equip.xml!$A:$A,0))=0,0,N4547)</f>
        <v>70</v>
      </c>
      <c r="N4547" s="7">
        <f t="shared" si="5572"/>
        <v>70</v>
      </c>
    </row>
    <row r="4548" spans="1:14">
      <c r="A4548" s="7">
        <f t="shared" si="5651"/>
        <v>30010</v>
      </c>
      <c r="B4548" s="8">
        <f t="shared" ref="B4548:C4548" si="5694">B4460</f>
        <v>40000</v>
      </c>
      <c r="C4548" s="8" t="str">
        <f t="shared" si="5694"/>
        <v>装备</v>
      </c>
      <c r="D4548" s="8">
        <v>40301060</v>
      </c>
      <c r="E4548" s="8"/>
      <c r="F4548" s="8">
        <v>1</v>
      </c>
      <c r="G4548" s="7">
        <f>3*INDEX([1]equip.xml!$I:$I,MATCH(D4548&amp;"",[1]equip.xml!$A:$A,0))</f>
        <v>90000</v>
      </c>
      <c r="H4548" s="8" t="str">
        <f t="shared" ref="H4548:J4548" si="5695">H4460</f>
        <v>10_10,50_20,80_30</v>
      </c>
      <c r="I4548" s="8">
        <v>8</v>
      </c>
      <c r="J4548" s="8">
        <f t="shared" si="5695"/>
        <v>50</v>
      </c>
      <c r="K4548" s="7" t="s">
        <v>309</v>
      </c>
      <c r="L4548" s="8">
        <v>28</v>
      </c>
      <c r="M4548" s="7">
        <f>IF(INDEX([1]equip.xml!$B:$B,MATCH(D4548&amp;"",[1]equip.xml!$A:$A,0))=0,0,N4548)</f>
        <v>70</v>
      </c>
      <c r="N4548" s="7">
        <f t="shared" si="5572"/>
        <v>70</v>
      </c>
    </row>
    <row r="4549" spans="1:14">
      <c r="A4549" s="7">
        <f t="shared" si="5651"/>
        <v>30010</v>
      </c>
      <c r="B4549" s="8">
        <f t="shared" ref="B4549:C4549" si="5696">B4461</f>
        <v>40000</v>
      </c>
      <c r="C4549" s="8" t="str">
        <f t="shared" si="5696"/>
        <v>装备</v>
      </c>
      <c r="D4549" s="8">
        <v>40301061</v>
      </c>
      <c r="E4549" s="8"/>
      <c r="F4549" s="8">
        <v>1</v>
      </c>
      <c r="G4549" s="7">
        <f>3*INDEX([1]equip.xml!$I:$I,MATCH(D4549&amp;"",[1]equip.xml!$A:$A,0))</f>
        <v>99000</v>
      </c>
      <c r="H4549" s="8" t="str">
        <f t="shared" ref="H4549:J4549" si="5697">H4461</f>
        <v>10_10,50_20,80_30</v>
      </c>
      <c r="I4549" s="8">
        <v>8</v>
      </c>
      <c r="J4549" s="8">
        <f t="shared" si="5697"/>
        <v>50</v>
      </c>
      <c r="K4549" s="7" t="s">
        <v>309</v>
      </c>
      <c r="L4549" s="8">
        <v>28</v>
      </c>
      <c r="M4549" s="7">
        <f>IF(INDEX([1]equip.xml!$B:$B,MATCH(D4549&amp;"",[1]equip.xml!$A:$A,0))=0,0,N4549)</f>
        <v>0</v>
      </c>
      <c r="N4549" s="7">
        <f t="shared" si="5572"/>
        <v>70</v>
      </c>
    </row>
    <row r="4550" spans="1:14">
      <c r="A4550" s="7">
        <f t="shared" si="5651"/>
        <v>30010</v>
      </c>
      <c r="B4550" s="8">
        <f t="shared" ref="B4550:C4550" si="5698">B4462</f>
        <v>40000</v>
      </c>
      <c r="C4550" s="8" t="str">
        <f t="shared" si="5698"/>
        <v>装备</v>
      </c>
      <c r="D4550" s="8">
        <v>40302050</v>
      </c>
      <c r="E4550" s="8"/>
      <c r="F4550" s="8">
        <v>1</v>
      </c>
      <c r="G4550" s="7">
        <f>3*INDEX([1]equip.xml!$I:$I,MATCH(D4550&amp;"",[1]equip.xml!$A:$A,0))</f>
        <v>90000</v>
      </c>
      <c r="H4550" s="8" t="str">
        <f t="shared" ref="H4550:J4550" si="5699">H4462</f>
        <v>10_10,50_20,80_30</v>
      </c>
      <c r="I4550" s="8">
        <v>8</v>
      </c>
      <c r="J4550" s="8">
        <f t="shared" si="5699"/>
        <v>50</v>
      </c>
      <c r="K4550" s="7" t="s">
        <v>309</v>
      </c>
      <c r="L4550" s="8">
        <v>28</v>
      </c>
      <c r="M4550" s="7">
        <f>IF(INDEX([1]equip.xml!$B:$B,MATCH(D4550&amp;"",[1]equip.xml!$A:$A,0))=0,0,N4550)</f>
        <v>70</v>
      </c>
      <c r="N4550" s="7">
        <f t="shared" si="5572"/>
        <v>70</v>
      </c>
    </row>
    <row r="4551" spans="1:14">
      <c r="A4551" s="7">
        <f t="shared" si="5651"/>
        <v>30010</v>
      </c>
      <c r="B4551" s="8">
        <f t="shared" ref="B4551:C4551" si="5700">B4463</f>
        <v>40000</v>
      </c>
      <c r="C4551" s="8" t="str">
        <f t="shared" si="5700"/>
        <v>装备</v>
      </c>
      <c r="D4551" s="8">
        <v>40302051</v>
      </c>
      <c r="E4551" s="8"/>
      <c r="F4551" s="8">
        <v>1</v>
      </c>
      <c r="G4551" s="7">
        <f>3*INDEX([1]equip.xml!$I:$I,MATCH(D4551&amp;"",[1]equip.xml!$A:$A,0))</f>
        <v>99000</v>
      </c>
      <c r="H4551" s="8" t="str">
        <f t="shared" ref="H4551:J4551" si="5701">H4463</f>
        <v>10_10,50_20,80_30</v>
      </c>
      <c r="I4551" s="8">
        <v>8</v>
      </c>
      <c r="J4551" s="8">
        <f t="shared" si="5701"/>
        <v>50</v>
      </c>
      <c r="K4551" s="7" t="s">
        <v>309</v>
      </c>
      <c r="L4551" s="8">
        <v>28</v>
      </c>
      <c r="M4551" s="7">
        <f>IF(INDEX([1]equip.xml!$B:$B,MATCH(D4551&amp;"",[1]equip.xml!$A:$A,0))=0,0,N4551)</f>
        <v>70</v>
      </c>
      <c r="N4551" s="7">
        <f t="shared" ref="N4551:N4614" si="5702">N4463</f>
        <v>70</v>
      </c>
    </row>
    <row r="4552" spans="1:14">
      <c r="A4552" s="7">
        <f t="shared" si="5651"/>
        <v>30010</v>
      </c>
      <c r="B4552" s="8">
        <f t="shared" ref="B4552:C4552" si="5703">B4464</f>
        <v>40000</v>
      </c>
      <c r="C4552" s="8" t="str">
        <f t="shared" si="5703"/>
        <v>装备</v>
      </c>
      <c r="D4552" s="8">
        <v>40302060</v>
      </c>
      <c r="E4552" s="8"/>
      <c r="F4552" s="8">
        <v>1</v>
      </c>
      <c r="G4552" s="7">
        <f>3*INDEX([1]equip.xml!$I:$I,MATCH(D4552&amp;"",[1]equip.xml!$A:$A,0))</f>
        <v>90000</v>
      </c>
      <c r="H4552" s="8" t="str">
        <f t="shared" ref="H4552:J4552" si="5704">H4464</f>
        <v>10_10,50_20,80_30</v>
      </c>
      <c r="I4552" s="8">
        <v>8</v>
      </c>
      <c r="J4552" s="8">
        <f t="shared" si="5704"/>
        <v>50</v>
      </c>
      <c r="K4552" s="7" t="s">
        <v>309</v>
      </c>
      <c r="L4552" s="8">
        <v>28</v>
      </c>
      <c r="M4552" s="7">
        <f>IF(INDEX([1]equip.xml!$B:$B,MATCH(D4552&amp;"",[1]equip.xml!$A:$A,0))=0,0,N4552)</f>
        <v>70</v>
      </c>
      <c r="N4552" s="7">
        <f t="shared" si="5702"/>
        <v>70</v>
      </c>
    </row>
    <row r="4553" spans="1:14">
      <c r="A4553" s="7">
        <f t="shared" si="5651"/>
        <v>30010</v>
      </c>
      <c r="B4553" s="8">
        <f t="shared" ref="B4553:C4553" si="5705">B4465</f>
        <v>40000</v>
      </c>
      <c r="C4553" s="8" t="str">
        <f t="shared" si="5705"/>
        <v>装备</v>
      </c>
      <c r="D4553" s="8">
        <v>40302061</v>
      </c>
      <c r="E4553" s="8"/>
      <c r="F4553" s="8">
        <v>1</v>
      </c>
      <c r="G4553" s="7">
        <f>3*INDEX([1]equip.xml!$I:$I,MATCH(D4553&amp;"",[1]equip.xml!$A:$A,0))</f>
        <v>99000</v>
      </c>
      <c r="H4553" s="8" t="str">
        <f t="shared" ref="H4553:J4553" si="5706">H4465</f>
        <v>10_10,50_20,80_30</v>
      </c>
      <c r="I4553" s="8">
        <v>8</v>
      </c>
      <c r="J4553" s="8">
        <f t="shared" si="5706"/>
        <v>50</v>
      </c>
      <c r="K4553" s="7" t="s">
        <v>309</v>
      </c>
      <c r="L4553" s="8">
        <v>28</v>
      </c>
      <c r="M4553" s="7">
        <f>IF(INDEX([1]equip.xml!$B:$B,MATCH(D4553&amp;"",[1]equip.xml!$A:$A,0))=0,0,N4553)</f>
        <v>0</v>
      </c>
      <c r="N4553" s="7">
        <f t="shared" si="5702"/>
        <v>70</v>
      </c>
    </row>
    <row r="4554" spans="1:14">
      <c r="A4554" s="7">
        <f t="shared" si="5651"/>
        <v>30010</v>
      </c>
      <c r="B4554" s="8">
        <f t="shared" ref="B4554:C4554" si="5707">B4466</f>
        <v>40000</v>
      </c>
      <c r="C4554" s="8" t="str">
        <f t="shared" si="5707"/>
        <v>装备</v>
      </c>
      <c r="D4554" s="8">
        <v>40303050</v>
      </c>
      <c r="E4554" s="8"/>
      <c r="F4554" s="8">
        <v>1</v>
      </c>
      <c r="G4554" s="7">
        <f>3*INDEX([1]equip.xml!$I:$I,MATCH(D4554&amp;"",[1]equip.xml!$A:$A,0))</f>
        <v>90000</v>
      </c>
      <c r="H4554" s="8" t="str">
        <f t="shared" ref="H4554:J4554" si="5708">H4466</f>
        <v>10_10,50_20,80_30</v>
      </c>
      <c r="I4554" s="8">
        <v>8</v>
      </c>
      <c r="J4554" s="8">
        <f t="shared" si="5708"/>
        <v>50</v>
      </c>
      <c r="K4554" s="7" t="s">
        <v>309</v>
      </c>
      <c r="L4554" s="8">
        <v>28</v>
      </c>
      <c r="M4554" s="7">
        <f>IF(INDEX([1]equip.xml!$B:$B,MATCH(D4554&amp;"",[1]equip.xml!$A:$A,0))=0,0,N4554)</f>
        <v>70</v>
      </c>
      <c r="N4554" s="7">
        <f t="shared" si="5702"/>
        <v>70</v>
      </c>
    </row>
    <row r="4555" spans="1:14">
      <c r="A4555" s="7">
        <f t="shared" si="5651"/>
        <v>30010</v>
      </c>
      <c r="B4555" s="8">
        <f t="shared" ref="B4555:C4555" si="5709">B4467</f>
        <v>40000</v>
      </c>
      <c r="C4555" s="8" t="str">
        <f t="shared" si="5709"/>
        <v>装备</v>
      </c>
      <c r="D4555" s="8">
        <v>40303051</v>
      </c>
      <c r="E4555" s="8"/>
      <c r="F4555" s="8">
        <v>1</v>
      </c>
      <c r="G4555" s="7">
        <f>3*INDEX([1]equip.xml!$I:$I,MATCH(D4555&amp;"",[1]equip.xml!$A:$A,0))</f>
        <v>99000</v>
      </c>
      <c r="H4555" s="8" t="str">
        <f t="shared" ref="H4555:J4555" si="5710">H4467</f>
        <v>10_10,50_20,80_30</v>
      </c>
      <c r="I4555" s="8">
        <v>8</v>
      </c>
      <c r="J4555" s="8">
        <f t="shared" si="5710"/>
        <v>50</v>
      </c>
      <c r="K4555" s="7" t="s">
        <v>309</v>
      </c>
      <c r="L4555" s="8">
        <v>28</v>
      </c>
      <c r="M4555" s="7">
        <f>IF(INDEX([1]equip.xml!$B:$B,MATCH(D4555&amp;"",[1]equip.xml!$A:$A,0))=0,0,N4555)</f>
        <v>70</v>
      </c>
      <c r="N4555" s="7">
        <f t="shared" si="5702"/>
        <v>70</v>
      </c>
    </row>
    <row r="4556" spans="1:14">
      <c r="A4556" s="7">
        <f t="shared" si="5651"/>
        <v>30010</v>
      </c>
      <c r="B4556" s="8">
        <f t="shared" ref="B4556:C4556" si="5711">B4468</f>
        <v>40000</v>
      </c>
      <c r="C4556" s="8" t="str">
        <f t="shared" si="5711"/>
        <v>装备</v>
      </c>
      <c r="D4556" s="8">
        <v>40303060</v>
      </c>
      <c r="E4556" s="8"/>
      <c r="F4556" s="8">
        <v>1</v>
      </c>
      <c r="G4556" s="7">
        <f>3*INDEX([1]equip.xml!$I:$I,MATCH(D4556&amp;"",[1]equip.xml!$A:$A,0))</f>
        <v>90000</v>
      </c>
      <c r="H4556" s="8" t="str">
        <f t="shared" ref="H4556:J4556" si="5712">H4468</f>
        <v>10_10,50_20,80_30</v>
      </c>
      <c r="I4556" s="8">
        <v>8</v>
      </c>
      <c r="J4556" s="8">
        <f t="shared" si="5712"/>
        <v>50</v>
      </c>
      <c r="K4556" s="7" t="s">
        <v>309</v>
      </c>
      <c r="L4556" s="8">
        <v>28</v>
      </c>
      <c r="M4556" s="7">
        <f>IF(INDEX([1]equip.xml!$B:$B,MATCH(D4556&amp;"",[1]equip.xml!$A:$A,0))=0,0,N4556)</f>
        <v>70</v>
      </c>
      <c r="N4556" s="7">
        <f t="shared" si="5702"/>
        <v>70</v>
      </c>
    </row>
    <row r="4557" spans="1:14">
      <c r="A4557" s="7">
        <f t="shared" si="5651"/>
        <v>30010</v>
      </c>
      <c r="B4557" s="8">
        <f t="shared" ref="B4557:C4557" si="5713">B4469</f>
        <v>40000</v>
      </c>
      <c r="C4557" s="8" t="str">
        <f t="shared" si="5713"/>
        <v>装备</v>
      </c>
      <c r="D4557" s="8">
        <v>40303061</v>
      </c>
      <c r="E4557" s="8"/>
      <c r="F4557" s="8">
        <v>1</v>
      </c>
      <c r="G4557" s="7">
        <f>3*INDEX([1]equip.xml!$I:$I,MATCH(D4557&amp;"",[1]equip.xml!$A:$A,0))</f>
        <v>99000</v>
      </c>
      <c r="H4557" s="8" t="str">
        <f t="shared" ref="H4557:J4557" si="5714">H4469</f>
        <v>10_10,50_20,80_30</v>
      </c>
      <c r="I4557" s="8">
        <v>8</v>
      </c>
      <c r="J4557" s="8">
        <f t="shared" si="5714"/>
        <v>50</v>
      </c>
      <c r="K4557" s="7" t="s">
        <v>309</v>
      </c>
      <c r="L4557" s="8">
        <v>28</v>
      </c>
      <c r="M4557" s="7">
        <f>IF(INDEX([1]equip.xml!$B:$B,MATCH(D4557&amp;"",[1]equip.xml!$A:$A,0))=0,0,N4557)</f>
        <v>0</v>
      </c>
      <c r="N4557" s="7">
        <f t="shared" si="5702"/>
        <v>70</v>
      </c>
    </row>
    <row r="4558" spans="1:14">
      <c r="A4558" s="7">
        <f t="shared" si="5651"/>
        <v>30010</v>
      </c>
      <c r="B4558" s="8">
        <f t="shared" ref="B4558:C4558" si="5715">B4470</f>
        <v>40000</v>
      </c>
      <c r="C4558" s="8" t="str">
        <f t="shared" si="5715"/>
        <v>装备</v>
      </c>
      <c r="D4558" s="8">
        <v>40300040</v>
      </c>
      <c r="E4558" s="8"/>
      <c r="F4558" s="8">
        <v>1</v>
      </c>
      <c r="G4558" s="7">
        <f>3*INDEX([1]equip.xml!$I:$I,MATCH(D4558&amp;"",[1]equip.xml!$A:$A,0))</f>
        <v>90000</v>
      </c>
      <c r="H4558" s="8" t="str">
        <f t="shared" ref="H4558:J4558" si="5716">H4470</f>
        <v>10_10,50_20,80_30</v>
      </c>
      <c r="I4558" s="8">
        <v>8</v>
      </c>
      <c r="J4558" s="8">
        <f t="shared" si="5716"/>
        <v>50</v>
      </c>
      <c r="K4558" s="7" t="s">
        <v>309</v>
      </c>
      <c r="L4558" s="8">
        <v>28</v>
      </c>
      <c r="M4558" s="7">
        <f>IF(INDEX([1]equip.xml!$B:$B,MATCH(D4558&amp;"",[1]equip.xml!$A:$A,0))=0,0,N4558)</f>
        <v>70</v>
      </c>
      <c r="N4558" s="7">
        <f t="shared" si="5702"/>
        <v>70</v>
      </c>
    </row>
    <row r="4559" spans="1:14">
      <c r="A4559" s="7">
        <f t="shared" si="5651"/>
        <v>30010</v>
      </c>
      <c r="B4559" s="8">
        <f t="shared" ref="B4559:C4559" si="5717">B4471</f>
        <v>40000</v>
      </c>
      <c r="C4559" s="8" t="str">
        <f t="shared" si="5717"/>
        <v>装备</v>
      </c>
      <c r="D4559" s="8">
        <v>40300041</v>
      </c>
      <c r="E4559" s="8"/>
      <c r="F4559" s="8">
        <v>1</v>
      </c>
      <c r="G4559" s="7">
        <f>3*INDEX([1]equip.xml!$I:$I,MATCH(D4559&amp;"",[1]equip.xml!$A:$A,0))</f>
        <v>99000</v>
      </c>
      <c r="H4559" s="8" t="str">
        <f t="shared" ref="H4559:J4559" si="5718">H4471</f>
        <v>10_10,50_20,80_30</v>
      </c>
      <c r="I4559" s="8">
        <v>8</v>
      </c>
      <c r="J4559" s="8">
        <f t="shared" si="5718"/>
        <v>50</v>
      </c>
      <c r="K4559" s="7" t="s">
        <v>309</v>
      </c>
      <c r="L4559" s="8">
        <v>28</v>
      </c>
      <c r="M4559" s="7">
        <f>IF(INDEX([1]equip.xml!$B:$B,MATCH(D4559&amp;"",[1]equip.xml!$A:$A,0))=0,0,N4559)</f>
        <v>70</v>
      </c>
      <c r="N4559" s="7">
        <f t="shared" si="5702"/>
        <v>70</v>
      </c>
    </row>
    <row r="4560" spans="1:14">
      <c r="A4560" s="7">
        <f t="shared" si="5651"/>
        <v>30010</v>
      </c>
      <c r="B4560" s="8">
        <f t="shared" ref="B4560:C4560" si="5719">B4472</f>
        <v>40000</v>
      </c>
      <c r="C4560" s="8" t="str">
        <f t="shared" si="5719"/>
        <v>装备</v>
      </c>
      <c r="D4560" s="8">
        <v>40300070</v>
      </c>
      <c r="E4560" s="8"/>
      <c r="F4560" s="8">
        <v>1</v>
      </c>
      <c r="G4560" s="7">
        <f>3*INDEX([1]equip.xml!$I:$I,MATCH(D4560&amp;"",[1]equip.xml!$A:$A,0))</f>
        <v>90000</v>
      </c>
      <c r="H4560" s="8" t="str">
        <f t="shared" ref="H4560:J4560" si="5720">H4472</f>
        <v>10_10,50_20,80_30</v>
      </c>
      <c r="I4560" s="8">
        <v>8</v>
      </c>
      <c r="J4560" s="8">
        <f t="shared" si="5720"/>
        <v>50</v>
      </c>
      <c r="K4560" s="7" t="s">
        <v>309</v>
      </c>
      <c r="L4560" s="8">
        <v>28</v>
      </c>
      <c r="M4560" s="7">
        <f>IF(INDEX([1]equip.xml!$B:$B,MATCH(D4560&amp;"",[1]equip.xml!$A:$A,0))=0,0,N4560)</f>
        <v>70</v>
      </c>
      <c r="N4560" s="7">
        <f t="shared" si="5702"/>
        <v>70</v>
      </c>
    </row>
    <row r="4561" spans="1:14">
      <c r="A4561" s="7">
        <f t="shared" si="5651"/>
        <v>30010</v>
      </c>
      <c r="B4561" s="8">
        <f t="shared" ref="B4561:C4561" si="5721">B4473</f>
        <v>40000</v>
      </c>
      <c r="C4561" s="8" t="str">
        <f t="shared" si="5721"/>
        <v>装备</v>
      </c>
      <c r="D4561" s="8">
        <v>40300071</v>
      </c>
      <c r="E4561" s="8"/>
      <c r="F4561" s="8">
        <v>1</v>
      </c>
      <c r="G4561" s="7">
        <f>3*INDEX([1]equip.xml!$I:$I,MATCH(D4561&amp;"",[1]equip.xml!$A:$A,0))</f>
        <v>99000</v>
      </c>
      <c r="H4561" s="8" t="str">
        <f t="shared" ref="H4561:J4561" si="5722">H4473</f>
        <v>10_10,50_20,80_30</v>
      </c>
      <c r="I4561" s="8">
        <v>8</v>
      </c>
      <c r="J4561" s="8">
        <f t="shared" si="5722"/>
        <v>50</v>
      </c>
      <c r="K4561" s="7" t="s">
        <v>309</v>
      </c>
      <c r="L4561" s="8">
        <v>28</v>
      </c>
      <c r="M4561" s="7">
        <f>IF(INDEX([1]equip.xml!$B:$B,MATCH(D4561&amp;"",[1]equip.xml!$A:$A,0))=0,0,N4561)</f>
        <v>70</v>
      </c>
      <c r="N4561" s="7">
        <f t="shared" si="5702"/>
        <v>70</v>
      </c>
    </row>
    <row r="4562" spans="1:14">
      <c r="A4562" s="7">
        <f t="shared" si="5651"/>
        <v>30010</v>
      </c>
      <c r="B4562" s="8">
        <f t="shared" ref="B4562:C4562" si="5723">B4474</f>
        <v>40000</v>
      </c>
      <c r="C4562" s="8" t="str">
        <f t="shared" si="5723"/>
        <v>装备</v>
      </c>
      <c r="D4562" s="8">
        <v>50250015</v>
      </c>
      <c r="E4562" s="8"/>
      <c r="F4562" s="8">
        <v>1</v>
      </c>
      <c r="G4562" s="8">
        <f>3*INDEX([1]equip.xml!$I:$I,MATCH(D4562,[1]equip.xml!$A:$A,0))</f>
        <v>150000</v>
      </c>
      <c r="H4562" s="8" t="str">
        <f t="shared" ref="H4562:J4562" si="5724">H4474</f>
        <v>10_10,50_20,80_30</v>
      </c>
      <c r="I4562" s="8">
        <v>8</v>
      </c>
      <c r="J4562" s="8">
        <f t="shared" si="5724"/>
        <v>240</v>
      </c>
      <c r="K4562" s="7" t="s">
        <v>309</v>
      </c>
      <c r="L4562" s="8">
        <v>28</v>
      </c>
      <c r="M4562" s="7">
        <f>IF(INDEX([1]equip.xml!$B:$B,MATCH(D4562,[1]equip.xml!$A:$A,0))=0,0,N4562)</f>
        <v>200</v>
      </c>
      <c r="N4562" s="7">
        <f t="shared" si="5702"/>
        <v>200</v>
      </c>
    </row>
    <row r="4563" spans="1:14">
      <c r="A4563" s="7">
        <f t="shared" si="5651"/>
        <v>30010</v>
      </c>
      <c r="B4563" s="8">
        <f t="shared" ref="B4563:C4563" si="5725">B4475</f>
        <v>40000</v>
      </c>
      <c r="C4563" s="8" t="str">
        <f t="shared" si="5725"/>
        <v>装备</v>
      </c>
      <c r="D4563" s="8">
        <v>50250025</v>
      </c>
      <c r="E4563" s="8"/>
      <c r="F4563" s="8">
        <v>1</v>
      </c>
      <c r="G4563" s="8">
        <f>3*INDEX([1]equip.xml!$I:$I,MATCH(D4563,[1]equip.xml!$A:$A,0))</f>
        <v>150000</v>
      </c>
      <c r="H4563" s="8" t="str">
        <f t="shared" ref="H4563:J4563" si="5726">H4475</f>
        <v>10_10,50_20,80_30</v>
      </c>
      <c r="I4563" s="8">
        <v>8</v>
      </c>
      <c r="J4563" s="8">
        <f t="shared" si="5726"/>
        <v>240</v>
      </c>
      <c r="K4563" s="7" t="s">
        <v>309</v>
      </c>
      <c r="L4563" s="8">
        <v>28</v>
      </c>
      <c r="M4563" s="7">
        <f>IF(INDEX([1]equip.xml!$B:$B,MATCH(D4563,[1]equip.xml!$A:$A,0))=0,0,N4563)</f>
        <v>200</v>
      </c>
      <c r="N4563" s="7">
        <f t="shared" si="5702"/>
        <v>200</v>
      </c>
    </row>
    <row r="4564" spans="1:14">
      <c r="A4564" s="7">
        <f t="shared" si="5651"/>
        <v>30010</v>
      </c>
      <c r="B4564" s="8">
        <f t="shared" ref="B4564:C4564" si="5727">B4476</f>
        <v>40000</v>
      </c>
      <c r="C4564" s="8" t="str">
        <f t="shared" si="5727"/>
        <v>装备</v>
      </c>
      <c r="D4564" s="8">
        <v>50250035</v>
      </c>
      <c r="E4564" s="8"/>
      <c r="F4564" s="8">
        <v>1</v>
      </c>
      <c r="G4564" s="8">
        <f>3*INDEX([1]equip.xml!$I:$I,MATCH(D4564,[1]equip.xml!$A:$A,0))</f>
        <v>150000</v>
      </c>
      <c r="H4564" s="8" t="str">
        <f t="shared" ref="H4564:J4564" si="5728">H4476</f>
        <v>10_10,50_20,80_30</v>
      </c>
      <c r="I4564" s="8">
        <v>8</v>
      </c>
      <c r="J4564" s="8">
        <f t="shared" si="5728"/>
        <v>240</v>
      </c>
      <c r="K4564" s="7" t="s">
        <v>309</v>
      </c>
      <c r="L4564" s="8">
        <v>28</v>
      </c>
      <c r="M4564" s="7">
        <f>IF(INDEX([1]equip.xml!$B:$B,MATCH(D4564,[1]equip.xml!$A:$A,0))=0,0,N4564)</f>
        <v>200</v>
      </c>
      <c r="N4564" s="7">
        <f t="shared" si="5702"/>
        <v>200</v>
      </c>
    </row>
    <row r="4565" spans="1:14">
      <c r="A4565" s="7">
        <f t="shared" si="5651"/>
        <v>30010</v>
      </c>
      <c r="B4565" s="8">
        <f t="shared" ref="B4565:C4565" si="5729">B4477</f>
        <v>40000</v>
      </c>
      <c r="C4565" s="8" t="str">
        <f t="shared" si="5729"/>
        <v>装备</v>
      </c>
      <c r="D4565" s="8">
        <v>50250085</v>
      </c>
      <c r="E4565" s="8"/>
      <c r="F4565" s="8">
        <v>1</v>
      </c>
      <c r="G4565" s="8">
        <f>3*INDEX([1]equip.xml!$I:$I,MATCH(D4565,[1]equip.xml!$A:$A,0))</f>
        <v>150000</v>
      </c>
      <c r="H4565" s="8" t="str">
        <f t="shared" ref="H4565:J4565" si="5730">H4477</f>
        <v>10_10,50_20,80_30</v>
      </c>
      <c r="I4565" s="8">
        <v>8</v>
      </c>
      <c r="J4565" s="8">
        <f t="shared" si="5730"/>
        <v>240</v>
      </c>
      <c r="K4565" s="7" t="s">
        <v>309</v>
      </c>
      <c r="L4565" s="8">
        <v>28</v>
      </c>
      <c r="M4565" s="7">
        <f>IF(INDEX([1]equip.xml!$B:$B,MATCH(D4565,[1]equip.xml!$A:$A,0))=0,0,N4565)</f>
        <v>200</v>
      </c>
      <c r="N4565" s="7">
        <f t="shared" si="5702"/>
        <v>200</v>
      </c>
    </row>
    <row r="4566" spans="1:14">
      <c r="A4566" s="7">
        <f t="shared" si="5651"/>
        <v>30010</v>
      </c>
      <c r="B4566" s="8">
        <f t="shared" ref="B4566:C4566" si="5731">B4478</f>
        <v>40000</v>
      </c>
      <c r="C4566" s="8" t="str">
        <f t="shared" si="5731"/>
        <v>装备</v>
      </c>
      <c r="D4566" s="8">
        <v>50250095</v>
      </c>
      <c r="E4566" s="8"/>
      <c r="F4566" s="8">
        <v>1</v>
      </c>
      <c r="G4566" s="8">
        <f>3*INDEX([1]equip.xml!$I:$I,MATCH(D4566,[1]equip.xml!$A:$A,0))</f>
        <v>150000</v>
      </c>
      <c r="H4566" s="8" t="str">
        <f t="shared" ref="H4566:J4566" si="5732">H4478</f>
        <v>10_10,50_20,80_30</v>
      </c>
      <c r="I4566" s="8">
        <v>8</v>
      </c>
      <c r="J4566" s="8">
        <f t="shared" si="5732"/>
        <v>240</v>
      </c>
      <c r="K4566" s="7" t="s">
        <v>309</v>
      </c>
      <c r="L4566" s="8">
        <v>28</v>
      </c>
      <c r="M4566" s="7">
        <f>IF(INDEX([1]equip.xml!$B:$B,MATCH(D4566,[1]equip.xml!$A:$A,0))=0,0,N4566)</f>
        <v>200</v>
      </c>
      <c r="N4566" s="7">
        <f t="shared" si="5702"/>
        <v>200</v>
      </c>
    </row>
    <row r="4567" spans="1:14">
      <c r="A4567" s="7">
        <f t="shared" si="5651"/>
        <v>30010</v>
      </c>
      <c r="B4567" s="8">
        <f t="shared" ref="B4567:C4567" si="5733">B4479</f>
        <v>40000</v>
      </c>
      <c r="C4567" s="8" t="str">
        <f t="shared" si="5733"/>
        <v>装备</v>
      </c>
      <c r="D4567" s="8">
        <v>50250105</v>
      </c>
      <c r="E4567" s="8"/>
      <c r="F4567" s="8">
        <v>1</v>
      </c>
      <c r="G4567" s="8">
        <f>3*INDEX([1]equip.xml!$I:$I,MATCH(D4567,[1]equip.xml!$A:$A,0))</f>
        <v>150000</v>
      </c>
      <c r="H4567" s="8" t="str">
        <f t="shared" ref="H4567:J4567" si="5734">H4479</f>
        <v>10_10,50_20,80_30</v>
      </c>
      <c r="I4567" s="8">
        <v>8</v>
      </c>
      <c r="J4567" s="8">
        <f t="shared" si="5734"/>
        <v>240</v>
      </c>
      <c r="K4567" s="7" t="s">
        <v>309</v>
      </c>
      <c r="L4567" s="8">
        <v>28</v>
      </c>
      <c r="M4567" s="7">
        <f>IF(INDEX([1]equip.xml!$B:$B,MATCH(D4567,[1]equip.xml!$A:$A,0))=0,0,N4567)</f>
        <v>200</v>
      </c>
      <c r="N4567" s="7">
        <f t="shared" si="5702"/>
        <v>200</v>
      </c>
    </row>
    <row r="4568" spans="1:14">
      <c r="A4568" s="7">
        <f t="shared" si="5651"/>
        <v>30010</v>
      </c>
      <c r="B4568" s="8">
        <f t="shared" ref="B4568:C4568" si="5735">B4480</f>
        <v>40000</v>
      </c>
      <c r="C4568" s="8" t="str">
        <f t="shared" si="5735"/>
        <v>装备</v>
      </c>
      <c r="D4568" s="8">
        <v>50251055</v>
      </c>
      <c r="E4568" s="8"/>
      <c r="F4568" s="8">
        <v>1</v>
      </c>
      <c r="G4568" s="8">
        <f>3*INDEX([1]equip.xml!$I:$I,MATCH(D4568,[1]equip.xml!$A:$A,0))</f>
        <v>150000</v>
      </c>
      <c r="H4568" s="8" t="str">
        <f t="shared" ref="H4568:J4568" si="5736">H4480</f>
        <v>10_10,50_20,80_30</v>
      </c>
      <c r="I4568" s="8">
        <v>8</v>
      </c>
      <c r="J4568" s="8">
        <f t="shared" si="5736"/>
        <v>240</v>
      </c>
      <c r="K4568" s="7" t="s">
        <v>309</v>
      </c>
      <c r="L4568" s="8">
        <v>28</v>
      </c>
      <c r="M4568" s="7">
        <f>IF(INDEX([1]equip.xml!$B:$B,MATCH(D4568,[1]equip.xml!$A:$A,0))=0,0,N4568)</f>
        <v>200</v>
      </c>
      <c r="N4568" s="7">
        <f t="shared" si="5702"/>
        <v>200</v>
      </c>
    </row>
    <row r="4569" spans="1:14">
      <c r="A4569" s="7">
        <f t="shared" si="5651"/>
        <v>30010</v>
      </c>
      <c r="B4569" s="8">
        <f t="shared" ref="B4569:C4569" si="5737">B4481</f>
        <v>40000</v>
      </c>
      <c r="C4569" s="8" t="str">
        <f t="shared" si="5737"/>
        <v>装备</v>
      </c>
      <c r="D4569" s="8">
        <v>50251056</v>
      </c>
      <c r="E4569" s="8"/>
      <c r="F4569" s="8">
        <v>1</v>
      </c>
      <c r="G4569" s="8">
        <f>3*INDEX([1]equip.xml!$I:$I,MATCH(D4569,[1]equip.xml!$A:$A,0))</f>
        <v>168000</v>
      </c>
      <c r="H4569" s="8" t="str">
        <f t="shared" ref="H4569:J4569" si="5738">H4481</f>
        <v>10_10,50_20,80_30</v>
      </c>
      <c r="I4569" s="8">
        <v>8</v>
      </c>
      <c r="J4569" s="8">
        <f t="shared" si="5738"/>
        <v>240</v>
      </c>
      <c r="K4569" s="7" t="s">
        <v>309</v>
      </c>
      <c r="L4569" s="8">
        <v>28</v>
      </c>
      <c r="M4569" s="7">
        <f>IF(INDEX([1]equip.xml!$B:$B,MATCH(D4569,[1]equip.xml!$A:$A,0))=0,0,N4569)</f>
        <v>200</v>
      </c>
      <c r="N4569" s="7">
        <f t="shared" si="5702"/>
        <v>200</v>
      </c>
    </row>
    <row r="4570" spans="1:14">
      <c r="A4570" s="7">
        <f t="shared" si="5651"/>
        <v>30010</v>
      </c>
      <c r="B4570" s="8">
        <f t="shared" ref="B4570:C4570" si="5739">B4482</f>
        <v>40000</v>
      </c>
      <c r="C4570" s="8" t="str">
        <f t="shared" si="5739"/>
        <v>装备</v>
      </c>
      <c r="D4570" s="8">
        <v>50251065</v>
      </c>
      <c r="E4570" s="8"/>
      <c r="F4570" s="8">
        <v>1</v>
      </c>
      <c r="G4570" s="8">
        <f>3*INDEX([1]equip.xml!$I:$I,MATCH(D4570,[1]equip.xml!$A:$A,0))</f>
        <v>150000</v>
      </c>
      <c r="H4570" s="8" t="str">
        <f t="shared" ref="H4570:J4570" si="5740">H4482</f>
        <v>10_10,50_20,80_30</v>
      </c>
      <c r="I4570" s="8">
        <v>8</v>
      </c>
      <c r="J4570" s="8">
        <f t="shared" si="5740"/>
        <v>240</v>
      </c>
      <c r="K4570" s="7" t="s">
        <v>309</v>
      </c>
      <c r="L4570" s="8">
        <v>28</v>
      </c>
      <c r="M4570" s="7">
        <f>IF(INDEX([1]equip.xml!$B:$B,MATCH(D4570,[1]equip.xml!$A:$A,0))=0,0,N4570)</f>
        <v>200</v>
      </c>
      <c r="N4570" s="7">
        <f t="shared" si="5702"/>
        <v>200</v>
      </c>
    </row>
    <row r="4571" spans="1:14">
      <c r="A4571" s="7">
        <f t="shared" si="5651"/>
        <v>30010</v>
      </c>
      <c r="B4571" s="8">
        <f t="shared" ref="B4571:C4571" si="5741">B4483</f>
        <v>40000</v>
      </c>
      <c r="C4571" s="8" t="str">
        <f t="shared" si="5741"/>
        <v>装备</v>
      </c>
      <c r="D4571" s="8">
        <v>50251066</v>
      </c>
      <c r="E4571" s="8"/>
      <c r="F4571" s="8">
        <v>1</v>
      </c>
      <c r="G4571" s="8">
        <f>3*INDEX([1]equip.xml!$I:$I,MATCH(D4571,[1]equip.xml!$A:$A,0))</f>
        <v>168000</v>
      </c>
      <c r="H4571" s="8" t="str">
        <f t="shared" ref="H4571:J4571" si="5742">H4483</f>
        <v>10_10,50_20,80_30</v>
      </c>
      <c r="I4571" s="8">
        <v>8</v>
      </c>
      <c r="J4571" s="8">
        <f t="shared" si="5742"/>
        <v>240</v>
      </c>
      <c r="K4571" s="7" t="s">
        <v>309</v>
      </c>
      <c r="L4571" s="8">
        <v>28</v>
      </c>
      <c r="M4571" s="7">
        <f>IF(INDEX([1]equip.xml!$B:$B,MATCH(D4571,[1]equip.xml!$A:$A,0))=0,0,N4571)</f>
        <v>0</v>
      </c>
      <c r="N4571" s="7">
        <f t="shared" si="5702"/>
        <v>200</v>
      </c>
    </row>
    <row r="4572" spans="1:14">
      <c r="A4572" s="7">
        <f t="shared" si="5651"/>
        <v>30010</v>
      </c>
      <c r="B4572" s="8">
        <f t="shared" ref="B4572:C4572" si="5743">B4484</f>
        <v>40000</v>
      </c>
      <c r="C4572" s="8" t="str">
        <f t="shared" si="5743"/>
        <v>装备</v>
      </c>
      <c r="D4572" s="8">
        <v>50252055</v>
      </c>
      <c r="E4572" s="8"/>
      <c r="F4572" s="8">
        <v>1</v>
      </c>
      <c r="G4572" s="8">
        <f>3*INDEX([1]equip.xml!$I:$I,MATCH(D4572,[1]equip.xml!$A:$A,0))</f>
        <v>150000</v>
      </c>
      <c r="H4572" s="8" t="str">
        <f t="shared" ref="H4572:J4572" si="5744">H4484</f>
        <v>10_10,50_20,80_30</v>
      </c>
      <c r="I4572" s="8">
        <v>8</v>
      </c>
      <c r="J4572" s="8">
        <f t="shared" si="5744"/>
        <v>240</v>
      </c>
      <c r="K4572" s="7" t="s">
        <v>309</v>
      </c>
      <c r="L4572" s="8">
        <v>28</v>
      </c>
      <c r="M4572" s="7">
        <f>IF(INDEX([1]equip.xml!$B:$B,MATCH(D4572,[1]equip.xml!$A:$A,0))=0,0,N4572)</f>
        <v>200</v>
      </c>
      <c r="N4572" s="7">
        <f t="shared" si="5702"/>
        <v>200</v>
      </c>
    </row>
    <row r="4573" spans="1:14">
      <c r="A4573" s="7">
        <f t="shared" si="5651"/>
        <v>30010</v>
      </c>
      <c r="B4573" s="8">
        <f t="shared" ref="B4573:C4573" si="5745">B4485</f>
        <v>40000</v>
      </c>
      <c r="C4573" s="8" t="str">
        <f t="shared" si="5745"/>
        <v>装备</v>
      </c>
      <c r="D4573" s="8">
        <v>50252056</v>
      </c>
      <c r="E4573" s="8"/>
      <c r="F4573" s="8">
        <v>1</v>
      </c>
      <c r="G4573" s="8">
        <f>3*INDEX([1]equip.xml!$I:$I,MATCH(D4573,[1]equip.xml!$A:$A,0))</f>
        <v>168000</v>
      </c>
      <c r="H4573" s="8" t="str">
        <f t="shared" ref="H4573:J4573" si="5746">H4485</f>
        <v>10_10,50_20,80_30</v>
      </c>
      <c r="I4573" s="8">
        <v>8</v>
      </c>
      <c r="J4573" s="8">
        <f t="shared" si="5746"/>
        <v>240</v>
      </c>
      <c r="K4573" s="7" t="s">
        <v>309</v>
      </c>
      <c r="L4573" s="8">
        <v>28</v>
      </c>
      <c r="M4573" s="7">
        <f>IF(INDEX([1]equip.xml!$B:$B,MATCH(D4573,[1]equip.xml!$A:$A,0))=0,0,N4573)</f>
        <v>200</v>
      </c>
      <c r="N4573" s="7">
        <f t="shared" si="5702"/>
        <v>200</v>
      </c>
    </row>
    <row r="4574" spans="1:14">
      <c r="A4574" s="7">
        <f t="shared" si="5651"/>
        <v>30010</v>
      </c>
      <c r="B4574" s="8">
        <f t="shared" ref="B4574:C4574" si="5747">B4486</f>
        <v>40000</v>
      </c>
      <c r="C4574" s="8" t="str">
        <f t="shared" si="5747"/>
        <v>装备</v>
      </c>
      <c r="D4574" s="8">
        <v>50252065</v>
      </c>
      <c r="E4574" s="8"/>
      <c r="F4574" s="8">
        <v>1</v>
      </c>
      <c r="G4574" s="8">
        <f>3*INDEX([1]equip.xml!$I:$I,MATCH(D4574,[1]equip.xml!$A:$A,0))</f>
        <v>150000</v>
      </c>
      <c r="H4574" s="8" t="str">
        <f t="shared" ref="H4574:J4574" si="5748">H4486</f>
        <v>10_10,50_20,80_30</v>
      </c>
      <c r="I4574" s="8">
        <v>8</v>
      </c>
      <c r="J4574" s="8">
        <f t="shared" si="5748"/>
        <v>240</v>
      </c>
      <c r="K4574" s="7" t="s">
        <v>309</v>
      </c>
      <c r="L4574" s="8">
        <v>28</v>
      </c>
      <c r="M4574" s="7">
        <f>IF(INDEX([1]equip.xml!$B:$B,MATCH(D4574,[1]equip.xml!$A:$A,0))=0,0,N4574)</f>
        <v>200</v>
      </c>
      <c r="N4574" s="7">
        <f t="shared" si="5702"/>
        <v>200</v>
      </c>
    </row>
    <row r="4575" spans="1:14">
      <c r="A4575" s="7">
        <f t="shared" si="5651"/>
        <v>30010</v>
      </c>
      <c r="B4575" s="8">
        <f t="shared" ref="B4575:C4575" si="5749">B4487</f>
        <v>40000</v>
      </c>
      <c r="C4575" s="8" t="str">
        <f t="shared" si="5749"/>
        <v>装备</v>
      </c>
      <c r="D4575" s="8">
        <v>50252066</v>
      </c>
      <c r="E4575" s="8"/>
      <c r="F4575" s="8">
        <v>1</v>
      </c>
      <c r="G4575" s="8">
        <f>3*INDEX([1]equip.xml!$I:$I,MATCH(D4575,[1]equip.xml!$A:$A,0))</f>
        <v>168000</v>
      </c>
      <c r="H4575" s="8" t="str">
        <f t="shared" ref="H4575:J4575" si="5750">H4487</f>
        <v>10_10,50_20,80_30</v>
      </c>
      <c r="I4575" s="8">
        <v>8</v>
      </c>
      <c r="J4575" s="8">
        <f t="shared" si="5750"/>
        <v>240</v>
      </c>
      <c r="K4575" s="7" t="s">
        <v>309</v>
      </c>
      <c r="L4575" s="8">
        <v>28</v>
      </c>
      <c r="M4575" s="7">
        <f>IF(INDEX([1]equip.xml!$B:$B,MATCH(D4575,[1]equip.xml!$A:$A,0))=0,0,N4575)</f>
        <v>0</v>
      </c>
      <c r="N4575" s="7">
        <f t="shared" si="5702"/>
        <v>200</v>
      </c>
    </row>
    <row r="4576" spans="1:14">
      <c r="A4576" s="7">
        <f t="shared" si="5651"/>
        <v>30010</v>
      </c>
      <c r="B4576" s="8">
        <f t="shared" ref="B4576:C4576" si="5751">B4488</f>
        <v>40000</v>
      </c>
      <c r="C4576" s="8" t="str">
        <f t="shared" si="5751"/>
        <v>装备</v>
      </c>
      <c r="D4576" s="8">
        <v>50253055</v>
      </c>
      <c r="E4576" s="8"/>
      <c r="F4576" s="8">
        <v>1</v>
      </c>
      <c r="G4576" s="8">
        <f>3*INDEX([1]equip.xml!$I:$I,MATCH(D4576,[1]equip.xml!$A:$A,0))</f>
        <v>150000</v>
      </c>
      <c r="H4576" s="8" t="str">
        <f t="shared" ref="H4576:J4576" si="5752">H4488</f>
        <v>10_10,50_20,80_30</v>
      </c>
      <c r="I4576" s="8">
        <v>8</v>
      </c>
      <c r="J4576" s="8">
        <f t="shared" si="5752"/>
        <v>240</v>
      </c>
      <c r="K4576" s="7" t="s">
        <v>309</v>
      </c>
      <c r="L4576" s="8">
        <v>28</v>
      </c>
      <c r="M4576" s="7">
        <f>IF(INDEX([1]equip.xml!$B:$B,MATCH(D4576,[1]equip.xml!$A:$A,0))=0,0,N4576)</f>
        <v>200</v>
      </c>
      <c r="N4576" s="7">
        <f t="shared" si="5702"/>
        <v>200</v>
      </c>
    </row>
    <row r="4577" spans="1:14">
      <c r="A4577" s="7">
        <f t="shared" si="5651"/>
        <v>30010</v>
      </c>
      <c r="B4577" s="8">
        <f t="shared" ref="B4577:C4577" si="5753">B4489</f>
        <v>40000</v>
      </c>
      <c r="C4577" s="8" t="str">
        <f t="shared" si="5753"/>
        <v>装备</v>
      </c>
      <c r="D4577" s="8">
        <v>50253056</v>
      </c>
      <c r="E4577" s="8"/>
      <c r="F4577" s="8">
        <v>1</v>
      </c>
      <c r="G4577" s="8">
        <f>3*INDEX([1]equip.xml!$I:$I,MATCH(D4577,[1]equip.xml!$A:$A,0))</f>
        <v>168000</v>
      </c>
      <c r="H4577" s="8" t="str">
        <f t="shared" ref="H4577:J4577" si="5754">H4489</f>
        <v>10_10,50_20,80_30</v>
      </c>
      <c r="I4577" s="8">
        <v>8</v>
      </c>
      <c r="J4577" s="8">
        <f t="shared" si="5754"/>
        <v>240</v>
      </c>
      <c r="K4577" s="7" t="s">
        <v>309</v>
      </c>
      <c r="L4577" s="8">
        <v>28</v>
      </c>
      <c r="M4577" s="7">
        <f>IF(INDEX([1]equip.xml!$B:$B,MATCH(D4577,[1]equip.xml!$A:$A,0))=0,0,N4577)</f>
        <v>0</v>
      </c>
      <c r="N4577" s="7">
        <f t="shared" si="5702"/>
        <v>200</v>
      </c>
    </row>
    <row r="4578" spans="1:14">
      <c r="A4578" s="7">
        <f t="shared" si="5651"/>
        <v>30010</v>
      </c>
      <c r="B4578" s="8">
        <f t="shared" ref="B4578:C4578" si="5755">B4490</f>
        <v>40000</v>
      </c>
      <c r="C4578" s="8" t="str">
        <f t="shared" si="5755"/>
        <v>装备</v>
      </c>
      <c r="D4578" s="8">
        <v>50253065</v>
      </c>
      <c r="E4578" s="8"/>
      <c r="F4578" s="8">
        <v>1</v>
      </c>
      <c r="G4578" s="8">
        <f>3*INDEX([1]equip.xml!$I:$I,MATCH(D4578,[1]equip.xml!$A:$A,0))</f>
        <v>150000</v>
      </c>
      <c r="H4578" s="8" t="str">
        <f t="shared" ref="H4578:J4578" si="5756">H4490</f>
        <v>10_10,50_20,80_30</v>
      </c>
      <c r="I4578" s="8">
        <v>8</v>
      </c>
      <c r="J4578" s="8">
        <f t="shared" si="5756"/>
        <v>240</v>
      </c>
      <c r="K4578" s="7" t="s">
        <v>309</v>
      </c>
      <c r="L4578" s="8">
        <v>28</v>
      </c>
      <c r="M4578" s="7">
        <f>IF(INDEX([1]equip.xml!$B:$B,MATCH(D4578,[1]equip.xml!$A:$A,0))=0,0,N4578)</f>
        <v>200</v>
      </c>
      <c r="N4578" s="7">
        <f t="shared" si="5702"/>
        <v>200</v>
      </c>
    </row>
    <row r="4579" spans="1:14">
      <c r="A4579" s="7">
        <f t="shared" si="5651"/>
        <v>30010</v>
      </c>
      <c r="B4579" s="8">
        <f t="shared" ref="B4579:C4579" si="5757">B4491</f>
        <v>40000</v>
      </c>
      <c r="C4579" s="8" t="str">
        <f t="shared" si="5757"/>
        <v>装备</v>
      </c>
      <c r="D4579" s="8">
        <v>50253066</v>
      </c>
      <c r="E4579" s="8"/>
      <c r="F4579" s="8">
        <v>1</v>
      </c>
      <c r="G4579" s="8">
        <f>3*INDEX([1]equip.xml!$I:$I,MATCH(D4579,[1]equip.xml!$A:$A,0))</f>
        <v>168000</v>
      </c>
      <c r="H4579" s="8" t="str">
        <f t="shared" ref="H4579:J4579" si="5758">H4491</f>
        <v>10_10,50_20,80_30</v>
      </c>
      <c r="I4579" s="8">
        <v>8</v>
      </c>
      <c r="J4579" s="8">
        <f t="shared" si="5758"/>
        <v>240</v>
      </c>
      <c r="K4579" s="7" t="s">
        <v>309</v>
      </c>
      <c r="L4579" s="8">
        <v>28</v>
      </c>
      <c r="M4579" s="7">
        <f>IF(INDEX([1]equip.xml!$B:$B,MATCH(D4579,[1]equip.xml!$A:$A,0))=0,0,N4579)</f>
        <v>0</v>
      </c>
      <c r="N4579" s="7">
        <f t="shared" si="5702"/>
        <v>200</v>
      </c>
    </row>
    <row r="4580" spans="1:14">
      <c r="A4580" s="7">
        <f t="shared" si="5651"/>
        <v>30010</v>
      </c>
      <c r="B4580" s="8">
        <f t="shared" ref="B4580:C4580" si="5759">B4492</f>
        <v>40000</v>
      </c>
      <c r="C4580" s="8" t="str">
        <f t="shared" si="5759"/>
        <v>装备</v>
      </c>
      <c r="D4580" s="8">
        <v>50250045</v>
      </c>
      <c r="E4580" s="8"/>
      <c r="F4580" s="8">
        <v>1</v>
      </c>
      <c r="G4580" s="8">
        <f>3*INDEX([1]equip.xml!$I:$I,MATCH(D4580,[1]equip.xml!$A:$A,0))</f>
        <v>150000</v>
      </c>
      <c r="H4580" s="8" t="str">
        <f t="shared" ref="H4580:J4580" si="5760">H4492</f>
        <v>10_10,50_20,80_30</v>
      </c>
      <c r="I4580" s="8">
        <v>8</v>
      </c>
      <c r="J4580" s="8">
        <f t="shared" si="5760"/>
        <v>240</v>
      </c>
      <c r="K4580" s="7" t="s">
        <v>309</v>
      </c>
      <c r="L4580" s="8">
        <v>28</v>
      </c>
      <c r="M4580" s="7">
        <f>IF(INDEX([1]equip.xml!$B:$B,MATCH(D4580,[1]equip.xml!$A:$A,0))=0,0,N4580)</f>
        <v>200</v>
      </c>
      <c r="N4580" s="7">
        <f t="shared" si="5702"/>
        <v>200</v>
      </c>
    </row>
    <row r="4581" spans="1:14">
      <c r="A4581" s="7">
        <f t="shared" si="5651"/>
        <v>30010</v>
      </c>
      <c r="B4581" s="8">
        <f t="shared" ref="B4581:C4581" si="5761">B4493</f>
        <v>40000</v>
      </c>
      <c r="C4581" s="8" t="str">
        <f t="shared" si="5761"/>
        <v>装备</v>
      </c>
      <c r="D4581" s="8">
        <v>50250046</v>
      </c>
      <c r="E4581" s="8"/>
      <c r="F4581" s="8">
        <v>1</v>
      </c>
      <c r="G4581" s="8">
        <f>3*INDEX([1]equip.xml!$I:$I,MATCH(D4581,[1]equip.xml!$A:$A,0))</f>
        <v>168000</v>
      </c>
      <c r="H4581" s="8" t="str">
        <f t="shared" ref="H4581:J4581" si="5762">H4493</f>
        <v>10_10,50_20,80_30</v>
      </c>
      <c r="I4581" s="8">
        <v>8</v>
      </c>
      <c r="J4581" s="8">
        <f t="shared" si="5762"/>
        <v>240</v>
      </c>
      <c r="K4581" s="7" t="s">
        <v>309</v>
      </c>
      <c r="L4581" s="8">
        <v>28</v>
      </c>
      <c r="M4581" s="7">
        <f>IF(INDEX([1]equip.xml!$B:$B,MATCH(D4581,[1]equip.xml!$A:$A,0))=0,0,N4581)</f>
        <v>0</v>
      </c>
      <c r="N4581" s="7">
        <f t="shared" si="5702"/>
        <v>200</v>
      </c>
    </row>
    <row r="4582" spans="1:14">
      <c r="A4582" s="7">
        <f t="shared" si="5651"/>
        <v>30010</v>
      </c>
      <c r="B4582" s="8">
        <f t="shared" ref="B4582:C4582" si="5763">B4494</f>
        <v>40000</v>
      </c>
      <c r="C4582" s="8" t="str">
        <f t="shared" si="5763"/>
        <v>装备</v>
      </c>
      <c r="D4582" s="8">
        <v>50250075</v>
      </c>
      <c r="E4582" s="8"/>
      <c r="F4582" s="8">
        <v>1</v>
      </c>
      <c r="G4582" s="8">
        <f>3*INDEX([1]equip.xml!$I:$I,MATCH(D4582,[1]equip.xml!$A:$A,0))</f>
        <v>150000</v>
      </c>
      <c r="H4582" s="8" t="str">
        <f t="shared" ref="H4582:J4582" si="5764">H4494</f>
        <v>10_10,50_20,80_30</v>
      </c>
      <c r="I4582" s="8">
        <v>8</v>
      </c>
      <c r="J4582" s="8">
        <f t="shared" si="5764"/>
        <v>240</v>
      </c>
      <c r="K4582" s="7" t="s">
        <v>309</v>
      </c>
      <c r="L4582" s="8">
        <v>28</v>
      </c>
      <c r="M4582" s="7">
        <f>IF(INDEX([1]equip.xml!$B:$B,MATCH(D4582,[1]equip.xml!$A:$A,0))=0,0,N4582)</f>
        <v>200</v>
      </c>
      <c r="N4582" s="7">
        <f t="shared" si="5702"/>
        <v>200</v>
      </c>
    </row>
    <row r="4583" spans="1:14">
      <c r="A4583" s="7">
        <f t="shared" si="5651"/>
        <v>30010</v>
      </c>
      <c r="B4583" s="8">
        <f t="shared" ref="B4583:C4583" si="5765">B4495</f>
        <v>40000</v>
      </c>
      <c r="C4583" s="8" t="str">
        <f t="shared" si="5765"/>
        <v>装备</v>
      </c>
      <c r="D4583" s="8">
        <v>50250076</v>
      </c>
      <c r="E4583" s="8"/>
      <c r="F4583" s="8">
        <v>1</v>
      </c>
      <c r="G4583" s="8">
        <f>3*INDEX([1]equip.xml!$I:$I,MATCH(D4583,[1]equip.xml!$A:$A,0))</f>
        <v>168000</v>
      </c>
      <c r="H4583" s="8" t="str">
        <f t="shared" ref="H4583:J4583" si="5766">H4495</f>
        <v>10_10,50_20,80_30</v>
      </c>
      <c r="I4583" s="8">
        <v>8</v>
      </c>
      <c r="J4583" s="8">
        <f t="shared" si="5766"/>
        <v>240</v>
      </c>
      <c r="K4583" s="7" t="s">
        <v>309</v>
      </c>
      <c r="L4583" s="8">
        <v>28</v>
      </c>
      <c r="M4583" s="7">
        <f>IF(INDEX([1]equip.xml!$B:$B,MATCH(D4583,[1]equip.xml!$A:$A,0))=0,0,N4583)</f>
        <v>0</v>
      </c>
      <c r="N4583" s="7">
        <f t="shared" si="5702"/>
        <v>200</v>
      </c>
    </row>
    <row r="4584" spans="1:14">
      <c r="A4584" s="7">
        <f t="shared" si="5651"/>
        <v>30010</v>
      </c>
      <c r="B4584" s="8">
        <f t="shared" ref="B4584:C4584" si="5767">B4496</f>
        <v>40000</v>
      </c>
      <c r="C4584" s="8" t="str">
        <f t="shared" si="5767"/>
        <v>装备</v>
      </c>
      <c r="D4584" s="8">
        <v>50300015</v>
      </c>
      <c r="E4584" s="8"/>
      <c r="F4584" s="8">
        <v>1</v>
      </c>
      <c r="G4584" s="8">
        <f>3*INDEX([1]equip.xml!$I:$I,MATCH(D4584,[1]equip.xml!$A:$A,0))</f>
        <v>180000</v>
      </c>
      <c r="H4584" s="8" t="str">
        <f t="shared" ref="H4584:J4584" si="5768">H4496</f>
        <v>10_10,50_20,80_30</v>
      </c>
      <c r="I4584" s="8">
        <v>8</v>
      </c>
      <c r="J4584" s="8">
        <f t="shared" si="5768"/>
        <v>240</v>
      </c>
      <c r="K4584" s="7" t="s">
        <v>309</v>
      </c>
      <c r="L4584" s="8">
        <v>28</v>
      </c>
      <c r="M4584" s="7">
        <f>IF(INDEX([1]equip.xml!$B:$B,MATCH(D4584,[1]equip.xml!$A:$A,0))=0,0,N4584)</f>
        <v>140</v>
      </c>
      <c r="N4584" s="7">
        <f t="shared" si="5702"/>
        <v>140</v>
      </c>
    </row>
    <row r="4585" spans="1:14">
      <c r="A4585" s="7">
        <f t="shared" si="5651"/>
        <v>30010</v>
      </c>
      <c r="B4585" s="8">
        <f t="shared" ref="B4585:C4585" si="5769">B4497</f>
        <v>40000</v>
      </c>
      <c r="C4585" s="8" t="str">
        <f t="shared" si="5769"/>
        <v>装备</v>
      </c>
      <c r="D4585" s="8">
        <v>50300025</v>
      </c>
      <c r="E4585" s="8"/>
      <c r="F4585" s="8">
        <v>1</v>
      </c>
      <c r="G4585" s="8">
        <f>3*INDEX([1]equip.xml!$I:$I,MATCH(D4585,[1]equip.xml!$A:$A,0))</f>
        <v>180000</v>
      </c>
      <c r="H4585" s="8" t="str">
        <f t="shared" ref="H4585:J4585" si="5770">H4497</f>
        <v>10_10,50_20,80_30</v>
      </c>
      <c r="I4585" s="8">
        <v>8</v>
      </c>
      <c r="J4585" s="8">
        <f t="shared" si="5770"/>
        <v>240</v>
      </c>
      <c r="K4585" s="7" t="s">
        <v>309</v>
      </c>
      <c r="L4585" s="8">
        <v>28</v>
      </c>
      <c r="M4585" s="7">
        <f>IF(INDEX([1]equip.xml!$B:$B,MATCH(D4585,[1]equip.xml!$A:$A,0))=0,0,N4585)</f>
        <v>140</v>
      </c>
      <c r="N4585" s="7">
        <f t="shared" si="5702"/>
        <v>140</v>
      </c>
    </row>
    <row r="4586" spans="1:14">
      <c r="A4586" s="7">
        <f t="shared" si="5651"/>
        <v>30010</v>
      </c>
      <c r="B4586" s="8">
        <f t="shared" ref="B4586:C4586" si="5771">B4498</f>
        <v>40000</v>
      </c>
      <c r="C4586" s="8" t="str">
        <f t="shared" si="5771"/>
        <v>装备</v>
      </c>
      <c r="D4586" s="8">
        <v>50300035</v>
      </c>
      <c r="E4586" s="8"/>
      <c r="F4586" s="8">
        <v>1</v>
      </c>
      <c r="G4586" s="8">
        <f>3*INDEX([1]equip.xml!$I:$I,MATCH(D4586,[1]equip.xml!$A:$A,0))</f>
        <v>180000</v>
      </c>
      <c r="H4586" s="8" t="str">
        <f t="shared" ref="H4586:J4586" si="5772">H4498</f>
        <v>10_10,50_20,80_30</v>
      </c>
      <c r="I4586" s="8">
        <v>8</v>
      </c>
      <c r="J4586" s="8">
        <f t="shared" si="5772"/>
        <v>240</v>
      </c>
      <c r="K4586" s="7" t="s">
        <v>309</v>
      </c>
      <c r="L4586" s="8">
        <v>28</v>
      </c>
      <c r="M4586" s="7">
        <f>IF(INDEX([1]equip.xml!$B:$B,MATCH(D4586,[1]equip.xml!$A:$A,0))=0,0,N4586)</f>
        <v>140</v>
      </c>
      <c r="N4586" s="7">
        <f t="shared" si="5702"/>
        <v>140</v>
      </c>
    </row>
    <row r="4587" spans="1:14">
      <c r="A4587" s="7">
        <f t="shared" si="5651"/>
        <v>30010</v>
      </c>
      <c r="B4587" s="8">
        <f t="shared" ref="B4587:C4587" si="5773">B4499</f>
        <v>40000</v>
      </c>
      <c r="C4587" s="8" t="str">
        <f t="shared" si="5773"/>
        <v>装备</v>
      </c>
      <c r="D4587" s="8">
        <v>50300085</v>
      </c>
      <c r="E4587" s="8"/>
      <c r="F4587" s="8">
        <v>1</v>
      </c>
      <c r="G4587" s="8">
        <f>3*INDEX([1]equip.xml!$I:$I,MATCH(D4587,[1]equip.xml!$A:$A,0))</f>
        <v>180000</v>
      </c>
      <c r="H4587" s="8" t="str">
        <f t="shared" ref="H4587:J4587" si="5774">H4499</f>
        <v>10_10,50_20,80_30</v>
      </c>
      <c r="I4587" s="8">
        <v>8</v>
      </c>
      <c r="J4587" s="8">
        <f t="shared" si="5774"/>
        <v>240</v>
      </c>
      <c r="K4587" s="7" t="s">
        <v>309</v>
      </c>
      <c r="L4587" s="8">
        <v>28</v>
      </c>
      <c r="M4587" s="7">
        <f>IF(INDEX([1]equip.xml!$B:$B,MATCH(D4587,[1]equip.xml!$A:$A,0))=0,0,N4587)</f>
        <v>140</v>
      </c>
      <c r="N4587" s="7">
        <f t="shared" si="5702"/>
        <v>140</v>
      </c>
    </row>
    <row r="4588" spans="1:14">
      <c r="A4588" s="7">
        <f t="shared" si="5651"/>
        <v>30010</v>
      </c>
      <c r="B4588" s="8">
        <f t="shared" ref="B4588:C4588" si="5775">B4500</f>
        <v>40000</v>
      </c>
      <c r="C4588" s="8" t="str">
        <f t="shared" si="5775"/>
        <v>装备</v>
      </c>
      <c r="D4588" s="8">
        <v>50300095</v>
      </c>
      <c r="E4588" s="8"/>
      <c r="F4588" s="8">
        <v>1</v>
      </c>
      <c r="G4588" s="8">
        <f>3*INDEX([1]equip.xml!$I:$I,MATCH(D4588,[1]equip.xml!$A:$A,0))</f>
        <v>180000</v>
      </c>
      <c r="H4588" s="8" t="str">
        <f t="shared" ref="H4588:J4588" si="5776">H4500</f>
        <v>10_10,50_20,80_30</v>
      </c>
      <c r="I4588" s="8">
        <v>8</v>
      </c>
      <c r="J4588" s="8">
        <f t="shared" si="5776"/>
        <v>240</v>
      </c>
      <c r="K4588" s="7" t="s">
        <v>309</v>
      </c>
      <c r="L4588" s="8">
        <v>28</v>
      </c>
      <c r="M4588" s="7">
        <f>IF(INDEX([1]equip.xml!$B:$B,MATCH(D4588,[1]equip.xml!$A:$A,0))=0,0,N4588)</f>
        <v>140</v>
      </c>
      <c r="N4588" s="7">
        <f t="shared" si="5702"/>
        <v>140</v>
      </c>
    </row>
    <row r="4589" spans="1:14">
      <c r="A4589" s="7">
        <f t="shared" si="5651"/>
        <v>30010</v>
      </c>
      <c r="B4589" s="8">
        <f t="shared" ref="B4589:C4589" si="5777">B4501</f>
        <v>40000</v>
      </c>
      <c r="C4589" s="8" t="str">
        <f t="shared" si="5777"/>
        <v>装备</v>
      </c>
      <c r="D4589" s="8">
        <v>50300105</v>
      </c>
      <c r="E4589" s="8"/>
      <c r="F4589" s="8">
        <v>1</v>
      </c>
      <c r="G4589" s="8">
        <f>3*INDEX([1]equip.xml!$I:$I,MATCH(D4589,[1]equip.xml!$A:$A,0))</f>
        <v>180000</v>
      </c>
      <c r="H4589" s="8" t="str">
        <f t="shared" ref="H4589:J4589" si="5778">H4501</f>
        <v>10_10,50_20,80_30</v>
      </c>
      <c r="I4589" s="8">
        <v>8</v>
      </c>
      <c r="J4589" s="8">
        <f t="shared" si="5778"/>
        <v>240</v>
      </c>
      <c r="K4589" s="7" t="s">
        <v>309</v>
      </c>
      <c r="L4589" s="8">
        <v>28</v>
      </c>
      <c r="M4589" s="7">
        <f>IF(INDEX([1]equip.xml!$B:$B,MATCH(D4589,[1]equip.xml!$A:$A,0))=0,0,N4589)</f>
        <v>140</v>
      </c>
      <c r="N4589" s="7">
        <f t="shared" si="5702"/>
        <v>140</v>
      </c>
    </row>
    <row r="4590" spans="1:14">
      <c r="A4590" s="7">
        <f t="shared" si="5651"/>
        <v>30010</v>
      </c>
      <c r="B4590" s="8">
        <f t="shared" ref="B4590:C4590" si="5779">B4502</f>
        <v>40000</v>
      </c>
      <c r="C4590" s="8" t="str">
        <f t="shared" si="5779"/>
        <v>装备</v>
      </c>
      <c r="D4590" s="8">
        <v>50301055</v>
      </c>
      <c r="E4590" s="8"/>
      <c r="F4590" s="8">
        <v>1</v>
      </c>
      <c r="G4590" s="8">
        <f>3*INDEX([1]equip.xml!$I:$I,MATCH(D4590,[1]equip.xml!$A:$A,0))</f>
        <v>180000</v>
      </c>
      <c r="H4590" s="8" t="str">
        <f t="shared" ref="H4590:J4590" si="5780">H4502</f>
        <v>10_10,50_20,80_30</v>
      </c>
      <c r="I4590" s="8">
        <v>8</v>
      </c>
      <c r="J4590" s="8">
        <f t="shared" si="5780"/>
        <v>240</v>
      </c>
      <c r="K4590" s="7" t="s">
        <v>309</v>
      </c>
      <c r="L4590" s="8">
        <v>28</v>
      </c>
      <c r="M4590" s="7">
        <f>IF(INDEX([1]equip.xml!$B:$B,MATCH(D4590,[1]equip.xml!$A:$A,0))=0,0,N4590)</f>
        <v>140</v>
      </c>
      <c r="N4590" s="7">
        <f t="shared" si="5702"/>
        <v>140</v>
      </c>
    </row>
    <row r="4591" spans="1:14">
      <c r="A4591" s="7">
        <f t="shared" ref="A4591:A4654" si="5781">10000+A3359</f>
        <v>30010</v>
      </c>
      <c r="B4591" s="8">
        <f t="shared" ref="B4591:C4591" si="5782">B4503</f>
        <v>40000</v>
      </c>
      <c r="C4591" s="8" t="str">
        <f t="shared" si="5782"/>
        <v>装备</v>
      </c>
      <c r="D4591" s="8">
        <v>50301056</v>
      </c>
      <c r="E4591" s="8"/>
      <c r="F4591" s="8">
        <v>1</v>
      </c>
      <c r="G4591" s="8">
        <f>3*INDEX([1]equip.xml!$I:$I,MATCH(D4591,[1]equip.xml!$A:$A,0))</f>
        <v>198000</v>
      </c>
      <c r="H4591" s="8" t="str">
        <f t="shared" ref="H4591:J4591" si="5783">H4503</f>
        <v>10_10,50_20,80_30</v>
      </c>
      <c r="I4591" s="8">
        <v>8</v>
      </c>
      <c r="J4591" s="8">
        <f t="shared" si="5783"/>
        <v>240</v>
      </c>
      <c r="K4591" s="7" t="s">
        <v>309</v>
      </c>
      <c r="L4591" s="8">
        <v>28</v>
      </c>
      <c r="M4591" s="7">
        <f>IF(INDEX([1]equip.xml!$B:$B,MATCH(D4591,[1]equip.xml!$A:$A,0))=0,0,N4591)</f>
        <v>140</v>
      </c>
      <c r="N4591" s="7">
        <f t="shared" si="5702"/>
        <v>140</v>
      </c>
    </row>
    <row r="4592" spans="1:14">
      <c r="A4592" s="7">
        <f t="shared" si="5781"/>
        <v>30010</v>
      </c>
      <c r="B4592" s="8">
        <f t="shared" ref="B4592:C4592" si="5784">B4504</f>
        <v>40000</v>
      </c>
      <c r="C4592" s="8" t="str">
        <f t="shared" si="5784"/>
        <v>装备</v>
      </c>
      <c r="D4592" s="8">
        <v>50301065</v>
      </c>
      <c r="E4592" s="8"/>
      <c r="F4592" s="8">
        <v>1</v>
      </c>
      <c r="G4592" s="8">
        <f>3*INDEX([1]equip.xml!$I:$I,MATCH(D4592,[1]equip.xml!$A:$A,0))</f>
        <v>180000</v>
      </c>
      <c r="H4592" s="8" t="str">
        <f t="shared" ref="H4592:J4592" si="5785">H4504</f>
        <v>10_10,50_20,80_30</v>
      </c>
      <c r="I4592" s="8">
        <v>8</v>
      </c>
      <c r="J4592" s="8">
        <f t="shared" si="5785"/>
        <v>240</v>
      </c>
      <c r="K4592" s="7" t="s">
        <v>309</v>
      </c>
      <c r="L4592" s="8">
        <v>28</v>
      </c>
      <c r="M4592" s="7">
        <f>IF(INDEX([1]equip.xml!$B:$B,MATCH(D4592,[1]equip.xml!$A:$A,0))=0,0,N4592)</f>
        <v>140</v>
      </c>
      <c r="N4592" s="7">
        <f t="shared" si="5702"/>
        <v>140</v>
      </c>
    </row>
    <row r="4593" spans="1:14">
      <c r="A4593" s="7">
        <f t="shared" si="5781"/>
        <v>30010</v>
      </c>
      <c r="B4593" s="8">
        <f t="shared" ref="B4593:C4593" si="5786">B4505</f>
        <v>40000</v>
      </c>
      <c r="C4593" s="8" t="str">
        <f t="shared" si="5786"/>
        <v>装备</v>
      </c>
      <c r="D4593" s="8">
        <v>50301066</v>
      </c>
      <c r="E4593" s="8"/>
      <c r="F4593" s="8">
        <v>1</v>
      </c>
      <c r="G4593" s="8">
        <f>3*INDEX([1]equip.xml!$I:$I,MATCH(D4593,[1]equip.xml!$A:$A,0))</f>
        <v>198000</v>
      </c>
      <c r="H4593" s="8" t="str">
        <f t="shared" ref="H4593:J4593" si="5787">H4505</f>
        <v>10_10,50_20,80_30</v>
      </c>
      <c r="I4593" s="8">
        <v>8</v>
      </c>
      <c r="J4593" s="8">
        <f t="shared" si="5787"/>
        <v>240</v>
      </c>
      <c r="K4593" s="7" t="s">
        <v>309</v>
      </c>
      <c r="L4593" s="8">
        <v>28</v>
      </c>
      <c r="M4593" s="7">
        <f>IF(INDEX([1]equip.xml!$B:$B,MATCH(D4593,[1]equip.xml!$A:$A,0))=0,0,N4593)</f>
        <v>0</v>
      </c>
      <c r="N4593" s="7">
        <f t="shared" si="5702"/>
        <v>140</v>
      </c>
    </row>
    <row r="4594" spans="1:14">
      <c r="A4594" s="7">
        <f t="shared" si="5781"/>
        <v>30010</v>
      </c>
      <c r="B4594" s="8">
        <f t="shared" ref="B4594:C4594" si="5788">B4506</f>
        <v>40000</v>
      </c>
      <c r="C4594" s="8" t="str">
        <f t="shared" si="5788"/>
        <v>装备</v>
      </c>
      <c r="D4594" s="8">
        <v>50302055</v>
      </c>
      <c r="E4594" s="8"/>
      <c r="F4594" s="8">
        <v>1</v>
      </c>
      <c r="G4594" s="8">
        <f>3*INDEX([1]equip.xml!$I:$I,MATCH(D4594,[1]equip.xml!$A:$A,0))</f>
        <v>180000</v>
      </c>
      <c r="H4594" s="8" t="str">
        <f t="shared" ref="H4594:J4594" si="5789">H4506</f>
        <v>10_10,50_20,80_30</v>
      </c>
      <c r="I4594" s="8">
        <v>8</v>
      </c>
      <c r="J4594" s="8">
        <f t="shared" si="5789"/>
        <v>240</v>
      </c>
      <c r="K4594" s="7" t="s">
        <v>309</v>
      </c>
      <c r="L4594" s="8">
        <v>28</v>
      </c>
      <c r="M4594" s="7">
        <f>IF(INDEX([1]equip.xml!$B:$B,MATCH(D4594,[1]equip.xml!$A:$A,0))=0,0,N4594)</f>
        <v>140</v>
      </c>
      <c r="N4594" s="7">
        <f t="shared" si="5702"/>
        <v>140</v>
      </c>
    </row>
    <row r="4595" spans="1:14">
      <c r="A4595" s="7">
        <f t="shared" si="5781"/>
        <v>30010</v>
      </c>
      <c r="B4595" s="8">
        <f t="shared" ref="B4595:C4595" si="5790">B4507</f>
        <v>40000</v>
      </c>
      <c r="C4595" s="8" t="str">
        <f t="shared" si="5790"/>
        <v>装备</v>
      </c>
      <c r="D4595" s="8">
        <v>50302056</v>
      </c>
      <c r="E4595" s="8"/>
      <c r="F4595" s="8">
        <v>1</v>
      </c>
      <c r="G4595" s="8">
        <f>3*INDEX([1]equip.xml!$I:$I,MATCH(D4595,[1]equip.xml!$A:$A,0))</f>
        <v>198000</v>
      </c>
      <c r="H4595" s="8" t="str">
        <f t="shared" ref="H4595:J4595" si="5791">H4507</f>
        <v>10_10,50_20,80_30</v>
      </c>
      <c r="I4595" s="8">
        <v>8</v>
      </c>
      <c r="J4595" s="8">
        <f t="shared" si="5791"/>
        <v>240</v>
      </c>
      <c r="K4595" s="7" t="s">
        <v>309</v>
      </c>
      <c r="L4595" s="8">
        <v>28</v>
      </c>
      <c r="M4595" s="7">
        <f>IF(INDEX([1]equip.xml!$B:$B,MATCH(D4595,[1]equip.xml!$A:$A,0))=0,0,N4595)</f>
        <v>140</v>
      </c>
      <c r="N4595" s="7">
        <f t="shared" si="5702"/>
        <v>140</v>
      </c>
    </row>
    <row r="4596" spans="1:14">
      <c r="A4596" s="7">
        <f t="shared" si="5781"/>
        <v>30010</v>
      </c>
      <c r="B4596" s="8">
        <f t="shared" ref="B4596:C4596" si="5792">B4508</f>
        <v>40000</v>
      </c>
      <c r="C4596" s="8" t="str">
        <f t="shared" si="5792"/>
        <v>装备</v>
      </c>
      <c r="D4596" s="8">
        <v>50302065</v>
      </c>
      <c r="E4596" s="8"/>
      <c r="F4596" s="8">
        <v>1</v>
      </c>
      <c r="G4596" s="8">
        <f>3*INDEX([1]equip.xml!$I:$I,MATCH(D4596,[1]equip.xml!$A:$A,0))</f>
        <v>180000</v>
      </c>
      <c r="H4596" s="8" t="str">
        <f t="shared" ref="H4596:J4596" si="5793">H4508</f>
        <v>10_10,50_20,80_30</v>
      </c>
      <c r="I4596" s="8">
        <v>8</v>
      </c>
      <c r="J4596" s="8">
        <f t="shared" si="5793"/>
        <v>240</v>
      </c>
      <c r="K4596" s="7" t="s">
        <v>309</v>
      </c>
      <c r="L4596" s="8">
        <v>28</v>
      </c>
      <c r="M4596" s="7">
        <f>IF(INDEX([1]equip.xml!$B:$B,MATCH(D4596,[1]equip.xml!$A:$A,0))=0,0,N4596)</f>
        <v>140</v>
      </c>
      <c r="N4596" s="7">
        <f t="shared" si="5702"/>
        <v>140</v>
      </c>
    </row>
    <row r="4597" spans="1:14">
      <c r="A4597" s="7">
        <f t="shared" si="5781"/>
        <v>30010</v>
      </c>
      <c r="B4597" s="8">
        <f t="shared" ref="B4597:C4597" si="5794">B4509</f>
        <v>40000</v>
      </c>
      <c r="C4597" s="8" t="str">
        <f t="shared" si="5794"/>
        <v>装备</v>
      </c>
      <c r="D4597" s="8">
        <v>50302066</v>
      </c>
      <c r="E4597" s="8"/>
      <c r="F4597" s="8">
        <v>1</v>
      </c>
      <c r="G4597" s="8">
        <f>3*INDEX([1]equip.xml!$I:$I,MATCH(D4597,[1]equip.xml!$A:$A,0))</f>
        <v>198000</v>
      </c>
      <c r="H4597" s="8" t="str">
        <f t="shared" ref="H4597:J4597" si="5795">H4509</f>
        <v>10_10,50_20,80_30</v>
      </c>
      <c r="I4597" s="8">
        <v>8</v>
      </c>
      <c r="J4597" s="8">
        <f t="shared" si="5795"/>
        <v>240</v>
      </c>
      <c r="K4597" s="7" t="s">
        <v>309</v>
      </c>
      <c r="L4597" s="8">
        <v>28</v>
      </c>
      <c r="M4597" s="7">
        <f>IF(INDEX([1]equip.xml!$B:$B,MATCH(D4597,[1]equip.xml!$A:$A,0))=0,0,N4597)</f>
        <v>0</v>
      </c>
      <c r="N4597" s="7">
        <f t="shared" si="5702"/>
        <v>140</v>
      </c>
    </row>
    <row r="4598" spans="1:14">
      <c r="A4598" s="7">
        <f t="shared" si="5781"/>
        <v>30010</v>
      </c>
      <c r="B4598" s="8">
        <f t="shared" ref="B4598:C4598" si="5796">B4510</f>
        <v>40000</v>
      </c>
      <c r="C4598" s="8" t="str">
        <f t="shared" si="5796"/>
        <v>装备</v>
      </c>
      <c r="D4598" s="8">
        <v>50303055</v>
      </c>
      <c r="E4598" s="8"/>
      <c r="F4598" s="8">
        <v>1</v>
      </c>
      <c r="G4598" s="8">
        <f>3*INDEX([1]equip.xml!$I:$I,MATCH(D4598,[1]equip.xml!$A:$A,0))</f>
        <v>180000</v>
      </c>
      <c r="H4598" s="8" t="str">
        <f t="shared" ref="H4598:J4598" si="5797">H4510</f>
        <v>10_10,50_20,80_30</v>
      </c>
      <c r="I4598" s="8">
        <v>8</v>
      </c>
      <c r="J4598" s="8">
        <f t="shared" si="5797"/>
        <v>240</v>
      </c>
      <c r="K4598" s="7" t="s">
        <v>309</v>
      </c>
      <c r="L4598" s="8">
        <v>28</v>
      </c>
      <c r="M4598" s="7">
        <f>IF(INDEX([1]equip.xml!$B:$B,MATCH(D4598,[1]equip.xml!$A:$A,0))=0,0,N4598)</f>
        <v>140</v>
      </c>
      <c r="N4598" s="7">
        <f t="shared" si="5702"/>
        <v>140</v>
      </c>
    </row>
    <row r="4599" spans="1:14">
      <c r="A4599" s="7">
        <f t="shared" si="5781"/>
        <v>30010</v>
      </c>
      <c r="B4599" s="8">
        <f t="shared" ref="B4599:C4599" si="5798">B4511</f>
        <v>40000</v>
      </c>
      <c r="C4599" s="8" t="str">
        <f t="shared" si="5798"/>
        <v>装备</v>
      </c>
      <c r="D4599" s="8">
        <v>50303056</v>
      </c>
      <c r="E4599" s="8"/>
      <c r="F4599" s="8">
        <v>1</v>
      </c>
      <c r="G4599" s="8">
        <f>3*INDEX([1]equip.xml!$I:$I,MATCH(D4599,[1]equip.xml!$A:$A,0))</f>
        <v>198000</v>
      </c>
      <c r="H4599" s="8" t="str">
        <f t="shared" ref="H4599:J4599" si="5799">H4511</f>
        <v>10_10,50_20,80_30</v>
      </c>
      <c r="I4599" s="8">
        <v>8</v>
      </c>
      <c r="J4599" s="8">
        <f t="shared" si="5799"/>
        <v>240</v>
      </c>
      <c r="K4599" s="7" t="s">
        <v>309</v>
      </c>
      <c r="L4599" s="8">
        <v>28</v>
      </c>
      <c r="M4599" s="7">
        <f>IF(INDEX([1]equip.xml!$B:$B,MATCH(D4599,[1]equip.xml!$A:$A,0))=0,0,N4599)</f>
        <v>140</v>
      </c>
      <c r="N4599" s="7">
        <f t="shared" si="5702"/>
        <v>140</v>
      </c>
    </row>
    <row r="4600" spans="1:14">
      <c r="A4600" s="7">
        <f t="shared" si="5781"/>
        <v>30010</v>
      </c>
      <c r="B4600" s="8">
        <f t="shared" ref="B4600:C4600" si="5800">B4512</f>
        <v>40000</v>
      </c>
      <c r="C4600" s="8" t="str">
        <f t="shared" si="5800"/>
        <v>装备</v>
      </c>
      <c r="D4600" s="8">
        <v>50303065</v>
      </c>
      <c r="E4600" s="8"/>
      <c r="F4600" s="8">
        <v>1</v>
      </c>
      <c r="G4600" s="8">
        <f>3*INDEX([1]equip.xml!$I:$I,MATCH(D4600,[1]equip.xml!$A:$A,0))</f>
        <v>180000</v>
      </c>
      <c r="H4600" s="8" t="str">
        <f t="shared" ref="H4600:J4600" si="5801">H4512</f>
        <v>10_10,50_20,80_30</v>
      </c>
      <c r="I4600" s="8">
        <v>8</v>
      </c>
      <c r="J4600" s="8">
        <f t="shared" si="5801"/>
        <v>240</v>
      </c>
      <c r="K4600" s="7" t="s">
        <v>309</v>
      </c>
      <c r="L4600" s="8">
        <v>28</v>
      </c>
      <c r="M4600" s="7">
        <f>IF(INDEX([1]equip.xml!$B:$B,MATCH(D4600,[1]equip.xml!$A:$A,0))=0,0,N4600)</f>
        <v>140</v>
      </c>
      <c r="N4600" s="7">
        <f t="shared" si="5702"/>
        <v>140</v>
      </c>
    </row>
    <row r="4601" spans="1:14">
      <c r="A4601" s="7">
        <f t="shared" si="5781"/>
        <v>30010</v>
      </c>
      <c r="B4601" s="8">
        <f t="shared" ref="B4601:C4601" si="5802">B4513</f>
        <v>40000</v>
      </c>
      <c r="C4601" s="8" t="str">
        <f t="shared" si="5802"/>
        <v>装备</v>
      </c>
      <c r="D4601" s="8">
        <v>50303066</v>
      </c>
      <c r="E4601" s="8"/>
      <c r="F4601" s="8">
        <v>1</v>
      </c>
      <c r="G4601" s="8">
        <f>3*INDEX([1]equip.xml!$I:$I,MATCH(D4601,[1]equip.xml!$A:$A,0))</f>
        <v>198000</v>
      </c>
      <c r="H4601" s="8" t="str">
        <f t="shared" ref="H4601:J4601" si="5803">H4513</f>
        <v>10_10,50_20,80_30</v>
      </c>
      <c r="I4601" s="8">
        <v>8</v>
      </c>
      <c r="J4601" s="8">
        <f t="shared" si="5803"/>
        <v>240</v>
      </c>
      <c r="K4601" s="7" t="s">
        <v>309</v>
      </c>
      <c r="L4601" s="8">
        <v>28</v>
      </c>
      <c r="M4601" s="7">
        <f>IF(INDEX([1]equip.xml!$B:$B,MATCH(D4601,[1]equip.xml!$A:$A,0))=0,0,N4601)</f>
        <v>0</v>
      </c>
      <c r="N4601" s="7">
        <f t="shared" si="5702"/>
        <v>140</v>
      </c>
    </row>
    <row r="4602" spans="1:14">
      <c r="A4602" s="7">
        <f t="shared" si="5781"/>
        <v>30010</v>
      </c>
      <c r="B4602" s="8">
        <f t="shared" ref="B4602:C4602" si="5804">B4514</f>
        <v>40000</v>
      </c>
      <c r="C4602" s="8" t="str">
        <f t="shared" si="5804"/>
        <v>装备</v>
      </c>
      <c r="D4602" s="8">
        <v>50300045</v>
      </c>
      <c r="E4602" s="8"/>
      <c r="F4602" s="8">
        <v>1</v>
      </c>
      <c r="G4602" s="8">
        <f>3*INDEX([1]equip.xml!$I:$I,MATCH(D4602,[1]equip.xml!$A:$A,0))</f>
        <v>180000</v>
      </c>
      <c r="H4602" s="8" t="str">
        <f t="shared" ref="H4602:J4602" si="5805">H4514</f>
        <v>10_10,50_20,80_30</v>
      </c>
      <c r="I4602" s="8">
        <v>8</v>
      </c>
      <c r="J4602" s="8">
        <f t="shared" si="5805"/>
        <v>240</v>
      </c>
      <c r="K4602" s="7" t="s">
        <v>309</v>
      </c>
      <c r="L4602" s="8">
        <v>28</v>
      </c>
      <c r="M4602" s="7">
        <f>IF(INDEX([1]equip.xml!$B:$B,MATCH(D4602,[1]equip.xml!$A:$A,0))=0,0,N4602)</f>
        <v>140</v>
      </c>
      <c r="N4602" s="7">
        <f t="shared" si="5702"/>
        <v>140</v>
      </c>
    </row>
    <row r="4603" spans="1:14">
      <c r="A4603" s="7">
        <f t="shared" si="5781"/>
        <v>30010</v>
      </c>
      <c r="B4603" s="8">
        <f t="shared" ref="B4603:C4603" si="5806">B4515</f>
        <v>40000</v>
      </c>
      <c r="C4603" s="8" t="str">
        <f t="shared" si="5806"/>
        <v>装备</v>
      </c>
      <c r="D4603" s="8">
        <v>50300046</v>
      </c>
      <c r="E4603" s="8"/>
      <c r="F4603" s="8">
        <v>1</v>
      </c>
      <c r="G4603" s="8">
        <f>3*INDEX([1]equip.xml!$I:$I,MATCH(D4603,[1]equip.xml!$A:$A,0))</f>
        <v>198000</v>
      </c>
      <c r="H4603" s="8" t="str">
        <f t="shared" ref="H4603:J4603" si="5807">H4515</f>
        <v>10_10,50_20,80_30</v>
      </c>
      <c r="I4603" s="8">
        <v>8</v>
      </c>
      <c r="J4603" s="8">
        <f t="shared" si="5807"/>
        <v>240</v>
      </c>
      <c r="K4603" s="7" t="s">
        <v>309</v>
      </c>
      <c r="L4603" s="8">
        <v>28</v>
      </c>
      <c r="M4603" s="7">
        <f>IF(INDEX([1]equip.xml!$B:$B,MATCH(D4603,[1]equip.xml!$A:$A,0))=0,0,N4603)</f>
        <v>140</v>
      </c>
      <c r="N4603" s="7">
        <f t="shared" si="5702"/>
        <v>140</v>
      </c>
    </row>
    <row r="4604" spans="1:14">
      <c r="A4604" s="7">
        <f t="shared" si="5781"/>
        <v>30010</v>
      </c>
      <c r="B4604" s="8">
        <f t="shared" ref="B4604:C4604" si="5808">B4516</f>
        <v>40000</v>
      </c>
      <c r="C4604" s="8" t="str">
        <f t="shared" si="5808"/>
        <v>装备</v>
      </c>
      <c r="D4604" s="8">
        <v>50300075</v>
      </c>
      <c r="E4604" s="8"/>
      <c r="F4604" s="8">
        <v>1</v>
      </c>
      <c r="G4604" s="8">
        <f>3*INDEX([1]equip.xml!$I:$I,MATCH(D4604,[1]equip.xml!$A:$A,0))</f>
        <v>180000</v>
      </c>
      <c r="H4604" s="8" t="str">
        <f t="shared" ref="H4604:J4604" si="5809">H4516</f>
        <v>10_10,50_20,80_30</v>
      </c>
      <c r="I4604" s="8">
        <v>8</v>
      </c>
      <c r="J4604" s="8">
        <f t="shared" si="5809"/>
        <v>240</v>
      </c>
      <c r="K4604" s="7" t="s">
        <v>309</v>
      </c>
      <c r="L4604" s="8">
        <v>28</v>
      </c>
      <c r="M4604" s="7">
        <f>IF(INDEX([1]equip.xml!$B:$B,MATCH(D4604,[1]equip.xml!$A:$A,0))=0,0,N4604)</f>
        <v>140</v>
      </c>
      <c r="N4604" s="7">
        <f t="shared" si="5702"/>
        <v>140</v>
      </c>
    </row>
    <row r="4605" spans="1:14">
      <c r="A4605" s="7">
        <f t="shared" si="5781"/>
        <v>30010</v>
      </c>
      <c r="B4605" s="8">
        <f t="shared" ref="B4605:C4605" si="5810">B4517</f>
        <v>40000</v>
      </c>
      <c r="C4605" s="8" t="str">
        <f t="shared" si="5810"/>
        <v>装备</v>
      </c>
      <c r="D4605" s="8">
        <v>50300076</v>
      </c>
      <c r="E4605" s="8"/>
      <c r="F4605" s="8">
        <v>1</v>
      </c>
      <c r="G4605" s="8">
        <f>3*INDEX([1]equip.xml!$I:$I,MATCH(D4605,[1]equip.xml!$A:$A,0))</f>
        <v>198000</v>
      </c>
      <c r="H4605" s="8" t="str">
        <f t="shared" ref="H4605:J4605" si="5811">H4517</f>
        <v>10_10,50_20,80_30</v>
      </c>
      <c r="I4605" s="8">
        <v>8</v>
      </c>
      <c r="J4605" s="8">
        <f t="shared" si="5811"/>
        <v>240</v>
      </c>
      <c r="K4605" s="7" t="s">
        <v>309</v>
      </c>
      <c r="L4605" s="8">
        <v>28</v>
      </c>
      <c r="M4605" s="7">
        <f>IF(INDEX([1]equip.xml!$B:$B,MATCH(D4605,[1]equip.xml!$A:$A,0))=0,0,N4605)</f>
        <v>140</v>
      </c>
      <c r="N4605" s="7">
        <f t="shared" si="5702"/>
        <v>140</v>
      </c>
    </row>
    <row r="4606" spans="1:14">
      <c r="A4606" s="7">
        <f t="shared" si="5781"/>
        <v>30011</v>
      </c>
      <c r="B4606" s="7">
        <f t="shared" ref="B4606:C4606" si="5812">B4518</f>
        <v>40000</v>
      </c>
      <c r="C4606" s="7" t="str">
        <f t="shared" si="5812"/>
        <v>装备</v>
      </c>
      <c r="D4606" s="7">
        <v>40300010</v>
      </c>
      <c r="E4606" s="7"/>
      <c r="F4606" s="7">
        <v>1</v>
      </c>
      <c r="G4606" s="7">
        <f>3*INDEX([1]equip.xml!$I:$I,MATCH(D4606&amp;"",[1]equip.xml!$A:$A,0))</f>
        <v>90000</v>
      </c>
      <c r="H4606" s="7" t="str">
        <f t="shared" ref="H4606:J4606" si="5813">H4518</f>
        <v>10_10,50_20,80_30</v>
      </c>
      <c r="I4606" s="7">
        <v>7</v>
      </c>
      <c r="J4606" s="7">
        <f t="shared" si="5813"/>
        <v>50</v>
      </c>
      <c r="K4606" s="7" t="s">
        <v>310</v>
      </c>
      <c r="L4606" s="7">
        <v>30</v>
      </c>
      <c r="M4606" s="7">
        <f>IF(INDEX([1]equip.xml!$B:$B,MATCH(D4606&amp;"",[1]equip.xml!$A:$A,0))=0,0,N4606)</f>
        <v>100</v>
      </c>
      <c r="N4606" s="7">
        <f t="shared" si="5702"/>
        <v>100</v>
      </c>
    </row>
    <row r="4607" spans="1:14">
      <c r="A4607" s="7">
        <f t="shared" si="5781"/>
        <v>30011</v>
      </c>
      <c r="B4607" s="7">
        <f t="shared" ref="B4607:C4607" si="5814">B4519</f>
        <v>40000</v>
      </c>
      <c r="C4607" s="7" t="str">
        <f t="shared" si="5814"/>
        <v>装备</v>
      </c>
      <c r="D4607" s="7">
        <v>40300020</v>
      </c>
      <c r="E4607" s="7"/>
      <c r="F4607" s="7">
        <v>1</v>
      </c>
      <c r="G4607" s="7">
        <f>3*INDEX([1]equip.xml!$I:$I,MATCH(D4607&amp;"",[1]equip.xml!$A:$A,0))</f>
        <v>90000</v>
      </c>
      <c r="H4607" s="7" t="str">
        <f t="shared" ref="H4607:J4607" si="5815">H4519</f>
        <v>10_10,50_20,80_30</v>
      </c>
      <c r="I4607" s="7">
        <v>7</v>
      </c>
      <c r="J4607" s="7">
        <f t="shared" si="5815"/>
        <v>50</v>
      </c>
      <c r="K4607" s="7" t="s">
        <v>310</v>
      </c>
      <c r="L4607" s="7">
        <v>30</v>
      </c>
      <c r="M4607" s="7">
        <f>IF(INDEX([1]equip.xml!$B:$B,MATCH(D4607&amp;"",[1]equip.xml!$A:$A,0))=0,0,N4607)</f>
        <v>100</v>
      </c>
      <c r="N4607" s="7">
        <f t="shared" si="5702"/>
        <v>100</v>
      </c>
    </row>
    <row r="4608" spans="1:14">
      <c r="A4608" s="7">
        <f t="shared" si="5781"/>
        <v>30011</v>
      </c>
      <c r="B4608" s="7">
        <f t="shared" ref="B4608:C4608" si="5816">B4520</f>
        <v>40000</v>
      </c>
      <c r="C4608" s="7" t="str">
        <f t="shared" si="5816"/>
        <v>装备</v>
      </c>
      <c r="D4608" s="7">
        <v>40300030</v>
      </c>
      <c r="E4608" s="7"/>
      <c r="F4608" s="7">
        <v>1</v>
      </c>
      <c r="G4608" s="7">
        <f>3*INDEX([1]equip.xml!$I:$I,MATCH(D4608&amp;"",[1]equip.xml!$A:$A,0))</f>
        <v>90000</v>
      </c>
      <c r="H4608" s="7" t="str">
        <f t="shared" ref="H4608:J4608" si="5817">H4520</f>
        <v>10_10,50_20,80_30</v>
      </c>
      <c r="I4608" s="7">
        <v>7</v>
      </c>
      <c r="J4608" s="7">
        <f t="shared" si="5817"/>
        <v>50</v>
      </c>
      <c r="K4608" s="7" t="s">
        <v>310</v>
      </c>
      <c r="L4608" s="7">
        <v>30</v>
      </c>
      <c r="M4608" s="7">
        <f>IF(INDEX([1]equip.xml!$B:$B,MATCH(D4608&amp;"",[1]equip.xml!$A:$A,0))=0,0,N4608)</f>
        <v>100</v>
      </c>
      <c r="N4608" s="7">
        <f t="shared" si="5702"/>
        <v>100</v>
      </c>
    </row>
    <row r="4609" spans="1:14">
      <c r="A4609" s="7">
        <f t="shared" si="5781"/>
        <v>30011</v>
      </c>
      <c r="B4609" s="7">
        <f t="shared" ref="B4609:C4609" si="5818">B4521</f>
        <v>40000</v>
      </c>
      <c r="C4609" s="7" t="str">
        <f t="shared" si="5818"/>
        <v>装备</v>
      </c>
      <c r="D4609" s="7">
        <v>40300080</v>
      </c>
      <c r="E4609" s="7"/>
      <c r="F4609" s="7">
        <v>1</v>
      </c>
      <c r="G4609" s="7">
        <f>3*INDEX([1]equip.xml!$I:$I,MATCH(D4609&amp;"",[1]equip.xml!$A:$A,0))</f>
        <v>90000</v>
      </c>
      <c r="H4609" s="7" t="str">
        <f t="shared" ref="H4609:J4609" si="5819">H4521</f>
        <v>10_10,50_20,80_30</v>
      </c>
      <c r="I4609" s="7">
        <v>7</v>
      </c>
      <c r="J4609" s="7">
        <f t="shared" si="5819"/>
        <v>50</v>
      </c>
      <c r="K4609" s="7" t="s">
        <v>310</v>
      </c>
      <c r="L4609" s="7">
        <v>30</v>
      </c>
      <c r="M4609" s="7">
        <f>IF(INDEX([1]equip.xml!$B:$B,MATCH(D4609&amp;"",[1]equip.xml!$A:$A,0))=0,0,N4609)</f>
        <v>100</v>
      </c>
      <c r="N4609" s="7">
        <f t="shared" si="5702"/>
        <v>100</v>
      </c>
    </row>
    <row r="4610" spans="1:14">
      <c r="A4610" s="7">
        <f t="shared" si="5781"/>
        <v>30011</v>
      </c>
      <c r="B4610" s="7">
        <f t="shared" ref="B4610:C4610" si="5820">B4522</f>
        <v>40000</v>
      </c>
      <c r="C4610" s="7" t="str">
        <f t="shared" si="5820"/>
        <v>装备</v>
      </c>
      <c r="D4610" s="7">
        <v>40300090</v>
      </c>
      <c r="E4610" s="7"/>
      <c r="F4610" s="7">
        <v>1</v>
      </c>
      <c r="G4610" s="7">
        <f>3*INDEX([1]equip.xml!$I:$I,MATCH(D4610&amp;"",[1]equip.xml!$A:$A,0))</f>
        <v>90000</v>
      </c>
      <c r="H4610" s="7" t="str">
        <f t="shared" ref="H4610:J4610" si="5821">H4522</f>
        <v>10_10,50_20,80_30</v>
      </c>
      <c r="I4610" s="7">
        <v>7</v>
      </c>
      <c r="J4610" s="7">
        <f t="shared" si="5821"/>
        <v>50</v>
      </c>
      <c r="K4610" s="7" t="s">
        <v>310</v>
      </c>
      <c r="L4610" s="7">
        <v>30</v>
      </c>
      <c r="M4610" s="7">
        <f>IF(INDEX([1]equip.xml!$B:$B,MATCH(D4610&amp;"",[1]equip.xml!$A:$A,0))=0,0,N4610)</f>
        <v>100</v>
      </c>
      <c r="N4610" s="7">
        <f t="shared" si="5702"/>
        <v>100</v>
      </c>
    </row>
    <row r="4611" spans="1:14">
      <c r="A4611" s="7">
        <f t="shared" si="5781"/>
        <v>30011</v>
      </c>
      <c r="B4611" s="7">
        <f t="shared" ref="B4611:C4611" si="5822">B4523</f>
        <v>40000</v>
      </c>
      <c r="C4611" s="7" t="str">
        <f t="shared" si="5822"/>
        <v>装备</v>
      </c>
      <c r="D4611" s="7">
        <v>40300100</v>
      </c>
      <c r="E4611" s="7"/>
      <c r="F4611" s="7">
        <v>1</v>
      </c>
      <c r="G4611" s="7">
        <f>3*INDEX([1]equip.xml!$I:$I,MATCH(D4611&amp;"",[1]equip.xml!$A:$A,0))</f>
        <v>90000</v>
      </c>
      <c r="H4611" s="7" t="str">
        <f t="shared" ref="H4611:J4611" si="5823">H4523</f>
        <v>10_10,50_20,80_30</v>
      </c>
      <c r="I4611" s="7">
        <v>7</v>
      </c>
      <c r="J4611" s="7">
        <f t="shared" si="5823"/>
        <v>50</v>
      </c>
      <c r="K4611" s="7" t="s">
        <v>310</v>
      </c>
      <c r="L4611" s="7">
        <v>30</v>
      </c>
      <c r="M4611" s="7">
        <f>IF(INDEX([1]equip.xml!$B:$B,MATCH(D4611&amp;"",[1]equip.xml!$A:$A,0))=0,0,N4611)</f>
        <v>100</v>
      </c>
      <c r="N4611" s="7">
        <f t="shared" si="5702"/>
        <v>100</v>
      </c>
    </row>
    <row r="4612" spans="1:14">
      <c r="A4612" s="7">
        <f t="shared" si="5781"/>
        <v>30011</v>
      </c>
      <c r="B4612" s="7">
        <f t="shared" ref="B4612:C4612" si="5824">B4524</f>
        <v>40000</v>
      </c>
      <c r="C4612" s="7" t="str">
        <f t="shared" si="5824"/>
        <v>装备</v>
      </c>
      <c r="D4612" s="7">
        <v>40301050</v>
      </c>
      <c r="E4612" s="7"/>
      <c r="F4612" s="7">
        <v>1</v>
      </c>
      <c r="G4612" s="7">
        <f>3*INDEX([1]equip.xml!$I:$I,MATCH(D4612&amp;"",[1]equip.xml!$A:$A,0))</f>
        <v>90000</v>
      </c>
      <c r="H4612" s="7" t="str">
        <f t="shared" ref="H4612:J4612" si="5825">H4524</f>
        <v>10_10,50_20,80_30</v>
      </c>
      <c r="I4612" s="7">
        <v>7</v>
      </c>
      <c r="J4612" s="7">
        <f t="shared" si="5825"/>
        <v>50</v>
      </c>
      <c r="K4612" s="7" t="s">
        <v>310</v>
      </c>
      <c r="L4612" s="7">
        <v>30</v>
      </c>
      <c r="M4612" s="7">
        <f>IF(INDEX([1]equip.xml!$B:$B,MATCH(D4612&amp;"",[1]equip.xml!$A:$A,0))=0,0,N4612)</f>
        <v>100</v>
      </c>
      <c r="N4612" s="7">
        <f t="shared" si="5702"/>
        <v>100</v>
      </c>
    </row>
    <row r="4613" spans="1:14">
      <c r="A4613" s="7">
        <f t="shared" si="5781"/>
        <v>30011</v>
      </c>
      <c r="B4613" s="7">
        <f t="shared" ref="B4613:C4613" si="5826">B4525</f>
        <v>40000</v>
      </c>
      <c r="C4613" s="7" t="str">
        <f t="shared" si="5826"/>
        <v>装备</v>
      </c>
      <c r="D4613" s="7">
        <v>40301051</v>
      </c>
      <c r="E4613" s="7"/>
      <c r="F4613" s="7">
        <v>1</v>
      </c>
      <c r="G4613" s="7">
        <f>3*INDEX([1]equip.xml!$I:$I,MATCH(D4613&amp;"",[1]equip.xml!$A:$A,0))</f>
        <v>99000</v>
      </c>
      <c r="H4613" s="7" t="str">
        <f t="shared" ref="H4613:J4613" si="5827">H4525</f>
        <v>10_10,50_20,80_30</v>
      </c>
      <c r="I4613" s="7">
        <v>7</v>
      </c>
      <c r="J4613" s="7">
        <f t="shared" si="5827"/>
        <v>50</v>
      </c>
      <c r="K4613" s="7" t="s">
        <v>310</v>
      </c>
      <c r="L4613" s="7">
        <v>30</v>
      </c>
      <c r="M4613" s="7">
        <f>IF(INDEX([1]equip.xml!$B:$B,MATCH(D4613&amp;"",[1]equip.xml!$A:$A,0))=0,0,N4613)</f>
        <v>100</v>
      </c>
      <c r="N4613" s="7">
        <f t="shared" si="5702"/>
        <v>100</v>
      </c>
    </row>
    <row r="4614" spans="1:14">
      <c r="A4614" s="7">
        <f t="shared" si="5781"/>
        <v>30011</v>
      </c>
      <c r="B4614" s="7">
        <f t="shared" ref="B4614:C4614" si="5828">B4526</f>
        <v>40000</v>
      </c>
      <c r="C4614" s="7" t="str">
        <f t="shared" si="5828"/>
        <v>装备</v>
      </c>
      <c r="D4614" s="7">
        <v>40301060</v>
      </c>
      <c r="E4614" s="7"/>
      <c r="F4614" s="7">
        <v>1</v>
      </c>
      <c r="G4614" s="7">
        <f>3*INDEX([1]equip.xml!$I:$I,MATCH(D4614&amp;"",[1]equip.xml!$A:$A,0))</f>
        <v>90000</v>
      </c>
      <c r="H4614" s="7" t="str">
        <f t="shared" ref="H4614:J4614" si="5829">H4526</f>
        <v>10_10,50_20,80_30</v>
      </c>
      <c r="I4614" s="7">
        <v>7</v>
      </c>
      <c r="J4614" s="7">
        <f t="shared" si="5829"/>
        <v>50</v>
      </c>
      <c r="K4614" s="7" t="s">
        <v>310</v>
      </c>
      <c r="L4614" s="7">
        <v>30</v>
      </c>
      <c r="M4614" s="7">
        <f>IF(INDEX([1]equip.xml!$B:$B,MATCH(D4614&amp;"",[1]equip.xml!$A:$A,0))=0,0,N4614)</f>
        <v>100</v>
      </c>
      <c r="N4614" s="7">
        <f t="shared" si="5702"/>
        <v>100</v>
      </c>
    </row>
    <row r="4615" spans="1:14">
      <c r="A4615" s="7">
        <f t="shared" si="5781"/>
        <v>30011</v>
      </c>
      <c r="B4615" s="7">
        <f t="shared" ref="B4615:C4615" si="5830">B4527</f>
        <v>40000</v>
      </c>
      <c r="C4615" s="7" t="str">
        <f t="shared" si="5830"/>
        <v>装备</v>
      </c>
      <c r="D4615" s="7">
        <v>40301061</v>
      </c>
      <c r="E4615" s="7"/>
      <c r="F4615" s="7">
        <v>1</v>
      </c>
      <c r="G4615" s="7">
        <f>3*INDEX([1]equip.xml!$I:$I,MATCH(D4615&amp;"",[1]equip.xml!$A:$A,0))</f>
        <v>99000</v>
      </c>
      <c r="H4615" s="7" t="str">
        <f t="shared" ref="H4615:J4615" si="5831">H4527</f>
        <v>10_10,50_20,80_30</v>
      </c>
      <c r="I4615" s="7">
        <v>7</v>
      </c>
      <c r="J4615" s="7">
        <f t="shared" si="5831"/>
        <v>50</v>
      </c>
      <c r="K4615" s="7" t="s">
        <v>310</v>
      </c>
      <c r="L4615" s="7">
        <v>30</v>
      </c>
      <c r="M4615" s="7">
        <f>IF(INDEX([1]equip.xml!$B:$B,MATCH(D4615&amp;"",[1]equip.xml!$A:$A,0))=0,0,N4615)</f>
        <v>0</v>
      </c>
      <c r="N4615" s="7">
        <f t="shared" ref="N4615:N4678" si="5832">N4527</f>
        <v>100</v>
      </c>
    </row>
    <row r="4616" spans="1:14">
      <c r="A4616" s="7">
        <f t="shared" si="5781"/>
        <v>30011</v>
      </c>
      <c r="B4616" s="7">
        <f t="shared" ref="B4616:C4616" si="5833">B4528</f>
        <v>40000</v>
      </c>
      <c r="C4616" s="7" t="str">
        <f t="shared" si="5833"/>
        <v>装备</v>
      </c>
      <c r="D4616" s="7">
        <v>40302050</v>
      </c>
      <c r="E4616" s="7"/>
      <c r="F4616" s="7">
        <v>1</v>
      </c>
      <c r="G4616" s="7">
        <f>3*INDEX([1]equip.xml!$I:$I,MATCH(D4616&amp;"",[1]equip.xml!$A:$A,0))</f>
        <v>90000</v>
      </c>
      <c r="H4616" s="7" t="str">
        <f t="shared" ref="H4616:J4616" si="5834">H4528</f>
        <v>10_10,50_20,80_30</v>
      </c>
      <c r="I4616" s="7">
        <v>7</v>
      </c>
      <c r="J4616" s="7">
        <f t="shared" si="5834"/>
        <v>50</v>
      </c>
      <c r="K4616" s="7" t="s">
        <v>310</v>
      </c>
      <c r="L4616" s="7">
        <v>30</v>
      </c>
      <c r="M4616" s="7">
        <f>IF(INDEX([1]equip.xml!$B:$B,MATCH(D4616&amp;"",[1]equip.xml!$A:$A,0))=0,0,N4616)</f>
        <v>100</v>
      </c>
      <c r="N4616" s="7">
        <f t="shared" si="5832"/>
        <v>100</v>
      </c>
    </row>
    <row r="4617" spans="1:14">
      <c r="A4617" s="7">
        <f t="shared" si="5781"/>
        <v>30011</v>
      </c>
      <c r="B4617" s="7">
        <f t="shared" ref="B4617:C4617" si="5835">B4529</f>
        <v>40000</v>
      </c>
      <c r="C4617" s="7" t="str">
        <f t="shared" si="5835"/>
        <v>装备</v>
      </c>
      <c r="D4617" s="7">
        <v>40302051</v>
      </c>
      <c r="E4617" s="7"/>
      <c r="F4617" s="7">
        <v>1</v>
      </c>
      <c r="G4617" s="7">
        <f>3*INDEX([1]equip.xml!$I:$I,MATCH(D4617&amp;"",[1]equip.xml!$A:$A,0))</f>
        <v>99000</v>
      </c>
      <c r="H4617" s="7" t="str">
        <f t="shared" ref="H4617:J4617" si="5836">H4529</f>
        <v>10_10,50_20,80_30</v>
      </c>
      <c r="I4617" s="7">
        <v>7</v>
      </c>
      <c r="J4617" s="7">
        <f t="shared" si="5836"/>
        <v>50</v>
      </c>
      <c r="K4617" s="7" t="s">
        <v>310</v>
      </c>
      <c r="L4617" s="7">
        <v>30</v>
      </c>
      <c r="M4617" s="7">
        <f>IF(INDEX([1]equip.xml!$B:$B,MATCH(D4617&amp;"",[1]equip.xml!$A:$A,0))=0,0,N4617)</f>
        <v>100</v>
      </c>
      <c r="N4617" s="7">
        <f t="shared" si="5832"/>
        <v>100</v>
      </c>
    </row>
    <row r="4618" spans="1:14">
      <c r="A4618" s="7">
        <f t="shared" si="5781"/>
        <v>30011</v>
      </c>
      <c r="B4618" s="7">
        <f t="shared" ref="B4618:C4618" si="5837">B4530</f>
        <v>40000</v>
      </c>
      <c r="C4618" s="7" t="str">
        <f t="shared" si="5837"/>
        <v>装备</v>
      </c>
      <c r="D4618" s="7">
        <v>40302060</v>
      </c>
      <c r="E4618" s="7"/>
      <c r="F4618" s="7">
        <v>1</v>
      </c>
      <c r="G4618" s="7">
        <f>3*INDEX([1]equip.xml!$I:$I,MATCH(D4618&amp;"",[1]equip.xml!$A:$A,0))</f>
        <v>90000</v>
      </c>
      <c r="H4618" s="7" t="str">
        <f t="shared" ref="H4618:J4618" si="5838">H4530</f>
        <v>10_10,50_20,80_30</v>
      </c>
      <c r="I4618" s="7">
        <v>7</v>
      </c>
      <c r="J4618" s="7">
        <f t="shared" si="5838"/>
        <v>50</v>
      </c>
      <c r="K4618" s="7" t="s">
        <v>310</v>
      </c>
      <c r="L4618" s="7">
        <v>30</v>
      </c>
      <c r="M4618" s="7">
        <f>IF(INDEX([1]equip.xml!$B:$B,MATCH(D4618&amp;"",[1]equip.xml!$A:$A,0))=0,0,N4618)</f>
        <v>100</v>
      </c>
      <c r="N4618" s="7">
        <f t="shared" si="5832"/>
        <v>100</v>
      </c>
    </row>
    <row r="4619" spans="1:14">
      <c r="A4619" s="7">
        <f t="shared" si="5781"/>
        <v>30011</v>
      </c>
      <c r="B4619" s="7">
        <f t="shared" ref="B4619:C4619" si="5839">B4531</f>
        <v>40000</v>
      </c>
      <c r="C4619" s="7" t="str">
        <f t="shared" si="5839"/>
        <v>装备</v>
      </c>
      <c r="D4619" s="7">
        <v>40302061</v>
      </c>
      <c r="E4619" s="7"/>
      <c r="F4619" s="7">
        <v>1</v>
      </c>
      <c r="G4619" s="7">
        <f>3*INDEX([1]equip.xml!$I:$I,MATCH(D4619&amp;"",[1]equip.xml!$A:$A,0))</f>
        <v>99000</v>
      </c>
      <c r="H4619" s="7" t="str">
        <f t="shared" ref="H4619:J4619" si="5840">H4531</f>
        <v>10_10,50_20,80_30</v>
      </c>
      <c r="I4619" s="7">
        <v>7</v>
      </c>
      <c r="J4619" s="7">
        <f t="shared" si="5840"/>
        <v>50</v>
      </c>
      <c r="K4619" s="7" t="s">
        <v>310</v>
      </c>
      <c r="L4619" s="7">
        <v>30</v>
      </c>
      <c r="M4619" s="7">
        <f>IF(INDEX([1]equip.xml!$B:$B,MATCH(D4619&amp;"",[1]equip.xml!$A:$A,0))=0,0,N4619)</f>
        <v>0</v>
      </c>
      <c r="N4619" s="7">
        <f t="shared" si="5832"/>
        <v>100</v>
      </c>
    </row>
    <row r="4620" spans="1:14">
      <c r="A4620" s="7">
        <f t="shared" si="5781"/>
        <v>30011</v>
      </c>
      <c r="B4620" s="7">
        <f t="shared" ref="B4620:C4620" si="5841">B4532</f>
        <v>40000</v>
      </c>
      <c r="C4620" s="7" t="str">
        <f t="shared" si="5841"/>
        <v>装备</v>
      </c>
      <c r="D4620" s="7">
        <v>40303050</v>
      </c>
      <c r="E4620" s="7"/>
      <c r="F4620" s="7">
        <v>1</v>
      </c>
      <c r="G4620" s="7">
        <f>3*INDEX([1]equip.xml!$I:$I,MATCH(D4620&amp;"",[1]equip.xml!$A:$A,0))</f>
        <v>90000</v>
      </c>
      <c r="H4620" s="7" t="str">
        <f t="shared" ref="H4620:J4620" si="5842">H4532</f>
        <v>10_10,50_20,80_30</v>
      </c>
      <c r="I4620" s="7">
        <v>7</v>
      </c>
      <c r="J4620" s="7">
        <f t="shared" si="5842"/>
        <v>50</v>
      </c>
      <c r="K4620" s="7" t="s">
        <v>310</v>
      </c>
      <c r="L4620" s="7">
        <v>30</v>
      </c>
      <c r="M4620" s="7">
        <f>IF(INDEX([1]equip.xml!$B:$B,MATCH(D4620&amp;"",[1]equip.xml!$A:$A,0))=0,0,N4620)</f>
        <v>100</v>
      </c>
      <c r="N4620" s="7">
        <f t="shared" si="5832"/>
        <v>100</v>
      </c>
    </row>
    <row r="4621" spans="1:14">
      <c r="A4621" s="7">
        <f t="shared" si="5781"/>
        <v>30011</v>
      </c>
      <c r="B4621" s="7">
        <f t="shared" ref="B4621:C4621" si="5843">B4533</f>
        <v>40000</v>
      </c>
      <c r="C4621" s="7" t="str">
        <f t="shared" si="5843"/>
        <v>装备</v>
      </c>
      <c r="D4621" s="7">
        <v>40303051</v>
      </c>
      <c r="E4621" s="7"/>
      <c r="F4621" s="7">
        <v>1</v>
      </c>
      <c r="G4621" s="7">
        <f>3*INDEX([1]equip.xml!$I:$I,MATCH(D4621&amp;"",[1]equip.xml!$A:$A,0))</f>
        <v>99000</v>
      </c>
      <c r="H4621" s="7" t="str">
        <f t="shared" ref="H4621:J4621" si="5844">H4533</f>
        <v>10_10,50_20,80_30</v>
      </c>
      <c r="I4621" s="7">
        <v>7</v>
      </c>
      <c r="J4621" s="7">
        <f t="shared" si="5844"/>
        <v>50</v>
      </c>
      <c r="K4621" s="7" t="s">
        <v>310</v>
      </c>
      <c r="L4621" s="7">
        <v>30</v>
      </c>
      <c r="M4621" s="7">
        <f>IF(INDEX([1]equip.xml!$B:$B,MATCH(D4621&amp;"",[1]equip.xml!$A:$A,0))=0,0,N4621)</f>
        <v>100</v>
      </c>
      <c r="N4621" s="7">
        <f t="shared" si="5832"/>
        <v>100</v>
      </c>
    </row>
    <row r="4622" spans="1:14">
      <c r="A4622" s="7">
        <f t="shared" si="5781"/>
        <v>30011</v>
      </c>
      <c r="B4622" s="7">
        <f t="shared" ref="B4622:C4622" si="5845">B4534</f>
        <v>40000</v>
      </c>
      <c r="C4622" s="7" t="str">
        <f t="shared" si="5845"/>
        <v>装备</v>
      </c>
      <c r="D4622" s="7">
        <v>40303060</v>
      </c>
      <c r="E4622" s="7"/>
      <c r="F4622" s="7">
        <v>1</v>
      </c>
      <c r="G4622" s="7">
        <f>3*INDEX([1]equip.xml!$I:$I,MATCH(D4622&amp;"",[1]equip.xml!$A:$A,0))</f>
        <v>90000</v>
      </c>
      <c r="H4622" s="7" t="str">
        <f t="shared" ref="H4622:J4622" si="5846">H4534</f>
        <v>10_10,50_20,80_30</v>
      </c>
      <c r="I4622" s="7">
        <v>7</v>
      </c>
      <c r="J4622" s="7">
        <f t="shared" si="5846"/>
        <v>50</v>
      </c>
      <c r="K4622" s="7" t="s">
        <v>310</v>
      </c>
      <c r="L4622" s="7">
        <v>30</v>
      </c>
      <c r="M4622" s="7">
        <f>IF(INDEX([1]equip.xml!$B:$B,MATCH(D4622&amp;"",[1]equip.xml!$A:$A,0))=0,0,N4622)</f>
        <v>100</v>
      </c>
      <c r="N4622" s="7">
        <f t="shared" si="5832"/>
        <v>100</v>
      </c>
    </row>
    <row r="4623" spans="1:14">
      <c r="A4623" s="7">
        <f t="shared" si="5781"/>
        <v>30011</v>
      </c>
      <c r="B4623" s="7">
        <f t="shared" ref="B4623:C4623" si="5847">B4535</f>
        <v>40000</v>
      </c>
      <c r="C4623" s="7" t="str">
        <f t="shared" si="5847"/>
        <v>装备</v>
      </c>
      <c r="D4623" s="7">
        <v>40303061</v>
      </c>
      <c r="E4623" s="7"/>
      <c r="F4623" s="7">
        <v>1</v>
      </c>
      <c r="G4623" s="7">
        <f>3*INDEX([1]equip.xml!$I:$I,MATCH(D4623&amp;"",[1]equip.xml!$A:$A,0))</f>
        <v>99000</v>
      </c>
      <c r="H4623" s="7" t="str">
        <f t="shared" ref="H4623:J4623" si="5848">H4535</f>
        <v>10_10,50_20,80_30</v>
      </c>
      <c r="I4623" s="7">
        <v>7</v>
      </c>
      <c r="J4623" s="7">
        <f t="shared" si="5848"/>
        <v>50</v>
      </c>
      <c r="K4623" s="7" t="s">
        <v>310</v>
      </c>
      <c r="L4623" s="7">
        <v>30</v>
      </c>
      <c r="M4623" s="7">
        <f>IF(INDEX([1]equip.xml!$B:$B,MATCH(D4623&amp;"",[1]equip.xml!$A:$A,0))=0,0,N4623)</f>
        <v>0</v>
      </c>
      <c r="N4623" s="7">
        <f t="shared" si="5832"/>
        <v>100</v>
      </c>
    </row>
    <row r="4624" spans="1:14">
      <c r="A4624" s="7">
        <f t="shared" si="5781"/>
        <v>30011</v>
      </c>
      <c r="B4624" s="7">
        <f t="shared" ref="B4624:C4624" si="5849">B4536</f>
        <v>40000</v>
      </c>
      <c r="C4624" s="7" t="str">
        <f t="shared" si="5849"/>
        <v>装备</v>
      </c>
      <c r="D4624" s="7">
        <v>40300040</v>
      </c>
      <c r="E4624" s="7"/>
      <c r="F4624" s="7">
        <v>1</v>
      </c>
      <c r="G4624" s="7">
        <f>3*INDEX([1]equip.xml!$I:$I,MATCH(D4624&amp;"",[1]equip.xml!$A:$A,0))</f>
        <v>90000</v>
      </c>
      <c r="H4624" s="7" t="str">
        <f t="shared" ref="H4624:J4624" si="5850">H4536</f>
        <v>10_10,50_20,80_30</v>
      </c>
      <c r="I4624" s="7">
        <v>7</v>
      </c>
      <c r="J4624" s="7">
        <f t="shared" si="5850"/>
        <v>50</v>
      </c>
      <c r="K4624" s="7" t="s">
        <v>310</v>
      </c>
      <c r="L4624" s="7">
        <v>30</v>
      </c>
      <c r="M4624" s="7">
        <f>IF(INDEX([1]equip.xml!$B:$B,MATCH(D4624&amp;"",[1]equip.xml!$A:$A,0))=0,0,N4624)</f>
        <v>100</v>
      </c>
      <c r="N4624" s="7">
        <f t="shared" si="5832"/>
        <v>100</v>
      </c>
    </row>
    <row r="4625" spans="1:14">
      <c r="A4625" s="7">
        <f t="shared" si="5781"/>
        <v>30011</v>
      </c>
      <c r="B4625" s="7">
        <f t="shared" ref="B4625:C4625" si="5851">B4537</f>
        <v>40000</v>
      </c>
      <c r="C4625" s="7" t="str">
        <f t="shared" si="5851"/>
        <v>装备</v>
      </c>
      <c r="D4625" s="7">
        <v>40300041</v>
      </c>
      <c r="E4625" s="7"/>
      <c r="F4625" s="7">
        <v>1</v>
      </c>
      <c r="G4625" s="7">
        <f>3*INDEX([1]equip.xml!$I:$I,MATCH(D4625&amp;"",[1]equip.xml!$A:$A,0))</f>
        <v>99000</v>
      </c>
      <c r="H4625" s="7" t="str">
        <f t="shared" ref="H4625:J4625" si="5852">H4537</f>
        <v>10_10,50_20,80_30</v>
      </c>
      <c r="I4625" s="7">
        <v>7</v>
      </c>
      <c r="J4625" s="7">
        <f t="shared" si="5852"/>
        <v>50</v>
      </c>
      <c r="K4625" s="7" t="s">
        <v>310</v>
      </c>
      <c r="L4625" s="7">
        <v>30</v>
      </c>
      <c r="M4625" s="7">
        <f>IF(INDEX([1]equip.xml!$B:$B,MATCH(D4625&amp;"",[1]equip.xml!$A:$A,0))=0,0,N4625)</f>
        <v>100</v>
      </c>
      <c r="N4625" s="7">
        <f t="shared" si="5832"/>
        <v>100</v>
      </c>
    </row>
    <row r="4626" spans="1:14">
      <c r="A4626" s="7">
        <f t="shared" si="5781"/>
        <v>30011</v>
      </c>
      <c r="B4626" s="7">
        <f t="shared" ref="B4626:C4626" si="5853">B4538</f>
        <v>40000</v>
      </c>
      <c r="C4626" s="7" t="str">
        <f t="shared" si="5853"/>
        <v>装备</v>
      </c>
      <c r="D4626" s="7">
        <v>40300070</v>
      </c>
      <c r="E4626" s="7"/>
      <c r="F4626" s="7">
        <v>1</v>
      </c>
      <c r="G4626" s="7">
        <f>3*INDEX([1]equip.xml!$I:$I,MATCH(D4626&amp;"",[1]equip.xml!$A:$A,0))</f>
        <v>90000</v>
      </c>
      <c r="H4626" s="7" t="str">
        <f t="shared" ref="H4626:J4626" si="5854">H4538</f>
        <v>10_10,50_20,80_30</v>
      </c>
      <c r="I4626" s="7">
        <v>7</v>
      </c>
      <c r="J4626" s="7">
        <f t="shared" si="5854"/>
        <v>50</v>
      </c>
      <c r="K4626" s="7" t="s">
        <v>310</v>
      </c>
      <c r="L4626" s="7">
        <v>30</v>
      </c>
      <c r="M4626" s="7">
        <f>IF(INDEX([1]equip.xml!$B:$B,MATCH(D4626&amp;"",[1]equip.xml!$A:$A,0))=0,0,N4626)</f>
        <v>100</v>
      </c>
      <c r="N4626" s="7">
        <f t="shared" si="5832"/>
        <v>100</v>
      </c>
    </row>
    <row r="4627" spans="1:14">
      <c r="A4627" s="7">
        <f t="shared" si="5781"/>
        <v>30011</v>
      </c>
      <c r="B4627" s="7">
        <f t="shared" ref="B4627:C4627" si="5855">B4539</f>
        <v>40000</v>
      </c>
      <c r="C4627" s="7" t="str">
        <f t="shared" si="5855"/>
        <v>装备</v>
      </c>
      <c r="D4627" s="7">
        <v>40300071</v>
      </c>
      <c r="E4627" s="7"/>
      <c r="F4627" s="7">
        <v>1</v>
      </c>
      <c r="G4627" s="7">
        <f>3*INDEX([1]equip.xml!$I:$I,MATCH(D4627&amp;"",[1]equip.xml!$A:$A,0))</f>
        <v>99000</v>
      </c>
      <c r="H4627" s="7" t="str">
        <f t="shared" ref="H4627:J4627" si="5856">H4539</f>
        <v>10_10,50_20,80_30</v>
      </c>
      <c r="I4627" s="7">
        <v>7</v>
      </c>
      <c r="J4627" s="7">
        <f t="shared" si="5856"/>
        <v>50</v>
      </c>
      <c r="K4627" s="7" t="s">
        <v>310</v>
      </c>
      <c r="L4627" s="7">
        <v>30</v>
      </c>
      <c r="M4627" s="7">
        <f>IF(INDEX([1]equip.xml!$B:$B,MATCH(D4627&amp;"",[1]equip.xml!$A:$A,0))=0,0,N4627)</f>
        <v>100</v>
      </c>
      <c r="N4627" s="7">
        <f t="shared" si="5832"/>
        <v>100</v>
      </c>
    </row>
    <row r="4628" spans="1:14">
      <c r="A4628" s="7">
        <f t="shared" si="5781"/>
        <v>30011</v>
      </c>
      <c r="B4628" s="7">
        <f t="shared" ref="B4628:C4628" si="5857">B4540</f>
        <v>40000</v>
      </c>
      <c r="C4628" s="7" t="str">
        <f t="shared" si="5857"/>
        <v>装备</v>
      </c>
      <c r="D4628" s="7">
        <v>40350010</v>
      </c>
      <c r="E4628" s="7"/>
      <c r="F4628" s="7">
        <v>1</v>
      </c>
      <c r="G4628" s="7">
        <f>3*INDEX([1]equip.xml!$I:$I,MATCH(D4628&amp;"",[1]equip.xml!$A:$A,0))</f>
        <v>105000</v>
      </c>
      <c r="H4628" s="7" t="str">
        <f t="shared" ref="H4628:J4628" si="5858">H4540</f>
        <v>10_10,50_20,80_30</v>
      </c>
      <c r="I4628" s="7">
        <v>7</v>
      </c>
      <c r="J4628" s="7">
        <f t="shared" si="5858"/>
        <v>50</v>
      </c>
      <c r="K4628" s="7" t="s">
        <v>310</v>
      </c>
      <c r="L4628" s="7">
        <v>30</v>
      </c>
      <c r="M4628" s="7">
        <f>IF(INDEX([1]equip.xml!$B:$B,MATCH(D4628&amp;"",[1]equip.xml!$A:$A,0))=0,0,N4628)</f>
        <v>70</v>
      </c>
      <c r="N4628" s="7">
        <f t="shared" si="5832"/>
        <v>70</v>
      </c>
    </row>
    <row r="4629" spans="1:14">
      <c r="A4629" s="7">
        <f t="shared" si="5781"/>
        <v>30011</v>
      </c>
      <c r="B4629" s="7">
        <f t="shared" ref="B4629:C4629" si="5859">B4541</f>
        <v>40000</v>
      </c>
      <c r="C4629" s="7" t="str">
        <f t="shared" si="5859"/>
        <v>装备</v>
      </c>
      <c r="D4629" s="7">
        <v>40350020</v>
      </c>
      <c r="E4629" s="7"/>
      <c r="F4629" s="7">
        <v>1</v>
      </c>
      <c r="G4629" s="7">
        <f>3*INDEX([1]equip.xml!$I:$I,MATCH(D4629&amp;"",[1]equip.xml!$A:$A,0))</f>
        <v>105000</v>
      </c>
      <c r="H4629" s="7" t="str">
        <f t="shared" ref="H4629:J4629" si="5860">H4541</f>
        <v>10_10,50_20,80_30</v>
      </c>
      <c r="I4629" s="7">
        <v>7</v>
      </c>
      <c r="J4629" s="7">
        <f t="shared" si="5860"/>
        <v>50</v>
      </c>
      <c r="K4629" s="7" t="s">
        <v>310</v>
      </c>
      <c r="L4629" s="7">
        <v>30</v>
      </c>
      <c r="M4629" s="7">
        <f>IF(INDEX([1]equip.xml!$B:$B,MATCH(D4629&amp;"",[1]equip.xml!$A:$A,0))=0,0,N4629)</f>
        <v>70</v>
      </c>
      <c r="N4629" s="7">
        <f t="shared" si="5832"/>
        <v>70</v>
      </c>
    </row>
    <row r="4630" spans="1:14">
      <c r="A4630" s="7">
        <f t="shared" si="5781"/>
        <v>30011</v>
      </c>
      <c r="B4630" s="7">
        <f t="shared" ref="B4630:C4630" si="5861">B4542</f>
        <v>40000</v>
      </c>
      <c r="C4630" s="7" t="str">
        <f t="shared" si="5861"/>
        <v>装备</v>
      </c>
      <c r="D4630" s="7">
        <v>40350030</v>
      </c>
      <c r="E4630" s="7"/>
      <c r="F4630" s="7">
        <v>1</v>
      </c>
      <c r="G4630" s="7">
        <f>3*INDEX([1]equip.xml!$I:$I,MATCH(D4630&amp;"",[1]equip.xml!$A:$A,0))</f>
        <v>105000</v>
      </c>
      <c r="H4630" s="7" t="str">
        <f t="shared" ref="H4630:J4630" si="5862">H4542</f>
        <v>10_10,50_20,80_30</v>
      </c>
      <c r="I4630" s="7">
        <v>7</v>
      </c>
      <c r="J4630" s="7">
        <f t="shared" si="5862"/>
        <v>50</v>
      </c>
      <c r="K4630" s="7" t="s">
        <v>310</v>
      </c>
      <c r="L4630" s="7">
        <v>30</v>
      </c>
      <c r="M4630" s="7">
        <f>IF(INDEX([1]equip.xml!$B:$B,MATCH(D4630&amp;"",[1]equip.xml!$A:$A,0))=0,0,N4630)</f>
        <v>70</v>
      </c>
      <c r="N4630" s="7">
        <f t="shared" si="5832"/>
        <v>70</v>
      </c>
    </row>
    <row r="4631" spans="1:14">
      <c r="A4631" s="7">
        <f t="shared" si="5781"/>
        <v>30011</v>
      </c>
      <c r="B4631" s="7">
        <f t="shared" ref="B4631:C4631" si="5863">B4543</f>
        <v>40000</v>
      </c>
      <c r="C4631" s="7" t="str">
        <f t="shared" si="5863"/>
        <v>装备</v>
      </c>
      <c r="D4631" s="7">
        <v>40350080</v>
      </c>
      <c r="E4631" s="7"/>
      <c r="F4631" s="7">
        <v>1</v>
      </c>
      <c r="G4631" s="7">
        <f>3*INDEX([1]equip.xml!$I:$I,MATCH(D4631&amp;"",[1]equip.xml!$A:$A,0))</f>
        <v>105000</v>
      </c>
      <c r="H4631" s="7" t="str">
        <f t="shared" ref="H4631:J4631" si="5864">H4543</f>
        <v>10_10,50_20,80_30</v>
      </c>
      <c r="I4631" s="7">
        <v>7</v>
      </c>
      <c r="J4631" s="7">
        <f t="shared" si="5864"/>
        <v>50</v>
      </c>
      <c r="K4631" s="7" t="s">
        <v>310</v>
      </c>
      <c r="L4631" s="7">
        <v>30</v>
      </c>
      <c r="M4631" s="7">
        <f>IF(INDEX([1]equip.xml!$B:$B,MATCH(D4631&amp;"",[1]equip.xml!$A:$A,0))=0,0,N4631)</f>
        <v>70</v>
      </c>
      <c r="N4631" s="7">
        <f t="shared" si="5832"/>
        <v>70</v>
      </c>
    </row>
    <row r="4632" spans="1:14">
      <c r="A4632" s="7">
        <f t="shared" si="5781"/>
        <v>30011</v>
      </c>
      <c r="B4632" s="7">
        <f t="shared" ref="B4632:C4632" si="5865">B4544</f>
        <v>40000</v>
      </c>
      <c r="C4632" s="7" t="str">
        <f t="shared" si="5865"/>
        <v>装备</v>
      </c>
      <c r="D4632" s="7">
        <v>40350090</v>
      </c>
      <c r="E4632" s="7"/>
      <c r="F4632" s="7">
        <v>1</v>
      </c>
      <c r="G4632" s="7">
        <f>3*INDEX([1]equip.xml!$I:$I,MATCH(D4632&amp;"",[1]equip.xml!$A:$A,0))</f>
        <v>105000</v>
      </c>
      <c r="H4632" s="7" t="str">
        <f t="shared" ref="H4632:J4632" si="5866">H4544</f>
        <v>10_10,50_20,80_30</v>
      </c>
      <c r="I4632" s="7">
        <v>7</v>
      </c>
      <c r="J4632" s="7">
        <f t="shared" si="5866"/>
        <v>50</v>
      </c>
      <c r="K4632" s="7" t="s">
        <v>310</v>
      </c>
      <c r="L4632" s="7">
        <v>30</v>
      </c>
      <c r="M4632" s="7">
        <f>IF(INDEX([1]equip.xml!$B:$B,MATCH(D4632&amp;"",[1]equip.xml!$A:$A,0))=0,0,N4632)</f>
        <v>70</v>
      </c>
      <c r="N4632" s="7">
        <f t="shared" si="5832"/>
        <v>70</v>
      </c>
    </row>
    <row r="4633" spans="1:14">
      <c r="A4633" s="7">
        <f t="shared" si="5781"/>
        <v>30011</v>
      </c>
      <c r="B4633" s="7">
        <f t="shared" ref="B4633:C4633" si="5867">B4545</f>
        <v>40000</v>
      </c>
      <c r="C4633" s="7" t="str">
        <f t="shared" si="5867"/>
        <v>装备</v>
      </c>
      <c r="D4633" s="7">
        <v>40350100</v>
      </c>
      <c r="E4633" s="7"/>
      <c r="F4633" s="7">
        <v>1</v>
      </c>
      <c r="G4633" s="7">
        <f>3*INDEX([1]equip.xml!$I:$I,MATCH(D4633&amp;"",[1]equip.xml!$A:$A,0))</f>
        <v>105000</v>
      </c>
      <c r="H4633" s="7" t="str">
        <f t="shared" ref="H4633:J4633" si="5868">H4545</f>
        <v>10_10,50_20,80_30</v>
      </c>
      <c r="I4633" s="7">
        <v>7</v>
      </c>
      <c r="J4633" s="7">
        <f t="shared" si="5868"/>
        <v>50</v>
      </c>
      <c r="K4633" s="7" t="s">
        <v>310</v>
      </c>
      <c r="L4633" s="7">
        <v>30</v>
      </c>
      <c r="M4633" s="7">
        <f>IF(INDEX([1]equip.xml!$B:$B,MATCH(D4633&amp;"",[1]equip.xml!$A:$A,0))=0,0,N4633)</f>
        <v>70</v>
      </c>
      <c r="N4633" s="7">
        <f t="shared" si="5832"/>
        <v>70</v>
      </c>
    </row>
    <row r="4634" spans="1:14">
      <c r="A4634" s="7">
        <f t="shared" si="5781"/>
        <v>30011</v>
      </c>
      <c r="B4634" s="7">
        <f t="shared" ref="B4634:C4634" si="5869">B4546</f>
        <v>40000</v>
      </c>
      <c r="C4634" s="7" t="str">
        <f t="shared" si="5869"/>
        <v>装备</v>
      </c>
      <c r="D4634" s="7">
        <v>40351050</v>
      </c>
      <c r="E4634" s="7"/>
      <c r="F4634" s="7">
        <v>1</v>
      </c>
      <c r="G4634" s="7">
        <f>3*INDEX([1]equip.xml!$I:$I,MATCH(D4634&amp;"",[1]equip.xml!$A:$A,0))</f>
        <v>105000</v>
      </c>
      <c r="H4634" s="7" t="str">
        <f t="shared" ref="H4634:J4634" si="5870">H4546</f>
        <v>10_10,50_20,80_30</v>
      </c>
      <c r="I4634" s="7">
        <v>7</v>
      </c>
      <c r="J4634" s="7">
        <f t="shared" si="5870"/>
        <v>50</v>
      </c>
      <c r="K4634" s="7" t="s">
        <v>310</v>
      </c>
      <c r="L4634" s="7">
        <v>30</v>
      </c>
      <c r="M4634" s="7">
        <f>IF(INDEX([1]equip.xml!$B:$B,MATCH(D4634&amp;"",[1]equip.xml!$A:$A,0))=0,0,N4634)</f>
        <v>70</v>
      </c>
      <c r="N4634" s="7">
        <f t="shared" si="5832"/>
        <v>70</v>
      </c>
    </row>
    <row r="4635" spans="1:14">
      <c r="A4635" s="7">
        <f t="shared" si="5781"/>
        <v>30011</v>
      </c>
      <c r="B4635" s="7">
        <f t="shared" ref="B4635:C4635" si="5871">B4547</f>
        <v>40000</v>
      </c>
      <c r="C4635" s="7" t="str">
        <f t="shared" si="5871"/>
        <v>装备</v>
      </c>
      <c r="D4635" s="7">
        <v>40351051</v>
      </c>
      <c r="E4635" s="7"/>
      <c r="F4635" s="7">
        <v>1</v>
      </c>
      <c r="G4635" s="7">
        <f>3*INDEX([1]equip.xml!$I:$I,MATCH(D4635&amp;"",[1]equip.xml!$A:$A,0))</f>
        <v>114000</v>
      </c>
      <c r="H4635" s="7" t="str">
        <f t="shared" ref="H4635:J4635" si="5872">H4547</f>
        <v>10_10,50_20,80_30</v>
      </c>
      <c r="I4635" s="7">
        <v>7</v>
      </c>
      <c r="J4635" s="7">
        <f t="shared" si="5872"/>
        <v>50</v>
      </c>
      <c r="K4635" s="7" t="s">
        <v>310</v>
      </c>
      <c r="L4635" s="7">
        <v>30</v>
      </c>
      <c r="M4635" s="7">
        <f>IF(INDEX([1]equip.xml!$B:$B,MATCH(D4635&amp;"",[1]equip.xml!$A:$A,0))=0,0,N4635)</f>
        <v>0</v>
      </c>
      <c r="N4635" s="7">
        <f t="shared" si="5832"/>
        <v>70</v>
      </c>
    </row>
    <row r="4636" spans="1:14">
      <c r="A4636" s="7">
        <f t="shared" si="5781"/>
        <v>30011</v>
      </c>
      <c r="B4636" s="7">
        <f t="shared" ref="B4636:C4636" si="5873">B4548</f>
        <v>40000</v>
      </c>
      <c r="C4636" s="7" t="str">
        <f t="shared" si="5873"/>
        <v>装备</v>
      </c>
      <c r="D4636" s="7">
        <v>40351060</v>
      </c>
      <c r="E4636" s="7"/>
      <c r="F4636" s="7">
        <v>1</v>
      </c>
      <c r="G4636" s="7">
        <f>3*INDEX([1]equip.xml!$I:$I,MATCH(D4636&amp;"",[1]equip.xml!$A:$A,0))</f>
        <v>105000</v>
      </c>
      <c r="H4636" s="7" t="str">
        <f t="shared" ref="H4636:J4636" si="5874">H4548</f>
        <v>10_10,50_20,80_30</v>
      </c>
      <c r="I4636" s="7">
        <v>7</v>
      </c>
      <c r="J4636" s="7">
        <f t="shared" si="5874"/>
        <v>50</v>
      </c>
      <c r="K4636" s="7" t="s">
        <v>310</v>
      </c>
      <c r="L4636" s="7">
        <v>30</v>
      </c>
      <c r="M4636" s="7">
        <f>IF(INDEX([1]equip.xml!$B:$B,MATCH(D4636&amp;"",[1]equip.xml!$A:$A,0))=0,0,N4636)</f>
        <v>70</v>
      </c>
      <c r="N4636" s="7">
        <f t="shared" si="5832"/>
        <v>70</v>
      </c>
    </row>
    <row r="4637" spans="1:14">
      <c r="A4637" s="7">
        <f t="shared" si="5781"/>
        <v>30011</v>
      </c>
      <c r="B4637" s="7">
        <f t="shared" ref="B4637:C4637" si="5875">B4549</f>
        <v>40000</v>
      </c>
      <c r="C4637" s="7" t="str">
        <f t="shared" si="5875"/>
        <v>装备</v>
      </c>
      <c r="D4637" s="7">
        <v>40351061</v>
      </c>
      <c r="E4637" s="7"/>
      <c r="F4637" s="7">
        <v>1</v>
      </c>
      <c r="G4637" s="7">
        <f>3*INDEX([1]equip.xml!$I:$I,MATCH(D4637&amp;"",[1]equip.xml!$A:$A,0))</f>
        <v>114000</v>
      </c>
      <c r="H4637" s="7" t="str">
        <f t="shared" ref="H4637:J4637" si="5876">H4549</f>
        <v>10_10,50_20,80_30</v>
      </c>
      <c r="I4637" s="7">
        <v>7</v>
      </c>
      <c r="J4637" s="7">
        <f t="shared" si="5876"/>
        <v>50</v>
      </c>
      <c r="K4637" s="7" t="s">
        <v>310</v>
      </c>
      <c r="L4637" s="7">
        <v>30</v>
      </c>
      <c r="M4637" s="7">
        <f>IF(INDEX([1]equip.xml!$B:$B,MATCH(D4637&amp;"",[1]equip.xml!$A:$A,0))=0,0,N4637)</f>
        <v>70</v>
      </c>
      <c r="N4637" s="7">
        <f t="shared" si="5832"/>
        <v>70</v>
      </c>
    </row>
    <row r="4638" spans="1:14">
      <c r="A4638" s="7">
        <f t="shared" si="5781"/>
        <v>30011</v>
      </c>
      <c r="B4638" s="7">
        <f t="shared" ref="B4638:C4638" si="5877">B4550</f>
        <v>40000</v>
      </c>
      <c r="C4638" s="7" t="str">
        <f t="shared" si="5877"/>
        <v>装备</v>
      </c>
      <c r="D4638" s="7">
        <v>40352050</v>
      </c>
      <c r="E4638" s="7"/>
      <c r="F4638" s="7">
        <v>1</v>
      </c>
      <c r="G4638" s="7">
        <f>3*INDEX([1]equip.xml!$I:$I,MATCH(D4638&amp;"",[1]equip.xml!$A:$A,0))</f>
        <v>105000</v>
      </c>
      <c r="H4638" s="7" t="str">
        <f t="shared" ref="H4638:J4638" si="5878">H4550</f>
        <v>10_10,50_20,80_30</v>
      </c>
      <c r="I4638" s="7">
        <v>7</v>
      </c>
      <c r="J4638" s="7">
        <f t="shared" si="5878"/>
        <v>50</v>
      </c>
      <c r="K4638" s="7" t="s">
        <v>310</v>
      </c>
      <c r="L4638" s="7">
        <v>30</v>
      </c>
      <c r="M4638" s="7">
        <f>IF(INDEX([1]equip.xml!$B:$B,MATCH(D4638&amp;"",[1]equip.xml!$A:$A,0))=0,0,N4638)</f>
        <v>70</v>
      </c>
      <c r="N4638" s="7">
        <f t="shared" si="5832"/>
        <v>70</v>
      </c>
    </row>
    <row r="4639" spans="1:14">
      <c r="A4639" s="7">
        <f t="shared" si="5781"/>
        <v>30011</v>
      </c>
      <c r="B4639" s="7">
        <f t="shared" ref="B4639:C4639" si="5879">B4551</f>
        <v>40000</v>
      </c>
      <c r="C4639" s="7" t="str">
        <f t="shared" si="5879"/>
        <v>装备</v>
      </c>
      <c r="D4639" s="7">
        <v>40352051</v>
      </c>
      <c r="E4639" s="7"/>
      <c r="F4639" s="7">
        <v>1</v>
      </c>
      <c r="G4639" s="7">
        <f>3*INDEX([1]equip.xml!$I:$I,MATCH(D4639&amp;"",[1]equip.xml!$A:$A,0))</f>
        <v>114000</v>
      </c>
      <c r="H4639" s="7" t="str">
        <f t="shared" ref="H4639:J4639" si="5880">H4551</f>
        <v>10_10,50_20,80_30</v>
      </c>
      <c r="I4639" s="7">
        <v>7</v>
      </c>
      <c r="J4639" s="7">
        <f t="shared" si="5880"/>
        <v>50</v>
      </c>
      <c r="K4639" s="7" t="s">
        <v>310</v>
      </c>
      <c r="L4639" s="7">
        <v>30</v>
      </c>
      <c r="M4639" s="7">
        <f>IF(INDEX([1]equip.xml!$B:$B,MATCH(D4639&amp;"",[1]equip.xml!$A:$A,0))=0,0,N4639)</f>
        <v>0</v>
      </c>
      <c r="N4639" s="7">
        <f t="shared" si="5832"/>
        <v>70</v>
      </c>
    </row>
    <row r="4640" spans="1:14">
      <c r="A4640" s="7">
        <f t="shared" si="5781"/>
        <v>30011</v>
      </c>
      <c r="B4640" s="7">
        <f t="shared" ref="B4640:C4640" si="5881">B4552</f>
        <v>40000</v>
      </c>
      <c r="C4640" s="7" t="str">
        <f t="shared" si="5881"/>
        <v>装备</v>
      </c>
      <c r="D4640" s="7">
        <v>40352060</v>
      </c>
      <c r="E4640" s="7"/>
      <c r="F4640" s="7">
        <v>1</v>
      </c>
      <c r="G4640" s="7">
        <f>3*INDEX([1]equip.xml!$I:$I,MATCH(D4640&amp;"",[1]equip.xml!$A:$A,0))</f>
        <v>105000</v>
      </c>
      <c r="H4640" s="7" t="str">
        <f t="shared" ref="H4640:J4640" si="5882">H4552</f>
        <v>10_10,50_20,80_30</v>
      </c>
      <c r="I4640" s="7">
        <v>7</v>
      </c>
      <c r="J4640" s="7">
        <f t="shared" si="5882"/>
        <v>50</v>
      </c>
      <c r="K4640" s="7" t="s">
        <v>310</v>
      </c>
      <c r="L4640" s="7">
        <v>30</v>
      </c>
      <c r="M4640" s="7">
        <f>IF(INDEX([1]equip.xml!$B:$B,MATCH(D4640&amp;"",[1]equip.xml!$A:$A,0))=0,0,N4640)</f>
        <v>70</v>
      </c>
      <c r="N4640" s="7">
        <f t="shared" si="5832"/>
        <v>70</v>
      </c>
    </row>
    <row r="4641" spans="1:14">
      <c r="A4641" s="7">
        <f t="shared" si="5781"/>
        <v>30011</v>
      </c>
      <c r="B4641" s="7">
        <f t="shared" ref="B4641:C4641" si="5883">B4553</f>
        <v>40000</v>
      </c>
      <c r="C4641" s="7" t="str">
        <f t="shared" si="5883"/>
        <v>装备</v>
      </c>
      <c r="D4641" s="7">
        <v>40352061</v>
      </c>
      <c r="E4641" s="7"/>
      <c r="F4641" s="7">
        <v>1</v>
      </c>
      <c r="G4641" s="7">
        <f>3*INDEX([1]equip.xml!$I:$I,MATCH(D4641&amp;"",[1]equip.xml!$A:$A,0))</f>
        <v>114000</v>
      </c>
      <c r="H4641" s="7" t="str">
        <f t="shared" ref="H4641:J4641" si="5884">H4553</f>
        <v>10_10,50_20,80_30</v>
      </c>
      <c r="I4641" s="7">
        <v>7</v>
      </c>
      <c r="J4641" s="7">
        <f t="shared" si="5884"/>
        <v>50</v>
      </c>
      <c r="K4641" s="7" t="s">
        <v>310</v>
      </c>
      <c r="L4641" s="7">
        <v>30</v>
      </c>
      <c r="M4641" s="7">
        <f>IF(INDEX([1]equip.xml!$B:$B,MATCH(D4641&amp;"",[1]equip.xml!$A:$A,0))=0,0,N4641)</f>
        <v>70</v>
      </c>
      <c r="N4641" s="7">
        <f t="shared" si="5832"/>
        <v>70</v>
      </c>
    </row>
    <row r="4642" spans="1:14">
      <c r="A4642" s="7">
        <f t="shared" si="5781"/>
        <v>30011</v>
      </c>
      <c r="B4642" s="7">
        <f t="shared" ref="B4642:C4642" si="5885">B4554</f>
        <v>40000</v>
      </c>
      <c r="C4642" s="7" t="str">
        <f t="shared" si="5885"/>
        <v>装备</v>
      </c>
      <c r="D4642" s="7">
        <v>40353050</v>
      </c>
      <c r="E4642" s="7"/>
      <c r="F4642" s="7">
        <v>1</v>
      </c>
      <c r="G4642" s="7">
        <f>3*INDEX([1]equip.xml!$I:$I,MATCH(D4642&amp;"",[1]equip.xml!$A:$A,0))</f>
        <v>105000</v>
      </c>
      <c r="H4642" s="7" t="str">
        <f t="shared" ref="H4642:J4642" si="5886">H4554</f>
        <v>10_10,50_20,80_30</v>
      </c>
      <c r="I4642" s="7">
        <v>7</v>
      </c>
      <c r="J4642" s="7">
        <f t="shared" si="5886"/>
        <v>50</v>
      </c>
      <c r="K4642" s="7" t="s">
        <v>310</v>
      </c>
      <c r="L4642" s="7">
        <v>30</v>
      </c>
      <c r="M4642" s="7">
        <f>IF(INDEX([1]equip.xml!$B:$B,MATCH(D4642&amp;"",[1]equip.xml!$A:$A,0))=0,0,N4642)</f>
        <v>70</v>
      </c>
      <c r="N4642" s="7">
        <f t="shared" si="5832"/>
        <v>70</v>
      </c>
    </row>
    <row r="4643" spans="1:14">
      <c r="A4643" s="7">
        <f t="shared" si="5781"/>
        <v>30011</v>
      </c>
      <c r="B4643" s="7">
        <f t="shared" ref="B4643:C4643" si="5887">B4555</f>
        <v>40000</v>
      </c>
      <c r="C4643" s="7" t="str">
        <f t="shared" si="5887"/>
        <v>装备</v>
      </c>
      <c r="D4643" s="7">
        <v>40353051</v>
      </c>
      <c r="E4643" s="7"/>
      <c r="F4643" s="7">
        <v>1</v>
      </c>
      <c r="G4643" s="7">
        <f>3*INDEX([1]equip.xml!$I:$I,MATCH(D4643&amp;"",[1]equip.xml!$A:$A,0))</f>
        <v>114000</v>
      </c>
      <c r="H4643" s="7" t="str">
        <f t="shared" ref="H4643:J4643" si="5888">H4555</f>
        <v>10_10,50_20,80_30</v>
      </c>
      <c r="I4643" s="7">
        <v>7</v>
      </c>
      <c r="J4643" s="7">
        <f t="shared" si="5888"/>
        <v>50</v>
      </c>
      <c r="K4643" s="7" t="s">
        <v>310</v>
      </c>
      <c r="L4643" s="7">
        <v>30</v>
      </c>
      <c r="M4643" s="7">
        <f>IF(INDEX([1]equip.xml!$B:$B,MATCH(D4643&amp;"",[1]equip.xml!$A:$A,0))=0,0,N4643)</f>
        <v>0</v>
      </c>
      <c r="N4643" s="7">
        <f t="shared" si="5832"/>
        <v>70</v>
      </c>
    </row>
    <row r="4644" spans="1:14">
      <c r="A4644" s="7">
        <f t="shared" si="5781"/>
        <v>30011</v>
      </c>
      <c r="B4644" s="7">
        <f t="shared" ref="B4644:C4644" si="5889">B4556</f>
        <v>40000</v>
      </c>
      <c r="C4644" s="7" t="str">
        <f t="shared" si="5889"/>
        <v>装备</v>
      </c>
      <c r="D4644" s="7">
        <v>40353060</v>
      </c>
      <c r="E4644" s="7"/>
      <c r="F4644" s="7">
        <v>1</v>
      </c>
      <c r="G4644" s="7">
        <f>3*INDEX([1]equip.xml!$I:$I,MATCH(D4644&amp;"",[1]equip.xml!$A:$A,0))</f>
        <v>105000</v>
      </c>
      <c r="H4644" s="7" t="str">
        <f t="shared" ref="H4644:J4644" si="5890">H4556</f>
        <v>10_10,50_20,80_30</v>
      </c>
      <c r="I4644" s="7">
        <v>7</v>
      </c>
      <c r="J4644" s="7">
        <f t="shared" si="5890"/>
        <v>50</v>
      </c>
      <c r="K4644" s="7" t="s">
        <v>310</v>
      </c>
      <c r="L4644" s="7">
        <v>30</v>
      </c>
      <c r="M4644" s="7">
        <f>IF(INDEX([1]equip.xml!$B:$B,MATCH(D4644&amp;"",[1]equip.xml!$A:$A,0))=0,0,N4644)</f>
        <v>70</v>
      </c>
      <c r="N4644" s="7">
        <f t="shared" si="5832"/>
        <v>70</v>
      </c>
    </row>
    <row r="4645" spans="1:14">
      <c r="A4645" s="7">
        <f t="shared" si="5781"/>
        <v>30011</v>
      </c>
      <c r="B4645" s="7">
        <f t="shared" ref="B4645:C4645" si="5891">B4557</f>
        <v>40000</v>
      </c>
      <c r="C4645" s="7" t="str">
        <f t="shared" si="5891"/>
        <v>装备</v>
      </c>
      <c r="D4645" s="7">
        <v>40353061</v>
      </c>
      <c r="E4645" s="7"/>
      <c r="F4645" s="7">
        <v>1</v>
      </c>
      <c r="G4645" s="7">
        <f>3*INDEX([1]equip.xml!$I:$I,MATCH(D4645&amp;"",[1]equip.xml!$A:$A,0))</f>
        <v>114000</v>
      </c>
      <c r="H4645" s="7" t="str">
        <f t="shared" ref="H4645:J4645" si="5892">H4557</f>
        <v>10_10,50_20,80_30</v>
      </c>
      <c r="I4645" s="7">
        <v>7</v>
      </c>
      <c r="J4645" s="7">
        <f t="shared" si="5892"/>
        <v>50</v>
      </c>
      <c r="K4645" s="7" t="s">
        <v>310</v>
      </c>
      <c r="L4645" s="7">
        <v>30</v>
      </c>
      <c r="M4645" s="7">
        <f>IF(INDEX([1]equip.xml!$B:$B,MATCH(D4645&amp;"",[1]equip.xml!$A:$A,0))=0,0,N4645)</f>
        <v>70</v>
      </c>
      <c r="N4645" s="7">
        <f t="shared" si="5832"/>
        <v>70</v>
      </c>
    </row>
    <row r="4646" spans="1:14">
      <c r="A4646" s="7">
        <f t="shared" si="5781"/>
        <v>30011</v>
      </c>
      <c r="B4646" s="7">
        <f t="shared" ref="B4646:C4646" si="5893">B4558</f>
        <v>40000</v>
      </c>
      <c r="C4646" s="7" t="str">
        <f t="shared" si="5893"/>
        <v>装备</v>
      </c>
      <c r="D4646" s="7">
        <v>40350040</v>
      </c>
      <c r="E4646" s="7"/>
      <c r="F4646" s="7">
        <v>1</v>
      </c>
      <c r="G4646" s="7">
        <f>3*INDEX([1]equip.xml!$I:$I,MATCH(D4646&amp;"",[1]equip.xml!$A:$A,0))</f>
        <v>105000</v>
      </c>
      <c r="H4646" s="7" t="str">
        <f t="shared" ref="H4646:J4646" si="5894">H4558</f>
        <v>10_10,50_20,80_30</v>
      </c>
      <c r="I4646" s="7">
        <v>7</v>
      </c>
      <c r="J4646" s="7">
        <f t="shared" si="5894"/>
        <v>50</v>
      </c>
      <c r="K4646" s="7" t="s">
        <v>310</v>
      </c>
      <c r="L4646" s="7">
        <v>30</v>
      </c>
      <c r="M4646" s="7">
        <f>IF(INDEX([1]equip.xml!$B:$B,MATCH(D4646&amp;"",[1]equip.xml!$A:$A,0))=0,0,N4646)</f>
        <v>70</v>
      </c>
      <c r="N4646" s="7">
        <f t="shared" si="5832"/>
        <v>70</v>
      </c>
    </row>
    <row r="4647" spans="1:14">
      <c r="A4647" s="7">
        <f t="shared" si="5781"/>
        <v>30011</v>
      </c>
      <c r="B4647" s="7">
        <f t="shared" ref="B4647:C4647" si="5895">B4559</f>
        <v>40000</v>
      </c>
      <c r="C4647" s="7" t="str">
        <f t="shared" si="5895"/>
        <v>装备</v>
      </c>
      <c r="D4647" s="7">
        <v>40350041</v>
      </c>
      <c r="E4647" s="7"/>
      <c r="F4647" s="7">
        <v>1</v>
      </c>
      <c r="G4647" s="7">
        <f>3*INDEX([1]equip.xml!$I:$I,MATCH(D4647&amp;"",[1]equip.xml!$A:$A,0))</f>
        <v>114000</v>
      </c>
      <c r="H4647" s="7" t="str">
        <f t="shared" ref="H4647:J4647" si="5896">H4559</f>
        <v>10_10,50_20,80_30</v>
      </c>
      <c r="I4647" s="7">
        <v>7</v>
      </c>
      <c r="J4647" s="7">
        <f t="shared" si="5896"/>
        <v>50</v>
      </c>
      <c r="K4647" s="7" t="s">
        <v>310</v>
      </c>
      <c r="L4647" s="7">
        <v>30</v>
      </c>
      <c r="M4647" s="7">
        <f>IF(INDEX([1]equip.xml!$B:$B,MATCH(D4647&amp;"",[1]equip.xml!$A:$A,0))=0,0,N4647)</f>
        <v>70</v>
      </c>
      <c r="N4647" s="7">
        <f t="shared" si="5832"/>
        <v>70</v>
      </c>
    </row>
    <row r="4648" spans="1:14">
      <c r="A4648" s="7">
        <f t="shared" si="5781"/>
        <v>30011</v>
      </c>
      <c r="B4648" s="7">
        <f t="shared" ref="B4648:C4648" si="5897">B4560</f>
        <v>40000</v>
      </c>
      <c r="C4648" s="7" t="str">
        <f t="shared" si="5897"/>
        <v>装备</v>
      </c>
      <c r="D4648" s="7">
        <v>40350070</v>
      </c>
      <c r="E4648" s="7"/>
      <c r="F4648" s="7">
        <v>1</v>
      </c>
      <c r="G4648" s="7">
        <f>3*INDEX([1]equip.xml!$I:$I,MATCH(D4648&amp;"",[1]equip.xml!$A:$A,0))</f>
        <v>105000</v>
      </c>
      <c r="H4648" s="7" t="str">
        <f t="shared" ref="H4648:J4648" si="5898">H4560</f>
        <v>10_10,50_20,80_30</v>
      </c>
      <c r="I4648" s="7">
        <v>7</v>
      </c>
      <c r="J4648" s="7">
        <f t="shared" si="5898"/>
        <v>50</v>
      </c>
      <c r="K4648" s="7" t="s">
        <v>310</v>
      </c>
      <c r="L4648" s="7">
        <v>30</v>
      </c>
      <c r="M4648" s="7">
        <f>IF(INDEX([1]equip.xml!$B:$B,MATCH(D4648&amp;"",[1]equip.xml!$A:$A,0))=0,0,N4648)</f>
        <v>70</v>
      </c>
      <c r="N4648" s="7">
        <f t="shared" si="5832"/>
        <v>70</v>
      </c>
    </row>
    <row r="4649" spans="1:14">
      <c r="A4649" s="7">
        <f t="shared" si="5781"/>
        <v>30011</v>
      </c>
      <c r="B4649" s="7">
        <f t="shared" ref="B4649:C4649" si="5899">B4561</f>
        <v>40000</v>
      </c>
      <c r="C4649" s="7" t="str">
        <f t="shared" si="5899"/>
        <v>装备</v>
      </c>
      <c r="D4649" s="7">
        <v>40350071</v>
      </c>
      <c r="E4649" s="7"/>
      <c r="F4649" s="7">
        <v>1</v>
      </c>
      <c r="G4649" s="7">
        <f>3*INDEX([1]equip.xml!$I:$I,MATCH(D4649&amp;"",[1]equip.xml!$A:$A,0))</f>
        <v>114000</v>
      </c>
      <c r="H4649" s="7" t="str">
        <f t="shared" ref="H4649:J4649" si="5900">H4561</f>
        <v>10_10,50_20,80_30</v>
      </c>
      <c r="I4649" s="7">
        <v>7</v>
      </c>
      <c r="J4649" s="7">
        <f t="shared" si="5900"/>
        <v>50</v>
      </c>
      <c r="K4649" s="7" t="s">
        <v>310</v>
      </c>
      <c r="L4649" s="7">
        <v>30</v>
      </c>
      <c r="M4649" s="7">
        <f>IF(INDEX([1]equip.xml!$B:$B,MATCH(D4649&amp;"",[1]equip.xml!$A:$A,0))=0,0,N4649)</f>
        <v>0</v>
      </c>
      <c r="N4649" s="7">
        <f t="shared" si="5832"/>
        <v>70</v>
      </c>
    </row>
    <row r="4650" spans="1:14">
      <c r="A4650" s="7">
        <f t="shared" si="5781"/>
        <v>30011</v>
      </c>
      <c r="B4650" s="7">
        <f t="shared" ref="B4650:C4650" si="5901">B4562</f>
        <v>40000</v>
      </c>
      <c r="C4650" s="7" t="str">
        <f t="shared" si="5901"/>
        <v>装备</v>
      </c>
      <c r="D4650" s="7">
        <v>50300015</v>
      </c>
      <c r="E4650" s="7"/>
      <c r="F4650" s="7">
        <v>1</v>
      </c>
      <c r="G4650" s="8">
        <f>3*INDEX([1]equip.xml!$I:$I,MATCH(D4650,[1]equip.xml!$A:$A,0))</f>
        <v>180000</v>
      </c>
      <c r="H4650" s="7" t="str">
        <f t="shared" ref="H4650:J4650" si="5902">H4562</f>
        <v>10_10,50_20,80_30</v>
      </c>
      <c r="I4650" s="7">
        <v>7</v>
      </c>
      <c r="J4650" s="7">
        <f t="shared" si="5902"/>
        <v>240</v>
      </c>
      <c r="K4650" s="7" t="s">
        <v>310</v>
      </c>
      <c r="L4650" s="7">
        <v>30</v>
      </c>
      <c r="M4650" s="7">
        <f>IF(INDEX([1]equip.xml!$B:$B,MATCH(D4650,[1]equip.xml!$A:$A,0))=0,0,N4650)</f>
        <v>200</v>
      </c>
      <c r="N4650" s="7">
        <f t="shared" si="5832"/>
        <v>200</v>
      </c>
    </row>
    <row r="4651" spans="1:14">
      <c r="A4651" s="7">
        <f t="shared" si="5781"/>
        <v>30011</v>
      </c>
      <c r="B4651" s="7">
        <f t="shared" ref="B4651:C4651" si="5903">B4563</f>
        <v>40000</v>
      </c>
      <c r="C4651" s="7" t="str">
        <f t="shared" si="5903"/>
        <v>装备</v>
      </c>
      <c r="D4651" s="7">
        <v>50300025</v>
      </c>
      <c r="E4651" s="7"/>
      <c r="F4651" s="7">
        <v>1</v>
      </c>
      <c r="G4651" s="8">
        <f>3*INDEX([1]equip.xml!$I:$I,MATCH(D4651,[1]equip.xml!$A:$A,0))</f>
        <v>180000</v>
      </c>
      <c r="H4651" s="7" t="str">
        <f t="shared" ref="H4651:J4651" si="5904">H4563</f>
        <v>10_10,50_20,80_30</v>
      </c>
      <c r="I4651" s="7">
        <v>7</v>
      </c>
      <c r="J4651" s="7">
        <f t="shared" si="5904"/>
        <v>240</v>
      </c>
      <c r="K4651" s="7" t="s">
        <v>310</v>
      </c>
      <c r="L4651" s="7">
        <v>30</v>
      </c>
      <c r="M4651" s="7">
        <f>IF(INDEX([1]equip.xml!$B:$B,MATCH(D4651,[1]equip.xml!$A:$A,0))=0,0,N4651)</f>
        <v>200</v>
      </c>
      <c r="N4651" s="7">
        <f t="shared" si="5832"/>
        <v>200</v>
      </c>
    </row>
    <row r="4652" spans="1:14">
      <c r="A4652" s="7">
        <f t="shared" si="5781"/>
        <v>30011</v>
      </c>
      <c r="B4652" s="7">
        <f t="shared" ref="B4652:C4652" si="5905">B4564</f>
        <v>40000</v>
      </c>
      <c r="C4652" s="7" t="str">
        <f t="shared" si="5905"/>
        <v>装备</v>
      </c>
      <c r="D4652" s="7">
        <v>50300035</v>
      </c>
      <c r="E4652" s="7"/>
      <c r="F4652" s="7">
        <v>1</v>
      </c>
      <c r="G4652" s="8">
        <f>3*INDEX([1]equip.xml!$I:$I,MATCH(D4652,[1]equip.xml!$A:$A,0))</f>
        <v>180000</v>
      </c>
      <c r="H4652" s="7" t="str">
        <f t="shared" ref="H4652:J4652" si="5906">H4564</f>
        <v>10_10,50_20,80_30</v>
      </c>
      <c r="I4652" s="7">
        <v>7</v>
      </c>
      <c r="J4652" s="7">
        <f t="shared" si="5906"/>
        <v>240</v>
      </c>
      <c r="K4652" s="7" t="s">
        <v>310</v>
      </c>
      <c r="L4652" s="7">
        <v>30</v>
      </c>
      <c r="M4652" s="7">
        <f>IF(INDEX([1]equip.xml!$B:$B,MATCH(D4652,[1]equip.xml!$A:$A,0))=0,0,N4652)</f>
        <v>200</v>
      </c>
      <c r="N4652" s="7">
        <f t="shared" si="5832"/>
        <v>200</v>
      </c>
    </row>
    <row r="4653" spans="1:14">
      <c r="A4653" s="7">
        <f t="shared" si="5781"/>
        <v>30011</v>
      </c>
      <c r="B4653" s="7">
        <f t="shared" ref="B4653:C4653" si="5907">B4565</f>
        <v>40000</v>
      </c>
      <c r="C4653" s="7" t="str">
        <f t="shared" si="5907"/>
        <v>装备</v>
      </c>
      <c r="D4653" s="7">
        <v>50300085</v>
      </c>
      <c r="E4653" s="7"/>
      <c r="F4653" s="7">
        <v>1</v>
      </c>
      <c r="G4653" s="8">
        <f>3*INDEX([1]equip.xml!$I:$I,MATCH(D4653,[1]equip.xml!$A:$A,0))</f>
        <v>180000</v>
      </c>
      <c r="H4653" s="7" t="str">
        <f t="shared" ref="H4653:J4653" si="5908">H4565</f>
        <v>10_10,50_20,80_30</v>
      </c>
      <c r="I4653" s="7">
        <v>7</v>
      </c>
      <c r="J4653" s="7">
        <f t="shared" si="5908"/>
        <v>240</v>
      </c>
      <c r="K4653" s="7" t="s">
        <v>310</v>
      </c>
      <c r="L4653" s="7">
        <v>30</v>
      </c>
      <c r="M4653" s="7">
        <f>IF(INDEX([1]equip.xml!$B:$B,MATCH(D4653,[1]equip.xml!$A:$A,0))=0,0,N4653)</f>
        <v>200</v>
      </c>
      <c r="N4653" s="7">
        <f t="shared" si="5832"/>
        <v>200</v>
      </c>
    </row>
    <row r="4654" spans="1:14">
      <c r="A4654" s="7">
        <f t="shared" si="5781"/>
        <v>30011</v>
      </c>
      <c r="B4654" s="7">
        <f t="shared" ref="B4654:C4654" si="5909">B4566</f>
        <v>40000</v>
      </c>
      <c r="C4654" s="7" t="str">
        <f t="shared" si="5909"/>
        <v>装备</v>
      </c>
      <c r="D4654" s="7">
        <v>50300095</v>
      </c>
      <c r="E4654" s="7"/>
      <c r="F4654" s="7">
        <v>1</v>
      </c>
      <c r="G4654" s="8">
        <f>3*INDEX([1]equip.xml!$I:$I,MATCH(D4654,[1]equip.xml!$A:$A,0))</f>
        <v>180000</v>
      </c>
      <c r="H4654" s="7" t="str">
        <f t="shared" ref="H4654:J4654" si="5910">H4566</f>
        <v>10_10,50_20,80_30</v>
      </c>
      <c r="I4654" s="7">
        <v>7</v>
      </c>
      <c r="J4654" s="7">
        <f t="shared" si="5910"/>
        <v>240</v>
      </c>
      <c r="K4654" s="7" t="s">
        <v>310</v>
      </c>
      <c r="L4654" s="7">
        <v>30</v>
      </c>
      <c r="M4654" s="7">
        <f>IF(INDEX([1]equip.xml!$B:$B,MATCH(D4654,[1]equip.xml!$A:$A,0))=0,0,N4654)</f>
        <v>200</v>
      </c>
      <c r="N4654" s="7">
        <f t="shared" si="5832"/>
        <v>200</v>
      </c>
    </row>
    <row r="4655" spans="1:14">
      <c r="A4655" s="7">
        <f t="shared" ref="A4655:A4718" si="5911">10000+A3423</f>
        <v>30011</v>
      </c>
      <c r="B4655" s="7">
        <f t="shared" ref="B4655:C4655" si="5912">B4567</f>
        <v>40000</v>
      </c>
      <c r="C4655" s="7" t="str">
        <f t="shared" si="5912"/>
        <v>装备</v>
      </c>
      <c r="D4655" s="7">
        <v>50300105</v>
      </c>
      <c r="E4655" s="7"/>
      <c r="F4655" s="7">
        <v>1</v>
      </c>
      <c r="G4655" s="8">
        <f>3*INDEX([1]equip.xml!$I:$I,MATCH(D4655,[1]equip.xml!$A:$A,0))</f>
        <v>180000</v>
      </c>
      <c r="H4655" s="7" t="str">
        <f t="shared" ref="H4655:J4655" si="5913">H4567</f>
        <v>10_10,50_20,80_30</v>
      </c>
      <c r="I4655" s="7">
        <v>7</v>
      </c>
      <c r="J4655" s="7">
        <f t="shared" si="5913"/>
        <v>240</v>
      </c>
      <c r="K4655" s="7" t="s">
        <v>310</v>
      </c>
      <c r="L4655" s="7">
        <v>30</v>
      </c>
      <c r="M4655" s="7">
        <f>IF(INDEX([1]equip.xml!$B:$B,MATCH(D4655,[1]equip.xml!$A:$A,0))=0,0,N4655)</f>
        <v>200</v>
      </c>
      <c r="N4655" s="7">
        <f t="shared" si="5832"/>
        <v>200</v>
      </c>
    </row>
    <row r="4656" spans="1:14">
      <c r="A4656" s="7">
        <f t="shared" si="5911"/>
        <v>30011</v>
      </c>
      <c r="B4656" s="7">
        <f t="shared" ref="B4656:C4656" si="5914">B4568</f>
        <v>40000</v>
      </c>
      <c r="C4656" s="7" t="str">
        <f t="shared" si="5914"/>
        <v>装备</v>
      </c>
      <c r="D4656" s="7">
        <v>50301055</v>
      </c>
      <c r="E4656" s="7"/>
      <c r="F4656" s="7">
        <v>1</v>
      </c>
      <c r="G4656" s="8">
        <f>3*INDEX([1]equip.xml!$I:$I,MATCH(D4656,[1]equip.xml!$A:$A,0))</f>
        <v>180000</v>
      </c>
      <c r="H4656" s="7" t="str">
        <f t="shared" ref="H4656:J4656" si="5915">H4568</f>
        <v>10_10,50_20,80_30</v>
      </c>
      <c r="I4656" s="7">
        <v>7</v>
      </c>
      <c r="J4656" s="7">
        <f t="shared" si="5915"/>
        <v>240</v>
      </c>
      <c r="K4656" s="7" t="s">
        <v>310</v>
      </c>
      <c r="L4656" s="7">
        <v>30</v>
      </c>
      <c r="M4656" s="7">
        <f>IF(INDEX([1]equip.xml!$B:$B,MATCH(D4656,[1]equip.xml!$A:$A,0))=0,0,N4656)</f>
        <v>200</v>
      </c>
      <c r="N4656" s="7">
        <f t="shared" si="5832"/>
        <v>200</v>
      </c>
    </row>
    <row r="4657" spans="1:14">
      <c r="A4657" s="7">
        <f t="shared" si="5911"/>
        <v>30011</v>
      </c>
      <c r="B4657" s="7">
        <f t="shared" ref="B4657:C4657" si="5916">B4569</f>
        <v>40000</v>
      </c>
      <c r="C4657" s="7" t="str">
        <f t="shared" si="5916"/>
        <v>装备</v>
      </c>
      <c r="D4657" s="7">
        <v>50301056</v>
      </c>
      <c r="E4657" s="7"/>
      <c r="F4657" s="7">
        <v>1</v>
      </c>
      <c r="G4657" s="8">
        <f>3*INDEX([1]equip.xml!$I:$I,MATCH(D4657,[1]equip.xml!$A:$A,0))</f>
        <v>198000</v>
      </c>
      <c r="H4657" s="7" t="str">
        <f t="shared" ref="H4657:J4657" si="5917">H4569</f>
        <v>10_10,50_20,80_30</v>
      </c>
      <c r="I4657" s="7">
        <v>7</v>
      </c>
      <c r="J4657" s="7">
        <f t="shared" si="5917"/>
        <v>240</v>
      </c>
      <c r="K4657" s="7" t="s">
        <v>310</v>
      </c>
      <c r="L4657" s="7">
        <v>30</v>
      </c>
      <c r="M4657" s="7">
        <f>IF(INDEX([1]equip.xml!$B:$B,MATCH(D4657,[1]equip.xml!$A:$A,0))=0,0,N4657)</f>
        <v>200</v>
      </c>
      <c r="N4657" s="7">
        <f t="shared" si="5832"/>
        <v>200</v>
      </c>
    </row>
    <row r="4658" spans="1:14">
      <c r="A4658" s="7">
        <f t="shared" si="5911"/>
        <v>30011</v>
      </c>
      <c r="B4658" s="7">
        <f t="shared" ref="B4658:C4658" si="5918">B4570</f>
        <v>40000</v>
      </c>
      <c r="C4658" s="7" t="str">
        <f t="shared" si="5918"/>
        <v>装备</v>
      </c>
      <c r="D4658" s="7">
        <v>50301065</v>
      </c>
      <c r="E4658" s="7"/>
      <c r="F4658" s="7">
        <v>1</v>
      </c>
      <c r="G4658" s="8">
        <f>3*INDEX([1]equip.xml!$I:$I,MATCH(D4658,[1]equip.xml!$A:$A,0))</f>
        <v>180000</v>
      </c>
      <c r="H4658" s="7" t="str">
        <f t="shared" ref="H4658:J4658" si="5919">H4570</f>
        <v>10_10,50_20,80_30</v>
      </c>
      <c r="I4658" s="7">
        <v>7</v>
      </c>
      <c r="J4658" s="7">
        <f t="shared" si="5919"/>
        <v>240</v>
      </c>
      <c r="K4658" s="7" t="s">
        <v>310</v>
      </c>
      <c r="L4658" s="7">
        <v>30</v>
      </c>
      <c r="M4658" s="7">
        <f>IF(INDEX([1]equip.xml!$B:$B,MATCH(D4658,[1]equip.xml!$A:$A,0))=0,0,N4658)</f>
        <v>200</v>
      </c>
      <c r="N4658" s="7">
        <f t="shared" si="5832"/>
        <v>200</v>
      </c>
    </row>
    <row r="4659" spans="1:14">
      <c r="A4659" s="7">
        <f t="shared" si="5911"/>
        <v>30011</v>
      </c>
      <c r="B4659" s="7">
        <f t="shared" ref="B4659:C4659" si="5920">B4571</f>
        <v>40000</v>
      </c>
      <c r="C4659" s="7" t="str">
        <f t="shared" si="5920"/>
        <v>装备</v>
      </c>
      <c r="D4659" s="7">
        <v>50301066</v>
      </c>
      <c r="E4659" s="7"/>
      <c r="F4659" s="7">
        <v>1</v>
      </c>
      <c r="G4659" s="8">
        <f>3*INDEX([1]equip.xml!$I:$I,MATCH(D4659,[1]equip.xml!$A:$A,0))</f>
        <v>198000</v>
      </c>
      <c r="H4659" s="7" t="str">
        <f t="shared" ref="H4659:J4659" si="5921">H4571</f>
        <v>10_10,50_20,80_30</v>
      </c>
      <c r="I4659" s="7">
        <v>7</v>
      </c>
      <c r="J4659" s="7">
        <f t="shared" si="5921"/>
        <v>240</v>
      </c>
      <c r="K4659" s="7" t="s">
        <v>310</v>
      </c>
      <c r="L4659" s="7">
        <v>30</v>
      </c>
      <c r="M4659" s="7">
        <f>IF(INDEX([1]equip.xml!$B:$B,MATCH(D4659,[1]equip.xml!$A:$A,0))=0,0,N4659)</f>
        <v>0</v>
      </c>
      <c r="N4659" s="7">
        <f t="shared" si="5832"/>
        <v>200</v>
      </c>
    </row>
    <row r="4660" spans="1:14">
      <c r="A4660" s="7">
        <f t="shared" si="5911"/>
        <v>30011</v>
      </c>
      <c r="B4660" s="7">
        <f t="shared" ref="B4660:C4660" si="5922">B4572</f>
        <v>40000</v>
      </c>
      <c r="C4660" s="7" t="str">
        <f t="shared" si="5922"/>
        <v>装备</v>
      </c>
      <c r="D4660" s="7">
        <v>50302055</v>
      </c>
      <c r="E4660" s="7"/>
      <c r="F4660" s="7">
        <v>1</v>
      </c>
      <c r="G4660" s="8">
        <f>3*INDEX([1]equip.xml!$I:$I,MATCH(D4660,[1]equip.xml!$A:$A,0))</f>
        <v>180000</v>
      </c>
      <c r="H4660" s="7" t="str">
        <f t="shared" ref="H4660:J4660" si="5923">H4572</f>
        <v>10_10,50_20,80_30</v>
      </c>
      <c r="I4660" s="7">
        <v>7</v>
      </c>
      <c r="J4660" s="7">
        <f t="shared" si="5923"/>
        <v>240</v>
      </c>
      <c r="K4660" s="7" t="s">
        <v>310</v>
      </c>
      <c r="L4660" s="7">
        <v>30</v>
      </c>
      <c r="M4660" s="7">
        <f>IF(INDEX([1]equip.xml!$B:$B,MATCH(D4660,[1]equip.xml!$A:$A,0))=0,0,N4660)</f>
        <v>200</v>
      </c>
      <c r="N4660" s="7">
        <f t="shared" si="5832"/>
        <v>200</v>
      </c>
    </row>
    <row r="4661" spans="1:14">
      <c r="A4661" s="7">
        <f t="shared" si="5911"/>
        <v>30011</v>
      </c>
      <c r="B4661" s="7">
        <f t="shared" ref="B4661:C4661" si="5924">B4573</f>
        <v>40000</v>
      </c>
      <c r="C4661" s="7" t="str">
        <f t="shared" si="5924"/>
        <v>装备</v>
      </c>
      <c r="D4661" s="7">
        <v>50302056</v>
      </c>
      <c r="E4661" s="7"/>
      <c r="F4661" s="7">
        <v>1</v>
      </c>
      <c r="G4661" s="8">
        <f>3*INDEX([1]equip.xml!$I:$I,MATCH(D4661,[1]equip.xml!$A:$A,0))</f>
        <v>198000</v>
      </c>
      <c r="H4661" s="7" t="str">
        <f t="shared" ref="H4661:J4661" si="5925">H4573</f>
        <v>10_10,50_20,80_30</v>
      </c>
      <c r="I4661" s="7">
        <v>7</v>
      </c>
      <c r="J4661" s="7">
        <f t="shared" si="5925"/>
        <v>240</v>
      </c>
      <c r="K4661" s="7" t="s">
        <v>310</v>
      </c>
      <c r="L4661" s="7">
        <v>30</v>
      </c>
      <c r="M4661" s="7">
        <f>IF(INDEX([1]equip.xml!$B:$B,MATCH(D4661,[1]equip.xml!$A:$A,0))=0,0,N4661)</f>
        <v>200</v>
      </c>
      <c r="N4661" s="7">
        <f t="shared" si="5832"/>
        <v>200</v>
      </c>
    </row>
    <row r="4662" spans="1:14">
      <c r="A4662" s="7">
        <f t="shared" si="5911"/>
        <v>30011</v>
      </c>
      <c r="B4662" s="7">
        <f t="shared" ref="B4662:C4662" si="5926">B4574</f>
        <v>40000</v>
      </c>
      <c r="C4662" s="7" t="str">
        <f t="shared" si="5926"/>
        <v>装备</v>
      </c>
      <c r="D4662" s="7">
        <v>50302065</v>
      </c>
      <c r="E4662" s="7"/>
      <c r="F4662" s="7">
        <v>1</v>
      </c>
      <c r="G4662" s="8">
        <f>3*INDEX([1]equip.xml!$I:$I,MATCH(D4662,[1]equip.xml!$A:$A,0))</f>
        <v>180000</v>
      </c>
      <c r="H4662" s="7" t="str">
        <f t="shared" ref="H4662:J4662" si="5927">H4574</f>
        <v>10_10,50_20,80_30</v>
      </c>
      <c r="I4662" s="7">
        <v>7</v>
      </c>
      <c r="J4662" s="7">
        <f t="shared" si="5927"/>
        <v>240</v>
      </c>
      <c r="K4662" s="7" t="s">
        <v>310</v>
      </c>
      <c r="L4662" s="7">
        <v>30</v>
      </c>
      <c r="M4662" s="7">
        <f>IF(INDEX([1]equip.xml!$B:$B,MATCH(D4662,[1]equip.xml!$A:$A,0))=0,0,N4662)</f>
        <v>200</v>
      </c>
      <c r="N4662" s="7">
        <f t="shared" si="5832"/>
        <v>200</v>
      </c>
    </row>
    <row r="4663" spans="1:14">
      <c r="A4663" s="7">
        <f t="shared" si="5911"/>
        <v>30011</v>
      </c>
      <c r="B4663" s="7">
        <f t="shared" ref="B4663:C4663" si="5928">B4575</f>
        <v>40000</v>
      </c>
      <c r="C4663" s="7" t="str">
        <f t="shared" si="5928"/>
        <v>装备</v>
      </c>
      <c r="D4663" s="7">
        <v>50302066</v>
      </c>
      <c r="E4663" s="7"/>
      <c r="F4663" s="7">
        <v>1</v>
      </c>
      <c r="G4663" s="8">
        <f>3*INDEX([1]equip.xml!$I:$I,MATCH(D4663,[1]equip.xml!$A:$A,0))</f>
        <v>198000</v>
      </c>
      <c r="H4663" s="7" t="str">
        <f t="shared" ref="H4663:J4663" si="5929">H4575</f>
        <v>10_10,50_20,80_30</v>
      </c>
      <c r="I4663" s="7">
        <v>7</v>
      </c>
      <c r="J4663" s="7">
        <f t="shared" si="5929"/>
        <v>240</v>
      </c>
      <c r="K4663" s="7" t="s">
        <v>310</v>
      </c>
      <c r="L4663" s="7">
        <v>30</v>
      </c>
      <c r="M4663" s="7">
        <f>IF(INDEX([1]equip.xml!$B:$B,MATCH(D4663,[1]equip.xml!$A:$A,0))=0,0,N4663)</f>
        <v>0</v>
      </c>
      <c r="N4663" s="7">
        <f t="shared" si="5832"/>
        <v>200</v>
      </c>
    </row>
    <row r="4664" spans="1:14">
      <c r="A4664" s="7">
        <f t="shared" si="5911"/>
        <v>30011</v>
      </c>
      <c r="B4664" s="7">
        <f t="shared" ref="B4664:C4664" si="5930">B4576</f>
        <v>40000</v>
      </c>
      <c r="C4664" s="7" t="str">
        <f t="shared" si="5930"/>
        <v>装备</v>
      </c>
      <c r="D4664" s="7">
        <v>50303055</v>
      </c>
      <c r="E4664" s="7"/>
      <c r="F4664" s="7">
        <v>1</v>
      </c>
      <c r="G4664" s="8">
        <f>3*INDEX([1]equip.xml!$I:$I,MATCH(D4664,[1]equip.xml!$A:$A,0))</f>
        <v>180000</v>
      </c>
      <c r="H4664" s="7" t="str">
        <f t="shared" ref="H4664:J4664" si="5931">H4576</f>
        <v>10_10,50_20,80_30</v>
      </c>
      <c r="I4664" s="7">
        <v>7</v>
      </c>
      <c r="J4664" s="7">
        <f t="shared" si="5931"/>
        <v>240</v>
      </c>
      <c r="K4664" s="7" t="s">
        <v>310</v>
      </c>
      <c r="L4664" s="7">
        <v>30</v>
      </c>
      <c r="M4664" s="7">
        <f>IF(INDEX([1]equip.xml!$B:$B,MATCH(D4664,[1]equip.xml!$A:$A,0))=0,0,N4664)</f>
        <v>200</v>
      </c>
      <c r="N4664" s="7">
        <f t="shared" si="5832"/>
        <v>200</v>
      </c>
    </row>
    <row r="4665" spans="1:14">
      <c r="A4665" s="7">
        <f t="shared" si="5911"/>
        <v>30011</v>
      </c>
      <c r="B4665" s="7">
        <f t="shared" ref="B4665:C4665" si="5932">B4577</f>
        <v>40000</v>
      </c>
      <c r="C4665" s="7" t="str">
        <f t="shared" si="5932"/>
        <v>装备</v>
      </c>
      <c r="D4665" s="7">
        <v>50303056</v>
      </c>
      <c r="E4665" s="7"/>
      <c r="F4665" s="7">
        <v>1</v>
      </c>
      <c r="G4665" s="8">
        <f>3*INDEX([1]equip.xml!$I:$I,MATCH(D4665,[1]equip.xml!$A:$A,0))</f>
        <v>198000</v>
      </c>
      <c r="H4665" s="7" t="str">
        <f t="shared" ref="H4665:J4665" si="5933">H4577</f>
        <v>10_10,50_20,80_30</v>
      </c>
      <c r="I4665" s="7">
        <v>7</v>
      </c>
      <c r="J4665" s="7">
        <f t="shared" si="5933"/>
        <v>240</v>
      </c>
      <c r="K4665" s="7" t="s">
        <v>310</v>
      </c>
      <c r="L4665" s="7">
        <v>30</v>
      </c>
      <c r="M4665" s="7">
        <f>IF(INDEX([1]equip.xml!$B:$B,MATCH(D4665,[1]equip.xml!$A:$A,0))=0,0,N4665)</f>
        <v>200</v>
      </c>
      <c r="N4665" s="7">
        <f t="shared" si="5832"/>
        <v>200</v>
      </c>
    </row>
    <row r="4666" spans="1:14">
      <c r="A4666" s="7">
        <f t="shared" si="5911"/>
        <v>30011</v>
      </c>
      <c r="B4666" s="7">
        <f t="shared" ref="B4666:C4666" si="5934">B4578</f>
        <v>40000</v>
      </c>
      <c r="C4666" s="7" t="str">
        <f t="shared" si="5934"/>
        <v>装备</v>
      </c>
      <c r="D4666" s="7">
        <v>50303065</v>
      </c>
      <c r="E4666" s="7"/>
      <c r="F4666" s="7">
        <v>1</v>
      </c>
      <c r="G4666" s="8">
        <f>3*INDEX([1]equip.xml!$I:$I,MATCH(D4666,[1]equip.xml!$A:$A,0))</f>
        <v>180000</v>
      </c>
      <c r="H4666" s="7" t="str">
        <f t="shared" ref="H4666:J4666" si="5935">H4578</f>
        <v>10_10,50_20,80_30</v>
      </c>
      <c r="I4666" s="7">
        <v>7</v>
      </c>
      <c r="J4666" s="7">
        <f t="shared" si="5935"/>
        <v>240</v>
      </c>
      <c r="K4666" s="7" t="s">
        <v>310</v>
      </c>
      <c r="L4666" s="7">
        <v>30</v>
      </c>
      <c r="M4666" s="7">
        <f>IF(INDEX([1]equip.xml!$B:$B,MATCH(D4666,[1]equip.xml!$A:$A,0))=0,0,N4666)</f>
        <v>200</v>
      </c>
      <c r="N4666" s="7">
        <f t="shared" si="5832"/>
        <v>200</v>
      </c>
    </row>
    <row r="4667" spans="1:14">
      <c r="A4667" s="7">
        <f t="shared" si="5911"/>
        <v>30011</v>
      </c>
      <c r="B4667" s="7">
        <f t="shared" ref="B4667:C4667" si="5936">B4579</f>
        <v>40000</v>
      </c>
      <c r="C4667" s="7" t="str">
        <f t="shared" si="5936"/>
        <v>装备</v>
      </c>
      <c r="D4667" s="7">
        <v>50303066</v>
      </c>
      <c r="E4667" s="7"/>
      <c r="F4667" s="7">
        <v>1</v>
      </c>
      <c r="G4667" s="8">
        <f>3*INDEX([1]equip.xml!$I:$I,MATCH(D4667,[1]equip.xml!$A:$A,0))</f>
        <v>198000</v>
      </c>
      <c r="H4667" s="7" t="str">
        <f t="shared" ref="H4667:J4667" si="5937">H4579</f>
        <v>10_10,50_20,80_30</v>
      </c>
      <c r="I4667" s="7">
        <v>7</v>
      </c>
      <c r="J4667" s="7">
        <f t="shared" si="5937"/>
        <v>240</v>
      </c>
      <c r="K4667" s="7" t="s">
        <v>310</v>
      </c>
      <c r="L4667" s="7">
        <v>30</v>
      </c>
      <c r="M4667" s="7">
        <f>IF(INDEX([1]equip.xml!$B:$B,MATCH(D4667,[1]equip.xml!$A:$A,0))=0,0,N4667)</f>
        <v>0</v>
      </c>
      <c r="N4667" s="7">
        <f t="shared" si="5832"/>
        <v>200</v>
      </c>
    </row>
    <row r="4668" spans="1:14">
      <c r="A4668" s="7">
        <f t="shared" si="5911"/>
        <v>30011</v>
      </c>
      <c r="B4668" s="7">
        <f t="shared" ref="B4668:C4668" si="5938">B4580</f>
        <v>40000</v>
      </c>
      <c r="C4668" s="7" t="str">
        <f t="shared" si="5938"/>
        <v>装备</v>
      </c>
      <c r="D4668" s="7">
        <v>50300045</v>
      </c>
      <c r="E4668" s="7"/>
      <c r="F4668" s="7">
        <v>1</v>
      </c>
      <c r="G4668" s="8">
        <f>3*INDEX([1]equip.xml!$I:$I,MATCH(D4668,[1]equip.xml!$A:$A,0))</f>
        <v>180000</v>
      </c>
      <c r="H4668" s="7" t="str">
        <f t="shared" ref="H4668:J4668" si="5939">H4580</f>
        <v>10_10,50_20,80_30</v>
      </c>
      <c r="I4668" s="7">
        <v>7</v>
      </c>
      <c r="J4668" s="7">
        <f t="shared" si="5939"/>
        <v>240</v>
      </c>
      <c r="K4668" s="7" t="s">
        <v>310</v>
      </c>
      <c r="L4668" s="7">
        <v>30</v>
      </c>
      <c r="M4668" s="7">
        <f>IF(INDEX([1]equip.xml!$B:$B,MATCH(D4668,[1]equip.xml!$A:$A,0))=0,0,N4668)</f>
        <v>200</v>
      </c>
      <c r="N4668" s="7">
        <f t="shared" si="5832"/>
        <v>200</v>
      </c>
    </row>
    <row r="4669" spans="1:14">
      <c r="A4669" s="7">
        <f t="shared" si="5911"/>
        <v>30011</v>
      </c>
      <c r="B4669" s="7">
        <f t="shared" ref="B4669:C4669" si="5940">B4581</f>
        <v>40000</v>
      </c>
      <c r="C4669" s="7" t="str">
        <f t="shared" si="5940"/>
        <v>装备</v>
      </c>
      <c r="D4669" s="7">
        <v>50300046</v>
      </c>
      <c r="E4669" s="7"/>
      <c r="F4669" s="7">
        <v>1</v>
      </c>
      <c r="G4669" s="8">
        <f>3*INDEX([1]equip.xml!$I:$I,MATCH(D4669,[1]equip.xml!$A:$A,0))</f>
        <v>198000</v>
      </c>
      <c r="H4669" s="7" t="str">
        <f t="shared" ref="H4669:J4669" si="5941">H4581</f>
        <v>10_10,50_20,80_30</v>
      </c>
      <c r="I4669" s="7">
        <v>7</v>
      </c>
      <c r="J4669" s="7">
        <f t="shared" si="5941"/>
        <v>240</v>
      </c>
      <c r="K4669" s="7" t="s">
        <v>310</v>
      </c>
      <c r="L4669" s="7">
        <v>30</v>
      </c>
      <c r="M4669" s="7">
        <f>IF(INDEX([1]equip.xml!$B:$B,MATCH(D4669,[1]equip.xml!$A:$A,0))=0,0,N4669)</f>
        <v>200</v>
      </c>
      <c r="N4669" s="7">
        <f t="shared" si="5832"/>
        <v>200</v>
      </c>
    </row>
    <row r="4670" spans="1:14">
      <c r="A4670" s="7">
        <f t="shared" si="5911"/>
        <v>30011</v>
      </c>
      <c r="B4670" s="7">
        <f t="shared" ref="B4670:C4670" si="5942">B4582</f>
        <v>40000</v>
      </c>
      <c r="C4670" s="7" t="str">
        <f t="shared" si="5942"/>
        <v>装备</v>
      </c>
      <c r="D4670" s="7">
        <v>50300075</v>
      </c>
      <c r="E4670" s="7"/>
      <c r="F4670" s="7">
        <v>1</v>
      </c>
      <c r="G4670" s="8">
        <f>3*INDEX([1]equip.xml!$I:$I,MATCH(D4670,[1]equip.xml!$A:$A,0))</f>
        <v>180000</v>
      </c>
      <c r="H4670" s="7" t="str">
        <f t="shared" ref="H4670:J4670" si="5943">H4582</f>
        <v>10_10,50_20,80_30</v>
      </c>
      <c r="I4670" s="7">
        <v>7</v>
      </c>
      <c r="J4670" s="7">
        <f t="shared" si="5943"/>
        <v>240</v>
      </c>
      <c r="K4670" s="7" t="s">
        <v>310</v>
      </c>
      <c r="L4670" s="7">
        <v>30</v>
      </c>
      <c r="M4670" s="7">
        <f>IF(INDEX([1]equip.xml!$B:$B,MATCH(D4670,[1]equip.xml!$A:$A,0))=0,0,N4670)</f>
        <v>200</v>
      </c>
      <c r="N4670" s="7">
        <f t="shared" si="5832"/>
        <v>200</v>
      </c>
    </row>
    <row r="4671" spans="1:14">
      <c r="A4671" s="7">
        <f t="shared" si="5911"/>
        <v>30011</v>
      </c>
      <c r="B4671" s="7">
        <f t="shared" ref="B4671:C4671" si="5944">B4583</f>
        <v>40000</v>
      </c>
      <c r="C4671" s="7" t="str">
        <f t="shared" si="5944"/>
        <v>装备</v>
      </c>
      <c r="D4671" s="7">
        <v>50300076</v>
      </c>
      <c r="E4671" s="7"/>
      <c r="F4671" s="7">
        <v>1</v>
      </c>
      <c r="G4671" s="8">
        <f>3*INDEX([1]equip.xml!$I:$I,MATCH(D4671,[1]equip.xml!$A:$A,0))</f>
        <v>198000</v>
      </c>
      <c r="H4671" s="7" t="str">
        <f t="shared" ref="H4671:J4671" si="5945">H4583</f>
        <v>10_10,50_20,80_30</v>
      </c>
      <c r="I4671" s="7">
        <v>7</v>
      </c>
      <c r="J4671" s="7">
        <f t="shared" si="5945"/>
        <v>240</v>
      </c>
      <c r="K4671" s="7" t="s">
        <v>310</v>
      </c>
      <c r="L4671" s="7">
        <v>30</v>
      </c>
      <c r="M4671" s="7">
        <f>IF(INDEX([1]equip.xml!$B:$B,MATCH(D4671,[1]equip.xml!$A:$A,0))=0,0,N4671)</f>
        <v>200</v>
      </c>
      <c r="N4671" s="7">
        <f t="shared" si="5832"/>
        <v>200</v>
      </c>
    </row>
    <row r="4672" spans="1:14">
      <c r="A4672" s="7">
        <f t="shared" si="5911"/>
        <v>30011</v>
      </c>
      <c r="B4672" s="7">
        <f t="shared" ref="B4672:C4672" si="5946">B4584</f>
        <v>40000</v>
      </c>
      <c r="C4672" s="7" t="str">
        <f t="shared" si="5946"/>
        <v>装备</v>
      </c>
      <c r="D4672" s="7">
        <v>50350015</v>
      </c>
      <c r="E4672" s="7"/>
      <c r="F4672" s="7">
        <v>1</v>
      </c>
      <c r="G4672" s="8">
        <f>3*INDEX([1]equip.xml!$I:$I,MATCH(D4672,[1]equip.xml!$A:$A,0))</f>
        <v>210000</v>
      </c>
      <c r="H4672" s="7" t="str">
        <f t="shared" ref="H4672:J4672" si="5947">H4584</f>
        <v>10_10,50_20,80_30</v>
      </c>
      <c r="I4672" s="7">
        <v>7</v>
      </c>
      <c r="J4672" s="7">
        <f t="shared" si="5947"/>
        <v>240</v>
      </c>
      <c r="K4672" s="7" t="s">
        <v>310</v>
      </c>
      <c r="L4672" s="7">
        <v>30</v>
      </c>
      <c r="M4672" s="7">
        <f>IF(INDEX([1]equip.xml!$B:$B,MATCH(D4672,[1]equip.xml!$A:$A,0))=0,0,N4672)</f>
        <v>140</v>
      </c>
      <c r="N4672" s="7">
        <f t="shared" si="5832"/>
        <v>140</v>
      </c>
    </row>
    <row r="4673" spans="1:14">
      <c r="A4673" s="7">
        <f t="shared" si="5911"/>
        <v>30011</v>
      </c>
      <c r="B4673" s="7">
        <f t="shared" ref="B4673:C4673" si="5948">B4585</f>
        <v>40000</v>
      </c>
      <c r="C4673" s="7" t="str">
        <f t="shared" si="5948"/>
        <v>装备</v>
      </c>
      <c r="D4673" s="7">
        <v>50350025</v>
      </c>
      <c r="E4673" s="7"/>
      <c r="F4673" s="7">
        <v>1</v>
      </c>
      <c r="G4673" s="8">
        <f>3*INDEX([1]equip.xml!$I:$I,MATCH(D4673,[1]equip.xml!$A:$A,0))</f>
        <v>210000</v>
      </c>
      <c r="H4673" s="7" t="str">
        <f t="shared" ref="H4673:J4673" si="5949">H4585</f>
        <v>10_10,50_20,80_30</v>
      </c>
      <c r="I4673" s="7">
        <v>7</v>
      </c>
      <c r="J4673" s="7">
        <f t="shared" si="5949"/>
        <v>240</v>
      </c>
      <c r="K4673" s="7" t="s">
        <v>310</v>
      </c>
      <c r="L4673" s="7">
        <v>30</v>
      </c>
      <c r="M4673" s="7">
        <f>IF(INDEX([1]equip.xml!$B:$B,MATCH(D4673,[1]equip.xml!$A:$A,0))=0,0,N4673)</f>
        <v>140</v>
      </c>
      <c r="N4673" s="7">
        <f t="shared" si="5832"/>
        <v>140</v>
      </c>
    </row>
    <row r="4674" spans="1:14">
      <c r="A4674" s="7">
        <f t="shared" si="5911"/>
        <v>30011</v>
      </c>
      <c r="B4674" s="7">
        <f t="shared" ref="B4674:C4674" si="5950">B4586</f>
        <v>40000</v>
      </c>
      <c r="C4674" s="7" t="str">
        <f t="shared" si="5950"/>
        <v>装备</v>
      </c>
      <c r="D4674" s="7">
        <v>50350035</v>
      </c>
      <c r="E4674" s="7"/>
      <c r="F4674" s="7">
        <v>1</v>
      </c>
      <c r="G4674" s="8">
        <f>3*INDEX([1]equip.xml!$I:$I,MATCH(D4674,[1]equip.xml!$A:$A,0))</f>
        <v>210000</v>
      </c>
      <c r="H4674" s="7" t="str">
        <f t="shared" ref="H4674:J4674" si="5951">H4586</f>
        <v>10_10,50_20,80_30</v>
      </c>
      <c r="I4674" s="7">
        <v>7</v>
      </c>
      <c r="J4674" s="7">
        <f t="shared" si="5951"/>
        <v>240</v>
      </c>
      <c r="K4674" s="7" t="s">
        <v>310</v>
      </c>
      <c r="L4674" s="7">
        <v>30</v>
      </c>
      <c r="M4674" s="7">
        <f>IF(INDEX([1]equip.xml!$B:$B,MATCH(D4674,[1]equip.xml!$A:$A,0))=0,0,N4674)</f>
        <v>140</v>
      </c>
      <c r="N4674" s="7">
        <f t="shared" si="5832"/>
        <v>140</v>
      </c>
    </row>
    <row r="4675" spans="1:14">
      <c r="A4675" s="7">
        <f t="shared" si="5911"/>
        <v>30011</v>
      </c>
      <c r="B4675" s="7">
        <f t="shared" ref="B4675:C4675" si="5952">B4587</f>
        <v>40000</v>
      </c>
      <c r="C4675" s="7" t="str">
        <f t="shared" si="5952"/>
        <v>装备</v>
      </c>
      <c r="D4675" s="7">
        <v>50350085</v>
      </c>
      <c r="E4675" s="7"/>
      <c r="F4675" s="7">
        <v>1</v>
      </c>
      <c r="G4675" s="8">
        <f>3*INDEX([1]equip.xml!$I:$I,MATCH(D4675,[1]equip.xml!$A:$A,0))</f>
        <v>210000</v>
      </c>
      <c r="H4675" s="7" t="str">
        <f t="shared" ref="H4675:J4675" si="5953">H4587</f>
        <v>10_10,50_20,80_30</v>
      </c>
      <c r="I4675" s="7">
        <v>7</v>
      </c>
      <c r="J4675" s="7">
        <f t="shared" si="5953"/>
        <v>240</v>
      </c>
      <c r="K4675" s="7" t="s">
        <v>310</v>
      </c>
      <c r="L4675" s="7">
        <v>30</v>
      </c>
      <c r="M4675" s="7">
        <f>IF(INDEX([1]equip.xml!$B:$B,MATCH(D4675,[1]equip.xml!$A:$A,0))=0,0,N4675)</f>
        <v>140</v>
      </c>
      <c r="N4675" s="7">
        <f t="shared" si="5832"/>
        <v>140</v>
      </c>
    </row>
    <row r="4676" spans="1:14">
      <c r="A4676" s="7">
        <f t="shared" si="5911"/>
        <v>30011</v>
      </c>
      <c r="B4676" s="7">
        <f t="shared" ref="B4676:C4676" si="5954">B4588</f>
        <v>40000</v>
      </c>
      <c r="C4676" s="7" t="str">
        <f t="shared" si="5954"/>
        <v>装备</v>
      </c>
      <c r="D4676" s="7">
        <v>50350095</v>
      </c>
      <c r="E4676" s="7"/>
      <c r="F4676" s="7">
        <v>1</v>
      </c>
      <c r="G4676" s="8">
        <f>3*INDEX([1]equip.xml!$I:$I,MATCH(D4676,[1]equip.xml!$A:$A,0))</f>
        <v>210000</v>
      </c>
      <c r="H4676" s="7" t="str">
        <f t="shared" ref="H4676:J4676" si="5955">H4588</f>
        <v>10_10,50_20,80_30</v>
      </c>
      <c r="I4676" s="7">
        <v>7</v>
      </c>
      <c r="J4676" s="7">
        <f t="shared" si="5955"/>
        <v>240</v>
      </c>
      <c r="K4676" s="7" t="s">
        <v>310</v>
      </c>
      <c r="L4676" s="7">
        <v>30</v>
      </c>
      <c r="M4676" s="7">
        <f>IF(INDEX([1]equip.xml!$B:$B,MATCH(D4676,[1]equip.xml!$A:$A,0))=0,0,N4676)</f>
        <v>140</v>
      </c>
      <c r="N4676" s="7">
        <f t="shared" si="5832"/>
        <v>140</v>
      </c>
    </row>
    <row r="4677" spans="1:14">
      <c r="A4677" s="7">
        <f t="shared" si="5911"/>
        <v>30011</v>
      </c>
      <c r="B4677" s="7">
        <f t="shared" ref="B4677:C4677" si="5956">B4589</f>
        <v>40000</v>
      </c>
      <c r="C4677" s="7" t="str">
        <f t="shared" si="5956"/>
        <v>装备</v>
      </c>
      <c r="D4677" s="7">
        <v>50350105</v>
      </c>
      <c r="E4677" s="7"/>
      <c r="F4677" s="7">
        <v>1</v>
      </c>
      <c r="G4677" s="8">
        <f>3*INDEX([1]equip.xml!$I:$I,MATCH(D4677,[1]equip.xml!$A:$A,0))</f>
        <v>210000</v>
      </c>
      <c r="H4677" s="7" t="str">
        <f t="shared" ref="H4677:J4677" si="5957">H4589</f>
        <v>10_10,50_20,80_30</v>
      </c>
      <c r="I4677" s="7">
        <v>7</v>
      </c>
      <c r="J4677" s="7">
        <f t="shared" si="5957"/>
        <v>240</v>
      </c>
      <c r="K4677" s="7" t="s">
        <v>310</v>
      </c>
      <c r="L4677" s="7">
        <v>30</v>
      </c>
      <c r="M4677" s="7">
        <f>IF(INDEX([1]equip.xml!$B:$B,MATCH(D4677,[1]equip.xml!$A:$A,0))=0,0,N4677)</f>
        <v>140</v>
      </c>
      <c r="N4677" s="7">
        <f t="shared" si="5832"/>
        <v>140</v>
      </c>
    </row>
    <row r="4678" spans="1:14">
      <c r="A4678" s="7">
        <f t="shared" si="5911"/>
        <v>30011</v>
      </c>
      <c r="B4678" s="7">
        <f t="shared" ref="B4678:C4678" si="5958">B4590</f>
        <v>40000</v>
      </c>
      <c r="C4678" s="7" t="str">
        <f t="shared" si="5958"/>
        <v>装备</v>
      </c>
      <c r="D4678" s="7">
        <v>50351055</v>
      </c>
      <c r="E4678" s="7"/>
      <c r="F4678" s="7">
        <v>1</v>
      </c>
      <c r="G4678" s="8">
        <f>3*INDEX([1]equip.xml!$I:$I,MATCH(D4678,[1]equip.xml!$A:$A,0))</f>
        <v>210000</v>
      </c>
      <c r="H4678" s="7" t="str">
        <f t="shared" ref="H4678:J4678" si="5959">H4590</f>
        <v>10_10,50_20,80_30</v>
      </c>
      <c r="I4678" s="7">
        <v>7</v>
      </c>
      <c r="J4678" s="7">
        <f t="shared" si="5959"/>
        <v>240</v>
      </c>
      <c r="K4678" s="7" t="s">
        <v>310</v>
      </c>
      <c r="L4678" s="7">
        <v>30</v>
      </c>
      <c r="M4678" s="7">
        <f>IF(INDEX([1]equip.xml!$B:$B,MATCH(D4678,[1]equip.xml!$A:$A,0))=0,0,N4678)</f>
        <v>140</v>
      </c>
      <c r="N4678" s="7">
        <f t="shared" si="5832"/>
        <v>140</v>
      </c>
    </row>
    <row r="4679" spans="1:14">
      <c r="A4679" s="7">
        <f t="shared" si="5911"/>
        <v>30011</v>
      </c>
      <c r="B4679" s="7">
        <f t="shared" ref="B4679:C4679" si="5960">B4591</f>
        <v>40000</v>
      </c>
      <c r="C4679" s="7" t="str">
        <f t="shared" si="5960"/>
        <v>装备</v>
      </c>
      <c r="D4679" s="7">
        <v>50351056</v>
      </c>
      <c r="E4679" s="7"/>
      <c r="F4679" s="7">
        <v>1</v>
      </c>
      <c r="G4679" s="8">
        <f>3*INDEX([1]equip.xml!$I:$I,MATCH(D4679,[1]equip.xml!$A:$A,0))</f>
        <v>228000</v>
      </c>
      <c r="H4679" s="7" t="str">
        <f t="shared" ref="H4679:J4679" si="5961">H4591</f>
        <v>10_10,50_20,80_30</v>
      </c>
      <c r="I4679" s="7">
        <v>7</v>
      </c>
      <c r="J4679" s="7">
        <f t="shared" si="5961"/>
        <v>240</v>
      </c>
      <c r="K4679" s="7" t="s">
        <v>310</v>
      </c>
      <c r="L4679" s="7">
        <v>30</v>
      </c>
      <c r="M4679" s="7">
        <f>IF(INDEX([1]equip.xml!$B:$B,MATCH(D4679,[1]equip.xml!$A:$A,0))=0,0,N4679)</f>
        <v>0</v>
      </c>
      <c r="N4679" s="7">
        <f t="shared" ref="N4679:N4742" si="5962">N4591</f>
        <v>140</v>
      </c>
    </row>
    <row r="4680" spans="1:14">
      <c r="A4680" s="7">
        <f t="shared" si="5911"/>
        <v>30011</v>
      </c>
      <c r="B4680" s="7">
        <f t="shared" ref="B4680:C4680" si="5963">B4592</f>
        <v>40000</v>
      </c>
      <c r="C4680" s="7" t="str">
        <f t="shared" si="5963"/>
        <v>装备</v>
      </c>
      <c r="D4680" s="7">
        <v>50351065</v>
      </c>
      <c r="E4680" s="7"/>
      <c r="F4680" s="7">
        <v>1</v>
      </c>
      <c r="G4680" s="8">
        <f>3*INDEX([1]equip.xml!$I:$I,MATCH(D4680,[1]equip.xml!$A:$A,0))</f>
        <v>210000</v>
      </c>
      <c r="H4680" s="7" t="str">
        <f t="shared" ref="H4680:J4680" si="5964">H4592</f>
        <v>10_10,50_20,80_30</v>
      </c>
      <c r="I4680" s="7">
        <v>7</v>
      </c>
      <c r="J4680" s="7">
        <f t="shared" si="5964"/>
        <v>240</v>
      </c>
      <c r="K4680" s="7" t="s">
        <v>310</v>
      </c>
      <c r="L4680" s="7">
        <v>30</v>
      </c>
      <c r="M4680" s="7">
        <f>IF(INDEX([1]equip.xml!$B:$B,MATCH(D4680,[1]equip.xml!$A:$A,0))=0,0,N4680)</f>
        <v>140</v>
      </c>
      <c r="N4680" s="7">
        <f t="shared" si="5962"/>
        <v>140</v>
      </c>
    </row>
    <row r="4681" spans="1:14">
      <c r="A4681" s="7">
        <f t="shared" si="5911"/>
        <v>30011</v>
      </c>
      <c r="B4681" s="7">
        <f t="shared" ref="B4681:C4681" si="5965">B4593</f>
        <v>40000</v>
      </c>
      <c r="C4681" s="7" t="str">
        <f t="shared" si="5965"/>
        <v>装备</v>
      </c>
      <c r="D4681" s="7">
        <v>50351066</v>
      </c>
      <c r="E4681" s="7"/>
      <c r="F4681" s="7">
        <v>1</v>
      </c>
      <c r="G4681" s="8">
        <f>3*INDEX([1]equip.xml!$I:$I,MATCH(D4681,[1]equip.xml!$A:$A,0))</f>
        <v>228000</v>
      </c>
      <c r="H4681" s="7" t="str">
        <f t="shared" ref="H4681:J4681" si="5966">H4593</f>
        <v>10_10,50_20,80_30</v>
      </c>
      <c r="I4681" s="7">
        <v>7</v>
      </c>
      <c r="J4681" s="7">
        <f t="shared" si="5966"/>
        <v>240</v>
      </c>
      <c r="K4681" s="7" t="s">
        <v>310</v>
      </c>
      <c r="L4681" s="7">
        <v>30</v>
      </c>
      <c r="M4681" s="7">
        <f>IF(INDEX([1]equip.xml!$B:$B,MATCH(D4681,[1]equip.xml!$A:$A,0))=0,0,N4681)</f>
        <v>140</v>
      </c>
      <c r="N4681" s="7">
        <f t="shared" si="5962"/>
        <v>140</v>
      </c>
    </row>
    <row r="4682" spans="1:14">
      <c r="A4682" s="7">
        <f t="shared" si="5911"/>
        <v>30011</v>
      </c>
      <c r="B4682" s="7">
        <f t="shared" ref="B4682:C4682" si="5967">B4594</f>
        <v>40000</v>
      </c>
      <c r="C4682" s="7" t="str">
        <f t="shared" si="5967"/>
        <v>装备</v>
      </c>
      <c r="D4682" s="7">
        <v>50352055</v>
      </c>
      <c r="E4682" s="7"/>
      <c r="F4682" s="7">
        <v>1</v>
      </c>
      <c r="G4682" s="8">
        <f>3*INDEX([1]equip.xml!$I:$I,MATCH(D4682,[1]equip.xml!$A:$A,0))</f>
        <v>210000</v>
      </c>
      <c r="H4682" s="7" t="str">
        <f t="shared" ref="H4682:J4682" si="5968">H4594</f>
        <v>10_10,50_20,80_30</v>
      </c>
      <c r="I4682" s="7">
        <v>7</v>
      </c>
      <c r="J4682" s="7">
        <f t="shared" si="5968"/>
        <v>240</v>
      </c>
      <c r="K4682" s="7" t="s">
        <v>310</v>
      </c>
      <c r="L4682" s="7">
        <v>30</v>
      </c>
      <c r="M4682" s="7">
        <f>IF(INDEX([1]equip.xml!$B:$B,MATCH(D4682,[1]equip.xml!$A:$A,0))=0,0,N4682)</f>
        <v>140</v>
      </c>
      <c r="N4682" s="7">
        <f t="shared" si="5962"/>
        <v>140</v>
      </c>
    </row>
    <row r="4683" spans="1:14">
      <c r="A4683" s="7">
        <f t="shared" si="5911"/>
        <v>30011</v>
      </c>
      <c r="B4683" s="7">
        <f t="shared" ref="B4683:C4683" si="5969">B4595</f>
        <v>40000</v>
      </c>
      <c r="C4683" s="7" t="str">
        <f t="shared" si="5969"/>
        <v>装备</v>
      </c>
      <c r="D4683" s="7">
        <v>50352056</v>
      </c>
      <c r="E4683" s="7"/>
      <c r="F4683" s="7">
        <v>1</v>
      </c>
      <c r="G4683" s="8">
        <f>3*INDEX([1]equip.xml!$I:$I,MATCH(D4683,[1]equip.xml!$A:$A,0))</f>
        <v>228000</v>
      </c>
      <c r="H4683" s="7" t="str">
        <f t="shared" ref="H4683:J4683" si="5970">H4595</f>
        <v>10_10,50_20,80_30</v>
      </c>
      <c r="I4683" s="7">
        <v>7</v>
      </c>
      <c r="J4683" s="7">
        <f t="shared" si="5970"/>
        <v>240</v>
      </c>
      <c r="K4683" s="7" t="s">
        <v>310</v>
      </c>
      <c r="L4683" s="7">
        <v>30</v>
      </c>
      <c r="M4683" s="7">
        <f>IF(INDEX([1]equip.xml!$B:$B,MATCH(D4683,[1]equip.xml!$A:$A,0))=0,0,N4683)</f>
        <v>0</v>
      </c>
      <c r="N4683" s="7">
        <f t="shared" si="5962"/>
        <v>140</v>
      </c>
    </row>
    <row r="4684" spans="1:14">
      <c r="A4684" s="7">
        <f t="shared" si="5911"/>
        <v>30011</v>
      </c>
      <c r="B4684" s="7">
        <f t="shared" ref="B4684:C4684" si="5971">B4596</f>
        <v>40000</v>
      </c>
      <c r="C4684" s="7" t="str">
        <f t="shared" si="5971"/>
        <v>装备</v>
      </c>
      <c r="D4684" s="7">
        <v>50352065</v>
      </c>
      <c r="E4684" s="7"/>
      <c r="F4684" s="7">
        <v>1</v>
      </c>
      <c r="G4684" s="8">
        <f>3*INDEX([1]equip.xml!$I:$I,MATCH(D4684,[1]equip.xml!$A:$A,0))</f>
        <v>210000</v>
      </c>
      <c r="H4684" s="7" t="str">
        <f t="shared" ref="H4684:J4684" si="5972">H4596</f>
        <v>10_10,50_20,80_30</v>
      </c>
      <c r="I4684" s="7">
        <v>7</v>
      </c>
      <c r="J4684" s="7">
        <f t="shared" si="5972"/>
        <v>240</v>
      </c>
      <c r="K4684" s="7" t="s">
        <v>310</v>
      </c>
      <c r="L4684" s="7">
        <v>30</v>
      </c>
      <c r="M4684" s="7">
        <f>IF(INDEX([1]equip.xml!$B:$B,MATCH(D4684,[1]equip.xml!$A:$A,0))=0,0,N4684)</f>
        <v>140</v>
      </c>
      <c r="N4684" s="7">
        <f t="shared" si="5962"/>
        <v>140</v>
      </c>
    </row>
    <row r="4685" spans="1:14">
      <c r="A4685" s="7">
        <f t="shared" si="5911"/>
        <v>30011</v>
      </c>
      <c r="B4685" s="7">
        <f t="shared" ref="B4685:C4685" si="5973">B4597</f>
        <v>40000</v>
      </c>
      <c r="C4685" s="7" t="str">
        <f t="shared" si="5973"/>
        <v>装备</v>
      </c>
      <c r="D4685" s="7">
        <v>50352066</v>
      </c>
      <c r="E4685" s="7"/>
      <c r="F4685" s="7">
        <v>1</v>
      </c>
      <c r="G4685" s="8">
        <f>3*INDEX([1]equip.xml!$I:$I,MATCH(D4685,[1]equip.xml!$A:$A,0))</f>
        <v>228000</v>
      </c>
      <c r="H4685" s="7" t="str">
        <f t="shared" ref="H4685:J4685" si="5974">H4597</f>
        <v>10_10,50_20,80_30</v>
      </c>
      <c r="I4685" s="7">
        <v>7</v>
      </c>
      <c r="J4685" s="7">
        <f t="shared" si="5974"/>
        <v>240</v>
      </c>
      <c r="K4685" s="7" t="s">
        <v>310</v>
      </c>
      <c r="L4685" s="7">
        <v>30</v>
      </c>
      <c r="M4685" s="7">
        <f>IF(INDEX([1]equip.xml!$B:$B,MATCH(D4685,[1]equip.xml!$A:$A,0))=0,0,N4685)</f>
        <v>140</v>
      </c>
      <c r="N4685" s="7">
        <f t="shared" si="5962"/>
        <v>140</v>
      </c>
    </row>
    <row r="4686" spans="1:14">
      <c r="A4686" s="7">
        <f t="shared" si="5911"/>
        <v>30011</v>
      </c>
      <c r="B4686" s="7">
        <f t="shared" ref="B4686:C4686" si="5975">B4598</f>
        <v>40000</v>
      </c>
      <c r="C4686" s="7" t="str">
        <f t="shared" si="5975"/>
        <v>装备</v>
      </c>
      <c r="D4686" s="7">
        <v>50353055</v>
      </c>
      <c r="E4686" s="7"/>
      <c r="F4686" s="7">
        <v>1</v>
      </c>
      <c r="G4686" s="8">
        <f>3*INDEX([1]equip.xml!$I:$I,MATCH(D4686,[1]equip.xml!$A:$A,0))</f>
        <v>210000</v>
      </c>
      <c r="H4686" s="7" t="str">
        <f t="shared" ref="H4686:J4686" si="5976">H4598</f>
        <v>10_10,50_20,80_30</v>
      </c>
      <c r="I4686" s="7">
        <v>7</v>
      </c>
      <c r="J4686" s="7">
        <f t="shared" si="5976"/>
        <v>240</v>
      </c>
      <c r="K4686" s="7" t="s">
        <v>310</v>
      </c>
      <c r="L4686" s="7">
        <v>30</v>
      </c>
      <c r="M4686" s="7">
        <f>IF(INDEX([1]equip.xml!$B:$B,MATCH(D4686,[1]equip.xml!$A:$A,0))=0,0,N4686)</f>
        <v>140</v>
      </c>
      <c r="N4686" s="7">
        <f t="shared" si="5962"/>
        <v>140</v>
      </c>
    </row>
    <row r="4687" spans="1:14">
      <c r="A4687" s="7">
        <f t="shared" si="5911"/>
        <v>30011</v>
      </c>
      <c r="B4687" s="7">
        <f t="shared" ref="B4687:C4687" si="5977">B4599</f>
        <v>40000</v>
      </c>
      <c r="C4687" s="7" t="str">
        <f t="shared" si="5977"/>
        <v>装备</v>
      </c>
      <c r="D4687" s="7">
        <v>50353056</v>
      </c>
      <c r="E4687" s="7"/>
      <c r="F4687" s="7">
        <v>1</v>
      </c>
      <c r="G4687" s="8">
        <f>3*INDEX([1]equip.xml!$I:$I,MATCH(D4687,[1]equip.xml!$A:$A,0))</f>
        <v>228000</v>
      </c>
      <c r="H4687" s="7" t="str">
        <f t="shared" ref="H4687:J4687" si="5978">H4599</f>
        <v>10_10,50_20,80_30</v>
      </c>
      <c r="I4687" s="7">
        <v>7</v>
      </c>
      <c r="J4687" s="7">
        <f t="shared" si="5978"/>
        <v>240</v>
      </c>
      <c r="K4687" s="7" t="s">
        <v>310</v>
      </c>
      <c r="L4687" s="7">
        <v>30</v>
      </c>
      <c r="M4687" s="7">
        <f>IF(INDEX([1]equip.xml!$B:$B,MATCH(D4687,[1]equip.xml!$A:$A,0))=0,0,N4687)</f>
        <v>0</v>
      </c>
      <c r="N4687" s="7">
        <f t="shared" si="5962"/>
        <v>140</v>
      </c>
    </row>
    <row r="4688" spans="1:14">
      <c r="A4688" s="7">
        <f t="shared" si="5911"/>
        <v>30011</v>
      </c>
      <c r="B4688" s="7">
        <f t="shared" ref="B4688:C4688" si="5979">B4600</f>
        <v>40000</v>
      </c>
      <c r="C4688" s="7" t="str">
        <f t="shared" si="5979"/>
        <v>装备</v>
      </c>
      <c r="D4688" s="7">
        <v>50353065</v>
      </c>
      <c r="E4688" s="7"/>
      <c r="F4688" s="7">
        <v>1</v>
      </c>
      <c r="G4688" s="8">
        <f>3*INDEX([1]equip.xml!$I:$I,MATCH(D4688,[1]equip.xml!$A:$A,0))</f>
        <v>210000</v>
      </c>
      <c r="H4688" s="7" t="str">
        <f t="shared" ref="H4688:J4688" si="5980">H4600</f>
        <v>10_10,50_20,80_30</v>
      </c>
      <c r="I4688" s="7">
        <v>7</v>
      </c>
      <c r="J4688" s="7">
        <f t="shared" si="5980"/>
        <v>240</v>
      </c>
      <c r="K4688" s="7" t="s">
        <v>310</v>
      </c>
      <c r="L4688" s="7">
        <v>30</v>
      </c>
      <c r="M4688" s="7">
        <f>IF(INDEX([1]equip.xml!$B:$B,MATCH(D4688,[1]equip.xml!$A:$A,0))=0,0,N4688)</f>
        <v>140</v>
      </c>
      <c r="N4688" s="7">
        <f t="shared" si="5962"/>
        <v>140</v>
      </c>
    </row>
    <row r="4689" spans="1:14">
      <c r="A4689" s="7">
        <f t="shared" si="5911"/>
        <v>30011</v>
      </c>
      <c r="B4689" s="7">
        <f t="shared" ref="B4689:C4689" si="5981">B4601</f>
        <v>40000</v>
      </c>
      <c r="C4689" s="7" t="str">
        <f t="shared" si="5981"/>
        <v>装备</v>
      </c>
      <c r="D4689" s="7">
        <v>50353066</v>
      </c>
      <c r="E4689" s="7"/>
      <c r="F4689" s="7">
        <v>1</v>
      </c>
      <c r="G4689" s="8">
        <f>3*INDEX([1]equip.xml!$I:$I,MATCH(D4689,[1]equip.xml!$A:$A,0))</f>
        <v>228000</v>
      </c>
      <c r="H4689" s="7" t="str">
        <f t="shared" ref="H4689:J4689" si="5982">H4601</f>
        <v>10_10,50_20,80_30</v>
      </c>
      <c r="I4689" s="7">
        <v>7</v>
      </c>
      <c r="J4689" s="7">
        <f t="shared" si="5982"/>
        <v>240</v>
      </c>
      <c r="K4689" s="7" t="s">
        <v>310</v>
      </c>
      <c r="L4689" s="7">
        <v>30</v>
      </c>
      <c r="M4689" s="7">
        <f>IF(INDEX([1]equip.xml!$B:$B,MATCH(D4689,[1]equip.xml!$A:$A,0))=0,0,N4689)</f>
        <v>140</v>
      </c>
      <c r="N4689" s="7">
        <f t="shared" si="5962"/>
        <v>140</v>
      </c>
    </row>
    <row r="4690" spans="1:14">
      <c r="A4690" s="7">
        <f t="shared" si="5911"/>
        <v>30011</v>
      </c>
      <c r="B4690" s="7">
        <f t="shared" ref="B4690:C4690" si="5983">B4602</f>
        <v>40000</v>
      </c>
      <c r="C4690" s="7" t="str">
        <f t="shared" si="5983"/>
        <v>装备</v>
      </c>
      <c r="D4690" s="7">
        <v>50350045</v>
      </c>
      <c r="E4690" s="7"/>
      <c r="F4690" s="7">
        <v>1</v>
      </c>
      <c r="G4690" s="8">
        <f>3*INDEX([1]equip.xml!$I:$I,MATCH(D4690,[1]equip.xml!$A:$A,0))</f>
        <v>210000</v>
      </c>
      <c r="H4690" s="7" t="str">
        <f t="shared" ref="H4690:J4690" si="5984">H4602</f>
        <v>10_10,50_20,80_30</v>
      </c>
      <c r="I4690" s="7">
        <v>7</v>
      </c>
      <c r="J4690" s="7">
        <f t="shared" si="5984"/>
        <v>240</v>
      </c>
      <c r="K4690" s="7" t="s">
        <v>310</v>
      </c>
      <c r="L4690" s="7">
        <v>30</v>
      </c>
      <c r="M4690" s="7">
        <f>IF(INDEX([1]equip.xml!$B:$B,MATCH(D4690,[1]equip.xml!$A:$A,0))=0,0,N4690)</f>
        <v>140</v>
      </c>
      <c r="N4690" s="7">
        <f t="shared" si="5962"/>
        <v>140</v>
      </c>
    </row>
    <row r="4691" spans="1:14">
      <c r="A4691" s="7">
        <f t="shared" si="5911"/>
        <v>30011</v>
      </c>
      <c r="B4691" s="7">
        <f t="shared" ref="B4691:C4691" si="5985">B4603</f>
        <v>40000</v>
      </c>
      <c r="C4691" s="7" t="str">
        <f t="shared" si="5985"/>
        <v>装备</v>
      </c>
      <c r="D4691" s="7">
        <v>50350046</v>
      </c>
      <c r="E4691" s="7"/>
      <c r="F4691" s="7">
        <v>1</v>
      </c>
      <c r="G4691" s="8">
        <f>3*INDEX([1]equip.xml!$I:$I,MATCH(D4691,[1]equip.xml!$A:$A,0))</f>
        <v>228000</v>
      </c>
      <c r="H4691" s="7" t="str">
        <f t="shared" ref="H4691:J4691" si="5986">H4603</f>
        <v>10_10,50_20,80_30</v>
      </c>
      <c r="I4691" s="7">
        <v>7</v>
      </c>
      <c r="J4691" s="7">
        <f t="shared" si="5986"/>
        <v>240</v>
      </c>
      <c r="K4691" s="7" t="s">
        <v>310</v>
      </c>
      <c r="L4691" s="7">
        <v>30</v>
      </c>
      <c r="M4691" s="7">
        <f>IF(INDEX([1]equip.xml!$B:$B,MATCH(D4691,[1]equip.xml!$A:$A,0))=0,0,N4691)</f>
        <v>140</v>
      </c>
      <c r="N4691" s="7">
        <f t="shared" si="5962"/>
        <v>140</v>
      </c>
    </row>
    <row r="4692" spans="1:14">
      <c r="A4692" s="7">
        <f t="shared" si="5911"/>
        <v>30011</v>
      </c>
      <c r="B4692" s="7">
        <f t="shared" ref="B4692:C4692" si="5987">B4604</f>
        <v>40000</v>
      </c>
      <c r="C4692" s="7" t="str">
        <f t="shared" si="5987"/>
        <v>装备</v>
      </c>
      <c r="D4692" s="7">
        <v>50350075</v>
      </c>
      <c r="E4692" s="7"/>
      <c r="F4692" s="7">
        <v>1</v>
      </c>
      <c r="G4692" s="8">
        <f>3*INDEX([1]equip.xml!$I:$I,MATCH(D4692,[1]equip.xml!$A:$A,0))</f>
        <v>210000</v>
      </c>
      <c r="H4692" s="7" t="str">
        <f t="shared" ref="H4692:J4692" si="5988">H4604</f>
        <v>10_10,50_20,80_30</v>
      </c>
      <c r="I4692" s="7">
        <v>7</v>
      </c>
      <c r="J4692" s="7">
        <f t="shared" si="5988"/>
        <v>240</v>
      </c>
      <c r="K4692" s="7" t="s">
        <v>310</v>
      </c>
      <c r="L4692" s="7">
        <v>30</v>
      </c>
      <c r="M4692" s="7">
        <f>IF(INDEX([1]equip.xml!$B:$B,MATCH(D4692,[1]equip.xml!$A:$A,0))=0,0,N4692)</f>
        <v>140</v>
      </c>
      <c r="N4692" s="7">
        <f t="shared" si="5962"/>
        <v>140</v>
      </c>
    </row>
    <row r="4693" spans="1:14">
      <c r="A4693" s="7">
        <f t="shared" si="5911"/>
        <v>30011</v>
      </c>
      <c r="B4693" s="7">
        <f t="shared" ref="B4693:C4693" si="5989">B4605</f>
        <v>40000</v>
      </c>
      <c r="C4693" s="7" t="str">
        <f t="shared" si="5989"/>
        <v>装备</v>
      </c>
      <c r="D4693" s="7">
        <v>50350076</v>
      </c>
      <c r="E4693" s="7"/>
      <c r="F4693" s="7">
        <v>1</v>
      </c>
      <c r="G4693" s="8">
        <f>3*INDEX([1]equip.xml!$I:$I,MATCH(D4693,[1]equip.xml!$A:$A,0))</f>
        <v>228000</v>
      </c>
      <c r="H4693" s="7" t="str">
        <f t="shared" ref="H4693:J4693" si="5990">H4605</f>
        <v>10_10,50_20,80_30</v>
      </c>
      <c r="I4693" s="7">
        <v>7</v>
      </c>
      <c r="J4693" s="7">
        <f t="shared" si="5990"/>
        <v>240</v>
      </c>
      <c r="K4693" s="7" t="s">
        <v>310</v>
      </c>
      <c r="L4693" s="7">
        <v>30</v>
      </c>
      <c r="M4693" s="7">
        <f>IF(INDEX([1]equip.xml!$B:$B,MATCH(D4693,[1]equip.xml!$A:$A,0))=0,0,N4693)</f>
        <v>0</v>
      </c>
      <c r="N4693" s="7">
        <f t="shared" si="5962"/>
        <v>140</v>
      </c>
    </row>
    <row r="4694" spans="1:14">
      <c r="A4694" s="7">
        <f t="shared" si="5911"/>
        <v>30012</v>
      </c>
      <c r="B4694" s="8">
        <f t="shared" ref="B4694:C4694" si="5991">B4606</f>
        <v>40000</v>
      </c>
      <c r="C4694" s="8" t="str">
        <f t="shared" si="5991"/>
        <v>装备</v>
      </c>
      <c r="D4694" s="8">
        <v>40350010</v>
      </c>
      <c r="E4694" s="8"/>
      <c r="F4694" s="8">
        <v>1</v>
      </c>
      <c r="G4694" s="7">
        <f>3*INDEX([1]equip.xml!$I:$I,MATCH(D4694&amp;"",[1]equip.xml!$A:$A,0))</f>
        <v>105000</v>
      </c>
      <c r="H4694" s="8" t="str">
        <f t="shared" ref="H4694:J4694" si="5992">H4606</f>
        <v>10_10,50_20,80_30</v>
      </c>
      <c r="I4694" s="8">
        <v>6</v>
      </c>
      <c r="J4694" s="8">
        <f t="shared" si="5992"/>
        <v>50</v>
      </c>
      <c r="K4694" s="7" t="s">
        <v>310</v>
      </c>
      <c r="L4694" s="8">
        <v>32</v>
      </c>
      <c r="M4694" s="7">
        <f>IF(INDEX([1]equip.xml!$B:$B,MATCH(D4694&amp;"",[1]equip.xml!$A:$A,0))=0,0,N4694)</f>
        <v>100</v>
      </c>
      <c r="N4694" s="7">
        <f t="shared" si="5962"/>
        <v>100</v>
      </c>
    </row>
    <row r="4695" spans="1:14">
      <c r="A4695" s="7">
        <f t="shared" si="5911"/>
        <v>30012</v>
      </c>
      <c r="B4695" s="8">
        <f t="shared" ref="B4695:C4695" si="5993">B4607</f>
        <v>40000</v>
      </c>
      <c r="C4695" s="8" t="str">
        <f t="shared" si="5993"/>
        <v>装备</v>
      </c>
      <c r="D4695" s="8">
        <v>40350020</v>
      </c>
      <c r="E4695" s="8"/>
      <c r="F4695" s="8">
        <v>1</v>
      </c>
      <c r="G4695" s="7">
        <f>3*INDEX([1]equip.xml!$I:$I,MATCH(D4695&amp;"",[1]equip.xml!$A:$A,0))</f>
        <v>105000</v>
      </c>
      <c r="H4695" s="8" t="str">
        <f t="shared" ref="H4695:J4695" si="5994">H4607</f>
        <v>10_10,50_20,80_30</v>
      </c>
      <c r="I4695" s="8">
        <v>6</v>
      </c>
      <c r="J4695" s="8">
        <f t="shared" si="5994"/>
        <v>50</v>
      </c>
      <c r="K4695" s="7" t="s">
        <v>310</v>
      </c>
      <c r="L4695" s="8">
        <v>32</v>
      </c>
      <c r="M4695" s="7">
        <f>IF(INDEX([1]equip.xml!$B:$B,MATCH(D4695&amp;"",[1]equip.xml!$A:$A,0))=0,0,N4695)</f>
        <v>100</v>
      </c>
      <c r="N4695" s="7">
        <f t="shared" si="5962"/>
        <v>100</v>
      </c>
    </row>
    <row r="4696" spans="1:14">
      <c r="A4696" s="7">
        <f t="shared" si="5911"/>
        <v>30012</v>
      </c>
      <c r="B4696" s="8">
        <f t="shared" ref="B4696:C4696" si="5995">B4608</f>
        <v>40000</v>
      </c>
      <c r="C4696" s="8" t="str">
        <f t="shared" si="5995"/>
        <v>装备</v>
      </c>
      <c r="D4696" s="8">
        <v>40350030</v>
      </c>
      <c r="E4696" s="8"/>
      <c r="F4696" s="8">
        <v>1</v>
      </c>
      <c r="G4696" s="7">
        <f>3*INDEX([1]equip.xml!$I:$I,MATCH(D4696&amp;"",[1]equip.xml!$A:$A,0))</f>
        <v>105000</v>
      </c>
      <c r="H4696" s="8" t="str">
        <f t="shared" ref="H4696:J4696" si="5996">H4608</f>
        <v>10_10,50_20,80_30</v>
      </c>
      <c r="I4696" s="8">
        <v>6</v>
      </c>
      <c r="J4696" s="8">
        <f t="shared" si="5996"/>
        <v>50</v>
      </c>
      <c r="K4696" s="7" t="s">
        <v>310</v>
      </c>
      <c r="L4696" s="8">
        <v>32</v>
      </c>
      <c r="M4696" s="7">
        <f>IF(INDEX([1]equip.xml!$B:$B,MATCH(D4696&amp;"",[1]equip.xml!$A:$A,0))=0,0,N4696)</f>
        <v>100</v>
      </c>
      <c r="N4696" s="7">
        <f t="shared" si="5962"/>
        <v>100</v>
      </c>
    </row>
    <row r="4697" spans="1:14">
      <c r="A4697" s="7">
        <f t="shared" si="5911"/>
        <v>30012</v>
      </c>
      <c r="B4697" s="8">
        <f t="shared" ref="B4697:C4697" si="5997">B4609</f>
        <v>40000</v>
      </c>
      <c r="C4697" s="8" t="str">
        <f t="shared" si="5997"/>
        <v>装备</v>
      </c>
      <c r="D4697" s="8">
        <v>40350080</v>
      </c>
      <c r="E4697" s="8"/>
      <c r="F4697" s="8">
        <v>1</v>
      </c>
      <c r="G4697" s="7">
        <f>3*INDEX([1]equip.xml!$I:$I,MATCH(D4697&amp;"",[1]equip.xml!$A:$A,0))</f>
        <v>105000</v>
      </c>
      <c r="H4697" s="8" t="str">
        <f t="shared" ref="H4697:J4697" si="5998">H4609</f>
        <v>10_10,50_20,80_30</v>
      </c>
      <c r="I4697" s="8">
        <v>6</v>
      </c>
      <c r="J4697" s="8">
        <f t="shared" si="5998"/>
        <v>50</v>
      </c>
      <c r="K4697" s="7" t="s">
        <v>310</v>
      </c>
      <c r="L4697" s="8">
        <v>32</v>
      </c>
      <c r="M4697" s="7">
        <f>IF(INDEX([1]equip.xml!$B:$B,MATCH(D4697&amp;"",[1]equip.xml!$A:$A,0))=0,0,N4697)</f>
        <v>100</v>
      </c>
      <c r="N4697" s="7">
        <f t="shared" si="5962"/>
        <v>100</v>
      </c>
    </row>
    <row r="4698" spans="1:14">
      <c r="A4698" s="7">
        <f t="shared" si="5911"/>
        <v>30012</v>
      </c>
      <c r="B4698" s="8">
        <f t="shared" ref="B4698:C4698" si="5999">B4610</f>
        <v>40000</v>
      </c>
      <c r="C4698" s="8" t="str">
        <f t="shared" si="5999"/>
        <v>装备</v>
      </c>
      <c r="D4698" s="8">
        <v>40350090</v>
      </c>
      <c r="E4698" s="8"/>
      <c r="F4698" s="8">
        <v>1</v>
      </c>
      <c r="G4698" s="7">
        <f>3*INDEX([1]equip.xml!$I:$I,MATCH(D4698&amp;"",[1]equip.xml!$A:$A,0))</f>
        <v>105000</v>
      </c>
      <c r="H4698" s="8" t="str">
        <f t="shared" ref="H4698:J4698" si="6000">H4610</f>
        <v>10_10,50_20,80_30</v>
      </c>
      <c r="I4698" s="8">
        <v>6</v>
      </c>
      <c r="J4698" s="8">
        <f t="shared" si="6000"/>
        <v>50</v>
      </c>
      <c r="K4698" s="7" t="s">
        <v>310</v>
      </c>
      <c r="L4698" s="8">
        <v>32</v>
      </c>
      <c r="M4698" s="7">
        <f>IF(INDEX([1]equip.xml!$B:$B,MATCH(D4698&amp;"",[1]equip.xml!$A:$A,0))=0,0,N4698)</f>
        <v>100</v>
      </c>
      <c r="N4698" s="7">
        <f t="shared" si="5962"/>
        <v>100</v>
      </c>
    </row>
    <row r="4699" spans="1:14">
      <c r="A4699" s="7">
        <f t="shared" si="5911"/>
        <v>30012</v>
      </c>
      <c r="B4699" s="8">
        <f t="shared" ref="B4699:C4699" si="6001">B4611</f>
        <v>40000</v>
      </c>
      <c r="C4699" s="8" t="str">
        <f t="shared" si="6001"/>
        <v>装备</v>
      </c>
      <c r="D4699" s="8">
        <v>40350100</v>
      </c>
      <c r="E4699" s="8"/>
      <c r="F4699" s="8">
        <v>1</v>
      </c>
      <c r="G4699" s="7">
        <f>3*INDEX([1]equip.xml!$I:$I,MATCH(D4699&amp;"",[1]equip.xml!$A:$A,0))</f>
        <v>105000</v>
      </c>
      <c r="H4699" s="8" t="str">
        <f t="shared" ref="H4699:J4699" si="6002">H4611</f>
        <v>10_10,50_20,80_30</v>
      </c>
      <c r="I4699" s="8">
        <v>6</v>
      </c>
      <c r="J4699" s="8">
        <f t="shared" si="6002"/>
        <v>50</v>
      </c>
      <c r="K4699" s="7" t="s">
        <v>310</v>
      </c>
      <c r="L4699" s="8">
        <v>32</v>
      </c>
      <c r="M4699" s="7">
        <f>IF(INDEX([1]equip.xml!$B:$B,MATCH(D4699&amp;"",[1]equip.xml!$A:$A,0))=0,0,N4699)</f>
        <v>100</v>
      </c>
      <c r="N4699" s="7">
        <f t="shared" si="5962"/>
        <v>100</v>
      </c>
    </row>
    <row r="4700" spans="1:14">
      <c r="A4700" s="7">
        <f t="shared" si="5911"/>
        <v>30012</v>
      </c>
      <c r="B4700" s="8">
        <f t="shared" ref="B4700:C4700" si="6003">B4612</f>
        <v>40000</v>
      </c>
      <c r="C4700" s="8" t="str">
        <f t="shared" si="6003"/>
        <v>装备</v>
      </c>
      <c r="D4700" s="8">
        <v>40351050</v>
      </c>
      <c r="E4700" s="8"/>
      <c r="F4700" s="8">
        <v>1</v>
      </c>
      <c r="G4700" s="7">
        <f>3*INDEX([1]equip.xml!$I:$I,MATCH(D4700&amp;"",[1]equip.xml!$A:$A,0))</f>
        <v>105000</v>
      </c>
      <c r="H4700" s="8" t="str">
        <f t="shared" ref="H4700:J4700" si="6004">H4612</f>
        <v>10_10,50_20,80_30</v>
      </c>
      <c r="I4700" s="8">
        <v>6</v>
      </c>
      <c r="J4700" s="8">
        <f t="shared" si="6004"/>
        <v>50</v>
      </c>
      <c r="K4700" s="7" t="s">
        <v>310</v>
      </c>
      <c r="L4700" s="8">
        <v>32</v>
      </c>
      <c r="M4700" s="7">
        <f>IF(INDEX([1]equip.xml!$B:$B,MATCH(D4700&amp;"",[1]equip.xml!$A:$A,0))=0,0,N4700)</f>
        <v>100</v>
      </c>
      <c r="N4700" s="7">
        <f t="shared" si="5962"/>
        <v>100</v>
      </c>
    </row>
    <row r="4701" spans="1:14">
      <c r="A4701" s="7">
        <f t="shared" si="5911"/>
        <v>30012</v>
      </c>
      <c r="B4701" s="8">
        <f t="shared" ref="B4701:C4701" si="6005">B4613</f>
        <v>40000</v>
      </c>
      <c r="C4701" s="8" t="str">
        <f t="shared" si="6005"/>
        <v>装备</v>
      </c>
      <c r="D4701" s="8">
        <v>40351051</v>
      </c>
      <c r="E4701" s="8"/>
      <c r="F4701" s="8">
        <v>1</v>
      </c>
      <c r="G4701" s="7">
        <f>3*INDEX([1]equip.xml!$I:$I,MATCH(D4701&amp;"",[1]equip.xml!$A:$A,0))</f>
        <v>114000</v>
      </c>
      <c r="H4701" s="8" t="str">
        <f t="shared" ref="H4701:J4701" si="6006">H4613</f>
        <v>10_10,50_20,80_30</v>
      </c>
      <c r="I4701" s="8">
        <v>6</v>
      </c>
      <c r="J4701" s="8">
        <f t="shared" si="6006"/>
        <v>50</v>
      </c>
      <c r="K4701" s="7" t="s">
        <v>310</v>
      </c>
      <c r="L4701" s="8">
        <v>32</v>
      </c>
      <c r="M4701" s="7">
        <f>IF(INDEX([1]equip.xml!$B:$B,MATCH(D4701&amp;"",[1]equip.xml!$A:$A,0))=0,0,N4701)</f>
        <v>0</v>
      </c>
      <c r="N4701" s="7">
        <f t="shared" si="5962"/>
        <v>100</v>
      </c>
    </row>
    <row r="4702" spans="1:14">
      <c r="A4702" s="7">
        <f t="shared" si="5911"/>
        <v>30012</v>
      </c>
      <c r="B4702" s="8">
        <f t="shared" ref="B4702:C4702" si="6007">B4614</f>
        <v>40000</v>
      </c>
      <c r="C4702" s="8" t="str">
        <f t="shared" si="6007"/>
        <v>装备</v>
      </c>
      <c r="D4702" s="8">
        <v>40351060</v>
      </c>
      <c r="E4702" s="8"/>
      <c r="F4702" s="8">
        <v>1</v>
      </c>
      <c r="G4702" s="7">
        <f>3*INDEX([1]equip.xml!$I:$I,MATCH(D4702&amp;"",[1]equip.xml!$A:$A,0))</f>
        <v>105000</v>
      </c>
      <c r="H4702" s="8" t="str">
        <f t="shared" ref="H4702:J4702" si="6008">H4614</f>
        <v>10_10,50_20,80_30</v>
      </c>
      <c r="I4702" s="8">
        <v>6</v>
      </c>
      <c r="J4702" s="8">
        <f t="shared" si="6008"/>
        <v>50</v>
      </c>
      <c r="K4702" s="7" t="s">
        <v>310</v>
      </c>
      <c r="L4702" s="8">
        <v>32</v>
      </c>
      <c r="M4702" s="7">
        <f>IF(INDEX([1]equip.xml!$B:$B,MATCH(D4702&amp;"",[1]equip.xml!$A:$A,0))=0,0,N4702)</f>
        <v>100</v>
      </c>
      <c r="N4702" s="7">
        <f t="shared" si="5962"/>
        <v>100</v>
      </c>
    </row>
    <row r="4703" spans="1:14">
      <c r="A4703" s="7">
        <f t="shared" si="5911"/>
        <v>30012</v>
      </c>
      <c r="B4703" s="8">
        <f t="shared" ref="B4703:C4703" si="6009">B4615</f>
        <v>40000</v>
      </c>
      <c r="C4703" s="8" t="str">
        <f t="shared" si="6009"/>
        <v>装备</v>
      </c>
      <c r="D4703" s="8">
        <v>40351061</v>
      </c>
      <c r="E4703" s="8"/>
      <c r="F4703" s="8">
        <v>1</v>
      </c>
      <c r="G4703" s="7">
        <f>3*INDEX([1]equip.xml!$I:$I,MATCH(D4703&amp;"",[1]equip.xml!$A:$A,0))</f>
        <v>114000</v>
      </c>
      <c r="H4703" s="8" t="str">
        <f t="shared" ref="H4703:J4703" si="6010">H4615</f>
        <v>10_10,50_20,80_30</v>
      </c>
      <c r="I4703" s="8">
        <v>6</v>
      </c>
      <c r="J4703" s="8">
        <f t="shared" si="6010"/>
        <v>50</v>
      </c>
      <c r="K4703" s="7" t="s">
        <v>310</v>
      </c>
      <c r="L4703" s="8">
        <v>32</v>
      </c>
      <c r="M4703" s="7">
        <f>IF(INDEX([1]equip.xml!$B:$B,MATCH(D4703&amp;"",[1]equip.xml!$A:$A,0))=0,0,N4703)</f>
        <v>100</v>
      </c>
      <c r="N4703" s="7">
        <f t="shared" si="5962"/>
        <v>100</v>
      </c>
    </row>
    <row r="4704" spans="1:14">
      <c r="A4704" s="7">
        <f t="shared" si="5911"/>
        <v>30012</v>
      </c>
      <c r="B4704" s="8">
        <f t="shared" ref="B4704:C4704" si="6011">B4616</f>
        <v>40000</v>
      </c>
      <c r="C4704" s="8" t="str">
        <f t="shared" si="6011"/>
        <v>装备</v>
      </c>
      <c r="D4704" s="8">
        <v>40352050</v>
      </c>
      <c r="E4704" s="8"/>
      <c r="F4704" s="8">
        <v>1</v>
      </c>
      <c r="G4704" s="7">
        <f>3*INDEX([1]equip.xml!$I:$I,MATCH(D4704&amp;"",[1]equip.xml!$A:$A,0))</f>
        <v>105000</v>
      </c>
      <c r="H4704" s="8" t="str">
        <f t="shared" ref="H4704:J4704" si="6012">H4616</f>
        <v>10_10,50_20,80_30</v>
      </c>
      <c r="I4704" s="8">
        <v>6</v>
      </c>
      <c r="J4704" s="8">
        <f t="shared" si="6012"/>
        <v>50</v>
      </c>
      <c r="K4704" s="7" t="s">
        <v>310</v>
      </c>
      <c r="L4704" s="8">
        <v>32</v>
      </c>
      <c r="M4704" s="7">
        <f>IF(INDEX([1]equip.xml!$B:$B,MATCH(D4704&amp;"",[1]equip.xml!$A:$A,0))=0,0,N4704)</f>
        <v>100</v>
      </c>
      <c r="N4704" s="7">
        <f t="shared" si="5962"/>
        <v>100</v>
      </c>
    </row>
    <row r="4705" spans="1:14">
      <c r="A4705" s="7">
        <f t="shared" si="5911"/>
        <v>30012</v>
      </c>
      <c r="B4705" s="8">
        <f t="shared" ref="B4705:C4705" si="6013">B4617</f>
        <v>40000</v>
      </c>
      <c r="C4705" s="8" t="str">
        <f t="shared" si="6013"/>
        <v>装备</v>
      </c>
      <c r="D4705" s="8">
        <v>40352051</v>
      </c>
      <c r="E4705" s="8"/>
      <c r="F4705" s="8">
        <v>1</v>
      </c>
      <c r="G4705" s="7">
        <f>3*INDEX([1]equip.xml!$I:$I,MATCH(D4705&amp;"",[1]equip.xml!$A:$A,0))</f>
        <v>114000</v>
      </c>
      <c r="H4705" s="8" t="str">
        <f t="shared" ref="H4705:J4705" si="6014">H4617</f>
        <v>10_10,50_20,80_30</v>
      </c>
      <c r="I4705" s="8">
        <v>6</v>
      </c>
      <c r="J4705" s="8">
        <f t="shared" si="6014"/>
        <v>50</v>
      </c>
      <c r="K4705" s="7" t="s">
        <v>310</v>
      </c>
      <c r="L4705" s="8">
        <v>32</v>
      </c>
      <c r="M4705" s="7">
        <f>IF(INDEX([1]equip.xml!$B:$B,MATCH(D4705&amp;"",[1]equip.xml!$A:$A,0))=0,0,N4705)</f>
        <v>0</v>
      </c>
      <c r="N4705" s="7">
        <f t="shared" si="5962"/>
        <v>100</v>
      </c>
    </row>
    <row r="4706" spans="1:14">
      <c r="A4706" s="7">
        <f t="shared" si="5911"/>
        <v>30012</v>
      </c>
      <c r="B4706" s="8">
        <f t="shared" ref="B4706:C4706" si="6015">B4618</f>
        <v>40000</v>
      </c>
      <c r="C4706" s="8" t="str">
        <f t="shared" si="6015"/>
        <v>装备</v>
      </c>
      <c r="D4706" s="8">
        <v>40352060</v>
      </c>
      <c r="E4706" s="8"/>
      <c r="F4706" s="8">
        <v>1</v>
      </c>
      <c r="G4706" s="7">
        <f>3*INDEX([1]equip.xml!$I:$I,MATCH(D4706&amp;"",[1]equip.xml!$A:$A,0))</f>
        <v>105000</v>
      </c>
      <c r="H4706" s="8" t="str">
        <f t="shared" ref="H4706:J4706" si="6016">H4618</f>
        <v>10_10,50_20,80_30</v>
      </c>
      <c r="I4706" s="8">
        <v>6</v>
      </c>
      <c r="J4706" s="8">
        <f t="shared" si="6016"/>
        <v>50</v>
      </c>
      <c r="K4706" s="7" t="s">
        <v>310</v>
      </c>
      <c r="L4706" s="8">
        <v>32</v>
      </c>
      <c r="M4706" s="7">
        <f>IF(INDEX([1]equip.xml!$B:$B,MATCH(D4706&amp;"",[1]equip.xml!$A:$A,0))=0,0,N4706)</f>
        <v>100</v>
      </c>
      <c r="N4706" s="7">
        <f t="shared" si="5962"/>
        <v>100</v>
      </c>
    </row>
    <row r="4707" spans="1:14">
      <c r="A4707" s="7">
        <f t="shared" si="5911"/>
        <v>30012</v>
      </c>
      <c r="B4707" s="8">
        <f t="shared" ref="B4707:C4707" si="6017">B4619</f>
        <v>40000</v>
      </c>
      <c r="C4707" s="8" t="str">
        <f t="shared" si="6017"/>
        <v>装备</v>
      </c>
      <c r="D4707" s="8">
        <v>40352061</v>
      </c>
      <c r="E4707" s="8"/>
      <c r="F4707" s="8">
        <v>1</v>
      </c>
      <c r="G4707" s="7">
        <f>3*INDEX([1]equip.xml!$I:$I,MATCH(D4707&amp;"",[1]equip.xml!$A:$A,0))</f>
        <v>114000</v>
      </c>
      <c r="H4707" s="8" t="str">
        <f t="shared" ref="H4707:J4707" si="6018">H4619</f>
        <v>10_10,50_20,80_30</v>
      </c>
      <c r="I4707" s="8">
        <v>6</v>
      </c>
      <c r="J4707" s="8">
        <f t="shared" si="6018"/>
        <v>50</v>
      </c>
      <c r="K4707" s="7" t="s">
        <v>310</v>
      </c>
      <c r="L4707" s="8">
        <v>32</v>
      </c>
      <c r="M4707" s="7">
        <f>IF(INDEX([1]equip.xml!$B:$B,MATCH(D4707&amp;"",[1]equip.xml!$A:$A,0))=0,0,N4707)</f>
        <v>100</v>
      </c>
      <c r="N4707" s="7">
        <f t="shared" si="5962"/>
        <v>100</v>
      </c>
    </row>
    <row r="4708" spans="1:14">
      <c r="A4708" s="7">
        <f t="shared" si="5911"/>
        <v>30012</v>
      </c>
      <c r="B4708" s="8">
        <f t="shared" ref="B4708:C4708" si="6019">B4620</f>
        <v>40000</v>
      </c>
      <c r="C4708" s="8" t="str">
        <f t="shared" si="6019"/>
        <v>装备</v>
      </c>
      <c r="D4708" s="8">
        <v>40353050</v>
      </c>
      <c r="E4708" s="8"/>
      <c r="F4708" s="8">
        <v>1</v>
      </c>
      <c r="G4708" s="7">
        <f>3*INDEX([1]equip.xml!$I:$I,MATCH(D4708&amp;"",[1]equip.xml!$A:$A,0))</f>
        <v>105000</v>
      </c>
      <c r="H4708" s="8" t="str">
        <f t="shared" ref="H4708:J4708" si="6020">H4620</f>
        <v>10_10,50_20,80_30</v>
      </c>
      <c r="I4708" s="8">
        <v>6</v>
      </c>
      <c r="J4708" s="8">
        <f t="shared" si="6020"/>
        <v>50</v>
      </c>
      <c r="K4708" s="7" t="s">
        <v>310</v>
      </c>
      <c r="L4708" s="8">
        <v>32</v>
      </c>
      <c r="M4708" s="7">
        <f>IF(INDEX([1]equip.xml!$B:$B,MATCH(D4708&amp;"",[1]equip.xml!$A:$A,0))=0,0,N4708)</f>
        <v>100</v>
      </c>
      <c r="N4708" s="7">
        <f t="shared" si="5962"/>
        <v>100</v>
      </c>
    </row>
    <row r="4709" spans="1:14">
      <c r="A4709" s="7">
        <f t="shared" si="5911"/>
        <v>30012</v>
      </c>
      <c r="B4709" s="8">
        <f t="shared" ref="B4709:C4709" si="6021">B4621</f>
        <v>40000</v>
      </c>
      <c r="C4709" s="8" t="str">
        <f t="shared" si="6021"/>
        <v>装备</v>
      </c>
      <c r="D4709" s="8">
        <v>40353051</v>
      </c>
      <c r="E4709" s="8"/>
      <c r="F4709" s="8">
        <v>1</v>
      </c>
      <c r="G4709" s="7">
        <f>3*INDEX([1]equip.xml!$I:$I,MATCH(D4709&amp;"",[1]equip.xml!$A:$A,0))</f>
        <v>114000</v>
      </c>
      <c r="H4709" s="8" t="str">
        <f t="shared" ref="H4709:J4709" si="6022">H4621</f>
        <v>10_10,50_20,80_30</v>
      </c>
      <c r="I4709" s="8">
        <v>6</v>
      </c>
      <c r="J4709" s="8">
        <f t="shared" si="6022"/>
        <v>50</v>
      </c>
      <c r="K4709" s="7" t="s">
        <v>310</v>
      </c>
      <c r="L4709" s="8">
        <v>32</v>
      </c>
      <c r="M4709" s="7">
        <f>IF(INDEX([1]equip.xml!$B:$B,MATCH(D4709&amp;"",[1]equip.xml!$A:$A,0))=0,0,N4709)</f>
        <v>0</v>
      </c>
      <c r="N4709" s="7">
        <f t="shared" si="5962"/>
        <v>100</v>
      </c>
    </row>
    <row r="4710" spans="1:14">
      <c r="A4710" s="7">
        <f t="shared" si="5911"/>
        <v>30012</v>
      </c>
      <c r="B4710" s="8">
        <f t="shared" ref="B4710:C4710" si="6023">B4622</f>
        <v>40000</v>
      </c>
      <c r="C4710" s="8" t="str">
        <f t="shared" si="6023"/>
        <v>装备</v>
      </c>
      <c r="D4710" s="8">
        <v>40353060</v>
      </c>
      <c r="E4710" s="8"/>
      <c r="F4710" s="8">
        <v>1</v>
      </c>
      <c r="G4710" s="7">
        <f>3*INDEX([1]equip.xml!$I:$I,MATCH(D4710&amp;"",[1]equip.xml!$A:$A,0))</f>
        <v>105000</v>
      </c>
      <c r="H4710" s="8" t="str">
        <f t="shared" ref="H4710:J4710" si="6024">H4622</f>
        <v>10_10,50_20,80_30</v>
      </c>
      <c r="I4710" s="8">
        <v>6</v>
      </c>
      <c r="J4710" s="8">
        <f t="shared" si="6024"/>
        <v>50</v>
      </c>
      <c r="K4710" s="7" t="s">
        <v>310</v>
      </c>
      <c r="L4710" s="8">
        <v>32</v>
      </c>
      <c r="M4710" s="7">
        <f>IF(INDEX([1]equip.xml!$B:$B,MATCH(D4710&amp;"",[1]equip.xml!$A:$A,0))=0,0,N4710)</f>
        <v>100</v>
      </c>
      <c r="N4710" s="7">
        <f t="shared" si="5962"/>
        <v>100</v>
      </c>
    </row>
    <row r="4711" spans="1:14">
      <c r="A4711" s="7">
        <f t="shared" si="5911"/>
        <v>30012</v>
      </c>
      <c r="B4711" s="8">
        <f t="shared" ref="B4711:C4711" si="6025">B4623</f>
        <v>40000</v>
      </c>
      <c r="C4711" s="8" t="str">
        <f t="shared" si="6025"/>
        <v>装备</v>
      </c>
      <c r="D4711" s="8">
        <v>40353061</v>
      </c>
      <c r="E4711" s="8"/>
      <c r="F4711" s="8">
        <v>1</v>
      </c>
      <c r="G4711" s="7">
        <f>3*INDEX([1]equip.xml!$I:$I,MATCH(D4711&amp;"",[1]equip.xml!$A:$A,0))</f>
        <v>114000</v>
      </c>
      <c r="H4711" s="8" t="str">
        <f t="shared" ref="H4711:J4711" si="6026">H4623</f>
        <v>10_10,50_20,80_30</v>
      </c>
      <c r="I4711" s="8">
        <v>6</v>
      </c>
      <c r="J4711" s="8">
        <f t="shared" si="6026"/>
        <v>50</v>
      </c>
      <c r="K4711" s="7" t="s">
        <v>310</v>
      </c>
      <c r="L4711" s="8">
        <v>32</v>
      </c>
      <c r="M4711" s="7">
        <f>IF(INDEX([1]equip.xml!$B:$B,MATCH(D4711&amp;"",[1]equip.xml!$A:$A,0))=0,0,N4711)</f>
        <v>100</v>
      </c>
      <c r="N4711" s="7">
        <f t="shared" si="5962"/>
        <v>100</v>
      </c>
    </row>
    <row r="4712" spans="1:14">
      <c r="A4712" s="7">
        <f t="shared" si="5911"/>
        <v>30012</v>
      </c>
      <c r="B4712" s="8">
        <f t="shared" ref="B4712:C4712" si="6027">B4624</f>
        <v>40000</v>
      </c>
      <c r="C4712" s="8" t="str">
        <f t="shared" si="6027"/>
        <v>装备</v>
      </c>
      <c r="D4712" s="8">
        <v>40350040</v>
      </c>
      <c r="E4712" s="8"/>
      <c r="F4712" s="8">
        <v>1</v>
      </c>
      <c r="G4712" s="7">
        <f>3*INDEX([1]equip.xml!$I:$I,MATCH(D4712&amp;"",[1]equip.xml!$A:$A,0))</f>
        <v>105000</v>
      </c>
      <c r="H4712" s="8" t="str">
        <f t="shared" ref="H4712:J4712" si="6028">H4624</f>
        <v>10_10,50_20,80_30</v>
      </c>
      <c r="I4712" s="8">
        <v>6</v>
      </c>
      <c r="J4712" s="8">
        <f t="shared" si="6028"/>
        <v>50</v>
      </c>
      <c r="K4712" s="7" t="s">
        <v>310</v>
      </c>
      <c r="L4712" s="8">
        <v>32</v>
      </c>
      <c r="M4712" s="7">
        <f>IF(INDEX([1]equip.xml!$B:$B,MATCH(D4712&amp;"",[1]equip.xml!$A:$A,0))=0,0,N4712)</f>
        <v>100</v>
      </c>
      <c r="N4712" s="7">
        <f t="shared" si="5962"/>
        <v>100</v>
      </c>
    </row>
    <row r="4713" spans="1:14">
      <c r="A4713" s="7">
        <f t="shared" si="5911"/>
        <v>30012</v>
      </c>
      <c r="B4713" s="8">
        <f t="shared" ref="B4713:C4713" si="6029">B4625</f>
        <v>40000</v>
      </c>
      <c r="C4713" s="8" t="str">
        <f t="shared" si="6029"/>
        <v>装备</v>
      </c>
      <c r="D4713" s="8">
        <v>40350041</v>
      </c>
      <c r="E4713" s="8"/>
      <c r="F4713" s="8">
        <v>1</v>
      </c>
      <c r="G4713" s="7">
        <f>3*INDEX([1]equip.xml!$I:$I,MATCH(D4713&amp;"",[1]equip.xml!$A:$A,0))</f>
        <v>114000</v>
      </c>
      <c r="H4713" s="8" t="str">
        <f t="shared" ref="H4713:J4713" si="6030">H4625</f>
        <v>10_10,50_20,80_30</v>
      </c>
      <c r="I4713" s="8">
        <v>6</v>
      </c>
      <c r="J4713" s="8">
        <f t="shared" si="6030"/>
        <v>50</v>
      </c>
      <c r="K4713" s="7" t="s">
        <v>310</v>
      </c>
      <c r="L4713" s="8">
        <v>32</v>
      </c>
      <c r="M4713" s="7">
        <f>IF(INDEX([1]equip.xml!$B:$B,MATCH(D4713&amp;"",[1]equip.xml!$A:$A,0))=0,0,N4713)</f>
        <v>100</v>
      </c>
      <c r="N4713" s="7">
        <f t="shared" si="5962"/>
        <v>100</v>
      </c>
    </row>
    <row r="4714" spans="1:14">
      <c r="A4714" s="7">
        <f t="shared" si="5911"/>
        <v>30012</v>
      </c>
      <c r="B4714" s="8">
        <f t="shared" ref="B4714:C4714" si="6031">B4626</f>
        <v>40000</v>
      </c>
      <c r="C4714" s="8" t="str">
        <f t="shared" si="6031"/>
        <v>装备</v>
      </c>
      <c r="D4714" s="8">
        <v>40350070</v>
      </c>
      <c r="E4714" s="8"/>
      <c r="F4714" s="8">
        <v>1</v>
      </c>
      <c r="G4714" s="7">
        <f>3*INDEX([1]equip.xml!$I:$I,MATCH(D4714&amp;"",[1]equip.xml!$A:$A,0))</f>
        <v>105000</v>
      </c>
      <c r="H4714" s="8" t="str">
        <f t="shared" ref="H4714:J4714" si="6032">H4626</f>
        <v>10_10,50_20,80_30</v>
      </c>
      <c r="I4714" s="8">
        <v>6</v>
      </c>
      <c r="J4714" s="8">
        <f t="shared" si="6032"/>
        <v>50</v>
      </c>
      <c r="K4714" s="7" t="s">
        <v>310</v>
      </c>
      <c r="L4714" s="8">
        <v>32</v>
      </c>
      <c r="M4714" s="7">
        <f>IF(INDEX([1]equip.xml!$B:$B,MATCH(D4714&amp;"",[1]equip.xml!$A:$A,0))=0,0,N4714)</f>
        <v>100</v>
      </c>
      <c r="N4714" s="7">
        <f t="shared" si="5962"/>
        <v>100</v>
      </c>
    </row>
    <row r="4715" spans="1:14">
      <c r="A4715" s="7">
        <f t="shared" si="5911"/>
        <v>30012</v>
      </c>
      <c r="B4715" s="8">
        <f t="shared" ref="B4715:C4715" si="6033">B4627</f>
        <v>40000</v>
      </c>
      <c r="C4715" s="8" t="str">
        <f t="shared" si="6033"/>
        <v>装备</v>
      </c>
      <c r="D4715" s="8">
        <v>40350071</v>
      </c>
      <c r="E4715" s="8"/>
      <c r="F4715" s="8">
        <v>1</v>
      </c>
      <c r="G4715" s="7">
        <f>3*INDEX([1]equip.xml!$I:$I,MATCH(D4715&amp;"",[1]equip.xml!$A:$A,0))</f>
        <v>114000</v>
      </c>
      <c r="H4715" s="8" t="str">
        <f t="shared" ref="H4715:J4715" si="6034">H4627</f>
        <v>10_10,50_20,80_30</v>
      </c>
      <c r="I4715" s="8">
        <v>6</v>
      </c>
      <c r="J4715" s="8">
        <f t="shared" si="6034"/>
        <v>50</v>
      </c>
      <c r="K4715" s="7" t="s">
        <v>310</v>
      </c>
      <c r="L4715" s="8">
        <v>32</v>
      </c>
      <c r="M4715" s="7">
        <f>IF(INDEX([1]equip.xml!$B:$B,MATCH(D4715&amp;"",[1]equip.xml!$A:$A,0))=0,0,N4715)</f>
        <v>0</v>
      </c>
      <c r="N4715" s="7">
        <f t="shared" si="5962"/>
        <v>100</v>
      </c>
    </row>
    <row r="4716" spans="1:14">
      <c r="A4716" s="7">
        <f t="shared" si="5911"/>
        <v>30012</v>
      </c>
      <c r="B4716" s="8">
        <f t="shared" ref="B4716:C4716" si="6035">B4628</f>
        <v>40000</v>
      </c>
      <c r="C4716" s="8" t="str">
        <f t="shared" si="6035"/>
        <v>装备</v>
      </c>
      <c r="D4716" s="8">
        <v>40400010</v>
      </c>
      <c r="E4716" s="8"/>
      <c r="F4716" s="8">
        <v>1</v>
      </c>
      <c r="G4716" s="7">
        <f>3*INDEX([1]equip.xml!$I:$I,MATCH(D4716&amp;"",[1]equip.xml!$A:$A,0))</f>
        <v>120000</v>
      </c>
      <c r="H4716" s="8" t="str">
        <f t="shared" ref="H4716:J4716" si="6036">H4628</f>
        <v>10_10,50_20,80_30</v>
      </c>
      <c r="I4716" s="8">
        <v>6</v>
      </c>
      <c r="J4716" s="8">
        <f t="shared" si="6036"/>
        <v>50</v>
      </c>
      <c r="K4716" s="7" t="s">
        <v>310</v>
      </c>
      <c r="L4716" s="8">
        <v>32</v>
      </c>
      <c r="M4716" s="7">
        <f>IF(INDEX([1]equip.xml!$B:$B,MATCH(D4716&amp;"",[1]equip.xml!$A:$A,0))=0,0,N4716)</f>
        <v>70</v>
      </c>
      <c r="N4716" s="7">
        <f t="shared" si="5962"/>
        <v>70</v>
      </c>
    </row>
    <row r="4717" spans="1:14">
      <c r="A4717" s="7">
        <f t="shared" si="5911"/>
        <v>30012</v>
      </c>
      <c r="B4717" s="8">
        <f t="shared" ref="B4717:C4717" si="6037">B4629</f>
        <v>40000</v>
      </c>
      <c r="C4717" s="8" t="str">
        <f t="shared" si="6037"/>
        <v>装备</v>
      </c>
      <c r="D4717" s="8">
        <v>40400020</v>
      </c>
      <c r="E4717" s="8"/>
      <c r="F4717" s="8">
        <v>1</v>
      </c>
      <c r="G4717" s="7">
        <f>3*INDEX([1]equip.xml!$I:$I,MATCH(D4717&amp;"",[1]equip.xml!$A:$A,0))</f>
        <v>120000</v>
      </c>
      <c r="H4717" s="8" t="str">
        <f t="shared" ref="H4717:J4717" si="6038">H4629</f>
        <v>10_10,50_20,80_30</v>
      </c>
      <c r="I4717" s="8">
        <v>6</v>
      </c>
      <c r="J4717" s="8">
        <f t="shared" si="6038"/>
        <v>50</v>
      </c>
      <c r="K4717" s="7" t="s">
        <v>310</v>
      </c>
      <c r="L4717" s="8">
        <v>32</v>
      </c>
      <c r="M4717" s="7">
        <f>IF(INDEX([1]equip.xml!$B:$B,MATCH(D4717&amp;"",[1]equip.xml!$A:$A,0))=0,0,N4717)</f>
        <v>70</v>
      </c>
      <c r="N4717" s="7">
        <f t="shared" si="5962"/>
        <v>70</v>
      </c>
    </row>
    <row r="4718" spans="1:14">
      <c r="A4718" s="7">
        <f t="shared" si="5911"/>
        <v>30012</v>
      </c>
      <c r="B4718" s="8">
        <f t="shared" ref="B4718:C4718" si="6039">B4630</f>
        <v>40000</v>
      </c>
      <c r="C4718" s="8" t="str">
        <f t="shared" si="6039"/>
        <v>装备</v>
      </c>
      <c r="D4718" s="8">
        <v>40400030</v>
      </c>
      <c r="E4718" s="8"/>
      <c r="F4718" s="8">
        <v>1</v>
      </c>
      <c r="G4718" s="7">
        <f>3*INDEX([1]equip.xml!$I:$I,MATCH(D4718&amp;"",[1]equip.xml!$A:$A,0))</f>
        <v>120000</v>
      </c>
      <c r="H4718" s="8" t="str">
        <f t="shared" ref="H4718:J4718" si="6040">H4630</f>
        <v>10_10,50_20,80_30</v>
      </c>
      <c r="I4718" s="8">
        <v>6</v>
      </c>
      <c r="J4718" s="8">
        <f t="shared" si="6040"/>
        <v>50</v>
      </c>
      <c r="K4718" s="7" t="s">
        <v>310</v>
      </c>
      <c r="L4718" s="8">
        <v>32</v>
      </c>
      <c r="M4718" s="7">
        <f>IF(INDEX([1]equip.xml!$B:$B,MATCH(D4718&amp;"",[1]equip.xml!$A:$A,0))=0,0,N4718)</f>
        <v>70</v>
      </c>
      <c r="N4718" s="7">
        <f t="shared" si="5962"/>
        <v>70</v>
      </c>
    </row>
    <row r="4719" spans="1:14">
      <c r="A4719" s="7">
        <f t="shared" ref="A4719:A4782" si="6041">10000+A3487</f>
        <v>30012</v>
      </c>
      <c r="B4719" s="8">
        <f t="shared" ref="B4719:C4719" si="6042">B4631</f>
        <v>40000</v>
      </c>
      <c r="C4719" s="8" t="str">
        <f t="shared" si="6042"/>
        <v>装备</v>
      </c>
      <c r="D4719" s="8">
        <v>40400080</v>
      </c>
      <c r="E4719" s="8"/>
      <c r="F4719" s="8">
        <v>1</v>
      </c>
      <c r="G4719" s="7">
        <f>3*INDEX([1]equip.xml!$I:$I,MATCH(D4719&amp;"",[1]equip.xml!$A:$A,0))</f>
        <v>120000</v>
      </c>
      <c r="H4719" s="8" t="str">
        <f t="shared" ref="H4719:J4719" si="6043">H4631</f>
        <v>10_10,50_20,80_30</v>
      </c>
      <c r="I4719" s="8">
        <v>6</v>
      </c>
      <c r="J4719" s="8">
        <f t="shared" si="6043"/>
        <v>50</v>
      </c>
      <c r="K4719" s="7" t="s">
        <v>310</v>
      </c>
      <c r="L4719" s="8">
        <v>32</v>
      </c>
      <c r="M4719" s="7">
        <f>IF(INDEX([1]equip.xml!$B:$B,MATCH(D4719&amp;"",[1]equip.xml!$A:$A,0))=0,0,N4719)</f>
        <v>70</v>
      </c>
      <c r="N4719" s="7">
        <f t="shared" si="5962"/>
        <v>70</v>
      </c>
    </row>
    <row r="4720" spans="1:14">
      <c r="A4720" s="7">
        <f t="shared" si="6041"/>
        <v>30012</v>
      </c>
      <c r="B4720" s="8">
        <f t="shared" ref="B4720:C4720" si="6044">B4632</f>
        <v>40000</v>
      </c>
      <c r="C4720" s="8" t="str">
        <f t="shared" si="6044"/>
        <v>装备</v>
      </c>
      <c r="D4720" s="8">
        <v>40400090</v>
      </c>
      <c r="E4720" s="8"/>
      <c r="F4720" s="8">
        <v>1</v>
      </c>
      <c r="G4720" s="7">
        <f>3*INDEX([1]equip.xml!$I:$I,MATCH(D4720&amp;"",[1]equip.xml!$A:$A,0))</f>
        <v>120000</v>
      </c>
      <c r="H4720" s="8" t="str">
        <f t="shared" ref="H4720:J4720" si="6045">H4632</f>
        <v>10_10,50_20,80_30</v>
      </c>
      <c r="I4720" s="8">
        <v>6</v>
      </c>
      <c r="J4720" s="8">
        <f t="shared" si="6045"/>
        <v>50</v>
      </c>
      <c r="K4720" s="7" t="s">
        <v>310</v>
      </c>
      <c r="L4720" s="8">
        <v>32</v>
      </c>
      <c r="M4720" s="7">
        <f>IF(INDEX([1]equip.xml!$B:$B,MATCH(D4720&amp;"",[1]equip.xml!$A:$A,0))=0,0,N4720)</f>
        <v>70</v>
      </c>
      <c r="N4720" s="7">
        <f t="shared" si="5962"/>
        <v>70</v>
      </c>
    </row>
    <row r="4721" spans="1:14">
      <c r="A4721" s="7">
        <f t="shared" si="6041"/>
        <v>30012</v>
      </c>
      <c r="B4721" s="8">
        <f t="shared" ref="B4721:C4721" si="6046">B4633</f>
        <v>40000</v>
      </c>
      <c r="C4721" s="8" t="str">
        <f t="shared" si="6046"/>
        <v>装备</v>
      </c>
      <c r="D4721" s="8">
        <v>40400100</v>
      </c>
      <c r="E4721" s="8"/>
      <c r="F4721" s="8">
        <v>1</v>
      </c>
      <c r="G4721" s="7">
        <f>3*INDEX([1]equip.xml!$I:$I,MATCH(D4721&amp;"",[1]equip.xml!$A:$A,0))</f>
        <v>120000</v>
      </c>
      <c r="H4721" s="8" t="str">
        <f t="shared" ref="H4721:J4721" si="6047">H4633</f>
        <v>10_10,50_20,80_30</v>
      </c>
      <c r="I4721" s="8">
        <v>6</v>
      </c>
      <c r="J4721" s="8">
        <f t="shared" si="6047"/>
        <v>50</v>
      </c>
      <c r="K4721" s="7" t="s">
        <v>310</v>
      </c>
      <c r="L4721" s="8">
        <v>32</v>
      </c>
      <c r="M4721" s="7">
        <f>IF(INDEX([1]equip.xml!$B:$B,MATCH(D4721&amp;"",[1]equip.xml!$A:$A,0))=0,0,N4721)</f>
        <v>70</v>
      </c>
      <c r="N4721" s="7">
        <f t="shared" si="5962"/>
        <v>70</v>
      </c>
    </row>
    <row r="4722" spans="1:14">
      <c r="A4722" s="7">
        <f t="shared" si="6041"/>
        <v>30012</v>
      </c>
      <c r="B4722" s="8">
        <f t="shared" ref="B4722:C4722" si="6048">B4634</f>
        <v>40000</v>
      </c>
      <c r="C4722" s="8" t="str">
        <f t="shared" si="6048"/>
        <v>装备</v>
      </c>
      <c r="D4722" s="8">
        <v>40401050</v>
      </c>
      <c r="E4722" s="8"/>
      <c r="F4722" s="8">
        <v>1</v>
      </c>
      <c r="G4722" s="7">
        <f>3*INDEX([1]equip.xml!$I:$I,MATCH(D4722&amp;"",[1]equip.xml!$A:$A,0))</f>
        <v>120000</v>
      </c>
      <c r="H4722" s="8" t="str">
        <f t="shared" ref="H4722:J4722" si="6049">H4634</f>
        <v>10_10,50_20,80_30</v>
      </c>
      <c r="I4722" s="8">
        <v>6</v>
      </c>
      <c r="J4722" s="8">
        <f t="shared" si="6049"/>
        <v>50</v>
      </c>
      <c r="K4722" s="7" t="s">
        <v>310</v>
      </c>
      <c r="L4722" s="8">
        <v>32</v>
      </c>
      <c r="M4722" s="7">
        <f>IF(INDEX([1]equip.xml!$B:$B,MATCH(D4722&amp;"",[1]equip.xml!$A:$A,0))=0,0,N4722)</f>
        <v>70</v>
      </c>
      <c r="N4722" s="7">
        <f t="shared" si="5962"/>
        <v>70</v>
      </c>
    </row>
    <row r="4723" spans="1:14">
      <c r="A4723" s="7">
        <f t="shared" si="6041"/>
        <v>30012</v>
      </c>
      <c r="B4723" s="8">
        <f t="shared" ref="B4723:C4723" si="6050">B4635</f>
        <v>40000</v>
      </c>
      <c r="C4723" s="8" t="str">
        <f t="shared" si="6050"/>
        <v>装备</v>
      </c>
      <c r="D4723" s="8">
        <v>40401051</v>
      </c>
      <c r="E4723" s="8"/>
      <c r="F4723" s="8">
        <v>1</v>
      </c>
      <c r="G4723" s="7">
        <f>3*INDEX([1]equip.xml!$I:$I,MATCH(D4723&amp;"",[1]equip.xml!$A:$A,0))</f>
        <v>129000</v>
      </c>
      <c r="H4723" s="8" t="str">
        <f t="shared" ref="H4723:J4723" si="6051">H4635</f>
        <v>10_10,50_20,80_30</v>
      </c>
      <c r="I4723" s="8">
        <v>6</v>
      </c>
      <c r="J4723" s="8">
        <f t="shared" si="6051"/>
        <v>50</v>
      </c>
      <c r="K4723" s="7" t="s">
        <v>310</v>
      </c>
      <c r="L4723" s="8">
        <v>32</v>
      </c>
      <c r="M4723" s="7">
        <f>IF(INDEX([1]equip.xml!$B:$B,MATCH(D4723&amp;"",[1]equip.xml!$A:$A,0))=0,0,N4723)</f>
        <v>70</v>
      </c>
      <c r="N4723" s="7">
        <f t="shared" si="5962"/>
        <v>70</v>
      </c>
    </row>
    <row r="4724" spans="1:14">
      <c r="A4724" s="7">
        <f t="shared" si="6041"/>
        <v>30012</v>
      </c>
      <c r="B4724" s="8">
        <f t="shared" ref="B4724:C4724" si="6052">B4636</f>
        <v>40000</v>
      </c>
      <c r="C4724" s="8" t="str">
        <f t="shared" si="6052"/>
        <v>装备</v>
      </c>
      <c r="D4724" s="8">
        <v>40401060</v>
      </c>
      <c r="E4724" s="8"/>
      <c r="F4724" s="8">
        <v>1</v>
      </c>
      <c r="G4724" s="7">
        <f>3*INDEX([1]equip.xml!$I:$I,MATCH(D4724&amp;"",[1]equip.xml!$A:$A,0))</f>
        <v>120000</v>
      </c>
      <c r="H4724" s="8" t="str">
        <f t="shared" ref="H4724:J4724" si="6053">H4636</f>
        <v>10_10,50_20,80_30</v>
      </c>
      <c r="I4724" s="8">
        <v>6</v>
      </c>
      <c r="J4724" s="8">
        <f t="shared" si="6053"/>
        <v>50</v>
      </c>
      <c r="K4724" s="7" t="s">
        <v>310</v>
      </c>
      <c r="L4724" s="8">
        <v>32</v>
      </c>
      <c r="M4724" s="7">
        <f>IF(INDEX([1]equip.xml!$B:$B,MATCH(D4724&amp;"",[1]equip.xml!$A:$A,0))=0,0,N4724)</f>
        <v>70</v>
      </c>
      <c r="N4724" s="7">
        <f t="shared" si="5962"/>
        <v>70</v>
      </c>
    </row>
    <row r="4725" spans="1:14">
      <c r="A4725" s="7">
        <f t="shared" si="6041"/>
        <v>30012</v>
      </c>
      <c r="B4725" s="8">
        <f t="shared" ref="B4725:C4725" si="6054">B4637</f>
        <v>40000</v>
      </c>
      <c r="C4725" s="8" t="str">
        <f t="shared" si="6054"/>
        <v>装备</v>
      </c>
      <c r="D4725" s="8">
        <v>40401061</v>
      </c>
      <c r="E4725" s="8"/>
      <c r="F4725" s="8">
        <v>1</v>
      </c>
      <c r="G4725" s="7">
        <f>3*INDEX([1]equip.xml!$I:$I,MATCH(D4725&amp;"",[1]equip.xml!$A:$A,0))</f>
        <v>129000</v>
      </c>
      <c r="H4725" s="8" t="str">
        <f t="shared" ref="H4725:J4725" si="6055">H4637</f>
        <v>10_10,50_20,80_30</v>
      </c>
      <c r="I4725" s="8">
        <v>6</v>
      </c>
      <c r="J4725" s="8">
        <f t="shared" si="6055"/>
        <v>50</v>
      </c>
      <c r="K4725" s="7" t="s">
        <v>310</v>
      </c>
      <c r="L4725" s="8">
        <v>32</v>
      </c>
      <c r="M4725" s="7">
        <f>IF(INDEX([1]equip.xml!$B:$B,MATCH(D4725&amp;"",[1]equip.xml!$A:$A,0))=0,0,N4725)</f>
        <v>0</v>
      </c>
      <c r="N4725" s="7">
        <f t="shared" si="5962"/>
        <v>70</v>
      </c>
    </row>
    <row r="4726" spans="1:14">
      <c r="A4726" s="7">
        <f t="shared" si="6041"/>
        <v>30012</v>
      </c>
      <c r="B4726" s="8">
        <f t="shared" ref="B4726:C4726" si="6056">B4638</f>
        <v>40000</v>
      </c>
      <c r="C4726" s="8" t="str">
        <f t="shared" si="6056"/>
        <v>装备</v>
      </c>
      <c r="D4726" s="8">
        <v>40402050</v>
      </c>
      <c r="E4726" s="8"/>
      <c r="F4726" s="8">
        <v>1</v>
      </c>
      <c r="G4726" s="7">
        <f>3*INDEX([1]equip.xml!$I:$I,MATCH(D4726&amp;"",[1]equip.xml!$A:$A,0))</f>
        <v>120000</v>
      </c>
      <c r="H4726" s="8" t="str">
        <f t="shared" ref="H4726:J4726" si="6057">H4638</f>
        <v>10_10,50_20,80_30</v>
      </c>
      <c r="I4726" s="8">
        <v>6</v>
      </c>
      <c r="J4726" s="8">
        <f t="shared" si="6057"/>
        <v>50</v>
      </c>
      <c r="K4726" s="7" t="s">
        <v>310</v>
      </c>
      <c r="L4726" s="8">
        <v>32</v>
      </c>
      <c r="M4726" s="7">
        <f>IF(INDEX([1]equip.xml!$B:$B,MATCH(D4726&amp;"",[1]equip.xml!$A:$A,0))=0,0,N4726)</f>
        <v>70</v>
      </c>
      <c r="N4726" s="7">
        <f t="shared" si="5962"/>
        <v>70</v>
      </c>
    </row>
    <row r="4727" spans="1:14">
      <c r="A4727" s="7">
        <f t="shared" si="6041"/>
        <v>30012</v>
      </c>
      <c r="B4727" s="8">
        <f t="shared" ref="B4727:C4727" si="6058">B4639</f>
        <v>40000</v>
      </c>
      <c r="C4727" s="8" t="str">
        <f t="shared" si="6058"/>
        <v>装备</v>
      </c>
      <c r="D4727" s="8">
        <v>40402051</v>
      </c>
      <c r="E4727" s="8"/>
      <c r="F4727" s="8">
        <v>1</v>
      </c>
      <c r="G4727" s="7">
        <f>3*INDEX([1]equip.xml!$I:$I,MATCH(D4727&amp;"",[1]equip.xml!$A:$A,0))</f>
        <v>129000</v>
      </c>
      <c r="H4727" s="8" t="str">
        <f t="shared" ref="H4727:J4727" si="6059">H4639</f>
        <v>10_10,50_20,80_30</v>
      </c>
      <c r="I4727" s="8">
        <v>6</v>
      </c>
      <c r="J4727" s="8">
        <f t="shared" si="6059"/>
        <v>50</v>
      </c>
      <c r="K4727" s="7" t="s">
        <v>310</v>
      </c>
      <c r="L4727" s="8">
        <v>32</v>
      </c>
      <c r="M4727" s="7">
        <f>IF(INDEX([1]equip.xml!$B:$B,MATCH(D4727&amp;"",[1]equip.xml!$A:$A,0))=0,0,N4727)</f>
        <v>70</v>
      </c>
      <c r="N4727" s="7">
        <f t="shared" si="5962"/>
        <v>70</v>
      </c>
    </row>
    <row r="4728" spans="1:14">
      <c r="A4728" s="7">
        <f t="shared" si="6041"/>
        <v>30012</v>
      </c>
      <c r="B4728" s="8">
        <f t="shared" ref="B4728:C4728" si="6060">B4640</f>
        <v>40000</v>
      </c>
      <c r="C4728" s="8" t="str">
        <f t="shared" si="6060"/>
        <v>装备</v>
      </c>
      <c r="D4728" s="8">
        <v>40402060</v>
      </c>
      <c r="E4728" s="8"/>
      <c r="F4728" s="8">
        <v>1</v>
      </c>
      <c r="G4728" s="7">
        <f>3*INDEX([1]equip.xml!$I:$I,MATCH(D4728&amp;"",[1]equip.xml!$A:$A,0))</f>
        <v>120000</v>
      </c>
      <c r="H4728" s="8" t="str">
        <f t="shared" ref="H4728:J4728" si="6061">H4640</f>
        <v>10_10,50_20,80_30</v>
      </c>
      <c r="I4728" s="8">
        <v>6</v>
      </c>
      <c r="J4728" s="8">
        <f t="shared" si="6061"/>
        <v>50</v>
      </c>
      <c r="K4728" s="7" t="s">
        <v>310</v>
      </c>
      <c r="L4728" s="8">
        <v>32</v>
      </c>
      <c r="M4728" s="7">
        <f>IF(INDEX([1]equip.xml!$B:$B,MATCH(D4728&amp;"",[1]equip.xml!$A:$A,0))=0,0,N4728)</f>
        <v>70</v>
      </c>
      <c r="N4728" s="7">
        <f t="shared" si="5962"/>
        <v>70</v>
      </c>
    </row>
    <row r="4729" spans="1:14">
      <c r="A4729" s="7">
        <f t="shared" si="6041"/>
        <v>30012</v>
      </c>
      <c r="B4729" s="8">
        <f t="shared" ref="B4729:C4729" si="6062">B4641</f>
        <v>40000</v>
      </c>
      <c r="C4729" s="8" t="str">
        <f t="shared" si="6062"/>
        <v>装备</v>
      </c>
      <c r="D4729" s="8">
        <v>40402061</v>
      </c>
      <c r="E4729" s="8"/>
      <c r="F4729" s="8">
        <v>1</v>
      </c>
      <c r="G4729" s="7">
        <f>3*INDEX([1]equip.xml!$I:$I,MATCH(D4729&amp;"",[1]equip.xml!$A:$A,0))</f>
        <v>129000</v>
      </c>
      <c r="H4729" s="8" t="str">
        <f t="shared" ref="H4729:J4729" si="6063">H4641</f>
        <v>10_10,50_20,80_30</v>
      </c>
      <c r="I4729" s="8">
        <v>6</v>
      </c>
      <c r="J4729" s="8">
        <f t="shared" si="6063"/>
        <v>50</v>
      </c>
      <c r="K4729" s="7" t="s">
        <v>310</v>
      </c>
      <c r="L4729" s="8">
        <v>32</v>
      </c>
      <c r="M4729" s="7">
        <f>IF(INDEX([1]equip.xml!$B:$B,MATCH(D4729&amp;"",[1]equip.xml!$A:$A,0))=0,0,N4729)</f>
        <v>0</v>
      </c>
      <c r="N4729" s="7">
        <f t="shared" si="5962"/>
        <v>70</v>
      </c>
    </row>
    <row r="4730" spans="1:14">
      <c r="A4730" s="7">
        <f t="shared" si="6041"/>
        <v>30012</v>
      </c>
      <c r="B4730" s="8">
        <f t="shared" ref="B4730:C4730" si="6064">B4642</f>
        <v>40000</v>
      </c>
      <c r="C4730" s="8" t="str">
        <f t="shared" si="6064"/>
        <v>装备</v>
      </c>
      <c r="D4730" s="8">
        <v>40403050</v>
      </c>
      <c r="E4730" s="8"/>
      <c r="F4730" s="8">
        <v>1</v>
      </c>
      <c r="G4730" s="7">
        <f>3*INDEX([1]equip.xml!$I:$I,MATCH(D4730&amp;"",[1]equip.xml!$A:$A,0))</f>
        <v>120000</v>
      </c>
      <c r="H4730" s="8" t="str">
        <f t="shared" ref="H4730:J4730" si="6065">H4642</f>
        <v>10_10,50_20,80_30</v>
      </c>
      <c r="I4730" s="8">
        <v>6</v>
      </c>
      <c r="J4730" s="8">
        <f t="shared" si="6065"/>
        <v>50</v>
      </c>
      <c r="K4730" s="7" t="s">
        <v>310</v>
      </c>
      <c r="L4730" s="8">
        <v>32</v>
      </c>
      <c r="M4730" s="7">
        <f>IF(INDEX([1]equip.xml!$B:$B,MATCH(D4730&amp;"",[1]equip.xml!$A:$A,0))=0,0,N4730)</f>
        <v>70</v>
      </c>
      <c r="N4730" s="7">
        <f t="shared" si="5962"/>
        <v>70</v>
      </c>
    </row>
    <row r="4731" spans="1:14">
      <c r="A4731" s="7">
        <f t="shared" si="6041"/>
        <v>30012</v>
      </c>
      <c r="B4731" s="8">
        <f t="shared" ref="B4731:C4731" si="6066">B4643</f>
        <v>40000</v>
      </c>
      <c r="C4731" s="8" t="str">
        <f t="shared" si="6066"/>
        <v>装备</v>
      </c>
      <c r="D4731" s="8">
        <v>40403051</v>
      </c>
      <c r="E4731" s="8"/>
      <c r="F4731" s="8">
        <v>1</v>
      </c>
      <c r="G4731" s="7">
        <f>3*INDEX([1]equip.xml!$I:$I,MATCH(D4731&amp;"",[1]equip.xml!$A:$A,0))</f>
        <v>129000</v>
      </c>
      <c r="H4731" s="8" t="str">
        <f t="shared" ref="H4731:J4731" si="6067">H4643</f>
        <v>10_10,50_20,80_30</v>
      </c>
      <c r="I4731" s="8">
        <v>6</v>
      </c>
      <c r="J4731" s="8">
        <f t="shared" si="6067"/>
        <v>50</v>
      </c>
      <c r="K4731" s="7" t="s">
        <v>310</v>
      </c>
      <c r="L4731" s="8">
        <v>32</v>
      </c>
      <c r="M4731" s="7">
        <f>IF(INDEX([1]equip.xml!$B:$B,MATCH(D4731&amp;"",[1]equip.xml!$A:$A,0))=0,0,N4731)</f>
        <v>70</v>
      </c>
      <c r="N4731" s="7">
        <f t="shared" si="5962"/>
        <v>70</v>
      </c>
    </row>
    <row r="4732" spans="1:14">
      <c r="A4732" s="7">
        <f t="shared" si="6041"/>
        <v>30012</v>
      </c>
      <c r="B4732" s="8">
        <f t="shared" ref="B4732:C4732" si="6068">B4644</f>
        <v>40000</v>
      </c>
      <c r="C4732" s="8" t="str">
        <f t="shared" si="6068"/>
        <v>装备</v>
      </c>
      <c r="D4732" s="8">
        <v>40403060</v>
      </c>
      <c r="E4732" s="8"/>
      <c r="F4732" s="8">
        <v>1</v>
      </c>
      <c r="G4732" s="7">
        <f>3*INDEX([1]equip.xml!$I:$I,MATCH(D4732&amp;"",[1]equip.xml!$A:$A,0))</f>
        <v>120000</v>
      </c>
      <c r="H4732" s="8" t="str">
        <f t="shared" ref="H4732:J4732" si="6069">H4644</f>
        <v>10_10,50_20,80_30</v>
      </c>
      <c r="I4732" s="8">
        <v>6</v>
      </c>
      <c r="J4732" s="8">
        <f t="shared" si="6069"/>
        <v>50</v>
      </c>
      <c r="K4732" s="7" t="s">
        <v>310</v>
      </c>
      <c r="L4732" s="8">
        <v>32</v>
      </c>
      <c r="M4732" s="7">
        <f>IF(INDEX([1]equip.xml!$B:$B,MATCH(D4732&amp;"",[1]equip.xml!$A:$A,0))=0,0,N4732)</f>
        <v>70</v>
      </c>
      <c r="N4732" s="7">
        <f t="shared" si="5962"/>
        <v>70</v>
      </c>
    </row>
    <row r="4733" spans="1:14">
      <c r="A4733" s="7">
        <f t="shared" si="6041"/>
        <v>30012</v>
      </c>
      <c r="B4733" s="8">
        <f t="shared" ref="B4733:C4733" si="6070">B4645</f>
        <v>40000</v>
      </c>
      <c r="C4733" s="8" t="str">
        <f t="shared" si="6070"/>
        <v>装备</v>
      </c>
      <c r="D4733" s="8">
        <v>40403061</v>
      </c>
      <c r="E4733" s="8"/>
      <c r="F4733" s="8">
        <v>1</v>
      </c>
      <c r="G4733" s="7">
        <f>3*INDEX([1]equip.xml!$I:$I,MATCH(D4733&amp;"",[1]equip.xml!$A:$A,0))</f>
        <v>129000</v>
      </c>
      <c r="H4733" s="8" t="str">
        <f t="shared" ref="H4733:J4733" si="6071">H4645</f>
        <v>10_10,50_20,80_30</v>
      </c>
      <c r="I4733" s="8">
        <v>6</v>
      </c>
      <c r="J4733" s="8">
        <f t="shared" si="6071"/>
        <v>50</v>
      </c>
      <c r="K4733" s="7" t="s">
        <v>310</v>
      </c>
      <c r="L4733" s="8">
        <v>32</v>
      </c>
      <c r="M4733" s="7">
        <f>IF(INDEX([1]equip.xml!$B:$B,MATCH(D4733&amp;"",[1]equip.xml!$A:$A,0))=0,0,N4733)</f>
        <v>0</v>
      </c>
      <c r="N4733" s="7">
        <f t="shared" si="5962"/>
        <v>70</v>
      </c>
    </row>
    <row r="4734" spans="1:14">
      <c r="A4734" s="7">
        <f t="shared" si="6041"/>
        <v>30012</v>
      </c>
      <c r="B4734" s="8">
        <f t="shared" ref="B4734:C4734" si="6072">B4646</f>
        <v>40000</v>
      </c>
      <c r="C4734" s="8" t="str">
        <f t="shared" si="6072"/>
        <v>装备</v>
      </c>
      <c r="D4734" s="8">
        <v>40400040</v>
      </c>
      <c r="E4734" s="8"/>
      <c r="F4734" s="8">
        <v>1</v>
      </c>
      <c r="G4734" s="7">
        <f>3*INDEX([1]equip.xml!$I:$I,MATCH(D4734&amp;"",[1]equip.xml!$A:$A,0))</f>
        <v>120000</v>
      </c>
      <c r="H4734" s="8" t="str">
        <f t="shared" ref="H4734:J4734" si="6073">H4646</f>
        <v>10_10,50_20,80_30</v>
      </c>
      <c r="I4734" s="8">
        <v>6</v>
      </c>
      <c r="J4734" s="8">
        <f t="shared" si="6073"/>
        <v>50</v>
      </c>
      <c r="K4734" s="7" t="s">
        <v>310</v>
      </c>
      <c r="L4734" s="8">
        <v>32</v>
      </c>
      <c r="M4734" s="7">
        <f>IF(INDEX([1]equip.xml!$B:$B,MATCH(D4734&amp;"",[1]equip.xml!$A:$A,0))=0,0,N4734)</f>
        <v>70</v>
      </c>
      <c r="N4734" s="7">
        <f t="shared" si="5962"/>
        <v>70</v>
      </c>
    </row>
    <row r="4735" spans="1:14">
      <c r="A4735" s="7">
        <f t="shared" si="6041"/>
        <v>30012</v>
      </c>
      <c r="B4735" s="8">
        <f t="shared" ref="B4735:C4735" si="6074">B4647</f>
        <v>40000</v>
      </c>
      <c r="C4735" s="8" t="str">
        <f t="shared" si="6074"/>
        <v>装备</v>
      </c>
      <c r="D4735" s="8">
        <v>40400041</v>
      </c>
      <c r="E4735" s="8"/>
      <c r="F4735" s="8">
        <v>1</v>
      </c>
      <c r="G4735" s="7">
        <f>3*INDEX([1]equip.xml!$I:$I,MATCH(D4735&amp;"",[1]equip.xml!$A:$A,0))</f>
        <v>129000</v>
      </c>
      <c r="H4735" s="8" t="str">
        <f t="shared" ref="H4735:J4735" si="6075">H4647</f>
        <v>10_10,50_20,80_30</v>
      </c>
      <c r="I4735" s="8">
        <v>6</v>
      </c>
      <c r="J4735" s="8">
        <f t="shared" si="6075"/>
        <v>50</v>
      </c>
      <c r="K4735" s="7" t="s">
        <v>310</v>
      </c>
      <c r="L4735" s="8">
        <v>32</v>
      </c>
      <c r="M4735" s="7">
        <f>IF(INDEX([1]equip.xml!$B:$B,MATCH(D4735&amp;"",[1]equip.xml!$A:$A,0))=0,0,N4735)</f>
        <v>0</v>
      </c>
      <c r="N4735" s="7">
        <f t="shared" si="5962"/>
        <v>70</v>
      </c>
    </row>
    <row r="4736" spans="1:14">
      <c r="A4736" s="7">
        <f t="shared" si="6041"/>
        <v>30012</v>
      </c>
      <c r="B4736" s="8">
        <f t="shared" ref="B4736:C4736" si="6076">B4648</f>
        <v>40000</v>
      </c>
      <c r="C4736" s="8" t="str">
        <f t="shared" si="6076"/>
        <v>装备</v>
      </c>
      <c r="D4736" s="8">
        <v>40400070</v>
      </c>
      <c r="E4736" s="8"/>
      <c r="F4736" s="8">
        <v>1</v>
      </c>
      <c r="G4736" s="7">
        <f>3*INDEX([1]equip.xml!$I:$I,MATCH(D4736&amp;"",[1]equip.xml!$A:$A,0))</f>
        <v>120000</v>
      </c>
      <c r="H4736" s="8" t="str">
        <f t="shared" ref="H4736:J4736" si="6077">H4648</f>
        <v>10_10,50_20,80_30</v>
      </c>
      <c r="I4736" s="8">
        <v>6</v>
      </c>
      <c r="J4736" s="8">
        <f t="shared" si="6077"/>
        <v>50</v>
      </c>
      <c r="K4736" s="7" t="s">
        <v>310</v>
      </c>
      <c r="L4736" s="8">
        <v>32</v>
      </c>
      <c r="M4736" s="7">
        <f>IF(INDEX([1]equip.xml!$B:$B,MATCH(D4736&amp;"",[1]equip.xml!$A:$A,0))=0,0,N4736)</f>
        <v>70</v>
      </c>
      <c r="N4736" s="7">
        <f t="shared" si="5962"/>
        <v>70</v>
      </c>
    </row>
    <row r="4737" spans="1:14">
      <c r="A4737" s="7">
        <f t="shared" si="6041"/>
        <v>30012</v>
      </c>
      <c r="B4737" s="8">
        <f t="shared" ref="B4737:C4737" si="6078">B4649</f>
        <v>40000</v>
      </c>
      <c r="C4737" s="8" t="str">
        <f t="shared" si="6078"/>
        <v>装备</v>
      </c>
      <c r="D4737" s="8">
        <v>40400071</v>
      </c>
      <c r="E4737" s="8"/>
      <c r="F4737" s="8">
        <v>1</v>
      </c>
      <c r="G4737" s="7">
        <f>3*INDEX([1]equip.xml!$I:$I,MATCH(D4737&amp;"",[1]equip.xml!$A:$A,0))</f>
        <v>129000</v>
      </c>
      <c r="H4737" s="8" t="str">
        <f t="shared" ref="H4737:J4737" si="6079">H4649</f>
        <v>10_10,50_20,80_30</v>
      </c>
      <c r="I4737" s="8">
        <v>6</v>
      </c>
      <c r="J4737" s="8">
        <f t="shared" si="6079"/>
        <v>50</v>
      </c>
      <c r="K4737" s="7" t="s">
        <v>310</v>
      </c>
      <c r="L4737" s="8">
        <v>32</v>
      </c>
      <c r="M4737" s="7">
        <f>IF(INDEX([1]equip.xml!$B:$B,MATCH(D4737&amp;"",[1]equip.xml!$A:$A,0))=0,0,N4737)</f>
        <v>0</v>
      </c>
      <c r="N4737" s="7">
        <f t="shared" si="5962"/>
        <v>70</v>
      </c>
    </row>
    <row r="4738" spans="1:14">
      <c r="A4738" s="7">
        <f t="shared" si="6041"/>
        <v>30012</v>
      </c>
      <c r="B4738" s="8">
        <f t="shared" ref="B4738:C4738" si="6080">B4650</f>
        <v>40000</v>
      </c>
      <c r="C4738" s="8" t="str">
        <f t="shared" si="6080"/>
        <v>装备</v>
      </c>
      <c r="D4738" s="8">
        <v>50350015</v>
      </c>
      <c r="E4738" s="8"/>
      <c r="F4738" s="8">
        <v>1</v>
      </c>
      <c r="G4738" s="8">
        <f>3*INDEX([1]equip.xml!$I:$I,MATCH(D4738,[1]equip.xml!$A:$A,0))</f>
        <v>210000</v>
      </c>
      <c r="H4738" s="8" t="str">
        <f t="shared" ref="H4738:J4738" si="6081">H4650</f>
        <v>10_10,50_20,80_30</v>
      </c>
      <c r="I4738" s="8">
        <v>6</v>
      </c>
      <c r="J4738" s="8">
        <f t="shared" si="6081"/>
        <v>240</v>
      </c>
      <c r="K4738" s="7" t="s">
        <v>310</v>
      </c>
      <c r="L4738" s="8">
        <v>32</v>
      </c>
      <c r="M4738" s="7">
        <f>IF(INDEX([1]equip.xml!$B:$B,MATCH(D4738,[1]equip.xml!$A:$A,0))=0,0,N4738)</f>
        <v>200</v>
      </c>
      <c r="N4738" s="7">
        <f t="shared" si="5962"/>
        <v>200</v>
      </c>
    </row>
    <row r="4739" spans="1:14">
      <c r="A4739" s="7">
        <f t="shared" si="6041"/>
        <v>30012</v>
      </c>
      <c r="B4739" s="8">
        <f t="shared" ref="B4739:C4739" si="6082">B4651</f>
        <v>40000</v>
      </c>
      <c r="C4739" s="8" t="str">
        <f t="shared" si="6082"/>
        <v>装备</v>
      </c>
      <c r="D4739" s="8">
        <v>50350025</v>
      </c>
      <c r="E4739" s="8"/>
      <c r="F4739" s="8">
        <v>1</v>
      </c>
      <c r="G4739" s="8">
        <f>3*INDEX([1]equip.xml!$I:$I,MATCH(D4739,[1]equip.xml!$A:$A,0))</f>
        <v>210000</v>
      </c>
      <c r="H4739" s="8" t="str">
        <f t="shared" ref="H4739:J4739" si="6083">H4651</f>
        <v>10_10,50_20,80_30</v>
      </c>
      <c r="I4739" s="8">
        <v>6</v>
      </c>
      <c r="J4739" s="8">
        <f t="shared" si="6083"/>
        <v>240</v>
      </c>
      <c r="K4739" s="7" t="s">
        <v>310</v>
      </c>
      <c r="L4739" s="8">
        <v>32</v>
      </c>
      <c r="M4739" s="7">
        <f>IF(INDEX([1]equip.xml!$B:$B,MATCH(D4739,[1]equip.xml!$A:$A,0))=0,0,N4739)</f>
        <v>200</v>
      </c>
      <c r="N4739" s="7">
        <f t="shared" si="5962"/>
        <v>200</v>
      </c>
    </row>
    <row r="4740" spans="1:14">
      <c r="A4740" s="7">
        <f t="shared" si="6041"/>
        <v>30012</v>
      </c>
      <c r="B4740" s="8">
        <f t="shared" ref="B4740:C4740" si="6084">B4652</f>
        <v>40000</v>
      </c>
      <c r="C4740" s="8" t="str">
        <f t="shared" si="6084"/>
        <v>装备</v>
      </c>
      <c r="D4740" s="8">
        <v>50350035</v>
      </c>
      <c r="E4740" s="8"/>
      <c r="F4740" s="8">
        <v>1</v>
      </c>
      <c r="G4740" s="8">
        <f>3*INDEX([1]equip.xml!$I:$I,MATCH(D4740,[1]equip.xml!$A:$A,0))</f>
        <v>210000</v>
      </c>
      <c r="H4740" s="8" t="str">
        <f t="shared" ref="H4740:J4740" si="6085">H4652</f>
        <v>10_10,50_20,80_30</v>
      </c>
      <c r="I4740" s="8">
        <v>6</v>
      </c>
      <c r="J4740" s="8">
        <f t="shared" si="6085"/>
        <v>240</v>
      </c>
      <c r="K4740" s="7" t="s">
        <v>310</v>
      </c>
      <c r="L4740" s="8">
        <v>32</v>
      </c>
      <c r="M4740" s="7">
        <f>IF(INDEX([1]equip.xml!$B:$B,MATCH(D4740,[1]equip.xml!$A:$A,0))=0,0,N4740)</f>
        <v>200</v>
      </c>
      <c r="N4740" s="7">
        <f t="shared" si="5962"/>
        <v>200</v>
      </c>
    </row>
    <row r="4741" spans="1:14">
      <c r="A4741" s="7">
        <f t="shared" si="6041"/>
        <v>30012</v>
      </c>
      <c r="B4741" s="8">
        <f t="shared" ref="B4741:C4741" si="6086">B4653</f>
        <v>40000</v>
      </c>
      <c r="C4741" s="8" t="str">
        <f t="shared" si="6086"/>
        <v>装备</v>
      </c>
      <c r="D4741" s="8">
        <v>50350085</v>
      </c>
      <c r="E4741" s="8"/>
      <c r="F4741" s="8">
        <v>1</v>
      </c>
      <c r="G4741" s="8">
        <f>3*INDEX([1]equip.xml!$I:$I,MATCH(D4741,[1]equip.xml!$A:$A,0))</f>
        <v>210000</v>
      </c>
      <c r="H4741" s="8" t="str">
        <f t="shared" ref="H4741:J4741" si="6087">H4653</f>
        <v>10_10,50_20,80_30</v>
      </c>
      <c r="I4741" s="8">
        <v>6</v>
      </c>
      <c r="J4741" s="8">
        <f t="shared" si="6087"/>
        <v>240</v>
      </c>
      <c r="K4741" s="7" t="s">
        <v>310</v>
      </c>
      <c r="L4741" s="8">
        <v>32</v>
      </c>
      <c r="M4741" s="7">
        <f>IF(INDEX([1]equip.xml!$B:$B,MATCH(D4741,[1]equip.xml!$A:$A,0))=0,0,N4741)</f>
        <v>200</v>
      </c>
      <c r="N4741" s="7">
        <f t="shared" si="5962"/>
        <v>200</v>
      </c>
    </row>
    <row r="4742" spans="1:14">
      <c r="A4742" s="7">
        <f t="shared" si="6041"/>
        <v>30012</v>
      </c>
      <c r="B4742" s="8">
        <f t="shared" ref="B4742:C4742" si="6088">B4654</f>
        <v>40000</v>
      </c>
      <c r="C4742" s="8" t="str">
        <f t="shared" si="6088"/>
        <v>装备</v>
      </c>
      <c r="D4742" s="8">
        <v>50350095</v>
      </c>
      <c r="E4742" s="8"/>
      <c r="F4742" s="8">
        <v>1</v>
      </c>
      <c r="G4742" s="8">
        <f>3*INDEX([1]equip.xml!$I:$I,MATCH(D4742,[1]equip.xml!$A:$A,0))</f>
        <v>210000</v>
      </c>
      <c r="H4742" s="8" t="str">
        <f t="shared" ref="H4742:J4742" si="6089">H4654</f>
        <v>10_10,50_20,80_30</v>
      </c>
      <c r="I4742" s="8">
        <v>6</v>
      </c>
      <c r="J4742" s="8">
        <f t="shared" si="6089"/>
        <v>240</v>
      </c>
      <c r="K4742" s="7" t="s">
        <v>310</v>
      </c>
      <c r="L4742" s="8">
        <v>32</v>
      </c>
      <c r="M4742" s="7">
        <f>IF(INDEX([1]equip.xml!$B:$B,MATCH(D4742,[1]equip.xml!$A:$A,0))=0,0,N4742)</f>
        <v>200</v>
      </c>
      <c r="N4742" s="7">
        <f t="shared" si="5962"/>
        <v>200</v>
      </c>
    </row>
    <row r="4743" spans="1:14">
      <c r="A4743" s="7">
        <f t="shared" si="6041"/>
        <v>30012</v>
      </c>
      <c r="B4743" s="8">
        <f t="shared" ref="B4743:C4743" si="6090">B4655</f>
        <v>40000</v>
      </c>
      <c r="C4743" s="8" t="str">
        <f t="shared" si="6090"/>
        <v>装备</v>
      </c>
      <c r="D4743" s="8">
        <v>50350105</v>
      </c>
      <c r="E4743" s="8"/>
      <c r="F4743" s="8">
        <v>1</v>
      </c>
      <c r="G4743" s="8">
        <f>3*INDEX([1]equip.xml!$I:$I,MATCH(D4743,[1]equip.xml!$A:$A,0))</f>
        <v>210000</v>
      </c>
      <c r="H4743" s="8" t="str">
        <f t="shared" ref="H4743:J4743" si="6091">H4655</f>
        <v>10_10,50_20,80_30</v>
      </c>
      <c r="I4743" s="8">
        <v>6</v>
      </c>
      <c r="J4743" s="8">
        <f t="shared" si="6091"/>
        <v>240</v>
      </c>
      <c r="K4743" s="7" t="s">
        <v>310</v>
      </c>
      <c r="L4743" s="8">
        <v>32</v>
      </c>
      <c r="M4743" s="7">
        <f>IF(INDEX([1]equip.xml!$B:$B,MATCH(D4743,[1]equip.xml!$A:$A,0))=0,0,N4743)</f>
        <v>200</v>
      </c>
      <c r="N4743" s="7">
        <f t="shared" ref="N4743:N4806" si="6092">N4655</f>
        <v>200</v>
      </c>
    </row>
    <row r="4744" spans="1:14">
      <c r="A4744" s="7">
        <f t="shared" si="6041"/>
        <v>30012</v>
      </c>
      <c r="B4744" s="8">
        <f t="shared" ref="B4744:C4744" si="6093">B4656</f>
        <v>40000</v>
      </c>
      <c r="C4744" s="8" t="str">
        <f t="shared" si="6093"/>
        <v>装备</v>
      </c>
      <c r="D4744" s="8">
        <v>50351055</v>
      </c>
      <c r="E4744" s="8"/>
      <c r="F4744" s="8">
        <v>1</v>
      </c>
      <c r="G4744" s="8">
        <f>3*INDEX([1]equip.xml!$I:$I,MATCH(D4744,[1]equip.xml!$A:$A,0))</f>
        <v>210000</v>
      </c>
      <c r="H4744" s="8" t="str">
        <f t="shared" ref="H4744:J4744" si="6094">H4656</f>
        <v>10_10,50_20,80_30</v>
      </c>
      <c r="I4744" s="8">
        <v>6</v>
      </c>
      <c r="J4744" s="8">
        <f t="shared" si="6094"/>
        <v>240</v>
      </c>
      <c r="K4744" s="7" t="s">
        <v>310</v>
      </c>
      <c r="L4744" s="8">
        <v>32</v>
      </c>
      <c r="M4744" s="7">
        <f>IF(INDEX([1]equip.xml!$B:$B,MATCH(D4744,[1]equip.xml!$A:$A,0))=0,0,N4744)</f>
        <v>200</v>
      </c>
      <c r="N4744" s="7">
        <f t="shared" si="6092"/>
        <v>200</v>
      </c>
    </row>
    <row r="4745" spans="1:14">
      <c r="A4745" s="7">
        <f t="shared" si="6041"/>
        <v>30012</v>
      </c>
      <c r="B4745" s="8">
        <f t="shared" ref="B4745:C4745" si="6095">B4657</f>
        <v>40000</v>
      </c>
      <c r="C4745" s="8" t="str">
        <f t="shared" si="6095"/>
        <v>装备</v>
      </c>
      <c r="D4745" s="8">
        <v>50351056</v>
      </c>
      <c r="E4745" s="8"/>
      <c r="F4745" s="8">
        <v>1</v>
      </c>
      <c r="G4745" s="8">
        <f>3*INDEX([1]equip.xml!$I:$I,MATCH(D4745,[1]equip.xml!$A:$A,0))</f>
        <v>228000</v>
      </c>
      <c r="H4745" s="8" t="str">
        <f t="shared" ref="H4745:J4745" si="6096">H4657</f>
        <v>10_10,50_20,80_30</v>
      </c>
      <c r="I4745" s="8">
        <v>6</v>
      </c>
      <c r="J4745" s="8">
        <f t="shared" si="6096"/>
        <v>240</v>
      </c>
      <c r="K4745" s="7" t="s">
        <v>310</v>
      </c>
      <c r="L4745" s="8">
        <v>32</v>
      </c>
      <c r="M4745" s="7">
        <f>IF(INDEX([1]equip.xml!$B:$B,MATCH(D4745,[1]equip.xml!$A:$A,0))=0,0,N4745)</f>
        <v>0</v>
      </c>
      <c r="N4745" s="7">
        <f t="shared" si="6092"/>
        <v>200</v>
      </c>
    </row>
    <row r="4746" spans="1:14">
      <c r="A4746" s="7">
        <f t="shared" si="6041"/>
        <v>30012</v>
      </c>
      <c r="B4746" s="8">
        <f t="shared" ref="B4746:C4746" si="6097">B4658</f>
        <v>40000</v>
      </c>
      <c r="C4746" s="8" t="str">
        <f t="shared" si="6097"/>
        <v>装备</v>
      </c>
      <c r="D4746" s="8">
        <v>50351065</v>
      </c>
      <c r="E4746" s="8"/>
      <c r="F4746" s="8">
        <v>1</v>
      </c>
      <c r="G4746" s="8">
        <f>3*INDEX([1]equip.xml!$I:$I,MATCH(D4746,[1]equip.xml!$A:$A,0))</f>
        <v>210000</v>
      </c>
      <c r="H4746" s="8" t="str">
        <f t="shared" ref="H4746:J4746" si="6098">H4658</f>
        <v>10_10,50_20,80_30</v>
      </c>
      <c r="I4746" s="8">
        <v>6</v>
      </c>
      <c r="J4746" s="8">
        <f t="shared" si="6098"/>
        <v>240</v>
      </c>
      <c r="K4746" s="7" t="s">
        <v>310</v>
      </c>
      <c r="L4746" s="8">
        <v>32</v>
      </c>
      <c r="M4746" s="7">
        <f>IF(INDEX([1]equip.xml!$B:$B,MATCH(D4746,[1]equip.xml!$A:$A,0))=0,0,N4746)</f>
        <v>200</v>
      </c>
      <c r="N4746" s="7">
        <f t="shared" si="6092"/>
        <v>200</v>
      </c>
    </row>
    <row r="4747" spans="1:14">
      <c r="A4747" s="7">
        <f t="shared" si="6041"/>
        <v>30012</v>
      </c>
      <c r="B4747" s="8">
        <f t="shared" ref="B4747:C4747" si="6099">B4659</f>
        <v>40000</v>
      </c>
      <c r="C4747" s="8" t="str">
        <f t="shared" si="6099"/>
        <v>装备</v>
      </c>
      <c r="D4747" s="8">
        <v>50351066</v>
      </c>
      <c r="E4747" s="8"/>
      <c r="F4747" s="8">
        <v>1</v>
      </c>
      <c r="G4747" s="8">
        <f>3*INDEX([1]equip.xml!$I:$I,MATCH(D4747,[1]equip.xml!$A:$A,0))</f>
        <v>228000</v>
      </c>
      <c r="H4747" s="8" t="str">
        <f t="shared" ref="H4747:J4747" si="6100">H4659</f>
        <v>10_10,50_20,80_30</v>
      </c>
      <c r="I4747" s="8">
        <v>6</v>
      </c>
      <c r="J4747" s="8">
        <f t="shared" si="6100"/>
        <v>240</v>
      </c>
      <c r="K4747" s="7" t="s">
        <v>310</v>
      </c>
      <c r="L4747" s="8">
        <v>32</v>
      </c>
      <c r="M4747" s="7">
        <f>IF(INDEX([1]equip.xml!$B:$B,MATCH(D4747,[1]equip.xml!$A:$A,0))=0,0,N4747)</f>
        <v>200</v>
      </c>
      <c r="N4747" s="7">
        <f t="shared" si="6092"/>
        <v>200</v>
      </c>
    </row>
    <row r="4748" spans="1:14">
      <c r="A4748" s="7">
        <f t="shared" si="6041"/>
        <v>30012</v>
      </c>
      <c r="B4748" s="8">
        <f t="shared" ref="B4748:C4748" si="6101">B4660</f>
        <v>40000</v>
      </c>
      <c r="C4748" s="8" t="str">
        <f t="shared" si="6101"/>
        <v>装备</v>
      </c>
      <c r="D4748" s="8">
        <v>50352055</v>
      </c>
      <c r="E4748" s="8"/>
      <c r="F4748" s="8">
        <v>1</v>
      </c>
      <c r="G4748" s="8">
        <f>3*INDEX([1]equip.xml!$I:$I,MATCH(D4748,[1]equip.xml!$A:$A,0))</f>
        <v>210000</v>
      </c>
      <c r="H4748" s="8" t="str">
        <f t="shared" ref="H4748:J4748" si="6102">H4660</f>
        <v>10_10,50_20,80_30</v>
      </c>
      <c r="I4748" s="8">
        <v>6</v>
      </c>
      <c r="J4748" s="8">
        <f t="shared" si="6102"/>
        <v>240</v>
      </c>
      <c r="K4748" s="7" t="s">
        <v>310</v>
      </c>
      <c r="L4748" s="8">
        <v>32</v>
      </c>
      <c r="M4748" s="7">
        <f>IF(INDEX([1]equip.xml!$B:$B,MATCH(D4748,[1]equip.xml!$A:$A,0))=0,0,N4748)</f>
        <v>200</v>
      </c>
      <c r="N4748" s="7">
        <f t="shared" si="6092"/>
        <v>200</v>
      </c>
    </row>
    <row r="4749" spans="1:14">
      <c r="A4749" s="7">
        <f t="shared" si="6041"/>
        <v>30012</v>
      </c>
      <c r="B4749" s="8">
        <f t="shared" ref="B4749:C4749" si="6103">B4661</f>
        <v>40000</v>
      </c>
      <c r="C4749" s="8" t="str">
        <f t="shared" si="6103"/>
        <v>装备</v>
      </c>
      <c r="D4749" s="8">
        <v>50352056</v>
      </c>
      <c r="E4749" s="8"/>
      <c r="F4749" s="8">
        <v>1</v>
      </c>
      <c r="G4749" s="8">
        <f>3*INDEX([1]equip.xml!$I:$I,MATCH(D4749,[1]equip.xml!$A:$A,0))</f>
        <v>228000</v>
      </c>
      <c r="H4749" s="8" t="str">
        <f t="shared" ref="H4749:J4749" si="6104">H4661</f>
        <v>10_10,50_20,80_30</v>
      </c>
      <c r="I4749" s="8">
        <v>6</v>
      </c>
      <c r="J4749" s="8">
        <f t="shared" si="6104"/>
        <v>240</v>
      </c>
      <c r="K4749" s="7" t="s">
        <v>310</v>
      </c>
      <c r="L4749" s="8">
        <v>32</v>
      </c>
      <c r="M4749" s="7">
        <f>IF(INDEX([1]equip.xml!$B:$B,MATCH(D4749,[1]equip.xml!$A:$A,0))=0,0,N4749)</f>
        <v>0</v>
      </c>
      <c r="N4749" s="7">
        <f t="shared" si="6092"/>
        <v>200</v>
      </c>
    </row>
    <row r="4750" spans="1:14">
      <c r="A4750" s="7">
        <f t="shared" si="6041"/>
        <v>30012</v>
      </c>
      <c r="B4750" s="8">
        <f t="shared" ref="B4750:C4750" si="6105">B4662</f>
        <v>40000</v>
      </c>
      <c r="C4750" s="8" t="str">
        <f t="shared" si="6105"/>
        <v>装备</v>
      </c>
      <c r="D4750" s="8">
        <v>50352065</v>
      </c>
      <c r="E4750" s="8"/>
      <c r="F4750" s="8">
        <v>1</v>
      </c>
      <c r="G4750" s="8">
        <f>3*INDEX([1]equip.xml!$I:$I,MATCH(D4750,[1]equip.xml!$A:$A,0))</f>
        <v>210000</v>
      </c>
      <c r="H4750" s="8" t="str">
        <f t="shared" ref="H4750:J4750" si="6106">H4662</f>
        <v>10_10,50_20,80_30</v>
      </c>
      <c r="I4750" s="8">
        <v>6</v>
      </c>
      <c r="J4750" s="8">
        <f t="shared" si="6106"/>
        <v>240</v>
      </c>
      <c r="K4750" s="7" t="s">
        <v>310</v>
      </c>
      <c r="L4750" s="8">
        <v>32</v>
      </c>
      <c r="M4750" s="7">
        <f>IF(INDEX([1]equip.xml!$B:$B,MATCH(D4750,[1]equip.xml!$A:$A,0))=0,0,N4750)</f>
        <v>200</v>
      </c>
      <c r="N4750" s="7">
        <f t="shared" si="6092"/>
        <v>200</v>
      </c>
    </row>
    <row r="4751" spans="1:14">
      <c r="A4751" s="7">
        <f t="shared" si="6041"/>
        <v>30012</v>
      </c>
      <c r="B4751" s="8">
        <f t="shared" ref="B4751:C4751" si="6107">B4663</f>
        <v>40000</v>
      </c>
      <c r="C4751" s="8" t="str">
        <f t="shared" si="6107"/>
        <v>装备</v>
      </c>
      <c r="D4751" s="8">
        <v>50352066</v>
      </c>
      <c r="E4751" s="8"/>
      <c r="F4751" s="8">
        <v>1</v>
      </c>
      <c r="G4751" s="8">
        <f>3*INDEX([1]equip.xml!$I:$I,MATCH(D4751,[1]equip.xml!$A:$A,0))</f>
        <v>228000</v>
      </c>
      <c r="H4751" s="8" t="str">
        <f t="shared" ref="H4751:J4751" si="6108">H4663</f>
        <v>10_10,50_20,80_30</v>
      </c>
      <c r="I4751" s="8">
        <v>6</v>
      </c>
      <c r="J4751" s="8">
        <f t="shared" si="6108"/>
        <v>240</v>
      </c>
      <c r="K4751" s="7" t="s">
        <v>310</v>
      </c>
      <c r="L4751" s="8">
        <v>32</v>
      </c>
      <c r="M4751" s="7">
        <f>IF(INDEX([1]equip.xml!$B:$B,MATCH(D4751,[1]equip.xml!$A:$A,0))=0,0,N4751)</f>
        <v>200</v>
      </c>
      <c r="N4751" s="7">
        <f t="shared" si="6092"/>
        <v>200</v>
      </c>
    </row>
    <row r="4752" spans="1:14">
      <c r="A4752" s="7">
        <f t="shared" si="6041"/>
        <v>30012</v>
      </c>
      <c r="B4752" s="8">
        <f t="shared" ref="B4752:C4752" si="6109">B4664</f>
        <v>40000</v>
      </c>
      <c r="C4752" s="8" t="str">
        <f t="shared" si="6109"/>
        <v>装备</v>
      </c>
      <c r="D4752" s="8">
        <v>50353055</v>
      </c>
      <c r="E4752" s="8"/>
      <c r="F4752" s="8">
        <v>1</v>
      </c>
      <c r="G4752" s="8">
        <f>3*INDEX([1]equip.xml!$I:$I,MATCH(D4752,[1]equip.xml!$A:$A,0))</f>
        <v>210000</v>
      </c>
      <c r="H4752" s="8" t="str">
        <f t="shared" ref="H4752:J4752" si="6110">H4664</f>
        <v>10_10,50_20,80_30</v>
      </c>
      <c r="I4752" s="8">
        <v>6</v>
      </c>
      <c r="J4752" s="8">
        <f t="shared" si="6110"/>
        <v>240</v>
      </c>
      <c r="K4752" s="7" t="s">
        <v>310</v>
      </c>
      <c r="L4752" s="8">
        <v>32</v>
      </c>
      <c r="M4752" s="7">
        <f>IF(INDEX([1]equip.xml!$B:$B,MATCH(D4752,[1]equip.xml!$A:$A,0))=0,0,N4752)</f>
        <v>200</v>
      </c>
      <c r="N4752" s="7">
        <f t="shared" si="6092"/>
        <v>200</v>
      </c>
    </row>
    <row r="4753" spans="1:14">
      <c r="A4753" s="7">
        <f t="shared" si="6041"/>
        <v>30012</v>
      </c>
      <c r="B4753" s="8">
        <f t="shared" ref="B4753:C4753" si="6111">B4665</f>
        <v>40000</v>
      </c>
      <c r="C4753" s="8" t="str">
        <f t="shared" si="6111"/>
        <v>装备</v>
      </c>
      <c r="D4753" s="8">
        <v>50353056</v>
      </c>
      <c r="E4753" s="8"/>
      <c r="F4753" s="8">
        <v>1</v>
      </c>
      <c r="G4753" s="8">
        <f>3*INDEX([1]equip.xml!$I:$I,MATCH(D4753,[1]equip.xml!$A:$A,0))</f>
        <v>228000</v>
      </c>
      <c r="H4753" s="8" t="str">
        <f t="shared" ref="H4753:J4753" si="6112">H4665</f>
        <v>10_10,50_20,80_30</v>
      </c>
      <c r="I4753" s="8">
        <v>6</v>
      </c>
      <c r="J4753" s="8">
        <f t="shared" si="6112"/>
        <v>240</v>
      </c>
      <c r="K4753" s="7" t="s">
        <v>310</v>
      </c>
      <c r="L4753" s="8">
        <v>32</v>
      </c>
      <c r="M4753" s="7">
        <f>IF(INDEX([1]equip.xml!$B:$B,MATCH(D4753,[1]equip.xml!$A:$A,0))=0,0,N4753)</f>
        <v>0</v>
      </c>
      <c r="N4753" s="7">
        <f t="shared" si="6092"/>
        <v>200</v>
      </c>
    </row>
    <row r="4754" spans="1:14">
      <c r="A4754" s="7">
        <f t="shared" si="6041"/>
        <v>30012</v>
      </c>
      <c r="B4754" s="8">
        <f t="shared" ref="B4754:C4754" si="6113">B4666</f>
        <v>40000</v>
      </c>
      <c r="C4754" s="8" t="str">
        <f t="shared" si="6113"/>
        <v>装备</v>
      </c>
      <c r="D4754" s="8">
        <v>50353065</v>
      </c>
      <c r="E4754" s="8"/>
      <c r="F4754" s="8">
        <v>1</v>
      </c>
      <c r="G4754" s="8">
        <f>3*INDEX([1]equip.xml!$I:$I,MATCH(D4754,[1]equip.xml!$A:$A,0))</f>
        <v>210000</v>
      </c>
      <c r="H4754" s="8" t="str">
        <f t="shared" ref="H4754:J4754" si="6114">H4666</f>
        <v>10_10,50_20,80_30</v>
      </c>
      <c r="I4754" s="8">
        <v>6</v>
      </c>
      <c r="J4754" s="8">
        <f t="shared" si="6114"/>
        <v>240</v>
      </c>
      <c r="K4754" s="7" t="s">
        <v>310</v>
      </c>
      <c r="L4754" s="8">
        <v>32</v>
      </c>
      <c r="M4754" s="7">
        <f>IF(INDEX([1]equip.xml!$B:$B,MATCH(D4754,[1]equip.xml!$A:$A,0))=0,0,N4754)</f>
        <v>200</v>
      </c>
      <c r="N4754" s="7">
        <f t="shared" si="6092"/>
        <v>200</v>
      </c>
    </row>
    <row r="4755" spans="1:14">
      <c r="A4755" s="7">
        <f t="shared" si="6041"/>
        <v>30012</v>
      </c>
      <c r="B4755" s="8">
        <f t="shared" ref="B4755:C4755" si="6115">B4667</f>
        <v>40000</v>
      </c>
      <c r="C4755" s="8" t="str">
        <f t="shared" si="6115"/>
        <v>装备</v>
      </c>
      <c r="D4755" s="8">
        <v>50353066</v>
      </c>
      <c r="E4755" s="8"/>
      <c r="F4755" s="8">
        <v>1</v>
      </c>
      <c r="G4755" s="8">
        <f>3*INDEX([1]equip.xml!$I:$I,MATCH(D4755,[1]equip.xml!$A:$A,0))</f>
        <v>228000</v>
      </c>
      <c r="H4755" s="8" t="str">
        <f t="shared" ref="H4755:J4755" si="6116">H4667</f>
        <v>10_10,50_20,80_30</v>
      </c>
      <c r="I4755" s="8">
        <v>6</v>
      </c>
      <c r="J4755" s="8">
        <f t="shared" si="6116"/>
        <v>240</v>
      </c>
      <c r="K4755" s="7" t="s">
        <v>310</v>
      </c>
      <c r="L4755" s="8">
        <v>32</v>
      </c>
      <c r="M4755" s="7">
        <f>IF(INDEX([1]equip.xml!$B:$B,MATCH(D4755,[1]equip.xml!$A:$A,0))=0,0,N4755)</f>
        <v>200</v>
      </c>
      <c r="N4755" s="7">
        <f t="shared" si="6092"/>
        <v>200</v>
      </c>
    </row>
    <row r="4756" spans="1:14">
      <c r="A4756" s="7">
        <f t="shared" si="6041"/>
        <v>30012</v>
      </c>
      <c r="B4756" s="8">
        <f t="shared" ref="B4756:C4756" si="6117">B4668</f>
        <v>40000</v>
      </c>
      <c r="C4756" s="8" t="str">
        <f t="shared" si="6117"/>
        <v>装备</v>
      </c>
      <c r="D4756" s="8">
        <v>50350045</v>
      </c>
      <c r="E4756" s="8"/>
      <c r="F4756" s="8">
        <v>1</v>
      </c>
      <c r="G4756" s="8">
        <f>3*INDEX([1]equip.xml!$I:$I,MATCH(D4756,[1]equip.xml!$A:$A,0))</f>
        <v>210000</v>
      </c>
      <c r="H4756" s="8" t="str">
        <f t="shared" ref="H4756:J4756" si="6118">H4668</f>
        <v>10_10,50_20,80_30</v>
      </c>
      <c r="I4756" s="8">
        <v>6</v>
      </c>
      <c r="J4756" s="8">
        <f t="shared" si="6118"/>
        <v>240</v>
      </c>
      <c r="K4756" s="7" t="s">
        <v>310</v>
      </c>
      <c r="L4756" s="8">
        <v>32</v>
      </c>
      <c r="M4756" s="7">
        <f>IF(INDEX([1]equip.xml!$B:$B,MATCH(D4756,[1]equip.xml!$A:$A,0))=0,0,N4756)</f>
        <v>200</v>
      </c>
      <c r="N4756" s="7">
        <f t="shared" si="6092"/>
        <v>200</v>
      </c>
    </row>
    <row r="4757" spans="1:14">
      <c r="A4757" s="7">
        <f t="shared" si="6041"/>
        <v>30012</v>
      </c>
      <c r="B4757" s="8">
        <f t="shared" ref="B4757:C4757" si="6119">B4669</f>
        <v>40000</v>
      </c>
      <c r="C4757" s="8" t="str">
        <f t="shared" si="6119"/>
        <v>装备</v>
      </c>
      <c r="D4757" s="8">
        <v>50350046</v>
      </c>
      <c r="E4757" s="8"/>
      <c r="F4757" s="8">
        <v>1</v>
      </c>
      <c r="G4757" s="8">
        <f>3*INDEX([1]equip.xml!$I:$I,MATCH(D4757,[1]equip.xml!$A:$A,0))</f>
        <v>228000</v>
      </c>
      <c r="H4757" s="8" t="str">
        <f t="shared" ref="H4757:J4757" si="6120">H4669</f>
        <v>10_10,50_20,80_30</v>
      </c>
      <c r="I4757" s="8">
        <v>6</v>
      </c>
      <c r="J4757" s="8">
        <f t="shared" si="6120"/>
        <v>240</v>
      </c>
      <c r="K4757" s="7" t="s">
        <v>310</v>
      </c>
      <c r="L4757" s="8">
        <v>32</v>
      </c>
      <c r="M4757" s="7">
        <f>IF(INDEX([1]equip.xml!$B:$B,MATCH(D4757,[1]equip.xml!$A:$A,0))=0,0,N4757)</f>
        <v>200</v>
      </c>
      <c r="N4757" s="7">
        <f t="shared" si="6092"/>
        <v>200</v>
      </c>
    </row>
    <row r="4758" spans="1:14">
      <c r="A4758" s="7">
        <f t="shared" si="6041"/>
        <v>30012</v>
      </c>
      <c r="B4758" s="8">
        <f t="shared" ref="B4758:C4758" si="6121">B4670</f>
        <v>40000</v>
      </c>
      <c r="C4758" s="8" t="str">
        <f t="shared" si="6121"/>
        <v>装备</v>
      </c>
      <c r="D4758" s="8">
        <v>50350075</v>
      </c>
      <c r="E4758" s="8"/>
      <c r="F4758" s="8">
        <v>1</v>
      </c>
      <c r="G4758" s="8">
        <f>3*INDEX([1]equip.xml!$I:$I,MATCH(D4758,[1]equip.xml!$A:$A,0))</f>
        <v>210000</v>
      </c>
      <c r="H4758" s="8" t="str">
        <f t="shared" ref="H4758:J4758" si="6122">H4670</f>
        <v>10_10,50_20,80_30</v>
      </c>
      <c r="I4758" s="8">
        <v>6</v>
      </c>
      <c r="J4758" s="8">
        <f t="shared" si="6122"/>
        <v>240</v>
      </c>
      <c r="K4758" s="7" t="s">
        <v>310</v>
      </c>
      <c r="L4758" s="8">
        <v>32</v>
      </c>
      <c r="M4758" s="7">
        <f>IF(INDEX([1]equip.xml!$B:$B,MATCH(D4758,[1]equip.xml!$A:$A,0))=0,0,N4758)</f>
        <v>200</v>
      </c>
      <c r="N4758" s="7">
        <f t="shared" si="6092"/>
        <v>200</v>
      </c>
    </row>
    <row r="4759" spans="1:14">
      <c r="A4759" s="7">
        <f t="shared" si="6041"/>
        <v>30012</v>
      </c>
      <c r="B4759" s="8">
        <f t="shared" ref="B4759:C4759" si="6123">B4671</f>
        <v>40000</v>
      </c>
      <c r="C4759" s="8" t="str">
        <f t="shared" si="6123"/>
        <v>装备</v>
      </c>
      <c r="D4759" s="8">
        <v>50350076</v>
      </c>
      <c r="E4759" s="8"/>
      <c r="F4759" s="8">
        <v>1</v>
      </c>
      <c r="G4759" s="8">
        <f>3*INDEX([1]equip.xml!$I:$I,MATCH(D4759,[1]equip.xml!$A:$A,0))</f>
        <v>228000</v>
      </c>
      <c r="H4759" s="8" t="str">
        <f t="shared" ref="H4759:J4759" si="6124">H4671</f>
        <v>10_10,50_20,80_30</v>
      </c>
      <c r="I4759" s="8">
        <v>6</v>
      </c>
      <c r="J4759" s="8">
        <f t="shared" si="6124"/>
        <v>240</v>
      </c>
      <c r="K4759" s="7" t="s">
        <v>310</v>
      </c>
      <c r="L4759" s="8">
        <v>32</v>
      </c>
      <c r="M4759" s="7">
        <f>IF(INDEX([1]equip.xml!$B:$B,MATCH(D4759,[1]equip.xml!$A:$A,0))=0,0,N4759)</f>
        <v>0</v>
      </c>
      <c r="N4759" s="7">
        <f t="shared" si="6092"/>
        <v>200</v>
      </c>
    </row>
    <row r="4760" spans="1:14">
      <c r="A4760" s="7">
        <f t="shared" si="6041"/>
        <v>30012</v>
      </c>
      <c r="B4760" s="8">
        <f t="shared" ref="B4760:C4760" si="6125">B4672</f>
        <v>40000</v>
      </c>
      <c r="C4760" s="8" t="str">
        <f t="shared" si="6125"/>
        <v>装备</v>
      </c>
      <c r="D4760" s="8">
        <v>50400015</v>
      </c>
      <c r="E4760" s="8"/>
      <c r="F4760" s="8">
        <v>1</v>
      </c>
      <c r="G4760" s="8">
        <f>3*INDEX([1]equip.xml!$I:$I,MATCH(D4760,[1]equip.xml!$A:$A,0))</f>
        <v>240000</v>
      </c>
      <c r="H4760" s="8" t="str">
        <f t="shared" ref="H4760:J4760" si="6126">H4672</f>
        <v>10_10,50_20,80_30</v>
      </c>
      <c r="I4760" s="8">
        <v>6</v>
      </c>
      <c r="J4760" s="8">
        <f t="shared" si="6126"/>
        <v>240</v>
      </c>
      <c r="K4760" s="7" t="s">
        <v>310</v>
      </c>
      <c r="L4760" s="8">
        <v>32</v>
      </c>
      <c r="M4760" s="7">
        <f>IF(INDEX([1]equip.xml!$B:$B,MATCH(D4760,[1]equip.xml!$A:$A,0))=0,0,N4760)</f>
        <v>140</v>
      </c>
      <c r="N4760" s="7">
        <f t="shared" si="6092"/>
        <v>140</v>
      </c>
    </row>
    <row r="4761" spans="1:14">
      <c r="A4761" s="7">
        <f t="shared" si="6041"/>
        <v>30012</v>
      </c>
      <c r="B4761" s="8">
        <f t="shared" ref="B4761:C4761" si="6127">B4673</f>
        <v>40000</v>
      </c>
      <c r="C4761" s="8" t="str">
        <f t="shared" si="6127"/>
        <v>装备</v>
      </c>
      <c r="D4761" s="8">
        <v>50400025</v>
      </c>
      <c r="E4761" s="8"/>
      <c r="F4761" s="8">
        <v>1</v>
      </c>
      <c r="G4761" s="8">
        <f>3*INDEX([1]equip.xml!$I:$I,MATCH(D4761,[1]equip.xml!$A:$A,0))</f>
        <v>240000</v>
      </c>
      <c r="H4761" s="8" t="str">
        <f t="shared" ref="H4761:J4761" si="6128">H4673</f>
        <v>10_10,50_20,80_30</v>
      </c>
      <c r="I4761" s="8">
        <v>6</v>
      </c>
      <c r="J4761" s="8">
        <f t="shared" si="6128"/>
        <v>240</v>
      </c>
      <c r="K4761" s="7" t="s">
        <v>310</v>
      </c>
      <c r="L4761" s="8">
        <v>32</v>
      </c>
      <c r="M4761" s="7">
        <f>IF(INDEX([1]equip.xml!$B:$B,MATCH(D4761,[1]equip.xml!$A:$A,0))=0,0,N4761)</f>
        <v>140</v>
      </c>
      <c r="N4761" s="7">
        <f t="shared" si="6092"/>
        <v>140</v>
      </c>
    </row>
    <row r="4762" spans="1:14">
      <c r="A4762" s="7">
        <f t="shared" si="6041"/>
        <v>30012</v>
      </c>
      <c r="B4762" s="8">
        <f t="shared" ref="B4762:C4762" si="6129">B4674</f>
        <v>40000</v>
      </c>
      <c r="C4762" s="8" t="str">
        <f t="shared" si="6129"/>
        <v>装备</v>
      </c>
      <c r="D4762" s="8">
        <v>50400035</v>
      </c>
      <c r="E4762" s="8"/>
      <c r="F4762" s="8">
        <v>1</v>
      </c>
      <c r="G4762" s="8">
        <f>3*INDEX([1]equip.xml!$I:$I,MATCH(D4762,[1]equip.xml!$A:$A,0))</f>
        <v>240000</v>
      </c>
      <c r="H4762" s="8" t="str">
        <f t="shared" ref="H4762:J4762" si="6130">H4674</f>
        <v>10_10,50_20,80_30</v>
      </c>
      <c r="I4762" s="8">
        <v>6</v>
      </c>
      <c r="J4762" s="8">
        <f t="shared" si="6130"/>
        <v>240</v>
      </c>
      <c r="K4762" s="7" t="s">
        <v>310</v>
      </c>
      <c r="L4762" s="8">
        <v>32</v>
      </c>
      <c r="M4762" s="7">
        <f>IF(INDEX([1]equip.xml!$B:$B,MATCH(D4762,[1]equip.xml!$A:$A,0))=0,0,N4762)</f>
        <v>140</v>
      </c>
      <c r="N4762" s="7">
        <f t="shared" si="6092"/>
        <v>140</v>
      </c>
    </row>
    <row r="4763" spans="1:14">
      <c r="A4763" s="7">
        <f t="shared" si="6041"/>
        <v>30012</v>
      </c>
      <c r="B4763" s="8">
        <f t="shared" ref="B4763:C4763" si="6131">B4675</f>
        <v>40000</v>
      </c>
      <c r="C4763" s="8" t="str">
        <f t="shared" si="6131"/>
        <v>装备</v>
      </c>
      <c r="D4763" s="8">
        <v>50400085</v>
      </c>
      <c r="E4763" s="8"/>
      <c r="F4763" s="8">
        <v>1</v>
      </c>
      <c r="G4763" s="8">
        <f>3*INDEX([1]equip.xml!$I:$I,MATCH(D4763,[1]equip.xml!$A:$A,0))</f>
        <v>240000</v>
      </c>
      <c r="H4763" s="8" t="str">
        <f t="shared" ref="H4763:J4763" si="6132">H4675</f>
        <v>10_10,50_20,80_30</v>
      </c>
      <c r="I4763" s="8">
        <v>6</v>
      </c>
      <c r="J4763" s="8">
        <f t="shared" si="6132"/>
        <v>240</v>
      </c>
      <c r="K4763" s="7" t="s">
        <v>310</v>
      </c>
      <c r="L4763" s="8">
        <v>32</v>
      </c>
      <c r="M4763" s="7">
        <f>IF(INDEX([1]equip.xml!$B:$B,MATCH(D4763,[1]equip.xml!$A:$A,0))=0,0,N4763)</f>
        <v>140</v>
      </c>
      <c r="N4763" s="7">
        <f t="shared" si="6092"/>
        <v>140</v>
      </c>
    </row>
    <row r="4764" spans="1:14">
      <c r="A4764" s="7">
        <f t="shared" si="6041"/>
        <v>30012</v>
      </c>
      <c r="B4764" s="8">
        <f t="shared" ref="B4764:C4764" si="6133">B4676</f>
        <v>40000</v>
      </c>
      <c r="C4764" s="8" t="str">
        <f t="shared" si="6133"/>
        <v>装备</v>
      </c>
      <c r="D4764" s="8">
        <v>50400095</v>
      </c>
      <c r="E4764" s="8"/>
      <c r="F4764" s="8">
        <v>1</v>
      </c>
      <c r="G4764" s="8">
        <f>3*INDEX([1]equip.xml!$I:$I,MATCH(D4764,[1]equip.xml!$A:$A,0))</f>
        <v>240000</v>
      </c>
      <c r="H4764" s="8" t="str">
        <f t="shared" ref="H4764:J4764" si="6134">H4676</f>
        <v>10_10,50_20,80_30</v>
      </c>
      <c r="I4764" s="8">
        <v>6</v>
      </c>
      <c r="J4764" s="8">
        <f t="shared" si="6134"/>
        <v>240</v>
      </c>
      <c r="K4764" s="7" t="s">
        <v>310</v>
      </c>
      <c r="L4764" s="8">
        <v>32</v>
      </c>
      <c r="M4764" s="7">
        <f>IF(INDEX([1]equip.xml!$B:$B,MATCH(D4764,[1]equip.xml!$A:$A,0))=0,0,N4764)</f>
        <v>140</v>
      </c>
      <c r="N4764" s="7">
        <f t="shared" si="6092"/>
        <v>140</v>
      </c>
    </row>
    <row r="4765" spans="1:14">
      <c r="A4765" s="7">
        <f t="shared" si="6041"/>
        <v>30012</v>
      </c>
      <c r="B4765" s="8">
        <f t="shared" ref="B4765:C4765" si="6135">B4677</f>
        <v>40000</v>
      </c>
      <c r="C4765" s="8" t="str">
        <f t="shared" si="6135"/>
        <v>装备</v>
      </c>
      <c r="D4765" s="8">
        <v>50400105</v>
      </c>
      <c r="E4765" s="8"/>
      <c r="F4765" s="8">
        <v>1</v>
      </c>
      <c r="G4765" s="8">
        <f>3*INDEX([1]equip.xml!$I:$I,MATCH(D4765,[1]equip.xml!$A:$A,0))</f>
        <v>240000</v>
      </c>
      <c r="H4765" s="8" t="str">
        <f t="shared" ref="H4765:J4765" si="6136">H4677</f>
        <v>10_10,50_20,80_30</v>
      </c>
      <c r="I4765" s="8">
        <v>6</v>
      </c>
      <c r="J4765" s="8">
        <f t="shared" si="6136"/>
        <v>240</v>
      </c>
      <c r="K4765" s="7" t="s">
        <v>310</v>
      </c>
      <c r="L4765" s="8">
        <v>32</v>
      </c>
      <c r="M4765" s="7">
        <f>IF(INDEX([1]equip.xml!$B:$B,MATCH(D4765,[1]equip.xml!$A:$A,0))=0,0,N4765)</f>
        <v>140</v>
      </c>
      <c r="N4765" s="7">
        <f t="shared" si="6092"/>
        <v>140</v>
      </c>
    </row>
    <row r="4766" spans="1:14">
      <c r="A4766" s="7">
        <f t="shared" si="6041"/>
        <v>30012</v>
      </c>
      <c r="B4766" s="8">
        <f t="shared" ref="B4766:C4766" si="6137">B4678</f>
        <v>40000</v>
      </c>
      <c r="C4766" s="8" t="str">
        <f t="shared" si="6137"/>
        <v>装备</v>
      </c>
      <c r="D4766" s="8">
        <v>50401055</v>
      </c>
      <c r="E4766" s="8"/>
      <c r="F4766" s="8">
        <v>1</v>
      </c>
      <c r="G4766" s="8">
        <f>3*INDEX([1]equip.xml!$I:$I,MATCH(D4766,[1]equip.xml!$A:$A,0))</f>
        <v>240000</v>
      </c>
      <c r="H4766" s="8" t="str">
        <f t="shared" ref="H4766:J4766" si="6138">H4678</f>
        <v>10_10,50_20,80_30</v>
      </c>
      <c r="I4766" s="8">
        <v>6</v>
      </c>
      <c r="J4766" s="8">
        <f t="shared" si="6138"/>
        <v>240</v>
      </c>
      <c r="K4766" s="7" t="s">
        <v>310</v>
      </c>
      <c r="L4766" s="8">
        <v>32</v>
      </c>
      <c r="M4766" s="7">
        <f>IF(INDEX([1]equip.xml!$B:$B,MATCH(D4766,[1]equip.xml!$A:$A,0))=0,0,N4766)</f>
        <v>140</v>
      </c>
      <c r="N4766" s="7">
        <f t="shared" si="6092"/>
        <v>140</v>
      </c>
    </row>
    <row r="4767" spans="1:14">
      <c r="A4767" s="7">
        <f t="shared" si="6041"/>
        <v>30012</v>
      </c>
      <c r="B4767" s="8">
        <f t="shared" ref="B4767:C4767" si="6139">B4679</f>
        <v>40000</v>
      </c>
      <c r="C4767" s="8" t="str">
        <f t="shared" si="6139"/>
        <v>装备</v>
      </c>
      <c r="D4767" s="8">
        <v>50401056</v>
      </c>
      <c r="E4767" s="8"/>
      <c r="F4767" s="8">
        <v>1</v>
      </c>
      <c r="G4767" s="8">
        <f>3*INDEX([1]equip.xml!$I:$I,MATCH(D4767,[1]equip.xml!$A:$A,0))</f>
        <v>258000</v>
      </c>
      <c r="H4767" s="8" t="str">
        <f t="shared" ref="H4767:J4767" si="6140">H4679</f>
        <v>10_10,50_20,80_30</v>
      </c>
      <c r="I4767" s="8">
        <v>6</v>
      </c>
      <c r="J4767" s="8">
        <f t="shared" si="6140"/>
        <v>240</v>
      </c>
      <c r="K4767" s="7" t="s">
        <v>310</v>
      </c>
      <c r="L4767" s="8">
        <v>32</v>
      </c>
      <c r="M4767" s="7">
        <f>IF(INDEX([1]equip.xml!$B:$B,MATCH(D4767,[1]equip.xml!$A:$A,0))=0,0,N4767)</f>
        <v>140</v>
      </c>
      <c r="N4767" s="7">
        <f t="shared" si="6092"/>
        <v>140</v>
      </c>
    </row>
    <row r="4768" spans="1:14">
      <c r="A4768" s="7">
        <f t="shared" si="6041"/>
        <v>30012</v>
      </c>
      <c r="B4768" s="8">
        <f t="shared" ref="B4768:C4768" si="6141">B4680</f>
        <v>40000</v>
      </c>
      <c r="C4768" s="8" t="str">
        <f t="shared" si="6141"/>
        <v>装备</v>
      </c>
      <c r="D4768" s="8">
        <v>50401065</v>
      </c>
      <c r="E4768" s="8"/>
      <c r="F4768" s="8">
        <v>1</v>
      </c>
      <c r="G4768" s="8">
        <f>3*INDEX([1]equip.xml!$I:$I,MATCH(D4768,[1]equip.xml!$A:$A,0))</f>
        <v>240000</v>
      </c>
      <c r="H4768" s="8" t="str">
        <f t="shared" ref="H4768:J4768" si="6142">H4680</f>
        <v>10_10,50_20,80_30</v>
      </c>
      <c r="I4768" s="8">
        <v>6</v>
      </c>
      <c r="J4768" s="8">
        <f t="shared" si="6142"/>
        <v>240</v>
      </c>
      <c r="K4768" s="7" t="s">
        <v>310</v>
      </c>
      <c r="L4768" s="8">
        <v>32</v>
      </c>
      <c r="M4768" s="7">
        <f>IF(INDEX([1]equip.xml!$B:$B,MATCH(D4768,[1]equip.xml!$A:$A,0))=0,0,N4768)</f>
        <v>140</v>
      </c>
      <c r="N4768" s="7">
        <f t="shared" si="6092"/>
        <v>140</v>
      </c>
    </row>
    <row r="4769" spans="1:14">
      <c r="A4769" s="7">
        <f t="shared" si="6041"/>
        <v>30012</v>
      </c>
      <c r="B4769" s="8">
        <f t="shared" ref="B4769:C4769" si="6143">B4681</f>
        <v>40000</v>
      </c>
      <c r="C4769" s="8" t="str">
        <f t="shared" si="6143"/>
        <v>装备</v>
      </c>
      <c r="D4769" s="8">
        <v>50401066</v>
      </c>
      <c r="E4769" s="8"/>
      <c r="F4769" s="8">
        <v>1</v>
      </c>
      <c r="G4769" s="8">
        <f>3*INDEX([1]equip.xml!$I:$I,MATCH(D4769,[1]equip.xml!$A:$A,0))</f>
        <v>258000</v>
      </c>
      <c r="H4769" s="8" t="str">
        <f t="shared" ref="H4769:J4769" si="6144">H4681</f>
        <v>10_10,50_20,80_30</v>
      </c>
      <c r="I4769" s="8">
        <v>6</v>
      </c>
      <c r="J4769" s="8">
        <f t="shared" si="6144"/>
        <v>240</v>
      </c>
      <c r="K4769" s="7" t="s">
        <v>310</v>
      </c>
      <c r="L4769" s="8">
        <v>32</v>
      </c>
      <c r="M4769" s="7">
        <f>IF(INDEX([1]equip.xml!$B:$B,MATCH(D4769,[1]equip.xml!$A:$A,0))=0,0,N4769)</f>
        <v>0</v>
      </c>
      <c r="N4769" s="7">
        <f t="shared" si="6092"/>
        <v>140</v>
      </c>
    </row>
    <row r="4770" spans="1:14">
      <c r="A4770" s="7">
        <f t="shared" si="6041"/>
        <v>30012</v>
      </c>
      <c r="B4770" s="8">
        <f t="shared" ref="B4770:C4770" si="6145">B4682</f>
        <v>40000</v>
      </c>
      <c r="C4770" s="8" t="str">
        <f t="shared" si="6145"/>
        <v>装备</v>
      </c>
      <c r="D4770" s="8">
        <v>50402055</v>
      </c>
      <c r="E4770" s="8"/>
      <c r="F4770" s="8">
        <v>1</v>
      </c>
      <c r="G4770" s="8">
        <f>3*INDEX([1]equip.xml!$I:$I,MATCH(D4770,[1]equip.xml!$A:$A,0))</f>
        <v>240000</v>
      </c>
      <c r="H4770" s="8" t="str">
        <f t="shared" ref="H4770:J4770" si="6146">H4682</f>
        <v>10_10,50_20,80_30</v>
      </c>
      <c r="I4770" s="8">
        <v>6</v>
      </c>
      <c r="J4770" s="8">
        <f t="shared" si="6146"/>
        <v>240</v>
      </c>
      <c r="K4770" s="7" t="s">
        <v>310</v>
      </c>
      <c r="L4770" s="8">
        <v>32</v>
      </c>
      <c r="M4770" s="7">
        <f>IF(INDEX([1]equip.xml!$B:$B,MATCH(D4770,[1]equip.xml!$A:$A,0))=0,0,N4770)</f>
        <v>140</v>
      </c>
      <c r="N4770" s="7">
        <f t="shared" si="6092"/>
        <v>140</v>
      </c>
    </row>
    <row r="4771" spans="1:14">
      <c r="A4771" s="7">
        <f t="shared" si="6041"/>
        <v>30012</v>
      </c>
      <c r="B4771" s="8">
        <f t="shared" ref="B4771:C4771" si="6147">B4683</f>
        <v>40000</v>
      </c>
      <c r="C4771" s="8" t="str">
        <f t="shared" si="6147"/>
        <v>装备</v>
      </c>
      <c r="D4771" s="8">
        <v>50402056</v>
      </c>
      <c r="E4771" s="8"/>
      <c r="F4771" s="8">
        <v>1</v>
      </c>
      <c r="G4771" s="8">
        <f>3*INDEX([1]equip.xml!$I:$I,MATCH(D4771,[1]equip.xml!$A:$A,0))</f>
        <v>258000</v>
      </c>
      <c r="H4771" s="8" t="str">
        <f t="shared" ref="H4771:J4771" si="6148">H4683</f>
        <v>10_10,50_20,80_30</v>
      </c>
      <c r="I4771" s="8">
        <v>6</v>
      </c>
      <c r="J4771" s="8">
        <f t="shared" si="6148"/>
        <v>240</v>
      </c>
      <c r="K4771" s="7" t="s">
        <v>310</v>
      </c>
      <c r="L4771" s="8">
        <v>32</v>
      </c>
      <c r="M4771" s="7">
        <f>IF(INDEX([1]equip.xml!$B:$B,MATCH(D4771,[1]equip.xml!$A:$A,0))=0,0,N4771)</f>
        <v>140</v>
      </c>
      <c r="N4771" s="7">
        <f t="shared" si="6092"/>
        <v>140</v>
      </c>
    </row>
    <row r="4772" spans="1:14">
      <c r="A4772" s="7">
        <f t="shared" si="6041"/>
        <v>30012</v>
      </c>
      <c r="B4772" s="8">
        <f t="shared" ref="B4772:C4772" si="6149">B4684</f>
        <v>40000</v>
      </c>
      <c r="C4772" s="8" t="str">
        <f t="shared" si="6149"/>
        <v>装备</v>
      </c>
      <c r="D4772" s="8">
        <v>50402065</v>
      </c>
      <c r="E4772" s="8"/>
      <c r="F4772" s="8">
        <v>1</v>
      </c>
      <c r="G4772" s="8">
        <f>3*INDEX([1]equip.xml!$I:$I,MATCH(D4772,[1]equip.xml!$A:$A,0))</f>
        <v>240000</v>
      </c>
      <c r="H4772" s="8" t="str">
        <f t="shared" ref="H4772:J4772" si="6150">H4684</f>
        <v>10_10,50_20,80_30</v>
      </c>
      <c r="I4772" s="8">
        <v>6</v>
      </c>
      <c r="J4772" s="8">
        <f t="shared" si="6150"/>
        <v>240</v>
      </c>
      <c r="K4772" s="7" t="s">
        <v>310</v>
      </c>
      <c r="L4772" s="8">
        <v>32</v>
      </c>
      <c r="M4772" s="7">
        <f>IF(INDEX([1]equip.xml!$B:$B,MATCH(D4772,[1]equip.xml!$A:$A,0))=0,0,N4772)</f>
        <v>140</v>
      </c>
      <c r="N4772" s="7">
        <f t="shared" si="6092"/>
        <v>140</v>
      </c>
    </row>
    <row r="4773" spans="1:14">
      <c r="A4773" s="7">
        <f t="shared" si="6041"/>
        <v>30012</v>
      </c>
      <c r="B4773" s="8">
        <f t="shared" ref="B4773:C4773" si="6151">B4685</f>
        <v>40000</v>
      </c>
      <c r="C4773" s="8" t="str">
        <f t="shared" si="6151"/>
        <v>装备</v>
      </c>
      <c r="D4773" s="8">
        <v>50402066</v>
      </c>
      <c r="E4773" s="8"/>
      <c r="F4773" s="8">
        <v>1</v>
      </c>
      <c r="G4773" s="8">
        <f>3*INDEX([1]equip.xml!$I:$I,MATCH(D4773,[1]equip.xml!$A:$A,0))</f>
        <v>258000</v>
      </c>
      <c r="H4773" s="8" t="str">
        <f t="shared" ref="H4773:J4773" si="6152">H4685</f>
        <v>10_10,50_20,80_30</v>
      </c>
      <c r="I4773" s="8">
        <v>6</v>
      </c>
      <c r="J4773" s="8">
        <f t="shared" si="6152"/>
        <v>240</v>
      </c>
      <c r="K4773" s="7" t="s">
        <v>310</v>
      </c>
      <c r="L4773" s="8">
        <v>32</v>
      </c>
      <c r="M4773" s="7">
        <f>IF(INDEX([1]equip.xml!$B:$B,MATCH(D4773,[1]equip.xml!$A:$A,0))=0,0,N4773)</f>
        <v>0</v>
      </c>
      <c r="N4773" s="7">
        <f t="shared" si="6092"/>
        <v>140</v>
      </c>
    </row>
    <row r="4774" spans="1:14">
      <c r="A4774" s="7">
        <f t="shared" si="6041"/>
        <v>30012</v>
      </c>
      <c r="B4774" s="8">
        <f t="shared" ref="B4774:C4774" si="6153">B4686</f>
        <v>40000</v>
      </c>
      <c r="C4774" s="8" t="str">
        <f t="shared" si="6153"/>
        <v>装备</v>
      </c>
      <c r="D4774" s="8">
        <v>50403055</v>
      </c>
      <c r="E4774" s="8"/>
      <c r="F4774" s="8">
        <v>1</v>
      </c>
      <c r="G4774" s="8">
        <f>3*INDEX([1]equip.xml!$I:$I,MATCH(D4774,[1]equip.xml!$A:$A,0))</f>
        <v>240000</v>
      </c>
      <c r="H4774" s="8" t="str">
        <f t="shared" ref="H4774:J4774" si="6154">H4686</f>
        <v>10_10,50_20,80_30</v>
      </c>
      <c r="I4774" s="8">
        <v>6</v>
      </c>
      <c r="J4774" s="8">
        <f t="shared" si="6154"/>
        <v>240</v>
      </c>
      <c r="K4774" s="7" t="s">
        <v>310</v>
      </c>
      <c r="L4774" s="8">
        <v>32</v>
      </c>
      <c r="M4774" s="7">
        <f>IF(INDEX([1]equip.xml!$B:$B,MATCH(D4774,[1]equip.xml!$A:$A,0))=0,0,N4774)</f>
        <v>140</v>
      </c>
      <c r="N4774" s="7">
        <f t="shared" si="6092"/>
        <v>140</v>
      </c>
    </row>
    <row r="4775" spans="1:14">
      <c r="A4775" s="7">
        <f t="shared" si="6041"/>
        <v>30012</v>
      </c>
      <c r="B4775" s="8">
        <f t="shared" ref="B4775:C4775" si="6155">B4687</f>
        <v>40000</v>
      </c>
      <c r="C4775" s="8" t="str">
        <f t="shared" si="6155"/>
        <v>装备</v>
      </c>
      <c r="D4775" s="8">
        <v>50403056</v>
      </c>
      <c r="E4775" s="8"/>
      <c r="F4775" s="8">
        <v>1</v>
      </c>
      <c r="G4775" s="8">
        <f>3*INDEX([1]equip.xml!$I:$I,MATCH(D4775,[1]equip.xml!$A:$A,0))</f>
        <v>258000</v>
      </c>
      <c r="H4775" s="8" t="str">
        <f t="shared" ref="H4775:J4775" si="6156">H4687</f>
        <v>10_10,50_20,80_30</v>
      </c>
      <c r="I4775" s="8">
        <v>6</v>
      </c>
      <c r="J4775" s="8">
        <f t="shared" si="6156"/>
        <v>240</v>
      </c>
      <c r="K4775" s="7" t="s">
        <v>310</v>
      </c>
      <c r="L4775" s="8">
        <v>32</v>
      </c>
      <c r="M4775" s="7">
        <f>IF(INDEX([1]equip.xml!$B:$B,MATCH(D4775,[1]equip.xml!$A:$A,0))=0,0,N4775)</f>
        <v>140</v>
      </c>
      <c r="N4775" s="7">
        <f t="shared" si="6092"/>
        <v>140</v>
      </c>
    </row>
    <row r="4776" spans="1:14">
      <c r="A4776" s="7">
        <f t="shared" si="6041"/>
        <v>30012</v>
      </c>
      <c r="B4776" s="8">
        <f t="shared" ref="B4776:C4776" si="6157">B4688</f>
        <v>40000</v>
      </c>
      <c r="C4776" s="8" t="str">
        <f t="shared" si="6157"/>
        <v>装备</v>
      </c>
      <c r="D4776" s="8">
        <v>50403065</v>
      </c>
      <c r="E4776" s="8"/>
      <c r="F4776" s="8">
        <v>1</v>
      </c>
      <c r="G4776" s="8">
        <f>3*INDEX([1]equip.xml!$I:$I,MATCH(D4776,[1]equip.xml!$A:$A,0))</f>
        <v>240000</v>
      </c>
      <c r="H4776" s="8" t="str">
        <f t="shared" ref="H4776:J4776" si="6158">H4688</f>
        <v>10_10,50_20,80_30</v>
      </c>
      <c r="I4776" s="8">
        <v>6</v>
      </c>
      <c r="J4776" s="8">
        <f t="shared" si="6158"/>
        <v>240</v>
      </c>
      <c r="K4776" s="7" t="s">
        <v>310</v>
      </c>
      <c r="L4776" s="8">
        <v>32</v>
      </c>
      <c r="M4776" s="7">
        <f>IF(INDEX([1]equip.xml!$B:$B,MATCH(D4776,[1]equip.xml!$A:$A,0))=0,0,N4776)</f>
        <v>140</v>
      </c>
      <c r="N4776" s="7">
        <f t="shared" si="6092"/>
        <v>140</v>
      </c>
    </row>
    <row r="4777" spans="1:14">
      <c r="A4777" s="7">
        <f t="shared" si="6041"/>
        <v>30012</v>
      </c>
      <c r="B4777" s="8">
        <f t="shared" ref="B4777:C4777" si="6159">B4689</f>
        <v>40000</v>
      </c>
      <c r="C4777" s="8" t="str">
        <f t="shared" si="6159"/>
        <v>装备</v>
      </c>
      <c r="D4777" s="8">
        <v>50403066</v>
      </c>
      <c r="E4777" s="8"/>
      <c r="F4777" s="8">
        <v>1</v>
      </c>
      <c r="G4777" s="8">
        <f>3*INDEX([1]equip.xml!$I:$I,MATCH(D4777,[1]equip.xml!$A:$A,0))</f>
        <v>258000</v>
      </c>
      <c r="H4777" s="8" t="str">
        <f t="shared" ref="H4777:J4777" si="6160">H4689</f>
        <v>10_10,50_20,80_30</v>
      </c>
      <c r="I4777" s="8">
        <v>6</v>
      </c>
      <c r="J4777" s="8">
        <f t="shared" si="6160"/>
        <v>240</v>
      </c>
      <c r="K4777" s="7" t="s">
        <v>310</v>
      </c>
      <c r="L4777" s="8">
        <v>32</v>
      </c>
      <c r="M4777" s="7">
        <f>IF(INDEX([1]equip.xml!$B:$B,MATCH(D4777,[1]equip.xml!$A:$A,0))=0,0,N4777)</f>
        <v>0</v>
      </c>
      <c r="N4777" s="7">
        <f t="shared" si="6092"/>
        <v>140</v>
      </c>
    </row>
    <row r="4778" spans="1:14">
      <c r="A4778" s="7">
        <f t="shared" si="6041"/>
        <v>30012</v>
      </c>
      <c r="B4778" s="8">
        <f t="shared" ref="B4778:C4778" si="6161">B4690</f>
        <v>40000</v>
      </c>
      <c r="C4778" s="8" t="str">
        <f t="shared" si="6161"/>
        <v>装备</v>
      </c>
      <c r="D4778" s="8">
        <v>50400045</v>
      </c>
      <c r="E4778" s="8"/>
      <c r="F4778" s="8">
        <v>1</v>
      </c>
      <c r="G4778" s="8">
        <f>3*INDEX([1]equip.xml!$I:$I,MATCH(D4778,[1]equip.xml!$A:$A,0))</f>
        <v>240000</v>
      </c>
      <c r="H4778" s="8" t="str">
        <f t="shared" ref="H4778:J4778" si="6162">H4690</f>
        <v>10_10,50_20,80_30</v>
      </c>
      <c r="I4778" s="8">
        <v>6</v>
      </c>
      <c r="J4778" s="8">
        <f t="shared" si="6162"/>
        <v>240</v>
      </c>
      <c r="K4778" s="7" t="s">
        <v>310</v>
      </c>
      <c r="L4778" s="8">
        <v>32</v>
      </c>
      <c r="M4778" s="7">
        <f>IF(INDEX([1]equip.xml!$B:$B,MATCH(D4778,[1]equip.xml!$A:$A,0))=0,0,N4778)</f>
        <v>140</v>
      </c>
      <c r="N4778" s="7">
        <f t="shared" si="6092"/>
        <v>140</v>
      </c>
    </row>
    <row r="4779" spans="1:14">
      <c r="A4779" s="7">
        <f t="shared" si="6041"/>
        <v>30012</v>
      </c>
      <c r="B4779" s="8">
        <f t="shared" ref="B4779:C4779" si="6163">B4691</f>
        <v>40000</v>
      </c>
      <c r="C4779" s="8" t="str">
        <f t="shared" si="6163"/>
        <v>装备</v>
      </c>
      <c r="D4779" s="8">
        <v>50400046</v>
      </c>
      <c r="E4779" s="8"/>
      <c r="F4779" s="8">
        <v>1</v>
      </c>
      <c r="G4779" s="8">
        <f>3*INDEX([1]equip.xml!$I:$I,MATCH(D4779,[1]equip.xml!$A:$A,0))</f>
        <v>258000</v>
      </c>
      <c r="H4779" s="8" t="str">
        <f t="shared" ref="H4779:J4779" si="6164">H4691</f>
        <v>10_10,50_20,80_30</v>
      </c>
      <c r="I4779" s="8">
        <v>6</v>
      </c>
      <c r="J4779" s="8">
        <f t="shared" si="6164"/>
        <v>240</v>
      </c>
      <c r="K4779" s="7" t="s">
        <v>310</v>
      </c>
      <c r="L4779" s="8">
        <v>32</v>
      </c>
      <c r="M4779" s="7">
        <f>IF(INDEX([1]equip.xml!$B:$B,MATCH(D4779,[1]equip.xml!$A:$A,0))=0,0,N4779)</f>
        <v>0</v>
      </c>
      <c r="N4779" s="7">
        <f t="shared" si="6092"/>
        <v>140</v>
      </c>
    </row>
    <row r="4780" spans="1:14">
      <c r="A4780" s="7">
        <f t="shared" si="6041"/>
        <v>30012</v>
      </c>
      <c r="B4780" s="8">
        <f t="shared" ref="B4780:C4780" si="6165">B4692</f>
        <v>40000</v>
      </c>
      <c r="C4780" s="8" t="str">
        <f t="shared" si="6165"/>
        <v>装备</v>
      </c>
      <c r="D4780" s="8">
        <v>50400075</v>
      </c>
      <c r="E4780" s="8"/>
      <c r="F4780" s="8">
        <v>1</v>
      </c>
      <c r="G4780" s="8">
        <f>3*INDEX([1]equip.xml!$I:$I,MATCH(D4780,[1]equip.xml!$A:$A,0))</f>
        <v>240000</v>
      </c>
      <c r="H4780" s="8" t="str">
        <f t="shared" ref="H4780:J4780" si="6166">H4692</f>
        <v>10_10,50_20,80_30</v>
      </c>
      <c r="I4780" s="8">
        <v>6</v>
      </c>
      <c r="J4780" s="8">
        <f t="shared" si="6166"/>
        <v>240</v>
      </c>
      <c r="K4780" s="7" t="s">
        <v>310</v>
      </c>
      <c r="L4780" s="8">
        <v>32</v>
      </c>
      <c r="M4780" s="7">
        <f>IF(INDEX([1]equip.xml!$B:$B,MATCH(D4780,[1]equip.xml!$A:$A,0))=0,0,N4780)</f>
        <v>140</v>
      </c>
      <c r="N4780" s="7">
        <f t="shared" si="6092"/>
        <v>140</v>
      </c>
    </row>
    <row r="4781" spans="1:14">
      <c r="A4781" s="7">
        <f t="shared" si="6041"/>
        <v>30012</v>
      </c>
      <c r="B4781" s="8">
        <f t="shared" ref="B4781:C4781" si="6167">B4693</f>
        <v>40000</v>
      </c>
      <c r="C4781" s="8" t="str">
        <f t="shared" si="6167"/>
        <v>装备</v>
      </c>
      <c r="D4781" s="8">
        <v>50400076</v>
      </c>
      <c r="E4781" s="8"/>
      <c r="F4781" s="8">
        <v>1</v>
      </c>
      <c r="G4781" s="8">
        <f>3*INDEX([1]equip.xml!$I:$I,MATCH(D4781,[1]equip.xml!$A:$A,0))</f>
        <v>258000</v>
      </c>
      <c r="H4781" s="8" t="str">
        <f t="shared" ref="H4781:J4781" si="6168">H4693</f>
        <v>10_10,50_20,80_30</v>
      </c>
      <c r="I4781" s="8">
        <v>6</v>
      </c>
      <c r="J4781" s="8">
        <f t="shared" si="6168"/>
        <v>240</v>
      </c>
      <c r="K4781" s="7" t="s">
        <v>310</v>
      </c>
      <c r="L4781" s="8">
        <v>32</v>
      </c>
      <c r="M4781" s="7">
        <f>IF(INDEX([1]equip.xml!$B:$B,MATCH(D4781,[1]equip.xml!$A:$A,0))=0,0,N4781)</f>
        <v>0</v>
      </c>
      <c r="N4781" s="7">
        <f t="shared" si="6092"/>
        <v>140</v>
      </c>
    </row>
    <row r="4782" spans="1:14">
      <c r="A4782" s="7">
        <f t="shared" si="6041"/>
        <v>30013</v>
      </c>
      <c r="B4782" s="7">
        <f t="shared" ref="B4782:C4782" si="6169">B4694</f>
        <v>40000</v>
      </c>
      <c r="C4782" s="7" t="str">
        <f t="shared" si="6169"/>
        <v>装备</v>
      </c>
      <c r="D4782" s="7">
        <v>40400010</v>
      </c>
      <c r="E4782" s="7"/>
      <c r="F4782" s="7">
        <v>1</v>
      </c>
      <c r="G4782" s="7">
        <f>3*INDEX([1]equip.xml!$I:$I,MATCH(D4782&amp;"",[1]equip.xml!$A:$A,0))</f>
        <v>120000</v>
      </c>
      <c r="H4782" s="7" t="str">
        <f t="shared" ref="H4782:J4782" si="6170">H4694</f>
        <v>10_10,50_20,80_30</v>
      </c>
      <c r="I4782" s="7">
        <v>6</v>
      </c>
      <c r="J4782" s="7">
        <f t="shared" si="6170"/>
        <v>50</v>
      </c>
      <c r="K4782" s="7" t="s">
        <v>310</v>
      </c>
      <c r="L4782" s="7">
        <v>34</v>
      </c>
      <c r="M4782" s="7">
        <f>IF(INDEX([1]equip.xml!$B:$B,MATCH(D4782&amp;"",[1]equip.xml!$A:$A,0))=0,0,N4782)</f>
        <v>100</v>
      </c>
      <c r="N4782" s="7">
        <f t="shared" si="6092"/>
        <v>100</v>
      </c>
    </row>
    <row r="4783" spans="1:14">
      <c r="A4783" s="7">
        <f t="shared" ref="A4783:A4846" si="6171">10000+A3551</f>
        <v>30013</v>
      </c>
      <c r="B4783" s="7">
        <f t="shared" ref="B4783:C4783" si="6172">B4695</f>
        <v>40000</v>
      </c>
      <c r="C4783" s="7" t="str">
        <f t="shared" si="6172"/>
        <v>装备</v>
      </c>
      <c r="D4783" s="7">
        <v>40400020</v>
      </c>
      <c r="E4783" s="7"/>
      <c r="F4783" s="7">
        <v>1</v>
      </c>
      <c r="G4783" s="7">
        <f>3*INDEX([1]equip.xml!$I:$I,MATCH(D4783&amp;"",[1]equip.xml!$A:$A,0))</f>
        <v>120000</v>
      </c>
      <c r="H4783" s="7" t="str">
        <f t="shared" ref="H4783:J4783" si="6173">H4695</f>
        <v>10_10,50_20,80_30</v>
      </c>
      <c r="I4783" s="7">
        <v>6</v>
      </c>
      <c r="J4783" s="7">
        <f t="shared" si="6173"/>
        <v>50</v>
      </c>
      <c r="K4783" s="7" t="s">
        <v>310</v>
      </c>
      <c r="L4783" s="7">
        <v>34</v>
      </c>
      <c r="M4783" s="7">
        <f>IF(INDEX([1]equip.xml!$B:$B,MATCH(D4783&amp;"",[1]equip.xml!$A:$A,0))=0,0,N4783)</f>
        <v>100</v>
      </c>
      <c r="N4783" s="7">
        <f t="shared" si="6092"/>
        <v>100</v>
      </c>
    </row>
    <row r="4784" spans="1:14">
      <c r="A4784" s="7">
        <f t="shared" si="6171"/>
        <v>30013</v>
      </c>
      <c r="B4784" s="7">
        <f t="shared" ref="B4784:C4784" si="6174">B4696</f>
        <v>40000</v>
      </c>
      <c r="C4784" s="7" t="str">
        <f t="shared" si="6174"/>
        <v>装备</v>
      </c>
      <c r="D4784" s="7">
        <v>40400030</v>
      </c>
      <c r="E4784" s="7"/>
      <c r="F4784" s="7">
        <v>1</v>
      </c>
      <c r="G4784" s="7">
        <f>3*INDEX([1]equip.xml!$I:$I,MATCH(D4784&amp;"",[1]equip.xml!$A:$A,0))</f>
        <v>120000</v>
      </c>
      <c r="H4784" s="7" t="str">
        <f t="shared" ref="H4784:J4784" si="6175">H4696</f>
        <v>10_10,50_20,80_30</v>
      </c>
      <c r="I4784" s="7">
        <v>6</v>
      </c>
      <c r="J4784" s="7">
        <f t="shared" si="6175"/>
        <v>50</v>
      </c>
      <c r="K4784" s="7" t="s">
        <v>310</v>
      </c>
      <c r="L4784" s="7">
        <v>34</v>
      </c>
      <c r="M4784" s="7">
        <f>IF(INDEX([1]equip.xml!$B:$B,MATCH(D4784&amp;"",[1]equip.xml!$A:$A,0))=0,0,N4784)</f>
        <v>100</v>
      </c>
      <c r="N4784" s="7">
        <f t="shared" si="6092"/>
        <v>100</v>
      </c>
    </row>
    <row r="4785" spans="1:14">
      <c r="A4785" s="7">
        <f t="shared" si="6171"/>
        <v>30013</v>
      </c>
      <c r="B4785" s="7">
        <f t="shared" ref="B4785:C4785" si="6176">B4697</f>
        <v>40000</v>
      </c>
      <c r="C4785" s="7" t="str">
        <f t="shared" si="6176"/>
        <v>装备</v>
      </c>
      <c r="D4785" s="7">
        <v>40400080</v>
      </c>
      <c r="E4785" s="7"/>
      <c r="F4785" s="7">
        <v>1</v>
      </c>
      <c r="G4785" s="7">
        <f>3*INDEX([1]equip.xml!$I:$I,MATCH(D4785&amp;"",[1]equip.xml!$A:$A,0))</f>
        <v>120000</v>
      </c>
      <c r="H4785" s="7" t="str">
        <f t="shared" ref="H4785:J4785" si="6177">H4697</f>
        <v>10_10,50_20,80_30</v>
      </c>
      <c r="I4785" s="7">
        <v>6</v>
      </c>
      <c r="J4785" s="7">
        <f t="shared" si="6177"/>
        <v>50</v>
      </c>
      <c r="K4785" s="7" t="s">
        <v>310</v>
      </c>
      <c r="L4785" s="7">
        <v>34</v>
      </c>
      <c r="M4785" s="7">
        <f>IF(INDEX([1]equip.xml!$B:$B,MATCH(D4785&amp;"",[1]equip.xml!$A:$A,0))=0,0,N4785)</f>
        <v>100</v>
      </c>
      <c r="N4785" s="7">
        <f t="shared" si="6092"/>
        <v>100</v>
      </c>
    </row>
    <row r="4786" spans="1:14">
      <c r="A4786" s="7">
        <f t="shared" si="6171"/>
        <v>30013</v>
      </c>
      <c r="B4786" s="7">
        <f t="shared" ref="B4786:C4786" si="6178">B4698</f>
        <v>40000</v>
      </c>
      <c r="C4786" s="7" t="str">
        <f t="shared" si="6178"/>
        <v>装备</v>
      </c>
      <c r="D4786" s="7">
        <v>40400090</v>
      </c>
      <c r="E4786" s="7"/>
      <c r="F4786" s="7">
        <v>1</v>
      </c>
      <c r="G4786" s="7">
        <f>3*INDEX([1]equip.xml!$I:$I,MATCH(D4786&amp;"",[1]equip.xml!$A:$A,0))</f>
        <v>120000</v>
      </c>
      <c r="H4786" s="7" t="str">
        <f t="shared" ref="H4786:J4786" si="6179">H4698</f>
        <v>10_10,50_20,80_30</v>
      </c>
      <c r="I4786" s="7">
        <v>6</v>
      </c>
      <c r="J4786" s="7">
        <f t="shared" si="6179"/>
        <v>50</v>
      </c>
      <c r="K4786" s="7" t="s">
        <v>310</v>
      </c>
      <c r="L4786" s="7">
        <v>34</v>
      </c>
      <c r="M4786" s="7">
        <f>IF(INDEX([1]equip.xml!$B:$B,MATCH(D4786&amp;"",[1]equip.xml!$A:$A,0))=0,0,N4786)</f>
        <v>100</v>
      </c>
      <c r="N4786" s="7">
        <f t="shared" si="6092"/>
        <v>100</v>
      </c>
    </row>
    <row r="4787" spans="1:14">
      <c r="A4787" s="7">
        <f t="shared" si="6171"/>
        <v>30013</v>
      </c>
      <c r="B4787" s="7">
        <f t="shared" ref="B4787:C4787" si="6180">B4699</f>
        <v>40000</v>
      </c>
      <c r="C4787" s="7" t="str">
        <f t="shared" si="6180"/>
        <v>装备</v>
      </c>
      <c r="D4787" s="7">
        <v>40400100</v>
      </c>
      <c r="E4787" s="7"/>
      <c r="F4787" s="7">
        <v>1</v>
      </c>
      <c r="G4787" s="7">
        <f>3*INDEX([1]equip.xml!$I:$I,MATCH(D4787&amp;"",[1]equip.xml!$A:$A,0))</f>
        <v>120000</v>
      </c>
      <c r="H4787" s="7" t="str">
        <f t="shared" ref="H4787:J4787" si="6181">H4699</f>
        <v>10_10,50_20,80_30</v>
      </c>
      <c r="I4787" s="7">
        <v>6</v>
      </c>
      <c r="J4787" s="7">
        <f t="shared" si="6181"/>
        <v>50</v>
      </c>
      <c r="K4787" s="7" t="s">
        <v>310</v>
      </c>
      <c r="L4787" s="7">
        <v>34</v>
      </c>
      <c r="M4787" s="7">
        <f>IF(INDEX([1]equip.xml!$B:$B,MATCH(D4787&amp;"",[1]equip.xml!$A:$A,0))=0,0,N4787)</f>
        <v>100</v>
      </c>
      <c r="N4787" s="7">
        <f t="shared" si="6092"/>
        <v>100</v>
      </c>
    </row>
    <row r="4788" spans="1:14">
      <c r="A4788" s="7">
        <f t="shared" si="6171"/>
        <v>30013</v>
      </c>
      <c r="B4788" s="7">
        <f t="shared" ref="B4788:C4788" si="6182">B4700</f>
        <v>40000</v>
      </c>
      <c r="C4788" s="7" t="str">
        <f t="shared" si="6182"/>
        <v>装备</v>
      </c>
      <c r="D4788" s="7">
        <v>40401050</v>
      </c>
      <c r="E4788" s="7"/>
      <c r="F4788" s="7">
        <v>1</v>
      </c>
      <c r="G4788" s="7">
        <f>3*INDEX([1]equip.xml!$I:$I,MATCH(D4788&amp;"",[1]equip.xml!$A:$A,0))</f>
        <v>120000</v>
      </c>
      <c r="H4788" s="7" t="str">
        <f t="shared" ref="H4788:J4788" si="6183">H4700</f>
        <v>10_10,50_20,80_30</v>
      </c>
      <c r="I4788" s="7">
        <v>6</v>
      </c>
      <c r="J4788" s="7">
        <f t="shared" si="6183"/>
        <v>50</v>
      </c>
      <c r="K4788" s="7" t="s">
        <v>310</v>
      </c>
      <c r="L4788" s="7">
        <v>34</v>
      </c>
      <c r="M4788" s="7">
        <f>IF(INDEX([1]equip.xml!$B:$B,MATCH(D4788&amp;"",[1]equip.xml!$A:$A,0))=0,0,N4788)</f>
        <v>100</v>
      </c>
      <c r="N4788" s="7">
        <f t="shared" si="6092"/>
        <v>100</v>
      </c>
    </row>
    <row r="4789" spans="1:14">
      <c r="A4789" s="7">
        <f t="shared" si="6171"/>
        <v>30013</v>
      </c>
      <c r="B4789" s="7">
        <f t="shared" ref="B4789:C4789" si="6184">B4701</f>
        <v>40000</v>
      </c>
      <c r="C4789" s="7" t="str">
        <f t="shared" si="6184"/>
        <v>装备</v>
      </c>
      <c r="D4789" s="7">
        <v>40401051</v>
      </c>
      <c r="E4789" s="7"/>
      <c r="F4789" s="7">
        <v>1</v>
      </c>
      <c r="G4789" s="7">
        <f>3*INDEX([1]equip.xml!$I:$I,MATCH(D4789&amp;"",[1]equip.xml!$A:$A,0))</f>
        <v>129000</v>
      </c>
      <c r="H4789" s="7" t="str">
        <f t="shared" ref="H4789:J4789" si="6185">H4701</f>
        <v>10_10,50_20,80_30</v>
      </c>
      <c r="I4789" s="7">
        <v>6</v>
      </c>
      <c r="J4789" s="7">
        <f t="shared" si="6185"/>
        <v>50</v>
      </c>
      <c r="K4789" s="7" t="s">
        <v>310</v>
      </c>
      <c r="L4789" s="7">
        <v>34</v>
      </c>
      <c r="M4789" s="7">
        <f>IF(INDEX([1]equip.xml!$B:$B,MATCH(D4789&amp;"",[1]equip.xml!$A:$A,0))=0,0,N4789)</f>
        <v>100</v>
      </c>
      <c r="N4789" s="7">
        <f t="shared" si="6092"/>
        <v>100</v>
      </c>
    </row>
    <row r="4790" spans="1:14">
      <c r="A4790" s="7">
        <f t="shared" si="6171"/>
        <v>30013</v>
      </c>
      <c r="B4790" s="7">
        <f t="shared" ref="B4790:C4790" si="6186">B4702</f>
        <v>40000</v>
      </c>
      <c r="C4790" s="7" t="str">
        <f t="shared" si="6186"/>
        <v>装备</v>
      </c>
      <c r="D4790" s="7">
        <v>40401060</v>
      </c>
      <c r="E4790" s="7"/>
      <c r="F4790" s="7">
        <v>1</v>
      </c>
      <c r="G4790" s="7">
        <f>3*INDEX([1]equip.xml!$I:$I,MATCH(D4790&amp;"",[1]equip.xml!$A:$A,0))</f>
        <v>120000</v>
      </c>
      <c r="H4790" s="7" t="str">
        <f t="shared" ref="H4790:J4790" si="6187">H4702</f>
        <v>10_10,50_20,80_30</v>
      </c>
      <c r="I4790" s="7">
        <v>6</v>
      </c>
      <c r="J4790" s="7">
        <f t="shared" si="6187"/>
        <v>50</v>
      </c>
      <c r="K4790" s="7" t="s">
        <v>310</v>
      </c>
      <c r="L4790" s="7">
        <v>34</v>
      </c>
      <c r="M4790" s="7">
        <f>IF(INDEX([1]equip.xml!$B:$B,MATCH(D4790&amp;"",[1]equip.xml!$A:$A,0))=0,0,N4790)</f>
        <v>100</v>
      </c>
      <c r="N4790" s="7">
        <f t="shared" si="6092"/>
        <v>100</v>
      </c>
    </row>
    <row r="4791" spans="1:14">
      <c r="A4791" s="7">
        <f t="shared" si="6171"/>
        <v>30013</v>
      </c>
      <c r="B4791" s="7">
        <f t="shared" ref="B4791:C4791" si="6188">B4703</f>
        <v>40000</v>
      </c>
      <c r="C4791" s="7" t="str">
        <f t="shared" si="6188"/>
        <v>装备</v>
      </c>
      <c r="D4791" s="7">
        <v>40401061</v>
      </c>
      <c r="E4791" s="7"/>
      <c r="F4791" s="7">
        <v>1</v>
      </c>
      <c r="G4791" s="7">
        <f>3*INDEX([1]equip.xml!$I:$I,MATCH(D4791&amp;"",[1]equip.xml!$A:$A,0))</f>
        <v>129000</v>
      </c>
      <c r="H4791" s="7" t="str">
        <f t="shared" ref="H4791:J4791" si="6189">H4703</f>
        <v>10_10,50_20,80_30</v>
      </c>
      <c r="I4791" s="7">
        <v>6</v>
      </c>
      <c r="J4791" s="7">
        <f t="shared" si="6189"/>
        <v>50</v>
      </c>
      <c r="K4791" s="7" t="s">
        <v>310</v>
      </c>
      <c r="L4791" s="7">
        <v>34</v>
      </c>
      <c r="M4791" s="7">
        <f>IF(INDEX([1]equip.xml!$B:$B,MATCH(D4791&amp;"",[1]equip.xml!$A:$A,0))=0,0,N4791)</f>
        <v>0</v>
      </c>
      <c r="N4791" s="7">
        <f t="shared" si="6092"/>
        <v>100</v>
      </c>
    </row>
    <row r="4792" spans="1:14">
      <c r="A4792" s="7">
        <f t="shared" si="6171"/>
        <v>30013</v>
      </c>
      <c r="B4792" s="7">
        <f t="shared" ref="B4792:C4792" si="6190">B4704</f>
        <v>40000</v>
      </c>
      <c r="C4792" s="7" t="str">
        <f t="shared" si="6190"/>
        <v>装备</v>
      </c>
      <c r="D4792" s="7">
        <v>40402050</v>
      </c>
      <c r="E4792" s="7"/>
      <c r="F4792" s="7">
        <v>1</v>
      </c>
      <c r="G4792" s="7">
        <f>3*INDEX([1]equip.xml!$I:$I,MATCH(D4792&amp;"",[1]equip.xml!$A:$A,0))</f>
        <v>120000</v>
      </c>
      <c r="H4792" s="7" t="str">
        <f t="shared" ref="H4792:J4792" si="6191">H4704</f>
        <v>10_10,50_20,80_30</v>
      </c>
      <c r="I4792" s="7">
        <v>6</v>
      </c>
      <c r="J4792" s="7">
        <f t="shared" si="6191"/>
        <v>50</v>
      </c>
      <c r="K4792" s="7" t="s">
        <v>310</v>
      </c>
      <c r="L4792" s="7">
        <v>34</v>
      </c>
      <c r="M4792" s="7">
        <f>IF(INDEX([1]equip.xml!$B:$B,MATCH(D4792&amp;"",[1]equip.xml!$A:$A,0))=0,0,N4792)</f>
        <v>100</v>
      </c>
      <c r="N4792" s="7">
        <f t="shared" si="6092"/>
        <v>100</v>
      </c>
    </row>
    <row r="4793" spans="1:14">
      <c r="A4793" s="7">
        <f t="shared" si="6171"/>
        <v>30013</v>
      </c>
      <c r="B4793" s="7">
        <f t="shared" ref="B4793:C4793" si="6192">B4705</f>
        <v>40000</v>
      </c>
      <c r="C4793" s="7" t="str">
        <f t="shared" si="6192"/>
        <v>装备</v>
      </c>
      <c r="D4793" s="7">
        <v>40402051</v>
      </c>
      <c r="E4793" s="7"/>
      <c r="F4793" s="7">
        <v>1</v>
      </c>
      <c r="G4793" s="7">
        <f>3*INDEX([1]equip.xml!$I:$I,MATCH(D4793&amp;"",[1]equip.xml!$A:$A,0))</f>
        <v>129000</v>
      </c>
      <c r="H4793" s="7" t="str">
        <f t="shared" ref="H4793:J4793" si="6193">H4705</f>
        <v>10_10,50_20,80_30</v>
      </c>
      <c r="I4793" s="7">
        <v>6</v>
      </c>
      <c r="J4793" s="7">
        <f t="shared" si="6193"/>
        <v>50</v>
      </c>
      <c r="K4793" s="7" t="s">
        <v>310</v>
      </c>
      <c r="L4793" s="7">
        <v>34</v>
      </c>
      <c r="M4793" s="7">
        <f>IF(INDEX([1]equip.xml!$B:$B,MATCH(D4793&amp;"",[1]equip.xml!$A:$A,0))=0,0,N4793)</f>
        <v>100</v>
      </c>
      <c r="N4793" s="7">
        <f t="shared" si="6092"/>
        <v>100</v>
      </c>
    </row>
    <row r="4794" spans="1:14">
      <c r="A4794" s="7">
        <f t="shared" si="6171"/>
        <v>30013</v>
      </c>
      <c r="B4794" s="7">
        <f t="shared" ref="B4794:C4794" si="6194">B4706</f>
        <v>40000</v>
      </c>
      <c r="C4794" s="7" t="str">
        <f t="shared" si="6194"/>
        <v>装备</v>
      </c>
      <c r="D4794" s="7">
        <v>40402060</v>
      </c>
      <c r="E4794" s="7"/>
      <c r="F4794" s="7">
        <v>1</v>
      </c>
      <c r="G4794" s="7">
        <f>3*INDEX([1]equip.xml!$I:$I,MATCH(D4794&amp;"",[1]equip.xml!$A:$A,0))</f>
        <v>120000</v>
      </c>
      <c r="H4794" s="7" t="str">
        <f t="shared" ref="H4794:J4794" si="6195">H4706</f>
        <v>10_10,50_20,80_30</v>
      </c>
      <c r="I4794" s="7">
        <v>6</v>
      </c>
      <c r="J4794" s="7">
        <f t="shared" si="6195"/>
        <v>50</v>
      </c>
      <c r="K4794" s="7" t="s">
        <v>310</v>
      </c>
      <c r="L4794" s="7">
        <v>34</v>
      </c>
      <c r="M4794" s="7">
        <f>IF(INDEX([1]equip.xml!$B:$B,MATCH(D4794&amp;"",[1]equip.xml!$A:$A,0))=0,0,N4794)</f>
        <v>100</v>
      </c>
      <c r="N4794" s="7">
        <f t="shared" si="6092"/>
        <v>100</v>
      </c>
    </row>
    <row r="4795" spans="1:14">
      <c r="A4795" s="7">
        <f t="shared" si="6171"/>
        <v>30013</v>
      </c>
      <c r="B4795" s="7">
        <f t="shared" ref="B4795:C4795" si="6196">B4707</f>
        <v>40000</v>
      </c>
      <c r="C4795" s="7" t="str">
        <f t="shared" si="6196"/>
        <v>装备</v>
      </c>
      <c r="D4795" s="7">
        <v>40402061</v>
      </c>
      <c r="E4795" s="7"/>
      <c r="F4795" s="7">
        <v>1</v>
      </c>
      <c r="G4795" s="7">
        <f>3*INDEX([1]equip.xml!$I:$I,MATCH(D4795&amp;"",[1]equip.xml!$A:$A,0))</f>
        <v>129000</v>
      </c>
      <c r="H4795" s="7" t="str">
        <f t="shared" ref="H4795:J4795" si="6197">H4707</f>
        <v>10_10,50_20,80_30</v>
      </c>
      <c r="I4795" s="7">
        <v>6</v>
      </c>
      <c r="J4795" s="7">
        <f t="shared" si="6197"/>
        <v>50</v>
      </c>
      <c r="K4795" s="7" t="s">
        <v>310</v>
      </c>
      <c r="L4795" s="7">
        <v>34</v>
      </c>
      <c r="M4795" s="7">
        <f>IF(INDEX([1]equip.xml!$B:$B,MATCH(D4795&amp;"",[1]equip.xml!$A:$A,0))=0,0,N4795)</f>
        <v>0</v>
      </c>
      <c r="N4795" s="7">
        <f t="shared" si="6092"/>
        <v>100</v>
      </c>
    </row>
    <row r="4796" spans="1:14">
      <c r="A4796" s="7">
        <f t="shared" si="6171"/>
        <v>30013</v>
      </c>
      <c r="B4796" s="7">
        <f t="shared" ref="B4796:C4796" si="6198">B4708</f>
        <v>40000</v>
      </c>
      <c r="C4796" s="7" t="str">
        <f t="shared" si="6198"/>
        <v>装备</v>
      </c>
      <c r="D4796" s="7">
        <v>40403050</v>
      </c>
      <c r="E4796" s="7"/>
      <c r="F4796" s="7">
        <v>1</v>
      </c>
      <c r="G4796" s="7">
        <f>3*INDEX([1]equip.xml!$I:$I,MATCH(D4796&amp;"",[1]equip.xml!$A:$A,0))</f>
        <v>120000</v>
      </c>
      <c r="H4796" s="7" t="str">
        <f t="shared" ref="H4796:J4796" si="6199">H4708</f>
        <v>10_10,50_20,80_30</v>
      </c>
      <c r="I4796" s="7">
        <v>6</v>
      </c>
      <c r="J4796" s="7">
        <f t="shared" si="6199"/>
        <v>50</v>
      </c>
      <c r="K4796" s="7" t="s">
        <v>310</v>
      </c>
      <c r="L4796" s="7">
        <v>34</v>
      </c>
      <c r="M4796" s="7">
        <f>IF(INDEX([1]equip.xml!$B:$B,MATCH(D4796&amp;"",[1]equip.xml!$A:$A,0))=0,0,N4796)</f>
        <v>100</v>
      </c>
      <c r="N4796" s="7">
        <f t="shared" si="6092"/>
        <v>100</v>
      </c>
    </row>
    <row r="4797" spans="1:14">
      <c r="A4797" s="7">
        <f t="shared" si="6171"/>
        <v>30013</v>
      </c>
      <c r="B4797" s="7">
        <f t="shared" ref="B4797:C4797" si="6200">B4709</f>
        <v>40000</v>
      </c>
      <c r="C4797" s="7" t="str">
        <f t="shared" si="6200"/>
        <v>装备</v>
      </c>
      <c r="D4797" s="7">
        <v>40403051</v>
      </c>
      <c r="E4797" s="7"/>
      <c r="F4797" s="7">
        <v>1</v>
      </c>
      <c r="G4797" s="7">
        <f>3*INDEX([1]equip.xml!$I:$I,MATCH(D4797&amp;"",[1]equip.xml!$A:$A,0))</f>
        <v>129000</v>
      </c>
      <c r="H4797" s="7" t="str">
        <f t="shared" ref="H4797:J4797" si="6201">H4709</f>
        <v>10_10,50_20,80_30</v>
      </c>
      <c r="I4797" s="7">
        <v>6</v>
      </c>
      <c r="J4797" s="7">
        <f t="shared" si="6201"/>
        <v>50</v>
      </c>
      <c r="K4797" s="7" t="s">
        <v>310</v>
      </c>
      <c r="L4797" s="7">
        <v>34</v>
      </c>
      <c r="M4797" s="7">
        <f>IF(INDEX([1]equip.xml!$B:$B,MATCH(D4797&amp;"",[1]equip.xml!$A:$A,0))=0,0,N4797)</f>
        <v>100</v>
      </c>
      <c r="N4797" s="7">
        <f t="shared" si="6092"/>
        <v>100</v>
      </c>
    </row>
    <row r="4798" spans="1:14">
      <c r="A4798" s="7">
        <f t="shared" si="6171"/>
        <v>30013</v>
      </c>
      <c r="B4798" s="7">
        <f t="shared" ref="B4798:C4798" si="6202">B4710</f>
        <v>40000</v>
      </c>
      <c r="C4798" s="7" t="str">
        <f t="shared" si="6202"/>
        <v>装备</v>
      </c>
      <c r="D4798" s="7">
        <v>40403060</v>
      </c>
      <c r="E4798" s="7"/>
      <c r="F4798" s="7">
        <v>1</v>
      </c>
      <c r="G4798" s="7">
        <f>3*INDEX([1]equip.xml!$I:$I,MATCH(D4798&amp;"",[1]equip.xml!$A:$A,0))</f>
        <v>120000</v>
      </c>
      <c r="H4798" s="7" t="str">
        <f t="shared" ref="H4798:J4798" si="6203">H4710</f>
        <v>10_10,50_20,80_30</v>
      </c>
      <c r="I4798" s="7">
        <v>6</v>
      </c>
      <c r="J4798" s="7">
        <f t="shared" si="6203"/>
        <v>50</v>
      </c>
      <c r="K4798" s="7" t="s">
        <v>310</v>
      </c>
      <c r="L4798" s="7">
        <v>34</v>
      </c>
      <c r="M4798" s="7">
        <f>IF(INDEX([1]equip.xml!$B:$B,MATCH(D4798&amp;"",[1]equip.xml!$A:$A,0))=0,0,N4798)</f>
        <v>100</v>
      </c>
      <c r="N4798" s="7">
        <f t="shared" si="6092"/>
        <v>100</v>
      </c>
    </row>
    <row r="4799" spans="1:14">
      <c r="A4799" s="7">
        <f t="shared" si="6171"/>
        <v>30013</v>
      </c>
      <c r="B4799" s="7">
        <f t="shared" ref="B4799:C4799" si="6204">B4711</f>
        <v>40000</v>
      </c>
      <c r="C4799" s="7" t="str">
        <f t="shared" si="6204"/>
        <v>装备</v>
      </c>
      <c r="D4799" s="7">
        <v>40403061</v>
      </c>
      <c r="E4799" s="7"/>
      <c r="F4799" s="7">
        <v>1</v>
      </c>
      <c r="G4799" s="7">
        <f>3*INDEX([1]equip.xml!$I:$I,MATCH(D4799&amp;"",[1]equip.xml!$A:$A,0))</f>
        <v>129000</v>
      </c>
      <c r="H4799" s="7" t="str">
        <f t="shared" ref="H4799:J4799" si="6205">H4711</f>
        <v>10_10,50_20,80_30</v>
      </c>
      <c r="I4799" s="7">
        <v>6</v>
      </c>
      <c r="J4799" s="7">
        <f t="shared" si="6205"/>
        <v>50</v>
      </c>
      <c r="K4799" s="7" t="s">
        <v>310</v>
      </c>
      <c r="L4799" s="7">
        <v>34</v>
      </c>
      <c r="M4799" s="7">
        <f>IF(INDEX([1]equip.xml!$B:$B,MATCH(D4799&amp;"",[1]equip.xml!$A:$A,0))=0,0,N4799)</f>
        <v>0</v>
      </c>
      <c r="N4799" s="7">
        <f t="shared" si="6092"/>
        <v>100</v>
      </c>
    </row>
    <row r="4800" spans="1:14">
      <c r="A4800" s="7">
        <f t="shared" si="6171"/>
        <v>30013</v>
      </c>
      <c r="B4800" s="7">
        <f t="shared" ref="B4800:C4800" si="6206">B4712</f>
        <v>40000</v>
      </c>
      <c r="C4800" s="7" t="str">
        <f t="shared" si="6206"/>
        <v>装备</v>
      </c>
      <c r="D4800" s="7">
        <v>40400040</v>
      </c>
      <c r="E4800" s="7"/>
      <c r="F4800" s="7">
        <v>1</v>
      </c>
      <c r="G4800" s="7">
        <f>3*INDEX([1]equip.xml!$I:$I,MATCH(D4800&amp;"",[1]equip.xml!$A:$A,0))</f>
        <v>120000</v>
      </c>
      <c r="H4800" s="7" t="str">
        <f t="shared" ref="H4800:J4800" si="6207">H4712</f>
        <v>10_10,50_20,80_30</v>
      </c>
      <c r="I4800" s="7">
        <v>6</v>
      </c>
      <c r="J4800" s="7">
        <f t="shared" si="6207"/>
        <v>50</v>
      </c>
      <c r="K4800" s="7" t="s">
        <v>310</v>
      </c>
      <c r="L4800" s="7">
        <v>34</v>
      </c>
      <c r="M4800" s="7">
        <f>IF(INDEX([1]equip.xml!$B:$B,MATCH(D4800&amp;"",[1]equip.xml!$A:$A,0))=0,0,N4800)</f>
        <v>100</v>
      </c>
      <c r="N4800" s="7">
        <f t="shared" si="6092"/>
        <v>100</v>
      </c>
    </row>
    <row r="4801" spans="1:14">
      <c r="A4801" s="7">
        <f t="shared" si="6171"/>
        <v>30013</v>
      </c>
      <c r="B4801" s="7">
        <f t="shared" ref="B4801:C4801" si="6208">B4713</f>
        <v>40000</v>
      </c>
      <c r="C4801" s="7" t="str">
        <f t="shared" si="6208"/>
        <v>装备</v>
      </c>
      <c r="D4801" s="7">
        <v>40400041</v>
      </c>
      <c r="E4801" s="7"/>
      <c r="F4801" s="7">
        <v>1</v>
      </c>
      <c r="G4801" s="7">
        <f>3*INDEX([1]equip.xml!$I:$I,MATCH(D4801&amp;"",[1]equip.xml!$A:$A,0))</f>
        <v>129000</v>
      </c>
      <c r="H4801" s="7" t="str">
        <f t="shared" ref="H4801:J4801" si="6209">H4713</f>
        <v>10_10,50_20,80_30</v>
      </c>
      <c r="I4801" s="7">
        <v>6</v>
      </c>
      <c r="J4801" s="7">
        <f t="shared" si="6209"/>
        <v>50</v>
      </c>
      <c r="K4801" s="7" t="s">
        <v>310</v>
      </c>
      <c r="L4801" s="7">
        <v>34</v>
      </c>
      <c r="M4801" s="7">
        <f>IF(INDEX([1]equip.xml!$B:$B,MATCH(D4801&amp;"",[1]equip.xml!$A:$A,0))=0,0,N4801)</f>
        <v>0</v>
      </c>
      <c r="N4801" s="7">
        <f t="shared" si="6092"/>
        <v>100</v>
      </c>
    </row>
    <row r="4802" spans="1:14">
      <c r="A4802" s="7">
        <f t="shared" si="6171"/>
        <v>30013</v>
      </c>
      <c r="B4802" s="7">
        <f t="shared" ref="B4802:C4802" si="6210">B4714</f>
        <v>40000</v>
      </c>
      <c r="C4802" s="7" t="str">
        <f t="shared" si="6210"/>
        <v>装备</v>
      </c>
      <c r="D4802" s="7">
        <v>40400070</v>
      </c>
      <c r="E4802" s="7"/>
      <c r="F4802" s="7">
        <v>1</v>
      </c>
      <c r="G4802" s="7">
        <f>3*INDEX([1]equip.xml!$I:$I,MATCH(D4802&amp;"",[1]equip.xml!$A:$A,0))</f>
        <v>120000</v>
      </c>
      <c r="H4802" s="7" t="str">
        <f t="shared" ref="H4802:J4802" si="6211">H4714</f>
        <v>10_10,50_20,80_30</v>
      </c>
      <c r="I4802" s="7">
        <v>6</v>
      </c>
      <c r="J4802" s="7">
        <f t="shared" si="6211"/>
        <v>50</v>
      </c>
      <c r="K4802" s="7" t="s">
        <v>310</v>
      </c>
      <c r="L4802" s="7">
        <v>34</v>
      </c>
      <c r="M4802" s="7">
        <f>IF(INDEX([1]equip.xml!$B:$B,MATCH(D4802&amp;"",[1]equip.xml!$A:$A,0))=0,0,N4802)</f>
        <v>100</v>
      </c>
      <c r="N4802" s="7">
        <f t="shared" si="6092"/>
        <v>100</v>
      </c>
    </row>
    <row r="4803" spans="1:14">
      <c r="A4803" s="7">
        <f t="shared" si="6171"/>
        <v>30013</v>
      </c>
      <c r="B4803" s="7">
        <f t="shared" ref="B4803:C4803" si="6212">B4715</f>
        <v>40000</v>
      </c>
      <c r="C4803" s="7" t="str">
        <f t="shared" si="6212"/>
        <v>装备</v>
      </c>
      <c r="D4803" s="7">
        <v>40400071</v>
      </c>
      <c r="E4803" s="7"/>
      <c r="F4803" s="7">
        <v>1</v>
      </c>
      <c r="G4803" s="7">
        <f>3*INDEX([1]equip.xml!$I:$I,MATCH(D4803&amp;"",[1]equip.xml!$A:$A,0))</f>
        <v>129000</v>
      </c>
      <c r="H4803" s="7" t="str">
        <f t="shared" ref="H4803:J4803" si="6213">H4715</f>
        <v>10_10,50_20,80_30</v>
      </c>
      <c r="I4803" s="7">
        <v>6</v>
      </c>
      <c r="J4803" s="7">
        <f t="shared" si="6213"/>
        <v>50</v>
      </c>
      <c r="K4803" s="7" t="s">
        <v>310</v>
      </c>
      <c r="L4803" s="7">
        <v>34</v>
      </c>
      <c r="M4803" s="7">
        <f>IF(INDEX([1]equip.xml!$B:$B,MATCH(D4803&amp;"",[1]equip.xml!$A:$A,0))=0,0,N4803)</f>
        <v>0</v>
      </c>
      <c r="N4803" s="7">
        <f t="shared" si="6092"/>
        <v>100</v>
      </c>
    </row>
    <row r="4804" spans="1:14">
      <c r="A4804" s="7">
        <f t="shared" si="6171"/>
        <v>30013</v>
      </c>
      <c r="B4804" s="7">
        <f t="shared" ref="B4804:C4804" si="6214">B4716</f>
        <v>40000</v>
      </c>
      <c r="C4804" s="7" t="str">
        <f t="shared" si="6214"/>
        <v>装备</v>
      </c>
      <c r="D4804" s="7">
        <v>40450010</v>
      </c>
      <c r="E4804" s="7"/>
      <c r="F4804" s="7">
        <v>1</v>
      </c>
      <c r="G4804" s="7">
        <f>3*INDEX([1]equip.xml!$I:$I,MATCH(D4804&amp;"",[1]equip.xml!$A:$A,0))</f>
        <v>135000</v>
      </c>
      <c r="H4804" s="7" t="str">
        <f t="shared" ref="H4804:J4804" si="6215">H4716</f>
        <v>10_10,50_20,80_30</v>
      </c>
      <c r="I4804" s="7">
        <v>6</v>
      </c>
      <c r="J4804" s="7">
        <f t="shared" si="6215"/>
        <v>50</v>
      </c>
      <c r="K4804" s="7" t="s">
        <v>310</v>
      </c>
      <c r="L4804" s="7">
        <v>34</v>
      </c>
      <c r="M4804" s="7">
        <f>IF(INDEX([1]equip.xml!$B:$B,MATCH(D4804&amp;"",[1]equip.xml!$A:$A,0))=0,0,N4804)</f>
        <v>70</v>
      </c>
      <c r="N4804" s="7">
        <f t="shared" si="6092"/>
        <v>70</v>
      </c>
    </row>
    <row r="4805" spans="1:14">
      <c r="A4805" s="7">
        <f t="shared" si="6171"/>
        <v>30013</v>
      </c>
      <c r="B4805" s="7">
        <f t="shared" ref="B4805:C4805" si="6216">B4717</f>
        <v>40000</v>
      </c>
      <c r="C4805" s="7" t="str">
        <f t="shared" si="6216"/>
        <v>装备</v>
      </c>
      <c r="D4805" s="7">
        <v>40450020</v>
      </c>
      <c r="E4805" s="7"/>
      <c r="F4805" s="7">
        <v>1</v>
      </c>
      <c r="G4805" s="7">
        <f>3*INDEX([1]equip.xml!$I:$I,MATCH(D4805&amp;"",[1]equip.xml!$A:$A,0))</f>
        <v>135000</v>
      </c>
      <c r="H4805" s="7" t="str">
        <f t="shared" ref="H4805:J4805" si="6217">H4717</f>
        <v>10_10,50_20,80_30</v>
      </c>
      <c r="I4805" s="7">
        <v>6</v>
      </c>
      <c r="J4805" s="7">
        <f t="shared" si="6217"/>
        <v>50</v>
      </c>
      <c r="K4805" s="7" t="s">
        <v>310</v>
      </c>
      <c r="L4805" s="7">
        <v>34</v>
      </c>
      <c r="M4805" s="7">
        <f>IF(INDEX([1]equip.xml!$B:$B,MATCH(D4805&amp;"",[1]equip.xml!$A:$A,0))=0,0,N4805)</f>
        <v>70</v>
      </c>
      <c r="N4805" s="7">
        <f t="shared" si="6092"/>
        <v>70</v>
      </c>
    </row>
    <row r="4806" spans="1:14">
      <c r="A4806" s="7">
        <f t="shared" si="6171"/>
        <v>30013</v>
      </c>
      <c r="B4806" s="7">
        <f t="shared" ref="B4806:C4806" si="6218">B4718</f>
        <v>40000</v>
      </c>
      <c r="C4806" s="7" t="str">
        <f t="shared" si="6218"/>
        <v>装备</v>
      </c>
      <c r="D4806" s="7">
        <v>40450030</v>
      </c>
      <c r="E4806" s="7"/>
      <c r="F4806" s="7">
        <v>1</v>
      </c>
      <c r="G4806" s="7">
        <f>3*INDEX([1]equip.xml!$I:$I,MATCH(D4806&amp;"",[1]equip.xml!$A:$A,0))</f>
        <v>135000</v>
      </c>
      <c r="H4806" s="7" t="str">
        <f t="shared" ref="H4806:J4806" si="6219">H4718</f>
        <v>10_10,50_20,80_30</v>
      </c>
      <c r="I4806" s="7">
        <v>6</v>
      </c>
      <c r="J4806" s="7">
        <f t="shared" si="6219"/>
        <v>50</v>
      </c>
      <c r="K4806" s="7" t="s">
        <v>310</v>
      </c>
      <c r="L4806" s="7">
        <v>34</v>
      </c>
      <c r="M4806" s="7">
        <f>IF(INDEX([1]equip.xml!$B:$B,MATCH(D4806&amp;"",[1]equip.xml!$A:$A,0))=0,0,N4806)</f>
        <v>70</v>
      </c>
      <c r="N4806" s="7">
        <f t="shared" si="6092"/>
        <v>70</v>
      </c>
    </row>
    <row r="4807" spans="1:14">
      <c r="A4807" s="7">
        <f t="shared" si="6171"/>
        <v>30013</v>
      </c>
      <c r="B4807" s="7">
        <f t="shared" ref="B4807:C4807" si="6220">B4719</f>
        <v>40000</v>
      </c>
      <c r="C4807" s="7" t="str">
        <f t="shared" si="6220"/>
        <v>装备</v>
      </c>
      <c r="D4807" s="7">
        <v>40450080</v>
      </c>
      <c r="E4807" s="7"/>
      <c r="F4807" s="7">
        <v>1</v>
      </c>
      <c r="G4807" s="7">
        <f>3*INDEX([1]equip.xml!$I:$I,MATCH(D4807&amp;"",[1]equip.xml!$A:$A,0))</f>
        <v>135000</v>
      </c>
      <c r="H4807" s="7" t="str">
        <f t="shared" ref="H4807:J4807" si="6221">H4719</f>
        <v>10_10,50_20,80_30</v>
      </c>
      <c r="I4807" s="7">
        <v>6</v>
      </c>
      <c r="J4807" s="7">
        <f t="shared" si="6221"/>
        <v>50</v>
      </c>
      <c r="K4807" s="7" t="s">
        <v>310</v>
      </c>
      <c r="L4807" s="7">
        <v>34</v>
      </c>
      <c r="M4807" s="7">
        <f>IF(INDEX([1]equip.xml!$B:$B,MATCH(D4807&amp;"",[1]equip.xml!$A:$A,0))=0,0,N4807)</f>
        <v>70</v>
      </c>
      <c r="N4807" s="7">
        <f t="shared" ref="N4807:N4870" si="6222">N4719</f>
        <v>70</v>
      </c>
    </row>
    <row r="4808" spans="1:14">
      <c r="A4808" s="7">
        <f t="shared" si="6171"/>
        <v>30013</v>
      </c>
      <c r="B4808" s="7">
        <f t="shared" ref="B4808:C4808" si="6223">B4720</f>
        <v>40000</v>
      </c>
      <c r="C4808" s="7" t="str">
        <f t="shared" si="6223"/>
        <v>装备</v>
      </c>
      <c r="D4808" s="7">
        <v>40450090</v>
      </c>
      <c r="E4808" s="7"/>
      <c r="F4808" s="7">
        <v>1</v>
      </c>
      <c r="G4808" s="7">
        <f>3*INDEX([1]equip.xml!$I:$I,MATCH(D4808&amp;"",[1]equip.xml!$A:$A,0))</f>
        <v>135000</v>
      </c>
      <c r="H4808" s="7" t="str">
        <f t="shared" ref="H4808:J4808" si="6224">H4720</f>
        <v>10_10,50_20,80_30</v>
      </c>
      <c r="I4808" s="7">
        <v>6</v>
      </c>
      <c r="J4808" s="7">
        <f t="shared" si="6224"/>
        <v>50</v>
      </c>
      <c r="K4808" s="7" t="s">
        <v>310</v>
      </c>
      <c r="L4808" s="7">
        <v>34</v>
      </c>
      <c r="M4808" s="7">
        <f>IF(INDEX([1]equip.xml!$B:$B,MATCH(D4808&amp;"",[1]equip.xml!$A:$A,0))=0,0,N4808)</f>
        <v>70</v>
      </c>
      <c r="N4808" s="7">
        <f t="shared" si="6222"/>
        <v>70</v>
      </c>
    </row>
    <row r="4809" spans="1:14">
      <c r="A4809" s="7">
        <f t="shared" si="6171"/>
        <v>30013</v>
      </c>
      <c r="B4809" s="7">
        <f t="shared" ref="B4809:C4809" si="6225">B4721</f>
        <v>40000</v>
      </c>
      <c r="C4809" s="7" t="str">
        <f t="shared" si="6225"/>
        <v>装备</v>
      </c>
      <c r="D4809" s="7">
        <v>40450100</v>
      </c>
      <c r="E4809" s="7"/>
      <c r="F4809" s="7">
        <v>1</v>
      </c>
      <c r="G4809" s="7">
        <f>3*INDEX([1]equip.xml!$I:$I,MATCH(D4809&amp;"",[1]equip.xml!$A:$A,0))</f>
        <v>135000</v>
      </c>
      <c r="H4809" s="7" t="str">
        <f t="shared" ref="H4809:J4809" si="6226">H4721</f>
        <v>10_10,50_20,80_30</v>
      </c>
      <c r="I4809" s="7">
        <v>6</v>
      </c>
      <c r="J4809" s="7">
        <f t="shared" si="6226"/>
        <v>50</v>
      </c>
      <c r="K4809" s="7" t="s">
        <v>310</v>
      </c>
      <c r="L4809" s="7">
        <v>34</v>
      </c>
      <c r="M4809" s="7">
        <f>IF(INDEX([1]equip.xml!$B:$B,MATCH(D4809&amp;"",[1]equip.xml!$A:$A,0))=0,0,N4809)</f>
        <v>70</v>
      </c>
      <c r="N4809" s="7">
        <f t="shared" si="6222"/>
        <v>70</v>
      </c>
    </row>
    <row r="4810" spans="1:14">
      <c r="A4810" s="7">
        <f t="shared" si="6171"/>
        <v>30013</v>
      </c>
      <c r="B4810" s="7">
        <f t="shared" ref="B4810:C4810" si="6227">B4722</f>
        <v>40000</v>
      </c>
      <c r="C4810" s="7" t="str">
        <f t="shared" si="6227"/>
        <v>装备</v>
      </c>
      <c r="D4810" s="7">
        <v>40451050</v>
      </c>
      <c r="E4810" s="7"/>
      <c r="F4810" s="7">
        <v>1</v>
      </c>
      <c r="G4810" s="7">
        <f>3*INDEX([1]equip.xml!$I:$I,MATCH(D4810&amp;"",[1]equip.xml!$A:$A,0))</f>
        <v>135000</v>
      </c>
      <c r="H4810" s="7" t="str">
        <f t="shared" ref="H4810:J4810" si="6228">H4722</f>
        <v>10_10,50_20,80_30</v>
      </c>
      <c r="I4810" s="7">
        <v>6</v>
      </c>
      <c r="J4810" s="7">
        <f t="shared" si="6228"/>
        <v>50</v>
      </c>
      <c r="K4810" s="7" t="s">
        <v>310</v>
      </c>
      <c r="L4810" s="7">
        <v>34</v>
      </c>
      <c r="M4810" s="7">
        <f>IF(INDEX([1]equip.xml!$B:$B,MATCH(D4810&amp;"",[1]equip.xml!$A:$A,0))=0,0,N4810)</f>
        <v>70</v>
      </c>
      <c r="N4810" s="7">
        <f t="shared" si="6222"/>
        <v>70</v>
      </c>
    </row>
    <row r="4811" spans="1:14">
      <c r="A4811" s="7">
        <f t="shared" si="6171"/>
        <v>30013</v>
      </c>
      <c r="B4811" s="7">
        <f t="shared" ref="B4811:C4811" si="6229">B4723</f>
        <v>40000</v>
      </c>
      <c r="C4811" s="7" t="str">
        <f t="shared" si="6229"/>
        <v>装备</v>
      </c>
      <c r="D4811" s="7">
        <v>40451051</v>
      </c>
      <c r="E4811" s="7"/>
      <c r="F4811" s="7">
        <v>1</v>
      </c>
      <c r="G4811" s="7">
        <f>3*INDEX([1]equip.xml!$I:$I,MATCH(D4811&amp;"",[1]equip.xml!$A:$A,0))</f>
        <v>144000</v>
      </c>
      <c r="H4811" s="7" t="str">
        <f t="shared" ref="H4811:J4811" si="6230">H4723</f>
        <v>10_10,50_20,80_30</v>
      </c>
      <c r="I4811" s="7">
        <v>6</v>
      </c>
      <c r="J4811" s="7">
        <f t="shared" si="6230"/>
        <v>50</v>
      </c>
      <c r="K4811" s="7" t="s">
        <v>310</v>
      </c>
      <c r="L4811" s="7">
        <v>34</v>
      </c>
      <c r="M4811" s="7">
        <f>IF(INDEX([1]equip.xml!$B:$B,MATCH(D4811&amp;"",[1]equip.xml!$A:$A,0))=0,0,N4811)</f>
        <v>0</v>
      </c>
      <c r="N4811" s="7">
        <f t="shared" si="6222"/>
        <v>70</v>
      </c>
    </row>
    <row r="4812" spans="1:14">
      <c r="A4812" s="7">
        <f t="shared" si="6171"/>
        <v>30013</v>
      </c>
      <c r="B4812" s="7">
        <f t="shared" ref="B4812:C4812" si="6231">B4724</f>
        <v>40000</v>
      </c>
      <c r="C4812" s="7" t="str">
        <f t="shared" si="6231"/>
        <v>装备</v>
      </c>
      <c r="D4812" s="7">
        <v>40451060</v>
      </c>
      <c r="E4812" s="7"/>
      <c r="F4812" s="7">
        <v>1</v>
      </c>
      <c r="G4812" s="7">
        <f>3*INDEX([1]equip.xml!$I:$I,MATCH(D4812&amp;"",[1]equip.xml!$A:$A,0))</f>
        <v>135000</v>
      </c>
      <c r="H4812" s="7" t="str">
        <f t="shared" ref="H4812:J4812" si="6232">H4724</f>
        <v>10_10,50_20,80_30</v>
      </c>
      <c r="I4812" s="7">
        <v>6</v>
      </c>
      <c r="J4812" s="7">
        <f t="shared" si="6232"/>
        <v>50</v>
      </c>
      <c r="K4812" s="7" t="s">
        <v>310</v>
      </c>
      <c r="L4812" s="7">
        <v>34</v>
      </c>
      <c r="M4812" s="7">
        <f>IF(INDEX([1]equip.xml!$B:$B,MATCH(D4812&amp;"",[1]equip.xml!$A:$A,0))=0,0,N4812)</f>
        <v>70</v>
      </c>
      <c r="N4812" s="7">
        <f t="shared" si="6222"/>
        <v>70</v>
      </c>
    </row>
    <row r="4813" spans="1:14">
      <c r="A4813" s="7">
        <f t="shared" si="6171"/>
        <v>30013</v>
      </c>
      <c r="B4813" s="7">
        <f t="shared" ref="B4813:C4813" si="6233">B4725</f>
        <v>40000</v>
      </c>
      <c r="C4813" s="7" t="str">
        <f t="shared" si="6233"/>
        <v>装备</v>
      </c>
      <c r="D4813" s="7">
        <v>40451061</v>
      </c>
      <c r="E4813" s="7"/>
      <c r="F4813" s="7">
        <v>1</v>
      </c>
      <c r="G4813" s="7">
        <f>3*INDEX([1]equip.xml!$I:$I,MATCH(D4813&amp;"",[1]equip.xml!$A:$A,0))</f>
        <v>144000</v>
      </c>
      <c r="H4813" s="7" t="str">
        <f t="shared" ref="H4813:J4813" si="6234">H4725</f>
        <v>10_10,50_20,80_30</v>
      </c>
      <c r="I4813" s="7">
        <v>6</v>
      </c>
      <c r="J4813" s="7">
        <f t="shared" si="6234"/>
        <v>50</v>
      </c>
      <c r="K4813" s="7" t="s">
        <v>310</v>
      </c>
      <c r="L4813" s="7">
        <v>34</v>
      </c>
      <c r="M4813" s="7">
        <f>IF(INDEX([1]equip.xml!$B:$B,MATCH(D4813&amp;"",[1]equip.xml!$A:$A,0))=0,0,N4813)</f>
        <v>0</v>
      </c>
      <c r="N4813" s="7">
        <f t="shared" si="6222"/>
        <v>70</v>
      </c>
    </row>
    <row r="4814" spans="1:14">
      <c r="A4814" s="7">
        <f t="shared" si="6171"/>
        <v>30013</v>
      </c>
      <c r="B4814" s="7">
        <f t="shared" ref="B4814:C4814" si="6235">B4726</f>
        <v>40000</v>
      </c>
      <c r="C4814" s="7" t="str">
        <f t="shared" si="6235"/>
        <v>装备</v>
      </c>
      <c r="D4814" s="7">
        <v>40452050</v>
      </c>
      <c r="E4814" s="7"/>
      <c r="F4814" s="7">
        <v>1</v>
      </c>
      <c r="G4814" s="7">
        <f>3*INDEX([1]equip.xml!$I:$I,MATCH(D4814&amp;"",[1]equip.xml!$A:$A,0))</f>
        <v>135000</v>
      </c>
      <c r="H4814" s="7" t="str">
        <f t="shared" ref="H4814:J4814" si="6236">H4726</f>
        <v>10_10,50_20,80_30</v>
      </c>
      <c r="I4814" s="7">
        <v>6</v>
      </c>
      <c r="J4814" s="7">
        <f t="shared" si="6236"/>
        <v>50</v>
      </c>
      <c r="K4814" s="7" t="s">
        <v>310</v>
      </c>
      <c r="L4814" s="7">
        <v>34</v>
      </c>
      <c r="M4814" s="7">
        <f>IF(INDEX([1]equip.xml!$B:$B,MATCH(D4814&amp;"",[1]equip.xml!$A:$A,0))=0,0,N4814)</f>
        <v>70</v>
      </c>
      <c r="N4814" s="7">
        <f t="shared" si="6222"/>
        <v>70</v>
      </c>
    </row>
    <row r="4815" spans="1:14">
      <c r="A4815" s="7">
        <f t="shared" si="6171"/>
        <v>30013</v>
      </c>
      <c r="B4815" s="7">
        <f t="shared" ref="B4815:C4815" si="6237">B4727</f>
        <v>40000</v>
      </c>
      <c r="C4815" s="7" t="str">
        <f t="shared" si="6237"/>
        <v>装备</v>
      </c>
      <c r="D4815" s="7">
        <v>40452051</v>
      </c>
      <c r="E4815" s="7"/>
      <c r="F4815" s="7">
        <v>1</v>
      </c>
      <c r="G4815" s="7">
        <f>3*INDEX([1]equip.xml!$I:$I,MATCH(D4815&amp;"",[1]equip.xml!$A:$A,0))</f>
        <v>144000</v>
      </c>
      <c r="H4815" s="7" t="str">
        <f t="shared" ref="H4815:J4815" si="6238">H4727</f>
        <v>10_10,50_20,80_30</v>
      </c>
      <c r="I4815" s="7">
        <v>6</v>
      </c>
      <c r="J4815" s="7">
        <f t="shared" si="6238"/>
        <v>50</v>
      </c>
      <c r="K4815" s="7" t="s">
        <v>310</v>
      </c>
      <c r="L4815" s="7">
        <v>34</v>
      </c>
      <c r="M4815" s="7">
        <f>IF(INDEX([1]equip.xml!$B:$B,MATCH(D4815&amp;"",[1]equip.xml!$A:$A,0))=0,0,N4815)</f>
        <v>0</v>
      </c>
      <c r="N4815" s="7">
        <f t="shared" si="6222"/>
        <v>70</v>
      </c>
    </row>
    <row r="4816" spans="1:14">
      <c r="A4816" s="7">
        <f t="shared" si="6171"/>
        <v>30013</v>
      </c>
      <c r="B4816" s="7">
        <f t="shared" ref="B4816:C4816" si="6239">B4728</f>
        <v>40000</v>
      </c>
      <c r="C4816" s="7" t="str">
        <f t="shared" si="6239"/>
        <v>装备</v>
      </c>
      <c r="D4816" s="7">
        <v>40452060</v>
      </c>
      <c r="E4816" s="7"/>
      <c r="F4816" s="7">
        <v>1</v>
      </c>
      <c r="G4816" s="7">
        <f>3*INDEX([1]equip.xml!$I:$I,MATCH(D4816&amp;"",[1]equip.xml!$A:$A,0))</f>
        <v>135000</v>
      </c>
      <c r="H4816" s="7" t="str">
        <f t="shared" ref="H4816:J4816" si="6240">H4728</f>
        <v>10_10,50_20,80_30</v>
      </c>
      <c r="I4816" s="7">
        <v>6</v>
      </c>
      <c r="J4816" s="7">
        <f t="shared" si="6240"/>
        <v>50</v>
      </c>
      <c r="K4816" s="7" t="s">
        <v>310</v>
      </c>
      <c r="L4816" s="7">
        <v>34</v>
      </c>
      <c r="M4816" s="7">
        <f>IF(INDEX([1]equip.xml!$B:$B,MATCH(D4816&amp;"",[1]equip.xml!$A:$A,0))=0,0,N4816)</f>
        <v>70</v>
      </c>
      <c r="N4816" s="7">
        <f t="shared" si="6222"/>
        <v>70</v>
      </c>
    </row>
    <row r="4817" spans="1:14">
      <c r="A4817" s="7">
        <f t="shared" si="6171"/>
        <v>30013</v>
      </c>
      <c r="B4817" s="7">
        <f t="shared" ref="B4817:C4817" si="6241">B4729</f>
        <v>40000</v>
      </c>
      <c r="C4817" s="7" t="str">
        <f t="shared" si="6241"/>
        <v>装备</v>
      </c>
      <c r="D4817" s="7">
        <v>40452061</v>
      </c>
      <c r="E4817" s="7"/>
      <c r="F4817" s="7">
        <v>1</v>
      </c>
      <c r="G4817" s="7">
        <f>3*INDEX([1]equip.xml!$I:$I,MATCH(D4817&amp;"",[1]equip.xml!$A:$A,0))</f>
        <v>144000</v>
      </c>
      <c r="H4817" s="7" t="str">
        <f t="shared" ref="H4817:J4817" si="6242">H4729</f>
        <v>10_10,50_20,80_30</v>
      </c>
      <c r="I4817" s="7">
        <v>6</v>
      </c>
      <c r="J4817" s="7">
        <f t="shared" si="6242"/>
        <v>50</v>
      </c>
      <c r="K4817" s="7" t="s">
        <v>310</v>
      </c>
      <c r="L4817" s="7">
        <v>34</v>
      </c>
      <c r="M4817" s="7">
        <f>IF(INDEX([1]equip.xml!$B:$B,MATCH(D4817&amp;"",[1]equip.xml!$A:$A,0))=0,0,N4817)</f>
        <v>0</v>
      </c>
      <c r="N4817" s="7">
        <f t="shared" si="6222"/>
        <v>70</v>
      </c>
    </row>
    <row r="4818" spans="1:14">
      <c r="A4818" s="7">
        <f t="shared" si="6171"/>
        <v>30013</v>
      </c>
      <c r="B4818" s="7">
        <f t="shared" ref="B4818:C4818" si="6243">B4730</f>
        <v>40000</v>
      </c>
      <c r="C4818" s="7" t="str">
        <f t="shared" si="6243"/>
        <v>装备</v>
      </c>
      <c r="D4818" s="7">
        <v>40453050</v>
      </c>
      <c r="E4818" s="7"/>
      <c r="F4818" s="7">
        <v>1</v>
      </c>
      <c r="G4818" s="7">
        <f>3*INDEX([1]equip.xml!$I:$I,MATCH(D4818&amp;"",[1]equip.xml!$A:$A,0))</f>
        <v>135000</v>
      </c>
      <c r="H4818" s="7" t="str">
        <f t="shared" ref="H4818:J4818" si="6244">H4730</f>
        <v>10_10,50_20,80_30</v>
      </c>
      <c r="I4818" s="7">
        <v>6</v>
      </c>
      <c r="J4818" s="7">
        <f t="shared" si="6244"/>
        <v>50</v>
      </c>
      <c r="K4818" s="7" t="s">
        <v>310</v>
      </c>
      <c r="L4818" s="7">
        <v>34</v>
      </c>
      <c r="M4818" s="7">
        <f>IF(INDEX([1]equip.xml!$B:$B,MATCH(D4818&amp;"",[1]equip.xml!$A:$A,0))=0,0,N4818)</f>
        <v>70</v>
      </c>
      <c r="N4818" s="7">
        <f t="shared" si="6222"/>
        <v>70</v>
      </c>
    </row>
    <row r="4819" spans="1:14">
      <c r="A4819" s="7">
        <f t="shared" si="6171"/>
        <v>30013</v>
      </c>
      <c r="B4819" s="7">
        <f t="shared" ref="B4819:C4819" si="6245">B4731</f>
        <v>40000</v>
      </c>
      <c r="C4819" s="7" t="str">
        <f t="shared" si="6245"/>
        <v>装备</v>
      </c>
      <c r="D4819" s="7">
        <v>40453051</v>
      </c>
      <c r="E4819" s="7"/>
      <c r="F4819" s="7">
        <v>1</v>
      </c>
      <c r="G4819" s="7">
        <f>3*INDEX([1]equip.xml!$I:$I,MATCH(D4819&amp;"",[1]equip.xml!$A:$A,0))</f>
        <v>144000</v>
      </c>
      <c r="H4819" s="7" t="str">
        <f t="shared" ref="H4819:J4819" si="6246">H4731</f>
        <v>10_10,50_20,80_30</v>
      </c>
      <c r="I4819" s="7">
        <v>6</v>
      </c>
      <c r="J4819" s="7">
        <f t="shared" si="6246"/>
        <v>50</v>
      </c>
      <c r="K4819" s="7" t="s">
        <v>310</v>
      </c>
      <c r="L4819" s="7">
        <v>34</v>
      </c>
      <c r="M4819" s="7">
        <f>IF(INDEX([1]equip.xml!$B:$B,MATCH(D4819&amp;"",[1]equip.xml!$A:$A,0))=0,0,N4819)</f>
        <v>70</v>
      </c>
      <c r="N4819" s="7">
        <f t="shared" si="6222"/>
        <v>70</v>
      </c>
    </row>
    <row r="4820" spans="1:14">
      <c r="A4820" s="7">
        <f t="shared" si="6171"/>
        <v>30013</v>
      </c>
      <c r="B4820" s="7">
        <f t="shared" ref="B4820:C4820" si="6247">B4732</f>
        <v>40000</v>
      </c>
      <c r="C4820" s="7" t="str">
        <f t="shared" si="6247"/>
        <v>装备</v>
      </c>
      <c r="D4820" s="7">
        <v>40453060</v>
      </c>
      <c r="E4820" s="7"/>
      <c r="F4820" s="7">
        <v>1</v>
      </c>
      <c r="G4820" s="7">
        <f>3*INDEX([1]equip.xml!$I:$I,MATCH(D4820&amp;"",[1]equip.xml!$A:$A,0))</f>
        <v>135000</v>
      </c>
      <c r="H4820" s="7" t="str">
        <f t="shared" ref="H4820:J4820" si="6248">H4732</f>
        <v>10_10,50_20,80_30</v>
      </c>
      <c r="I4820" s="7">
        <v>6</v>
      </c>
      <c r="J4820" s="7">
        <f t="shared" si="6248"/>
        <v>50</v>
      </c>
      <c r="K4820" s="7" t="s">
        <v>310</v>
      </c>
      <c r="L4820" s="7">
        <v>34</v>
      </c>
      <c r="M4820" s="7">
        <f>IF(INDEX([1]equip.xml!$B:$B,MATCH(D4820&amp;"",[1]equip.xml!$A:$A,0))=0,0,N4820)</f>
        <v>70</v>
      </c>
      <c r="N4820" s="7">
        <f t="shared" si="6222"/>
        <v>70</v>
      </c>
    </row>
    <row r="4821" spans="1:14">
      <c r="A4821" s="7">
        <f t="shared" si="6171"/>
        <v>30013</v>
      </c>
      <c r="B4821" s="7">
        <f t="shared" ref="B4821:C4821" si="6249">B4733</f>
        <v>40000</v>
      </c>
      <c r="C4821" s="7" t="str">
        <f t="shared" si="6249"/>
        <v>装备</v>
      </c>
      <c r="D4821" s="7">
        <v>40453061</v>
      </c>
      <c r="E4821" s="7"/>
      <c r="F4821" s="7">
        <v>1</v>
      </c>
      <c r="G4821" s="7">
        <f>3*INDEX([1]equip.xml!$I:$I,MATCH(D4821&amp;"",[1]equip.xml!$A:$A,0))</f>
        <v>144000</v>
      </c>
      <c r="H4821" s="7" t="str">
        <f t="shared" ref="H4821:J4821" si="6250">H4733</f>
        <v>10_10,50_20,80_30</v>
      </c>
      <c r="I4821" s="7">
        <v>6</v>
      </c>
      <c r="J4821" s="7">
        <f t="shared" si="6250"/>
        <v>50</v>
      </c>
      <c r="K4821" s="7" t="s">
        <v>310</v>
      </c>
      <c r="L4821" s="7">
        <v>34</v>
      </c>
      <c r="M4821" s="7">
        <f>IF(INDEX([1]equip.xml!$B:$B,MATCH(D4821&amp;"",[1]equip.xml!$A:$A,0))=0,0,N4821)</f>
        <v>0</v>
      </c>
      <c r="N4821" s="7">
        <f t="shared" si="6222"/>
        <v>70</v>
      </c>
    </row>
    <row r="4822" spans="1:14">
      <c r="A4822" s="7">
        <f t="shared" si="6171"/>
        <v>30013</v>
      </c>
      <c r="B4822" s="7">
        <f t="shared" ref="B4822:C4822" si="6251">B4734</f>
        <v>40000</v>
      </c>
      <c r="C4822" s="7" t="str">
        <f t="shared" si="6251"/>
        <v>装备</v>
      </c>
      <c r="D4822" s="7">
        <v>40450040</v>
      </c>
      <c r="E4822" s="7"/>
      <c r="F4822" s="7">
        <v>1</v>
      </c>
      <c r="G4822" s="7">
        <f>3*INDEX([1]equip.xml!$I:$I,MATCH(D4822&amp;"",[1]equip.xml!$A:$A,0))</f>
        <v>135000</v>
      </c>
      <c r="H4822" s="7" t="str">
        <f t="shared" ref="H4822:J4822" si="6252">H4734</f>
        <v>10_10,50_20,80_30</v>
      </c>
      <c r="I4822" s="7">
        <v>6</v>
      </c>
      <c r="J4822" s="7">
        <f t="shared" si="6252"/>
        <v>50</v>
      </c>
      <c r="K4822" s="7" t="s">
        <v>310</v>
      </c>
      <c r="L4822" s="7">
        <v>34</v>
      </c>
      <c r="M4822" s="7">
        <f>IF(INDEX([1]equip.xml!$B:$B,MATCH(D4822&amp;"",[1]equip.xml!$A:$A,0))=0,0,N4822)</f>
        <v>70</v>
      </c>
      <c r="N4822" s="7">
        <f t="shared" si="6222"/>
        <v>70</v>
      </c>
    </row>
    <row r="4823" spans="1:14">
      <c r="A4823" s="7">
        <f t="shared" si="6171"/>
        <v>30013</v>
      </c>
      <c r="B4823" s="7">
        <f t="shared" ref="B4823:C4823" si="6253">B4735</f>
        <v>40000</v>
      </c>
      <c r="C4823" s="7" t="str">
        <f t="shared" si="6253"/>
        <v>装备</v>
      </c>
      <c r="D4823" s="7">
        <v>40450041</v>
      </c>
      <c r="E4823" s="7"/>
      <c r="F4823" s="7">
        <v>1</v>
      </c>
      <c r="G4823" s="7">
        <f>3*INDEX([1]equip.xml!$I:$I,MATCH(D4823&amp;"",[1]equip.xml!$A:$A,0))</f>
        <v>144000</v>
      </c>
      <c r="H4823" s="7" t="str">
        <f t="shared" ref="H4823:J4823" si="6254">H4735</f>
        <v>10_10,50_20,80_30</v>
      </c>
      <c r="I4823" s="7">
        <v>6</v>
      </c>
      <c r="J4823" s="7">
        <f t="shared" si="6254"/>
        <v>50</v>
      </c>
      <c r="K4823" s="7" t="s">
        <v>310</v>
      </c>
      <c r="L4823" s="7">
        <v>34</v>
      </c>
      <c r="M4823" s="7">
        <f>IF(INDEX([1]equip.xml!$B:$B,MATCH(D4823&amp;"",[1]equip.xml!$A:$A,0))=0,0,N4823)</f>
        <v>70</v>
      </c>
      <c r="N4823" s="7">
        <f t="shared" si="6222"/>
        <v>70</v>
      </c>
    </row>
    <row r="4824" spans="1:14">
      <c r="A4824" s="7">
        <f t="shared" si="6171"/>
        <v>30013</v>
      </c>
      <c r="B4824" s="7">
        <f t="shared" ref="B4824:C4824" si="6255">B4736</f>
        <v>40000</v>
      </c>
      <c r="C4824" s="7" t="str">
        <f t="shared" si="6255"/>
        <v>装备</v>
      </c>
      <c r="D4824" s="7">
        <v>40450070</v>
      </c>
      <c r="E4824" s="7"/>
      <c r="F4824" s="7">
        <v>1</v>
      </c>
      <c r="G4824" s="7">
        <f>3*INDEX([1]equip.xml!$I:$I,MATCH(D4824&amp;"",[1]equip.xml!$A:$A,0))</f>
        <v>135000</v>
      </c>
      <c r="H4824" s="7" t="str">
        <f t="shared" ref="H4824:J4824" si="6256">H4736</f>
        <v>10_10,50_20,80_30</v>
      </c>
      <c r="I4824" s="7">
        <v>6</v>
      </c>
      <c r="J4824" s="7">
        <f t="shared" si="6256"/>
        <v>50</v>
      </c>
      <c r="K4824" s="7" t="s">
        <v>310</v>
      </c>
      <c r="L4824" s="7">
        <v>34</v>
      </c>
      <c r="M4824" s="7">
        <f>IF(INDEX([1]equip.xml!$B:$B,MATCH(D4824&amp;"",[1]equip.xml!$A:$A,0))=0,0,N4824)</f>
        <v>70</v>
      </c>
      <c r="N4824" s="7">
        <f t="shared" si="6222"/>
        <v>70</v>
      </c>
    </row>
    <row r="4825" spans="1:14">
      <c r="A4825" s="7">
        <f t="shared" si="6171"/>
        <v>30013</v>
      </c>
      <c r="B4825" s="7">
        <f t="shared" ref="B4825:C4825" si="6257">B4737</f>
        <v>40000</v>
      </c>
      <c r="C4825" s="7" t="str">
        <f t="shared" si="6257"/>
        <v>装备</v>
      </c>
      <c r="D4825" s="7">
        <v>40450071</v>
      </c>
      <c r="E4825" s="7"/>
      <c r="F4825" s="7">
        <v>1</v>
      </c>
      <c r="G4825" s="7">
        <f>3*INDEX([1]equip.xml!$I:$I,MATCH(D4825&amp;"",[1]equip.xml!$A:$A,0))</f>
        <v>144000</v>
      </c>
      <c r="H4825" s="7" t="str">
        <f t="shared" ref="H4825:J4825" si="6258">H4737</f>
        <v>10_10,50_20,80_30</v>
      </c>
      <c r="I4825" s="7">
        <v>6</v>
      </c>
      <c r="J4825" s="7">
        <f t="shared" si="6258"/>
        <v>50</v>
      </c>
      <c r="K4825" s="7" t="s">
        <v>310</v>
      </c>
      <c r="L4825" s="7">
        <v>34</v>
      </c>
      <c r="M4825" s="7">
        <f>IF(INDEX([1]equip.xml!$B:$B,MATCH(D4825&amp;"",[1]equip.xml!$A:$A,0))=0,0,N4825)</f>
        <v>70</v>
      </c>
      <c r="N4825" s="7">
        <f t="shared" si="6222"/>
        <v>70</v>
      </c>
    </row>
    <row r="4826" spans="1:14">
      <c r="A4826" s="7">
        <f t="shared" si="6171"/>
        <v>30013</v>
      </c>
      <c r="B4826" s="7">
        <f t="shared" ref="B4826:C4826" si="6259">B4738</f>
        <v>40000</v>
      </c>
      <c r="C4826" s="7" t="str">
        <f t="shared" si="6259"/>
        <v>装备</v>
      </c>
      <c r="D4826" s="7">
        <v>50400015</v>
      </c>
      <c r="E4826" s="7"/>
      <c r="F4826" s="7">
        <v>1</v>
      </c>
      <c r="G4826" s="8">
        <f>3*INDEX([1]equip.xml!$I:$I,MATCH(D4826,[1]equip.xml!$A:$A,0))</f>
        <v>240000</v>
      </c>
      <c r="H4826" s="7" t="str">
        <f t="shared" ref="H4826:J4826" si="6260">H4738</f>
        <v>10_10,50_20,80_30</v>
      </c>
      <c r="I4826" s="7">
        <v>5</v>
      </c>
      <c r="J4826" s="7">
        <f t="shared" si="6260"/>
        <v>240</v>
      </c>
      <c r="K4826" s="7" t="s">
        <v>310</v>
      </c>
      <c r="L4826" s="7">
        <v>34</v>
      </c>
      <c r="M4826" s="7">
        <f>IF(INDEX([1]equip.xml!$B:$B,MATCH(D4826,[1]equip.xml!$A:$A,0))=0,0,N4826)</f>
        <v>200</v>
      </c>
      <c r="N4826" s="7">
        <f t="shared" si="6222"/>
        <v>200</v>
      </c>
    </row>
    <row r="4827" spans="1:14">
      <c r="A4827" s="7">
        <f t="shared" si="6171"/>
        <v>30013</v>
      </c>
      <c r="B4827" s="7">
        <f t="shared" ref="B4827:C4827" si="6261">B4739</f>
        <v>40000</v>
      </c>
      <c r="C4827" s="7" t="str">
        <f t="shared" si="6261"/>
        <v>装备</v>
      </c>
      <c r="D4827" s="7">
        <v>50400025</v>
      </c>
      <c r="E4827" s="7"/>
      <c r="F4827" s="7">
        <v>1</v>
      </c>
      <c r="G4827" s="8">
        <f>3*INDEX([1]equip.xml!$I:$I,MATCH(D4827,[1]equip.xml!$A:$A,0))</f>
        <v>240000</v>
      </c>
      <c r="H4827" s="7" t="str">
        <f t="shared" ref="H4827:J4827" si="6262">H4739</f>
        <v>10_10,50_20,80_30</v>
      </c>
      <c r="I4827" s="7">
        <v>5</v>
      </c>
      <c r="J4827" s="7">
        <f t="shared" si="6262"/>
        <v>240</v>
      </c>
      <c r="K4827" s="7" t="s">
        <v>310</v>
      </c>
      <c r="L4827" s="7">
        <v>34</v>
      </c>
      <c r="M4827" s="7">
        <f>IF(INDEX([1]equip.xml!$B:$B,MATCH(D4827,[1]equip.xml!$A:$A,0))=0,0,N4827)</f>
        <v>200</v>
      </c>
      <c r="N4827" s="7">
        <f t="shared" si="6222"/>
        <v>200</v>
      </c>
    </row>
    <row r="4828" spans="1:14">
      <c r="A4828" s="7">
        <f t="shared" si="6171"/>
        <v>30013</v>
      </c>
      <c r="B4828" s="7">
        <f t="shared" ref="B4828:C4828" si="6263">B4740</f>
        <v>40000</v>
      </c>
      <c r="C4828" s="7" t="str">
        <f t="shared" si="6263"/>
        <v>装备</v>
      </c>
      <c r="D4828" s="7">
        <v>50400035</v>
      </c>
      <c r="E4828" s="7"/>
      <c r="F4828" s="7">
        <v>1</v>
      </c>
      <c r="G4828" s="8">
        <f>3*INDEX([1]equip.xml!$I:$I,MATCH(D4828,[1]equip.xml!$A:$A,0))</f>
        <v>240000</v>
      </c>
      <c r="H4828" s="7" t="str">
        <f t="shared" ref="H4828:J4828" si="6264">H4740</f>
        <v>10_10,50_20,80_30</v>
      </c>
      <c r="I4828" s="7">
        <v>5</v>
      </c>
      <c r="J4828" s="7">
        <f t="shared" si="6264"/>
        <v>240</v>
      </c>
      <c r="K4828" s="7" t="s">
        <v>310</v>
      </c>
      <c r="L4828" s="7">
        <v>34</v>
      </c>
      <c r="M4828" s="7">
        <f>IF(INDEX([1]equip.xml!$B:$B,MATCH(D4828,[1]equip.xml!$A:$A,0))=0,0,N4828)</f>
        <v>200</v>
      </c>
      <c r="N4828" s="7">
        <f t="shared" si="6222"/>
        <v>200</v>
      </c>
    </row>
    <row r="4829" spans="1:14">
      <c r="A4829" s="7">
        <f t="shared" si="6171"/>
        <v>30013</v>
      </c>
      <c r="B4829" s="7">
        <f t="shared" ref="B4829:C4829" si="6265">B4741</f>
        <v>40000</v>
      </c>
      <c r="C4829" s="7" t="str">
        <f t="shared" si="6265"/>
        <v>装备</v>
      </c>
      <c r="D4829" s="7">
        <v>50400085</v>
      </c>
      <c r="E4829" s="7"/>
      <c r="F4829" s="7">
        <v>1</v>
      </c>
      <c r="G4829" s="8">
        <f>3*INDEX([1]equip.xml!$I:$I,MATCH(D4829,[1]equip.xml!$A:$A,0))</f>
        <v>240000</v>
      </c>
      <c r="H4829" s="7" t="str">
        <f t="shared" ref="H4829:J4829" si="6266">H4741</f>
        <v>10_10,50_20,80_30</v>
      </c>
      <c r="I4829" s="7">
        <v>5</v>
      </c>
      <c r="J4829" s="7">
        <f t="shared" si="6266"/>
        <v>240</v>
      </c>
      <c r="K4829" s="7" t="s">
        <v>310</v>
      </c>
      <c r="L4829" s="7">
        <v>34</v>
      </c>
      <c r="M4829" s="7">
        <f>IF(INDEX([1]equip.xml!$B:$B,MATCH(D4829,[1]equip.xml!$A:$A,0))=0,0,N4829)</f>
        <v>200</v>
      </c>
      <c r="N4829" s="7">
        <f t="shared" si="6222"/>
        <v>200</v>
      </c>
    </row>
    <row r="4830" spans="1:14">
      <c r="A4830" s="7">
        <f t="shared" si="6171"/>
        <v>30013</v>
      </c>
      <c r="B4830" s="7">
        <f t="shared" ref="B4830:C4830" si="6267">B4742</f>
        <v>40000</v>
      </c>
      <c r="C4830" s="7" t="str">
        <f t="shared" si="6267"/>
        <v>装备</v>
      </c>
      <c r="D4830" s="7">
        <v>50400095</v>
      </c>
      <c r="E4830" s="7"/>
      <c r="F4830" s="7">
        <v>1</v>
      </c>
      <c r="G4830" s="8">
        <f>3*INDEX([1]equip.xml!$I:$I,MATCH(D4830,[1]equip.xml!$A:$A,0))</f>
        <v>240000</v>
      </c>
      <c r="H4830" s="7" t="str">
        <f t="shared" ref="H4830:J4830" si="6268">H4742</f>
        <v>10_10,50_20,80_30</v>
      </c>
      <c r="I4830" s="7">
        <v>5</v>
      </c>
      <c r="J4830" s="7">
        <f t="shared" si="6268"/>
        <v>240</v>
      </c>
      <c r="K4830" s="7" t="s">
        <v>310</v>
      </c>
      <c r="L4830" s="7">
        <v>34</v>
      </c>
      <c r="M4830" s="7">
        <f>IF(INDEX([1]equip.xml!$B:$B,MATCH(D4830,[1]equip.xml!$A:$A,0))=0,0,N4830)</f>
        <v>200</v>
      </c>
      <c r="N4830" s="7">
        <f t="shared" si="6222"/>
        <v>200</v>
      </c>
    </row>
    <row r="4831" spans="1:14">
      <c r="A4831" s="7">
        <f t="shared" si="6171"/>
        <v>30013</v>
      </c>
      <c r="B4831" s="7">
        <f t="shared" ref="B4831:C4831" si="6269">B4743</f>
        <v>40000</v>
      </c>
      <c r="C4831" s="7" t="str">
        <f t="shared" si="6269"/>
        <v>装备</v>
      </c>
      <c r="D4831" s="7">
        <v>50400105</v>
      </c>
      <c r="E4831" s="7"/>
      <c r="F4831" s="7">
        <v>1</v>
      </c>
      <c r="G4831" s="8">
        <f>3*INDEX([1]equip.xml!$I:$I,MATCH(D4831,[1]equip.xml!$A:$A,0))</f>
        <v>240000</v>
      </c>
      <c r="H4831" s="7" t="str">
        <f t="shared" ref="H4831:J4831" si="6270">H4743</f>
        <v>10_10,50_20,80_30</v>
      </c>
      <c r="I4831" s="7">
        <v>5</v>
      </c>
      <c r="J4831" s="7">
        <f t="shared" si="6270"/>
        <v>240</v>
      </c>
      <c r="K4831" s="7" t="s">
        <v>310</v>
      </c>
      <c r="L4831" s="7">
        <v>34</v>
      </c>
      <c r="M4831" s="7">
        <f>IF(INDEX([1]equip.xml!$B:$B,MATCH(D4831,[1]equip.xml!$A:$A,0))=0,0,N4831)</f>
        <v>200</v>
      </c>
      <c r="N4831" s="7">
        <f t="shared" si="6222"/>
        <v>200</v>
      </c>
    </row>
    <row r="4832" spans="1:14">
      <c r="A4832" s="7">
        <f t="shared" si="6171"/>
        <v>30013</v>
      </c>
      <c r="B4832" s="7">
        <f t="shared" ref="B4832:C4832" si="6271">B4744</f>
        <v>40000</v>
      </c>
      <c r="C4832" s="7" t="str">
        <f t="shared" si="6271"/>
        <v>装备</v>
      </c>
      <c r="D4832" s="7">
        <v>50401055</v>
      </c>
      <c r="E4832" s="7"/>
      <c r="F4832" s="7">
        <v>1</v>
      </c>
      <c r="G4832" s="8">
        <f>3*INDEX([1]equip.xml!$I:$I,MATCH(D4832,[1]equip.xml!$A:$A,0))</f>
        <v>240000</v>
      </c>
      <c r="H4832" s="7" t="str">
        <f t="shared" ref="H4832:J4832" si="6272">H4744</f>
        <v>10_10,50_20,80_30</v>
      </c>
      <c r="I4832" s="7">
        <v>5</v>
      </c>
      <c r="J4832" s="7">
        <f t="shared" si="6272"/>
        <v>240</v>
      </c>
      <c r="K4832" s="7" t="s">
        <v>310</v>
      </c>
      <c r="L4832" s="7">
        <v>34</v>
      </c>
      <c r="M4832" s="7">
        <f>IF(INDEX([1]equip.xml!$B:$B,MATCH(D4832,[1]equip.xml!$A:$A,0))=0,0,N4832)</f>
        <v>200</v>
      </c>
      <c r="N4832" s="7">
        <f t="shared" si="6222"/>
        <v>200</v>
      </c>
    </row>
    <row r="4833" spans="1:14">
      <c r="A4833" s="7">
        <f t="shared" si="6171"/>
        <v>30013</v>
      </c>
      <c r="B4833" s="7">
        <f t="shared" ref="B4833:C4833" si="6273">B4745</f>
        <v>40000</v>
      </c>
      <c r="C4833" s="7" t="str">
        <f t="shared" si="6273"/>
        <v>装备</v>
      </c>
      <c r="D4833" s="7">
        <v>50401056</v>
      </c>
      <c r="E4833" s="7"/>
      <c r="F4833" s="7">
        <v>1</v>
      </c>
      <c r="G4833" s="8">
        <f>3*INDEX([1]equip.xml!$I:$I,MATCH(D4833,[1]equip.xml!$A:$A,0))</f>
        <v>258000</v>
      </c>
      <c r="H4833" s="7" t="str">
        <f t="shared" ref="H4833:J4833" si="6274">H4745</f>
        <v>10_10,50_20,80_30</v>
      </c>
      <c r="I4833" s="7">
        <v>5</v>
      </c>
      <c r="J4833" s="7">
        <f t="shared" si="6274"/>
        <v>240</v>
      </c>
      <c r="K4833" s="7" t="s">
        <v>310</v>
      </c>
      <c r="L4833" s="7">
        <v>34</v>
      </c>
      <c r="M4833" s="7">
        <f>IF(INDEX([1]equip.xml!$B:$B,MATCH(D4833,[1]equip.xml!$A:$A,0))=0,0,N4833)</f>
        <v>200</v>
      </c>
      <c r="N4833" s="7">
        <f t="shared" si="6222"/>
        <v>200</v>
      </c>
    </row>
    <row r="4834" spans="1:14">
      <c r="A4834" s="7">
        <f t="shared" si="6171"/>
        <v>30013</v>
      </c>
      <c r="B4834" s="7">
        <f t="shared" ref="B4834:C4834" si="6275">B4746</f>
        <v>40000</v>
      </c>
      <c r="C4834" s="7" t="str">
        <f t="shared" si="6275"/>
        <v>装备</v>
      </c>
      <c r="D4834" s="7">
        <v>50401065</v>
      </c>
      <c r="E4834" s="7"/>
      <c r="F4834" s="7">
        <v>1</v>
      </c>
      <c r="G4834" s="8">
        <f>3*INDEX([1]equip.xml!$I:$I,MATCH(D4834,[1]equip.xml!$A:$A,0))</f>
        <v>240000</v>
      </c>
      <c r="H4834" s="7" t="str">
        <f t="shared" ref="H4834:J4834" si="6276">H4746</f>
        <v>10_10,50_20,80_30</v>
      </c>
      <c r="I4834" s="7">
        <v>5</v>
      </c>
      <c r="J4834" s="7">
        <f t="shared" si="6276"/>
        <v>240</v>
      </c>
      <c r="K4834" s="7" t="s">
        <v>310</v>
      </c>
      <c r="L4834" s="7">
        <v>34</v>
      </c>
      <c r="M4834" s="7">
        <f>IF(INDEX([1]equip.xml!$B:$B,MATCH(D4834,[1]equip.xml!$A:$A,0))=0,0,N4834)</f>
        <v>200</v>
      </c>
      <c r="N4834" s="7">
        <f t="shared" si="6222"/>
        <v>200</v>
      </c>
    </row>
    <row r="4835" spans="1:14">
      <c r="A4835" s="7">
        <f t="shared" si="6171"/>
        <v>30013</v>
      </c>
      <c r="B4835" s="7">
        <f t="shared" ref="B4835:C4835" si="6277">B4747</f>
        <v>40000</v>
      </c>
      <c r="C4835" s="7" t="str">
        <f t="shared" si="6277"/>
        <v>装备</v>
      </c>
      <c r="D4835" s="7">
        <v>50401066</v>
      </c>
      <c r="E4835" s="7"/>
      <c r="F4835" s="7">
        <v>1</v>
      </c>
      <c r="G4835" s="8">
        <f>3*INDEX([1]equip.xml!$I:$I,MATCH(D4835,[1]equip.xml!$A:$A,0))</f>
        <v>258000</v>
      </c>
      <c r="H4835" s="7" t="str">
        <f t="shared" ref="H4835:J4835" si="6278">H4747</f>
        <v>10_10,50_20,80_30</v>
      </c>
      <c r="I4835" s="7">
        <v>5</v>
      </c>
      <c r="J4835" s="7">
        <f t="shared" si="6278"/>
        <v>240</v>
      </c>
      <c r="K4835" s="7" t="s">
        <v>310</v>
      </c>
      <c r="L4835" s="7">
        <v>34</v>
      </c>
      <c r="M4835" s="7">
        <f>IF(INDEX([1]equip.xml!$B:$B,MATCH(D4835,[1]equip.xml!$A:$A,0))=0,0,N4835)</f>
        <v>0</v>
      </c>
      <c r="N4835" s="7">
        <f t="shared" si="6222"/>
        <v>200</v>
      </c>
    </row>
    <row r="4836" spans="1:14">
      <c r="A4836" s="7">
        <f t="shared" si="6171"/>
        <v>30013</v>
      </c>
      <c r="B4836" s="7">
        <f t="shared" ref="B4836:C4836" si="6279">B4748</f>
        <v>40000</v>
      </c>
      <c r="C4836" s="7" t="str">
        <f t="shared" si="6279"/>
        <v>装备</v>
      </c>
      <c r="D4836" s="7">
        <v>50402055</v>
      </c>
      <c r="E4836" s="7"/>
      <c r="F4836" s="7">
        <v>1</v>
      </c>
      <c r="G4836" s="8">
        <f>3*INDEX([1]equip.xml!$I:$I,MATCH(D4836,[1]equip.xml!$A:$A,0))</f>
        <v>240000</v>
      </c>
      <c r="H4836" s="7" t="str">
        <f t="shared" ref="H4836:J4836" si="6280">H4748</f>
        <v>10_10,50_20,80_30</v>
      </c>
      <c r="I4836" s="7">
        <v>5</v>
      </c>
      <c r="J4836" s="7">
        <f t="shared" si="6280"/>
        <v>240</v>
      </c>
      <c r="K4836" s="7" t="s">
        <v>310</v>
      </c>
      <c r="L4836" s="7">
        <v>34</v>
      </c>
      <c r="M4836" s="7">
        <f>IF(INDEX([1]equip.xml!$B:$B,MATCH(D4836,[1]equip.xml!$A:$A,0))=0,0,N4836)</f>
        <v>200</v>
      </c>
      <c r="N4836" s="7">
        <f t="shared" si="6222"/>
        <v>200</v>
      </c>
    </row>
    <row r="4837" spans="1:14">
      <c r="A4837" s="7">
        <f t="shared" si="6171"/>
        <v>30013</v>
      </c>
      <c r="B4837" s="7">
        <f t="shared" ref="B4837:C4837" si="6281">B4749</f>
        <v>40000</v>
      </c>
      <c r="C4837" s="7" t="str">
        <f t="shared" si="6281"/>
        <v>装备</v>
      </c>
      <c r="D4837" s="7">
        <v>50402056</v>
      </c>
      <c r="E4837" s="7"/>
      <c r="F4837" s="7">
        <v>1</v>
      </c>
      <c r="G4837" s="8">
        <f>3*INDEX([1]equip.xml!$I:$I,MATCH(D4837,[1]equip.xml!$A:$A,0))</f>
        <v>258000</v>
      </c>
      <c r="H4837" s="7" t="str">
        <f t="shared" ref="H4837:J4837" si="6282">H4749</f>
        <v>10_10,50_20,80_30</v>
      </c>
      <c r="I4837" s="7">
        <v>5</v>
      </c>
      <c r="J4837" s="7">
        <f t="shared" si="6282"/>
        <v>240</v>
      </c>
      <c r="K4837" s="7" t="s">
        <v>310</v>
      </c>
      <c r="L4837" s="7">
        <v>34</v>
      </c>
      <c r="M4837" s="7">
        <f>IF(INDEX([1]equip.xml!$B:$B,MATCH(D4837,[1]equip.xml!$A:$A,0))=0,0,N4837)</f>
        <v>200</v>
      </c>
      <c r="N4837" s="7">
        <f t="shared" si="6222"/>
        <v>200</v>
      </c>
    </row>
    <row r="4838" spans="1:14">
      <c r="A4838" s="7">
        <f t="shared" si="6171"/>
        <v>30013</v>
      </c>
      <c r="B4838" s="7">
        <f t="shared" ref="B4838:C4838" si="6283">B4750</f>
        <v>40000</v>
      </c>
      <c r="C4838" s="7" t="str">
        <f t="shared" si="6283"/>
        <v>装备</v>
      </c>
      <c r="D4838" s="7">
        <v>50402065</v>
      </c>
      <c r="E4838" s="7"/>
      <c r="F4838" s="7">
        <v>1</v>
      </c>
      <c r="G4838" s="8">
        <f>3*INDEX([1]equip.xml!$I:$I,MATCH(D4838,[1]equip.xml!$A:$A,0))</f>
        <v>240000</v>
      </c>
      <c r="H4838" s="7" t="str">
        <f t="shared" ref="H4838:J4838" si="6284">H4750</f>
        <v>10_10,50_20,80_30</v>
      </c>
      <c r="I4838" s="7">
        <v>5</v>
      </c>
      <c r="J4838" s="7">
        <f t="shared" si="6284"/>
        <v>240</v>
      </c>
      <c r="K4838" s="7" t="s">
        <v>310</v>
      </c>
      <c r="L4838" s="7">
        <v>34</v>
      </c>
      <c r="M4838" s="7">
        <f>IF(INDEX([1]equip.xml!$B:$B,MATCH(D4838,[1]equip.xml!$A:$A,0))=0,0,N4838)</f>
        <v>200</v>
      </c>
      <c r="N4838" s="7">
        <f t="shared" si="6222"/>
        <v>200</v>
      </c>
    </row>
    <row r="4839" spans="1:14">
      <c r="A4839" s="7">
        <f t="shared" si="6171"/>
        <v>30013</v>
      </c>
      <c r="B4839" s="7">
        <f t="shared" ref="B4839:C4839" si="6285">B4751</f>
        <v>40000</v>
      </c>
      <c r="C4839" s="7" t="str">
        <f t="shared" si="6285"/>
        <v>装备</v>
      </c>
      <c r="D4839" s="7">
        <v>50402066</v>
      </c>
      <c r="E4839" s="7"/>
      <c r="F4839" s="7">
        <v>1</v>
      </c>
      <c r="G4839" s="8">
        <f>3*INDEX([1]equip.xml!$I:$I,MATCH(D4839,[1]equip.xml!$A:$A,0))</f>
        <v>258000</v>
      </c>
      <c r="H4839" s="7" t="str">
        <f t="shared" ref="H4839:J4839" si="6286">H4751</f>
        <v>10_10,50_20,80_30</v>
      </c>
      <c r="I4839" s="7">
        <v>5</v>
      </c>
      <c r="J4839" s="7">
        <f t="shared" si="6286"/>
        <v>240</v>
      </c>
      <c r="K4839" s="7" t="s">
        <v>310</v>
      </c>
      <c r="L4839" s="7">
        <v>34</v>
      </c>
      <c r="M4839" s="7">
        <f>IF(INDEX([1]equip.xml!$B:$B,MATCH(D4839,[1]equip.xml!$A:$A,0))=0,0,N4839)</f>
        <v>0</v>
      </c>
      <c r="N4839" s="7">
        <f t="shared" si="6222"/>
        <v>200</v>
      </c>
    </row>
    <row r="4840" spans="1:14">
      <c r="A4840" s="7">
        <f t="shared" si="6171"/>
        <v>30013</v>
      </c>
      <c r="B4840" s="7">
        <f t="shared" ref="B4840:C4840" si="6287">B4752</f>
        <v>40000</v>
      </c>
      <c r="C4840" s="7" t="str">
        <f t="shared" si="6287"/>
        <v>装备</v>
      </c>
      <c r="D4840" s="7">
        <v>50403055</v>
      </c>
      <c r="E4840" s="7"/>
      <c r="F4840" s="7">
        <v>1</v>
      </c>
      <c r="G4840" s="8">
        <f>3*INDEX([1]equip.xml!$I:$I,MATCH(D4840,[1]equip.xml!$A:$A,0))</f>
        <v>240000</v>
      </c>
      <c r="H4840" s="7" t="str">
        <f t="shared" ref="H4840:J4840" si="6288">H4752</f>
        <v>10_10,50_20,80_30</v>
      </c>
      <c r="I4840" s="7">
        <v>5</v>
      </c>
      <c r="J4840" s="7">
        <f t="shared" si="6288"/>
        <v>240</v>
      </c>
      <c r="K4840" s="7" t="s">
        <v>310</v>
      </c>
      <c r="L4840" s="7">
        <v>34</v>
      </c>
      <c r="M4840" s="7">
        <f>IF(INDEX([1]equip.xml!$B:$B,MATCH(D4840,[1]equip.xml!$A:$A,0))=0,0,N4840)</f>
        <v>200</v>
      </c>
      <c r="N4840" s="7">
        <f t="shared" si="6222"/>
        <v>200</v>
      </c>
    </row>
    <row r="4841" spans="1:14">
      <c r="A4841" s="7">
        <f t="shared" si="6171"/>
        <v>30013</v>
      </c>
      <c r="B4841" s="7">
        <f t="shared" ref="B4841:C4841" si="6289">B4753</f>
        <v>40000</v>
      </c>
      <c r="C4841" s="7" t="str">
        <f t="shared" si="6289"/>
        <v>装备</v>
      </c>
      <c r="D4841" s="7">
        <v>50403056</v>
      </c>
      <c r="E4841" s="7"/>
      <c r="F4841" s="7">
        <v>1</v>
      </c>
      <c r="G4841" s="8">
        <f>3*INDEX([1]equip.xml!$I:$I,MATCH(D4841,[1]equip.xml!$A:$A,0))</f>
        <v>258000</v>
      </c>
      <c r="H4841" s="7" t="str">
        <f t="shared" ref="H4841:J4841" si="6290">H4753</f>
        <v>10_10,50_20,80_30</v>
      </c>
      <c r="I4841" s="7">
        <v>5</v>
      </c>
      <c r="J4841" s="7">
        <f t="shared" si="6290"/>
        <v>240</v>
      </c>
      <c r="K4841" s="7" t="s">
        <v>310</v>
      </c>
      <c r="L4841" s="7">
        <v>34</v>
      </c>
      <c r="M4841" s="7">
        <f>IF(INDEX([1]equip.xml!$B:$B,MATCH(D4841,[1]equip.xml!$A:$A,0))=0,0,N4841)</f>
        <v>200</v>
      </c>
      <c r="N4841" s="7">
        <f t="shared" si="6222"/>
        <v>200</v>
      </c>
    </row>
    <row r="4842" spans="1:14">
      <c r="A4842" s="7">
        <f t="shared" si="6171"/>
        <v>30013</v>
      </c>
      <c r="B4842" s="7">
        <f t="shared" ref="B4842:C4842" si="6291">B4754</f>
        <v>40000</v>
      </c>
      <c r="C4842" s="7" t="str">
        <f t="shared" si="6291"/>
        <v>装备</v>
      </c>
      <c r="D4842" s="7">
        <v>50403065</v>
      </c>
      <c r="E4842" s="7"/>
      <c r="F4842" s="7">
        <v>1</v>
      </c>
      <c r="G4842" s="8">
        <f>3*INDEX([1]equip.xml!$I:$I,MATCH(D4842,[1]equip.xml!$A:$A,0))</f>
        <v>240000</v>
      </c>
      <c r="H4842" s="7" t="str">
        <f t="shared" ref="H4842:J4842" si="6292">H4754</f>
        <v>10_10,50_20,80_30</v>
      </c>
      <c r="I4842" s="7">
        <v>5</v>
      </c>
      <c r="J4842" s="7">
        <f t="shared" si="6292"/>
        <v>240</v>
      </c>
      <c r="K4842" s="7" t="s">
        <v>310</v>
      </c>
      <c r="L4842" s="7">
        <v>34</v>
      </c>
      <c r="M4842" s="7">
        <f>IF(INDEX([1]equip.xml!$B:$B,MATCH(D4842,[1]equip.xml!$A:$A,0))=0,0,N4842)</f>
        <v>200</v>
      </c>
      <c r="N4842" s="7">
        <f t="shared" si="6222"/>
        <v>200</v>
      </c>
    </row>
    <row r="4843" spans="1:14">
      <c r="A4843" s="7">
        <f t="shared" si="6171"/>
        <v>30013</v>
      </c>
      <c r="B4843" s="7">
        <f t="shared" ref="B4843:C4843" si="6293">B4755</f>
        <v>40000</v>
      </c>
      <c r="C4843" s="7" t="str">
        <f t="shared" si="6293"/>
        <v>装备</v>
      </c>
      <c r="D4843" s="7">
        <v>50403066</v>
      </c>
      <c r="E4843" s="7"/>
      <c r="F4843" s="7">
        <v>1</v>
      </c>
      <c r="G4843" s="8">
        <f>3*INDEX([1]equip.xml!$I:$I,MATCH(D4843,[1]equip.xml!$A:$A,0))</f>
        <v>258000</v>
      </c>
      <c r="H4843" s="7" t="str">
        <f t="shared" ref="H4843:J4843" si="6294">H4755</f>
        <v>10_10,50_20,80_30</v>
      </c>
      <c r="I4843" s="7">
        <v>5</v>
      </c>
      <c r="J4843" s="7">
        <f t="shared" si="6294"/>
        <v>240</v>
      </c>
      <c r="K4843" s="7" t="s">
        <v>310</v>
      </c>
      <c r="L4843" s="7">
        <v>34</v>
      </c>
      <c r="M4843" s="7">
        <f>IF(INDEX([1]equip.xml!$B:$B,MATCH(D4843,[1]equip.xml!$A:$A,0))=0,0,N4843)</f>
        <v>0</v>
      </c>
      <c r="N4843" s="7">
        <f t="shared" si="6222"/>
        <v>200</v>
      </c>
    </row>
    <row r="4844" spans="1:14">
      <c r="A4844" s="7">
        <f t="shared" si="6171"/>
        <v>30013</v>
      </c>
      <c r="B4844" s="7">
        <f t="shared" ref="B4844:C4844" si="6295">B4756</f>
        <v>40000</v>
      </c>
      <c r="C4844" s="7" t="str">
        <f t="shared" si="6295"/>
        <v>装备</v>
      </c>
      <c r="D4844" s="7">
        <v>50400045</v>
      </c>
      <c r="E4844" s="7"/>
      <c r="F4844" s="7">
        <v>1</v>
      </c>
      <c r="G4844" s="8">
        <f>3*INDEX([1]equip.xml!$I:$I,MATCH(D4844,[1]equip.xml!$A:$A,0))</f>
        <v>240000</v>
      </c>
      <c r="H4844" s="7" t="str">
        <f t="shared" ref="H4844:J4844" si="6296">H4756</f>
        <v>10_10,50_20,80_30</v>
      </c>
      <c r="I4844" s="7">
        <v>5</v>
      </c>
      <c r="J4844" s="7">
        <f t="shared" si="6296"/>
        <v>240</v>
      </c>
      <c r="K4844" s="7" t="s">
        <v>310</v>
      </c>
      <c r="L4844" s="7">
        <v>34</v>
      </c>
      <c r="M4844" s="7">
        <f>IF(INDEX([1]equip.xml!$B:$B,MATCH(D4844,[1]equip.xml!$A:$A,0))=0,0,N4844)</f>
        <v>200</v>
      </c>
      <c r="N4844" s="7">
        <f t="shared" si="6222"/>
        <v>200</v>
      </c>
    </row>
    <row r="4845" spans="1:14">
      <c r="A4845" s="7">
        <f t="shared" si="6171"/>
        <v>30013</v>
      </c>
      <c r="B4845" s="7">
        <f t="shared" ref="B4845:C4845" si="6297">B4757</f>
        <v>40000</v>
      </c>
      <c r="C4845" s="7" t="str">
        <f t="shared" si="6297"/>
        <v>装备</v>
      </c>
      <c r="D4845" s="7">
        <v>50400046</v>
      </c>
      <c r="E4845" s="7"/>
      <c r="F4845" s="7">
        <v>1</v>
      </c>
      <c r="G4845" s="8">
        <f>3*INDEX([1]equip.xml!$I:$I,MATCH(D4845,[1]equip.xml!$A:$A,0))</f>
        <v>258000</v>
      </c>
      <c r="H4845" s="7" t="str">
        <f t="shared" ref="H4845:J4845" si="6298">H4757</f>
        <v>10_10,50_20,80_30</v>
      </c>
      <c r="I4845" s="7">
        <v>5</v>
      </c>
      <c r="J4845" s="7">
        <f t="shared" si="6298"/>
        <v>240</v>
      </c>
      <c r="K4845" s="7" t="s">
        <v>310</v>
      </c>
      <c r="L4845" s="7">
        <v>34</v>
      </c>
      <c r="M4845" s="7">
        <f>IF(INDEX([1]equip.xml!$B:$B,MATCH(D4845,[1]equip.xml!$A:$A,0))=0,0,N4845)</f>
        <v>0</v>
      </c>
      <c r="N4845" s="7">
        <f t="shared" si="6222"/>
        <v>200</v>
      </c>
    </row>
    <row r="4846" spans="1:14">
      <c r="A4846" s="7">
        <f t="shared" si="6171"/>
        <v>30013</v>
      </c>
      <c r="B4846" s="7">
        <f t="shared" ref="B4846:C4846" si="6299">B4758</f>
        <v>40000</v>
      </c>
      <c r="C4846" s="7" t="str">
        <f t="shared" si="6299"/>
        <v>装备</v>
      </c>
      <c r="D4846" s="7">
        <v>50400075</v>
      </c>
      <c r="E4846" s="7"/>
      <c r="F4846" s="7">
        <v>1</v>
      </c>
      <c r="G4846" s="8">
        <f>3*INDEX([1]equip.xml!$I:$I,MATCH(D4846,[1]equip.xml!$A:$A,0))</f>
        <v>240000</v>
      </c>
      <c r="H4846" s="7" t="str">
        <f t="shared" ref="H4846:J4846" si="6300">H4758</f>
        <v>10_10,50_20,80_30</v>
      </c>
      <c r="I4846" s="7">
        <v>5</v>
      </c>
      <c r="J4846" s="7">
        <f t="shared" si="6300"/>
        <v>240</v>
      </c>
      <c r="K4846" s="7" t="s">
        <v>310</v>
      </c>
      <c r="L4846" s="7">
        <v>34</v>
      </c>
      <c r="M4846" s="7">
        <f>IF(INDEX([1]equip.xml!$B:$B,MATCH(D4846,[1]equip.xml!$A:$A,0))=0,0,N4846)</f>
        <v>200</v>
      </c>
      <c r="N4846" s="7">
        <f t="shared" si="6222"/>
        <v>200</v>
      </c>
    </row>
    <row r="4847" spans="1:14">
      <c r="A4847" s="7">
        <f t="shared" ref="A4847:A4910" si="6301">10000+A3615</f>
        <v>30013</v>
      </c>
      <c r="B4847" s="7">
        <f t="shared" ref="B4847:C4847" si="6302">B4759</f>
        <v>40000</v>
      </c>
      <c r="C4847" s="7" t="str">
        <f t="shared" si="6302"/>
        <v>装备</v>
      </c>
      <c r="D4847" s="7">
        <v>50400076</v>
      </c>
      <c r="E4847" s="7"/>
      <c r="F4847" s="7">
        <v>1</v>
      </c>
      <c r="G4847" s="8">
        <f>3*INDEX([1]equip.xml!$I:$I,MATCH(D4847,[1]equip.xml!$A:$A,0))</f>
        <v>258000</v>
      </c>
      <c r="H4847" s="7" t="str">
        <f t="shared" ref="H4847:J4847" si="6303">H4759</f>
        <v>10_10,50_20,80_30</v>
      </c>
      <c r="I4847" s="7">
        <v>5</v>
      </c>
      <c r="J4847" s="7">
        <f t="shared" si="6303"/>
        <v>240</v>
      </c>
      <c r="K4847" s="7" t="s">
        <v>310</v>
      </c>
      <c r="L4847" s="7">
        <v>34</v>
      </c>
      <c r="M4847" s="7">
        <f>IF(INDEX([1]equip.xml!$B:$B,MATCH(D4847,[1]equip.xml!$A:$A,0))=0,0,N4847)</f>
        <v>0</v>
      </c>
      <c r="N4847" s="7">
        <f t="shared" si="6222"/>
        <v>200</v>
      </c>
    </row>
    <row r="4848" spans="1:14">
      <c r="A4848" s="7">
        <f t="shared" si="6301"/>
        <v>30013</v>
      </c>
      <c r="B4848" s="7">
        <f t="shared" ref="B4848:C4848" si="6304">B4760</f>
        <v>40000</v>
      </c>
      <c r="C4848" s="7" t="str">
        <f t="shared" si="6304"/>
        <v>装备</v>
      </c>
      <c r="D4848" s="7">
        <v>50450015</v>
      </c>
      <c r="E4848" s="7"/>
      <c r="F4848" s="7">
        <v>1</v>
      </c>
      <c r="G4848" s="8">
        <f>3*INDEX([1]equip.xml!$I:$I,MATCH(D4848,[1]equip.xml!$A:$A,0))</f>
        <v>270000</v>
      </c>
      <c r="H4848" s="7" t="str">
        <f t="shared" ref="H4848:J4848" si="6305">H4760</f>
        <v>10_10,50_20,80_30</v>
      </c>
      <c r="I4848" s="7">
        <v>5</v>
      </c>
      <c r="J4848" s="7">
        <f t="shared" si="6305"/>
        <v>240</v>
      </c>
      <c r="K4848" s="7" t="s">
        <v>310</v>
      </c>
      <c r="L4848" s="7">
        <v>34</v>
      </c>
      <c r="M4848" s="7">
        <f>IF(INDEX([1]equip.xml!$B:$B,MATCH(D4848,[1]equip.xml!$A:$A,0))=0,0,N4848)</f>
        <v>140</v>
      </c>
      <c r="N4848" s="7">
        <f t="shared" si="6222"/>
        <v>140</v>
      </c>
    </row>
    <row r="4849" spans="1:14">
      <c r="A4849" s="7">
        <f t="shared" si="6301"/>
        <v>30013</v>
      </c>
      <c r="B4849" s="7">
        <f t="shared" ref="B4849:C4849" si="6306">B4761</f>
        <v>40000</v>
      </c>
      <c r="C4849" s="7" t="str">
        <f t="shared" si="6306"/>
        <v>装备</v>
      </c>
      <c r="D4849" s="7">
        <v>50450025</v>
      </c>
      <c r="E4849" s="7"/>
      <c r="F4849" s="7">
        <v>1</v>
      </c>
      <c r="G4849" s="8">
        <f>3*INDEX([1]equip.xml!$I:$I,MATCH(D4849,[1]equip.xml!$A:$A,0))</f>
        <v>270000</v>
      </c>
      <c r="H4849" s="7" t="str">
        <f t="shared" ref="H4849:J4849" si="6307">H4761</f>
        <v>10_10,50_20,80_30</v>
      </c>
      <c r="I4849" s="7">
        <v>5</v>
      </c>
      <c r="J4849" s="7">
        <f t="shared" si="6307"/>
        <v>240</v>
      </c>
      <c r="K4849" s="7" t="s">
        <v>310</v>
      </c>
      <c r="L4849" s="7">
        <v>34</v>
      </c>
      <c r="M4849" s="7">
        <f>IF(INDEX([1]equip.xml!$B:$B,MATCH(D4849,[1]equip.xml!$A:$A,0))=0,0,N4849)</f>
        <v>140</v>
      </c>
      <c r="N4849" s="7">
        <f t="shared" si="6222"/>
        <v>140</v>
      </c>
    </row>
    <row r="4850" spans="1:14">
      <c r="A4850" s="7">
        <f t="shared" si="6301"/>
        <v>30013</v>
      </c>
      <c r="B4850" s="7">
        <f t="shared" ref="B4850:C4850" si="6308">B4762</f>
        <v>40000</v>
      </c>
      <c r="C4850" s="7" t="str">
        <f t="shared" si="6308"/>
        <v>装备</v>
      </c>
      <c r="D4850" s="7">
        <v>50450035</v>
      </c>
      <c r="E4850" s="7"/>
      <c r="F4850" s="7">
        <v>1</v>
      </c>
      <c r="G4850" s="8">
        <f>3*INDEX([1]equip.xml!$I:$I,MATCH(D4850,[1]equip.xml!$A:$A,0))</f>
        <v>270000</v>
      </c>
      <c r="H4850" s="7" t="str">
        <f t="shared" ref="H4850:J4850" si="6309">H4762</f>
        <v>10_10,50_20,80_30</v>
      </c>
      <c r="I4850" s="7">
        <v>5</v>
      </c>
      <c r="J4850" s="7">
        <f t="shared" si="6309"/>
        <v>240</v>
      </c>
      <c r="K4850" s="7" t="s">
        <v>310</v>
      </c>
      <c r="L4850" s="7">
        <v>34</v>
      </c>
      <c r="M4850" s="7">
        <f>IF(INDEX([1]equip.xml!$B:$B,MATCH(D4850,[1]equip.xml!$A:$A,0))=0,0,N4850)</f>
        <v>140</v>
      </c>
      <c r="N4850" s="7">
        <f t="shared" si="6222"/>
        <v>140</v>
      </c>
    </row>
    <row r="4851" spans="1:14">
      <c r="A4851" s="7">
        <f t="shared" si="6301"/>
        <v>30013</v>
      </c>
      <c r="B4851" s="7">
        <f t="shared" ref="B4851:C4851" si="6310">B4763</f>
        <v>40000</v>
      </c>
      <c r="C4851" s="7" t="str">
        <f t="shared" si="6310"/>
        <v>装备</v>
      </c>
      <c r="D4851" s="7">
        <v>50450085</v>
      </c>
      <c r="E4851" s="7"/>
      <c r="F4851" s="7">
        <v>1</v>
      </c>
      <c r="G4851" s="8">
        <f>3*INDEX([1]equip.xml!$I:$I,MATCH(D4851,[1]equip.xml!$A:$A,0))</f>
        <v>270000</v>
      </c>
      <c r="H4851" s="7" t="str">
        <f t="shared" ref="H4851:J4851" si="6311">H4763</f>
        <v>10_10,50_20,80_30</v>
      </c>
      <c r="I4851" s="7">
        <v>5</v>
      </c>
      <c r="J4851" s="7">
        <f t="shared" si="6311"/>
        <v>240</v>
      </c>
      <c r="K4851" s="7" t="s">
        <v>310</v>
      </c>
      <c r="L4851" s="7">
        <v>34</v>
      </c>
      <c r="M4851" s="7">
        <f>IF(INDEX([1]equip.xml!$B:$B,MATCH(D4851,[1]equip.xml!$A:$A,0))=0,0,N4851)</f>
        <v>140</v>
      </c>
      <c r="N4851" s="7">
        <f t="shared" si="6222"/>
        <v>140</v>
      </c>
    </row>
    <row r="4852" spans="1:14">
      <c r="A4852" s="7">
        <f t="shared" si="6301"/>
        <v>30013</v>
      </c>
      <c r="B4852" s="7">
        <f t="shared" ref="B4852:C4852" si="6312">B4764</f>
        <v>40000</v>
      </c>
      <c r="C4852" s="7" t="str">
        <f t="shared" si="6312"/>
        <v>装备</v>
      </c>
      <c r="D4852" s="7">
        <v>50450095</v>
      </c>
      <c r="E4852" s="7"/>
      <c r="F4852" s="7">
        <v>1</v>
      </c>
      <c r="G4852" s="8">
        <f>3*INDEX([1]equip.xml!$I:$I,MATCH(D4852,[1]equip.xml!$A:$A,0))</f>
        <v>270000</v>
      </c>
      <c r="H4852" s="7" t="str">
        <f t="shared" ref="H4852:J4852" si="6313">H4764</f>
        <v>10_10,50_20,80_30</v>
      </c>
      <c r="I4852" s="7">
        <v>5</v>
      </c>
      <c r="J4852" s="7">
        <f t="shared" si="6313"/>
        <v>240</v>
      </c>
      <c r="K4852" s="7" t="s">
        <v>310</v>
      </c>
      <c r="L4852" s="7">
        <v>34</v>
      </c>
      <c r="M4852" s="7">
        <f>IF(INDEX([1]equip.xml!$B:$B,MATCH(D4852,[1]equip.xml!$A:$A,0))=0,0,N4852)</f>
        <v>140</v>
      </c>
      <c r="N4852" s="7">
        <f t="shared" si="6222"/>
        <v>140</v>
      </c>
    </row>
    <row r="4853" spans="1:14">
      <c r="A4853" s="7">
        <f t="shared" si="6301"/>
        <v>30013</v>
      </c>
      <c r="B4853" s="7">
        <f t="shared" ref="B4853:C4853" si="6314">B4765</f>
        <v>40000</v>
      </c>
      <c r="C4853" s="7" t="str">
        <f t="shared" si="6314"/>
        <v>装备</v>
      </c>
      <c r="D4853" s="7">
        <v>50450105</v>
      </c>
      <c r="E4853" s="7"/>
      <c r="F4853" s="7">
        <v>1</v>
      </c>
      <c r="G4853" s="8">
        <f>3*INDEX([1]equip.xml!$I:$I,MATCH(D4853,[1]equip.xml!$A:$A,0))</f>
        <v>270000</v>
      </c>
      <c r="H4853" s="7" t="str">
        <f t="shared" ref="H4853:J4853" si="6315">H4765</f>
        <v>10_10,50_20,80_30</v>
      </c>
      <c r="I4853" s="7">
        <v>5</v>
      </c>
      <c r="J4853" s="7">
        <f t="shared" si="6315"/>
        <v>240</v>
      </c>
      <c r="K4853" s="7" t="s">
        <v>310</v>
      </c>
      <c r="L4853" s="7">
        <v>34</v>
      </c>
      <c r="M4853" s="7">
        <f>IF(INDEX([1]equip.xml!$B:$B,MATCH(D4853,[1]equip.xml!$A:$A,0))=0,0,N4853)</f>
        <v>140</v>
      </c>
      <c r="N4853" s="7">
        <f t="shared" si="6222"/>
        <v>140</v>
      </c>
    </row>
    <row r="4854" spans="1:14">
      <c r="A4854" s="7">
        <f t="shared" si="6301"/>
        <v>30013</v>
      </c>
      <c r="B4854" s="7">
        <f t="shared" ref="B4854:C4854" si="6316">B4766</f>
        <v>40000</v>
      </c>
      <c r="C4854" s="7" t="str">
        <f t="shared" si="6316"/>
        <v>装备</v>
      </c>
      <c r="D4854" s="7">
        <v>50451055</v>
      </c>
      <c r="E4854" s="7"/>
      <c r="F4854" s="7">
        <v>1</v>
      </c>
      <c r="G4854" s="8">
        <f>3*INDEX([1]equip.xml!$I:$I,MATCH(D4854,[1]equip.xml!$A:$A,0))</f>
        <v>270000</v>
      </c>
      <c r="H4854" s="7" t="str">
        <f t="shared" ref="H4854:J4854" si="6317">H4766</f>
        <v>10_10,50_20,80_30</v>
      </c>
      <c r="I4854" s="7">
        <v>5</v>
      </c>
      <c r="J4854" s="7">
        <f t="shared" si="6317"/>
        <v>240</v>
      </c>
      <c r="K4854" s="7" t="s">
        <v>310</v>
      </c>
      <c r="L4854" s="7">
        <v>34</v>
      </c>
      <c r="M4854" s="7">
        <f>IF(INDEX([1]equip.xml!$B:$B,MATCH(D4854,[1]equip.xml!$A:$A,0))=0,0,N4854)</f>
        <v>140</v>
      </c>
      <c r="N4854" s="7">
        <f t="shared" si="6222"/>
        <v>140</v>
      </c>
    </row>
    <row r="4855" spans="1:14">
      <c r="A4855" s="7">
        <f t="shared" si="6301"/>
        <v>30013</v>
      </c>
      <c r="B4855" s="7">
        <f t="shared" ref="B4855:C4855" si="6318">B4767</f>
        <v>40000</v>
      </c>
      <c r="C4855" s="7" t="str">
        <f t="shared" si="6318"/>
        <v>装备</v>
      </c>
      <c r="D4855" s="7">
        <v>50451056</v>
      </c>
      <c r="E4855" s="7"/>
      <c r="F4855" s="7">
        <v>1</v>
      </c>
      <c r="G4855" s="8">
        <f>3*INDEX([1]equip.xml!$I:$I,MATCH(D4855,[1]equip.xml!$A:$A,0))</f>
        <v>288000</v>
      </c>
      <c r="H4855" s="7" t="str">
        <f t="shared" ref="H4855:J4855" si="6319">H4767</f>
        <v>10_10,50_20,80_30</v>
      </c>
      <c r="I4855" s="7">
        <v>5</v>
      </c>
      <c r="J4855" s="7">
        <f t="shared" si="6319"/>
        <v>240</v>
      </c>
      <c r="K4855" s="7" t="s">
        <v>310</v>
      </c>
      <c r="L4855" s="7">
        <v>34</v>
      </c>
      <c r="M4855" s="7">
        <f>IF(INDEX([1]equip.xml!$B:$B,MATCH(D4855,[1]equip.xml!$A:$A,0))=0,0,N4855)</f>
        <v>0</v>
      </c>
      <c r="N4855" s="7">
        <f t="shared" si="6222"/>
        <v>140</v>
      </c>
    </row>
    <row r="4856" spans="1:14">
      <c r="A4856" s="7">
        <f t="shared" si="6301"/>
        <v>30013</v>
      </c>
      <c r="B4856" s="7">
        <f t="shared" ref="B4856:C4856" si="6320">B4768</f>
        <v>40000</v>
      </c>
      <c r="C4856" s="7" t="str">
        <f t="shared" si="6320"/>
        <v>装备</v>
      </c>
      <c r="D4856" s="7">
        <v>50451065</v>
      </c>
      <c r="E4856" s="7"/>
      <c r="F4856" s="7">
        <v>1</v>
      </c>
      <c r="G4856" s="8">
        <f>3*INDEX([1]equip.xml!$I:$I,MATCH(D4856,[1]equip.xml!$A:$A,0))</f>
        <v>270000</v>
      </c>
      <c r="H4856" s="7" t="str">
        <f t="shared" ref="H4856:J4856" si="6321">H4768</f>
        <v>10_10,50_20,80_30</v>
      </c>
      <c r="I4856" s="7">
        <v>5</v>
      </c>
      <c r="J4856" s="7">
        <f t="shared" si="6321"/>
        <v>240</v>
      </c>
      <c r="K4856" s="7" t="s">
        <v>310</v>
      </c>
      <c r="L4856" s="7">
        <v>34</v>
      </c>
      <c r="M4856" s="7">
        <f>IF(INDEX([1]equip.xml!$B:$B,MATCH(D4856,[1]equip.xml!$A:$A,0))=0,0,N4856)</f>
        <v>140</v>
      </c>
      <c r="N4856" s="7">
        <f t="shared" si="6222"/>
        <v>140</v>
      </c>
    </row>
    <row r="4857" spans="1:14">
      <c r="A4857" s="7">
        <f t="shared" si="6301"/>
        <v>30013</v>
      </c>
      <c r="B4857" s="7">
        <f t="shared" ref="B4857:C4857" si="6322">B4769</f>
        <v>40000</v>
      </c>
      <c r="C4857" s="7" t="str">
        <f t="shared" si="6322"/>
        <v>装备</v>
      </c>
      <c r="D4857" s="7">
        <v>50451066</v>
      </c>
      <c r="E4857" s="7"/>
      <c r="F4857" s="7">
        <v>1</v>
      </c>
      <c r="G4857" s="8">
        <f>3*INDEX([1]equip.xml!$I:$I,MATCH(D4857,[1]equip.xml!$A:$A,0))</f>
        <v>288000</v>
      </c>
      <c r="H4857" s="7" t="str">
        <f t="shared" ref="H4857:J4857" si="6323">H4769</f>
        <v>10_10,50_20,80_30</v>
      </c>
      <c r="I4857" s="7">
        <v>5</v>
      </c>
      <c r="J4857" s="7">
        <f t="shared" si="6323"/>
        <v>240</v>
      </c>
      <c r="K4857" s="7" t="s">
        <v>310</v>
      </c>
      <c r="L4857" s="7">
        <v>34</v>
      </c>
      <c r="M4857" s="7">
        <f>IF(INDEX([1]equip.xml!$B:$B,MATCH(D4857,[1]equip.xml!$A:$A,0))=0,0,N4857)</f>
        <v>0</v>
      </c>
      <c r="N4857" s="7">
        <f t="shared" si="6222"/>
        <v>140</v>
      </c>
    </row>
    <row r="4858" spans="1:14">
      <c r="A4858" s="7">
        <f t="shared" si="6301"/>
        <v>30013</v>
      </c>
      <c r="B4858" s="7">
        <f t="shared" ref="B4858:C4858" si="6324">B4770</f>
        <v>40000</v>
      </c>
      <c r="C4858" s="7" t="str">
        <f t="shared" si="6324"/>
        <v>装备</v>
      </c>
      <c r="D4858" s="7">
        <v>50452055</v>
      </c>
      <c r="E4858" s="7"/>
      <c r="F4858" s="7">
        <v>1</v>
      </c>
      <c r="G4858" s="8">
        <f>3*INDEX([1]equip.xml!$I:$I,MATCH(D4858,[1]equip.xml!$A:$A,0))</f>
        <v>270000</v>
      </c>
      <c r="H4858" s="7" t="str">
        <f t="shared" ref="H4858:J4858" si="6325">H4770</f>
        <v>10_10,50_20,80_30</v>
      </c>
      <c r="I4858" s="7">
        <v>5</v>
      </c>
      <c r="J4858" s="7">
        <f t="shared" si="6325"/>
        <v>240</v>
      </c>
      <c r="K4858" s="7" t="s">
        <v>310</v>
      </c>
      <c r="L4858" s="7">
        <v>34</v>
      </c>
      <c r="M4858" s="7">
        <f>IF(INDEX([1]equip.xml!$B:$B,MATCH(D4858,[1]equip.xml!$A:$A,0))=0,0,N4858)</f>
        <v>140</v>
      </c>
      <c r="N4858" s="7">
        <f t="shared" si="6222"/>
        <v>140</v>
      </c>
    </row>
    <row r="4859" spans="1:14">
      <c r="A4859" s="7">
        <f t="shared" si="6301"/>
        <v>30013</v>
      </c>
      <c r="B4859" s="7">
        <f t="shared" ref="B4859:C4859" si="6326">B4771</f>
        <v>40000</v>
      </c>
      <c r="C4859" s="7" t="str">
        <f t="shared" si="6326"/>
        <v>装备</v>
      </c>
      <c r="D4859" s="7">
        <v>50452056</v>
      </c>
      <c r="E4859" s="7"/>
      <c r="F4859" s="7">
        <v>1</v>
      </c>
      <c r="G4859" s="8">
        <f>3*INDEX([1]equip.xml!$I:$I,MATCH(D4859,[1]equip.xml!$A:$A,0))</f>
        <v>288000</v>
      </c>
      <c r="H4859" s="7" t="str">
        <f t="shared" ref="H4859:J4859" si="6327">H4771</f>
        <v>10_10,50_20,80_30</v>
      </c>
      <c r="I4859" s="7">
        <v>5</v>
      </c>
      <c r="J4859" s="7">
        <f t="shared" si="6327"/>
        <v>240</v>
      </c>
      <c r="K4859" s="7" t="s">
        <v>310</v>
      </c>
      <c r="L4859" s="7">
        <v>34</v>
      </c>
      <c r="M4859" s="7">
        <f>IF(INDEX([1]equip.xml!$B:$B,MATCH(D4859,[1]equip.xml!$A:$A,0))=0,0,N4859)</f>
        <v>0</v>
      </c>
      <c r="N4859" s="7">
        <f t="shared" si="6222"/>
        <v>140</v>
      </c>
    </row>
    <row r="4860" spans="1:14">
      <c r="A4860" s="7">
        <f t="shared" si="6301"/>
        <v>30013</v>
      </c>
      <c r="B4860" s="7">
        <f t="shared" ref="B4860:C4860" si="6328">B4772</f>
        <v>40000</v>
      </c>
      <c r="C4860" s="7" t="str">
        <f t="shared" si="6328"/>
        <v>装备</v>
      </c>
      <c r="D4860" s="7">
        <v>50452065</v>
      </c>
      <c r="E4860" s="7"/>
      <c r="F4860" s="7">
        <v>1</v>
      </c>
      <c r="G4860" s="8">
        <f>3*INDEX([1]equip.xml!$I:$I,MATCH(D4860,[1]equip.xml!$A:$A,0))</f>
        <v>270000</v>
      </c>
      <c r="H4860" s="7" t="str">
        <f t="shared" ref="H4860:J4860" si="6329">H4772</f>
        <v>10_10,50_20,80_30</v>
      </c>
      <c r="I4860" s="7">
        <v>5</v>
      </c>
      <c r="J4860" s="7">
        <f t="shared" si="6329"/>
        <v>240</v>
      </c>
      <c r="K4860" s="7" t="s">
        <v>310</v>
      </c>
      <c r="L4860" s="7">
        <v>34</v>
      </c>
      <c r="M4860" s="7">
        <f>IF(INDEX([1]equip.xml!$B:$B,MATCH(D4860,[1]equip.xml!$A:$A,0))=0,0,N4860)</f>
        <v>140</v>
      </c>
      <c r="N4860" s="7">
        <f t="shared" si="6222"/>
        <v>140</v>
      </c>
    </row>
    <row r="4861" spans="1:14">
      <c r="A4861" s="7">
        <f t="shared" si="6301"/>
        <v>30013</v>
      </c>
      <c r="B4861" s="7">
        <f t="shared" ref="B4861:C4861" si="6330">B4773</f>
        <v>40000</v>
      </c>
      <c r="C4861" s="7" t="str">
        <f t="shared" si="6330"/>
        <v>装备</v>
      </c>
      <c r="D4861" s="7">
        <v>50452066</v>
      </c>
      <c r="E4861" s="7"/>
      <c r="F4861" s="7">
        <v>1</v>
      </c>
      <c r="G4861" s="8">
        <f>3*INDEX([1]equip.xml!$I:$I,MATCH(D4861,[1]equip.xml!$A:$A,0))</f>
        <v>288000</v>
      </c>
      <c r="H4861" s="7" t="str">
        <f t="shared" ref="H4861:J4861" si="6331">H4773</f>
        <v>10_10,50_20,80_30</v>
      </c>
      <c r="I4861" s="7">
        <v>5</v>
      </c>
      <c r="J4861" s="7">
        <f t="shared" si="6331"/>
        <v>240</v>
      </c>
      <c r="K4861" s="7" t="s">
        <v>310</v>
      </c>
      <c r="L4861" s="7">
        <v>34</v>
      </c>
      <c r="M4861" s="7">
        <f>IF(INDEX([1]equip.xml!$B:$B,MATCH(D4861,[1]equip.xml!$A:$A,0))=0,0,N4861)</f>
        <v>0</v>
      </c>
      <c r="N4861" s="7">
        <f t="shared" si="6222"/>
        <v>140</v>
      </c>
    </row>
    <row r="4862" spans="1:14">
      <c r="A4862" s="7">
        <f t="shared" si="6301"/>
        <v>30013</v>
      </c>
      <c r="B4862" s="7">
        <f t="shared" ref="B4862:C4862" si="6332">B4774</f>
        <v>40000</v>
      </c>
      <c r="C4862" s="7" t="str">
        <f t="shared" si="6332"/>
        <v>装备</v>
      </c>
      <c r="D4862" s="7">
        <v>50453055</v>
      </c>
      <c r="E4862" s="7"/>
      <c r="F4862" s="7">
        <v>1</v>
      </c>
      <c r="G4862" s="8">
        <f>3*INDEX([1]equip.xml!$I:$I,MATCH(D4862,[1]equip.xml!$A:$A,0))</f>
        <v>270000</v>
      </c>
      <c r="H4862" s="7" t="str">
        <f t="shared" ref="H4862:J4862" si="6333">H4774</f>
        <v>10_10,50_20,80_30</v>
      </c>
      <c r="I4862" s="7">
        <v>5</v>
      </c>
      <c r="J4862" s="7">
        <f t="shared" si="6333"/>
        <v>240</v>
      </c>
      <c r="K4862" s="7" t="s">
        <v>310</v>
      </c>
      <c r="L4862" s="7">
        <v>34</v>
      </c>
      <c r="M4862" s="7">
        <f>IF(INDEX([1]equip.xml!$B:$B,MATCH(D4862,[1]equip.xml!$A:$A,0))=0,0,N4862)</f>
        <v>140</v>
      </c>
      <c r="N4862" s="7">
        <f t="shared" si="6222"/>
        <v>140</v>
      </c>
    </row>
    <row r="4863" spans="1:14">
      <c r="A4863" s="7">
        <f t="shared" si="6301"/>
        <v>30013</v>
      </c>
      <c r="B4863" s="7">
        <f t="shared" ref="B4863:C4863" si="6334">B4775</f>
        <v>40000</v>
      </c>
      <c r="C4863" s="7" t="str">
        <f t="shared" si="6334"/>
        <v>装备</v>
      </c>
      <c r="D4863" s="7">
        <v>50453056</v>
      </c>
      <c r="E4863" s="7"/>
      <c r="F4863" s="7">
        <v>1</v>
      </c>
      <c r="G4863" s="8">
        <f>3*INDEX([1]equip.xml!$I:$I,MATCH(D4863,[1]equip.xml!$A:$A,0))</f>
        <v>288000</v>
      </c>
      <c r="H4863" s="7" t="str">
        <f t="shared" ref="H4863:J4863" si="6335">H4775</f>
        <v>10_10,50_20,80_30</v>
      </c>
      <c r="I4863" s="7">
        <v>5</v>
      </c>
      <c r="J4863" s="7">
        <f t="shared" si="6335"/>
        <v>240</v>
      </c>
      <c r="K4863" s="7" t="s">
        <v>310</v>
      </c>
      <c r="L4863" s="7">
        <v>34</v>
      </c>
      <c r="M4863" s="7">
        <f>IF(INDEX([1]equip.xml!$B:$B,MATCH(D4863,[1]equip.xml!$A:$A,0))=0,0,N4863)</f>
        <v>140</v>
      </c>
      <c r="N4863" s="7">
        <f t="shared" si="6222"/>
        <v>140</v>
      </c>
    </row>
    <row r="4864" spans="1:14">
      <c r="A4864" s="7">
        <f t="shared" si="6301"/>
        <v>30013</v>
      </c>
      <c r="B4864" s="7">
        <f t="shared" ref="B4864:C4864" si="6336">B4776</f>
        <v>40000</v>
      </c>
      <c r="C4864" s="7" t="str">
        <f t="shared" si="6336"/>
        <v>装备</v>
      </c>
      <c r="D4864" s="7">
        <v>50453065</v>
      </c>
      <c r="E4864" s="7"/>
      <c r="F4864" s="7">
        <v>1</v>
      </c>
      <c r="G4864" s="8">
        <f>3*INDEX([1]equip.xml!$I:$I,MATCH(D4864,[1]equip.xml!$A:$A,0))</f>
        <v>270000</v>
      </c>
      <c r="H4864" s="7" t="str">
        <f t="shared" ref="H4864:J4864" si="6337">H4776</f>
        <v>10_10,50_20,80_30</v>
      </c>
      <c r="I4864" s="7">
        <v>5</v>
      </c>
      <c r="J4864" s="7">
        <f t="shared" si="6337"/>
        <v>240</v>
      </c>
      <c r="K4864" s="7" t="s">
        <v>310</v>
      </c>
      <c r="L4864" s="7">
        <v>34</v>
      </c>
      <c r="M4864" s="7">
        <f>IF(INDEX([1]equip.xml!$B:$B,MATCH(D4864,[1]equip.xml!$A:$A,0))=0,0,N4864)</f>
        <v>140</v>
      </c>
      <c r="N4864" s="7">
        <f t="shared" si="6222"/>
        <v>140</v>
      </c>
    </row>
    <row r="4865" spans="1:14">
      <c r="A4865" s="7">
        <f t="shared" si="6301"/>
        <v>30013</v>
      </c>
      <c r="B4865" s="7">
        <f t="shared" ref="B4865:C4865" si="6338">B4777</f>
        <v>40000</v>
      </c>
      <c r="C4865" s="7" t="str">
        <f t="shared" si="6338"/>
        <v>装备</v>
      </c>
      <c r="D4865" s="7">
        <v>50453066</v>
      </c>
      <c r="E4865" s="7"/>
      <c r="F4865" s="7">
        <v>1</v>
      </c>
      <c r="G4865" s="8">
        <f>3*INDEX([1]equip.xml!$I:$I,MATCH(D4865,[1]equip.xml!$A:$A,0))</f>
        <v>288000</v>
      </c>
      <c r="H4865" s="7" t="str">
        <f t="shared" ref="H4865:J4865" si="6339">H4777</f>
        <v>10_10,50_20,80_30</v>
      </c>
      <c r="I4865" s="7">
        <v>5</v>
      </c>
      <c r="J4865" s="7">
        <f t="shared" si="6339"/>
        <v>240</v>
      </c>
      <c r="K4865" s="7" t="s">
        <v>310</v>
      </c>
      <c r="L4865" s="7">
        <v>34</v>
      </c>
      <c r="M4865" s="7">
        <f>IF(INDEX([1]equip.xml!$B:$B,MATCH(D4865,[1]equip.xml!$A:$A,0))=0,0,N4865)</f>
        <v>0</v>
      </c>
      <c r="N4865" s="7">
        <f t="shared" si="6222"/>
        <v>140</v>
      </c>
    </row>
    <row r="4866" spans="1:14">
      <c r="A4866" s="7">
        <f t="shared" si="6301"/>
        <v>30013</v>
      </c>
      <c r="B4866" s="7">
        <f t="shared" ref="B4866:C4866" si="6340">B4778</f>
        <v>40000</v>
      </c>
      <c r="C4866" s="7" t="str">
        <f t="shared" si="6340"/>
        <v>装备</v>
      </c>
      <c r="D4866" s="7">
        <v>50450045</v>
      </c>
      <c r="E4866" s="7"/>
      <c r="F4866" s="7">
        <v>1</v>
      </c>
      <c r="G4866" s="8">
        <f>3*INDEX([1]equip.xml!$I:$I,MATCH(D4866,[1]equip.xml!$A:$A,0))</f>
        <v>270000</v>
      </c>
      <c r="H4866" s="7" t="str">
        <f t="shared" ref="H4866:J4866" si="6341">H4778</f>
        <v>10_10,50_20,80_30</v>
      </c>
      <c r="I4866" s="7">
        <v>5</v>
      </c>
      <c r="J4866" s="7">
        <f t="shared" si="6341"/>
        <v>240</v>
      </c>
      <c r="K4866" s="7" t="s">
        <v>310</v>
      </c>
      <c r="L4866" s="7">
        <v>34</v>
      </c>
      <c r="M4866" s="7">
        <f>IF(INDEX([1]equip.xml!$B:$B,MATCH(D4866,[1]equip.xml!$A:$A,0))=0,0,N4866)</f>
        <v>140</v>
      </c>
      <c r="N4866" s="7">
        <f t="shared" si="6222"/>
        <v>140</v>
      </c>
    </row>
    <row r="4867" spans="1:14">
      <c r="A4867" s="7">
        <f t="shared" si="6301"/>
        <v>30013</v>
      </c>
      <c r="B4867" s="7">
        <f t="shared" ref="B4867:C4867" si="6342">B4779</f>
        <v>40000</v>
      </c>
      <c r="C4867" s="7" t="str">
        <f t="shared" si="6342"/>
        <v>装备</v>
      </c>
      <c r="D4867" s="7">
        <v>50450046</v>
      </c>
      <c r="E4867" s="7"/>
      <c r="F4867" s="7">
        <v>1</v>
      </c>
      <c r="G4867" s="8">
        <f>3*INDEX([1]equip.xml!$I:$I,MATCH(D4867,[1]equip.xml!$A:$A,0))</f>
        <v>288000</v>
      </c>
      <c r="H4867" s="7" t="str">
        <f t="shared" ref="H4867:J4867" si="6343">H4779</f>
        <v>10_10,50_20,80_30</v>
      </c>
      <c r="I4867" s="7">
        <v>5</v>
      </c>
      <c r="J4867" s="7">
        <f t="shared" si="6343"/>
        <v>240</v>
      </c>
      <c r="K4867" s="7" t="s">
        <v>310</v>
      </c>
      <c r="L4867" s="7">
        <v>34</v>
      </c>
      <c r="M4867" s="7">
        <f>IF(INDEX([1]equip.xml!$B:$B,MATCH(D4867,[1]equip.xml!$A:$A,0))=0,0,N4867)</f>
        <v>140</v>
      </c>
      <c r="N4867" s="7">
        <f t="shared" si="6222"/>
        <v>140</v>
      </c>
    </row>
    <row r="4868" spans="1:14">
      <c r="A4868" s="7">
        <f t="shared" si="6301"/>
        <v>30013</v>
      </c>
      <c r="B4868" s="7">
        <f t="shared" ref="B4868:C4868" si="6344">B4780</f>
        <v>40000</v>
      </c>
      <c r="C4868" s="7" t="str">
        <f t="shared" si="6344"/>
        <v>装备</v>
      </c>
      <c r="D4868" s="7">
        <v>50450075</v>
      </c>
      <c r="E4868" s="7"/>
      <c r="F4868" s="7">
        <v>1</v>
      </c>
      <c r="G4868" s="8">
        <f>3*INDEX([1]equip.xml!$I:$I,MATCH(D4868,[1]equip.xml!$A:$A,0))</f>
        <v>270000</v>
      </c>
      <c r="H4868" s="7" t="str">
        <f t="shared" ref="H4868:J4868" si="6345">H4780</f>
        <v>10_10,50_20,80_30</v>
      </c>
      <c r="I4868" s="7">
        <v>5</v>
      </c>
      <c r="J4868" s="7">
        <f t="shared" si="6345"/>
        <v>240</v>
      </c>
      <c r="K4868" s="7" t="s">
        <v>310</v>
      </c>
      <c r="L4868" s="7">
        <v>34</v>
      </c>
      <c r="M4868" s="7">
        <f>IF(INDEX([1]equip.xml!$B:$B,MATCH(D4868,[1]equip.xml!$A:$A,0))=0,0,N4868)</f>
        <v>140</v>
      </c>
      <c r="N4868" s="7">
        <f t="shared" si="6222"/>
        <v>140</v>
      </c>
    </row>
    <row r="4869" spans="1:14">
      <c r="A4869" s="7">
        <f t="shared" si="6301"/>
        <v>30013</v>
      </c>
      <c r="B4869" s="7">
        <f t="shared" ref="B4869:C4869" si="6346">B4781</f>
        <v>40000</v>
      </c>
      <c r="C4869" s="7" t="str">
        <f t="shared" si="6346"/>
        <v>装备</v>
      </c>
      <c r="D4869" s="7">
        <v>50450076</v>
      </c>
      <c r="E4869" s="7"/>
      <c r="F4869" s="7">
        <v>1</v>
      </c>
      <c r="G4869" s="8">
        <f>3*INDEX([1]equip.xml!$I:$I,MATCH(D4869,[1]equip.xml!$A:$A,0))</f>
        <v>288000</v>
      </c>
      <c r="H4869" s="7" t="str">
        <f t="shared" ref="H4869:J4869" si="6347">H4781</f>
        <v>10_10,50_20,80_30</v>
      </c>
      <c r="I4869" s="7">
        <v>5</v>
      </c>
      <c r="J4869" s="7">
        <f t="shared" si="6347"/>
        <v>240</v>
      </c>
      <c r="K4869" s="7" t="s">
        <v>310</v>
      </c>
      <c r="L4869" s="7">
        <v>34</v>
      </c>
      <c r="M4869" s="7">
        <f>IF(INDEX([1]equip.xml!$B:$B,MATCH(D4869,[1]equip.xml!$A:$A,0))=0,0,N4869)</f>
        <v>140</v>
      </c>
      <c r="N4869" s="7">
        <f t="shared" si="6222"/>
        <v>140</v>
      </c>
    </row>
    <row r="4870" spans="1:14">
      <c r="A4870" s="7">
        <f t="shared" si="6301"/>
        <v>30014</v>
      </c>
      <c r="B4870" s="8">
        <f t="shared" ref="B4870:C4870" si="6348">B4782</f>
        <v>40000</v>
      </c>
      <c r="C4870" s="8" t="str">
        <f t="shared" si="6348"/>
        <v>装备</v>
      </c>
      <c r="D4870" s="8">
        <v>40450010</v>
      </c>
      <c r="E4870" s="8"/>
      <c r="F4870" s="8">
        <v>1</v>
      </c>
      <c r="G4870" s="7">
        <f>3*INDEX([1]equip.xml!$I:$I,MATCH(D4870&amp;"",[1]equip.xml!$A:$A,0))</f>
        <v>135000</v>
      </c>
      <c r="H4870" s="8" t="str">
        <f t="shared" ref="H4870:J4870" si="6349">H4782</f>
        <v>10_10,50_20,80_30</v>
      </c>
      <c r="I4870" s="8">
        <v>6</v>
      </c>
      <c r="J4870" s="8">
        <f t="shared" si="6349"/>
        <v>50</v>
      </c>
      <c r="K4870" s="7" t="s">
        <v>311</v>
      </c>
      <c r="L4870" s="8">
        <v>36</v>
      </c>
      <c r="M4870" s="7">
        <f>IF(INDEX([1]equip.xml!$B:$B,MATCH(D4870&amp;"",[1]equip.xml!$A:$A,0))=0,0,N4870)</f>
        <v>100</v>
      </c>
      <c r="N4870" s="7">
        <f t="shared" si="6222"/>
        <v>100</v>
      </c>
    </row>
    <row r="4871" spans="1:14">
      <c r="A4871" s="7">
        <f t="shared" si="6301"/>
        <v>30014</v>
      </c>
      <c r="B4871" s="8">
        <f t="shared" ref="B4871:C4871" si="6350">B4783</f>
        <v>40000</v>
      </c>
      <c r="C4871" s="8" t="str">
        <f t="shared" si="6350"/>
        <v>装备</v>
      </c>
      <c r="D4871" s="8">
        <v>40450020</v>
      </c>
      <c r="E4871" s="8"/>
      <c r="F4871" s="8">
        <v>1</v>
      </c>
      <c r="G4871" s="7">
        <f>3*INDEX([1]equip.xml!$I:$I,MATCH(D4871&amp;"",[1]equip.xml!$A:$A,0))</f>
        <v>135000</v>
      </c>
      <c r="H4871" s="8" t="str">
        <f t="shared" ref="H4871:J4871" si="6351">H4783</f>
        <v>10_10,50_20,80_30</v>
      </c>
      <c r="I4871" s="8">
        <v>6</v>
      </c>
      <c r="J4871" s="8">
        <f t="shared" si="6351"/>
        <v>50</v>
      </c>
      <c r="K4871" s="7" t="s">
        <v>311</v>
      </c>
      <c r="L4871" s="8">
        <v>36</v>
      </c>
      <c r="M4871" s="7">
        <f>IF(INDEX([1]equip.xml!$B:$B,MATCH(D4871&amp;"",[1]equip.xml!$A:$A,0))=0,0,N4871)</f>
        <v>100</v>
      </c>
      <c r="N4871" s="7">
        <f t="shared" ref="N4871:N4934" si="6352">N4783</f>
        <v>100</v>
      </c>
    </row>
    <row r="4872" spans="1:14">
      <c r="A4872" s="7">
        <f t="shared" si="6301"/>
        <v>30014</v>
      </c>
      <c r="B4872" s="8">
        <f t="shared" ref="B4872:C4872" si="6353">B4784</f>
        <v>40000</v>
      </c>
      <c r="C4872" s="8" t="str">
        <f t="shared" si="6353"/>
        <v>装备</v>
      </c>
      <c r="D4872" s="8">
        <v>40450030</v>
      </c>
      <c r="E4872" s="8"/>
      <c r="F4872" s="8">
        <v>1</v>
      </c>
      <c r="G4872" s="7">
        <f>3*INDEX([1]equip.xml!$I:$I,MATCH(D4872&amp;"",[1]equip.xml!$A:$A,0))</f>
        <v>135000</v>
      </c>
      <c r="H4872" s="8" t="str">
        <f t="shared" ref="H4872:J4872" si="6354">H4784</f>
        <v>10_10,50_20,80_30</v>
      </c>
      <c r="I4872" s="8">
        <v>6</v>
      </c>
      <c r="J4872" s="8">
        <f t="shared" si="6354"/>
        <v>50</v>
      </c>
      <c r="K4872" s="7" t="s">
        <v>311</v>
      </c>
      <c r="L4872" s="8">
        <v>36</v>
      </c>
      <c r="M4872" s="7">
        <f>IF(INDEX([1]equip.xml!$B:$B,MATCH(D4872&amp;"",[1]equip.xml!$A:$A,0))=0,0,N4872)</f>
        <v>100</v>
      </c>
      <c r="N4872" s="7">
        <f t="shared" si="6352"/>
        <v>100</v>
      </c>
    </row>
    <row r="4873" spans="1:14">
      <c r="A4873" s="7">
        <f t="shared" si="6301"/>
        <v>30014</v>
      </c>
      <c r="B4873" s="8">
        <f t="shared" ref="B4873:C4873" si="6355">B4785</f>
        <v>40000</v>
      </c>
      <c r="C4873" s="8" t="str">
        <f t="shared" si="6355"/>
        <v>装备</v>
      </c>
      <c r="D4873" s="8">
        <v>40450080</v>
      </c>
      <c r="E4873" s="8"/>
      <c r="F4873" s="8">
        <v>1</v>
      </c>
      <c r="G4873" s="7">
        <f>3*INDEX([1]equip.xml!$I:$I,MATCH(D4873&amp;"",[1]equip.xml!$A:$A,0))</f>
        <v>135000</v>
      </c>
      <c r="H4873" s="8" t="str">
        <f t="shared" ref="H4873:J4873" si="6356">H4785</f>
        <v>10_10,50_20,80_30</v>
      </c>
      <c r="I4873" s="8">
        <v>6</v>
      </c>
      <c r="J4873" s="8">
        <f t="shared" si="6356"/>
        <v>50</v>
      </c>
      <c r="K4873" s="7" t="s">
        <v>311</v>
      </c>
      <c r="L4873" s="8">
        <v>36</v>
      </c>
      <c r="M4873" s="7">
        <f>IF(INDEX([1]equip.xml!$B:$B,MATCH(D4873&amp;"",[1]equip.xml!$A:$A,0))=0,0,N4873)</f>
        <v>100</v>
      </c>
      <c r="N4873" s="7">
        <f t="shared" si="6352"/>
        <v>100</v>
      </c>
    </row>
    <row r="4874" spans="1:14">
      <c r="A4874" s="7">
        <f t="shared" si="6301"/>
        <v>30014</v>
      </c>
      <c r="B4874" s="8">
        <f t="shared" ref="B4874:C4874" si="6357">B4786</f>
        <v>40000</v>
      </c>
      <c r="C4874" s="8" t="str">
        <f t="shared" si="6357"/>
        <v>装备</v>
      </c>
      <c r="D4874" s="8">
        <v>40450090</v>
      </c>
      <c r="E4874" s="8"/>
      <c r="F4874" s="8">
        <v>1</v>
      </c>
      <c r="G4874" s="7">
        <f>3*INDEX([1]equip.xml!$I:$I,MATCH(D4874&amp;"",[1]equip.xml!$A:$A,0))</f>
        <v>135000</v>
      </c>
      <c r="H4874" s="8" t="str">
        <f t="shared" ref="H4874:J4874" si="6358">H4786</f>
        <v>10_10,50_20,80_30</v>
      </c>
      <c r="I4874" s="8">
        <v>6</v>
      </c>
      <c r="J4874" s="8">
        <f t="shared" si="6358"/>
        <v>50</v>
      </c>
      <c r="K4874" s="7" t="s">
        <v>311</v>
      </c>
      <c r="L4874" s="8">
        <v>36</v>
      </c>
      <c r="M4874" s="7">
        <f>IF(INDEX([1]equip.xml!$B:$B,MATCH(D4874&amp;"",[1]equip.xml!$A:$A,0))=0,0,N4874)</f>
        <v>100</v>
      </c>
      <c r="N4874" s="7">
        <f t="shared" si="6352"/>
        <v>100</v>
      </c>
    </row>
    <row r="4875" spans="1:14">
      <c r="A4875" s="7">
        <f t="shared" si="6301"/>
        <v>30014</v>
      </c>
      <c r="B4875" s="8">
        <f t="shared" ref="B4875:C4875" si="6359">B4787</f>
        <v>40000</v>
      </c>
      <c r="C4875" s="8" t="str">
        <f t="shared" si="6359"/>
        <v>装备</v>
      </c>
      <c r="D4875" s="8">
        <v>40450100</v>
      </c>
      <c r="E4875" s="8"/>
      <c r="F4875" s="8">
        <v>1</v>
      </c>
      <c r="G4875" s="7">
        <f>3*INDEX([1]equip.xml!$I:$I,MATCH(D4875&amp;"",[1]equip.xml!$A:$A,0))</f>
        <v>135000</v>
      </c>
      <c r="H4875" s="8" t="str">
        <f t="shared" ref="H4875:J4875" si="6360">H4787</f>
        <v>10_10,50_20,80_30</v>
      </c>
      <c r="I4875" s="8">
        <v>6</v>
      </c>
      <c r="J4875" s="8">
        <f t="shared" si="6360"/>
        <v>50</v>
      </c>
      <c r="K4875" s="7" t="s">
        <v>311</v>
      </c>
      <c r="L4875" s="8">
        <v>36</v>
      </c>
      <c r="M4875" s="7">
        <f>IF(INDEX([1]equip.xml!$B:$B,MATCH(D4875&amp;"",[1]equip.xml!$A:$A,0))=0,0,N4875)</f>
        <v>100</v>
      </c>
      <c r="N4875" s="7">
        <f t="shared" si="6352"/>
        <v>100</v>
      </c>
    </row>
    <row r="4876" spans="1:14">
      <c r="A4876" s="7">
        <f t="shared" si="6301"/>
        <v>30014</v>
      </c>
      <c r="B4876" s="8">
        <f t="shared" ref="B4876:C4876" si="6361">B4788</f>
        <v>40000</v>
      </c>
      <c r="C4876" s="8" t="str">
        <f t="shared" si="6361"/>
        <v>装备</v>
      </c>
      <c r="D4876" s="8">
        <v>40451050</v>
      </c>
      <c r="E4876" s="8"/>
      <c r="F4876" s="8">
        <v>1</v>
      </c>
      <c r="G4876" s="7">
        <f>3*INDEX([1]equip.xml!$I:$I,MATCH(D4876&amp;"",[1]equip.xml!$A:$A,0))</f>
        <v>135000</v>
      </c>
      <c r="H4876" s="8" t="str">
        <f t="shared" ref="H4876:J4876" si="6362">H4788</f>
        <v>10_10,50_20,80_30</v>
      </c>
      <c r="I4876" s="8">
        <v>6</v>
      </c>
      <c r="J4876" s="8">
        <f t="shared" si="6362"/>
        <v>50</v>
      </c>
      <c r="K4876" s="7" t="s">
        <v>311</v>
      </c>
      <c r="L4876" s="8">
        <v>36</v>
      </c>
      <c r="M4876" s="7">
        <f>IF(INDEX([1]equip.xml!$B:$B,MATCH(D4876&amp;"",[1]equip.xml!$A:$A,0))=0,0,N4876)</f>
        <v>100</v>
      </c>
      <c r="N4876" s="7">
        <f t="shared" si="6352"/>
        <v>100</v>
      </c>
    </row>
    <row r="4877" spans="1:14">
      <c r="A4877" s="7">
        <f t="shared" si="6301"/>
        <v>30014</v>
      </c>
      <c r="B4877" s="8">
        <f t="shared" ref="B4877:C4877" si="6363">B4789</f>
        <v>40000</v>
      </c>
      <c r="C4877" s="8" t="str">
        <f t="shared" si="6363"/>
        <v>装备</v>
      </c>
      <c r="D4877" s="8">
        <v>40451051</v>
      </c>
      <c r="E4877" s="8"/>
      <c r="F4877" s="8">
        <v>1</v>
      </c>
      <c r="G4877" s="7">
        <f>3*INDEX([1]equip.xml!$I:$I,MATCH(D4877&amp;"",[1]equip.xml!$A:$A,0))</f>
        <v>144000</v>
      </c>
      <c r="H4877" s="8" t="str">
        <f t="shared" ref="H4877:J4877" si="6364">H4789</f>
        <v>10_10,50_20,80_30</v>
      </c>
      <c r="I4877" s="8">
        <v>6</v>
      </c>
      <c r="J4877" s="8">
        <f t="shared" si="6364"/>
        <v>50</v>
      </c>
      <c r="K4877" s="7" t="s">
        <v>311</v>
      </c>
      <c r="L4877" s="8">
        <v>36</v>
      </c>
      <c r="M4877" s="7">
        <f>IF(INDEX([1]equip.xml!$B:$B,MATCH(D4877&amp;"",[1]equip.xml!$A:$A,0))=0,0,N4877)</f>
        <v>0</v>
      </c>
      <c r="N4877" s="7">
        <f t="shared" si="6352"/>
        <v>100</v>
      </c>
    </row>
    <row r="4878" spans="1:14">
      <c r="A4878" s="7">
        <f t="shared" si="6301"/>
        <v>30014</v>
      </c>
      <c r="B4878" s="8">
        <f t="shared" ref="B4878:C4878" si="6365">B4790</f>
        <v>40000</v>
      </c>
      <c r="C4878" s="8" t="str">
        <f t="shared" si="6365"/>
        <v>装备</v>
      </c>
      <c r="D4878" s="8">
        <v>40451060</v>
      </c>
      <c r="E4878" s="8"/>
      <c r="F4878" s="8">
        <v>1</v>
      </c>
      <c r="G4878" s="7">
        <f>3*INDEX([1]equip.xml!$I:$I,MATCH(D4878&amp;"",[1]equip.xml!$A:$A,0))</f>
        <v>135000</v>
      </c>
      <c r="H4878" s="8" t="str">
        <f t="shared" ref="H4878:J4878" si="6366">H4790</f>
        <v>10_10,50_20,80_30</v>
      </c>
      <c r="I4878" s="8">
        <v>6</v>
      </c>
      <c r="J4878" s="8">
        <f t="shared" si="6366"/>
        <v>50</v>
      </c>
      <c r="K4878" s="7" t="s">
        <v>311</v>
      </c>
      <c r="L4878" s="8">
        <v>36</v>
      </c>
      <c r="M4878" s="7">
        <f>IF(INDEX([1]equip.xml!$B:$B,MATCH(D4878&amp;"",[1]equip.xml!$A:$A,0))=0,0,N4878)</f>
        <v>100</v>
      </c>
      <c r="N4878" s="7">
        <f t="shared" si="6352"/>
        <v>100</v>
      </c>
    </row>
    <row r="4879" spans="1:14">
      <c r="A4879" s="7">
        <f t="shared" si="6301"/>
        <v>30014</v>
      </c>
      <c r="B4879" s="8">
        <f t="shared" ref="B4879:C4879" si="6367">B4791</f>
        <v>40000</v>
      </c>
      <c r="C4879" s="8" t="str">
        <f t="shared" si="6367"/>
        <v>装备</v>
      </c>
      <c r="D4879" s="8">
        <v>40451061</v>
      </c>
      <c r="E4879" s="8"/>
      <c r="F4879" s="8">
        <v>1</v>
      </c>
      <c r="G4879" s="7">
        <f>3*INDEX([1]equip.xml!$I:$I,MATCH(D4879&amp;"",[1]equip.xml!$A:$A,0))</f>
        <v>144000</v>
      </c>
      <c r="H4879" s="8" t="str">
        <f t="shared" ref="H4879:J4879" si="6368">H4791</f>
        <v>10_10,50_20,80_30</v>
      </c>
      <c r="I4879" s="8">
        <v>6</v>
      </c>
      <c r="J4879" s="8">
        <f t="shared" si="6368"/>
        <v>50</v>
      </c>
      <c r="K4879" s="7" t="s">
        <v>311</v>
      </c>
      <c r="L4879" s="8">
        <v>36</v>
      </c>
      <c r="M4879" s="7">
        <f>IF(INDEX([1]equip.xml!$B:$B,MATCH(D4879&amp;"",[1]equip.xml!$A:$A,0))=0,0,N4879)</f>
        <v>0</v>
      </c>
      <c r="N4879" s="7">
        <f t="shared" si="6352"/>
        <v>100</v>
      </c>
    </row>
    <row r="4880" spans="1:14">
      <c r="A4880" s="7">
        <f t="shared" si="6301"/>
        <v>30014</v>
      </c>
      <c r="B4880" s="8">
        <f t="shared" ref="B4880:C4880" si="6369">B4792</f>
        <v>40000</v>
      </c>
      <c r="C4880" s="8" t="str">
        <f t="shared" si="6369"/>
        <v>装备</v>
      </c>
      <c r="D4880" s="8">
        <v>40452050</v>
      </c>
      <c r="E4880" s="8"/>
      <c r="F4880" s="8">
        <v>1</v>
      </c>
      <c r="G4880" s="7">
        <f>3*INDEX([1]equip.xml!$I:$I,MATCH(D4880&amp;"",[1]equip.xml!$A:$A,0))</f>
        <v>135000</v>
      </c>
      <c r="H4880" s="8" t="str">
        <f t="shared" ref="H4880:J4880" si="6370">H4792</f>
        <v>10_10,50_20,80_30</v>
      </c>
      <c r="I4880" s="8">
        <v>6</v>
      </c>
      <c r="J4880" s="8">
        <f t="shared" si="6370"/>
        <v>50</v>
      </c>
      <c r="K4880" s="7" t="s">
        <v>311</v>
      </c>
      <c r="L4880" s="8">
        <v>36</v>
      </c>
      <c r="M4880" s="7">
        <f>IF(INDEX([1]equip.xml!$B:$B,MATCH(D4880&amp;"",[1]equip.xml!$A:$A,0))=0,0,N4880)</f>
        <v>100</v>
      </c>
      <c r="N4880" s="7">
        <f t="shared" si="6352"/>
        <v>100</v>
      </c>
    </row>
    <row r="4881" spans="1:14">
      <c r="A4881" s="7">
        <f t="shared" si="6301"/>
        <v>30014</v>
      </c>
      <c r="B4881" s="8">
        <f t="shared" ref="B4881:C4881" si="6371">B4793</f>
        <v>40000</v>
      </c>
      <c r="C4881" s="8" t="str">
        <f t="shared" si="6371"/>
        <v>装备</v>
      </c>
      <c r="D4881" s="8">
        <v>40452051</v>
      </c>
      <c r="E4881" s="8"/>
      <c r="F4881" s="8">
        <v>1</v>
      </c>
      <c r="G4881" s="7">
        <f>3*INDEX([1]equip.xml!$I:$I,MATCH(D4881&amp;"",[1]equip.xml!$A:$A,0))</f>
        <v>144000</v>
      </c>
      <c r="H4881" s="8" t="str">
        <f t="shared" ref="H4881:J4881" si="6372">H4793</f>
        <v>10_10,50_20,80_30</v>
      </c>
      <c r="I4881" s="8">
        <v>6</v>
      </c>
      <c r="J4881" s="8">
        <f t="shared" si="6372"/>
        <v>50</v>
      </c>
      <c r="K4881" s="7" t="s">
        <v>311</v>
      </c>
      <c r="L4881" s="8">
        <v>36</v>
      </c>
      <c r="M4881" s="7">
        <f>IF(INDEX([1]equip.xml!$B:$B,MATCH(D4881&amp;"",[1]equip.xml!$A:$A,0))=0,0,N4881)</f>
        <v>0</v>
      </c>
      <c r="N4881" s="7">
        <f t="shared" si="6352"/>
        <v>100</v>
      </c>
    </row>
    <row r="4882" spans="1:14">
      <c r="A4882" s="7">
        <f t="shared" si="6301"/>
        <v>30014</v>
      </c>
      <c r="B4882" s="8">
        <f t="shared" ref="B4882:C4882" si="6373">B4794</f>
        <v>40000</v>
      </c>
      <c r="C4882" s="8" t="str">
        <f t="shared" si="6373"/>
        <v>装备</v>
      </c>
      <c r="D4882" s="8">
        <v>40452060</v>
      </c>
      <c r="E4882" s="8"/>
      <c r="F4882" s="8">
        <v>1</v>
      </c>
      <c r="G4882" s="7">
        <f>3*INDEX([1]equip.xml!$I:$I,MATCH(D4882&amp;"",[1]equip.xml!$A:$A,0))</f>
        <v>135000</v>
      </c>
      <c r="H4882" s="8" t="str">
        <f t="shared" ref="H4882:J4882" si="6374">H4794</f>
        <v>10_10,50_20,80_30</v>
      </c>
      <c r="I4882" s="8">
        <v>6</v>
      </c>
      <c r="J4882" s="8">
        <f t="shared" si="6374"/>
        <v>50</v>
      </c>
      <c r="K4882" s="7" t="s">
        <v>311</v>
      </c>
      <c r="L4882" s="8">
        <v>36</v>
      </c>
      <c r="M4882" s="7">
        <f>IF(INDEX([1]equip.xml!$B:$B,MATCH(D4882&amp;"",[1]equip.xml!$A:$A,0))=0,0,N4882)</f>
        <v>100</v>
      </c>
      <c r="N4882" s="7">
        <f t="shared" si="6352"/>
        <v>100</v>
      </c>
    </row>
    <row r="4883" spans="1:14">
      <c r="A4883" s="7">
        <f t="shared" si="6301"/>
        <v>30014</v>
      </c>
      <c r="B4883" s="8">
        <f t="shared" ref="B4883:C4883" si="6375">B4795</f>
        <v>40000</v>
      </c>
      <c r="C4883" s="8" t="str">
        <f t="shared" si="6375"/>
        <v>装备</v>
      </c>
      <c r="D4883" s="8">
        <v>40452061</v>
      </c>
      <c r="E4883" s="8"/>
      <c r="F4883" s="8">
        <v>1</v>
      </c>
      <c r="G4883" s="7">
        <f>3*INDEX([1]equip.xml!$I:$I,MATCH(D4883&amp;"",[1]equip.xml!$A:$A,0))</f>
        <v>144000</v>
      </c>
      <c r="H4883" s="8" t="str">
        <f t="shared" ref="H4883:J4883" si="6376">H4795</f>
        <v>10_10,50_20,80_30</v>
      </c>
      <c r="I4883" s="8">
        <v>6</v>
      </c>
      <c r="J4883" s="8">
        <f t="shared" si="6376"/>
        <v>50</v>
      </c>
      <c r="K4883" s="7" t="s">
        <v>311</v>
      </c>
      <c r="L4883" s="8">
        <v>36</v>
      </c>
      <c r="M4883" s="7">
        <f>IF(INDEX([1]equip.xml!$B:$B,MATCH(D4883&amp;"",[1]equip.xml!$A:$A,0))=0,0,N4883)</f>
        <v>0</v>
      </c>
      <c r="N4883" s="7">
        <f t="shared" si="6352"/>
        <v>100</v>
      </c>
    </row>
    <row r="4884" spans="1:14">
      <c r="A4884" s="7">
        <f t="shared" si="6301"/>
        <v>30014</v>
      </c>
      <c r="B4884" s="8">
        <f t="shared" ref="B4884:C4884" si="6377">B4796</f>
        <v>40000</v>
      </c>
      <c r="C4884" s="8" t="str">
        <f t="shared" si="6377"/>
        <v>装备</v>
      </c>
      <c r="D4884" s="8">
        <v>40453050</v>
      </c>
      <c r="E4884" s="8"/>
      <c r="F4884" s="8">
        <v>1</v>
      </c>
      <c r="G4884" s="7">
        <f>3*INDEX([1]equip.xml!$I:$I,MATCH(D4884&amp;"",[1]equip.xml!$A:$A,0))</f>
        <v>135000</v>
      </c>
      <c r="H4884" s="8" t="str">
        <f t="shared" ref="H4884:J4884" si="6378">H4796</f>
        <v>10_10,50_20,80_30</v>
      </c>
      <c r="I4884" s="8">
        <v>6</v>
      </c>
      <c r="J4884" s="8">
        <f t="shared" si="6378"/>
        <v>50</v>
      </c>
      <c r="K4884" s="7" t="s">
        <v>311</v>
      </c>
      <c r="L4884" s="8">
        <v>36</v>
      </c>
      <c r="M4884" s="7">
        <f>IF(INDEX([1]equip.xml!$B:$B,MATCH(D4884&amp;"",[1]equip.xml!$A:$A,0))=0,0,N4884)</f>
        <v>100</v>
      </c>
      <c r="N4884" s="7">
        <f t="shared" si="6352"/>
        <v>100</v>
      </c>
    </row>
    <row r="4885" spans="1:14">
      <c r="A4885" s="7">
        <f t="shared" si="6301"/>
        <v>30014</v>
      </c>
      <c r="B4885" s="8">
        <f t="shared" ref="B4885:C4885" si="6379">B4797</f>
        <v>40000</v>
      </c>
      <c r="C4885" s="8" t="str">
        <f t="shared" si="6379"/>
        <v>装备</v>
      </c>
      <c r="D4885" s="8">
        <v>40453051</v>
      </c>
      <c r="E4885" s="8"/>
      <c r="F4885" s="8">
        <v>1</v>
      </c>
      <c r="G4885" s="7">
        <f>3*INDEX([1]equip.xml!$I:$I,MATCH(D4885&amp;"",[1]equip.xml!$A:$A,0))</f>
        <v>144000</v>
      </c>
      <c r="H4885" s="8" t="str">
        <f t="shared" ref="H4885:J4885" si="6380">H4797</f>
        <v>10_10,50_20,80_30</v>
      </c>
      <c r="I4885" s="8">
        <v>6</v>
      </c>
      <c r="J4885" s="8">
        <f t="shared" si="6380"/>
        <v>50</v>
      </c>
      <c r="K4885" s="7" t="s">
        <v>311</v>
      </c>
      <c r="L4885" s="8">
        <v>36</v>
      </c>
      <c r="M4885" s="7">
        <f>IF(INDEX([1]equip.xml!$B:$B,MATCH(D4885&amp;"",[1]equip.xml!$A:$A,0))=0,0,N4885)</f>
        <v>100</v>
      </c>
      <c r="N4885" s="7">
        <f t="shared" si="6352"/>
        <v>100</v>
      </c>
    </row>
    <row r="4886" spans="1:14">
      <c r="A4886" s="7">
        <f t="shared" si="6301"/>
        <v>30014</v>
      </c>
      <c r="B4886" s="8">
        <f t="shared" ref="B4886:C4886" si="6381">B4798</f>
        <v>40000</v>
      </c>
      <c r="C4886" s="8" t="str">
        <f t="shared" si="6381"/>
        <v>装备</v>
      </c>
      <c r="D4886" s="8">
        <v>40453060</v>
      </c>
      <c r="E4886" s="8"/>
      <c r="F4886" s="8">
        <v>1</v>
      </c>
      <c r="G4886" s="7">
        <f>3*INDEX([1]equip.xml!$I:$I,MATCH(D4886&amp;"",[1]equip.xml!$A:$A,0))</f>
        <v>135000</v>
      </c>
      <c r="H4886" s="8" t="str">
        <f t="shared" ref="H4886:J4886" si="6382">H4798</f>
        <v>10_10,50_20,80_30</v>
      </c>
      <c r="I4886" s="8">
        <v>6</v>
      </c>
      <c r="J4886" s="8">
        <f t="shared" si="6382"/>
        <v>50</v>
      </c>
      <c r="K4886" s="7" t="s">
        <v>311</v>
      </c>
      <c r="L4886" s="8">
        <v>36</v>
      </c>
      <c r="M4886" s="7">
        <f>IF(INDEX([1]equip.xml!$B:$B,MATCH(D4886&amp;"",[1]equip.xml!$A:$A,0))=0,0,N4886)</f>
        <v>100</v>
      </c>
      <c r="N4886" s="7">
        <f t="shared" si="6352"/>
        <v>100</v>
      </c>
    </row>
    <row r="4887" spans="1:14">
      <c r="A4887" s="7">
        <f t="shared" si="6301"/>
        <v>30014</v>
      </c>
      <c r="B4887" s="8">
        <f t="shared" ref="B4887:C4887" si="6383">B4799</f>
        <v>40000</v>
      </c>
      <c r="C4887" s="8" t="str">
        <f t="shared" si="6383"/>
        <v>装备</v>
      </c>
      <c r="D4887" s="8">
        <v>40453061</v>
      </c>
      <c r="E4887" s="8"/>
      <c r="F4887" s="8">
        <v>1</v>
      </c>
      <c r="G4887" s="7">
        <f>3*INDEX([1]equip.xml!$I:$I,MATCH(D4887&amp;"",[1]equip.xml!$A:$A,0))</f>
        <v>144000</v>
      </c>
      <c r="H4887" s="8" t="str">
        <f t="shared" ref="H4887:J4887" si="6384">H4799</f>
        <v>10_10,50_20,80_30</v>
      </c>
      <c r="I4887" s="8">
        <v>6</v>
      </c>
      <c r="J4887" s="8">
        <f t="shared" si="6384"/>
        <v>50</v>
      </c>
      <c r="K4887" s="7" t="s">
        <v>311</v>
      </c>
      <c r="L4887" s="8">
        <v>36</v>
      </c>
      <c r="M4887" s="7">
        <f>IF(INDEX([1]equip.xml!$B:$B,MATCH(D4887&amp;"",[1]equip.xml!$A:$A,0))=0,0,N4887)</f>
        <v>0</v>
      </c>
      <c r="N4887" s="7">
        <f t="shared" si="6352"/>
        <v>100</v>
      </c>
    </row>
    <row r="4888" spans="1:14">
      <c r="A4888" s="7">
        <f t="shared" si="6301"/>
        <v>30014</v>
      </c>
      <c r="B4888" s="8">
        <f t="shared" ref="B4888:C4888" si="6385">B4800</f>
        <v>40000</v>
      </c>
      <c r="C4888" s="8" t="str">
        <f t="shared" si="6385"/>
        <v>装备</v>
      </c>
      <c r="D4888" s="8">
        <v>40450040</v>
      </c>
      <c r="E4888" s="8"/>
      <c r="F4888" s="8">
        <v>1</v>
      </c>
      <c r="G4888" s="7">
        <f>3*INDEX([1]equip.xml!$I:$I,MATCH(D4888&amp;"",[1]equip.xml!$A:$A,0))</f>
        <v>135000</v>
      </c>
      <c r="H4888" s="8" t="str">
        <f t="shared" ref="H4888:J4888" si="6386">H4800</f>
        <v>10_10,50_20,80_30</v>
      </c>
      <c r="I4888" s="8">
        <v>6</v>
      </c>
      <c r="J4888" s="8">
        <f t="shared" si="6386"/>
        <v>50</v>
      </c>
      <c r="K4888" s="7" t="s">
        <v>311</v>
      </c>
      <c r="L4888" s="8">
        <v>36</v>
      </c>
      <c r="M4888" s="7">
        <f>IF(INDEX([1]equip.xml!$B:$B,MATCH(D4888&amp;"",[1]equip.xml!$A:$A,0))=0,0,N4888)</f>
        <v>100</v>
      </c>
      <c r="N4888" s="7">
        <f t="shared" si="6352"/>
        <v>100</v>
      </c>
    </row>
    <row r="4889" spans="1:14">
      <c r="A4889" s="7">
        <f t="shared" si="6301"/>
        <v>30014</v>
      </c>
      <c r="B4889" s="8">
        <f t="shared" ref="B4889:C4889" si="6387">B4801</f>
        <v>40000</v>
      </c>
      <c r="C4889" s="8" t="str">
        <f t="shared" si="6387"/>
        <v>装备</v>
      </c>
      <c r="D4889" s="8">
        <v>40450041</v>
      </c>
      <c r="E4889" s="8"/>
      <c r="F4889" s="8">
        <v>1</v>
      </c>
      <c r="G4889" s="7">
        <f>3*INDEX([1]equip.xml!$I:$I,MATCH(D4889&amp;"",[1]equip.xml!$A:$A,0))</f>
        <v>144000</v>
      </c>
      <c r="H4889" s="8" t="str">
        <f t="shared" ref="H4889:J4889" si="6388">H4801</f>
        <v>10_10,50_20,80_30</v>
      </c>
      <c r="I4889" s="8">
        <v>6</v>
      </c>
      <c r="J4889" s="8">
        <f t="shared" si="6388"/>
        <v>50</v>
      </c>
      <c r="K4889" s="7" t="s">
        <v>311</v>
      </c>
      <c r="L4889" s="8">
        <v>36</v>
      </c>
      <c r="M4889" s="7">
        <f>IF(INDEX([1]equip.xml!$B:$B,MATCH(D4889&amp;"",[1]equip.xml!$A:$A,0))=0,0,N4889)</f>
        <v>100</v>
      </c>
      <c r="N4889" s="7">
        <f t="shared" si="6352"/>
        <v>100</v>
      </c>
    </row>
    <row r="4890" spans="1:14">
      <c r="A4890" s="7">
        <f t="shared" si="6301"/>
        <v>30014</v>
      </c>
      <c r="B4890" s="8">
        <f t="shared" ref="B4890:C4890" si="6389">B4802</f>
        <v>40000</v>
      </c>
      <c r="C4890" s="8" t="str">
        <f t="shared" si="6389"/>
        <v>装备</v>
      </c>
      <c r="D4890" s="8">
        <v>40450070</v>
      </c>
      <c r="E4890" s="8"/>
      <c r="F4890" s="8">
        <v>1</v>
      </c>
      <c r="G4890" s="7">
        <f>3*INDEX([1]equip.xml!$I:$I,MATCH(D4890&amp;"",[1]equip.xml!$A:$A,0))</f>
        <v>135000</v>
      </c>
      <c r="H4890" s="8" t="str">
        <f t="shared" ref="H4890:J4890" si="6390">H4802</f>
        <v>10_10,50_20,80_30</v>
      </c>
      <c r="I4890" s="8">
        <v>6</v>
      </c>
      <c r="J4890" s="8">
        <f t="shared" si="6390"/>
        <v>50</v>
      </c>
      <c r="K4890" s="7" t="s">
        <v>311</v>
      </c>
      <c r="L4890" s="8">
        <v>36</v>
      </c>
      <c r="M4890" s="7">
        <f>IF(INDEX([1]equip.xml!$B:$B,MATCH(D4890&amp;"",[1]equip.xml!$A:$A,0))=0,0,N4890)</f>
        <v>100</v>
      </c>
      <c r="N4890" s="7">
        <f t="shared" si="6352"/>
        <v>100</v>
      </c>
    </row>
    <row r="4891" spans="1:14">
      <c r="A4891" s="7">
        <f t="shared" si="6301"/>
        <v>30014</v>
      </c>
      <c r="B4891" s="8">
        <f t="shared" ref="B4891:C4891" si="6391">B4803</f>
        <v>40000</v>
      </c>
      <c r="C4891" s="8" t="str">
        <f t="shared" si="6391"/>
        <v>装备</v>
      </c>
      <c r="D4891" s="8">
        <v>40450071</v>
      </c>
      <c r="E4891" s="8"/>
      <c r="F4891" s="8">
        <v>1</v>
      </c>
      <c r="G4891" s="7">
        <f>3*INDEX([1]equip.xml!$I:$I,MATCH(D4891&amp;"",[1]equip.xml!$A:$A,0))</f>
        <v>144000</v>
      </c>
      <c r="H4891" s="8" t="str">
        <f t="shared" ref="H4891:J4891" si="6392">H4803</f>
        <v>10_10,50_20,80_30</v>
      </c>
      <c r="I4891" s="8">
        <v>6</v>
      </c>
      <c r="J4891" s="8">
        <f t="shared" si="6392"/>
        <v>50</v>
      </c>
      <c r="K4891" s="7" t="s">
        <v>311</v>
      </c>
      <c r="L4891" s="8">
        <v>36</v>
      </c>
      <c r="M4891" s="7">
        <f>IF(INDEX([1]equip.xml!$B:$B,MATCH(D4891&amp;"",[1]equip.xml!$A:$A,0))=0,0,N4891)</f>
        <v>100</v>
      </c>
      <c r="N4891" s="7">
        <f t="shared" si="6352"/>
        <v>100</v>
      </c>
    </row>
    <row r="4892" spans="1:14">
      <c r="A4892" s="7">
        <f t="shared" si="6301"/>
        <v>30014</v>
      </c>
      <c r="B4892" s="8">
        <f t="shared" ref="B4892:C4892" si="6393">B4804</f>
        <v>40000</v>
      </c>
      <c r="C4892" s="8" t="str">
        <f t="shared" si="6393"/>
        <v>装备</v>
      </c>
      <c r="D4892" s="8">
        <v>40500010</v>
      </c>
      <c r="E4892" s="8"/>
      <c r="F4892" s="8">
        <v>1</v>
      </c>
      <c r="G4892" s="7">
        <f>3*INDEX([1]equip.xml!$I:$I,MATCH(D4892&amp;"",[1]equip.xml!$A:$A,0))</f>
        <v>150000</v>
      </c>
      <c r="H4892" s="8" t="str">
        <f t="shared" ref="H4892:J4892" si="6394">H4804</f>
        <v>10_10,50_20,80_30</v>
      </c>
      <c r="I4892" s="8">
        <v>6</v>
      </c>
      <c r="J4892" s="8">
        <f t="shared" si="6394"/>
        <v>50</v>
      </c>
      <c r="K4892" s="7" t="s">
        <v>311</v>
      </c>
      <c r="L4892" s="8">
        <v>36</v>
      </c>
      <c r="M4892" s="7">
        <f>IF(INDEX([1]equip.xml!$B:$B,MATCH(D4892&amp;"",[1]equip.xml!$A:$A,0))=0,0,N4892)</f>
        <v>70</v>
      </c>
      <c r="N4892" s="7">
        <f t="shared" si="6352"/>
        <v>70</v>
      </c>
    </row>
    <row r="4893" spans="1:14">
      <c r="A4893" s="7">
        <f t="shared" si="6301"/>
        <v>30014</v>
      </c>
      <c r="B4893" s="8">
        <f t="shared" ref="B4893:C4893" si="6395">B4805</f>
        <v>40000</v>
      </c>
      <c r="C4893" s="8" t="str">
        <f t="shared" si="6395"/>
        <v>装备</v>
      </c>
      <c r="D4893" s="8">
        <v>40500020</v>
      </c>
      <c r="E4893" s="8"/>
      <c r="F4893" s="8">
        <v>1</v>
      </c>
      <c r="G4893" s="7">
        <f>3*INDEX([1]equip.xml!$I:$I,MATCH(D4893&amp;"",[1]equip.xml!$A:$A,0))</f>
        <v>150000</v>
      </c>
      <c r="H4893" s="8" t="str">
        <f t="shared" ref="H4893:J4893" si="6396">H4805</f>
        <v>10_10,50_20,80_30</v>
      </c>
      <c r="I4893" s="8">
        <v>6</v>
      </c>
      <c r="J4893" s="8">
        <f t="shared" si="6396"/>
        <v>50</v>
      </c>
      <c r="K4893" s="7" t="s">
        <v>311</v>
      </c>
      <c r="L4893" s="8">
        <v>36</v>
      </c>
      <c r="M4893" s="7">
        <f>IF(INDEX([1]equip.xml!$B:$B,MATCH(D4893&amp;"",[1]equip.xml!$A:$A,0))=0,0,N4893)</f>
        <v>70</v>
      </c>
      <c r="N4893" s="7">
        <f t="shared" si="6352"/>
        <v>70</v>
      </c>
    </row>
    <row r="4894" spans="1:14">
      <c r="A4894" s="7">
        <f t="shared" si="6301"/>
        <v>30014</v>
      </c>
      <c r="B4894" s="8">
        <f t="shared" ref="B4894:C4894" si="6397">B4806</f>
        <v>40000</v>
      </c>
      <c r="C4894" s="8" t="str">
        <f t="shared" si="6397"/>
        <v>装备</v>
      </c>
      <c r="D4894" s="8">
        <v>40500030</v>
      </c>
      <c r="E4894" s="8"/>
      <c r="F4894" s="8">
        <v>1</v>
      </c>
      <c r="G4894" s="7">
        <f>3*INDEX([1]equip.xml!$I:$I,MATCH(D4894&amp;"",[1]equip.xml!$A:$A,0))</f>
        <v>150000</v>
      </c>
      <c r="H4894" s="8" t="str">
        <f t="shared" ref="H4894:J4894" si="6398">H4806</f>
        <v>10_10,50_20,80_30</v>
      </c>
      <c r="I4894" s="8">
        <v>6</v>
      </c>
      <c r="J4894" s="8">
        <f t="shared" si="6398"/>
        <v>50</v>
      </c>
      <c r="K4894" s="7" t="s">
        <v>311</v>
      </c>
      <c r="L4894" s="8">
        <v>36</v>
      </c>
      <c r="M4894" s="7">
        <f>IF(INDEX([1]equip.xml!$B:$B,MATCH(D4894&amp;"",[1]equip.xml!$A:$A,0))=0,0,N4894)</f>
        <v>70</v>
      </c>
      <c r="N4894" s="7">
        <f t="shared" si="6352"/>
        <v>70</v>
      </c>
    </row>
    <row r="4895" spans="1:14">
      <c r="A4895" s="7">
        <f t="shared" si="6301"/>
        <v>30014</v>
      </c>
      <c r="B4895" s="8">
        <f t="shared" ref="B4895:C4895" si="6399">B4807</f>
        <v>40000</v>
      </c>
      <c r="C4895" s="8" t="str">
        <f t="shared" si="6399"/>
        <v>装备</v>
      </c>
      <c r="D4895" s="8">
        <v>40500080</v>
      </c>
      <c r="E4895" s="8"/>
      <c r="F4895" s="8">
        <v>1</v>
      </c>
      <c r="G4895" s="7">
        <f>3*INDEX([1]equip.xml!$I:$I,MATCH(D4895&amp;"",[1]equip.xml!$A:$A,0))</f>
        <v>150000</v>
      </c>
      <c r="H4895" s="8" t="str">
        <f t="shared" ref="H4895:J4895" si="6400">H4807</f>
        <v>10_10,50_20,80_30</v>
      </c>
      <c r="I4895" s="8">
        <v>6</v>
      </c>
      <c r="J4895" s="8">
        <f t="shared" si="6400"/>
        <v>50</v>
      </c>
      <c r="K4895" s="7" t="s">
        <v>311</v>
      </c>
      <c r="L4895" s="8">
        <v>36</v>
      </c>
      <c r="M4895" s="7">
        <f>IF(INDEX([1]equip.xml!$B:$B,MATCH(D4895&amp;"",[1]equip.xml!$A:$A,0))=0,0,N4895)</f>
        <v>70</v>
      </c>
      <c r="N4895" s="7">
        <f t="shared" si="6352"/>
        <v>70</v>
      </c>
    </row>
    <row r="4896" spans="1:14">
      <c r="A4896" s="7">
        <f t="shared" si="6301"/>
        <v>30014</v>
      </c>
      <c r="B4896" s="8">
        <f t="shared" ref="B4896:C4896" si="6401">B4808</f>
        <v>40000</v>
      </c>
      <c r="C4896" s="8" t="str">
        <f t="shared" si="6401"/>
        <v>装备</v>
      </c>
      <c r="D4896" s="8">
        <v>40500090</v>
      </c>
      <c r="E4896" s="8"/>
      <c r="F4896" s="8">
        <v>1</v>
      </c>
      <c r="G4896" s="7">
        <f>3*INDEX([1]equip.xml!$I:$I,MATCH(D4896&amp;"",[1]equip.xml!$A:$A,0))</f>
        <v>150000</v>
      </c>
      <c r="H4896" s="8" t="str">
        <f t="shared" ref="H4896:J4896" si="6402">H4808</f>
        <v>10_10,50_20,80_30</v>
      </c>
      <c r="I4896" s="8">
        <v>6</v>
      </c>
      <c r="J4896" s="8">
        <f t="shared" si="6402"/>
        <v>50</v>
      </c>
      <c r="K4896" s="7" t="s">
        <v>311</v>
      </c>
      <c r="L4896" s="8">
        <v>36</v>
      </c>
      <c r="M4896" s="7">
        <f>IF(INDEX([1]equip.xml!$B:$B,MATCH(D4896&amp;"",[1]equip.xml!$A:$A,0))=0,0,N4896)</f>
        <v>70</v>
      </c>
      <c r="N4896" s="7">
        <f t="shared" si="6352"/>
        <v>70</v>
      </c>
    </row>
    <row r="4897" spans="1:14">
      <c r="A4897" s="7">
        <f t="shared" si="6301"/>
        <v>30014</v>
      </c>
      <c r="B4897" s="8">
        <f t="shared" ref="B4897:C4897" si="6403">B4809</f>
        <v>40000</v>
      </c>
      <c r="C4897" s="8" t="str">
        <f t="shared" si="6403"/>
        <v>装备</v>
      </c>
      <c r="D4897" s="8">
        <v>40500100</v>
      </c>
      <c r="E4897" s="8"/>
      <c r="F4897" s="8">
        <v>1</v>
      </c>
      <c r="G4897" s="7">
        <f>3*INDEX([1]equip.xml!$I:$I,MATCH(D4897&amp;"",[1]equip.xml!$A:$A,0))</f>
        <v>150000</v>
      </c>
      <c r="H4897" s="8" t="str">
        <f t="shared" ref="H4897:J4897" si="6404">H4809</f>
        <v>10_10,50_20,80_30</v>
      </c>
      <c r="I4897" s="8">
        <v>6</v>
      </c>
      <c r="J4897" s="8">
        <f t="shared" si="6404"/>
        <v>50</v>
      </c>
      <c r="K4897" s="7" t="s">
        <v>311</v>
      </c>
      <c r="L4897" s="8">
        <v>36</v>
      </c>
      <c r="M4897" s="7">
        <f>IF(INDEX([1]equip.xml!$B:$B,MATCH(D4897&amp;"",[1]equip.xml!$A:$A,0))=0,0,N4897)</f>
        <v>70</v>
      </c>
      <c r="N4897" s="7">
        <f t="shared" si="6352"/>
        <v>70</v>
      </c>
    </row>
    <row r="4898" spans="1:14">
      <c r="A4898" s="7">
        <f t="shared" si="6301"/>
        <v>30014</v>
      </c>
      <c r="B4898" s="8">
        <f t="shared" ref="B4898:C4898" si="6405">B4810</f>
        <v>40000</v>
      </c>
      <c r="C4898" s="8" t="str">
        <f t="shared" si="6405"/>
        <v>装备</v>
      </c>
      <c r="D4898" s="8">
        <v>40501050</v>
      </c>
      <c r="E4898" s="8"/>
      <c r="F4898" s="8">
        <v>1</v>
      </c>
      <c r="G4898" s="7">
        <f>3*INDEX([1]equip.xml!$I:$I,MATCH(D4898&amp;"",[1]equip.xml!$A:$A,0))</f>
        <v>150000</v>
      </c>
      <c r="H4898" s="8" t="str">
        <f t="shared" ref="H4898:J4898" si="6406">H4810</f>
        <v>10_10,50_20,80_30</v>
      </c>
      <c r="I4898" s="8">
        <v>6</v>
      </c>
      <c r="J4898" s="8">
        <f t="shared" si="6406"/>
        <v>50</v>
      </c>
      <c r="K4898" s="7" t="s">
        <v>311</v>
      </c>
      <c r="L4898" s="8">
        <v>36</v>
      </c>
      <c r="M4898" s="7">
        <f>IF(INDEX([1]equip.xml!$B:$B,MATCH(D4898&amp;"",[1]equip.xml!$A:$A,0))=0,0,N4898)</f>
        <v>70</v>
      </c>
      <c r="N4898" s="7">
        <f t="shared" si="6352"/>
        <v>70</v>
      </c>
    </row>
    <row r="4899" spans="1:14">
      <c r="A4899" s="7">
        <f t="shared" si="6301"/>
        <v>30014</v>
      </c>
      <c r="B4899" s="8">
        <f t="shared" ref="B4899:C4899" si="6407">B4811</f>
        <v>40000</v>
      </c>
      <c r="C4899" s="8" t="str">
        <f t="shared" si="6407"/>
        <v>装备</v>
      </c>
      <c r="D4899" s="8">
        <v>40501051</v>
      </c>
      <c r="E4899" s="8"/>
      <c r="F4899" s="8">
        <v>1</v>
      </c>
      <c r="G4899" s="7">
        <f>3*INDEX([1]equip.xml!$I:$I,MATCH(D4899&amp;"",[1]equip.xml!$A:$A,0))</f>
        <v>159000</v>
      </c>
      <c r="H4899" s="8" t="str">
        <f t="shared" ref="H4899:J4899" si="6408">H4811</f>
        <v>10_10,50_20,80_30</v>
      </c>
      <c r="I4899" s="8">
        <v>6</v>
      </c>
      <c r="J4899" s="8">
        <f t="shared" si="6408"/>
        <v>50</v>
      </c>
      <c r="K4899" s="7" t="s">
        <v>311</v>
      </c>
      <c r="L4899" s="8">
        <v>36</v>
      </c>
      <c r="M4899" s="7">
        <f>IF(INDEX([1]equip.xml!$B:$B,MATCH(D4899&amp;"",[1]equip.xml!$A:$A,0))=0,0,N4899)</f>
        <v>70</v>
      </c>
      <c r="N4899" s="7">
        <f t="shared" si="6352"/>
        <v>70</v>
      </c>
    </row>
    <row r="4900" spans="1:14">
      <c r="A4900" s="7">
        <f t="shared" si="6301"/>
        <v>30014</v>
      </c>
      <c r="B4900" s="8">
        <f t="shared" ref="B4900:C4900" si="6409">B4812</f>
        <v>40000</v>
      </c>
      <c r="C4900" s="8" t="str">
        <f t="shared" si="6409"/>
        <v>装备</v>
      </c>
      <c r="D4900" s="8">
        <v>40501060</v>
      </c>
      <c r="E4900" s="8"/>
      <c r="F4900" s="8">
        <v>1</v>
      </c>
      <c r="G4900" s="7">
        <f>3*INDEX([1]equip.xml!$I:$I,MATCH(D4900&amp;"",[1]equip.xml!$A:$A,0))</f>
        <v>150000</v>
      </c>
      <c r="H4900" s="8" t="str">
        <f t="shared" ref="H4900:J4900" si="6410">H4812</f>
        <v>10_10,50_20,80_30</v>
      </c>
      <c r="I4900" s="8">
        <v>6</v>
      </c>
      <c r="J4900" s="8">
        <f t="shared" si="6410"/>
        <v>50</v>
      </c>
      <c r="K4900" s="7" t="s">
        <v>311</v>
      </c>
      <c r="L4900" s="8">
        <v>36</v>
      </c>
      <c r="M4900" s="7">
        <f>IF(INDEX([1]equip.xml!$B:$B,MATCH(D4900&amp;"",[1]equip.xml!$A:$A,0))=0,0,N4900)</f>
        <v>70</v>
      </c>
      <c r="N4900" s="7">
        <f t="shared" si="6352"/>
        <v>70</v>
      </c>
    </row>
    <row r="4901" spans="1:14">
      <c r="A4901" s="7">
        <f t="shared" si="6301"/>
        <v>30014</v>
      </c>
      <c r="B4901" s="8">
        <f t="shared" ref="B4901:C4901" si="6411">B4813</f>
        <v>40000</v>
      </c>
      <c r="C4901" s="8" t="str">
        <f t="shared" si="6411"/>
        <v>装备</v>
      </c>
      <c r="D4901" s="8">
        <v>40501061</v>
      </c>
      <c r="E4901" s="8"/>
      <c r="F4901" s="8">
        <v>1</v>
      </c>
      <c r="G4901" s="7">
        <f>3*INDEX([1]equip.xml!$I:$I,MATCH(D4901&amp;"",[1]equip.xml!$A:$A,0))</f>
        <v>159000</v>
      </c>
      <c r="H4901" s="8" t="str">
        <f t="shared" ref="H4901:J4901" si="6412">H4813</f>
        <v>10_10,50_20,80_30</v>
      </c>
      <c r="I4901" s="8">
        <v>6</v>
      </c>
      <c r="J4901" s="8">
        <f t="shared" si="6412"/>
        <v>50</v>
      </c>
      <c r="K4901" s="7" t="s">
        <v>311</v>
      </c>
      <c r="L4901" s="8">
        <v>36</v>
      </c>
      <c r="M4901" s="7">
        <f>IF(INDEX([1]equip.xml!$B:$B,MATCH(D4901&amp;"",[1]equip.xml!$A:$A,0))=0,0,N4901)</f>
        <v>70</v>
      </c>
      <c r="N4901" s="7">
        <f t="shared" si="6352"/>
        <v>70</v>
      </c>
    </row>
    <row r="4902" spans="1:14">
      <c r="A4902" s="7">
        <f t="shared" si="6301"/>
        <v>30014</v>
      </c>
      <c r="B4902" s="8">
        <f t="shared" ref="B4902:C4902" si="6413">B4814</f>
        <v>40000</v>
      </c>
      <c r="C4902" s="8" t="str">
        <f t="shared" si="6413"/>
        <v>装备</v>
      </c>
      <c r="D4902" s="8">
        <v>40502050</v>
      </c>
      <c r="E4902" s="8"/>
      <c r="F4902" s="8">
        <v>1</v>
      </c>
      <c r="G4902" s="7">
        <f>3*INDEX([1]equip.xml!$I:$I,MATCH(D4902&amp;"",[1]equip.xml!$A:$A,0))</f>
        <v>150000</v>
      </c>
      <c r="H4902" s="8" t="str">
        <f t="shared" ref="H4902:J4902" si="6414">H4814</f>
        <v>10_10,50_20,80_30</v>
      </c>
      <c r="I4902" s="8">
        <v>6</v>
      </c>
      <c r="J4902" s="8">
        <f t="shared" si="6414"/>
        <v>50</v>
      </c>
      <c r="K4902" s="7" t="s">
        <v>311</v>
      </c>
      <c r="L4902" s="8">
        <v>36</v>
      </c>
      <c r="M4902" s="7">
        <f>IF(INDEX([1]equip.xml!$B:$B,MATCH(D4902&amp;"",[1]equip.xml!$A:$A,0))=0,0,N4902)</f>
        <v>70</v>
      </c>
      <c r="N4902" s="7">
        <f t="shared" si="6352"/>
        <v>70</v>
      </c>
    </row>
    <row r="4903" spans="1:14">
      <c r="A4903" s="7">
        <f t="shared" si="6301"/>
        <v>30014</v>
      </c>
      <c r="B4903" s="8">
        <f t="shared" ref="B4903:C4903" si="6415">B4815</f>
        <v>40000</v>
      </c>
      <c r="C4903" s="8" t="str">
        <f t="shared" si="6415"/>
        <v>装备</v>
      </c>
      <c r="D4903" s="8">
        <v>40502051</v>
      </c>
      <c r="E4903" s="8"/>
      <c r="F4903" s="8">
        <v>1</v>
      </c>
      <c r="G4903" s="7">
        <f>3*INDEX([1]equip.xml!$I:$I,MATCH(D4903&amp;"",[1]equip.xml!$A:$A,0))</f>
        <v>159000</v>
      </c>
      <c r="H4903" s="8" t="str">
        <f t="shared" ref="H4903:J4903" si="6416">H4815</f>
        <v>10_10,50_20,80_30</v>
      </c>
      <c r="I4903" s="8">
        <v>6</v>
      </c>
      <c r="J4903" s="8">
        <f t="shared" si="6416"/>
        <v>50</v>
      </c>
      <c r="K4903" s="7" t="s">
        <v>311</v>
      </c>
      <c r="L4903" s="8">
        <v>36</v>
      </c>
      <c r="M4903" s="7">
        <f>IF(INDEX([1]equip.xml!$B:$B,MATCH(D4903&amp;"",[1]equip.xml!$A:$A,0))=0,0,N4903)</f>
        <v>70</v>
      </c>
      <c r="N4903" s="7">
        <f t="shared" si="6352"/>
        <v>70</v>
      </c>
    </row>
    <row r="4904" spans="1:14">
      <c r="A4904" s="7">
        <f t="shared" si="6301"/>
        <v>30014</v>
      </c>
      <c r="B4904" s="8">
        <f t="shared" ref="B4904:C4904" si="6417">B4816</f>
        <v>40000</v>
      </c>
      <c r="C4904" s="8" t="str">
        <f t="shared" si="6417"/>
        <v>装备</v>
      </c>
      <c r="D4904" s="8">
        <v>40502060</v>
      </c>
      <c r="E4904" s="8"/>
      <c r="F4904" s="8">
        <v>1</v>
      </c>
      <c r="G4904" s="7">
        <f>3*INDEX([1]equip.xml!$I:$I,MATCH(D4904&amp;"",[1]equip.xml!$A:$A,0))</f>
        <v>150000</v>
      </c>
      <c r="H4904" s="8" t="str">
        <f t="shared" ref="H4904:J4904" si="6418">H4816</f>
        <v>10_10,50_20,80_30</v>
      </c>
      <c r="I4904" s="8">
        <v>6</v>
      </c>
      <c r="J4904" s="8">
        <f t="shared" si="6418"/>
        <v>50</v>
      </c>
      <c r="K4904" s="7" t="s">
        <v>311</v>
      </c>
      <c r="L4904" s="8">
        <v>36</v>
      </c>
      <c r="M4904" s="7">
        <f>IF(INDEX([1]equip.xml!$B:$B,MATCH(D4904&amp;"",[1]equip.xml!$A:$A,0))=0,0,N4904)</f>
        <v>70</v>
      </c>
      <c r="N4904" s="7">
        <f t="shared" si="6352"/>
        <v>70</v>
      </c>
    </row>
    <row r="4905" spans="1:14">
      <c r="A4905" s="7">
        <f t="shared" si="6301"/>
        <v>30014</v>
      </c>
      <c r="B4905" s="8">
        <f t="shared" ref="B4905:C4905" si="6419">B4817</f>
        <v>40000</v>
      </c>
      <c r="C4905" s="8" t="str">
        <f t="shared" si="6419"/>
        <v>装备</v>
      </c>
      <c r="D4905" s="8">
        <v>40502061</v>
      </c>
      <c r="E4905" s="8"/>
      <c r="F4905" s="8">
        <v>1</v>
      </c>
      <c r="G4905" s="7">
        <f>3*INDEX([1]equip.xml!$I:$I,MATCH(D4905&amp;"",[1]equip.xml!$A:$A,0))</f>
        <v>159000</v>
      </c>
      <c r="H4905" s="8" t="str">
        <f t="shared" ref="H4905:J4905" si="6420">H4817</f>
        <v>10_10,50_20,80_30</v>
      </c>
      <c r="I4905" s="8">
        <v>6</v>
      </c>
      <c r="J4905" s="8">
        <f t="shared" si="6420"/>
        <v>50</v>
      </c>
      <c r="K4905" s="7" t="s">
        <v>311</v>
      </c>
      <c r="L4905" s="8">
        <v>36</v>
      </c>
      <c r="M4905" s="7">
        <f>IF(INDEX([1]equip.xml!$B:$B,MATCH(D4905&amp;"",[1]equip.xml!$A:$A,0))=0,0,N4905)</f>
        <v>70</v>
      </c>
      <c r="N4905" s="7">
        <f t="shared" si="6352"/>
        <v>70</v>
      </c>
    </row>
    <row r="4906" spans="1:14">
      <c r="A4906" s="7">
        <f t="shared" si="6301"/>
        <v>30014</v>
      </c>
      <c r="B4906" s="8">
        <f t="shared" ref="B4906:C4906" si="6421">B4818</f>
        <v>40000</v>
      </c>
      <c r="C4906" s="8" t="str">
        <f t="shared" si="6421"/>
        <v>装备</v>
      </c>
      <c r="D4906" s="8">
        <v>40503050</v>
      </c>
      <c r="E4906" s="8"/>
      <c r="F4906" s="8">
        <v>1</v>
      </c>
      <c r="G4906" s="7">
        <f>3*INDEX([1]equip.xml!$I:$I,MATCH(D4906&amp;"",[1]equip.xml!$A:$A,0))</f>
        <v>150000</v>
      </c>
      <c r="H4906" s="8" t="str">
        <f t="shared" ref="H4906:J4906" si="6422">H4818</f>
        <v>10_10,50_20,80_30</v>
      </c>
      <c r="I4906" s="8">
        <v>6</v>
      </c>
      <c r="J4906" s="8">
        <f t="shared" si="6422"/>
        <v>50</v>
      </c>
      <c r="K4906" s="7" t="s">
        <v>311</v>
      </c>
      <c r="L4906" s="8">
        <v>36</v>
      </c>
      <c r="M4906" s="7">
        <f>IF(INDEX([1]equip.xml!$B:$B,MATCH(D4906&amp;"",[1]equip.xml!$A:$A,0))=0,0,N4906)</f>
        <v>70</v>
      </c>
      <c r="N4906" s="7">
        <f t="shared" si="6352"/>
        <v>70</v>
      </c>
    </row>
    <row r="4907" spans="1:14">
      <c r="A4907" s="7">
        <f t="shared" si="6301"/>
        <v>30014</v>
      </c>
      <c r="B4907" s="8">
        <f t="shared" ref="B4907:C4907" si="6423">B4819</f>
        <v>40000</v>
      </c>
      <c r="C4907" s="8" t="str">
        <f t="shared" si="6423"/>
        <v>装备</v>
      </c>
      <c r="D4907" s="8">
        <v>40503051</v>
      </c>
      <c r="E4907" s="8"/>
      <c r="F4907" s="8">
        <v>1</v>
      </c>
      <c r="G4907" s="7">
        <f>3*INDEX([1]equip.xml!$I:$I,MATCH(D4907&amp;"",[1]equip.xml!$A:$A,0))</f>
        <v>159000</v>
      </c>
      <c r="H4907" s="8" t="str">
        <f t="shared" ref="H4907:J4907" si="6424">H4819</f>
        <v>10_10,50_20,80_30</v>
      </c>
      <c r="I4907" s="8">
        <v>6</v>
      </c>
      <c r="J4907" s="8">
        <f t="shared" si="6424"/>
        <v>50</v>
      </c>
      <c r="K4907" s="7" t="s">
        <v>311</v>
      </c>
      <c r="L4907" s="8">
        <v>36</v>
      </c>
      <c r="M4907" s="7">
        <f>IF(INDEX([1]equip.xml!$B:$B,MATCH(D4907&amp;"",[1]equip.xml!$A:$A,0))=0,0,N4907)</f>
        <v>70</v>
      </c>
      <c r="N4907" s="7">
        <f t="shared" si="6352"/>
        <v>70</v>
      </c>
    </row>
    <row r="4908" spans="1:14">
      <c r="A4908" s="7">
        <f t="shared" si="6301"/>
        <v>30014</v>
      </c>
      <c r="B4908" s="8">
        <f t="shared" ref="B4908:C4908" si="6425">B4820</f>
        <v>40000</v>
      </c>
      <c r="C4908" s="8" t="str">
        <f t="shared" si="6425"/>
        <v>装备</v>
      </c>
      <c r="D4908" s="8">
        <v>40503060</v>
      </c>
      <c r="E4908" s="8"/>
      <c r="F4908" s="8">
        <v>1</v>
      </c>
      <c r="G4908" s="7">
        <f>3*INDEX([1]equip.xml!$I:$I,MATCH(D4908&amp;"",[1]equip.xml!$A:$A,0))</f>
        <v>150000</v>
      </c>
      <c r="H4908" s="8" t="str">
        <f t="shared" ref="H4908:J4908" si="6426">H4820</f>
        <v>10_10,50_20,80_30</v>
      </c>
      <c r="I4908" s="8">
        <v>6</v>
      </c>
      <c r="J4908" s="8">
        <f t="shared" si="6426"/>
        <v>50</v>
      </c>
      <c r="K4908" s="7" t="s">
        <v>311</v>
      </c>
      <c r="L4908" s="8">
        <v>36</v>
      </c>
      <c r="M4908" s="7">
        <f>IF(INDEX([1]equip.xml!$B:$B,MATCH(D4908&amp;"",[1]equip.xml!$A:$A,0))=0,0,N4908)</f>
        <v>70</v>
      </c>
      <c r="N4908" s="7">
        <f t="shared" si="6352"/>
        <v>70</v>
      </c>
    </row>
    <row r="4909" spans="1:14">
      <c r="A4909" s="7">
        <f t="shared" si="6301"/>
        <v>30014</v>
      </c>
      <c r="B4909" s="8">
        <f t="shared" ref="B4909:C4909" si="6427">B4821</f>
        <v>40000</v>
      </c>
      <c r="C4909" s="8" t="str">
        <f t="shared" si="6427"/>
        <v>装备</v>
      </c>
      <c r="D4909" s="8">
        <v>40503061</v>
      </c>
      <c r="E4909" s="8"/>
      <c r="F4909" s="8">
        <v>1</v>
      </c>
      <c r="G4909" s="7">
        <f>3*INDEX([1]equip.xml!$I:$I,MATCH(D4909&amp;"",[1]equip.xml!$A:$A,0))</f>
        <v>159000</v>
      </c>
      <c r="H4909" s="8" t="str">
        <f t="shared" ref="H4909:J4909" si="6428">H4821</f>
        <v>10_10,50_20,80_30</v>
      </c>
      <c r="I4909" s="8">
        <v>6</v>
      </c>
      <c r="J4909" s="8">
        <f t="shared" si="6428"/>
        <v>50</v>
      </c>
      <c r="K4909" s="7" t="s">
        <v>311</v>
      </c>
      <c r="L4909" s="8">
        <v>36</v>
      </c>
      <c r="M4909" s="7">
        <f>IF(INDEX([1]equip.xml!$B:$B,MATCH(D4909&amp;"",[1]equip.xml!$A:$A,0))=0,0,N4909)</f>
        <v>70</v>
      </c>
      <c r="N4909" s="7">
        <f t="shared" si="6352"/>
        <v>70</v>
      </c>
    </row>
    <row r="4910" spans="1:14">
      <c r="A4910" s="7">
        <f t="shared" si="6301"/>
        <v>30014</v>
      </c>
      <c r="B4910" s="8">
        <f t="shared" ref="B4910:C4910" si="6429">B4822</f>
        <v>40000</v>
      </c>
      <c r="C4910" s="8" t="str">
        <f t="shared" si="6429"/>
        <v>装备</v>
      </c>
      <c r="D4910" s="8">
        <v>40500040</v>
      </c>
      <c r="E4910" s="8"/>
      <c r="F4910" s="8">
        <v>1</v>
      </c>
      <c r="G4910" s="7">
        <f>3*INDEX([1]equip.xml!$I:$I,MATCH(D4910&amp;"",[1]equip.xml!$A:$A,0))</f>
        <v>150000</v>
      </c>
      <c r="H4910" s="8" t="str">
        <f t="shared" ref="H4910:J4910" si="6430">H4822</f>
        <v>10_10,50_20,80_30</v>
      </c>
      <c r="I4910" s="8">
        <v>6</v>
      </c>
      <c r="J4910" s="8">
        <f t="shared" si="6430"/>
        <v>50</v>
      </c>
      <c r="K4910" s="7" t="s">
        <v>311</v>
      </c>
      <c r="L4910" s="8">
        <v>36</v>
      </c>
      <c r="M4910" s="7">
        <f>IF(INDEX([1]equip.xml!$B:$B,MATCH(D4910&amp;"",[1]equip.xml!$A:$A,0))=0,0,N4910)</f>
        <v>70</v>
      </c>
      <c r="N4910" s="7">
        <f t="shared" si="6352"/>
        <v>70</v>
      </c>
    </row>
    <row r="4911" spans="1:14">
      <c r="A4911" s="7">
        <f t="shared" ref="A4911:A4974" si="6431">10000+A3679</f>
        <v>30014</v>
      </c>
      <c r="B4911" s="8">
        <f t="shared" ref="B4911:C4911" si="6432">B4823</f>
        <v>40000</v>
      </c>
      <c r="C4911" s="8" t="str">
        <f t="shared" si="6432"/>
        <v>装备</v>
      </c>
      <c r="D4911" s="8">
        <v>40500041</v>
      </c>
      <c r="E4911" s="8"/>
      <c r="F4911" s="8">
        <v>1</v>
      </c>
      <c r="G4911" s="7">
        <f>3*INDEX([1]equip.xml!$I:$I,MATCH(D4911&amp;"",[1]equip.xml!$A:$A,0))</f>
        <v>159000</v>
      </c>
      <c r="H4911" s="8" t="str">
        <f t="shared" ref="H4911:J4911" si="6433">H4823</f>
        <v>10_10,50_20,80_30</v>
      </c>
      <c r="I4911" s="8">
        <v>6</v>
      </c>
      <c r="J4911" s="8">
        <f t="shared" si="6433"/>
        <v>50</v>
      </c>
      <c r="K4911" s="7" t="s">
        <v>311</v>
      </c>
      <c r="L4911" s="8">
        <v>36</v>
      </c>
      <c r="M4911" s="7">
        <f>IF(INDEX([1]equip.xml!$B:$B,MATCH(D4911&amp;"",[1]equip.xml!$A:$A,0))=0,0,N4911)</f>
        <v>0</v>
      </c>
      <c r="N4911" s="7">
        <f t="shared" si="6352"/>
        <v>70</v>
      </c>
    </row>
    <row r="4912" spans="1:14">
      <c r="A4912" s="7">
        <f t="shared" si="6431"/>
        <v>30014</v>
      </c>
      <c r="B4912" s="8">
        <f t="shared" ref="B4912:C4912" si="6434">B4824</f>
        <v>40000</v>
      </c>
      <c r="C4912" s="8" t="str">
        <f t="shared" si="6434"/>
        <v>装备</v>
      </c>
      <c r="D4912" s="8">
        <v>40500070</v>
      </c>
      <c r="E4912" s="8"/>
      <c r="F4912" s="8">
        <v>1</v>
      </c>
      <c r="G4912" s="7">
        <f>3*INDEX([1]equip.xml!$I:$I,MATCH(D4912&amp;"",[1]equip.xml!$A:$A,0))</f>
        <v>150000</v>
      </c>
      <c r="H4912" s="8" t="str">
        <f t="shared" ref="H4912:J4912" si="6435">H4824</f>
        <v>10_10,50_20,80_30</v>
      </c>
      <c r="I4912" s="8">
        <v>6</v>
      </c>
      <c r="J4912" s="8">
        <f t="shared" si="6435"/>
        <v>50</v>
      </c>
      <c r="K4912" s="7" t="s">
        <v>311</v>
      </c>
      <c r="L4912" s="8">
        <v>36</v>
      </c>
      <c r="M4912" s="7">
        <f>IF(INDEX([1]equip.xml!$B:$B,MATCH(D4912&amp;"",[1]equip.xml!$A:$A,0))=0,0,N4912)</f>
        <v>70</v>
      </c>
      <c r="N4912" s="7">
        <f t="shared" si="6352"/>
        <v>70</v>
      </c>
    </row>
    <row r="4913" spans="1:14">
      <c r="A4913" s="7">
        <f t="shared" si="6431"/>
        <v>30014</v>
      </c>
      <c r="B4913" s="8">
        <f t="shared" ref="B4913:C4913" si="6436">B4825</f>
        <v>40000</v>
      </c>
      <c r="C4913" s="8" t="str">
        <f t="shared" si="6436"/>
        <v>装备</v>
      </c>
      <c r="D4913" s="8">
        <v>40500071</v>
      </c>
      <c r="E4913" s="8"/>
      <c r="F4913" s="8">
        <v>1</v>
      </c>
      <c r="G4913" s="7">
        <f>3*INDEX([1]equip.xml!$I:$I,MATCH(D4913&amp;"",[1]equip.xml!$A:$A,0))</f>
        <v>159000</v>
      </c>
      <c r="H4913" s="8" t="str">
        <f t="shared" ref="H4913:J4913" si="6437">H4825</f>
        <v>10_10,50_20,80_30</v>
      </c>
      <c r="I4913" s="8">
        <v>6</v>
      </c>
      <c r="J4913" s="8">
        <f t="shared" si="6437"/>
        <v>50</v>
      </c>
      <c r="K4913" s="7" t="s">
        <v>311</v>
      </c>
      <c r="L4913" s="8">
        <v>36</v>
      </c>
      <c r="M4913" s="7">
        <f>IF(INDEX([1]equip.xml!$B:$B,MATCH(D4913&amp;"",[1]equip.xml!$A:$A,0))=0,0,N4913)</f>
        <v>0</v>
      </c>
      <c r="N4913" s="7">
        <f t="shared" si="6352"/>
        <v>70</v>
      </c>
    </row>
    <row r="4914" spans="1:14">
      <c r="A4914" s="7">
        <f t="shared" si="6431"/>
        <v>30014</v>
      </c>
      <c r="B4914" s="8">
        <f t="shared" ref="B4914:C4914" si="6438">B4826</f>
        <v>40000</v>
      </c>
      <c r="C4914" s="8" t="str">
        <f t="shared" si="6438"/>
        <v>装备</v>
      </c>
      <c r="D4914" s="8">
        <v>50450015</v>
      </c>
      <c r="E4914" s="8"/>
      <c r="F4914" s="8">
        <v>1</v>
      </c>
      <c r="G4914" s="8">
        <f>3*INDEX([1]equip.xml!$I:$I,MATCH(D4914,[1]equip.xml!$A:$A,0))</f>
        <v>270000</v>
      </c>
      <c r="H4914" s="8" t="str">
        <f t="shared" ref="H4914:J4914" si="6439">H4826</f>
        <v>10_10,50_20,80_30</v>
      </c>
      <c r="I4914" s="8">
        <v>4</v>
      </c>
      <c r="J4914" s="8">
        <f t="shared" si="6439"/>
        <v>240</v>
      </c>
      <c r="K4914" s="7" t="s">
        <v>311</v>
      </c>
      <c r="L4914" s="8">
        <v>36</v>
      </c>
      <c r="M4914" s="7">
        <f>IF(INDEX([1]equip.xml!$B:$B,MATCH(D4914,[1]equip.xml!$A:$A,0))=0,0,N4914)</f>
        <v>200</v>
      </c>
      <c r="N4914" s="7">
        <f t="shared" si="6352"/>
        <v>200</v>
      </c>
    </row>
    <row r="4915" spans="1:14">
      <c r="A4915" s="7">
        <f t="shared" si="6431"/>
        <v>30014</v>
      </c>
      <c r="B4915" s="8">
        <f t="shared" ref="B4915:C4915" si="6440">B4827</f>
        <v>40000</v>
      </c>
      <c r="C4915" s="8" t="str">
        <f t="shared" si="6440"/>
        <v>装备</v>
      </c>
      <c r="D4915" s="8">
        <v>50450025</v>
      </c>
      <c r="E4915" s="8"/>
      <c r="F4915" s="8">
        <v>1</v>
      </c>
      <c r="G4915" s="8">
        <f>3*INDEX([1]equip.xml!$I:$I,MATCH(D4915,[1]equip.xml!$A:$A,0))</f>
        <v>270000</v>
      </c>
      <c r="H4915" s="8" t="str">
        <f t="shared" ref="H4915:J4915" si="6441">H4827</f>
        <v>10_10,50_20,80_30</v>
      </c>
      <c r="I4915" s="8">
        <v>4</v>
      </c>
      <c r="J4915" s="8">
        <f t="shared" si="6441"/>
        <v>240</v>
      </c>
      <c r="K4915" s="7" t="s">
        <v>311</v>
      </c>
      <c r="L4915" s="8">
        <v>36</v>
      </c>
      <c r="M4915" s="7">
        <f>IF(INDEX([1]equip.xml!$B:$B,MATCH(D4915,[1]equip.xml!$A:$A,0))=0,0,N4915)</f>
        <v>200</v>
      </c>
      <c r="N4915" s="7">
        <f t="shared" si="6352"/>
        <v>200</v>
      </c>
    </row>
    <row r="4916" spans="1:14">
      <c r="A4916" s="7">
        <f t="shared" si="6431"/>
        <v>30014</v>
      </c>
      <c r="B4916" s="8">
        <f t="shared" ref="B4916:C4916" si="6442">B4828</f>
        <v>40000</v>
      </c>
      <c r="C4916" s="8" t="str">
        <f t="shared" si="6442"/>
        <v>装备</v>
      </c>
      <c r="D4916" s="8">
        <v>50450035</v>
      </c>
      <c r="E4916" s="8"/>
      <c r="F4916" s="8">
        <v>1</v>
      </c>
      <c r="G4916" s="8">
        <f>3*INDEX([1]equip.xml!$I:$I,MATCH(D4916,[1]equip.xml!$A:$A,0))</f>
        <v>270000</v>
      </c>
      <c r="H4916" s="8" t="str">
        <f t="shared" ref="H4916:J4916" si="6443">H4828</f>
        <v>10_10,50_20,80_30</v>
      </c>
      <c r="I4916" s="8">
        <v>4</v>
      </c>
      <c r="J4916" s="8">
        <f t="shared" si="6443"/>
        <v>240</v>
      </c>
      <c r="K4916" s="7" t="s">
        <v>311</v>
      </c>
      <c r="L4916" s="8">
        <v>36</v>
      </c>
      <c r="M4916" s="7">
        <f>IF(INDEX([1]equip.xml!$B:$B,MATCH(D4916,[1]equip.xml!$A:$A,0))=0,0,N4916)</f>
        <v>200</v>
      </c>
      <c r="N4916" s="7">
        <f t="shared" si="6352"/>
        <v>200</v>
      </c>
    </row>
    <row r="4917" spans="1:14">
      <c r="A4917" s="7">
        <f t="shared" si="6431"/>
        <v>30014</v>
      </c>
      <c r="B4917" s="8">
        <f t="shared" ref="B4917:C4917" si="6444">B4829</f>
        <v>40000</v>
      </c>
      <c r="C4917" s="8" t="str">
        <f t="shared" si="6444"/>
        <v>装备</v>
      </c>
      <c r="D4917" s="8">
        <v>50450085</v>
      </c>
      <c r="E4917" s="8"/>
      <c r="F4917" s="8">
        <v>1</v>
      </c>
      <c r="G4917" s="8">
        <f>3*INDEX([1]equip.xml!$I:$I,MATCH(D4917,[1]equip.xml!$A:$A,0))</f>
        <v>270000</v>
      </c>
      <c r="H4917" s="8" t="str">
        <f t="shared" ref="H4917:J4917" si="6445">H4829</f>
        <v>10_10,50_20,80_30</v>
      </c>
      <c r="I4917" s="8">
        <v>4</v>
      </c>
      <c r="J4917" s="8">
        <f t="shared" si="6445"/>
        <v>240</v>
      </c>
      <c r="K4917" s="7" t="s">
        <v>311</v>
      </c>
      <c r="L4917" s="8">
        <v>36</v>
      </c>
      <c r="M4917" s="7">
        <f>IF(INDEX([1]equip.xml!$B:$B,MATCH(D4917,[1]equip.xml!$A:$A,0))=0,0,N4917)</f>
        <v>200</v>
      </c>
      <c r="N4917" s="7">
        <f t="shared" si="6352"/>
        <v>200</v>
      </c>
    </row>
    <row r="4918" spans="1:14">
      <c r="A4918" s="7">
        <f t="shared" si="6431"/>
        <v>30014</v>
      </c>
      <c r="B4918" s="8">
        <f t="shared" ref="B4918:C4918" si="6446">B4830</f>
        <v>40000</v>
      </c>
      <c r="C4918" s="8" t="str">
        <f t="shared" si="6446"/>
        <v>装备</v>
      </c>
      <c r="D4918" s="8">
        <v>50450095</v>
      </c>
      <c r="E4918" s="8"/>
      <c r="F4918" s="8">
        <v>1</v>
      </c>
      <c r="G4918" s="8">
        <f>3*INDEX([1]equip.xml!$I:$I,MATCH(D4918,[1]equip.xml!$A:$A,0))</f>
        <v>270000</v>
      </c>
      <c r="H4918" s="8" t="str">
        <f t="shared" ref="H4918:J4918" si="6447">H4830</f>
        <v>10_10,50_20,80_30</v>
      </c>
      <c r="I4918" s="8">
        <v>4</v>
      </c>
      <c r="J4918" s="8">
        <f t="shared" si="6447"/>
        <v>240</v>
      </c>
      <c r="K4918" s="7" t="s">
        <v>311</v>
      </c>
      <c r="L4918" s="8">
        <v>36</v>
      </c>
      <c r="M4918" s="7">
        <f>IF(INDEX([1]equip.xml!$B:$B,MATCH(D4918,[1]equip.xml!$A:$A,0))=0,0,N4918)</f>
        <v>200</v>
      </c>
      <c r="N4918" s="7">
        <f t="shared" si="6352"/>
        <v>200</v>
      </c>
    </row>
    <row r="4919" spans="1:14">
      <c r="A4919" s="7">
        <f t="shared" si="6431"/>
        <v>30014</v>
      </c>
      <c r="B4919" s="8">
        <f t="shared" ref="B4919:C4919" si="6448">B4831</f>
        <v>40000</v>
      </c>
      <c r="C4919" s="8" t="str">
        <f t="shared" si="6448"/>
        <v>装备</v>
      </c>
      <c r="D4919" s="8">
        <v>50450105</v>
      </c>
      <c r="E4919" s="8"/>
      <c r="F4919" s="8">
        <v>1</v>
      </c>
      <c r="G4919" s="8">
        <f>3*INDEX([1]equip.xml!$I:$I,MATCH(D4919,[1]equip.xml!$A:$A,0))</f>
        <v>270000</v>
      </c>
      <c r="H4919" s="8" t="str">
        <f t="shared" ref="H4919:J4919" si="6449">H4831</f>
        <v>10_10,50_20,80_30</v>
      </c>
      <c r="I4919" s="8">
        <v>4</v>
      </c>
      <c r="J4919" s="8">
        <f t="shared" si="6449"/>
        <v>240</v>
      </c>
      <c r="K4919" s="7" t="s">
        <v>311</v>
      </c>
      <c r="L4919" s="8">
        <v>36</v>
      </c>
      <c r="M4919" s="7">
        <f>IF(INDEX([1]equip.xml!$B:$B,MATCH(D4919,[1]equip.xml!$A:$A,0))=0,0,N4919)</f>
        <v>200</v>
      </c>
      <c r="N4919" s="7">
        <f t="shared" si="6352"/>
        <v>200</v>
      </c>
    </row>
    <row r="4920" spans="1:14">
      <c r="A4920" s="7">
        <f t="shared" si="6431"/>
        <v>30014</v>
      </c>
      <c r="B4920" s="8">
        <f t="shared" ref="B4920:C4920" si="6450">B4832</f>
        <v>40000</v>
      </c>
      <c r="C4920" s="8" t="str">
        <f t="shared" si="6450"/>
        <v>装备</v>
      </c>
      <c r="D4920" s="8">
        <v>50451055</v>
      </c>
      <c r="E4920" s="8"/>
      <c r="F4920" s="8">
        <v>1</v>
      </c>
      <c r="G4920" s="8">
        <f>3*INDEX([1]equip.xml!$I:$I,MATCH(D4920,[1]equip.xml!$A:$A,0))</f>
        <v>270000</v>
      </c>
      <c r="H4920" s="8" t="str">
        <f t="shared" ref="H4920:J4920" si="6451">H4832</f>
        <v>10_10,50_20,80_30</v>
      </c>
      <c r="I4920" s="8">
        <v>4</v>
      </c>
      <c r="J4920" s="8">
        <f t="shared" si="6451"/>
        <v>240</v>
      </c>
      <c r="K4920" s="7" t="s">
        <v>311</v>
      </c>
      <c r="L4920" s="8">
        <v>36</v>
      </c>
      <c r="M4920" s="7">
        <f>IF(INDEX([1]equip.xml!$B:$B,MATCH(D4920,[1]equip.xml!$A:$A,0))=0,0,N4920)</f>
        <v>200</v>
      </c>
      <c r="N4920" s="7">
        <f t="shared" si="6352"/>
        <v>200</v>
      </c>
    </row>
    <row r="4921" spans="1:14">
      <c r="A4921" s="7">
        <f t="shared" si="6431"/>
        <v>30014</v>
      </c>
      <c r="B4921" s="8">
        <f t="shared" ref="B4921:C4921" si="6452">B4833</f>
        <v>40000</v>
      </c>
      <c r="C4921" s="8" t="str">
        <f t="shared" si="6452"/>
        <v>装备</v>
      </c>
      <c r="D4921" s="8">
        <v>50451056</v>
      </c>
      <c r="E4921" s="8"/>
      <c r="F4921" s="8">
        <v>1</v>
      </c>
      <c r="G4921" s="8">
        <f>3*INDEX([1]equip.xml!$I:$I,MATCH(D4921,[1]equip.xml!$A:$A,0))</f>
        <v>288000</v>
      </c>
      <c r="H4921" s="8" t="str">
        <f t="shared" ref="H4921:J4921" si="6453">H4833</f>
        <v>10_10,50_20,80_30</v>
      </c>
      <c r="I4921" s="8">
        <v>4</v>
      </c>
      <c r="J4921" s="8">
        <f t="shared" si="6453"/>
        <v>240</v>
      </c>
      <c r="K4921" s="7" t="s">
        <v>311</v>
      </c>
      <c r="L4921" s="8">
        <v>36</v>
      </c>
      <c r="M4921" s="7">
        <f>IF(INDEX([1]equip.xml!$B:$B,MATCH(D4921,[1]equip.xml!$A:$A,0))=0,0,N4921)</f>
        <v>0</v>
      </c>
      <c r="N4921" s="7">
        <f t="shared" si="6352"/>
        <v>200</v>
      </c>
    </row>
    <row r="4922" spans="1:14">
      <c r="A4922" s="7">
        <f t="shared" si="6431"/>
        <v>30014</v>
      </c>
      <c r="B4922" s="8">
        <f t="shared" ref="B4922:C4922" si="6454">B4834</f>
        <v>40000</v>
      </c>
      <c r="C4922" s="8" t="str">
        <f t="shared" si="6454"/>
        <v>装备</v>
      </c>
      <c r="D4922" s="8">
        <v>50451065</v>
      </c>
      <c r="E4922" s="8"/>
      <c r="F4922" s="8">
        <v>1</v>
      </c>
      <c r="G4922" s="8">
        <f>3*INDEX([1]equip.xml!$I:$I,MATCH(D4922,[1]equip.xml!$A:$A,0))</f>
        <v>270000</v>
      </c>
      <c r="H4922" s="8" t="str">
        <f t="shared" ref="H4922:J4922" si="6455">H4834</f>
        <v>10_10,50_20,80_30</v>
      </c>
      <c r="I4922" s="8">
        <v>4</v>
      </c>
      <c r="J4922" s="8">
        <f t="shared" si="6455"/>
        <v>240</v>
      </c>
      <c r="K4922" s="7" t="s">
        <v>311</v>
      </c>
      <c r="L4922" s="8">
        <v>36</v>
      </c>
      <c r="M4922" s="7">
        <f>IF(INDEX([1]equip.xml!$B:$B,MATCH(D4922,[1]equip.xml!$A:$A,0))=0,0,N4922)</f>
        <v>200</v>
      </c>
      <c r="N4922" s="7">
        <f t="shared" si="6352"/>
        <v>200</v>
      </c>
    </row>
    <row r="4923" spans="1:14">
      <c r="A4923" s="7">
        <f t="shared" si="6431"/>
        <v>30014</v>
      </c>
      <c r="B4923" s="8">
        <f t="shared" ref="B4923:C4923" si="6456">B4835</f>
        <v>40000</v>
      </c>
      <c r="C4923" s="8" t="str">
        <f t="shared" si="6456"/>
        <v>装备</v>
      </c>
      <c r="D4923" s="8">
        <v>50451066</v>
      </c>
      <c r="E4923" s="8"/>
      <c r="F4923" s="8">
        <v>1</v>
      </c>
      <c r="G4923" s="8">
        <f>3*INDEX([1]equip.xml!$I:$I,MATCH(D4923,[1]equip.xml!$A:$A,0))</f>
        <v>288000</v>
      </c>
      <c r="H4923" s="8" t="str">
        <f t="shared" ref="H4923:J4923" si="6457">H4835</f>
        <v>10_10,50_20,80_30</v>
      </c>
      <c r="I4923" s="8">
        <v>4</v>
      </c>
      <c r="J4923" s="8">
        <f t="shared" si="6457"/>
        <v>240</v>
      </c>
      <c r="K4923" s="7" t="s">
        <v>311</v>
      </c>
      <c r="L4923" s="8">
        <v>36</v>
      </c>
      <c r="M4923" s="7">
        <f>IF(INDEX([1]equip.xml!$B:$B,MATCH(D4923,[1]equip.xml!$A:$A,0))=0,0,N4923)</f>
        <v>0</v>
      </c>
      <c r="N4923" s="7">
        <f t="shared" si="6352"/>
        <v>200</v>
      </c>
    </row>
    <row r="4924" spans="1:14">
      <c r="A4924" s="7">
        <f t="shared" si="6431"/>
        <v>30014</v>
      </c>
      <c r="B4924" s="8">
        <f t="shared" ref="B4924:C4924" si="6458">B4836</f>
        <v>40000</v>
      </c>
      <c r="C4924" s="8" t="str">
        <f t="shared" si="6458"/>
        <v>装备</v>
      </c>
      <c r="D4924" s="8">
        <v>50452055</v>
      </c>
      <c r="E4924" s="8"/>
      <c r="F4924" s="8">
        <v>1</v>
      </c>
      <c r="G4924" s="8">
        <f>3*INDEX([1]equip.xml!$I:$I,MATCH(D4924,[1]equip.xml!$A:$A,0))</f>
        <v>270000</v>
      </c>
      <c r="H4924" s="8" t="str">
        <f t="shared" ref="H4924:J4924" si="6459">H4836</f>
        <v>10_10,50_20,80_30</v>
      </c>
      <c r="I4924" s="8">
        <v>4</v>
      </c>
      <c r="J4924" s="8">
        <f t="shared" si="6459"/>
        <v>240</v>
      </c>
      <c r="K4924" s="7" t="s">
        <v>311</v>
      </c>
      <c r="L4924" s="8">
        <v>36</v>
      </c>
      <c r="M4924" s="7">
        <f>IF(INDEX([1]equip.xml!$B:$B,MATCH(D4924,[1]equip.xml!$A:$A,0))=0,0,N4924)</f>
        <v>200</v>
      </c>
      <c r="N4924" s="7">
        <f t="shared" si="6352"/>
        <v>200</v>
      </c>
    </row>
    <row r="4925" spans="1:14">
      <c r="A4925" s="7">
        <f t="shared" si="6431"/>
        <v>30014</v>
      </c>
      <c r="B4925" s="8">
        <f t="shared" ref="B4925:C4925" si="6460">B4837</f>
        <v>40000</v>
      </c>
      <c r="C4925" s="8" t="str">
        <f t="shared" si="6460"/>
        <v>装备</v>
      </c>
      <c r="D4925" s="8">
        <v>50452056</v>
      </c>
      <c r="E4925" s="8"/>
      <c r="F4925" s="8">
        <v>1</v>
      </c>
      <c r="G4925" s="8">
        <f>3*INDEX([1]equip.xml!$I:$I,MATCH(D4925,[1]equip.xml!$A:$A,0))</f>
        <v>288000</v>
      </c>
      <c r="H4925" s="8" t="str">
        <f t="shared" ref="H4925:J4925" si="6461">H4837</f>
        <v>10_10,50_20,80_30</v>
      </c>
      <c r="I4925" s="8">
        <v>4</v>
      </c>
      <c r="J4925" s="8">
        <f t="shared" si="6461"/>
        <v>240</v>
      </c>
      <c r="K4925" s="7" t="s">
        <v>311</v>
      </c>
      <c r="L4925" s="8">
        <v>36</v>
      </c>
      <c r="M4925" s="7">
        <f>IF(INDEX([1]equip.xml!$B:$B,MATCH(D4925,[1]equip.xml!$A:$A,0))=0,0,N4925)</f>
        <v>0</v>
      </c>
      <c r="N4925" s="7">
        <f t="shared" si="6352"/>
        <v>200</v>
      </c>
    </row>
    <row r="4926" spans="1:14">
      <c r="A4926" s="7">
        <f t="shared" si="6431"/>
        <v>30014</v>
      </c>
      <c r="B4926" s="8">
        <f t="shared" ref="B4926:C4926" si="6462">B4838</f>
        <v>40000</v>
      </c>
      <c r="C4926" s="8" t="str">
        <f t="shared" si="6462"/>
        <v>装备</v>
      </c>
      <c r="D4926" s="8">
        <v>50452065</v>
      </c>
      <c r="E4926" s="8"/>
      <c r="F4926" s="8">
        <v>1</v>
      </c>
      <c r="G4926" s="8">
        <f>3*INDEX([1]equip.xml!$I:$I,MATCH(D4926,[1]equip.xml!$A:$A,0))</f>
        <v>270000</v>
      </c>
      <c r="H4926" s="8" t="str">
        <f t="shared" ref="H4926:J4926" si="6463">H4838</f>
        <v>10_10,50_20,80_30</v>
      </c>
      <c r="I4926" s="8">
        <v>4</v>
      </c>
      <c r="J4926" s="8">
        <f t="shared" si="6463"/>
        <v>240</v>
      </c>
      <c r="K4926" s="7" t="s">
        <v>311</v>
      </c>
      <c r="L4926" s="8">
        <v>36</v>
      </c>
      <c r="M4926" s="7">
        <f>IF(INDEX([1]equip.xml!$B:$B,MATCH(D4926,[1]equip.xml!$A:$A,0))=0,0,N4926)</f>
        <v>200</v>
      </c>
      <c r="N4926" s="7">
        <f t="shared" si="6352"/>
        <v>200</v>
      </c>
    </row>
    <row r="4927" spans="1:14">
      <c r="A4927" s="7">
        <f t="shared" si="6431"/>
        <v>30014</v>
      </c>
      <c r="B4927" s="8">
        <f t="shared" ref="B4927:C4927" si="6464">B4839</f>
        <v>40000</v>
      </c>
      <c r="C4927" s="8" t="str">
        <f t="shared" si="6464"/>
        <v>装备</v>
      </c>
      <c r="D4927" s="8">
        <v>50452066</v>
      </c>
      <c r="E4927" s="8"/>
      <c r="F4927" s="8">
        <v>1</v>
      </c>
      <c r="G4927" s="8">
        <f>3*INDEX([1]equip.xml!$I:$I,MATCH(D4927,[1]equip.xml!$A:$A,0))</f>
        <v>288000</v>
      </c>
      <c r="H4927" s="8" t="str">
        <f t="shared" ref="H4927:J4927" si="6465">H4839</f>
        <v>10_10,50_20,80_30</v>
      </c>
      <c r="I4927" s="8">
        <v>4</v>
      </c>
      <c r="J4927" s="8">
        <f t="shared" si="6465"/>
        <v>240</v>
      </c>
      <c r="K4927" s="7" t="s">
        <v>311</v>
      </c>
      <c r="L4927" s="8">
        <v>36</v>
      </c>
      <c r="M4927" s="7">
        <f>IF(INDEX([1]equip.xml!$B:$B,MATCH(D4927,[1]equip.xml!$A:$A,0))=0,0,N4927)</f>
        <v>0</v>
      </c>
      <c r="N4927" s="7">
        <f t="shared" si="6352"/>
        <v>200</v>
      </c>
    </row>
    <row r="4928" spans="1:14">
      <c r="A4928" s="7">
        <f t="shared" si="6431"/>
        <v>30014</v>
      </c>
      <c r="B4928" s="8">
        <f t="shared" ref="B4928:C4928" si="6466">B4840</f>
        <v>40000</v>
      </c>
      <c r="C4928" s="8" t="str">
        <f t="shared" si="6466"/>
        <v>装备</v>
      </c>
      <c r="D4928" s="8">
        <v>50453055</v>
      </c>
      <c r="E4928" s="8"/>
      <c r="F4928" s="8">
        <v>1</v>
      </c>
      <c r="G4928" s="8">
        <f>3*INDEX([1]equip.xml!$I:$I,MATCH(D4928,[1]equip.xml!$A:$A,0))</f>
        <v>270000</v>
      </c>
      <c r="H4928" s="8" t="str">
        <f t="shared" ref="H4928:J4928" si="6467">H4840</f>
        <v>10_10,50_20,80_30</v>
      </c>
      <c r="I4928" s="8">
        <v>4</v>
      </c>
      <c r="J4928" s="8">
        <f t="shared" si="6467"/>
        <v>240</v>
      </c>
      <c r="K4928" s="7" t="s">
        <v>311</v>
      </c>
      <c r="L4928" s="8">
        <v>36</v>
      </c>
      <c r="M4928" s="7">
        <f>IF(INDEX([1]equip.xml!$B:$B,MATCH(D4928,[1]equip.xml!$A:$A,0))=0,0,N4928)</f>
        <v>200</v>
      </c>
      <c r="N4928" s="7">
        <f t="shared" si="6352"/>
        <v>200</v>
      </c>
    </row>
    <row r="4929" spans="1:14">
      <c r="A4929" s="7">
        <f t="shared" si="6431"/>
        <v>30014</v>
      </c>
      <c r="B4929" s="8">
        <f t="shared" ref="B4929:C4929" si="6468">B4841</f>
        <v>40000</v>
      </c>
      <c r="C4929" s="8" t="str">
        <f t="shared" si="6468"/>
        <v>装备</v>
      </c>
      <c r="D4929" s="8">
        <v>50453056</v>
      </c>
      <c r="E4929" s="8"/>
      <c r="F4929" s="8">
        <v>1</v>
      </c>
      <c r="G4929" s="8">
        <f>3*INDEX([1]equip.xml!$I:$I,MATCH(D4929,[1]equip.xml!$A:$A,0))</f>
        <v>288000</v>
      </c>
      <c r="H4929" s="8" t="str">
        <f t="shared" ref="H4929:J4929" si="6469">H4841</f>
        <v>10_10,50_20,80_30</v>
      </c>
      <c r="I4929" s="8">
        <v>4</v>
      </c>
      <c r="J4929" s="8">
        <f t="shared" si="6469"/>
        <v>240</v>
      </c>
      <c r="K4929" s="7" t="s">
        <v>311</v>
      </c>
      <c r="L4929" s="8">
        <v>36</v>
      </c>
      <c r="M4929" s="7">
        <f>IF(INDEX([1]equip.xml!$B:$B,MATCH(D4929,[1]equip.xml!$A:$A,0))=0,0,N4929)</f>
        <v>200</v>
      </c>
      <c r="N4929" s="7">
        <f t="shared" si="6352"/>
        <v>200</v>
      </c>
    </row>
    <row r="4930" spans="1:14">
      <c r="A4930" s="7">
        <f t="shared" si="6431"/>
        <v>30014</v>
      </c>
      <c r="B4930" s="8">
        <f t="shared" ref="B4930:C4930" si="6470">B4842</f>
        <v>40000</v>
      </c>
      <c r="C4930" s="8" t="str">
        <f t="shared" si="6470"/>
        <v>装备</v>
      </c>
      <c r="D4930" s="8">
        <v>50453065</v>
      </c>
      <c r="E4930" s="8"/>
      <c r="F4930" s="8">
        <v>1</v>
      </c>
      <c r="G4930" s="8">
        <f>3*INDEX([1]equip.xml!$I:$I,MATCH(D4930,[1]equip.xml!$A:$A,0))</f>
        <v>270000</v>
      </c>
      <c r="H4930" s="8" t="str">
        <f t="shared" ref="H4930:J4930" si="6471">H4842</f>
        <v>10_10,50_20,80_30</v>
      </c>
      <c r="I4930" s="8">
        <v>4</v>
      </c>
      <c r="J4930" s="8">
        <f t="shared" si="6471"/>
        <v>240</v>
      </c>
      <c r="K4930" s="7" t="s">
        <v>311</v>
      </c>
      <c r="L4930" s="8">
        <v>36</v>
      </c>
      <c r="M4930" s="7">
        <f>IF(INDEX([1]equip.xml!$B:$B,MATCH(D4930,[1]equip.xml!$A:$A,0))=0,0,N4930)</f>
        <v>200</v>
      </c>
      <c r="N4930" s="7">
        <f t="shared" si="6352"/>
        <v>200</v>
      </c>
    </row>
    <row r="4931" spans="1:14">
      <c r="A4931" s="7">
        <f t="shared" si="6431"/>
        <v>30014</v>
      </c>
      <c r="B4931" s="8">
        <f t="shared" ref="B4931:C4931" si="6472">B4843</f>
        <v>40000</v>
      </c>
      <c r="C4931" s="8" t="str">
        <f t="shared" si="6472"/>
        <v>装备</v>
      </c>
      <c r="D4931" s="8">
        <v>50453066</v>
      </c>
      <c r="E4931" s="8"/>
      <c r="F4931" s="8">
        <v>1</v>
      </c>
      <c r="G4931" s="8">
        <f>3*INDEX([1]equip.xml!$I:$I,MATCH(D4931,[1]equip.xml!$A:$A,0))</f>
        <v>288000</v>
      </c>
      <c r="H4931" s="8" t="str">
        <f t="shared" ref="H4931:J4931" si="6473">H4843</f>
        <v>10_10,50_20,80_30</v>
      </c>
      <c r="I4931" s="8">
        <v>4</v>
      </c>
      <c r="J4931" s="8">
        <f t="shared" si="6473"/>
        <v>240</v>
      </c>
      <c r="K4931" s="7" t="s">
        <v>311</v>
      </c>
      <c r="L4931" s="8">
        <v>36</v>
      </c>
      <c r="M4931" s="7">
        <f>IF(INDEX([1]equip.xml!$B:$B,MATCH(D4931,[1]equip.xml!$A:$A,0))=0,0,N4931)</f>
        <v>0</v>
      </c>
      <c r="N4931" s="7">
        <f t="shared" si="6352"/>
        <v>200</v>
      </c>
    </row>
    <row r="4932" spans="1:14">
      <c r="A4932" s="7">
        <f t="shared" si="6431"/>
        <v>30014</v>
      </c>
      <c r="B4932" s="8">
        <f t="shared" ref="B4932:C4932" si="6474">B4844</f>
        <v>40000</v>
      </c>
      <c r="C4932" s="8" t="str">
        <f t="shared" si="6474"/>
        <v>装备</v>
      </c>
      <c r="D4932" s="8">
        <v>50450045</v>
      </c>
      <c r="E4932" s="8"/>
      <c r="F4932" s="8">
        <v>1</v>
      </c>
      <c r="G4932" s="8">
        <f>3*INDEX([1]equip.xml!$I:$I,MATCH(D4932,[1]equip.xml!$A:$A,0))</f>
        <v>270000</v>
      </c>
      <c r="H4932" s="8" t="str">
        <f t="shared" ref="H4932:J4932" si="6475">H4844</f>
        <v>10_10,50_20,80_30</v>
      </c>
      <c r="I4932" s="8">
        <v>4</v>
      </c>
      <c r="J4932" s="8">
        <f t="shared" si="6475"/>
        <v>240</v>
      </c>
      <c r="K4932" s="7" t="s">
        <v>311</v>
      </c>
      <c r="L4932" s="8">
        <v>36</v>
      </c>
      <c r="M4932" s="7">
        <f>IF(INDEX([1]equip.xml!$B:$B,MATCH(D4932,[1]equip.xml!$A:$A,0))=0,0,N4932)</f>
        <v>200</v>
      </c>
      <c r="N4932" s="7">
        <f t="shared" si="6352"/>
        <v>200</v>
      </c>
    </row>
    <row r="4933" spans="1:14">
      <c r="A4933" s="7">
        <f t="shared" si="6431"/>
        <v>30014</v>
      </c>
      <c r="B4933" s="8">
        <f t="shared" ref="B4933:C4933" si="6476">B4845</f>
        <v>40000</v>
      </c>
      <c r="C4933" s="8" t="str">
        <f t="shared" si="6476"/>
        <v>装备</v>
      </c>
      <c r="D4933" s="8">
        <v>50450046</v>
      </c>
      <c r="E4933" s="8"/>
      <c r="F4933" s="8">
        <v>1</v>
      </c>
      <c r="G4933" s="8">
        <f>3*INDEX([1]equip.xml!$I:$I,MATCH(D4933,[1]equip.xml!$A:$A,0))</f>
        <v>288000</v>
      </c>
      <c r="H4933" s="8" t="str">
        <f t="shared" ref="H4933:J4933" si="6477">H4845</f>
        <v>10_10,50_20,80_30</v>
      </c>
      <c r="I4933" s="8">
        <v>4</v>
      </c>
      <c r="J4933" s="8">
        <f t="shared" si="6477"/>
        <v>240</v>
      </c>
      <c r="K4933" s="7" t="s">
        <v>311</v>
      </c>
      <c r="L4933" s="8">
        <v>36</v>
      </c>
      <c r="M4933" s="7">
        <f>IF(INDEX([1]equip.xml!$B:$B,MATCH(D4933,[1]equip.xml!$A:$A,0))=0,0,N4933)</f>
        <v>200</v>
      </c>
      <c r="N4933" s="7">
        <f t="shared" si="6352"/>
        <v>200</v>
      </c>
    </row>
    <row r="4934" spans="1:14">
      <c r="A4934" s="7">
        <f t="shared" si="6431"/>
        <v>30014</v>
      </c>
      <c r="B4934" s="8">
        <f t="shared" ref="B4934:C4934" si="6478">B4846</f>
        <v>40000</v>
      </c>
      <c r="C4934" s="8" t="str">
        <f t="shared" si="6478"/>
        <v>装备</v>
      </c>
      <c r="D4934" s="8">
        <v>50450075</v>
      </c>
      <c r="E4934" s="8"/>
      <c r="F4934" s="8">
        <v>1</v>
      </c>
      <c r="G4934" s="8">
        <f>3*INDEX([1]equip.xml!$I:$I,MATCH(D4934,[1]equip.xml!$A:$A,0))</f>
        <v>270000</v>
      </c>
      <c r="H4934" s="8" t="str">
        <f t="shared" ref="H4934:J4934" si="6479">H4846</f>
        <v>10_10,50_20,80_30</v>
      </c>
      <c r="I4934" s="8">
        <v>4</v>
      </c>
      <c r="J4934" s="8">
        <f t="shared" si="6479"/>
        <v>240</v>
      </c>
      <c r="K4934" s="7" t="s">
        <v>311</v>
      </c>
      <c r="L4934" s="8">
        <v>36</v>
      </c>
      <c r="M4934" s="7">
        <f>IF(INDEX([1]equip.xml!$B:$B,MATCH(D4934,[1]equip.xml!$A:$A,0))=0,0,N4934)</f>
        <v>200</v>
      </c>
      <c r="N4934" s="7">
        <f t="shared" si="6352"/>
        <v>200</v>
      </c>
    </row>
    <row r="4935" spans="1:14">
      <c r="A4935" s="7">
        <f t="shared" si="6431"/>
        <v>30014</v>
      </c>
      <c r="B4935" s="8">
        <f t="shared" ref="B4935:C4935" si="6480">B4847</f>
        <v>40000</v>
      </c>
      <c r="C4935" s="8" t="str">
        <f t="shared" si="6480"/>
        <v>装备</v>
      </c>
      <c r="D4935" s="8">
        <v>50450076</v>
      </c>
      <c r="E4935" s="8"/>
      <c r="F4935" s="8">
        <v>1</v>
      </c>
      <c r="G4935" s="8">
        <f>3*INDEX([1]equip.xml!$I:$I,MATCH(D4935,[1]equip.xml!$A:$A,0))</f>
        <v>288000</v>
      </c>
      <c r="H4935" s="8" t="str">
        <f t="shared" ref="H4935:J4935" si="6481">H4847</f>
        <v>10_10,50_20,80_30</v>
      </c>
      <c r="I4935" s="8">
        <v>4</v>
      </c>
      <c r="J4935" s="8">
        <f t="shared" si="6481"/>
        <v>240</v>
      </c>
      <c r="K4935" s="7" t="s">
        <v>311</v>
      </c>
      <c r="L4935" s="8">
        <v>36</v>
      </c>
      <c r="M4935" s="7">
        <f>IF(INDEX([1]equip.xml!$B:$B,MATCH(D4935,[1]equip.xml!$A:$A,0))=0,0,N4935)</f>
        <v>200</v>
      </c>
      <c r="N4935" s="7">
        <f t="shared" ref="N4935:N4998" si="6482">N4847</f>
        <v>200</v>
      </c>
    </row>
    <row r="4936" spans="1:14">
      <c r="A4936" s="7">
        <f t="shared" si="6431"/>
        <v>30014</v>
      </c>
      <c r="B4936" s="8">
        <f t="shared" ref="B4936:C4936" si="6483">B4848</f>
        <v>40000</v>
      </c>
      <c r="C4936" s="8" t="str">
        <f t="shared" si="6483"/>
        <v>装备</v>
      </c>
      <c r="D4936" s="8">
        <v>50500015</v>
      </c>
      <c r="E4936" s="8"/>
      <c r="F4936" s="8">
        <v>1</v>
      </c>
      <c r="G4936" s="8">
        <f>3*INDEX([1]equip.xml!$I:$I,MATCH(D4936,[1]equip.xml!$A:$A,0))</f>
        <v>300000</v>
      </c>
      <c r="H4936" s="8" t="str">
        <f t="shared" ref="H4936:J4936" si="6484">H4848</f>
        <v>10_10,50_20,80_30</v>
      </c>
      <c r="I4936" s="8">
        <v>4</v>
      </c>
      <c r="J4936" s="8">
        <f t="shared" si="6484"/>
        <v>240</v>
      </c>
      <c r="K4936" s="7" t="s">
        <v>311</v>
      </c>
      <c r="L4936" s="8">
        <v>36</v>
      </c>
      <c r="M4936" s="7">
        <f>IF(INDEX([1]equip.xml!$B:$B,MATCH(D4936,[1]equip.xml!$A:$A,0))=0,0,N4936)</f>
        <v>140</v>
      </c>
      <c r="N4936" s="7">
        <f t="shared" si="6482"/>
        <v>140</v>
      </c>
    </row>
    <row r="4937" spans="1:14">
      <c r="A4937" s="7">
        <f t="shared" si="6431"/>
        <v>30014</v>
      </c>
      <c r="B4937" s="8">
        <f t="shared" ref="B4937:C4937" si="6485">B4849</f>
        <v>40000</v>
      </c>
      <c r="C4937" s="8" t="str">
        <f t="shared" si="6485"/>
        <v>装备</v>
      </c>
      <c r="D4937" s="8">
        <v>50500025</v>
      </c>
      <c r="E4937" s="8"/>
      <c r="F4937" s="8">
        <v>1</v>
      </c>
      <c r="G4937" s="8">
        <f>3*INDEX([1]equip.xml!$I:$I,MATCH(D4937,[1]equip.xml!$A:$A,0))</f>
        <v>300000</v>
      </c>
      <c r="H4937" s="8" t="str">
        <f t="shared" ref="H4937:J4937" si="6486">H4849</f>
        <v>10_10,50_20,80_30</v>
      </c>
      <c r="I4937" s="8">
        <v>4</v>
      </c>
      <c r="J4937" s="8">
        <f t="shared" si="6486"/>
        <v>240</v>
      </c>
      <c r="K4937" s="7" t="s">
        <v>311</v>
      </c>
      <c r="L4937" s="8">
        <v>36</v>
      </c>
      <c r="M4937" s="7">
        <f>IF(INDEX([1]equip.xml!$B:$B,MATCH(D4937,[1]equip.xml!$A:$A,0))=0,0,N4937)</f>
        <v>140</v>
      </c>
      <c r="N4937" s="7">
        <f t="shared" si="6482"/>
        <v>140</v>
      </c>
    </row>
    <row r="4938" spans="1:14">
      <c r="A4938" s="7">
        <f t="shared" si="6431"/>
        <v>30014</v>
      </c>
      <c r="B4938" s="8">
        <f t="shared" ref="B4938:C4938" si="6487">B4850</f>
        <v>40000</v>
      </c>
      <c r="C4938" s="8" t="str">
        <f t="shared" si="6487"/>
        <v>装备</v>
      </c>
      <c r="D4938" s="8">
        <v>50500035</v>
      </c>
      <c r="E4938" s="8"/>
      <c r="F4938" s="8">
        <v>1</v>
      </c>
      <c r="G4938" s="8">
        <f>3*INDEX([1]equip.xml!$I:$I,MATCH(D4938,[1]equip.xml!$A:$A,0))</f>
        <v>300000</v>
      </c>
      <c r="H4938" s="8" t="str">
        <f t="shared" ref="H4938:J4938" si="6488">H4850</f>
        <v>10_10,50_20,80_30</v>
      </c>
      <c r="I4938" s="8">
        <v>4</v>
      </c>
      <c r="J4938" s="8">
        <f t="shared" si="6488"/>
        <v>240</v>
      </c>
      <c r="K4938" s="7" t="s">
        <v>311</v>
      </c>
      <c r="L4938" s="8">
        <v>36</v>
      </c>
      <c r="M4938" s="7">
        <f>IF(INDEX([1]equip.xml!$B:$B,MATCH(D4938,[1]equip.xml!$A:$A,0))=0,0,N4938)</f>
        <v>140</v>
      </c>
      <c r="N4938" s="7">
        <f t="shared" si="6482"/>
        <v>140</v>
      </c>
    </row>
    <row r="4939" spans="1:14">
      <c r="A4939" s="7">
        <f t="shared" si="6431"/>
        <v>30014</v>
      </c>
      <c r="B4939" s="8">
        <f t="shared" ref="B4939:C4939" si="6489">B4851</f>
        <v>40000</v>
      </c>
      <c r="C4939" s="8" t="str">
        <f t="shared" si="6489"/>
        <v>装备</v>
      </c>
      <c r="D4939" s="8">
        <v>50500085</v>
      </c>
      <c r="E4939" s="8"/>
      <c r="F4939" s="8">
        <v>1</v>
      </c>
      <c r="G4939" s="8">
        <f>3*INDEX([1]equip.xml!$I:$I,MATCH(D4939,[1]equip.xml!$A:$A,0))</f>
        <v>300000</v>
      </c>
      <c r="H4939" s="8" t="str">
        <f t="shared" ref="H4939:J4939" si="6490">H4851</f>
        <v>10_10,50_20,80_30</v>
      </c>
      <c r="I4939" s="8">
        <v>4</v>
      </c>
      <c r="J4939" s="8">
        <f t="shared" si="6490"/>
        <v>240</v>
      </c>
      <c r="K4939" s="7" t="s">
        <v>311</v>
      </c>
      <c r="L4939" s="8">
        <v>36</v>
      </c>
      <c r="M4939" s="7">
        <f>IF(INDEX([1]equip.xml!$B:$B,MATCH(D4939,[1]equip.xml!$A:$A,0))=0,0,N4939)</f>
        <v>140</v>
      </c>
      <c r="N4939" s="7">
        <f t="shared" si="6482"/>
        <v>140</v>
      </c>
    </row>
    <row r="4940" spans="1:14">
      <c r="A4940" s="7">
        <f t="shared" si="6431"/>
        <v>30014</v>
      </c>
      <c r="B4940" s="8">
        <f t="shared" ref="B4940:C4940" si="6491">B4852</f>
        <v>40000</v>
      </c>
      <c r="C4940" s="8" t="str">
        <f t="shared" si="6491"/>
        <v>装备</v>
      </c>
      <c r="D4940" s="8">
        <v>50500095</v>
      </c>
      <c r="E4940" s="8"/>
      <c r="F4940" s="8">
        <v>1</v>
      </c>
      <c r="G4940" s="8">
        <f>3*INDEX([1]equip.xml!$I:$I,MATCH(D4940,[1]equip.xml!$A:$A,0))</f>
        <v>300000</v>
      </c>
      <c r="H4940" s="8" t="str">
        <f t="shared" ref="H4940:J4940" si="6492">H4852</f>
        <v>10_10,50_20,80_30</v>
      </c>
      <c r="I4940" s="8">
        <v>4</v>
      </c>
      <c r="J4940" s="8">
        <f t="shared" si="6492"/>
        <v>240</v>
      </c>
      <c r="K4940" s="7" t="s">
        <v>311</v>
      </c>
      <c r="L4940" s="8">
        <v>36</v>
      </c>
      <c r="M4940" s="7">
        <f>IF(INDEX([1]equip.xml!$B:$B,MATCH(D4940,[1]equip.xml!$A:$A,0))=0,0,N4940)</f>
        <v>140</v>
      </c>
      <c r="N4940" s="7">
        <f t="shared" si="6482"/>
        <v>140</v>
      </c>
    </row>
    <row r="4941" spans="1:14">
      <c r="A4941" s="7">
        <f t="shared" si="6431"/>
        <v>30014</v>
      </c>
      <c r="B4941" s="8">
        <f t="shared" ref="B4941:C4941" si="6493">B4853</f>
        <v>40000</v>
      </c>
      <c r="C4941" s="8" t="str">
        <f t="shared" si="6493"/>
        <v>装备</v>
      </c>
      <c r="D4941" s="8">
        <v>50500105</v>
      </c>
      <c r="E4941" s="8"/>
      <c r="F4941" s="8">
        <v>1</v>
      </c>
      <c r="G4941" s="8">
        <f>3*INDEX([1]equip.xml!$I:$I,MATCH(D4941,[1]equip.xml!$A:$A,0))</f>
        <v>300000</v>
      </c>
      <c r="H4941" s="8" t="str">
        <f t="shared" ref="H4941:J4941" si="6494">H4853</f>
        <v>10_10,50_20,80_30</v>
      </c>
      <c r="I4941" s="8">
        <v>4</v>
      </c>
      <c r="J4941" s="8">
        <f t="shared" si="6494"/>
        <v>240</v>
      </c>
      <c r="K4941" s="7" t="s">
        <v>311</v>
      </c>
      <c r="L4941" s="8">
        <v>36</v>
      </c>
      <c r="M4941" s="7">
        <f>IF(INDEX([1]equip.xml!$B:$B,MATCH(D4941,[1]equip.xml!$A:$A,0))=0,0,N4941)</f>
        <v>140</v>
      </c>
      <c r="N4941" s="7">
        <f t="shared" si="6482"/>
        <v>140</v>
      </c>
    </row>
    <row r="4942" spans="1:14">
      <c r="A4942" s="7">
        <f t="shared" si="6431"/>
        <v>30014</v>
      </c>
      <c r="B4942" s="8">
        <f t="shared" ref="B4942:C4942" si="6495">B4854</f>
        <v>40000</v>
      </c>
      <c r="C4942" s="8" t="str">
        <f t="shared" si="6495"/>
        <v>装备</v>
      </c>
      <c r="D4942" s="8">
        <v>50501055</v>
      </c>
      <c r="E4942" s="8"/>
      <c r="F4942" s="8">
        <v>1</v>
      </c>
      <c r="G4942" s="8">
        <f>3*INDEX([1]equip.xml!$I:$I,MATCH(D4942,[1]equip.xml!$A:$A,0))</f>
        <v>300000</v>
      </c>
      <c r="H4942" s="8" t="str">
        <f t="shared" ref="H4942:J4942" si="6496">H4854</f>
        <v>10_10,50_20,80_30</v>
      </c>
      <c r="I4942" s="8">
        <v>4</v>
      </c>
      <c r="J4942" s="8">
        <f t="shared" si="6496"/>
        <v>240</v>
      </c>
      <c r="K4942" s="7" t="s">
        <v>311</v>
      </c>
      <c r="L4942" s="8">
        <v>36</v>
      </c>
      <c r="M4942" s="7">
        <f>IF(INDEX([1]equip.xml!$B:$B,MATCH(D4942,[1]equip.xml!$A:$A,0))=0,0,N4942)</f>
        <v>140</v>
      </c>
      <c r="N4942" s="7">
        <f t="shared" si="6482"/>
        <v>140</v>
      </c>
    </row>
    <row r="4943" spans="1:14">
      <c r="A4943" s="7">
        <f t="shared" si="6431"/>
        <v>30014</v>
      </c>
      <c r="B4943" s="8">
        <f t="shared" ref="B4943:C4943" si="6497">B4855</f>
        <v>40000</v>
      </c>
      <c r="C4943" s="8" t="str">
        <f t="shared" si="6497"/>
        <v>装备</v>
      </c>
      <c r="D4943" s="8">
        <v>50501056</v>
      </c>
      <c r="E4943" s="8"/>
      <c r="F4943" s="8">
        <v>1</v>
      </c>
      <c r="G4943" s="8">
        <f>3*INDEX([1]equip.xml!$I:$I,MATCH(D4943,[1]equip.xml!$A:$A,0))</f>
        <v>318000</v>
      </c>
      <c r="H4943" s="8" t="str">
        <f t="shared" ref="H4943:J4943" si="6498">H4855</f>
        <v>10_10,50_20,80_30</v>
      </c>
      <c r="I4943" s="8">
        <v>4</v>
      </c>
      <c r="J4943" s="8">
        <f t="shared" si="6498"/>
        <v>240</v>
      </c>
      <c r="K4943" s="7" t="s">
        <v>311</v>
      </c>
      <c r="L4943" s="8">
        <v>36</v>
      </c>
      <c r="M4943" s="7">
        <f>IF(INDEX([1]equip.xml!$B:$B,MATCH(D4943,[1]equip.xml!$A:$A,0))=0,0,N4943)</f>
        <v>140</v>
      </c>
      <c r="N4943" s="7">
        <f t="shared" si="6482"/>
        <v>140</v>
      </c>
    </row>
    <row r="4944" spans="1:14">
      <c r="A4944" s="7">
        <f t="shared" si="6431"/>
        <v>30014</v>
      </c>
      <c r="B4944" s="8">
        <f t="shared" ref="B4944:C4944" si="6499">B4856</f>
        <v>40000</v>
      </c>
      <c r="C4944" s="8" t="str">
        <f t="shared" si="6499"/>
        <v>装备</v>
      </c>
      <c r="D4944" s="8">
        <v>50501065</v>
      </c>
      <c r="E4944" s="8"/>
      <c r="F4944" s="8">
        <v>1</v>
      </c>
      <c r="G4944" s="8">
        <f>3*INDEX([1]equip.xml!$I:$I,MATCH(D4944,[1]equip.xml!$A:$A,0))</f>
        <v>300000</v>
      </c>
      <c r="H4944" s="8" t="str">
        <f t="shared" ref="H4944:J4944" si="6500">H4856</f>
        <v>10_10,50_20,80_30</v>
      </c>
      <c r="I4944" s="8">
        <v>4</v>
      </c>
      <c r="J4944" s="8">
        <f t="shared" si="6500"/>
        <v>240</v>
      </c>
      <c r="K4944" s="7" t="s">
        <v>311</v>
      </c>
      <c r="L4944" s="8">
        <v>36</v>
      </c>
      <c r="M4944" s="7">
        <f>IF(INDEX([1]equip.xml!$B:$B,MATCH(D4944,[1]equip.xml!$A:$A,0))=0,0,N4944)</f>
        <v>140</v>
      </c>
      <c r="N4944" s="7">
        <f t="shared" si="6482"/>
        <v>140</v>
      </c>
    </row>
    <row r="4945" spans="1:14">
      <c r="A4945" s="7">
        <f t="shared" si="6431"/>
        <v>30014</v>
      </c>
      <c r="B4945" s="8">
        <f t="shared" ref="B4945:C4945" si="6501">B4857</f>
        <v>40000</v>
      </c>
      <c r="C4945" s="8" t="str">
        <f t="shared" si="6501"/>
        <v>装备</v>
      </c>
      <c r="D4945" s="8">
        <v>50501066</v>
      </c>
      <c r="E4945" s="8"/>
      <c r="F4945" s="8">
        <v>1</v>
      </c>
      <c r="G4945" s="8">
        <f>3*INDEX([1]equip.xml!$I:$I,MATCH(D4945,[1]equip.xml!$A:$A,0))</f>
        <v>318000</v>
      </c>
      <c r="H4945" s="8" t="str">
        <f t="shared" ref="H4945:J4945" si="6502">H4857</f>
        <v>10_10,50_20,80_30</v>
      </c>
      <c r="I4945" s="8">
        <v>4</v>
      </c>
      <c r="J4945" s="8">
        <f t="shared" si="6502"/>
        <v>240</v>
      </c>
      <c r="K4945" s="7" t="s">
        <v>311</v>
      </c>
      <c r="L4945" s="8">
        <v>36</v>
      </c>
      <c r="M4945" s="7">
        <f>IF(INDEX([1]equip.xml!$B:$B,MATCH(D4945,[1]equip.xml!$A:$A,0))=0,0,N4945)</f>
        <v>140</v>
      </c>
      <c r="N4945" s="7">
        <f t="shared" si="6482"/>
        <v>140</v>
      </c>
    </row>
    <row r="4946" spans="1:14">
      <c r="A4946" s="7">
        <f t="shared" si="6431"/>
        <v>30014</v>
      </c>
      <c r="B4946" s="8">
        <f t="shared" ref="B4946:C4946" si="6503">B4858</f>
        <v>40000</v>
      </c>
      <c r="C4946" s="8" t="str">
        <f t="shared" si="6503"/>
        <v>装备</v>
      </c>
      <c r="D4946" s="8">
        <v>50502055</v>
      </c>
      <c r="E4946" s="8"/>
      <c r="F4946" s="8">
        <v>1</v>
      </c>
      <c r="G4946" s="8">
        <f>3*INDEX([1]equip.xml!$I:$I,MATCH(D4946,[1]equip.xml!$A:$A,0))</f>
        <v>300000</v>
      </c>
      <c r="H4946" s="8" t="str">
        <f t="shared" ref="H4946:J4946" si="6504">H4858</f>
        <v>10_10,50_20,80_30</v>
      </c>
      <c r="I4946" s="8">
        <v>4</v>
      </c>
      <c r="J4946" s="8">
        <f t="shared" si="6504"/>
        <v>240</v>
      </c>
      <c r="K4946" s="7" t="s">
        <v>311</v>
      </c>
      <c r="L4946" s="8">
        <v>36</v>
      </c>
      <c r="M4946" s="7">
        <f>IF(INDEX([1]equip.xml!$B:$B,MATCH(D4946,[1]equip.xml!$A:$A,0))=0,0,N4946)</f>
        <v>140</v>
      </c>
      <c r="N4946" s="7">
        <f t="shared" si="6482"/>
        <v>140</v>
      </c>
    </row>
    <row r="4947" spans="1:14">
      <c r="A4947" s="7">
        <f t="shared" si="6431"/>
        <v>30014</v>
      </c>
      <c r="B4947" s="8">
        <f t="shared" ref="B4947:C4947" si="6505">B4859</f>
        <v>40000</v>
      </c>
      <c r="C4947" s="8" t="str">
        <f t="shared" si="6505"/>
        <v>装备</v>
      </c>
      <c r="D4947" s="8">
        <v>50502056</v>
      </c>
      <c r="E4947" s="8"/>
      <c r="F4947" s="8">
        <v>1</v>
      </c>
      <c r="G4947" s="8">
        <f>3*INDEX([1]equip.xml!$I:$I,MATCH(D4947,[1]equip.xml!$A:$A,0))</f>
        <v>318000</v>
      </c>
      <c r="H4947" s="8" t="str">
        <f t="shared" ref="H4947:J4947" si="6506">H4859</f>
        <v>10_10,50_20,80_30</v>
      </c>
      <c r="I4947" s="8">
        <v>4</v>
      </c>
      <c r="J4947" s="8">
        <f t="shared" si="6506"/>
        <v>240</v>
      </c>
      <c r="K4947" s="7" t="s">
        <v>311</v>
      </c>
      <c r="L4947" s="8">
        <v>36</v>
      </c>
      <c r="M4947" s="7">
        <f>IF(INDEX([1]equip.xml!$B:$B,MATCH(D4947,[1]equip.xml!$A:$A,0))=0,0,N4947)</f>
        <v>140</v>
      </c>
      <c r="N4947" s="7">
        <f t="shared" si="6482"/>
        <v>140</v>
      </c>
    </row>
    <row r="4948" spans="1:14">
      <c r="A4948" s="7">
        <f t="shared" si="6431"/>
        <v>30014</v>
      </c>
      <c r="B4948" s="8">
        <f t="shared" ref="B4948:C4948" si="6507">B4860</f>
        <v>40000</v>
      </c>
      <c r="C4948" s="8" t="str">
        <f t="shared" si="6507"/>
        <v>装备</v>
      </c>
      <c r="D4948" s="8">
        <v>50502065</v>
      </c>
      <c r="E4948" s="8"/>
      <c r="F4948" s="8">
        <v>1</v>
      </c>
      <c r="G4948" s="8">
        <f>3*INDEX([1]equip.xml!$I:$I,MATCH(D4948,[1]equip.xml!$A:$A,0))</f>
        <v>300000</v>
      </c>
      <c r="H4948" s="8" t="str">
        <f t="shared" ref="H4948:J4948" si="6508">H4860</f>
        <v>10_10,50_20,80_30</v>
      </c>
      <c r="I4948" s="8">
        <v>4</v>
      </c>
      <c r="J4948" s="8">
        <f t="shared" si="6508"/>
        <v>240</v>
      </c>
      <c r="K4948" s="7" t="s">
        <v>311</v>
      </c>
      <c r="L4948" s="8">
        <v>36</v>
      </c>
      <c r="M4948" s="7">
        <f>IF(INDEX([1]equip.xml!$B:$B,MATCH(D4948,[1]equip.xml!$A:$A,0))=0,0,N4948)</f>
        <v>140</v>
      </c>
      <c r="N4948" s="7">
        <f t="shared" si="6482"/>
        <v>140</v>
      </c>
    </row>
    <row r="4949" spans="1:14">
      <c r="A4949" s="7">
        <f t="shared" si="6431"/>
        <v>30014</v>
      </c>
      <c r="B4949" s="8">
        <f t="shared" ref="B4949:C4949" si="6509">B4861</f>
        <v>40000</v>
      </c>
      <c r="C4949" s="8" t="str">
        <f t="shared" si="6509"/>
        <v>装备</v>
      </c>
      <c r="D4949" s="8">
        <v>50502066</v>
      </c>
      <c r="E4949" s="8"/>
      <c r="F4949" s="8">
        <v>1</v>
      </c>
      <c r="G4949" s="8">
        <f>3*INDEX([1]equip.xml!$I:$I,MATCH(D4949,[1]equip.xml!$A:$A,0))</f>
        <v>318000</v>
      </c>
      <c r="H4949" s="8" t="str">
        <f t="shared" ref="H4949:J4949" si="6510">H4861</f>
        <v>10_10,50_20,80_30</v>
      </c>
      <c r="I4949" s="8">
        <v>4</v>
      </c>
      <c r="J4949" s="8">
        <f t="shared" si="6510"/>
        <v>240</v>
      </c>
      <c r="K4949" s="7" t="s">
        <v>311</v>
      </c>
      <c r="L4949" s="8">
        <v>36</v>
      </c>
      <c r="M4949" s="7">
        <f>IF(INDEX([1]equip.xml!$B:$B,MATCH(D4949,[1]equip.xml!$A:$A,0))=0,0,N4949)</f>
        <v>140</v>
      </c>
      <c r="N4949" s="7">
        <f t="shared" si="6482"/>
        <v>140</v>
      </c>
    </row>
    <row r="4950" spans="1:14">
      <c r="A4950" s="7">
        <f t="shared" si="6431"/>
        <v>30014</v>
      </c>
      <c r="B4950" s="8">
        <f t="shared" ref="B4950:C4950" si="6511">B4862</f>
        <v>40000</v>
      </c>
      <c r="C4950" s="8" t="str">
        <f t="shared" si="6511"/>
        <v>装备</v>
      </c>
      <c r="D4950" s="8">
        <v>50503055</v>
      </c>
      <c r="E4950" s="8"/>
      <c r="F4950" s="8">
        <v>1</v>
      </c>
      <c r="G4950" s="8">
        <f>3*INDEX([1]equip.xml!$I:$I,MATCH(D4950,[1]equip.xml!$A:$A,0))</f>
        <v>300000</v>
      </c>
      <c r="H4950" s="8" t="str">
        <f t="shared" ref="H4950:J4950" si="6512">H4862</f>
        <v>10_10,50_20,80_30</v>
      </c>
      <c r="I4950" s="8">
        <v>4</v>
      </c>
      <c r="J4950" s="8">
        <f t="shared" si="6512"/>
        <v>240</v>
      </c>
      <c r="K4950" s="7" t="s">
        <v>311</v>
      </c>
      <c r="L4950" s="8">
        <v>36</v>
      </c>
      <c r="M4950" s="7">
        <f>IF(INDEX([1]equip.xml!$B:$B,MATCH(D4950,[1]equip.xml!$A:$A,0))=0,0,N4950)</f>
        <v>140</v>
      </c>
      <c r="N4950" s="7">
        <f t="shared" si="6482"/>
        <v>140</v>
      </c>
    </row>
    <row r="4951" spans="1:14">
      <c r="A4951" s="7">
        <f t="shared" si="6431"/>
        <v>30014</v>
      </c>
      <c r="B4951" s="8">
        <f t="shared" ref="B4951:C4951" si="6513">B4863</f>
        <v>40000</v>
      </c>
      <c r="C4951" s="8" t="str">
        <f t="shared" si="6513"/>
        <v>装备</v>
      </c>
      <c r="D4951" s="8">
        <v>50503056</v>
      </c>
      <c r="E4951" s="8"/>
      <c r="F4951" s="8">
        <v>1</v>
      </c>
      <c r="G4951" s="8">
        <f>3*INDEX([1]equip.xml!$I:$I,MATCH(D4951,[1]equip.xml!$A:$A,0))</f>
        <v>318000</v>
      </c>
      <c r="H4951" s="8" t="str">
        <f t="shared" ref="H4951:J4951" si="6514">H4863</f>
        <v>10_10,50_20,80_30</v>
      </c>
      <c r="I4951" s="8">
        <v>4</v>
      </c>
      <c r="J4951" s="8">
        <f t="shared" si="6514"/>
        <v>240</v>
      </c>
      <c r="K4951" s="7" t="s">
        <v>311</v>
      </c>
      <c r="L4951" s="8">
        <v>36</v>
      </c>
      <c r="M4951" s="7">
        <f>IF(INDEX([1]equip.xml!$B:$B,MATCH(D4951,[1]equip.xml!$A:$A,0))=0,0,N4951)</f>
        <v>140</v>
      </c>
      <c r="N4951" s="7">
        <f t="shared" si="6482"/>
        <v>140</v>
      </c>
    </row>
    <row r="4952" spans="1:14">
      <c r="A4952" s="7">
        <f t="shared" si="6431"/>
        <v>30014</v>
      </c>
      <c r="B4952" s="8">
        <f t="shared" ref="B4952:C4952" si="6515">B4864</f>
        <v>40000</v>
      </c>
      <c r="C4952" s="8" t="str">
        <f t="shared" si="6515"/>
        <v>装备</v>
      </c>
      <c r="D4952" s="8">
        <v>50503065</v>
      </c>
      <c r="E4952" s="8"/>
      <c r="F4952" s="8">
        <v>1</v>
      </c>
      <c r="G4952" s="8">
        <f>3*INDEX([1]equip.xml!$I:$I,MATCH(D4952,[1]equip.xml!$A:$A,0))</f>
        <v>300000</v>
      </c>
      <c r="H4952" s="8" t="str">
        <f t="shared" ref="H4952:J4952" si="6516">H4864</f>
        <v>10_10,50_20,80_30</v>
      </c>
      <c r="I4952" s="8">
        <v>4</v>
      </c>
      <c r="J4952" s="8">
        <f t="shared" si="6516"/>
        <v>240</v>
      </c>
      <c r="K4952" s="7" t="s">
        <v>311</v>
      </c>
      <c r="L4952" s="8">
        <v>36</v>
      </c>
      <c r="M4952" s="7">
        <f>IF(INDEX([1]equip.xml!$B:$B,MATCH(D4952,[1]equip.xml!$A:$A,0))=0,0,N4952)</f>
        <v>140</v>
      </c>
      <c r="N4952" s="7">
        <f t="shared" si="6482"/>
        <v>140</v>
      </c>
    </row>
    <row r="4953" spans="1:14">
      <c r="A4953" s="7">
        <f t="shared" si="6431"/>
        <v>30014</v>
      </c>
      <c r="B4953" s="8">
        <f t="shared" ref="B4953:C4953" si="6517">B4865</f>
        <v>40000</v>
      </c>
      <c r="C4953" s="8" t="str">
        <f t="shared" si="6517"/>
        <v>装备</v>
      </c>
      <c r="D4953" s="8">
        <v>50503066</v>
      </c>
      <c r="E4953" s="8"/>
      <c r="F4953" s="8">
        <v>1</v>
      </c>
      <c r="G4953" s="8">
        <f>3*INDEX([1]equip.xml!$I:$I,MATCH(D4953,[1]equip.xml!$A:$A,0))</f>
        <v>318000</v>
      </c>
      <c r="H4953" s="8" t="str">
        <f t="shared" ref="H4953:J4953" si="6518">H4865</f>
        <v>10_10,50_20,80_30</v>
      </c>
      <c r="I4953" s="8">
        <v>4</v>
      </c>
      <c r="J4953" s="8">
        <f t="shared" si="6518"/>
        <v>240</v>
      </c>
      <c r="K4953" s="7" t="s">
        <v>311</v>
      </c>
      <c r="L4953" s="8">
        <v>36</v>
      </c>
      <c r="M4953" s="7">
        <f>IF(INDEX([1]equip.xml!$B:$B,MATCH(D4953,[1]equip.xml!$A:$A,0))=0,0,N4953)</f>
        <v>140</v>
      </c>
      <c r="N4953" s="7">
        <f t="shared" si="6482"/>
        <v>140</v>
      </c>
    </row>
    <row r="4954" spans="1:14">
      <c r="A4954" s="7">
        <f t="shared" si="6431"/>
        <v>30014</v>
      </c>
      <c r="B4954" s="8">
        <f t="shared" ref="B4954:C4954" si="6519">B4866</f>
        <v>40000</v>
      </c>
      <c r="C4954" s="8" t="str">
        <f t="shared" si="6519"/>
        <v>装备</v>
      </c>
      <c r="D4954" s="8">
        <v>50500045</v>
      </c>
      <c r="E4954" s="8"/>
      <c r="F4954" s="8">
        <v>1</v>
      </c>
      <c r="G4954" s="8">
        <f>3*INDEX([1]equip.xml!$I:$I,MATCH(D4954,[1]equip.xml!$A:$A,0))</f>
        <v>300000</v>
      </c>
      <c r="H4954" s="8" t="str">
        <f t="shared" ref="H4954:J4954" si="6520">H4866</f>
        <v>10_10,50_20,80_30</v>
      </c>
      <c r="I4954" s="8">
        <v>4</v>
      </c>
      <c r="J4954" s="8">
        <f t="shared" si="6520"/>
        <v>240</v>
      </c>
      <c r="K4954" s="7" t="s">
        <v>311</v>
      </c>
      <c r="L4954" s="8">
        <v>36</v>
      </c>
      <c r="M4954" s="7">
        <f>IF(INDEX([1]equip.xml!$B:$B,MATCH(D4954,[1]equip.xml!$A:$A,0))=0,0,N4954)</f>
        <v>140</v>
      </c>
      <c r="N4954" s="7">
        <f t="shared" si="6482"/>
        <v>140</v>
      </c>
    </row>
    <row r="4955" spans="1:14">
      <c r="A4955" s="7">
        <f t="shared" si="6431"/>
        <v>30014</v>
      </c>
      <c r="B4955" s="8">
        <f t="shared" ref="B4955:C4955" si="6521">B4867</f>
        <v>40000</v>
      </c>
      <c r="C4955" s="8" t="str">
        <f t="shared" si="6521"/>
        <v>装备</v>
      </c>
      <c r="D4955" s="8">
        <v>50500046</v>
      </c>
      <c r="E4955" s="8"/>
      <c r="F4955" s="8">
        <v>1</v>
      </c>
      <c r="G4955" s="8">
        <f>3*INDEX([1]equip.xml!$I:$I,MATCH(D4955,[1]equip.xml!$A:$A,0))</f>
        <v>318000</v>
      </c>
      <c r="H4955" s="8" t="str">
        <f t="shared" ref="H4955:J4955" si="6522">H4867</f>
        <v>10_10,50_20,80_30</v>
      </c>
      <c r="I4955" s="8">
        <v>4</v>
      </c>
      <c r="J4955" s="8">
        <f t="shared" si="6522"/>
        <v>240</v>
      </c>
      <c r="K4955" s="7" t="s">
        <v>311</v>
      </c>
      <c r="L4955" s="8">
        <v>36</v>
      </c>
      <c r="M4955" s="7">
        <f>IF(INDEX([1]equip.xml!$B:$B,MATCH(D4955,[1]equip.xml!$A:$A,0))=0,0,N4955)</f>
        <v>0</v>
      </c>
      <c r="N4955" s="7">
        <f t="shared" si="6482"/>
        <v>140</v>
      </c>
    </row>
    <row r="4956" spans="1:14">
      <c r="A4956" s="7">
        <f t="shared" si="6431"/>
        <v>30014</v>
      </c>
      <c r="B4956" s="8">
        <f t="shared" ref="B4956:C4956" si="6523">B4868</f>
        <v>40000</v>
      </c>
      <c r="C4956" s="8" t="str">
        <f t="shared" si="6523"/>
        <v>装备</v>
      </c>
      <c r="D4956" s="8">
        <v>50500075</v>
      </c>
      <c r="E4956" s="8"/>
      <c r="F4956" s="8">
        <v>1</v>
      </c>
      <c r="G4956" s="8">
        <f>3*INDEX([1]equip.xml!$I:$I,MATCH(D4956,[1]equip.xml!$A:$A,0))</f>
        <v>300000</v>
      </c>
      <c r="H4956" s="8" t="str">
        <f t="shared" ref="H4956:J4956" si="6524">H4868</f>
        <v>10_10,50_20,80_30</v>
      </c>
      <c r="I4956" s="8">
        <v>4</v>
      </c>
      <c r="J4956" s="8">
        <f t="shared" si="6524"/>
        <v>240</v>
      </c>
      <c r="K4956" s="7" t="s">
        <v>311</v>
      </c>
      <c r="L4956" s="8">
        <v>36</v>
      </c>
      <c r="M4956" s="7">
        <f>IF(INDEX([1]equip.xml!$B:$B,MATCH(D4956,[1]equip.xml!$A:$A,0))=0,0,N4956)</f>
        <v>140</v>
      </c>
      <c r="N4956" s="7">
        <f t="shared" si="6482"/>
        <v>140</v>
      </c>
    </row>
    <row r="4957" spans="1:14">
      <c r="A4957" s="7">
        <f t="shared" si="6431"/>
        <v>30014</v>
      </c>
      <c r="B4957" s="8">
        <f t="shared" ref="B4957:C4957" si="6525">B4869</f>
        <v>40000</v>
      </c>
      <c r="C4957" s="8" t="str">
        <f t="shared" si="6525"/>
        <v>装备</v>
      </c>
      <c r="D4957" s="8">
        <v>50500076</v>
      </c>
      <c r="E4957" s="8"/>
      <c r="F4957" s="8">
        <v>1</v>
      </c>
      <c r="G4957" s="8">
        <f>3*INDEX([1]equip.xml!$I:$I,MATCH(D4957,[1]equip.xml!$A:$A,0))</f>
        <v>318000</v>
      </c>
      <c r="H4957" s="8" t="str">
        <f t="shared" ref="H4957:J4957" si="6526">H4869</f>
        <v>10_10,50_20,80_30</v>
      </c>
      <c r="I4957" s="8">
        <v>4</v>
      </c>
      <c r="J4957" s="8">
        <f t="shared" si="6526"/>
        <v>240</v>
      </c>
      <c r="K4957" s="7" t="s">
        <v>311</v>
      </c>
      <c r="L4957" s="8">
        <v>36</v>
      </c>
      <c r="M4957" s="7">
        <f>IF(INDEX([1]equip.xml!$B:$B,MATCH(D4957,[1]equip.xml!$A:$A,0))=0,0,N4957)</f>
        <v>0</v>
      </c>
      <c r="N4957" s="7">
        <f t="shared" si="6482"/>
        <v>140</v>
      </c>
    </row>
    <row r="4958" spans="1:14">
      <c r="A4958" s="7">
        <f t="shared" si="6431"/>
        <v>30015</v>
      </c>
      <c r="B4958" s="7">
        <f t="shared" ref="B4958:C4958" si="6527">B4870</f>
        <v>40000</v>
      </c>
      <c r="C4958" s="7" t="str">
        <f t="shared" si="6527"/>
        <v>装备</v>
      </c>
      <c r="D4958" s="7">
        <v>40500010</v>
      </c>
      <c r="E4958" s="7"/>
      <c r="F4958" s="7">
        <v>1</v>
      </c>
      <c r="G4958" s="7">
        <f>3*INDEX([1]equip.xml!$I:$I,MATCH(D4958&amp;"",[1]equip.xml!$A:$A,0))</f>
        <v>150000</v>
      </c>
      <c r="H4958" s="7" t="str">
        <f t="shared" ref="H4958:J4958" si="6528">H4870</f>
        <v>10_10,50_20,80_30</v>
      </c>
      <c r="I4958" s="7">
        <v>6</v>
      </c>
      <c r="J4958" s="7">
        <f t="shared" si="6528"/>
        <v>50</v>
      </c>
      <c r="K4958" s="7" t="s">
        <v>311</v>
      </c>
      <c r="L4958" s="7">
        <v>38</v>
      </c>
      <c r="M4958" s="7">
        <f>IF(INDEX([1]equip.xml!$B:$B,MATCH(D4958&amp;"",[1]equip.xml!$A:$A,0))=0,0,N4958)</f>
        <v>100</v>
      </c>
      <c r="N4958" s="7">
        <f t="shared" si="6482"/>
        <v>100</v>
      </c>
    </row>
    <row r="4959" spans="1:14">
      <c r="A4959" s="7">
        <f t="shared" si="6431"/>
        <v>30015</v>
      </c>
      <c r="B4959" s="7">
        <f t="shared" ref="B4959:C4959" si="6529">B4871</f>
        <v>40000</v>
      </c>
      <c r="C4959" s="7" t="str">
        <f t="shared" si="6529"/>
        <v>装备</v>
      </c>
      <c r="D4959" s="7">
        <v>40500020</v>
      </c>
      <c r="E4959" s="7"/>
      <c r="F4959" s="7">
        <v>1</v>
      </c>
      <c r="G4959" s="7">
        <f>3*INDEX([1]equip.xml!$I:$I,MATCH(D4959&amp;"",[1]equip.xml!$A:$A,0))</f>
        <v>150000</v>
      </c>
      <c r="H4959" s="7" t="str">
        <f t="shared" ref="H4959:J4959" si="6530">H4871</f>
        <v>10_10,50_20,80_30</v>
      </c>
      <c r="I4959" s="7">
        <v>6</v>
      </c>
      <c r="J4959" s="7">
        <f t="shared" si="6530"/>
        <v>50</v>
      </c>
      <c r="K4959" s="7" t="s">
        <v>311</v>
      </c>
      <c r="L4959" s="7">
        <v>38</v>
      </c>
      <c r="M4959" s="7">
        <f>IF(INDEX([1]equip.xml!$B:$B,MATCH(D4959&amp;"",[1]equip.xml!$A:$A,0))=0,0,N4959)</f>
        <v>100</v>
      </c>
      <c r="N4959" s="7">
        <f t="shared" si="6482"/>
        <v>100</v>
      </c>
    </row>
    <row r="4960" spans="1:14">
      <c r="A4960" s="7">
        <f t="shared" si="6431"/>
        <v>30015</v>
      </c>
      <c r="B4960" s="7">
        <f t="shared" ref="B4960:C4960" si="6531">B4872</f>
        <v>40000</v>
      </c>
      <c r="C4960" s="7" t="str">
        <f t="shared" si="6531"/>
        <v>装备</v>
      </c>
      <c r="D4960" s="7">
        <v>40500030</v>
      </c>
      <c r="E4960" s="7"/>
      <c r="F4960" s="7">
        <v>1</v>
      </c>
      <c r="G4960" s="7">
        <f>3*INDEX([1]equip.xml!$I:$I,MATCH(D4960&amp;"",[1]equip.xml!$A:$A,0))</f>
        <v>150000</v>
      </c>
      <c r="H4960" s="7" t="str">
        <f t="shared" ref="H4960:J4960" si="6532">H4872</f>
        <v>10_10,50_20,80_30</v>
      </c>
      <c r="I4960" s="7">
        <v>6</v>
      </c>
      <c r="J4960" s="7">
        <f t="shared" si="6532"/>
        <v>50</v>
      </c>
      <c r="K4960" s="7" t="s">
        <v>311</v>
      </c>
      <c r="L4960" s="7">
        <v>38</v>
      </c>
      <c r="M4960" s="7">
        <f>IF(INDEX([1]equip.xml!$B:$B,MATCH(D4960&amp;"",[1]equip.xml!$A:$A,0))=0,0,N4960)</f>
        <v>100</v>
      </c>
      <c r="N4960" s="7">
        <f t="shared" si="6482"/>
        <v>100</v>
      </c>
    </row>
    <row r="4961" spans="1:14">
      <c r="A4961" s="7">
        <f t="shared" si="6431"/>
        <v>30015</v>
      </c>
      <c r="B4961" s="7">
        <f t="shared" ref="B4961:C4961" si="6533">B4873</f>
        <v>40000</v>
      </c>
      <c r="C4961" s="7" t="str">
        <f t="shared" si="6533"/>
        <v>装备</v>
      </c>
      <c r="D4961" s="7">
        <v>40500080</v>
      </c>
      <c r="E4961" s="7"/>
      <c r="F4961" s="7">
        <v>1</v>
      </c>
      <c r="G4961" s="7">
        <f>3*INDEX([1]equip.xml!$I:$I,MATCH(D4961&amp;"",[1]equip.xml!$A:$A,0))</f>
        <v>150000</v>
      </c>
      <c r="H4961" s="7" t="str">
        <f t="shared" ref="H4961:J4961" si="6534">H4873</f>
        <v>10_10,50_20,80_30</v>
      </c>
      <c r="I4961" s="7">
        <v>6</v>
      </c>
      <c r="J4961" s="7">
        <f t="shared" si="6534"/>
        <v>50</v>
      </c>
      <c r="K4961" s="7" t="s">
        <v>311</v>
      </c>
      <c r="L4961" s="7">
        <v>38</v>
      </c>
      <c r="M4961" s="7">
        <f>IF(INDEX([1]equip.xml!$B:$B,MATCH(D4961&amp;"",[1]equip.xml!$A:$A,0))=0,0,N4961)</f>
        <v>100</v>
      </c>
      <c r="N4961" s="7">
        <f t="shared" si="6482"/>
        <v>100</v>
      </c>
    </row>
    <row r="4962" spans="1:14">
      <c r="A4962" s="7">
        <f t="shared" si="6431"/>
        <v>30015</v>
      </c>
      <c r="B4962" s="7">
        <f t="shared" ref="B4962:C4962" si="6535">B4874</f>
        <v>40000</v>
      </c>
      <c r="C4962" s="7" t="str">
        <f t="shared" si="6535"/>
        <v>装备</v>
      </c>
      <c r="D4962" s="7">
        <v>40500090</v>
      </c>
      <c r="E4962" s="7"/>
      <c r="F4962" s="7">
        <v>1</v>
      </c>
      <c r="G4962" s="7">
        <f>3*INDEX([1]equip.xml!$I:$I,MATCH(D4962&amp;"",[1]equip.xml!$A:$A,0))</f>
        <v>150000</v>
      </c>
      <c r="H4962" s="7" t="str">
        <f t="shared" ref="H4962:J4962" si="6536">H4874</f>
        <v>10_10,50_20,80_30</v>
      </c>
      <c r="I4962" s="7">
        <v>6</v>
      </c>
      <c r="J4962" s="7">
        <f t="shared" si="6536"/>
        <v>50</v>
      </c>
      <c r="K4962" s="7" t="s">
        <v>311</v>
      </c>
      <c r="L4962" s="7">
        <v>38</v>
      </c>
      <c r="M4962" s="7">
        <f>IF(INDEX([1]equip.xml!$B:$B,MATCH(D4962&amp;"",[1]equip.xml!$A:$A,0))=0,0,N4962)</f>
        <v>100</v>
      </c>
      <c r="N4962" s="7">
        <f t="shared" si="6482"/>
        <v>100</v>
      </c>
    </row>
    <row r="4963" spans="1:14">
      <c r="A4963" s="7">
        <f t="shared" si="6431"/>
        <v>30015</v>
      </c>
      <c r="B4963" s="7">
        <f t="shared" ref="B4963:C4963" si="6537">B4875</f>
        <v>40000</v>
      </c>
      <c r="C4963" s="7" t="str">
        <f t="shared" si="6537"/>
        <v>装备</v>
      </c>
      <c r="D4963" s="7">
        <v>40500100</v>
      </c>
      <c r="E4963" s="7"/>
      <c r="F4963" s="7">
        <v>1</v>
      </c>
      <c r="G4963" s="7">
        <f>3*INDEX([1]equip.xml!$I:$I,MATCH(D4963&amp;"",[1]equip.xml!$A:$A,0))</f>
        <v>150000</v>
      </c>
      <c r="H4963" s="7" t="str">
        <f t="shared" ref="H4963:J4963" si="6538">H4875</f>
        <v>10_10,50_20,80_30</v>
      </c>
      <c r="I4963" s="7">
        <v>6</v>
      </c>
      <c r="J4963" s="7">
        <f t="shared" si="6538"/>
        <v>50</v>
      </c>
      <c r="K4963" s="7" t="s">
        <v>311</v>
      </c>
      <c r="L4963" s="7">
        <v>38</v>
      </c>
      <c r="M4963" s="7">
        <f>IF(INDEX([1]equip.xml!$B:$B,MATCH(D4963&amp;"",[1]equip.xml!$A:$A,0))=0,0,N4963)</f>
        <v>100</v>
      </c>
      <c r="N4963" s="7">
        <f t="shared" si="6482"/>
        <v>100</v>
      </c>
    </row>
    <row r="4964" spans="1:14">
      <c r="A4964" s="7">
        <f t="shared" si="6431"/>
        <v>30015</v>
      </c>
      <c r="B4964" s="7">
        <f t="shared" ref="B4964:C4964" si="6539">B4876</f>
        <v>40000</v>
      </c>
      <c r="C4964" s="7" t="str">
        <f t="shared" si="6539"/>
        <v>装备</v>
      </c>
      <c r="D4964" s="7">
        <v>40501050</v>
      </c>
      <c r="E4964" s="7"/>
      <c r="F4964" s="7">
        <v>1</v>
      </c>
      <c r="G4964" s="7">
        <f>3*INDEX([1]equip.xml!$I:$I,MATCH(D4964&amp;"",[1]equip.xml!$A:$A,0))</f>
        <v>150000</v>
      </c>
      <c r="H4964" s="7" t="str">
        <f t="shared" ref="H4964:J4964" si="6540">H4876</f>
        <v>10_10,50_20,80_30</v>
      </c>
      <c r="I4964" s="7">
        <v>6</v>
      </c>
      <c r="J4964" s="7">
        <f t="shared" si="6540"/>
        <v>50</v>
      </c>
      <c r="K4964" s="7" t="s">
        <v>311</v>
      </c>
      <c r="L4964" s="7">
        <v>38</v>
      </c>
      <c r="M4964" s="7">
        <f>IF(INDEX([1]equip.xml!$B:$B,MATCH(D4964&amp;"",[1]equip.xml!$A:$A,0))=0,0,N4964)</f>
        <v>100</v>
      </c>
      <c r="N4964" s="7">
        <f t="shared" si="6482"/>
        <v>100</v>
      </c>
    </row>
    <row r="4965" spans="1:14">
      <c r="A4965" s="7">
        <f t="shared" si="6431"/>
        <v>30015</v>
      </c>
      <c r="B4965" s="7">
        <f t="shared" ref="B4965:C4965" si="6541">B4877</f>
        <v>40000</v>
      </c>
      <c r="C4965" s="7" t="str">
        <f t="shared" si="6541"/>
        <v>装备</v>
      </c>
      <c r="D4965" s="7">
        <v>40501051</v>
      </c>
      <c r="E4965" s="7"/>
      <c r="F4965" s="7">
        <v>1</v>
      </c>
      <c r="G4965" s="7">
        <f>3*INDEX([1]equip.xml!$I:$I,MATCH(D4965&amp;"",[1]equip.xml!$A:$A,0))</f>
        <v>159000</v>
      </c>
      <c r="H4965" s="7" t="str">
        <f t="shared" ref="H4965:J4965" si="6542">H4877</f>
        <v>10_10,50_20,80_30</v>
      </c>
      <c r="I4965" s="7">
        <v>6</v>
      </c>
      <c r="J4965" s="7">
        <f t="shared" si="6542"/>
        <v>50</v>
      </c>
      <c r="K4965" s="7" t="s">
        <v>311</v>
      </c>
      <c r="L4965" s="7">
        <v>38</v>
      </c>
      <c r="M4965" s="7">
        <f>IF(INDEX([1]equip.xml!$B:$B,MATCH(D4965&amp;"",[1]equip.xml!$A:$A,0))=0,0,N4965)</f>
        <v>100</v>
      </c>
      <c r="N4965" s="7">
        <f t="shared" si="6482"/>
        <v>100</v>
      </c>
    </row>
    <row r="4966" spans="1:14">
      <c r="A4966" s="7">
        <f t="shared" si="6431"/>
        <v>30015</v>
      </c>
      <c r="B4966" s="7">
        <f t="shared" ref="B4966:C4966" si="6543">B4878</f>
        <v>40000</v>
      </c>
      <c r="C4966" s="7" t="str">
        <f t="shared" si="6543"/>
        <v>装备</v>
      </c>
      <c r="D4966" s="7">
        <v>40501060</v>
      </c>
      <c r="E4966" s="7"/>
      <c r="F4966" s="7">
        <v>1</v>
      </c>
      <c r="G4966" s="7">
        <f>3*INDEX([1]equip.xml!$I:$I,MATCH(D4966&amp;"",[1]equip.xml!$A:$A,0))</f>
        <v>150000</v>
      </c>
      <c r="H4966" s="7" t="str">
        <f t="shared" ref="H4966:J4966" si="6544">H4878</f>
        <v>10_10,50_20,80_30</v>
      </c>
      <c r="I4966" s="7">
        <v>6</v>
      </c>
      <c r="J4966" s="7">
        <f t="shared" si="6544"/>
        <v>50</v>
      </c>
      <c r="K4966" s="7" t="s">
        <v>311</v>
      </c>
      <c r="L4966" s="7">
        <v>38</v>
      </c>
      <c r="M4966" s="7">
        <f>IF(INDEX([1]equip.xml!$B:$B,MATCH(D4966&amp;"",[1]equip.xml!$A:$A,0))=0,0,N4966)</f>
        <v>100</v>
      </c>
      <c r="N4966" s="7">
        <f t="shared" si="6482"/>
        <v>100</v>
      </c>
    </row>
    <row r="4967" spans="1:14">
      <c r="A4967" s="7">
        <f t="shared" si="6431"/>
        <v>30015</v>
      </c>
      <c r="B4967" s="7">
        <f t="shared" ref="B4967:C4967" si="6545">B4879</f>
        <v>40000</v>
      </c>
      <c r="C4967" s="7" t="str">
        <f t="shared" si="6545"/>
        <v>装备</v>
      </c>
      <c r="D4967" s="7">
        <v>40501061</v>
      </c>
      <c r="E4967" s="7"/>
      <c r="F4967" s="7">
        <v>1</v>
      </c>
      <c r="G4967" s="7">
        <f>3*INDEX([1]equip.xml!$I:$I,MATCH(D4967&amp;"",[1]equip.xml!$A:$A,0))</f>
        <v>159000</v>
      </c>
      <c r="H4967" s="7" t="str">
        <f t="shared" ref="H4967:J4967" si="6546">H4879</f>
        <v>10_10,50_20,80_30</v>
      </c>
      <c r="I4967" s="7">
        <v>6</v>
      </c>
      <c r="J4967" s="7">
        <f t="shared" si="6546"/>
        <v>50</v>
      </c>
      <c r="K4967" s="7" t="s">
        <v>311</v>
      </c>
      <c r="L4967" s="7">
        <v>38</v>
      </c>
      <c r="M4967" s="7">
        <f>IF(INDEX([1]equip.xml!$B:$B,MATCH(D4967&amp;"",[1]equip.xml!$A:$A,0))=0,0,N4967)</f>
        <v>100</v>
      </c>
      <c r="N4967" s="7">
        <f t="shared" si="6482"/>
        <v>100</v>
      </c>
    </row>
    <row r="4968" spans="1:14">
      <c r="A4968" s="7">
        <f t="shared" si="6431"/>
        <v>30015</v>
      </c>
      <c r="B4968" s="7">
        <f t="shared" ref="B4968:C4968" si="6547">B4880</f>
        <v>40000</v>
      </c>
      <c r="C4968" s="7" t="str">
        <f t="shared" si="6547"/>
        <v>装备</v>
      </c>
      <c r="D4968" s="7">
        <v>40502050</v>
      </c>
      <c r="E4968" s="7"/>
      <c r="F4968" s="7">
        <v>1</v>
      </c>
      <c r="G4968" s="7">
        <f>3*INDEX([1]equip.xml!$I:$I,MATCH(D4968&amp;"",[1]equip.xml!$A:$A,0))</f>
        <v>150000</v>
      </c>
      <c r="H4968" s="7" t="str">
        <f t="shared" ref="H4968:J4968" si="6548">H4880</f>
        <v>10_10,50_20,80_30</v>
      </c>
      <c r="I4968" s="7">
        <v>6</v>
      </c>
      <c r="J4968" s="7">
        <f t="shared" si="6548"/>
        <v>50</v>
      </c>
      <c r="K4968" s="7" t="s">
        <v>311</v>
      </c>
      <c r="L4968" s="7">
        <v>38</v>
      </c>
      <c r="M4968" s="7">
        <f>IF(INDEX([1]equip.xml!$B:$B,MATCH(D4968&amp;"",[1]equip.xml!$A:$A,0))=0,0,N4968)</f>
        <v>100</v>
      </c>
      <c r="N4968" s="7">
        <f t="shared" si="6482"/>
        <v>100</v>
      </c>
    </row>
    <row r="4969" spans="1:14">
      <c r="A4969" s="7">
        <f t="shared" si="6431"/>
        <v>30015</v>
      </c>
      <c r="B4969" s="7">
        <f t="shared" ref="B4969:C4969" si="6549">B4881</f>
        <v>40000</v>
      </c>
      <c r="C4969" s="7" t="str">
        <f t="shared" si="6549"/>
        <v>装备</v>
      </c>
      <c r="D4969" s="7">
        <v>40502051</v>
      </c>
      <c r="E4969" s="7"/>
      <c r="F4969" s="7">
        <v>1</v>
      </c>
      <c r="G4969" s="7">
        <f>3*INDEX([1]equip.xml!$I:$I,MATCH(D4969&amp;"",[1]equip.xml!$A:$A,0))</f>
        <v>159000</v>
      </c>
      <c r="H4969" s="7" t="str">
        <f t="shared" ref="H4969:J4969" si="6550">H4881</f>
        <v>10_10,50_20,80_30</v>
      </c>
      <c r="I4969" s="7">
        <v>6</v>
      </c>
      <c r="J4969" s="7">
        <f t="shared" si="6550"/>
        <v>50</v>
      </c>
      <c r="K4969" s="7" t="s">
        <v>311</v>
      </c>
      <c r="L4969" s="7">
        <v>38</v>
      </c>
      <c r="M4969" s="7">
        <f>IF(INDEX([1]equip.xml!$B:$B,MATCH(D4969&amp;"",[1]equip.xml!$A:$A,0))=0,0,N4969)</f>
        <v>100</v>
      </c>
      <c r="N4969" s="7">
        <f t="shared" si="6482"/>
        <v>100</v>
      </c>
    </row>
    <row r="4970" spans="1:14">
      <c r="A4970" s="7">
        <f t="shared" si="6431"/>
        <v>30015</v>
      </c>
      <c r="B4970" s="7">
        <f t="shared" ref="B4970:C4970" si="6551">B4882</f>
        <v>40000</v>
      </c>
      <c r="C4970" s="7" t="str">
        <f t="shared" si="6551"/>
        <v>装备</v>
      </c>
      <c r="D4970" s="7">
        <v>40502060</v>
      </c>
      <c r="E4970" s="7"/>
      <c r="F4970" s="7">
        <v>1</v>
      </c>
      <c r="G4970" s="7">
        <f>3*INDEX([1]equip.xml!$I:$I,MATCH(D4970&amp;"",[1]equip.xml!$A:$A,0))</f>
        <v>150000</v>
      </c>
      <c r="H4970" s="7" t="str">
        <f t="shared" ref="H4970:J4970" si="6552">H4882</f>
        <v>10_10,50_20,80_30</v>
      </c>
      <c r="I4970" s="7">
        <v>6</v>
      </c>
      <c r="J4970" s="7">
        <f t="shared" si="6552"/>
        <v>50</v>
      </c>
      <c r="K4970" s="7" t="s">
        <v>311</v>
      </c>
      <c r="L4970" s="7">
        <v>38</v>
      </c>
      <c r="M4970" s="7">
        <f>IF(INDEX([1]equip.xml!$B:$B,MATCH(D4970&amp;"",[1]equip.xml!$A:$A,0))=0,0,N4970)</f>
        <v>100</v>
      </c>
      <c r="N4970" s="7">
        <f t="shared" si="6482"/>
        <v>100</v>
      </c>
    </row>
    <row r="4971" spans="1:14">
      <c r="A4971" s="7">
        <f t="shared" si="6431"/>
        <v>30015</v>
      </c>
      <c r="B4971" s="7">
        <f t="shared" ref="B4971:C4971" si="6553">B4883</f>
        <v>40000</v>
      </c>
      <c r="C4971" s="7" t="str">
        <f t="shared" si="6553"/>
        <v>装备</v>
      </c>
      <c r="D4971" s="7">
        <v>40502061</v>
      </c>
      <c r="E4971" s="7"/>
      <c r="F4971" s="7">
        <v>1</v>
      </c>
      <c r="G4971" s="7">
        <f>3*INDEX([1]equip.xml!$I:$I,MATCH(D4971&amp;"",[1]equip.xml!$A:$A,0))</f>
        <v>159000</v>
      </c>
      <c r="H4971" s="7" t="str">
        <f t="shared" ref="H4971:J4971" si="6554">H4883</f>
        <v>10_10,50_20,80_30</v>
      </c>
      <c r="I4971" s="7">
        <v>6</v>
      </c>
      <c r="J4971" s="7">
        <f t="shared" si="6554"/>
        <v>50</v>
      </c>
      <c r="K4971" s="7" t="s">
        <v>311</v>
      </c>
      <c r="L4971" s="7">
        <v>38</v>
      </c>
      <c r="M4971" s="7">
        <f>IF(INDEX([1]equip.xml!$B:$B,MATCH(D4971&amp;"",[1]equip.xml!$A:$A,0))=0,0,N4971)</f>
        <v>100</v>
      </c>
      <c r="N4971" s="7">
        <f t="shared" si="6482"/>
        <v>100</v>
      </c>
    </row>
    <row r="4972" spans="1:14">
      <c r="A4972" s="7">
        <f t="shared" si="6431"/>
        <v>30015</v>
      </c>
      <c r="B4972" s="7">
        <f t="shared" ref="B4972:C4972" si="6555">B4884</f>
        <v>40000</v>
      </c>
      <c r="C4972" s="7" t="str">
        <f t="shared" si="6555"/>
        <v>装备</v>
      </c>
      <c r="D4972" s="7">
        <v>40503050</v>
      </c>
      <c r="E4972" s="7"/>
      <c r="F4972" s="7">
        <v>1</v>
      </c>
      <c r="G4972" s="7">
        <f>3*INDEX([1]equip.xml!$I:$I,MATCH(D4972&amp;"",[1]equip.xml!$A:$A,0))</f>
        <v>150000</v>
      </c>
      <c r="H4972" s="7" t="str">
        <f t="shared" ref="H4972:J4972" si="6556">H4884</f>
        <v>10_10,50_20,80_30</v>
      </c>
      <c r="I4972" s="7">
        <v>6</v>
      </c>
      <c r="J4972" s="7">
        <f t="shared" si="6556"/>
        <v>50</v>
      </c>
      <c r="K4972" s="7" t="s">
        <v>311</v>
      </c>
      <c r="L4972" s="7">
        <v>38</v>
      </c>
      <c r="M4972" s="7">
        <f>IF(INDEX([1]equip.xml!$B:$B,MATCH(D4972&amp;"",[1]equip.xml!$A:$A,0))=0,0,N4972)</f>
        <v>100</v>
      </c>
      <c r="N4972" s="7">
        <f t="shared" si="6482"/>
        <v>100</v>
      </c>
    </row>
    <row r="4973" spans="1:14">
      <c r="A4973" s="7">
        <f t="shared" si="6431"/>
        <v>30015</v>
      </c>
      <c r="B4973" s="7">
        <f t="shared" ref="B4973:C4973" si="6557">B4885</f>
        <v>40000</v>
      </c>
      <c r="C4973" s="7" t="str">
        <f t="shared" si="6557"/>
        <v>装备</v>
      </c>
      <c r="D4973" s="7">
        <v>40503051</v>
      </c>
      <c r="E4973" s="7"/>
      <c r="F4973" s="7">
        <v>1</v>
      </c>
      <c r="G4973" s="7">
        <f>3*INDEX([1]equip.xml!$I:$I,MATCH(D4973&amp;"",[1]equip.xml!$A:$A,0))</f>
        <v>159000</v>
      </c>
      <c r="H4973" s="7" t="str">
        <f t="shared" ref="H4973:J4973" si="6558">H4885</f>
        <v>10_10,50_20,80_30</v>
      </c>
      <c r="I4973" s="7">
        <v>6</v>
      </c>
      <c r="J4973" s="7">
        <f t="shared" si="6558"/>
        <v>50</v>
      </c>
      <c r="K4973" s="7" t="s">
        <v>311</v>
      </c>
      <c r="L4973" s="7">
        <v>38</v>
      </c>
      <c r="M4973" s="7">
        <f>IF(INDEX([1]equip.xml!$B:$B,MATCH(D4973&amp;"",[1]equip.xml!$A:$A,0))=0,0,N4973)</f>
        <v>100</v>
      </c>
      <c r="N4973" s="7">
        <f t="shared" si="6482"/>
        <v>100</v>
      </c>
    </row>
    <row r="4974" spans="1:14">
      <c r="A4974" s="7">
        <f t="shared" si="6431"/>
        <v>30015</v>
      </c>
      <c r="B4974" s="7">
        <f t="shared" ref="B4974:C4974" si="6559">B4886</f>
        <v>40000</v>
      </c>
      <c r="C4974" s="7" t="str">
        <f t="shared" si="6559"/>
        <v>装备</v>
      </c>
      <c r="D4974" s="7">
        <v>40503060</v>
      </c>
      <c r="E4974" s="7"/>
      <c r="F4974" s="7">
        <v>1</v>
      </c>
      <c r="G4974" s="7">
        <f>3*INDEX([1]equip.xml!$I:$I,MATCH(D4974&amp;"",[1]equip.xml!$A:$A,0))</f>
        <v>150000</v>
      </c>
      <c r="H4974" s="7" t="str">
        <f t="shared" ref="H4974:J4974" si="6560">H4886</f>
        <v>10_10,50_20,80_30</v>
      </c>
      <c r="I4974" s="7">
        <v>6</v>
      </c>
      <c r="J4974" s="7">
        <f t="shared" si="6560"/>
        <v>50</v>
      </c>
      <c r="K4974" s="7" t="s">
        <v>311</v>
      </c>
      <c r="L4974" s="7">
        <v>38</v>
      </c>
      <c r="M4974" s="7">
        <f>IF(INDEX([1]equip.xml!$B:$B,MATCH(D4974&amp;"",[1]equip.xml!$A:$A,0))=0,0,N4974)</f>
        <v>100</v>
      </c>
      <c r="N4974" s="7">
        <f t="shared" si="6482"/>
        <v>100</v>
      </c>
    </row>
    <row r="4975" spans="1:14">
      <c r="A4975" s="7">
        <f t="shared" ref="A4975:A5038" si="6561">10000+A3743</f>
        <v>30015</v>
      </c>
      <c r="B4975" s="7">
        <f t="shared" ref="B4975:C4975" si="6562">B4887</f>
        <v>40000</v>
      </c>
      <c r="C4975" s="7" t="str">
        <f t="shared" si="6562"/>
        <v>装备</v>
      </c>
      <c r="D4975" s="7">
        <v>40503061</v>
      </c>
      <c r="E4975" s="7"/>
      <c r="F4975" s="7">
        <v>1</v>
      </c>
      <c r="G4975" s="7">
        <f>3*INDEX([1]equip.xml!$I:$I,MATCH(D4975&amp;"",[1]equip.xml!$A:$A,0))</f>
        <v>159000</v>
      </c>
      <c r="H4975" s="7" t="str">
        <f t="shared" ref="H4975:J4975" si="6563">H4887</f>
        <v>10_10,50_20,80_30</v>
      </c>
      <c r="I4975" s="7">
        <v>6</v>
      </c>
      <c r="J4975" s="7">
        <f t="shared" si="6563"/>
        <v>50</v>
      </c>
      <c r="K4975" s="7" t="s">
        <v>311</v>
      </c>
      <c r="L4975" s="7">
        <v>38</v>
      </c>
      <c r="M4975" s="7">
        <f>IF(INDEX([1]equip.xml!$B:$B,MATCH(D4975&amp;"",[1]equip.xml!$A:$A,0))=0,0,N4975)</f>
        <v>100</v>
      </c>
      <c r="N4975" s="7">
        <f t="shared" si="6482"/>
        <v>100</v>
      </c>
    </row>
    <row r="4976" spans="1:14">
      <c r="A4976" s="7">
        <f t="shared" si="6561"/>
        <v>30015</v>
      </c>
      <c r="B4976" s="7">
        <f t="shared" ref="B4976:C4976" si="6564">B4888</f>
        <v>40000</v>
      </c>
      <c r="C4976" s="7" t="str">
        <f t="shared" si="6564"/>
        <v>装备</v>
      </c>
      <c r="D4976" s="7">
        <v>40500040</v>
      </c>
      <c r="E4976" s="7"/>
      <c r="F4976" s="7">
        <v>1</v>
      </c>
      <c r="G4976" s="7">
        <f>3*INDEX([1]equip.xml!$I:$I,MATCH(D4976&amp;"",[1]equip.xml!$A:$A,0))</f>
        <v>150000</v>
      </c>
      <c r="H4976" s="7" t="str">
        <f t="shared" ref="H4976:J4976" si="6565">H4888</f>
        <v>10_10,50_20,80_30</v>
      </c>
      <c r="I4976" s="7">
        <v>6</v>
      </c>
      <c r="J4976" s="7">
        <f t="shared" si="6565"/>
        <v>50</v>
      </c>
      <c r="K4976" s="7" t="s">
        <v>311</v>
      </c>
      <c r="L4976" s="7">
        <v>38</v>
      </c>
      <c r="M4976" s="7">
        <f>IF(INDEX([1]equip.xml!$B:$B,MATCH(D4976&amp;"",[1]equip.xml!$A:$A,0))=0,0,N4976)</f>
        <v>100</v>
      </c>
      <c r="N4976" s="7">
        <f t="shared" si="6482"/>
        <v>100</v>
      </c>
    </row>
    <row r="4977" spans="1:14">
      <c r="A4977" s="7">
        <f t="shared" si="6561"/>
        <v>30015</v>
      </c>
      <c r="B4977" s="7">
        <f t="shared" ref="B4977:C4977" si="6566">B4889</f>
        <v>40000</v>
      </c>
      <c r="C4977" s="7" t="str">
        <f t="shared" si="6566"/>
        <v>装备</v>
      </c>
      <c r="D4977" s="7">
        <v>40500041</v>
      </c>
      <c r="E4977" s="7"/>
      <c r="F4977" s="7">
        <v>1</v>
      </c>
      <c r="G4977" s="7">
        <f>3*INDEX([1]equip.xml!$I:$I,MATCH(D4977&amp;"",[1]equip.xml!$A:$A,0))</f>
        <v>159000</v>
      </c>
      <c r="H4977" s="7" t="str">
        <f t="shared" ref="H4977:J4977" si="6567">H4889</f>
        <v>10_10,50_20,80_30</v>
      </c>
      <c r="I4977" s="7">
        <v>6</v>
      </c>
      <c r="J4977" s="7">
        <f t="shared" si="6567"/>
        <v>50</v>
      </c>
      <c r="K4977" s="7" t="s">
        <v>311</v>
      </c>
      <c r="L4977" s="7">
        <v>38</v>
      </c>
      <c r="M4977" s="7">
        <f>IF(INDEX([1]equip.xml!$B:$B,MATCH(D4977&amp;"",[1]equip.xml!$A:$A,0))=0,0,N4977)</f>
        <v>0</v>
      </c>
      <c r="N4977" s="7">
        <f t="shared" si="6482"/>
        <v>100</v>
      </c>
    </row>
    <row r="4978" spans="1:14">
      <c r="A4978" s="7">
        <f t="shared" si="6561"/>
        <v>30015</v>
      </c>
      <c r="B4978" s="7">
        <f t="shared" ref="B4978:C4978" si="6568">B4890</f>
        <v>40000</v>
      </c>
      <c r="C4978" s="7" t="str">
        <f t="shared" si="6568"/>
        <v>装备</v>
      </c>
      <c r="D4978" s="7">
        <v>40500070</v>
      </c>
      <c r="E4978" s="7"/>
      <c r="F4978" s="7">
        <v>1</v>
      </c>
      <c r="G4978" s="7">
        <f>3*INDEX([1]equip.xml!$I:$I,MATCH(D4978&amp;"",[1]equip.xml!$A:$A,0))</f>
        <v>150000</v>
      </c>
      <c r="H4978" s="7" t="str">
        <f t="shared" ref="H4978:J4978" si="6569">H4890</f>
        <v>10_10,50_20,80_30</v>
      </c>
      <c r="I4978" s="7">
        <v>6</v>
      </c>
      <c r="J4978" s="7">
        <f t="shared" si="6569"/>
        <v>50</v>
      </c>
      <c r="K4978" s="7" t="s">
        <v>311</v>
      </c>
      <c r="L4978" s="7">
        <v>38</v>
      </c>
      <c r="M4978" s="7">
        <f>IF(INDEX([1]equip.xml!$B:$B,MATCH(D4978&amp;"",[1]equip.xml!$A:$A,0))=0,0,N4978)</f>
        <v>100</v>
      </c>
      <c r="N4978" s="7">
        <f t="shared" si="6482"/>
        <v>100</v>
      </c>
    </row>
    <row r="4979" spans="1:14">
      <c r="A4979" s="7">
        <f t="shared" si="6561"/>
        <v>30015</v>
      </c>
      <c r="B4979" s="7">
        <f t="shared" ref="B4979:C4979" si="6570">B4891</f>
        <v>40000</v>
      </c>
      <c r="C4979" s="7" t="str">
        <f t="shared" si="6570"/>
        <v>装备</v>
      </c>
      <c r="D4979" s="7">
        <v>40500071</v>
      </c>
      <c r="E4979" s="7"/>
      <c r="F4979" s="7">
        <v>1</v>
      </c>
      <c r="G4979" s="7">
        <f>3*INDEX([1]equip.xml!$I:$I,MATCH(D4979&amp;"",[1]equip.xml!$A:$A,0))</f>
        <v>159000</v>
      </c>
      <c r="H4979" s="7" t="str">
        <f t="shared" ref="H4979:J4979" si="6571">H4891</f>
        <v>10_10,50_20,80_30</v>
      </c>
      <c r="I4979" s="7">
        <v>6</v>
      </c>
      <c r="J4979" s="7">
        <f t="shared" si="6571"/>
        <v>50</v>
      </c>
      <c r="K4979" s="7" t="s">
        <v>311</v>
      </c>
      <c r="L4979" s="7">
        <v>38</v>
      </c>
      <c r="M4979" s="7">
        <f>IF(INDEX([1]equip.xml!$B:$B,MATCH(D4979&amp;"",[1]equip.xml!$A:$A,0))=0,0,N4979)</f>
        <v>0</v>
      </c>
      <c r="N4979" s="7">
        <f t="shared" si="6482"/>
        <v>100</v>
      </c>
    </row>
    <row r="4980" spans="1:14">
      <c r="A4980" s="7">
        <f t="shared" si="6561"/>
        <v>30015</v>
      </c>
      <c r="B4980" s="7">
        <f t="shared" ref="B4980:C4980" si="6572">B4892</f>
        <v>40000</v>
      </c>
      <c r="C4980" s="7" t="str">
        <f t="shared" si="6572"/>
        <v>装备</v>
      </c>
      <c r="D4980" s="7">
        <v>40550010</v>
      </c>
      <c r="E4980" s="7"/>
      <c r="F4980" s="7">
        <v>1</v>
      </c>
      <c r="G4980" s="7">
        <f>3*INDEX([1]equip.xml!$I:$I,MATCH(D4980&amp;"",[1]equip.xml!$A:$A,0))</f>
        <v>165000</v>
      </c>
      <c r="H4980" s="7" t="str">
        <f t="shared" ref="H4980:J4980" si="6573">H4892</f>
        <v>10_10,50_20,80_30</v>
      </c>
      <c r="I4980" s="7">
        <v>6</v>
      </c>
      <c r="J4980" s="7">
        <f t="shared" si="6573"/>
        <v>50</v>
      </c>
      <c r="K4980" s="7" t="s">
        <v>311</v>
      </c>
      <c r="L4980" s="7">
        <v>38</v>
      </c>
      <c r="M4980" s="7">
        <f>IF(INDEX([1]equip.xml!$B:$B,MATCH(D4980&amp;"",[1]equip.xml!$A:$A,0))=0,0,N4980)</f>
        <v>70</v>
      </c>
      <c r="N4980" s="7">
        <f t="shared" si="6482"/>
        <v>70</v>
      </c>
    </row>
    <row r="4981" spans="1:14">
      <c r="A4981" s="7">
        <f t="shared" si="6561"/>
        <v>30015</v>
      </c>
      <c r="B4981" s="7">
        <f t="shared" ref="B4981:C4981" si="6574">B4893</f>
        <v>40000</v>
      </c>
      <c r="C4981" s="7" t="str">
        <f t="shared" si="6574"/>
        <v>装备</v>
      </c>
      <c r="D4981" s="7">
        <v>40550020</v>
      </c>
      <c r="E4981" s="7"/>
      <c r="F4981" s="7">
        <v>1</v>
      </c>
      <c r="G4981" s="7">
        <f>3*INDEX([1]equip.xml!$I:$I,MATCH(D4981&amp;"",[1]equip.xml!$A:$A,0))</f>
        <v>165000</v>
      </c>
      <c r="H4981" s="7" t="str">
        <f t="shared" ref="H4981:J4981" si="6575">H4893</f>
        <v>10_10,50_20,80_30</v>
      </c>
      <c r="I4981" s="7">
        <v>6</v>
      </c>
      <c r="J4981" s="7">
        <f t="shared" si="6575"/>
        <v>50</v>
      </c>
      <c r="K4981" s="7" t="s">
        <v>311</v>
      </c>
      <c r="L4981" s="7">
        <v>38</v>
      </c>
      <c r="M4981" s="7">
        <f>IF(INDEX([1]equip.xml!$B:$B,MATCH(D4981&amp;"",[1]equip.xml!$A:$A,0))=0,0,N4981)</f>
        <v>70</v>
      </c>
      <c r="N4981" s="7">
        <f t="shared" si="6482"/>
        <v>70</v>
      </c>
    </row>
    <row r="4982" spans="1:14">
      <c r="A4982" s="7">
        <f t="shared" si="6561"/>
        <v>30015</v>
      </c>
      <c r="B4982" s="7">
        <f t="shared" ref="B4982:C4982" si="6576">B4894</f>
        <v>40000</v>
      </c>
      <c r="C4982" s="7" t="str">
        <f t="shared" si="6576"/>
        <v>装备</v>
      </c>
      <c r="D4982" s="7">
        <v>40550030</v>
      </c>
      <c r="E4982" s="7"/>
      <c r="F4982" s="7">
        <v>1</v>
      </c>
      <c r="G4982" s="7">
        <f>3*INDEX([1]equip.xml!$I:$I,MATCH(D4982&amp;"",[1]equip.xml!$A:$A,0))</f>
        <v>165000</v>
      </c>
      <c r="H4982" s="7" t="str">
        <f t="shared" ref="H4982:J4982" si="6577">H4894</f>
        <v>10_10,50_20,80_30</v>
      </c>
      <c r="I4982" s="7">
        <v>6</v>
      </c>
      <c r="J4982" s="7">
        <f t="shared" si="6577"/>
        <v>50</v>
      </c>
      <c r="K4982" s="7" t="s">
        <v>311</v>
      </c>
      <c r="L4982" s="7">
        <v>38</v>
      </c>
      <c r="M4982" s="7">
        <f>IF(INDEX([1]equip.xml!$B:$B,MATCH(D4982&amp;"",[1]equip.xml!$A:$A,0))=0,0,N4982)</f>
        <v>70</v>
      </c>
      <c r="N4982" s="7">
        <f t="shared" si="6482"/>
        <v>70</v>
      </c>
    </row>
    <row r="4983" spans="1:14">
      <c r="A4983" s="7">
        <f t="shared" si="6561"/>
        <v>30015</v>
      </c>
      <c r="B4983" s="7">
        <f t="shared" ref="B4983:C4983" si="6578">B4895</f>
        <v>40000</v>
      </c>
      <c r="C4983" s="7" t="str">
        <f t="shared" si="6578"/>
        <v>装备</v>
      </c>
      <c r="D4983" s="7">
        <v>40550080</v>
      </c>
      <c r="E4983" s="7"/>
      <c r="F4983" s="7">
        <v>1</v>
      </c>
      <c r="G4983" s="7">
        <f>3*INDEX([1]equip.xml!$I:$I,MATCH(D4983&amp;"",[1]equip.xml!$A:$A,0))</f>
        <v>165000</v>
      </c>
      <c r="H4983" s="7" t="str">
        <f t="shared" ref="H4983:J4983" si="6579">H4895</f>
        <v>10_10,50_20,80_30</v>
      </c>
      <c r="I4983" s="7">
        <v>6</v>
      </c>
      <c r="J4983" s="7">
        <f t="shared" si="6579"/>
        <v>50</v>
      </c>
      <c r="K4983" s="7" t="s">
        <v>311</v>
      </c>
      <c r="L4983" s="7">
        <v>38</v>
      </c>
      <c r="M4983" s="7">
        <f>IF(INDEX([1]equip.xml!$B:$B,MATCH(D4983&amp;"",[1]equip.xml!$A:$A,0))=0,0,N4983)</f>
        <v>70</v>
      </c>
      <c r="N4983" s="7">
        <f t="shared" si="6482"/>
        <v>70</v>
      </c>
    </row>
    <row r="4984" spans="1:14">
      <c r="A4984" s="7">
        <f t="shared" si="6561"/>
        <v>30015</v>
      </c>
      <c r="B4984" s="7">
        <f t="shared" ref="B4984:C4984" si="6580">B4896</f>
        <v>40000</v>
      </c>
      <c r="C4984" s="7" t="str">
        <f t="shared" si="6580"/>
        <v>装备</v>
      </c>
      <c r="D4984" s="7">
        <v>40550090</v>
      </c>
      <c r="E4984" s="7"/>
      <c r="F4984" s="7">
        <v>1</v>
      </c>
      <c r="G4984" s="7">
        <f>3*INDEX([1]equip.xml!$I:$I,MATCH(D4984&amp;"",[1]equip.xml!$A:$A,0))</f>
        <v>165000</v>
      </c>
      <c r="H4984" s="7" t="str">
        <f t="shared" ref="H4984:J4984" si="6581">H4896</f>
        <v>10_10,50_20,80_30</v>
      </c>
      <c r="I4984" s="7">
        <v>6</v>
      </c>
      <c r="J4984" s="7">
        <f t="shared" si="6581"/>
        <v>50</v>
      </c>
      <c r="K4984" s="7" t="s">
        <v>311</v>
      </c>
      <c r="L4984" s="7">
        <v>38</v>
      </c>
      <c r="M4984" s="7">
        <f>IF(INDEX([1]equip.xml!$B:$B,MATCH(D4984&amp;"",[1]equip.xml!$A:$A,0))=0,0,N4984)</f>
        <v>0</v>
      </c>
      <c r="N4984" s="7">
        <f t="shared" si="6482"/>
        <v>70</v>
      </c>
    </row>
    <row r="4985" spans="1:14">
      <c r="A4985" s="7">
        <f t="shared" si="6561"/>
        <v>30015</v>
      </c>
      <c r="B4985" s="7">
        <f t="shared" ref="B4985:C4985" si="6582">B4897</f>
        <v>40000</v>
      </c>
      <c r="C4985" s="7" t="str">
        <f t="shared" si="6582"/>
        <v>装备</v>
      </c>
      <c r="D4985" s="7">
        <v>40550100</v>
      </c>
      <c r="E4985" s="7"/>
      <c r="F4985" s="7">
        <v>1</v>
      </c>
      <c r="G4985" s="7">
        <f>3*INDEX([1]equip.xml!$I:$I,MATCH(D4985&amp;"",[1]equip.xml!$A:$A,0))</f>
        <v>165000</v>
      </c>
      <c r="H4985" s="7" t="str">
        <f t="shared" ref="H4985:J4985" si="6583">H4897</f>
        <v>10_10,50_20,80_30</v>
      </c>
      <c r="I4985" s="7">
        <v>6</v>
      </c>
      <c r="J4985" s="7">
        <f t="shared" si="6583"/>
        <v>50</v>
      </c>
      <c r="K4985" s="7" t="s">
        <v>311</v>
      </c>
      <c r="L4985" s="7">
        <v>38</v>
      </c>
      <c r="M4985" s="7">
        <f>IF(INDEX([1]equip.xml!$B:$B,MATCH(D4985&amp;"",[1]equip.xml!$A:$A,0))=0,0,N4985)</f>
        <v>70</v>
      </c>
      <c r="N4985" s="7">
        <f t="shared" si="6482"/>
        <v>70</v>
      </c>
    </row>
    <row r="4986" spans="1:14">
      <c r="A4986" s="7">
        <f t="shared" si="6561"/>
        <v>30015</v>
      </c>
      <c r="B4986" s="7">
        <f t="shared" ref="B4986:C4986" si="6584">B4898</f>
        <v>40000</v>
      </c>
      <c r="C4986" s="7" t="str">
        <f t="shared" si="6584"/>
        <v>装备</v>
      </c>
      <c r="D4986" s="7">
        <v>40551050</v>
      </c>
      <c r="E4986" s="7"/>
      <c r="F4986" s="7">
        <v>1</v>
      </c>
      <c r="G4986" s="7">
        <f>3*INDEX([1]equip.xml!$I:$I,MATCH(D4986&amp;"",[1]equip.xml!$A:$A,0))</f>
        <v>165000</v>
      </c>
      <c r="H4986" s="7" t="str">
        <f t="shared" ref="H4986:J4986" si="6585">H4898</f>
        <v>10_10,50_20,80_30</v>
      </c>
      <c r="I4986" s="7">
        <v>6</v>
      </c>
      <c r="J4986" s="7">
        <f t="shared" si="6585"/>
        <v>50</v>
      </c>
      <c r="K4986" s="7" t="s">
        <v>311</v>
      </c>
      <c r="L4986" s="7">
        <v>38</v>
      </c>
      <c r="M4986" s="7">
        <f>IF(INDEX([1]equip.xml!$B:$B,MATCH(D4986&amp;"",[1]equip.xml!$A:$A,0))=0,0,N4986)</f>
        <v>70</v>
      </c>
      <c r="N4986" s="7">
        <f t="shared" si="6482"/>
        <v>70</v>
      </c>
    </row>
    <row r="4987" spans="1:14">
      <c r="A4987" s="7">
        <f t="shared" si="6561"/>
        <v>30015</v>
      </c>
      <c r="B4987" s="7">
        <f t="shared" ref="B4987:C4987" si="6586">B4899</f>
        <v>40000</v>
      </c>
      <c r="C4987" s="7" t="str">
        <f t="shared" si="6586"/>
        <v>装备</v>
      </c>
      <c r="D4987" s="7">
        <v>40551051</v>
      </c>
      <c r="E4987" s="7"/>
      <c r="F4987" s="7">
        <v>1</v>
      </c>
      <c r="G4987" s="7">
        <f>3*INDEX([1]equip.xml!$I:$I,MATCH(D4987&amp;"",[1]equip.xml!$A:$A,0))</f>
        <v>174000</v>
      </c>
      <c r="H4987" s="7" t="str">
        <f t="shared" ref="H4987:J4987" si="6587">H4899</f>
        <v>10_10,50_20,80_30</v>
      </c>
      <c r="I4987" s="7">
        <v>6</v>
      </c>
      <c r="J4987" s="7">
        <f t="shared" si="6587"/>
        <v>50</v>
      </c>
      <c r="K4987" s="7" t="s">
        <v>311</v>
      </c>
      <c r="L4987" s="7">
        <v>38</v>
      </c>
      <c r="M4987" s="7">
        <f>IF(INDEX([1]equip.xml!$B:$B,MATCH(D4987&amp;"",[1]equip.xml!$A:$A,0))=0,0,N4987)</f>
        <v>0</v>
      </c>
      <c r="N4987" s="7">
        <f t="shared" si="6482"/>
        <v>70</v>
      </c>
    </row>
    <row r="4988" spans="1:14">
      <c r="A4988" s="7">
        <f t="shared" si="6561"/>
        <v>30015</v>
      </c>
      <c r="B4988" s="7">
        <f t="shared" ref="B4988:C4988" si="6588">B4900</f>
        <v>40000</v>
      </c>
      <c r="C4988" s="7" t="str">
        <f t="shared" si="6588"/>
        <v>装备</v>
      </c>
      <c r="D4988" s="7">
        <v>40551060</v>
      </c>
      <c r="E4988" s="7"/>
      <c r="F4988" s="7">
        <v>1</v>
      </c>
      <c r="G4988" s="7">
        <f>3*INDEX([1]equip.xml!$I:$I,MATCH(D4988&amp;"",[1]equip.xml!$A:$A,0))</f>
        <v>165000</v>
      </c>
      <c r="H4988" s="7" t="str">
        <f t="shared" ref="H4988:J4988" si="6589">H4900</f>
        <v>10_10,50_20,80_30</v>
      </c>
      <c r="I4988" s="7">
        <v>6</v>
      </c>
      <c r="J4988" s="7">
        <f t="shared" si="6589"/>
        <v>50</v>
      </c>
      <c r="K4988" s="7" t="s">
        <v>311</v>
      </c>
      <c r="L4988" s="7">
        <v>38</v>
      </c>
      <c r="M4988" s="7">
        <f>IF(INDEX([1]equip.xml!$B:$B,MATCH(D4988&amp;"",[1]equip.xml!$A:$A,0))=0,0,N4988)</f>
        <v>70</v>
      </c>
      <c r="N4988" s="7">
        <f t="shared" si="6482"/>
        <v>70</v>
      </c>
    </row>
    <row r="4989" spans="1:14">
      <c r="A4989" s="7">
        <f t="shared" si="6561"/>
        <v>30015</v>
      </c>
      <c r="B4989" s="7">
        <f t="shared" ref="B4989:C4989" si="6590">B4901</f>
        <v>40000</v>
      </c>
      <c r="C4989" s="7" t="str">
        <f t="shared" si="6590"/>
        <v>装备</v>
      </c>
      <c r="D4989" s="7">
        <v>40551061</v>
      </c>
      <c r="E4989" s="7"/>
      <c r="F4989" s="7">
        <v>1</v>
      </c>
      <c r="G4989" s="7">
        <f>3*INDEX([1]equip.xml!$I:$I,MATCH(D4989&amp;"",[1]equip.xml!$A:$A,0))</f>
        <v>174000</v>
      </c>
      <c r="H4989" s="7" t="str">
        <f t="shared" ref="H4989:J4989" si="6591">H4901</f>
        <v>10_10,50_20,80_30</v>
      </c>
      <c r="I4989" s="7">
        <v>6</v>
      </c>
      <c r="J4989" s="7">
        <f t="shared" si="6591"/>
        <v>50</v>
      </c>
      <c r="K4989" s="7" t="s">
        <v>311</v>
      </c>
      <c r="L4989" s="7">
        <v>38</v>
      </c>
      <c r="M4989" s="7">
        <f>IF(INDEX([1]equip.xml!$B:$B,MATCH(D4989&amp;"",[1]equip.xml!$A:$A,0))=0,0,N4989)</f>
        <v>70</v>
      </c>
      <c r="N4989" s="7">
        <f t="shared" si="6482"/>
        <v>70</v>
      </c>
    </row>
    <row r="4990" spans="1:14">
      <c r="A4990" s="7">
        <f t="shared" si="6561"/>
        <v>30015</v>
      </c>
      <c r="B4990" s="7">
        <f t="shared" ref="B4990:C4990" si="6592">B4902</f>
        <v>40000</v>
      </c>
      <c r="C4990" s="7" t="str">
        <f t="shared" si="6592"/>
        <v>装备</v>
      </c>
      <c r="D4990" s="7">
        <v>40552050</v>
      </c>
      <c r="E4990" s="7"/>
      <c r="F4990" s="7">
        <v>1</v>
      </c>
      <c r="G4990" s="7">
        <f>3*INDEX([1]equip.xml!$I:$I,MATCH(D4990&amp;"",[1]equip.xml!$A:$A,0))</f>
        <v>165000</v>
      </c>
      <c r="H4990" s="7" t="str">
        <f t="shared" ref="H4990:J4990" si="6593">H4902</f>
        <v>10_10,50_20,80_30</v>
      </c>
      <c r="I4990" s="7">
        <v>6</v>
      </c>
      <c r="J4990" s="7">
        <f t="shared" si="6593"/>
        <v>50</v>
      </c>
      <c r="K4990" s="7" t="s">
        <v>311</v>
      </c>
      <c r="L4990" s="7">
        <v>38</v>
      </c>
      <c r="M4990" s="7">
        <f>IF(INDEX([1]equip.xml!$B:$B,MATCH(D4990&amp;"",[1]equip.xml!$A:$A,0))=0,0,N4990)</f>
        <v>70</v>
      </c>
      <c r="N4990" s="7">
        <f t="shared" si="6482"/>
        <v>70</v>
      </c>
    </row>
    <row r="4991" spans="1:14">
      <c r="A4991" s="7">
        <f t="shared" si="6561"/>
        <v>30015</v>
      </c>
      <c r="B4991" s="7">
        <f t="shared" ref="B4991:C4991" si="6594">B4903</f>
        <v>40000</v>
      </c>
      <c r="C4991" s="7" t="str">
        <f t="shared" si="6594"/>
        <v>装备</v>
      </c>
      <c r="D4991" s="7">
        <v>40552051</v>
      </c>
      <c r="E4991" s="7"/>
      <c r="F4991" s="7">
        <v>1</v>
      </c>
      <c r="G4991" s="7">
        <f>3*INDEX([1]equip.xml!$I:$I,MATCH(D4991&amp;"",[1]equip.xml!$A:$A,0))</f>
        <v>174000</v>
      </c>
      <c r="H4991" s="7" t="str">
        <f t="shared" ref="H4991:J4991" si="6595">H4903</f>
        <v>10_10,50_20,80_30</v>
      </c>
      <c r="I4991" s="7">
        <v>6</v>
      </c>
      <c r="J4991" s="7">
        <f t="shared" si="6595"/>
        <v>50</v>
      </c>
      <c r="K4991" s="7" t="s">
        <v>311</v>
      </c>
      <c r="L4991" s="7">
        <v>38</v>
      </c>
      <c r="M4991" s="7">
        <f>IF(INDEX([1]equip.xml!$B:$B,MATCH(D4991&amp;"",[1]equip.xml!$A:$A,0))=0,0,N4991)</f>
        <v>0</v>
      </c>
      <c r="N4991" s="7">
        <f t="shared" si="6482"/>
        <v>70</v>
      </c>
    </row>
    <row r="4992" spans="1:14">
      <c r="A4992" s="7">
        <f t="shared" si="6561"/>
        <v>30015</v>
      </c>
      <c r="B4992" s="7">
        <f t="shared" ref="B4992:C4992" si="6596">B4904</f>
        <v>40000</v>
      </c>
      <c r="C4992" s="7" t="str">
        <f t="shared" si="6596"/>
        <v>装备</v>
      </c>
      <c r="D4992" s="7">
        <v>40552060</v>
      </c>
      <c r="E4992" s="7"/>
      <c r="F4992" s="7">
        <v>1</v>
      </c>
      <c r="G4992" s="7">
        <f>3*INDEX([1]equip.xml!$I:$I,MATCH(D4992&amp;"",[1]equip.xml!$A:$A,0))</f>
        <v>165000</v>
      </c>
      <c r="H4992" s="7" t="str">
        <f t="shared" ref="H4992:J4992" si="6597">H4904</f>
        <v>10_10,50_20,80_30</v>
      </c>
      <c r="I4992" s="7">
        <v>6</v>
      </c>
      <c r="J4992" s="7">
        <f t="shared" si="6597"/>
        <v>50</v>
      </c>
      <c r="K4992" s="7" t="s">
        <v>311</v>
      </c>
      <c r="L4992" s="7">
        <v>38</v>
      </c>
      <c r="M4992" s="7">
        <f>IF(INDEX([1]equip.xml!$B:$B,MATCH(D4992&amp;"",[1]equip.xml!$A:$A,0))=0,0,N4992)</f>
        <v>70</v>
      </c>
      <c r="N4992" s="7">
        <f t="shared" si="6482"/>
        <v>70</v>
      </c>
    </row>
    <row r="4993" spans="1:14">
      <c r="A4993" s="7">
        <f t="shared" si="6561"/>
        <v>30015</v>
      </c>
      <c r="B4993" s="7">
        <f t="shared" ref="B4993:C4993" si="6598">B4905</f>
        <v>40000</v>
      </c>
      <c r="C4993" s="7" t="str">
        <f t="shared" si="6598"/>
        <v>装备</v>
      </c>
      <c r="D4993" s="7">
        <v>40552061</v>
      </c>
      <c r="E4993" s="7"/>
      <c r="F4993" s="7">
        <v>1</v>
      </c>
      <c r="G4993" s="7">
        <f>3*INDEX([1]equip.xml!$I:$I,MATCH(D4993&amp;"",[1]equip.xml!$A:$A,0))</f>
        <v>174000</v>
      </c>
      <c r="H4993" s="7" t="str">
        <f t="shared" ref="H4993:J4993" si="6599">H4905</f>
        <v>10_10,50_20,80_30</v>
      </c>
      <c r="I4993" s="7">
        <v>6</v>
      </c>
      <c r="J4993" s="7">
        <f t="shared" si="6599"/>
        <v>50</v>
      </c>
      <c r="K4993" s="7" t="s">
        <v>311</v>
      </c>
      <c r="L4993" s="7">
        <v>38</v>
      </c>
      <c r="M4993" s="7">
        <f>IF(INDEX([1]equip.xml!$B:$B,MATCH(D4993&amp;"",[1]equip.xml!$A:$A,0))=0,0,N4993)</f>
        <v>70</v>
      </c>
      <c r="N4993" s="7">
        <f t="shared" si="6482"/>
        <v>70</v>
      </c>
    </row>
    <row r="4994" spans="1:14">
      <c r="A4994" s="7">
        <f t="shared" si="6561"/>
        <v>30015</v>
      </c>
      <c r="B4994" s="7">
        <f t="shared" ref="B4994:C4994" si="6600">B4906</f>
        <v>40000</v>
      </c>
      <c r="C4994" s="7" t="str">
        <f t="shared" si="6600"/>
        <v>装备</v>
      </c>
      <c r="D4994" s="7">
        <v>40553050</v>
      </c>
      <c r="E4994" s="7"/>
      <c r="F4994" s="7">
        <v>1</v>
      </c>
      <c r="G4994" s="7">
        <f>3*INDEX([1]equip.xml!$I:$I,MATCH(D4994&amp;"",[1]equip.xml!$A:$A,0))</f>
        <v>165000</v>
      </c>
      <c r="H4994" s="7" t="str">
        <f t="shared" ref="H4994:J4994" si="6601">H4906</f>
        <v>10_10,50_20,80_30</v>
      </c>
      <c r="I4994" s="7">
        <v>6</v>
      </c>
      <c r="J4994" s="7">
        <f t="shared" si="6601"/>
        <v>50</v>
      </c>
      <c r="K4994" s="7" t="s">
        <v>311</v>
      </c>
      <c r="L4994" s="7">
        <v>38</v>
      </c>
      <c r="M4994" s="7">
        <f>IF(INDEX([1]equip.xml!$B:$B,MATCH(D4994&amp;"",[1]equip.xml!$A:$A,0))=0,0,N4994)</f>
        <v>70</v>
      </c>
      <c r="N4994" s="7">
        <f t="shared" si="6482"/>
        <v>70</v>
      </c>
    </row>
    <row r="4995" spans="1:14">
      <c r="A4995" s="7">
        <f t="shared" si="6561"/>
        <v>30015</v>
      </c>
      <c r="B4995" s="7">
        <f t="shared" ref="B4995:C4995" si="6602">B4907</f>
        <v>40000</v>
      </c>
      <c r="C4995" s="7" t="str">
        <f t="shared" si="6602"/>
        <v>装备</v>
      </c>
      <c r="D4995" s="7">
        <v>40553051</v>
      </c>
      <c r="E4995" s="7"/>
      <c r="F4995" s="7">
        <v>1</v>
      </c>
      <c r="G4995" s="7">
        <f>3*INDEX([1]equip.xml!$I:$I,MATCH(D4995&amp;"",[1]equip.xml!$A:$A,0))</f>
        <v>174000</v>
      </c>
      <c r="H4995" s="7" t="str">
        <f t="shared" ref="H4995:J4995" si="6603">H4907</f>
        <v>10_10,50_20,80_30</v>
      </c>
      <c r="I4995" s="7">
        <v>6</v>
      </c>
      <c r="J4995" s="7">
        <f t="shared" si="6603"/>
        <v>50</v>
      </c>
      <c r="K4995" s="7" t="s">
        <v>311</v>
      </c>
      <c r="L4995" s="7">
        <v>38</v>
      </c>
      <c r="M4995" s="7">
        <f>IF(INDEX([1]equip.xml!$B:$B,MATCH(D4995&amp;"",[1]equip.xml!$A:$A,0))=0,0,N4995)</f>
        <v>0</v>
      </c>
      <c r="N4995" s="7">
        <f t="shared" si="6482"/>
        <v>70</v>
      </c>
    </row>
    <row r="4996" spans="1:14">
      <c r="A4996" s="7">
        <f t="shared" si="6561"/>
        <v>30015</v>
      </c>
      <c r="B4996" s="7">
        <f t="shared" ref="B4996:C4996" si="6604">B4908</f>
        <v>40000</v>
      </c>
      <c r="C4996" s="7" t="str">
        <f t="shared" si="6604"/>
        <v>装备</v>
      </c>
      <c r="D4996" s="7">
        <v>40553060</v>
      </c>
      <c r="E4996" s="7"/>
      <c r="F4996" s="7">
        <v>1</v>
      </c>
      <c r="G4996" s="7">
        <f>3*INDEX([1]equip.xml!$I:$I,MATCH(D4996&amp;"",[1]equip.xml!$A:$A,0))</f>
        <v>165000</v>
      </c>
      <c r="H4996" s="7" t="str">
        <f t="shared" ref="H4996:J4996" si="6605">H4908</f>
        <v>10_10,50_20,80_30</v>
      </c>
      <c r="I4996" s="7">
        <v>6</v>
      </c>
      <c r="J4996" s="7">
        <f t="shared" si="6605"/>
        <v>50</v>
      </c>
      <c r="K4996" s="7" t="s">
        <v>311</v>
      </c>
      <c r="L4996" s="7">
        <v>38</v>
      </c>
      <c r="M4996" s="7">
        <f>IF(INDEX([1]equip.xml!$B:$B,MATCH(D4996&amp;"",[1]equip.xml!$A:$A,0))=0,0,N4996)</f>
        <v>70</v>
      </c>
      <c r="N4996" s="7">
        <f t="shared" si="6482"/>
        <v>70</v>
      </c>
    </row>
    <row r="4997" spans="1:14">
      <c r="A4997" s="7">
        <f t="shared" si="6561"/>
        <v>30015</v>
      </c>
      <c r="B4997" s="7">
        <f t="shared" ref="B4997:C4997" si="6606">B4909</f>
        <v>40000</v>
      </c>
      <c r="C4997" s="7" t="str">
        <f t="shared" si="6606"/>
        <v>装备</v>
      </c>
      <c r="D4997" s="7">
        <v>40553061</v>
      </c>
      <c r="E4997" s="7"/>
      <c r="F4997" s="7">
        <v>1</v>
      </c>
      <c r="G4997" s="7">
        <f>3*INDEX([1]equip.xml!$I:$I,MATCH(D4997&amp;"",[1]equip.xml!$A:$A,0))</f>
        <v>174000</v>
      </c>
      <c r="H4997" s="7" t="str">
        <f t="shared" ref="H4997:J4997" si="6607">H4909</f>
        <v>10_10,50_20,80_30</v>
      </c>
      <c r="I4997" s="7">
        <v>6</v>
      </c>
      <c r="J4997" s="7">
        <f t="shared" si="6607"/>
        <v>50</v>
      </c>
      <c r="K4997" s="7" t="s">
        <v>311</v>
      </c>
      <c r="L4997" s="7">
        <v>38</v>
      </c>
      <c r="M4997" s="7">
        <f>IF(INDEX([1]equip.xml!$B:$B,MATCH(D4997&amp;"",[1]equip.xml!$A:$A,0))=0,0,N4997)</f>
        <v>70</v>
      </c>
      <c r="N4997" s="7">
        <f t="shared" si="6482"/>
        <v>70</v>
      </c>
    </row>
    <row r="4998" spans="1:14">
      <c r="A4998" s="7">
        <f t="shared" si="6561"/>
        <v>30015</v>
      </c>
      <c r="B4998" s="7">
        <f t="shared" ref="B4998:C4998" si="6608">B4910</f>
        <v>40000</v>
      </c>
      <c r="C4998" s="7" t="str">
        <f t="shared" si="6608"/>
        <v>装备</v>
      </c>
      <c r="D4998" s="7">
        <v>40550040</v>
      </c>
      <c r="E4998" s="7"/>
      <c r="F4998" s="7">
        <v>1</v>
      </c>
      <c r="G4998" s="7">
        <f>3*INDEX([1]equip.xml!$I:$I,MATCH(D4998&amp;"",[1]equip.xml!$A:$A,0))</f>
        <v>165000</v>
      </c>
      <c r="H4998" s="7" t="str">
        <f t="shared" ref="H4998:J4998" si="6609">H4910</f>
        <v>10_10,50_20,80_30</v>
      </c>
      <c r="I4998" s="7">
        <v>6</v>
      </c>
      <c r="J4998" s="7">
        <f t="shared" si="6609"/>
        <v>50</v>
      </c>
      <c r="K4998" s="7" t="s">
        <v>311</v>
      </c>
      <c r="L4998" s="7">
        <v>38</v>
      </c>
      <c r="M4998" s="7">
        <f>IF(INDEX([1]equip.xml!$B:$B,MATCH(D4998&amp;"",[1]equip.xml!$A:$A,0))=0,0,N4998)</f>
        <v>70</v>
      </c>
      <c r="N4998" s="7">
        <f t="shared" si="6482"/>
        <v>70</v>
      </c>
    </row>
    <row r="4999" spans="1:14">
      <c r="A4999" s="7">
        <f t="shared" si="6561"/>
        <v>30015</v>
      </c>
      <c r="B4999" s="7">
        <f t="shared" ref="B4999:C4999" si="6610">B4911</f>
        <v>40000</v>
      </c>
      <c r="C4999" s="7" t="str">
        <f t="shared" si="6610"/>
        <v>装备</v>
      </c>
      <c r="D4999" s="7">
        <v>40550041</v>
      </c>
      <c r="E4999" s="7"/>
      <c r="F4999" s="7">
        <v>1</v>
      </c>
      <c r="G4999" s="7">
        <f>3*INDEX([1]equip.xml!$I:$I,MATCH(D4999&amp;"",[1]equip.xml!$A:$A,0))</f>
        <v>174000</v>
      </c>
      <c r="H4999" s="7" t="str">
        <f t="shared" ref="H4999:J4999" si="6611">H4911</f>
        <v>10_10,50_20,80_30</v>
      </c>
      <c r="I4999" s="7">
        <v>6</v>
      </c>
      <c r="J4999" s="7">
        <f t="shared" si="6611"/>
        <v>50</v>
      </c>
      <c r="K4999" s="7" t="s">
        <v>311</v>
      </c>
      <c r="L4999" s="7">
        <v>38</v>
      </c>
      <c r="M4999" s="7">
        <f>IF(INDEX([1]equip.xml!$B:$B,MATCH(D4999&amp;"",[1]equip.xml!$A:$A,0))=0,0,N4999)</f>
        <v>0</v>
      </c>
      <c r="N4999" s="7">
        <f t="shared" ref="N4999:N5062" si="6612">N4911</f>
        <v>70</v>
      </c>
    </row>
    <row r="5000" spans="1:14">
      <c r="A5000" s="7">
        <f t="shared" si="6561"/>
        <v>30015</v>
      </c>
      <c r="B5000" s="7">
        <f t="shared" ref="B5000:C5000" si="6613">B4912</f>
        <v>40000</v>
      </c>
      <c r="C5000" s="7" t="str">
        <f t="shared" si="6613"/>
        <v>装备</v>
      </c>
      <c r="D5000" s="7">
        <v>40550070</v>
      </c>
      <c r="E5000" s="7"/>
      <c r="F5000" s="7">
        <v>1</v>
      </c>
      <c r="G5000" s="7">
        <f>3*INDEX([1]equip.xml!$I:$I,MATCH(D5000&amp;"",[1]equip.xml!$A:$A,0))</f>
        <v>165000</v>
      </c>
      <c r="H5000" s="7" t="str">
        <f t="shared" ref="H5000:J5000" si="6614">H4912</f>
        <v>10_10,50_20,80_30</v>
      </c>
      <c r="I5000" s="7">
        <v>6</v>
      </c>
      <c r="J5000" s="7">
        <f t="shared" si="6614"/>
        <v>50</v>
      </c>
      <c r="K5000" s="7" t="s">
        <v>311</v>
      </c>
      <c r="L5000" s="7">
        <v>38</v>
      </c>
      <c r="M5000" s="7">
        <f>IF(INDEX([1]equip.xml!$B:$B,MATCH(D5000&amp;"",[1]equip.xml!$A:$A,0))=0,0,N5000)</f>
        <v>70</v>
      </c>
      <c r="N5000" s="7">
        <f t="shared" si="6612"/>
        <v>70</v>
      </c>
    </row>
    <row r="5001" spans="1:14">
      <c r="A5001" s="7">
        <f t="shared" si="6561"/>
        <v>30015</v>
      </c>
      <c r="B5001" s="7">
        <f t="shared" ref="B5001:C5001" si="6615">B4913</f>
        <v>40000</v>
      </c>
      <c r="C5001" s="7" t="str">
        <f t="shared" si="6615"/>
        <v>装备</v>
      </c>
      <c r="D5001" s="7">
        <v>40550071</v>
      </c>
      <c r="E5001" s="7"/>
      <c r="F5001" s="7">
        <v>1</v>
      </c>
      <c r="G5001" s="7">
        <f>3*INDEX([1]equip.xml!$I:$I,MATCH(D5001&amp;"",[1]equip.xml!$A:$A,0))</f>
        <v>174000</v>
      </c>
      <c r="H5001" s="7" t="str">
        <f t="shared" ref="H5001:J5001" si="6616">H4913</f>
        <v>10_10,50_20,80_30</v>
      </c>
      <c r="I5001" s="7">
        <v>6</v>
      </c>
      <c r="J5001" s="7">
        <f t="shared" si="6616"/>
        <v>50</v>
      </c>
      <c r="K5001" s="7" t="s">
        <v>311</v>
      </c>
      <c r="L5001" s="7">
        <v>38</v>
      </c>
      <c r="M5001" s="7">
        <f>IF(INDEX([1]equip.xml!$B:$B,MATCH(D5001&amp;"",[1]equip.xml!$A:$A,0))=0,0,N5001)</f>
        <v>0</v>
      </c>
      <c r="N5001" s="7">
        <f t="shared" si="6612"/>
        <v>70</v>
      </c>
    </row>
    <row r="5002" spans="1:14">
      <c r="A5002" s="7">
        <f t="shared" si="6561"/>
        <v>30015</v>
      </c>
      <c r="B5002" s="7">
        <f t="shared" ref="B5002:C5002" si="6617">B4914</f>
        <v>40000</v>
      </c>
      <c r="C5002" s="7" t="str">
        <f t="shared" si="6617"/>
        <v>装备</v>
      </c>
      <c r="D5002" s="7">
        <v>50500015</v>
      </c>
      <c r="E5002" s="7"/>
      <c r="F5002" s="7">
        <v>1</v>
      </c>
      <c r="G5002" s="8">
        <f>3*INDEX([1]equip.xml!$I:$I,MATCH(D5002,[1]equip.xml!$A:$A,0))</f>
        <v>300000</v>
      </c>
      <c r="H5002" s="7" t="str">
        <f t="shared" ref="H5002:J5002" si="6618">H4914</f>
        <v>10_10,50_20,80_30</v>
      </c>
      <c r="I5002" s="7">
        <v>3</v>
      </c>
      <c r="J5002" s="7">
        <f t="shared" si="6618"/>
        <v>240</v>
      </c>
      <c r="K5002" s="7" t="s">
        <v>311</v>
      </c>
      <c r="L5002" s="7">
        <v>38</v>
      </c>
      <c r="M5002" s="7">
        <f>IF(INDEX([1]equip.xml!$B:$B,MATCH(D5002,[1]equip.xml!$A:$A,0))=0,0,N5002)</f>
        <v>200</v>
      </c>
      <c r="N5002" s="7">
        <f t="shared" si="6612"/>
        <v>200</v>
      </c>
    </row>
    <row r="5003" spans="1:14">
      <c r="A5003" s="7">
        <f t="shared" si="6561"/>
        <v>30015</v>
      </c>
      <c r="B5003" s="7">
        <f t="shared" ref="B5003:C5003" si="6619">B4915</f>
        <v>40000</v>
      </c>
      <c r="C5003" s="7" t="str">
        <f t="shared" si="6619"/>
        <v>装备</v>
      </c>
      <c r="D5003" s="7">
        <v>50500025</v>
      </c>
      <c r="E5003" s="7"/>
      <c r="F5003" s="7">
        <v>1</v>
      </c>
      <c r="G5003" s="8">
        <f>3*INDEX([1]equip.xml!$I:$I,MATCH(D5003,[1]equip.xml!$A:$A,0))</f>
        <v>300000</v>
      </c>
      <c r="H5003" s="7" t="str">
        <f t="shared" ref="H5003:J5003" si="6620">H4915</f>
        <v>10_10,50_20,80_30</v>
      </c>
      <c r="I5003" s="7">
        <v>3</v>
      </c>
      <c r="J5003" s="7">
        <f t="shared" si="6620"/>
        <v>240</v>
      </c>
      <c r="K5003" s="7" t="s">
        <v>311</v>
      </c>
      <c r="L5003" s="7">
        <v>38</v>
      </c>
      <c r="M5003" s="7">
        <f>IF(INDEX([1]equip.xml!$B:$B,MATCH(D5003,[1]equip.xml!$A:$A,0))=0,0,N5003)</f>
        <v>200</v>
      </c>
      <c r="N5003" s="7">
        <f t="shared" si="6612"/>
        <v>200</v>
      </c>
    </row>
    <row r="5004" spans="1:14">
      <c r="A5004" s="7">
        <f t="shared" si="6561"/>
        <v>30015</v>
      </c>
      <c r="B5004" s="7">
        <f t="shared" ref="B5004:C5004" si="6621">B4916</f>
        <v>40000</v>
      </c>
      <c r="C5004" s="7" t="str">
        <f t="shared" si="6621"/>
        <v>装备</v>
      </c>
      <c r="D5004" s="7">
        <v>50500035</v>
      </c>
      <c r="E5004" s="7"/>
      <c r="F5004" s="7">
        <v>1</v>
      </c>
      <c r="G5004" s="8">
        <f>3*INDEX([1]equip.xml!$I:$I,MATCH(D5004,[1]equip.xml!$A:$A,0))</f>
        <v>300000</v>
      </c>
      <c r="H5004" s="7" t="str">
        <f t="shared" ref="H5004:J5004" si="6622">H4916</f>
        <v>10_10,50_20,80_30</v>
      </c>
      <c r="I5004" s="7">
        <v>3</v>
      </c>
      <c r="J5004" s="7">
        <f t="shared" si="6622"/>
        <v>240</v>
      </c>
      <c r="K5004" s="7" t="s">
        <v>311</v>
      </c>
      <c r="L5004" s="7">
        <v>38</v>
      </c>
      <c r="M5004" s="7">
        <f>IF(INDEX([1]equip.xml!$B:$B,MATCH(D5004,[1]equip.xml!$A:$A,0))=0,0,N5004)</f>
        <v>200</v>
      </c>
      <c r="N5004" s="7">
        <f t="shared" si="6612"/>
        <v>200</v>
      </c>
    </row>
    <row r="5005" spans="1:14">
      <c r="A5005" s="7">
        <f t="shared" si="6561"/>
        <v>30015</v>
      </c>
      <c r="B5005" s="7">
        <f t="shared" ref="B5005:C5005" si="6623">B4917</f>
        <v>40000</v>
      </c>
      <c r="C5005" s="7" t="str">
        <f t="shared" si="6623"/>
        <v>装备</v>
      </c>
      <c r="D5005" s="7">
        <v>50500085</v>
      </c>
      <c r="E5005" s="7"/>
      <c r="F5005" s="7">
        <v>1</v>
      </c>
      <c r="G5005" s="8">
        <f>3*INDEX([1]equip.xml!$I:$I,MATCH(D5005,[1]equip.xml!$A:$A,0))</f>
        <v>300000</v>
      </c>
      <c r="H5005" s="7" t="str">
        <f t="shared" ref="H5005:J5005" si="6624">H4917</f>
        <v>10_10,50_20,80_30</v>
      </c>
      <c r="I5005" s="7">
        <v>3</v>
      </c>
      <c r="J5005" s="7">
        <f t="shared" si="6624"/>
        <v>240</v>
      </c>
      <c r="K5005" s="7" t="s">
        <v>311</v>
      </c>
      <c r="L5005" s="7">
        <v>38</v>
      </c>
      <c r="M5005" s="7">
        <f>IF(INDEX([1]equip.xml!$B:$B,MATCH(D5005,[1]equip.xml!$A:$A,0))=0,0,N5005)</f>
        <v>200</v>
      </c>
      <c r="N5005" s="7">
        <f t="shared" si="6612"/>
        <v>200</v>
      </c>
    </row>
    <row r="5006" spans="1:14">
      <c r="A5006" s="7">
        <f t="shared" si="6561"/>
        <v>30015</v>
      </c>
      <c r="B5006" s="7">
        <f t="shared" ref="B5006:C5006" si="6625">B4918</f>
        <v>40000</v>
      </c>
      <c r="C5006" s="7" t="str">
        <f t="shared" si="6625"/>
        <v>装备</v>
      </c>
      <c r="D5006" s="7">
        <v>50500095</v>
      </c>
      <c r="E5006" s="7"/>
      <c r="F5006" s="7">
        <v>1</v>
      </c>
      <c r="G5006" s="8">
        <f>3*INDEX([1]equip.xml!$I:$I,MATCH(D5006,[1]equip.xml!$A:$A,0))</f>
        <v>300000</v>
      </c>
      <c r="H5006" s="7" t="str">
        <f t="shared" ref="H5006:J5006" si="6626">H4918</f>
        <v>10_10,50_20,80_30</v>
      </c>
      <c r="I5006" s="7">
        <v>3</v>
      </c>
      <c r="J5006" s="7">
        <f t="shared" si="6626"/>
        <v>240</v>
      </c>
      <c r="K5006" s="7" t="s">
        <v>311</v>
      </c>
      <c r="L5006" s="7">
        <v>38</v>
      </c>
      <c r="M5006" s="7">
        <f>IF(INDEX([1]equip.xml!$B:$B,MATCH(D5006,[1]equip.xml!$A:$A,0))=0,0,N5006)</f>
        <v>200</v>
      </c>
      <c r="N5006" s="7">
        <f t="shared" si="6612"/>
        <v>200</v>
      </c>
    </row>
    <row r="5007" spans="1:14">
      <c r="A5007" s="7">
        <f t="shared" si="6561"/>
        <v>30015</v>
      </c>
      <c r="B5007" s="7">
        <f t="shared" ref="B5007:C5007" si="6627">B4919</f>
        <v>40000</v>
      </c>
      <c r="C5007" s="7" t="str">
        <f t="shared" si="6627"/>
        <v>装备</v>
      </c>
      <c r="D5007" s="7">
        <v>50500105</v>
      </c>
      <c r="E5007" s="7"/>
      <c r="F5007" s="7">
        <v>1</v>
      </c>
      <c r="G5007" s="8">
        <f>3*INDEX([1]equip.xml!$I:$I,MATCH(D5007,[1]equip.xml!$A:$A,0))</f>
        <v>300000</v>
      </c>
      <c r="H5007" s="7" t="str">
        <f t="shared" ref="H5007:J5007" si="6628">H4919</f>
        <v>10_10,50_20,80_30</v>
      </c>
      <c r="I5007" s="7">
        <v>3</v>
      </c>
      <c r="J5007" s="7">
        <f t="shared" si="6628"/>
        <v>240</v>
      </c>
      <c r="K5007" s="7" t="s">
        <v>311</v>
      </c>
      <c r="L5007" s="7">
        <v>38</v>
      </c>
      <c r="M5007" s="7">
        <f>IF(INDEX([1]equip.xml!$B:$B,MATCH(D5007,[1]equip.xml!$A:$A,0))=0,0,N5007)</f>
        <v>200</v>
      </c>
      <c r="N5007" s="7">
        <f t="shared" si="6612"/>
        <v>200</v>
      </c>
    </row>
    <row r="5008" spans="1:14">
      <c r="A5008" s="7">
        <f t="shared" si="6561"/>
        <v>30015</v>
      </c>
      <c r="B5008" s="7">
        <f t="shared" ref="B5008:C5008" si="6629">B4920</f>
        <v>40000</v>
      </c>
      <c r="C5008" s="7" t="str">
        <f t="shared" si="6629"/>
        <v>装备</v>
      </c>
      <c r="D5008" s="7">
        <v>50501055</v>
      </c>
      <c r="E5008" s="7"/>
      <c r="F5008" s="7">
        <v>1</v>
      </c>
      <c r="G5008" s="8">
        <f>3*INDEX([1]equip.xml!$I:$I,MATCH(D5008,[1]equip.xml!$A:$A,0))</f>
        <v>300000</v>
      </c>
      <c r="H5008" s="7" t="str">
        <f t="shared" ref="H5008:J5008" si="6630">H4920</f>
        <v>10_10,50_20,80_30</v>
      </c>
      <c r="I5008" s="7">
        <v>3</v>
      </c>
      <c r="J5008" s="7">
        <f t="shared" si="6630"/>
        <v>240</v>
      </c>
      <c r="K5008" s="7" t="s">
        <v>311</v>
      </c>
      <c r="L5008" s="7">
        <v>38</v>
      </c>
      <c r="M5008" s="7">
        <f>IF(INDEX([1]equip.xml!$B:$B,MATCH(D5008,[1]equip.xml!$A:$A,0))=0,0,N5008)</f>
        <v>200</v>
      </c>
      <c r="N5008" s="7">
        <f t="shared" si="6612"/>
        <v>200</v>
      </c>
    </row>
    <row r="5009" spans="1:14">
      <c r="A5009" s="7">
        <f t="shared" si="6561"/>
        <v>30015</v>
      </c>
      <c r="B5009" s="7">
        <f t="shared" ref="B5009:C5009" si="6631">B4921</f>
        <v>40000</v>
      </c>
      <c r="C5009" s="7" t="str">
        <f t="shared" si="6631"/>
        <v>装备</v>
      </c>
      <c r="D5009" s="7">
        <v>50501056</v>
      </c>
      <c r="E5009" s="7"/>
      <c r="F5009" s="7">
        <v>1</v>
      </c>
      <c r="G5009" s="8">
        <f>3*INDEX([1]equip.xml!$I:$I,MATCH(D5009,[1]equip.xml!$A:$A,0))</f>
        <v>318000</v>
      </c>
      <c r="H5009" s="7" t="str">
        <f t="shared" ref="H5009:J5009" si="6632">H4921</f>
        <v>10_10,50_20,80_30</v>
      </c>
      <c r="I5009" s="7">
        <v>3</v>
      </c>
      <c r="J5009" s="7">
        <f t="shared" si="6632"/>
        <v>240</v>
      </c>
      <c r="K5009" s="7" t="s">
        <v>311</v>
      </c>
      <c r="L5009" s="7">
        <v>38</v>
      </c>
      <c r="M5009" s="7">
        <f>IF(INDEX([1]equip.xml!$B:$B,MATCH(D5009,[1]equip.xml!$A:$A,0))=0,0,N5009)</f>
        <v>200</v>
      </c>
      <c r="N5009" s="7">
        <f t="shared" si="6612"/>
        <v>200</v>
      </c>
    </row>
    <row r="5010" spans="1:14">
      <c r="A5010" s="7">
        <f t="shared" si="6561"/>
        <v>30015</v>
      </c>
      <c r="B5010" s="7">
        <f t="shared" ref="B5010:C5010" si="6633">B4922</f>
        <v>40000</v>
      </c>
      <c r="C5010" s="7" t="str">
        <f t="shared" si="6633"/>
        <v>装备</v>
      </c>
      <c r="D5010" s="7">
        <v>50501065</v>
      </c>
      <c r="E5010" s="7"/>
      <c r="F5010" s="7">
        <v>1</v>
      </c>
      <c r="G5010" s="8">
        <f>3*INDEX([1]equip.xml!$I:$I,MATCH(D5010,[1]equip.xml!$A:$A,0))</f>
        <v>300000</v>
      </c>
      <c r="H5010" s="7" t="str">
        <f t="shared" ref="H5010:J5010" si="6634">H4922</f>
        <v>10_10,50_20,80_30</v>
      </c>
      <c r="I5010" s="7">
        <v>3</v>
      </c>
      <c r="J5010" s="7">
        <f t="shared" si="6634"/>
        <v>240</v>
      </c>
      <c r="K5010" s="7" t="s">
        <v>311</v>
      </c>
      <c r="L5010" s="7">
        <v>38</v>
      </c>
      <c r="M5010" s="7">
        <f>IF(INDEX([1]equip.xml!$B:$B,MATCH(D5010,[1]equip.xml!$A:$A,0))=0,0,N5010)</f>
        <v>200</v>
      </c>
      <c r="N5010" s="7">
        <f t="shared" si="6612"/>
        <v>200</v>
      </c>
    </row>
    <row r="5011" spans="1:14">
      <c r="A5011" s="7">
        <f t="shared" si="6561"/>
        <v>30015</v>
      </c>
      <c r="B5011" s="7">
        <f t="shared" ref="B5011:C5011" si="6635">B4923</f>
        <v>40000</v>
      </c>
      <c r="C5011" s="7" t="str">
        <f t="shared" si="6635"/>
        <v>装备</v>
      </c>
      <c r="D5011" s="7">
        <v>50501066</v>
      </c>
      <c r="E5011" s="7"/>
      <c r="F5011" s="7">
        <v>1</v>
      </c>
      <c r="G5011" s="8">
        <f>3*INDEX([1]equip.xml!$I:$I,MATCH(D5011,[1]equip.xml!$A:$A,0))</f>
        <v>318000</v>
      </c>
      <c r="H5011" s="7" t="str">
        <f t="shared" ref="H5011:J5011" si="6636">H4923</f>
        <v>10_10,50_20,80_30</v>
      </c>
      <c r="I5011" s="7">
        <v>3</v>
      </c>
      <c r="J5011" s="7">
        <f t="shared" si="6636"/>
        <v>240</v>
      </c>
      <c r="K5011" s="7" t="s">
        <v>311</v>
      </c>
      <c r="L5011" s="7">
        <v>38</v>
      </c>
      <c r="M5011" s="7">
        <f>IF(INDEX([1]equip.xml!$B:$B,MATCH(D5011,[1]equip.xml!$A:$A,0))=0,0,N5011)</f>
        <v>200</v>
      </c>
      <c r="N5011" s="7">
        <f t="shared" si="6612"/>
        <v>200</v>
      </c>
    </row>
    <row r="5012" spans="1:14">
      <c r="A5012" s="7">
        <f t="shared" si="6561"/>
        <v>30015</v>
      </c>
      <c r="B5012" s="7">
        <f t="shared" ref="B5012:C5012" si="6637">B4924</f>
        <v>40000</v>
      </c>
      <c r="C5012" s="7" t="str">
        <f t="shared" si="6637"/>
        <v>装备</v>
      </c>
      <c r="D5012" s="7">
        <v>50502055</v>
      </c>
      <c r="E5012" s="7"/>
      <c r="F5012" s="7">
        <v>1</v>
      </c>
      <c r="G5012" s="8">
        <f>3*INDEX([1]equip.xml!$I:$I,MATCH(D5012,[1]equip.xml!$A:$A,0))</f>
        <v>300000</v>
      </c>
      <c r="H5012" s="7" t="str">
        <f t="shared" ref="H5012:J5012" si="6638">H4924</f>
        <v>10_10,50_20,80_30</v>
      </c>
      <c r="I5012" s="7">
        <v>3</v>
      </c>
      <c r="J5012" s="7">
        <f t="shared" si="6638"/>
        <v>240</v>
      </c>
      <c r="K5012" s="7" t="s">
        <v>311</v>
      </c>
      <c r="L5012" s="7">
        <v>38</v>
      </c>
      <c r="M5012" s="7">
        <f>IF(INDEX([1]equip.xml!$B:$B,MATCH(D5012,[1]equip.xml!$A:$A,0))=0,0,N5012)</f>
        <v>200</v>
      </c>
      <c r="N5012" s="7">
        <f t="shared" si="6612"/>
        <v>200</v>
      </c>
    </row>
    <row r="5013" spans="1:14">
      <c r="A5013" s="7">
        <f t="shared" si="6561"/>
        <v>30015</v>
      </c>
      <c r="B5013" s="7">
        <f t="shared" ref="B5013:C5013" si="6639">B4925</f>
        <v>40000</v>
      </c>
      <c r="C5013" s="7" t="str">
        <f t="shared" si="6639"/>
        <v>装备</v>
      </c>
      <c r="D5013" s="7">
        <v>50502056</v>
      </c>
      <c r="E5013" s="7"/>
      <c r="F5013" s="7">
        <v>1</v>
      </c>
      <c r="G5013" s="8">
        <f>3*INDEX([1]equip.xml!$I:$I,MATCH(D5013,[1]equip.xml!$A:$A,0))</f>
        <v>318000</v>
      </c>
      <c r="H5013" s="7" t="str">
        <f t="shared" ref="H5013:J5013" si="6640">H4925</f>
        <v>10_10,50_20,80_30</v>
      </c>
      <c r="I5013" s="7">
        <v>3</v>
      </c>
      <c r="J5013" s="7">
        <f t="shared" si="6640"/>
        <v>240</v>
      </c>
      <c r="K5013" s="7" t="s">
        <v>311</v>
      </c>
      <c r="L5013" s="7">
        <v>38</v>
      </c>
      <c r="M5013" s="7">
        <f>IF(INDEX([1]equip.xml!$B:$B,MATCH(D5013,[1]equip.xml!$A:$A,0))=0,0,N5013)</f>
        <v>200</v>
      </c>
      <c r="N5013" s="7">
        <f t="shared" si="6612"/>
        <v>200</v>
      </c>
    </row>
    <row r="5014" spans="1:14">
      <c r="A5014" s="7">
        <f t="shared" si="6561"/>
        <v>30015</v>
      </c>
      <c r="B5014" s="7">
        <f t="shared" ref="B5014:C5014" si="6641">B4926</f>
        <v>40000</v>
      </c>
      <c r="C5014" s="7" t="str">
        <f t="shared" si="6641"/>
        <v>装备</v>
      </c>
      <c r="D5014" s="7">
        <v>50502065</v>
      </c>
      <c r="E5014" s="7"/>
      <c r="F5014" s="7">
        <v>1</v>
      </c>
      <c r="G5014" s="8">
        <f>3*INDEX([1]equip.xml!$I:$I,MATCH(D5014,[1]equip.xml!$A:$A,0))</f>
        <v>300000</v>
      </c>
      <c r="H5014" s="7" t="str">
        <f t="shared" ref="H5014:J5014" si="6642">H4926</f>
        <v>10_10,50_20,80_30</v>
      </c>
      <c r="I5014" s="7">
        <v>3</v>
      </c>
      <c r="J5014" s="7">
        <f t="shared" si="6642"/>
        <v>240</v>
      </c>
      <c r="K5014" s="7" t="s">
        <v>311</v>
      </c>
      <c r="L5014" s="7">
        <v>38</v>
      </c>
      <c r="M5014" s="7">
        <f>IF(INDEX([1]equip.xml!$B:$B,MATCH(D5014,[1]equip.xml!$A:$A,0))=0,0,N5014)</f>
        <v>200</v>
      </c>
      <c r="N5014" s="7">
        <f t="shared" si="6612"/>
        <v>200</v>
      </c>
    </row>
    <row r="5015" spans="1:14">
      <c r="A5015" s="7">
        <f t="shared" si="6561"/>
        <v>30015</v>
      </c>
      <c r="B5015" s="7">
        <f t="shared" ref="B5015:C5015" si="6643">B4927</f>
        <v>40000</v>
      </c>
      <c r="C5015" s="7" t="str">
        <f t="shared" si="6643"/>
        <v>装备</v>
      </c>
      <c r="D5015" s="7">
        <v>50502066</v>
      </c>
      <c r="E5015" s="7"/>
      <c r="F5015" s="7">
        <v>1</v>
      </c>
      <c r="G5015" s="8">
        <f>3*INDEX([1]equip.xml!$I:$I,MATCH(D5015,[1]equip.xml!$A:$A,0))</f>
        <v>318000</v>
      </c>
      <c r="H5015" s="7" t="str">
        <f t="shared" ref="H5015:J5015" si="6644">H4927</f>
        <v>10_10,50_20,80_30</v>
      </c>
      <c r="I5015" s="7">
        <v>3</v>
      </c>
      <c r="J5015" s="7">
        <f t="shared" si="6644"/>
        <v>240</v>
      </c>
      <c r="K5015" s="7" t="s">
        <v>311</v>
      </c>
      <c r="L5015" s="7">
        <v>38</v>
      </c>
      <c r="M5015" s="7">
        <f>IF(INDEX([1]equip.xml!$B:$B,MATCH(D5015,[1]equip.xml!$A:$A,0))=0,0,N5015)</f>
        <v>200</v>
      </c>
      <c r="N5015" s="7">
        <f t="shared" si="6612"/>
        <v>200</v>
      </c>
    </row>
    <row r="5016" spans="1:14">
      <c r="A5016" s="7">
        <f t="shared" si="6561"/>
        <v>30015</v>
      </c>
      <c r="B5016" s="7">
        <f t="shared" ref="B5016:C5016" si="6645">B4928</f>
        <v>40000</v>
      </c>
      <c r="C5016" s="7" t="str">
        <f t="shared" si="6645"/>
        <v>装备</v>
      </c>
      <c r="D5016" s="7">
        <v>50503055</v>
      </c>
      <c r="E5016" s="7"/>
      <c r="F5016" s="7">
        <v>1</v>
      </c>
      <c r="G5016" s="8">
        <f>3*INDEX([1]equip.xml!$I:$I,MATCH(D5016,[1]equip.xml!$A:$A,0))</f>
        <v>300000</v>
      </c>
      <c r="H5016" s="7" t="str">
        <f t="shared" ref="H5016:J5016" si="6646">H4928</f>
        <v>10_10,50_20,80_30</v>
      </c>
      <c r="I5016" s="7">
        <v>3</v>
      </c>
      <c r="J5016" s="7">
        <f t="shared" si="6646"/>
        <v>240</v>
      </c>
      <c r="K5016" s="7" t="s">
        <v>311</v>
      </c>
      <c r="L5016" s="7">
        <v>38</v>
      </c>
      <c r="M5016" s="7">
        <f>IF(INDEX([1]equip.xml!$B:$B,MATCH(D5016,[1]equip.xml!$A:$A,0))=0,0,N5016)</f>
        <v>200</v>
      </c>
      <c r="N5016" s="7">
        <f t="shared" si="6612"/>
        <v>200</v>
      </c>
    </row>
    <row r="5017" spans="1:14">
      <c r="A5017" s="7">
        <f t="shared" si="6561"/>
        <v>30015</v>
      </c>
      <c r="B5017" s="7">
        <f t="shared" ref="B5017:C5017" si="6647">B4929</f>
        <v>40000</v>
      </c>
      <c r="C5017" s="7" t="str">
        <f t="shared" si="6647"/>
        <v>装备</v>
      </c>
      <c r="D5017" s="7">
        <v>50503056</v>
      </c>
      <c r="E5017" s="7"/>
      <c r="F5017" s="7">
        <v>1</v>
      </c>
      <c r="G5017" s="8">
        <f>3*INDEX([1]equip.xml!$I:$I,MATCH(D5017,[1]equip.xml!$A:$A,0))</f>
        <v>318000</v>
      </c>
      <c r="H5017" s="7" t="str">
        <f t="shared" ref="H5017:J5017" si="6648">H4929</f>
        <v>10_10,50_20,80_30</v>
      </c>
      <c r="I5017" s="7">
        <v>3</v>
      </c>
      <c r="J5017" s="7">
        <f t="shared" si="6648"/>
        <v>240</v>
      </c>
      <c r="K5017" s="7" t="s">
        <v>311</v>
      </c>
      <c r="L5017" s="7">
        <v>38</v>
      </c>
      <c r="M5017" s="7">
        <f>IF(INDEX([1]equip.xml!$B:$B,MATCH(D5017,[1]equip.xml!$A:$A,0))=0,0,N5017)</f>
        <v>200</v>
      </c>
      <c r="N5017" s="7">
        <f t="shared" si="6612"/>
        <v>200</v>
      </c>
    </row>
    <row r="5018" spans="1:14">
      <c r="A5018" s="7">
        <f t="shared" si="6561"/>
        <v>30015</v>
      </c>
      <c r="B5018" s="7">
        <f t="shared" ref="B5018:C5018" si="6649">B4930</f>
        <v>40000</v>
      </c>
      <c r="C5018" s="7" t="str">
        <f t="shared" si="6649"/>
        <v>装备</v>
      </c>
      <c r="D5018" s="7">
        <v>50503065</v>
      </c>
      <c r="E5018" s="7"/>
      <c r="F5018" s="7">
        <v>1</v>
      </c>
      <c r="G5018" s="8">
        <f>3*INDEX([1]equip.xml!$I:$I,MATCH(D5018,[1]equip.xml!$A:$A,0))</f>
        <v>300000</v>
      </c>
      <c r="H5018" s="7" t="str">
        <f t="shared" ref="H5018:J5018" si="6650">H4930</f>
        <v>10_10,50_20,80_30</v>
      </c>
      <c r="I5018" s="7">
        <v>3</v>
      </c>
      <c r="J5018" s="7">
        <f t="shared" si="6650"/>
        <v>240</v>
      </c>
      <c r="K5018" s="7" t="s">
        <v>311</v>
      </c>
      <c r="L5018" s="7">
        <v>38</v>
      </c>
      <c r="M5018" s="7">
        <f>IF(INDEX([1]equip.xml!$B:$B,MATCH(D5018,[1]equip.xml!$A:$A,0))=0,0,N5018)</f>
        <v>200</v>
      </c>
      <c r="N5018" s="7">
        <f t="shared" si="6612"/>
        <v>200</v>
      </c>
    </row>
    <row r="5019" spans="1:14">
      <c r="A5019" s="7">
        <f t="shared" si="6561"/>
        <v>30015</v>
      </c>
      <c r="B5019" s="7">
        <f t="shared" ref="B5019:C5019" si="6651">B4931</f>
        <v>40000</v>
      </c>
      <c r="C5019" s="7" t="str">
        <f t="shared" si="6651"/>
        <v>装备</v>
      </c>
      <c r="D5019" s="7">
        <v>50503066</v>
      </c>
      <c r="E5019" s="7"/>
      <c r="F5019" s="7">
        <v>1</v>
      </c>
      <c r="G5019" s="8">
        <f>3*INDEX([1]equip.xml!$I:$I,MATCH(D5019,[1]equip.xml!$A:$A,0))</f>
        <v>318000</v>
      </c>
      <c r="H5019" s="7" t="str">
        <f t="shared" ref="H5019:J5019" si="6652">H4931</f>
        <v>10_10,50_20,80_30</v>
      </c>
      <c r="I5019" s="7">
        <v>3</v>
      </c>
      <c r="J5019" s="7">
        <f t="shared" si="6652"/>
        <v>240</v>
      </c>
      <c r="K5019" s="7" t="s">
        <v>311</v>
      </c>
      <c r="L5019" s="7">
        <v>38</v>
      </c>
      <c r="M5019" s="7">
        <f>IF(INDEX([1]equip.xml!$B:$B,MATCH(D5019,[1]equip.xml!$A:$A,0))=0,0,N5019)</f>
        <v>200</v>
      </c>
      <c r="N5019" s="7">
        <f t="shared" si="6612"/>
        <v>200</v>
      </c>
    </row>
    <row r="5020" spans="1:14">
      <c r="A5020" s="7">
        <f t="shared" si="6561"/>
        <v>30015</v>
      </c>
      <c r="B5020" s="7">
        <f t="shared" ref="B5020:C5020" si="6653">B4932</f>
        <v>40000</v>
      </c>
      <c r="C5020" s="7" t="str">
        <f t="shared" si="6653"/>
        <v>装备</v>
      </c>
      <c r="D5020" s="7">
        <v>50500045</v>
      </c>
      <c r="E5020" s="7"/>
      <c r="F5020" s="7">
        <v>1</v>
      </c>
      <c r="G5020" s="8">
        <f>3*INDEX([1]equip.xml!$I:$I,MATCH(D5020,[1]equip.xml!$A:$A,0))</f>
        <v>300000</v>
      </c>
      <c r="H5020" s="7" t="str">
        <f t="shared" ref="H5020:J5020" si="6654">H4932</f>
        <v>10_10,50_20,80_30</v>
      </c>
      <c r="I5020" s="7">
        <v>3</v>
      </c>
      <c r="J5020" s="7">
        <f t="shared" si="6654"/>
        <v>240</v>
      </c>
      <c r="K5020" s="7" t="s">
        <v>311</v>
      </c>
      <c r="L5020" s="7">
        <v>38</v>
      </c>
      <c r="M5020" s="7">
        <f>IF(INDEX([1]equip.xml!$B:$B,MATCH(D5020,[1]equip.xml!$A:$A,0))=0,0,N5020)</f>
        <v>200</v>
      </c>
      <c r="N5020" s="7">
        <f t="shared" si="6612"/>
        <v>200</v>
      </c>
    </row>
    <row r="5021" spans="1:14">
      <c r="A5021" s="7">
        <f t="shared" si="6561"/>
        <v>30015</v>
      </c>
      <c r="B5021" s="7">
        <f t="shared" ref="B5021:C5021" si="6655">B4933</f>
        <v>40000</v>
      </c>
      <c r="C5021" s="7" t="str">
        <f t="shared" si="6655"/>
        <v>装备</v>
      </c>
      <c r="D5021" s="7">
        <v>50500046</v>
      </c>
      <c r="E5021" s="7"/>
      <c r="F5021" s="7">
        <v>1</v>
      </c>
      <c r="G5021" s="8">
        <f>3*INDEX([1]equip.xml!$I:$I,MATCH(D5021,[1]equip.xml!$A:$A,0))</f>
        <v>318000</v>
      </c>
      <c r="H5021" s="7" t="str">
        <f t="shared" ref="H5021:J5021" si="6656">H4933</f>
        <v>10_10,50_20,80_30</v>
      </c>
      <c r="I5021" s="7">
        <v>3</v>
      </c>
      <c r="J5021" s="7">
        <f t="shared" si="6656"/>
        <v>240</v>
      </c>
      <c r="K5021" s="7" t="s">
        <v>311</v>
      </c>
      <c r="L5021" s="7">
        <v>38</v>
      </c>
      <c r="M5021" s="7">
        <f>IF(INDEX([1]equip.xml!$B:$B,MATCH(D5021,[1]equip.xml!$A:$A,0))=0,0,N5021)</f>
        <v>0</v>
      </c>
      <c r="N5021" s="7">
        <f t="shared" si="6612"/>
        <v>200</v>
      </c>
    </row>
    <row r="5022" spans="1:14">
      <c r="A5022" s="7">
        <f t="shared" si="6561"/>
        <v>30015</v>
      </c>
      <c r="B5022" s="7">
        <f t="shared" ref="B5022:C5022" si="6657">B4934</f>
        <v>40000</v>
      </c>
      <c r="C5022" s="7" t="str">
        <f t="shared" si="6657"/>
        <v>装备</v>
      </c>
      <c r="D5022" s="7">
        <v>50500075</v>
      </c>
      <c r="E5022" s="7"/>
      <c r="F5022" s="7">
        <v>1</v>
      </c>
      <c r="G5022" s="8">
        <f>3*INDEX([1]equip.xml!$I:$I,MATCH(D5022,[1]equip.xml!$A:$A,0))</f>
        <v>300000</v>
      </c>
      <c r="H5022" s="7" t="str">
        <f t="shared" ref="H5022:J5022" si="6658">H4934</f>
        <v>10_10,50_20,80_30</v>
      </c>
      <c r="I5022" s="7">
        <v>3</v>
      </c>
      <c r="J5022" s="7">
        <f t="shared" si="6658"/>
        <v>240</v>
      </c>
      <c r="K5022" s="7" t="s">
        <v>311</v>
      </c>
      <c r="L5022" s="7">
        <v>38</v>
      </c>
      <c r="M5022" s="7">
        <f>IF(INDEX([1]equip.xml!$B:$B,MATCH(D5022,[1]equip.xml!$A:$A,0))=0,0,N5022)</f>
        <v>200</v>
      </c>
      <c r="N5022" s="7">
        <f t="shared" si="6612"/>
        <v>200</v>
      </c>
    </row>
    <row r="5023" spans="1:14">
      <c r="A5023" s="7">
        <f t="shared" si="6561"/>
        <v>30015</v>
      </c>
      <c r="B5023" s="7">
        <f t="shared" ref="B5023:C5023" si="6659">B4935</f>
        <v>40000</v>
      </c>
      <c r="C5023" s="7" t="str">
        <f t="shared" si="6659"/>
        <v>装备</v>
      </c>
      <c r="D5023" s="7">
        <v>50500076</v>
      </c>
      <c r="E5023" s="7"/>
      <c r="F5023" s="7">
        <v>1</v>
      </c>
      <c r="G5023" s="8">
        <f>3*INDEX([1]equip.xml!$I:$I,MATCH(D5023,[1]equip.xml!$A:$A,0))</f>
        <v>318000</v>
      </c>
      <c r="H5023" s="7" t="str">
        <f t="shared" ref="H5023:J5023" si="6660">H4935</f>
        <v>10_10,50_20,80_30</v>
      </c>
      <c r="I5023" s="7">
        <v>3</v>
      </c>
      <c r="J5023" s="7">
        <f t="shared" si="6660"/>
        <v>240</v>
      </c>
      <c r="K5023" s="7" t="s">
        <v>311</v>
      </c>
      <c r="L5023" s="7">
        <v>38</v>
      </c>
      <c r="M5023" s="7">
        <f>IF(INDEX([1]equip.xml!$B:$B,MATCH(D5023,[1]equip.xml!$A:$A,0))=0,0,N5023)</f>
        <v>0</v>
      </c>
      <c r="N5023" s="7">
        <f t="shared" si="6612"/>
        <v>200</v>
      </c>
    </row>
    <row r="5024" spans="1:14">
      <c r="A5024" s="7">
        <f t="shared" si="6561"/>
        <v>30015</v>
      </c>
      <c r="B5024" s="7">
        <f t="shared" ref="B5024:C5024" si="6661">B4936</f>
        <v>40000</v>
      </c>
      <c r="C5024" s="7" t="str">
        <f t="shared" si="6661"/>
        <v>装备</v>
      </c>
      <c r="D5024" s="7">
        <v>50550015</v>
      </c>
      <c r="E5024" s="7"/>
      <c r="F5024" s="7">
        <v>1</v>
      </c>
      <c r="G5024" s="8">
        <f>3*INDEX([1]equip.xml!$I:$I,MATCH(D5024,[1]equip.xml!$A:$A,0))</f>
        <v>330000</v>
      </c>
      <c r="H5024" s="7" t="str">
        <f t="shared" ref="H5024:J5024" si="6662">H4936</f>
        <v>10_10,50_20,80_30</v>
      </c>
      <c r="I5024" s="7">
        <v>3</v>
      </c>
      <c r="J5024" s="7">
        <f t="shared" si="6662"/>
        <v>240</v>
      </c>
      <c r="K5024" s="7" t="s">
        <v>311</v>
      </c>
      <c r="L5024" s="7">
        <v>38</v>
      </c>
      <c r="M5024" s="7">
        <f>IF(INDEX([1]equip.xml!$B:$B,MATCH(D5024,[1]equip.xml!$A:$A,0))=0,0,N5024)</f>
        <v>140</v>
      </c>
      <c r="N5024" s="7">
        <f t="shared" si="6612"/>
        <v>140</v>
      </c>
    </row>
    <row r="5025" spans="1:14">
      <c r="A5025" s="7">
        <f t="shared" si="6561"/>
        <v>30015</v>
      </c>
      <c r="B5025" s="7">
        <f t="shared" ref="B5025:C5025" si="6663">B4937</f>
        <v>40000</v>
      </c>
      <c r="C5025" s="7" t="str">
        <f t="shared" si="6663"/>
        <v>装备</v>
      </c>
      <c r="D5025" s="7">
        <v>50550025</v>
      </c>
      <c r="E5025" s="7"/>
      <c r="F5025" s="7">
        <v>1</v>
      </c>
      <c r="G5025" s="8">
        <f>3*INDEX([1]equip.xml!$I:$I,MATCH(D5025,[1]equip.xml!$A:$A,0))</f>
        <v>330000</v>
      </c>
      <c r="H5025" s="7" t="str">
        <f t="shared" ref="H5025:J5025" si="6664">H4937</f>
        <v>10_10,50_20,80_30</v>
      </c>
      <c r="I5025" s="7">
        <v>3</v>
      </c>
      <c r="J5025" s="7">
        <f t="shared" si="6664"/>
        <v>240</v>
      </c>
      <c r="K5025" s="7" t="s">
        <v>311</v>
      </c>
      <c r="L5025" s="7">
        <v>38</v>
      </c>
      <c r="M5025" s="7">
        <f>IF(INDEX([1]equip.xml!$B:$B,MATCH(D5025,[1]equip.xml!$A:$A,0))=0,0,N5025)</f>
        <v>140</v>
      </c>
      <c r="N5025" s="7">
        <f t="shared" si="6612"/>
        <v>140</v>
      </c>
    </row>
    <row r="5026" spans="1:14">
      <c r="A5026" s="7">
        <f t="shared" si="6561"/>
        <v>30015</v>
      </c>
      <c r="B5026" s="7">
        <f t="shared" ref="B5026:C5026" si="6665">B4938</f>
        <v>40000</v>
      </c>
      <c r="C5026" s="7" t="str">
        <f t="shared" si="6665"/>
        <v>装备</v>
      </c>
      <c r="D5026" s="7">
        <v>50550035</v>
      </c>
      <c r="E5026" s="7"/>
      <c r="F5026" s="7">
        <v>1</v>
      </c>
      <c r="G5026" s="8">
        <f>3*INDEX([1]equip.xml!$I:$I,MATCH(D5026,[1]equip.xml!$A:$A,0))</f>
        <v>330000</v>
      </c>
      <c r="H5026" s="7" t="str">
        <f t="shared" ref="H5026:J5026" si="6666">H4938</f>
        <v>10_10,50_20,80_30</v>
      </c>
      <c r="I5026" s="7">
        <v>3</v>
      </c>
      <c r="J5026" s="7">
        <f t="shared" si="6666"/>
        <v>240</v>
      </c>
      <c r="K5026" s="7" t="s">
        <v>311</v>
      </c>
      <c r="L5026" s="7">
        <v>38</v>
      </c>
      <c r="M5026" s="7">
        <f>IF(INDEX([1]equip.xml!$B:$B,MATCH(D5026,[1]equip.xml!$A:$A,0))=0,0,N5026)</f>
        <v>140</v>
      </c>
      <c r="N5026" s="7">
        <f t="shared" si="6612"/>
        <v>140</v>
      </c>
    </row>
    <row r="5027" spans="1:14">
      <c r="A5027" s="7">
        <f t="shared" si="6561"/>
        <v>30015</v>
      </c>
      <c r="B5027" s="7">
        <f t="shared" ref="B5027:C5027" si="6667">B4939</f>
        <v>40000</v>
      </c>
      <c r="C5027" s="7" t="str">
        <f t="shared" si="6667"/>
        <v>装备</v>
      </c>
      <c r="D5027" s="7">
        <v>50550085</v>
      </c>
      <c r="E5027" s="7"/>
      <c r="F5027" s="7">
        <v>1</v>
      </c>
      <c r="G5027" s="8">
        <f>3*INDEX([1]equip.xml!$I:$I,MATCH(D5027,[1]equip.xml!$A:$A,0))</f>
        <v>330000</v>
      </c>
      <c r="H5027" s="7" t="str">
        <f t="shared" ref="H5027:J5027" si="6668">H4939</f>
        <v>10_10,50_20,80_30</v>
      </c>
      <c r="I5027" s="7">
        <v>3</v>
      </c>
      <c r="J5027" s="7">
        <f t="shared" si="6668"/>
        <v>240</v>
      </c>
      <c r="K5027" s="7" t="s">
        <v>311</v>
      </c>
      <c r="L5027" s="7">
        <v>38</v>
      </c>
      <c r="M5027" s="7">
        <f>IF(INDEX([1]equip.xml!$B:$B,MATCH(D5027,[1]equip.xml!$A:$A,0))=0,0,N5027)</f>
        <v>140</v>
      </c>
      <c r="N5027" s="7">
        <f t="shared" si="6612"/>
        <v>140</v>
      </c>
    </row>
    <row r="5028" spans="1:14">
      <c r="A5028" s="7">
        <f t="shared" si="6561"/>
        <v>30015</v>
      </c>
      <c r="B5028" s="7">
        <f t="shared" ref="B5028:C5028" si="6669">B4940</f>
        <v>40000</v>
      </c>
      <c r="C5028" s="7" t="str">
        <f t="shared" si="6669"/>
        <v>装备</v>
      </c>
      <c r="D5028" s="7">
        <v>50550095</v>
      </c>
      <c r="E5028" s="7"/>
      <c r="F5028" s="7">
        <v>1</v>
      </c>
      <c r="G5028" s="8">
        <f>3*INDEX([1]equip.xml!$I:$I,MATCH(D5028,[1]equip.xml!$A:$A,0))</f>
        <v>330000</v>
      </c>
      <c r="H5028" s="7" t="str">
        <f t="shared" ref="H5028:J5028" si="6670">H4940</f>
        <v>10_10,50_20,80_30</v>
      </c>
      <c r="I5028" s="7">
        <v>3</v>
      </c>
      <c r="J5028" s="7">
        <f t="shared" si="6670"/>
        <v>240</v>
      </c>
      <c r="K5028" s="7" t="s">
        <v>311</v>
      </c>
      <c r="L5028" s="7">
        <v>38</v>
      </c>
      <c r="M5028" s="7">
        <f>IF(INDEX([1]equip.xml!$B:$B,MATCH(D5028,[1]equip.xml!$A:$A,0))=0,0,N5028)</f>
        <v>0</v>
      </c>
      <c r="N5028" s="7">
        <f t="shared" si="6612"/>
        <v>140</v>
      </c>
    </row>
    <row r="5029" spans="1:14">
      <c r="A5029" s="7">
        <f t="shared" si="6561"/>
        <v>30015</v>
      </c>
      <c r="B5029" s="7">
        <f t="shared" ref="B5029:C5029" si="6671">B4941</f>
        <v>40000</v>
      </c>
      <c r="C5029" s="7" t="str">
        <f t="shared" si="6671"/>
        <v>装备</v>
      </c>
      <c r="D5029" s="7">
        <v>50550105</v>
      </c>
      <c r="E5029" s="7"/>
      <c r="F5029" s="7">
        <v>1</v>
      </c>
      <c r="G5029" s="8">
        <f>3*INDEX([1]equip.xml!$I:$I,MATCH(D5029,[1]equip.xml!$A:$A,0))</f>
        <v>330000</v>
      </c>
      <c r="H5029" s="7" t="str">
        <f t="shared" ref="H5029:J5029" si="6672">H4941</f>
        <v>10_10,50_20,80_30</v>
      </c>
      <c r="I5029" s="7">
        <v>3</v>
      </c>
      <c r="J5029" s="7">
        <f t="shared" si="6672"/>
        <v>240</v>
      </c>
      <c r="K5029" s="7" t="s">
        <v>311</v>
      </c>
      <c r="L5029" s="7">
        <v>38</v>
      </c>
      <c r="M5029" s="7">
        <f>IF(INDEX([1]equip.xml!$B:$B,MATCH(D5029,[1]equip.xml!$A:$A,0))=0,0,N5029)</f>
        <v>140</v>
      </c>
      <c r="N5029" s="7">
        <f t="shared" si="6612"/>
        <v>140</v>
      </c>
    </row>
    <row r="5030" spans="1:14">
      <c r="A5030" s="7">
        <f t="shared" si="6561"/>
        <v>30015</v>
      </c>
      <c r="B5030" s="7">
        <f t="shared" ref="B5030:C5030" si="6673">B4942</f>
        <v>40000</v>
      </c>
      <c r="C5030" s="7" t="str">
        <f t="shared" si="6673"/>
        <v>装备</v>
      </c>
      <c r="D5030" s="7">
        <v>50551055</v>
      </c>
      <c r="E5030" s="7"/>
      <c r="F5030" s="7">
        <v>1</v>
      </c>
      <c r="G5030" s="8">
        <f>3*INDEX([1]equip.xml!$I:$I,MATCH(D5030,[1]equip.xml!$A:$A,0))</f>
        <v>330000</v>
      </c>
      <c r="H5030" s="7" t="str">
        <f t="shared" ref="H5030:J5030" si="6674">H4942</f>
        <v>10_10,50_20,80_30</v>
      </c>
      <c r="I5030" s="7">
        <v>3</v>
      </c>
      <c r="J5030" s="7">
        <f t="shared" si="6674"/>
        <v>240</v>
      </c>
      <c r="K5030" s="7" t="s">
        <v>311</v>
      </c>
      <c r="L5030" s="7">
        <v>38</v>
      </c>
      <c r="M5030" s="7">
        <f>IF(INDEX([1]equip.xml!$B:$B,MATCH(D5030,[1]equip.xml!$A:$A,0))=0,0,N5030)</f>
        <v>140</v>
      </c>
      <c r="N5030" s="7">
        <f t="shared" si="6612"/>
        <v>140</v>
      </c>
    </row>
    <row r="5031" spans="1:14">
      <c r="A5031" s="7">
        <f t="shared" si="6561"/>
        <v>30015</v>
      </c>
      <c r="B5031" s="7">
        <f t="shared" ref="B5031:C5031" si="6675">B4943</f>
        <v>40000</v>
      </c>
      <c r="C5031" s="7" t="str">
        <f t="shared" si="6675"/>
        <v>装备</v>
      </c>
      <c r="D5031" s="7">
        <v>50551056</v>
      </c>
      <c r="E5031" s="7"/>
      <c r="F5031" s="7">
        <v>1</v>
      </c>
      <c r="G5031" s="8">
        <f>3*INDEX([1]equip.xml!$I:$I,MATCH(D5031,[1]equip.xml!$A:$A,0))</f>
        <v>348000</v>
      </c>
      <c r="H5031" s="7" t="str">
        <f t="shared" ref="H5031:J5031" si="6676">H4943</f>
        <v>10_10,50_20,80_30</v>
      </c>
      <c r="I5031" s="7">
        <v>3</v>
      </c>
      <c r="J5031" s="7">
        <f t="shared" si="6676"/>
        <v>240</v>
      </c>
      <c r="K5031" s="7" t="s">
        <v>311</v>
      </c>
      <c r="L5031" s="7">
        <v>38</v>
      </c>
      <c r="M5031" s="7">
        <f>IF(INDEX([1]equip.xml!$B:$B,MATCH(D5031,[1]equip.xml!$A:$A,0))=0,0,N5031)</f>
        <v>0</v>
      </c>
      <c r="N5031" s="7">
        <f t="shared" si="6612"/>
        <v>140</v>
      </c>
    </row>
    <row r="5032" spans="1:14">
      <c r="A5032" s="7">
        <f t="shared" si="6561"/>
        <v>30015</v>
      </c>
      <c r="B5032" s="7">
        <f t="shared" ref="B5032:C5032" si="6677">B4944</f>
        <v>40000</v>
      </c>
      <c r="C5032" s="7" t="str">
        <f t="shared" si="6677"/>
        <v>装备</v>
      </c>
      <c r="D5032" s="7">
        <v>50551065</v>
      </c>
      <c r="E5032" s="7"/>
      <c r="F5032" s="7">
        <v>1</v>
      </c>
      <c r="G5032" s="8">
        <f>3*INDEX([1]equip.xml!$I:$I,MATCH(D5032,[1]equip.xml!$A:$A,0))</f>
        <v>330000</v>
      </c>
      <c r="H5032" s="7" t="str">
        <f t="shared" ref="H5032:J5032" si="6678">H4944</f>
        <v>10_10,50_20,80_30</v>
      </c>
      <c r="I5032" s="7">
        <v>3</v>
      </c>
      <c r="J5032" s="7">
        <f t="shared" si="6678"/>
        <v>240</v>
      </c>
      <c r="K5032" s="7" t="s">
        <v>311</v>
      </c>
      <c r="L5032" s="7">
        <v>38</v>
      </c>
      <c r="M5032" s="7">
        <f>IF(INDEX([1]equip.xml!$B:$B,MATCH(D5032,[1]equip.xml!$A:$A,0))=0,0,N5032)</f>
        <v>140</v>
      </c>
      <c r="N5032" s="7">
        <f t="shared" si="6612"/>
        <v>140</v>
      </c>
    </row>
    <row r="5033" spans="1:14">
      <c r="A5033" s="7">
        <f t="shared" si="6561"/>
        <v>30015</v>
      </c>
      <c r="B5033" s="7">
        <f t="shared" ref="B5033:C5033" si="6679">B4945</f>
        <v>40000</v>
      </c>
      <c r="C5033" s="7" t="str">
        <f t="shared" si="6679"/>
        <v>装备</v>
      </c>
      <c r="D5033" s="7">
        <v>50551066</v>
      </c>
      <c r="E5033" s="7"/>
      <c r="F5033" s="7">
        <v>1</v>
      </c>
      <c r="G5033" s="8">
        <f>3*INDEX([1]equip.xml!$I:$I,MATCH(D5033,[1]equip.xml!$A:$A,0))</f>
        <v>348000</v>
      </c>
      <c r="H5033" s="7" t="str">
        <f t="shared" ref="H5033:J5033" si="6680">H4945</f>
        <v>10_10,50_20,80_30</v>
      </c>
      <c r="I5033" s="7">
        <v>3</v>
      </c>
      <c r="J5033" s="7">
        <f t="shared" si="6680"/>
        <v>240</v>
      </c>
      <c r="K5033" s="7" t="s">
        <v>311</v>
      </c>
      <c r="L5033" s="7">
        <v>38</v>
      </c>
      <c r="M5033" s="7">
        <f>IF(INDEX([1]equip.xml!$B:$B,MATCH(D5033,[1]equip.xml!$A:$A,0))=0,0,N5033)</f>
        <v>140</v>
      </c>
      <c r="N5033" s="7">
        <f t="shared" si="6612"/>
        <v>140</v>
      </c>
    </row>
    <row r="5034" spans="1:14">
      <c r="A5034" s="7">
        <f t="shared" si="6561"/>
        <v>30015</v>
      </c>
      <c r="B5034" s="7">
        <f t="shared" ref="B5034:C5034" si="6681">B4946</f>
        <v>40000</v>
      </c>
      <c r="C5034" s="7" t="str">
        <f t="shared" si="6681"/>
        <v>装备</v>
      </c>
      <c r="D5034" s="7">
        <v>50552055</v>
      </c>
      <c r="E5034" s="7"/>
      <c r="F5034" s="7">
        <v>1</v>
      </c>
      <c r="G5034" s="8">
        <f>3*INDEX([1]equip.xml!$I:$I,MATCH(D5034,[1]equip.xml!$A:$A,0))</f>
        <v>330000</v>
      </c>
      <c r="H5034" s="7" t="str">
        <f t="shared" ref="H5034:J5034" si="6682">H4946</f>
        <v>10_10,50_20,80_30</v>
      </c>
      <c r="I5034" s="7">
        <v>3</v>
      </c>
      <c r="J5034" s="7">
        <f t="shared" si="6682"/>
        <v>240</v>
      </c>
      <c r="K5034" s="7" t="s">
        <v>311</v>
      </c>
      <c r="L5034" s="7">
        <v>38</v>
      </c>
      <c r="M5034" s="7">
        <f>IF(INDEX([1]equip.xml!$B:$B,MATCH(D5034,[1]equip.xml!$A:$A,0))=0,0,N5034)</f>
        <v>140</v>
      </c>
      <c r="N5034" s="7">
        <f t="shared" si="6612"/>
        <v>140</v>
      </c>
    </row>
    <row r="5035" spans="1:14">
      <c r="A5035" s="7">
        <f t="shared" si="6561"/>
        <v>30015</v>
      </c>
      <c r="B5035" s="7">
        <f t="shared" ref="B5035:C5035" si="6683">B4947</f>
        <v>40000</v>
      </c>
      <c r="C5035" s="7" t="str">
        <f t="shared" si="6683"/>
        <v>装备</v>
      </c>
      <c r="D5035" s="7">
        <v>50552056</v>
      </c>
      <c r="E5035" s="7"/>
      <c r="F5035" s="7">
        <v>1</v>
      </c>
      <c r="G5035" s="8">
        <f>3*INDEX([1]equip.xml!$I:$I,MATCH(D5035,[1]equip.xml!$A:$A,0))</f>
        <v>348000</v>
      </c>
      <c r="H5035" s="7" t="str">
        <f t="shared" ref="H5035:J5035" si="6684">H4947</f>
        <v>10_10,50_20,80_30</v>
      </c>
      <c r="I5035" s="7">
        <v>3</v>
      </c>
      <c r="J5035" s="7">
        <f t="shared" si="6684"/>
        <v>240</v>
      </c>
      <c r="K5035" s="7" t="s">
        <v>311</v>
      </c>
      <c r="L5035" s="7">
        <v>38</v>
      </c>
      <c r="M5035" s="7">
        <f>IF(INDEX([1]equip.xml!$B:$B,MATCH(D5035,[1]equip.xml!$A:$A,0))=0,0,N5035)</f>
        <v>0</v>
      </c>
      <c r="N5035" s="7">
        <f t="shared" si="6612"/>
        <v>140</v>
      </c>
    </row>
    <row r="5036" spans="1:14">
      <c r="A5036" s="7">
        <f t="shared" si="6561"/>
        <v>30015</v>
      </c>
      <c r="B5036" s="7">
        <f t="shared" ref="B5036:C5036" si="6685">B4948</f>
        <v>40000</v>
      </c>
      <c r="C5036" s="7" t="str">
        <f t="shared" si="6685"/>
        <v>装备</v>
      </c>
      <c r="D5036" s="7">
        <v>50552065</v>
      </c>
      <c r="E5036" s="7"/>
      <c r="F5036" s="7">
        <v>1</v>
      </c>
      <c r="G5036" s="8">
        <f>3*INDEX([1]equip.xml!$I:$I,MATCH(D5036,[1]equip.xml!$A:$A,0))</f>
        <v>330000</v>
      </c>
      <c r="H5036" s="7" t="str">
        <f t="shared" ref="H5036:J5036" si="6686">H4948</f>
        <v>10_10,50_20,80_30</v>
      </c>
      <c r="I5036" s="7">
        <v>3</v>
      </c>
      <c r="J5036" s="7">
        <f t="shared" si="6686"/>
        <v>240</v>
      </c>
      <c r="K5036" s="7" t="s">
        <v>311</v>
      </c>
      <c r="L5036" s="7">
        <v>38</v>
      </c>
      <c r="M5036" s="7">
        <f>IF(INDEX([1]equip.xml!$B:$B,MATCH(D5036,[1]equip.xml!$A:$A,0))=0,0,N5036)</f>
        <v>140</v>
      </c>
      <c r="N5036" s="7">
        <f t="shared" si="6612"/>
        <v>140</v>
      </c>
    </row>
    <row r="5037" spans="1:14">
      <c r="A5037" s="7">
        <f t="shared" si="6561"/>
        <v>30015</v>
      </c>
      <c r="B5037" s="7">
        <f t="shared" ref="B5037:C5037" si="6687">B4949</f>
        <v>40000</v>
      </c>
      <c r="C5037" s="7" t="str">
        <f t="shared" si="6687"/>
        <v>装备</v>
      </c>
      <c r="D5037" s="7">
        <v>50552066</v>
      </c>
      <c r="E5037" s="7"/>
      <c r="F5037" s="7">
        <v>1</v>
      </c>
      <c r="G5037" s="8">
        <f>3*INDEX([1]equip.xml!$I:$I,MATCH(D5037,[1]equip.xml!$A:$A,0))</f>
        <v>348000</v>
      </c>
      <c r="H5037" s="7" t="str">
        <f t="shared" ref="H5037:J5037" si="6688">H4949</f>
        <v>10_10,50_20,80_30</v>
      </c>
      <c r="I5037" s="7">
        <v>3</v>
      </c>
      <c r="J5037" s="7">
        <f t="shared" si="6688"/>
        <v>240</v>
      </c>
      <c r="K5037" s="7" t="s">
        <v>311</v>
      </c>
      <c r="L5037" s="7">
        <v>38</v>
      </c>
      <c r="M5037" s="7">
        <f>IF(INDEX([1]equip.xml!$B:$B,MATCH(D5037,[1]equip.xml!$A:$A,0))=0,0,N5037)</f>
        <v>140</v>
      </c>
      <c r="N5037" s="7">
        <f t="shared" si="6612"/>
        <v>140</v>
      </c>
    </row>
    <row r="5038" spans="1:14">
      <c r="A5038" s="7">
        <f t="shared" si="6561"/>
        <v>30015</v>
      </c>
      <c r="B5038" s="7">
        <f t="shared" ref="B5038:C5038" si="6689">B4950</f>
        <v>40000</v>
      </c>
      <c r="C5038" s="7" t="str">
        <f t="shared" si="6689"/>
        <v>装备</v>
      </c>
      <c r="D5038" s="7">
        <v>50553055</v>
      </c>
      <c r="E5038" s="7"/>
      <c r="F5038" s="7">
        <v>1</v>
      </c>
      <c r="G5038" s="8">
        <f>3*INDEX([1]equip.xml!$I:$I,MATCH(D5038,[1]equip.xml!$A:$A,0))</f>
        <v>330000</v>
      </c>
      <c r="H5038" s="7" t="str">
        <f t="shared" ref="H5038:J5038" si="6690">H4950</f>
        <v>10_10,50_20,80_30</v>
      </c>
      <c r="I5038" s="7">
        <v>3</v>
      </c>
      <c r="J5038" s="7">
        <f t="shared" si="6690"/>
        <v>240</v>
      </c>
      <c r="K5038" s="7" t="s">
        <v>311</v>
      </c>
      <c r="L5038" s="7">
        <v>38</v>
      </c>
      <c r="M5038" s="7">
        <f>IF(INDEX([1]equip.xml!$B:$B,MATCH(D5038,[1]equip.xml!$A:$A,0))=0,0,N5038)</f>
        <v>140</v>
      </c>
      <c r="N5038" s="7">
        <f t="shared" si="6612"/>
        <v>140</v>
      </c>
    </row>
    <row r="5039" spans="1:14">
      <c r="A5039" s="7">
        <f t="shared" ref="A5039:A5102" si="6691">10000+A3807</f>
        <v>30015</v>
      </c>
      <c r="B5039" s="7">
        <f t="shared" ref="B5039:C5039" si="6692">B4951</f>
        <v>40000</v>
      </c>
      <c r="C5039" s="7" t="str">
        <f t="shared" si="6692"/>
        <v>装备</v>
      </c>
      <c r="D5039" s="7">
        <v>50553056</v>
      </c>
      <c r="E5039" s="7"/>
      <c r="F5039" s="7">
        <v>1</v>
      </c>
      <c r="G5039" s="8">
        <f>3*INDEX([1]equip.xml!$I:$I,MATCH(D5039,[1]equip.xml!$A:$A,0))</f>
        <v>348000</v>
      </c>
      <c r="H5039" s="7" t="str">
        <f t="shared" ref="H5039:J5039" si="6693">H4951</f>
        <v>10_10,50_20,80_30</v>
      </c>
      <c r="I5039" s="7">
        <v>3</v>
      </c>
      <c r="J5039" s="7">
        <f t="shared" si="6693"/>
        <v>240</v>
      </c>
      <c r="K5039" s="7" t="s">
        <v>311</v>
      </c>
      <c r="L5039" s="7">
        <v>38</v>
      </c>
      <c r="M5039" s="7">
        <f>IF(INDEX([1]equip.xml!$B:$B,MATCH(D5039,[1]equip.xml!$A:$A,0))=0,0,N5039)</f>
        <v>0</v>
      </c>
      <c r="N5039" s="7">
        <f t="shared" si="6612"/>
        <v>140</v>
      </c>
    </row>
    <row r="5040" spans="1:14">
      <c r="A5040" s="7">
        <f t="shared" si="6691"/>
        <v>30015</v>
      </c>
      <c r="B5040" s="7">
        <f t="shared" ref="B5040:C5040" si="6694">B4952</f>
        <v>40000</v>
      </c>
      <c r="C5040" s="7" t="str">
        <f t="shared" si="6694"/>
        <v>装备</v>
      </c>
      <c r="D5040" s="7">
        <v>50553065</v>
      </c>
      <c r="E5040" s="7"/>
      <c r="F5040" s="7">
        <v>1</v>
      </c>
      <c r="G5040" s="8">
        <f>3*INDEX([1]equip.xml!$I:$I,MATCH(D5040,[1]equip.xml!$A:$A,0))</f>
        <v>330000</v>
      </c>
      <c r="H5040" s="7" t="str">
        <f t="shared" ref="H5040:J5040" si="6695">H4952</f>
        <v>10_10,50_20,80_30</v>
      </c>
      <c r="I5040" s="7">
        <v>3</v>
      </c>
      <c r="J5040" s="7">
        <f t="shared" si="6695"/>
        <v>240</v>
      </c>
      <c r="K5040" s="7" t="s">
        <v>311</v>
      </c>
      <c r="L5040" s="7">
        <v>38</v>
      </c>
      <c r="M5040" s="7">
        <f>IF(INDEX([1]equip.xml!$B:$B,MATCH(D5040,[1]equip.xml!$A:$A,0))=0,0,N5040)</f>
        <v>140</v>
      </c>
      <c r="N5040" s="7">
        <f t="shared" si="6612"/>
        <v>140</v>
      </c>
    </row>
    <row r="5041" spans="1:14">
      <c r="A5041" s="7">
        <f t="shared" si="6691"/>
        <v>30015</v>
      </c>
      <c r="B5041" s="7">
        <f t="shared" ref="B5041:C5041" si="6696">B4953</f>
        <v>40000</v>
      </c>
      <c r="C5041" s="7" t="str">
        <f t="shared" si="6696"/>
        <v>装备</v>
      </c>
      <c r="D5041" s="7">
        <v>50553066</v>
      </c>
      <c r="E5041" s="7"/>
      <c r="F5041" s="7">
        <v>1</v>
      </c>
      <c r="G5041" s="8">
        <f>3*INDEX([1]equip.xml!$I:$I,MATCH(D5041,[1]equip.xml!$A:$A,0))</f>
        <v>348000</v>
      </c>
      <c r="H5041" s="7" t="str">
        <f t="shared" ref="H5041:J5041" si="6697">H4953</f>
        <v>10_10,50_20,80_30</v>
      </c>
      <c r="I5041" s="7">
        <v>3</v>
      </c>
      <c r="J5041" s="7">
        <f t="shared" si="6697"/>
        <v>240</v>
      </c>
      <c r="K5041" s="7" t="s">
        <v>311</v>
      </c>
      <c r="L5041" s="7">
        <v>38</v>
      </c>
      <c r="M5041" s="7">
        <f>IF(INDEX([1]equip.xml!$B:$B,MATCH(D5041,[1]equip.xml!$A:$A,0))=0,0,N5041)</f>
        <v>140</v>
      </c>
      <c r="N5041" s="7">
        <f t="shared" si="6612"/>
        <v>140</v>
      </c>
    </row>
    <row r="5042" spans="1:14">
      <c r="A5042" s="7">
        <f t="shared" si="6691"/>
        <v>30015</v>
      </c>
      <c r="B5042" s="7">
        <f t="shared" ref="B5042:C5042" si="6698">B4954</f>
        <v>40000</v>
      </c>
      <c r="C5042" s="7" t="str">
        <f t="shared" si="6698"/>
        <v>装备</v>
      </c>
      <c r="D5042" s="7">
        <v>50550045</v>
      </c>
      <c r="E5042" s="7"/>
      <c r="F5042" s="7">
        <v>1</v>
      </c>
      <c r="G5042" s="8">
        <f>3*INDEX([1]equip.xml!$I:$I,MATCH(D5042,[1]equip.xml!$A:$A,0))</f>
        <v>330000</v>
      </c>
      <c r="H5042" s="7" t="str">
        <f t="shared" ref="H5042:J5042" si="6699">H4954</f>
        <v>10_10,50_20,80_30</v>
      </c>
      <c r="I5042" s="7">
        <v>3</v>
      </c>
      <c r="J5042" s="7">
        <f t="shared" si="6699"/>
        <v>240</v>
      </c>
      <c r="K5042" s="7" t="s">
        <v>311</v>
      </c>
      <c r="L5042" s="7">
        <v>38</v>
      </c>
      <c r="M5042" s="7">
        <f>IF(INDEX([1]equip.xml!$B:$B,MATCH(D5042,[1]equip.xml!$A:$A,0))=0,0,N5042)</f>
        <v>140</v>
      </c>
      <c r="N5042" s="7">
        <f t="shared" si="6612"/>
        <v>140</v>
      </c>
    </row>
    <row r="5043" spans="1:14">
      <c r="A5043" s="7">
        <f t="shared" si="6691"/>
        <v>30015</v>
      </c>
      <c r="B5043" s="7">
        <f t="shared" ref="B5043:C5043" si="6700">B4955</f>
        <v>40000</v>
      </c>
      <c r="C5043" s="7" t="str">
        <f t="shared" si="6700"/>
        <v>装备</v>
      </c>
      <c r="D5043" s="7">
        <v>50550046</v>
      </c>
      <c r="E5043" s="7"/>
      <c r="F5043" s="7">
        <v>1</v>
      </c>
      <c r="G5043" s="8">
        <f>3*INDEX([1]equip.xml!$I:$I,MATCH(D5043,[1]equip.xml!$A:$A,0))</f>
        <v>348000</v>
      </c>
      <c r="H5043" s="7" t="str">
        <f t="shared" ref="H5043:J5043" si="6701">H4955</f>
        <v>10_10,50_20,80_30</v>
      </c>
      <c r="I5043" s="7">
        <v>3</v>
      </c>
      <c r="J5043" s="7">
        <f t="shared" si="6701"/>
        <v>240</v>
      </c>
      <c r="K5043" s="7" t="s">
        <v>311</v>
      </c>
      <c r="L5043" s="7">
        <v>38</v>
      </c>
      <c r="M5043" s="7">
        <f>IF(INDEX([1]equip.xml!$B:$B,MATCH(D5043,[1]equip.xml!$A:$A,0))=0,0,N5043)</f>
        <v>0</v>
      </c>
      <c r="N5043" s="7">
        <f t="shared" si="6612"/>
        <v>140</v>
      </c>
    </row>
    <row r="5044" spans="1:14">
      <c r="A5044" s="7">
        <f t="shared" si="6691"/>
        <v>30015</v>
      </c>
      <c r="B5044" s="7">
        <f t="shared" ref="B5044:C5044" si="6702">B4956</f>
        <v>40000</v>
      </c>
      <c r="C5044" s="7" t="str">
        <f t="shared" si="6702"/>
        <v>装备</v>
      </c>
      <c r="D5044" s="7">
        <v>50550075</v>
      </c>
      <c r="E5044" s="7"/>
      <c r="F5044" s="7">
        <v>1</v>
      </c>
      <c r="G5044" s="8">
        <f>3*INDEX([1]equip.xml!$I:$I,MATCH(D5044,[1]equip.xml!$A:$A,0))</f>
        <v>330000</v>
      </c>
      <c r="H5044" s="7" t="str">
        <f t="shared" ref="H5044:J5044" si="6703">H4956</f>
        <v>10_10,50_20,80_30</v>
      </c>
      <c r="I5044" s="7">
        <v>3</v>
      </c>
      <c r="J5044" s="7">
        <f t="shared" si="6703"/>
        <v>240</v>
      </c>
      <c r="K5044" s="7" t="s">
        <v>311</v>
      </c>
      <c r="L5044" s="7">
        <v>38</v>
      </c>
      <c r="M5044" s="7">
        <f>IF(INDEX([1]equip.xml!$B:$B,MATCH(D5044,[1]equip.xml!$A:$A,0))=0,0,N5044)</f>
        <v>140</v>
      </c>
      <c r="N5044" s="7">
        <f t="shared" si="6612"/>
        <v>140</v>
      </c>
    </row>
    <row r="5045" spans="1:14">
      <c r="A5045" s="7">
        <f t="shared" si="6691"/>
        <v>30015</v>
      </c>
      <c r="B5045" s="7">
        <f t="shared" ref="B5045:C5045" si="6704">B4957</f>
        <v>40000</v>
      </c>
      <c r="C5045" s="7" t="str">
        <f t="shared" si="6704"/>
        <v>装备</v>
      </c>
      <c r="D5045" s="7">
        <v>50550076</v>
      </c>
      <c r="E5045" s="7"/>
      <c r="F5045" s="7">
        <v>1</v>
      </c>
      <c r="G5045" s="8">
        <f>3*INDEX([1]equip.xml!$I:$I,MATCH(D5045,[1]equip.xml!$A:$A,0))</f>
        <v>348000</v>
      </c>
      <c r="H5045" s="7" t="str">
        <f t="shared" ref="H5045:J5045" si="6705">H4957</f>
        <v>10_10,50_20,80_30</v>
      </c>
      <c r="I5045" s="7">
        <v>3</v>
      </c>
      <c r="J5045" s="7">
        <f t="shared" si="6705"/>
        <v>240</v>
      </c>
      <c r="K5045" s="7" t="s">
        <v>311</v>
      </c>
      <c r="L5045" s="7">
        <v>38</v>
      </c>
      <c r="M5045" s="7">
        <f>IF(INDEX([1]equip.xml!$B:$B,MATCH(D5045,[1]equip.xml!$A:$A,0))=0,0,N5045)</f>
        <v>0</v>
      </c>
      <c r="N5045" s="7">
        <f t="shared" si="6612"/>
        <v>140</v>
      </c>
    </row>
    <row r="5046" spans="1:14">
      <c r="A5046" s="7">
        <f t="shared" si="6691"/>
        <v>30016</v>
      </c>
      <c r="B5046" s="8">
        <f t="shared" ref="B5046:C5046" si="6706">B4958</f>
        <v>40000</v>
      </c>
      <c r="C5046" s="8" t="str">
        <f t="shared" si="6706"/>
        <v>装备</v>
      </c>
      <c r="D5046" s="8">
        <v>40550010</v>
      </c>
      <c r="E5046" s="8"/>
      <c r="F5046" s="8">
        <v>1</v>
      </c>
      <c r="G5046" s="7">
        <f>3*INDEX([1]equip.xml!$I:$I,MATCH(D5046&amp;"",[1]equip.xml!$A:$A,0))</f>
        <v>165000</v>
      </c>
      <c r="H5046" s="8" t="str">
        <f t="shared" ref="H5046:J5046" si="6707">H4958</f>
        <v>10_10,50_20,80_30</v>
      </c>
      <c r="I5046" s="8">
        <v>6</v>
      </c>
      <c r="J5046" s="8">
        <f t="shared" si="6707"/>
        <v>50</v>
      </c>
      <c r="K5046" s="7" t="s">
        <v>311</v>
      </c>
      <c r="L5046" s="8">
        <v>40</v>
      </c>
      <c r="M5046" s="7">
        <f>IF(INDEX([1]equip.xml!$B:$B,MATCH(D5046&amp;"",[1]equip.xml!$A:$A,0))=0,0,N5046)</f>
        <v>100</v>
      </c>
      <c r="N5046" s="7">
        <f t="shared" si="6612"/>
        <v>100</v>
      </c>
    </row>
    <row r="5047" spans="1:14">
      <c r="A5047" s="7">
        <f t="shared" si="6691"/>
        <v>30016</v>
      </c>
      <c r="B5047" s="8">
        <f t="shared" ref="B5047:C5047" si="6708">B4959</f>
        <v>40000</v>
      </c>
      <c r="C5047" s="8" t="str">
        <f t="shared" si="6708"/>
        <v>装备</v>
      </c>
      <c r="D5047" s="8">
        <v>40550020</v>
      </c>
      <c r="E5047" s="8"/>
      <c r="F5047" s="8">
        <v>1</v>
      </c>
      <c r="G5047" s="7">
        <f>3*INDEX([1]equip.xml!$I:$I,MATCH(D5047&amp;"",[1]equip.xml!$A:$A,0))</f>
        <v>165000</v>
      </c>
      <c r="H5047" s="8" t="str">
        <f t="shared" ref="H5047:J5047" si="6709">H4959</f>
        <v>10_10,50_20,80_30</v>
      </c>
      <c r="I5047" s="8">
        <v>6</v>
      </c>
      <c r="J5047" s="8">
        <f t="shared" si="6709"/>
        <v>50</v>
      </c>
      <c r="K5047" s="7" t="s">
        <v>311</v>
      </c>
      <c r="L5047" s="8">
        <v>40</v>
      </c>
      <c r="M5047" s="7">
        <f>IF(INDEX([1]equip.xml!$B:$B,MATCH(D5047&amp;"",[1]equip.xml!$A:$A,0))=0,0,N5047)</f>
        <v>100</v>
      </c>
      <c r="N5047" s="7">
        <f t="shared" si="6612"/>
        <v>100</v>
      </c>
    </row>
    <row r="5048" spans="1:14">
      <c r="A5048" s="7">
        <f t="shared" si="6691"/>
        <v>30016</v>
      </c>
      <c r="B5048" s="8">
        <f t="shared" ref="B5048:C5048" si="6710">B4960</f>
        <v>40000</v>
      </c>
      <c r="C5048" s="8" t="str">
        <f t="shared" si="6710"/>
        <v>装备</v>
      </c>
      <c r="D5048" s="8">
        <v>40550030</v>
      </c>
      <c r="E5048" s="8"/>
      <c r="F5048" s="8">
        <v>1</v>
      </c>
      <c r="G5048" s="7">
        <f>3*INDEX([1]equip.xml!$I:$I,MATCH(D5048&amp;"",[1]equip.xml!$A:$A,0))</f>
        <v>165000</v>
      </c>
      <c r="H5048" s="8" t="str">
        <f t="shared" ref="H5048:J5048" si="6711">H4960</f>
        <v>10_10,50_20,80_30</v>
      </c>
      <c r="I5048" s="8">
        <v>6</v>
      </c>
      <c r="J5048" s="8">
        <f t="shared" si="6711"/>
        <v>50</v>
      </c>
      <c r="K5048" s="7" t="s">
        <v>311</v>
      </c>
      <c r="L5048" s="8">
        <v>40</v>
      </c>
      <c r="M5048" s="7">
        <f>IF(INDEX([1]equip.xml!$B:$B,MATCH(D5048&amp;"",[1]equip.xml!$A:$A,0))=0,0,N5048)</f>
        <v>100</v>
      </c>
      <c r="N5048" s="7">
        <f t="shared" si="6612"/>
        <v>100</v>
      </c>
    </row>
    <row r="5049" spans="1:14">
      <c r="A5049" s="7">
        <f t="shared" si="6691"/>
        <v>30016</v>
      </c>
      <c r="B5049" s="8">
        <f t="shared" ref="B5049:C5049" si="6712">B4961</f>
        <v>40000</v>
      </c>
      <c r="C5049" s="8" t="str">
        <f t="shared" si="6712"/>
        <v>装备</v>
      </c>
      <c r="D5049" s="8">
        <v>40550080</v>
      </c>
      <c r="E5049" s="8"/>
      <c r="F5049" s="8">
        <v>1</v>
      </c>
      <c r="G5049" s="7">
        <f>3*INDEX([1]equip.xml!$I:$I,MATCH(D5049&amp;"",[1]equip.xml!$A:$A,0))</f>
        <v>165000</v>
      </c>
      <c r="H5049" s="8" t="str">
        <f t="shared" ref="H5049:J5049" si="6713">H4961</f>
        <v>10_10,50_20,80_30</v>
      </c>
      <c r="I5049" s="8">
        <v>6</v>
      </c>
      <c r="J5049" s="8">
        <f t="shared" si="6713"/>
        <v>50</v>
      </c>
      <c r="K5049" s="7" t="s">
        <v>311</v>
      </c>
      <c r="L5049" s="8">
        <v>40</v>
      </c>
      <c r="M5049" s="7">
        <f>IF(INDEX([1]equip.xml!$B:$B,MATCH(D5049&amp;"",[1]equip.xml!$A:$A,0))=0,0,N5049)</f>
        <v>100</v>
      </c>
      <c r="N5049" s="7">
        <f t="shared" si="6612"/>
        <v>100</v>
      </c>
    </row>
    <row r="5050" spans="1:14">
      <c r="A5050" s="7">
        <f t="shared" si="6691"/>
        <v>30016</v>
      </c>
      <c r="B5050" s="8">
        <f t="shared" ref="B5050:C5050" si="6714">B4962</f>
        <v>40000</v>
      </c>
      <c r="C5050" s="8" t="str">
        <f t="shared" si="6714"/>
        <v>装备</v>
      </c>
      <c r="D5050" s="8">
        <v>40550090</v>
      </c>
      <c r="E5050" s="8"/>
      <c r="F5050" s="8">
        <v>1</v>
      </c>
      <c r="G5050" s="7">
        <f>3*INDEX([1]equip.xml!$I:$I,MATCH(D5050&amp;"",[1]equip.xml!$A:$A,0))</f>
        <v>165000</v>
      </c>
      <c r="H5050" s="8" t="str">
        <f t="shared" ref="H5050:J5050" si="6715">H4962</f>
        <v>10_10,50_20,80_30</v>
      </c>
      <c r="I5050" s="8">
        <v>6</v>
      </c>
      <c r="J5050" s="8">
        <f t="shared" si="6715"/>
        <v>50</v>
      </c>
      <c r="K5050" s="7" t="s">
        <v>311</v>
      </c>
      <c r="L5050" s="8">
        <v>40</v>
      </c>
      <c r="M5050" s="7">
        <f>IF(INDEX([1]equip.xml!$B:$B,MATCH(D5050&amp;"",[1]equip.xml!$A:$A,0))=0,0,N5050)</f>
        <v>0</v>
      </c>
      <c r="N5050" s="7">
        <f t="shared" si="6612"/>
        <v>100</v>
      </c>
    </row>
    <row r="5051" spans="1:14">
      <c r="A5051" s="7">
        <f t="shared" si="6691"/>
        <v>30016</v>
      </c>
      <c r="B5051" s="8">
        <f t="shared" ref="B5051:C5051" si="6716">B4963</f>
        <v>40000</v>
      </c>
      <c r="C5051" s="8" t="str">
        <f t="shared" si="6716"/>
        <v>装备</v>
      </c>
      <c r="D5051" s="8">
        <v>40550100</v>
      </c>
      <c r="E5051" s="8"/>
      <c r="F5051" s="8">
        <v>1</v>
      </c>
      <c r="G5051" s="7">
        <f>3*INDEX([1]equip.xml!$I:$I,MATCH(D5051&amp;"",[1]equip.xml!$A:$A,0))</f>
        <v>165000</v>
      </c>
      <c r="H5051" s="8" t="str">
        <f t="shared" ref="H5051:J5051" si="6717">H4963</f>
        <v>10_10,50_20,80_30</v>
      </c>
      <c r="I5051" s="8">
        <v>6</v>
      </c>
      <c r="J5051" s="8">
        <f t="shared" si="6717"/>
        <v>50</v>
      </c>
      <c r="K5051" s="7" t="s">
        <v>311</v>
      </c>
      <c r="L5051" s="8">
        <v>40</v>
      </c>
      <c r="M5051" s="7">
        <f>IF(INDEX([1]equip.xml!$B:$B,MATCH(D5051&amp;"",[1]equip.xml!$A:$A,0))=0,0,N5051)</f>
        <v>100</v>
      </c>
      <c r="N5051" s="7">
        <f t="shared" si="6612"/>
        <v>100</v>
      </c>
    </row>
    <row r="5052" spans="1:14">
      <c r="A5052" s="7">
        <f t="shared" si="6691"/>
        <v>30016</v>
      </c>
      <c r="B5052" s="8">
        <f t="shared" ref="B5052:C5052" si="6718">B4964</f>
        <v>40000</v>
      </c>
      <c r="C5052" s="8" t="str">
        <f t="shared" si="6718"/>
        <v>装备</v>
      </c>
      <c r="D5052" s="8">
        <v>40551050</v>
      </c>
      <c r="E5052" s="8"/>
      <c r="F5052" s="8">
        <v>1</v>
      </c>
      <c r="G5052" s="7">
        <f>3*INDEX([1]equip.xml!$I:$I,MATCH(D5052&amp;"",[1]equip.xml!$A:$A,0))</f>
        <v>165000</v>
      </c>
      <c r="H5052" s="8" t="str">
        <f t="shared" ref="H5052:J5052" si="6719">H4964</f>
        <v>10_10,50_20,80_30</v>
      </c>
      <c r="I5052" s="8">
        <v>6</v>
      </c>
      <c r="J5052" s="8">
        <f t="shared" si="6719"/>
        <v>50</v>
      </c>
      <c r="K5052" s="7" t="s">
        <v>311</v>
      </c>
      <c r="L5052" s="8">
        <v>40</v>
      </c>
      <c r="M5052" s="7">
        <f>IF(INDEX([1]equip.xml!$B:$B,MATCH(D5052&amp;"",[1]equip.xml!$A:$A,0))=0,0,N5052)</f>
        <v>100</v>
      </c>
      <c r="N5052" s="7">
        <f t="shared" si="6612"/>
        <v>100</v>
      </c>
    </row>
    <row r="5053" spans="1:14">
      <c r="A5053" s="7">
        <f t="shared" si="6691"/>
        <v>30016</v>
      </c>
      <c r="B5053" s="8">
        <f t="shared" ref="B5053:C5053" si="6720">B4965</f>
        <v>40000</v>
      </c>
      <c r="C5053" s="8" t="str">
        <f t="shared" si="6720"/>
        <v>装备</v>
      </c>
      <c r="D5053" s="8">
        <v>40551051</v>
      </c>
      <c r="E5053" s="8"/>
      <c r="F5053" s="8">
        <v>1</v>
      </c>
      <c r="G5053" s="7">
        <f>3*INDEX([1]equip.xml!$I:$I,MATCH(D5053&amp;"",[1]equip.xml!$A:$A,0))</f>
        <v>174000</v>
      </c>
      <c r="H5053" s="8" t="str">
        <f t="shared" ref="H5053:J5053" si="6721">H4965</f>
        <v>10_10,50_20,80_30</v>
      </c>
      <c r="I5053" s="8">
        <v>6</v>
      </c>
      <c r="J5053" s="8">
        <f t="shared" si="6721"/>
        <v>50</v>
      </c>
      <c r="K5053" s="7" t="s">
        <v>311</v>
      </c>
      <c r="L5053" s="8">
        <v>40</v>
      </c>
      <c r="M5053" s="7">
        <f>IF(INDEX([1]equip.xml!$B:$B,MATCH(D5053&amp;"",[1]equip.xml!$A:$A,0))=0,0,N5053)</f>
        <v>0</v>
      </c>
      <c r="N5053" s="7">
        <f t="shared" si="6612"/>
        <v>100</v>
      </c>
    </row>
    <row r="5054" spans="1:14">
      <c r="A5054" s="7">
        <f t="shared" si="6691"/>
        <v>30016</v>
      </c>
      <c r="B5054" s="8">
        <f t="shared" ref="B5054:C5054" si="6722">B4966</f>
        <v>40000</v>
      </c>
      <c r="C5054" s="8" t="str">
        <f t="shared" si="6722"/>
        <v>装备</v>
      </c>
      <c r="D5054" s="8">
        <v>40551060</v>
      </c>
      <c r="E5054" s="8"/>
      <c r="F5054" s="8">
        <v>1</v>
      </c>
      <c r="G5054" s="7">
        <f>3*INDEX([1]equip.xml!$I:$I,MATCH(D5054&amp;"",[1]equip.xml!$A:$A,0))</f>
        <v>165000</v>
      </c>
      <c r="H5054" s="8" t="str">
        <f t="shared" ref="H5054:J5054" si="6723">H4966</f>
        <v>10_10,50_20,80_30</v>
      </c>
      <c r="I5054" s="8">
        <v>6</v>
      </c>
      <c r="J5054" s="8">
        <f t="shared" si="6723"/>
        <v>50</v>
      </c>
      <c r="K5054" s="7" t="s">
        <v>311</v>
      </c>
      <c r="L5054" s="8">
        <v>40</v>
      </c>
      <c r="M5054" s="7">
        <f>IF(INDEX([1]equip.xml!$B:$B,MATCH(D5054&amp;"",[1]equip.xml!$A:$A,0))=0,0,N5054)</f>
        <v>100</v>
      </c>
      <c r="N5054" s="7">
        <f t="shared" si="6612"/>
        <v>100</v>
      </c>
    </row>
    <row r="5055" spans="1:14">
      <c r="A5055" s="7">
        <f t="shared" si="6691"/>
        <v>30016</v>
      </c>
      <c r="B5055" s="8">
        <f t="shared" ref="B5055:C5055" si="6724">B4967</f>
        <v>40000</v>
      </c>
      <c r="C5055" s="8" t="str">
        <f t="shared" si="6724"/>
        <v>装备</v>
      </c>
      <c r="D5055" s="8">
        <v>40551061</v>
      </c>
      <c r="E5055" s="8"/>
      <c r="F5055" s="8">
        <v>1</v>
      </c>
      <c r="G5055" s="7">
        <f>3*INDEX([1]equip.xml!$I:$I,MATCH(D5055&amp;"",[1]equip.xml!$A:$A,0))</f>
        <v>174000</v>
      </c>
      <c r="H5055" s="8" t="str">
        <f t="shared" ref="H5055:J5055" si="6725">H4967</f>
        <v>10_10,50_20,80_30</v>
      </c>
      <c r="I5055" s="8">
        <v>6</v>
      </c>
      <c r="J5055" s="8">
        <f t="shared" si="6725"/>
        <v>50</v>
      </c>
      <c r="K5055" s="7" t="s">
        <v>311</v>
      </c>
      <c r="L5055" s="8">
        <v>40</v>
      </c>
      <c r="M5055" s="7">
        <f>IF(INDEX([1]equip.xml!$B:$B,MATCH(D5055&amp;"",[1]equip.xml!$A:$A,0))=0,0,N5055)</f>
        <v>100</v>
      </c>
      <c r="N5055" s="7">
        <f t="shared" si="6612"/>
        <v>100</v>
      </c>
    </row>
    <row r="5056" spans="1:14">
      <c r="A5056" s="7">
        <f t="shared" si="6691"/>
        <v>30016</v>
      </c>
      <c r="B5056" s="8">
        <f t="shared" ref="B5056:C5056" si="6726">B4968</f>
        <v>40000</v>
      </c>
      <c r="C5056" s="8" t="str">
        <f t="shared" si="6726"/>
        <v>装备</v>
      </c>
      <c r="D5056" s="8">
        <v>40552050</v>
      </c>
      <c r="E5056" s="8"/>
      <c r="F5056" s="8">
        <v>1</v>
      </c>
      <c r="G5056" s="7">
        <f>3*INDEX([1]equip.xml!$I:$I,MATCH(D5056&amp;"",[1]equip.xml!$A:$A,0))</f>
        <v>165000</v>
      </c>
      <c r="H5056" s="8" t="str">
        <f t="shared" ref="H5056:J5056" si="6727">H4968</f>
        <v>10_10,50_20,80_30</v>
      </c>
      <c r="I5056" s="8">
        <v>6</v>
      </c>
      <c r="J5056" s="8">
        <f t="shared" si="6727"/>
        <v>50</v>
      </c>
      <c r="K5056" s="7" t="s">
        <v>311</v>
      </c>
      <c r="L5056" s="8">
        <v>40</v>
      </c>
      <c r="M5056" s="7">
        <f>IF(INDEX([1]equip.xml!$B:$B,MATCH(D5056&amp;"",[1]equip.xml!$A:$A,0))=0,0,N5056)</f>
        <v>100</v>
      </c>
      <c r="N5056" s="7">
        <f t="shared" si="6612"/>
        <v>100</v>
      </c>
    </row>
    <row r="5057" spans="1:14">
      <c r="A5057" s="7">
        <f t="shared" si="6691"/>
        <v>30016</v>
      </c>
      <c r="B5057" s="8">
        <f t="shared" ref="B5057:C5057" si="6728">B4969</f>
        <v>40000</v>
      </c>
      <c r="C5057" s="8" t="str">
        <f t="shared" si="6728"/>
        <v>装备</v>
      </c>
      <c r="D5057" s="8">
        <v>40552051</v>
      </c>
      <c r="E5057" s="8"/>
      <c r="F5057" s="8">
        <v>1</v>
      </c>
      <c r="G5057" s="7">
        <f>3*INDEX([1]equip.xml!$I:$I,MATCH(D5057&amp;"",[1]equip.xml!$A:$A,0))</f>
        <v>174000</v>
      </c>
      <c r="H5057" s="8" t="str">
        <f t="shared" ref="H5057:J5057" si="6729">H4969</f>
        <v>10_10,50_20,80_30</v>
      </c>
      <c r="I5057" s="8">
        <v>6</v>
      </c>
      <c r="J5057" s="8">
        <f t="shared" si="6729"/>
        <v>50</v>
      </c>
      <c r="K5057" s="7" t="s">
        <v>311</v>
      </c>
      <c r="L5057" s="8">
        <v>40</v>
      </c>
      <c r="M5057" s="7">
        <f>IF(INDEX([1]equip.xml!$B:$B,MATCH(D5057&amp;"",[1]equip.xml!$A:$A,0))=0,0,N5057)</f>
        <v>0</v>
      </c>
      <c r="N5057" s="7">
        <f t="shared" si="6612"/>
        <v>100</v>
      </c>
    </row>
    <row r="5058" spans="1:14">
      <c r="A5058" s="7">
        <f t="shared" si="6691"/>
        <v>30016</v>
      </c>
      <c r="B5058" s="8">
        <f t="shared" ref="B5058:C5058" si="6730">B4970</f>
        <v>40000</v>
      </c>
      <c r="C5058" s="8" t="str">
        <f t="shared" si="6730"/>
        <v>装备</v>
      </c>
      <c r="D5058" s="8">
        <v>40552060</v>
      </c>
      <c r="E5058" s="8"/>
      <c r="F5058" s="8">
        <v>1</v>
      </c>
      <c r="G5058" s="7">
        <f>3*INDEX([1]equip.xml!$I:$I,MATCH(D5058&amp;"",[1]equip.xml!$A:$A,0))</f>
        <v>165000</v>
      </c>
      <c r="H5058" s="8" t="str">
        <f t="shared" ref="H5058:J5058" si="6731">H4970</f>
        <v>10_10,50_20,80_30</v>
      </c>
      <c r="I5058" s="8">
        <v>6</v>
      </c>
      <c r="J5058" s="8">
        <f t="shared" si="6731"/>
        <v>50</v>
      </c>
      <c r="K5058" s="7" t="s">
        <v>311</v>
      </c>
      <c r="L5058" s="8">
        <v>40</v>
      </c>
      <c r="M5058" s="7">
        <f>IF(INDEX([1]equip.xml!$B:$B,MATCH(D5058&amp;"",[1]equip.xml!$A:$A,0))=0,0,N5058)</f>
        <v>100</v>
      </c>
      <c r="N5058" s="7">
        <f t="shared" si="6612"/>
        <v>100</v>
      </c>
    </row>
    <row r="5059" spans="1:14">
      <c r="A5059" s="7">
        <f t="shared" si="6691"/>
        <v>30016</v>
      </c>
      <c r="B5059" s="8">
        <f t="shared" ref="B5059:C5059" si="6732">B4971</f>
        <v>40000</v>
      </c>
      <c r="C5059" s="8" t="str">
        <f t="shared" si="6732"/>
        <v>装备</v>
      </c>
      <c r="D5059" s="8">
        <v>40552061</v>
      </c>
      <c r="E5059" s="8"/>
      <c r="F5059" s="8">
        <v>1</v>
      </c>
      <c r="G5059" s="7">
        <f>3*INDEX([1]equip.xml!$I:$I,MATCH(D5059&amp;"",[1]equip.xml!$A:$A,0))</f>
        <v>174000</v>
      </c>
      <c r="H5059" s="8" t="str">
        <f t="shared" ref="H5059:J5059" si="6733">H4971</f>
        <v>10_10,50_20,80_30</v>
      </c>
      <c r="I5059" s="8">
        <v>6</v>
      </c>
      <c r="J5059" s="8">
        <f t="shared" si="6733"/>
        <v>50</v>
      </c>
      <c r="K5059" s="7" t="s">
        <v>311</v>
      </c>
      <c r="L5059" s="8">
        <v>40</v>
      </c>
      <c r="M5059" s="7">
        <f>IF(INDEX([1]equip.xml!$B:$B,MATCH(D5059&amp;"",[1]equip.xml!$A:$A,0))=0,0,N5059)</f>
        <v>100</v>
      </c>
      <c r="N5059" s="7">
        <f t="shared" si="6612"/>
        <v>100</v>
      </c>
    </row>
    <row r="5060" spans="1:14">
      <c r="A5060" s="7">
        <f t="shared" si="6691"/>
        <v>30016</v>
      </c>
      <c r="B5060" s="8">
        <f t="shared" ref="B5060:C5060" si="6734">B4972</f>
        <v>40000</v>
      </c>
      <c r="C5060" s="8" t="str">
        <f t="shared" si="6734"/>
        <v>装备</v>
      </c>
      <c r="D5060" s="8">
        <v>40553050</v>
      </c>
      <c r="E5060" s="8"/>
      <c r="F5060" s="8">
        <v>1</v>
      </c>
      <c r="G5060" s="7">
        <f>3*INDEX([1]equip.xml!$I:$I,MATCH(D5060&amp;"",[1]equip.xml!$A:$A,0))</f>
        <v>165000</v>
      </c>
      <c r="H5060" s="8" t="str">
        <f t="shared" ref="H5060:J5060" si="6735">H4972</f>
        <v>10_10,50_20,80_30</v>
      </c>
      <c r="I5060" s="8">
        <v>6</v>
      </c>
      <c r="J5060" s="8">
        <f t="shared" si="6735"/>
        <v>50</v>
      </c>
      <c r="K5060" s="7" t="s">
        <v>311</v>
      </c>
      <c r="L5060" s="8">
        <v>40</v>
      </c>
      <c r="M5060" s="7">
        <f>IF(INDEX([1]equip.xml!$B:$B,MATCH(D5060&amp;"",[1]equip.xml!$A:$A,0))=0,0,N5060)</f>
        <v>100</v>
      </c>
      <c r="N5060" s="7">
        <f t="shared" si="6612"/>
        <v>100</v>
      </c>
    </row>
    <row r="5061" spans="1:14">
      <c r="A5061" s="7">
        <f t="shared" si="6691"/>
        <v>30016</v>
      </c>
      <c r="B5061" s="8">
        <f t="shared" ref="B5061:C5061" si="6736">B4973</f>
        <v>40000</v>
      </c>
      <c r="C5061" s="8" t="str">
        <f t="shared" si="6736"/>
        <v>装备</v>
      </c>
      <c r="D5061" s="8">
        <v>40553051</v>
      </c>
      <c r="E5061" s="8"/>
      <c r="F5061" s="8">
        <v>1</v>
      </c>
      <c r="G5061" s="7">
        <f>3*INDEX([1]equip.xml!$I:$I,MATCH(D5061&amp;"",[1]equip.xml!$A:$A,0))</f>
        <v>174000</v>
      </c>
      <c r="H5061" s="8" t="str">
        <f t="shared" ref="H5061:J5061" si="6737">H4973</f>
        <v>10_10,50_20,80_30</v>
      </c>
      <c r="I5061" s="8">
        <v>6</v>
      </c>
      <c r="J5061" s="8">
        <f t="shared" si="6737"/>
        <v>50</v>
      </c>
      <c r="K5061" s="7" t="s">
        <v>311</v>
      </c>
      <c r="L5061" s="8">
        <v>40</v>
      </c>
      <c r="M5061" s="7">
        <f>IF(INDEX([1]equip.xml!$B:$B,MATCH(D5061&amp;"",[1]equip.xml!$A:$A,0))=0,0,N5061)</f>
        <v>0</v>
      </c>
      <c r="N5061" s="7">
        <f t="shared" si="6612"/>
        <v>100</v>
      </c>
    </row>
    <row r="5062" spans="1:14">
      <c r="A5062" s="7">
        <f t="shared" si="6691"/>
        <v>30016</v>
      </c>
      <c r="B5062" s="8">
        <f t="shared" ref="B5062:C5062" si="6738">B4974</f>
        <v>40000</v>
      </c>
      <c r="C5062" s="8" t="str">
        <f t="shared" si="6738"/>
        <v>装备</v>
      </c>
      <c r="D5062" s="8">
        <v>40553060</v>
      </c>
      <c r="E5062" s="8"/>
      <c r="F5062" s="8">
        <v>1</v>
      </c>
      <c r="G5062" s="7">
        <f>3*INDEX([1]equip.xml!$I:$I,MATCH(D5062&amp;"",[1]equip.xml!$A:$A,0))</f>
        <v>165000</v>
      </c>
      <c r="H5062" s="8" t="str">
        <f t="shared" ref="H5062:J5062" si="6739">H4974</f>
        <v>10_10,50_20,80_30</v>
      </c>
      <c r="I5062" s="8">
        <v>6</v>
      </c>
      <c r="J5062" s="8">
        <f t="shared" si="6739"/>
        <v>50</v>
      </c>
      <c r="K5062" s="7" t="s">
        <v>311</v>
      </c>
      <c r="L5062" s="8">
        <v>40</v>
      </c>
      <c r="M5062" s="7">
        <f>IF(INDEX([1]equip.xml!$B:$B,MATCH(D5062&amp;"",[1]equip.xml!$A:$A,0))=0,0,N5062)</f>
        <v>100</v>
      </c>
      <c r="N5062" s="7">
        <f t="shared" si="6612"/>
        <v>100</v>
      </c>
    </row>
    <row r="5063" spans="1:14">
      <c r="A5063" s="7">
        <f t="shared" si="6691"/>
        <v>30016</v>
      </c>
      <c r="B5063" s="8">
        <f t="shared" ref="B5063:C5063" si="6740">B4975</f>
        <v>40000</v>
      </c>
      <c r="C5063" s="8" t="str">
        <f t="shared" si="6740"/>
        <v>装备</v>
      </c>
      <c r="D5063" s="8">
        <v>40553061</v>
      </c>
      <c r="E5063" s="8"/>
      <c r="F5063" s="8">
        <v>1</v>
      </c>
      <c r="G5063" s="7">
        <f>3*INDEX([1]equip.xml!$I:$I,MATCH(D5063&amp;"",[1]equip.xml!$A:$A,0))</f>
        <v>174000</v>
      </c>
      <c r="H5063" s="8" t="str">
        <f t="shared" ref="H5063:J5063" si="6741">H4975</f>
        <v>10_10,50_20,80_30</v>
      </c>
      <c r="I5063" s="8">
        <v>6</v>
      </c>
      <c r="J5063" s="8">
        <f t="shared" si="6741"/>
        <v>50</v>
      </c>
      <c r="K5063" s="7" t="s">
        <v>311</v>
      </c>
      <c r="L5063" s="8">
        <v>40</v>
      </c>
      <c r="M5063" s="7">
        <f>IF(INDEX([1]equip.xml!$B:$B,MATCH(D5063&amp;"",[1]equip.xml!$A:$A,0))=0,0,N5063)</f>
        <v>100</v>
      </c>
      <c r="N5063" s="7">
        <f t="shared" ref="N5063:N5126" si="6742">N4975</f>
        <v>100</v>
      </c>
    </row>
    <row r="5064" spans="1:14">
      <c r="A5064" s="7">
        <f t="shared" si="6691"/>
        <v>30016</v>
      </c>
      <c r="B5064" s="8">
        <f t="shared" ref="B5064:C5064" si="6743">B4976</f>
        <v>40000</v>
      </c>
      <c r="C5064" s="8" t="str">
        <f t="shared" si="6743"/>
        <v>装备</v>
      </c>
      <c r="D5064" s="8">
        <v>40550040</v>
      </c>
      <c r="E5064" s="8"/>
      <c r="F5064" s="8">
        <v>1</v>
      </c>
      <c r="G5064" s="7">
        <f>3*INDEX([1]equip.xml!$I:$I,MATCH(D5064&amp;"",[1]equip.xml!$A:$A,0))</f>
        <v>165000</v>
      </c>
      <c r="H5064" s="8" t="str">
        <f t="shared" ref="H5064:J5064" si="6744">H4976</f>
        <v>10_10,50_20,80_30</v>
      </c>
      <c r="I5064" s="8">
        <v>6</v>
      </c>
      <c r="J5064" s="8">
        <f t="shared" si="6744"/>
        <v>50</v>
      </c>
      <c r="K5064" s="7" t="s">
        <v>311</v>
      </c>
      <c r="L5064" s="8">
        <v>40</v>
      </c>
      <c r="M5064" s="7">
        <f>IF(INDEX([1]equip.xml!$B:$B,MATCH(D5064&amp;"",[1]equip.xml!$A:$A,0))=0,0,N5064)</f>
        <v>100</v>
      </c>
      <c r="N5064" s="7">
        <f t="shared" si="6742"/>
        <v>100</v>
      </c>
    </row>
    <row r="5065" spans="1:14">
      <c r="A5065" s="7">
        <f t="shared" si="6691"/>
        <v>30016</v>
      </c>
      <c r="B5065" s="8">
        <f t="shared" ref="B5065:C5065" si="6745">B4977</f>
        <v>40000</v>
      </c>
      <c r="C5065" s="8" t="str">
        <f t="shared" si="6745"/>
        <v>装备</v>
      </c>
      <c r="D5065" s="8">
        <v>40550041</v>
      </c>
      <c r="E5065" s="8"/>
      <c r="F5065" s="8">
        <v>1</v>
      </c>
      <c r="G5065" s="7">
        <f>3*INDEX([1]equip.xml!$I:$I,MATCH(D5065&amp;"",[1]equip.xml!$A:$A,0))</f>
        <v>174000</v>
      </c>
      <c r="H5065" s="8" t="str">
        <f t="shared" ref="H5065:J5065" si="6746">H4977</f>
        <v>10_10,50_20,80_30</v>
      </c>
      <c r="I5065" s="8">
        <v>6</v>
      </c>
      <c r="J5065" s="8">
        <f t="shared" si="6746"/>
        <v>50</v>
      </c>
      <c r="K5065" s="7" t="s">
        <v>311</v>
      </c>
      <c r="L5065" s="8">
        <v>40</v>
      </c>
      <c r="M5065" s="7">
        <f>IF(INDEX([1]equip.xml!$B:$B,MATCH(D5065&amp;"",[1]equip.xml!$A:$A,0))=0,0,N5065)</f>
        <v>0</v>
      </c>
      <c r="N5065" s="7">
        <f t="shared" si="6742"/>
        <v>100</v>
      </c>
    </row>
    <row r="5066" spans="1:14">
      <c r="A5066" s="7">
        <f t="shared" si="6691"/>
        <v>30016</v>
      </c>
      <c r="B5066" s="8">
        <f t="shared" ref="B5066:C5066" si="6747">B4978</f>
        <v>40000</v>
      </c>
      <c r="C5066" s="8" t="str">
        <f t="shared" si="6747"/>
        <v>装备</v>
      </c>
      <c r="D5066" s="8">
        <v>40550070</v>
      </c>
      <c r="E5066" s="8"/>
      <c r="F5066" s="8">
        <v>1</v>
      </c>
      <c r="G5066" s="7">
        <f>3*INDEX([1]equip.xml!$I:$I,MATCH(D5066&amp;"",[1]equip.xml!$A:$A,0))</f>
        <v>165000</v>
      </c>
      <c r="H5066" s="8" t="str">
        <f t="shared" ref="H5066:J5066" si="6748">H4978</f>
        <v>10_10,50_20,80_30</v>
      </c>
      <c r="I5066" s="8">
        <v>6</v>
      </c>
      <c r="J5066" s="8">
        <f t="shared" si="6748"/>
        <v>50</v>
      </c>
      <c r="K5066" s="7" t="s">
        <v>311</v>
      </c>
      <c r="L5066" s="8">
        <v>40</v>
      </c>
      <c r="M5066" s="7">
        <f>IF(INDEX([1]equip.xml!$B:$B,MATCH(D5066&amp;"",[1]equip.xml!$A:$A,0))=0,0,N5066)</f>
        <v>100</v>
      </c>
      <c r="N5066" s="7">
        <f t="shared" si="6742"/>
        <v>100</v>
      </c>
    </row>
    <row r="5067" spans="1:14">
      <c r="A5067" s="7">
        <f t="shared" si="6691"/>
        <v>30016</v>
      </c>
      <c r="B5067" s="8">
        <f t="shared" ref="B5067:C5067" si="6749">B4979</f>
        <v>40000</v>
      </c>
      <c r="C5067" s="8" t="str">
        <f t="shared" si="6749"/>
        <v>装备</v>
      </c>
      <c r="D5067" s="8">
        <v>40550071</v>
      </c>
      <c r="E5067" s="8"/>
      <c r="F5067" s="8">
        <v>1</v>
      </c>
      <c r="G5067" s="7">
        <f>3*INDEX([1]equip.xml!$I:$I,MATCH(D5067&amp;"",[1]equip.xml!$A:$A,0))</f>
        <v>174000</v>
      </c>
      <c r="H5067" s="8" t="str">
        <f t="shared" ref="H5067:J5067" si="6750">H4979</f>
        <v>10_10,50_20,80_30</v>
      </c>
      <c r="I5067" s="8">
        <v>6</v>
      </c>
      <c r="J5067" s="8">
        <f t="shared" si="6750"/>
        <v>50</v>
      </c>
      <c r="K5067" s="7" t="s">
        <v>311</v>
      </c>
      <c r="L5067" s="8">
        <v>40</v>
      </c>
      <c r="M5067" s="7">
        <f>IF(INDEX([1]equip.xml!$B:$B,MATCH(D5067&amp;"",[1]equip.xml!$A:$A,0))=0,0,N5067)</f>
        <v>0</v>
      </c>
      <c r="N5067" s="7">
        <f t="shared" si="6742"/>
        <v>100</v>
      </c>
    </row>
    <row r="5068" spans="1:14">
      <c r="A5068" s="7">
        <f t="shared" si="6691"/>
        <v>30016</v>
      </c>
      <c r="B5068" s="8">
        <f t="shared" ref="B5068:C5068" si="6751">B4980</f>
        <v>40000</v>
      </c>
      <c r="C5068" s="8" t="str">
        <f t="shared" si="6751"/>
        <v>装备</v>
      </c>
      <c r="D5068" s="8">
        <v>40600010</v>
      </c>
      <c r="E5068" s="8"/>
      <c r="F5068" s="8">
        <v>1</v>
      </c>
      <c r="G5068" s="7">
        <f>3*INDEX([1]equip.xml!$I:$I,MATCH(D5068&amp;"",[1]equip.xml!$A:$A,0))</f>
        <v>180000</v>
      </c>
      <c r="H5068" s="8" t="str">
        <f t="shared" ref="H5068:J5068" si="6752">H4980</f>
        <v>10_10,50_20,80_30</v>
      </c>
      <c r="I5068" s="8">
        <v>6</v>
      </c>
      <c r="J5068" s="8">
        <f t="shared" si="6752"/>
        <v>50</v>
      </c>
      <c r="K5068" s="7" t="s">
        <v>311</v>
      </c>
      <c r="L5068" s="8">
        <v>40</v>
      </c>
      <c r="M5068" s="7">
        <f>IF(INDEX([1]equip.xml!$B:$B,MATCH(D5068&amp;"",[1]equip.xml!$A:$A,0))=0,0,N5068)</f>
        <v>70</v>
      </c>
      <c r="N5068" s="7">
        <f t="shared" si="6742"/>
        <v>70</v>
      </c>
    </row>
    <row r="5069" spans="1:14">
      <c r="A5069" s="7">
        <f t="shared" si="6691"/>
        <v>30016</v>
      </c>
      <c r="B5069" s="8">
        <f t="shared" ref="B5069:C5069" si="6753">B4981</f>
        <v>40000</v>
      </c>
      <c r="C5069" s="8" t="str">
        <f t="shared" si="6753"/>
        <v>装备</v>
      </c>
      <c r="D5069" s="8">
        <v>40600020</v>
      </c>
      <c r="E5069" s="8"/>
      <c r="F5069" s="8">
        <v>1</v>
      </c>
      <c r="G5069" s="7">
        <f>3*INDEX([1]equip.xml!$I:$I,MATCH(D5069&amp;"",[1]equip.xml!$A:$A,0))</f>
        <v>180000</v>
      </c>
      <c r="H5069" s="8" t="str">
        <f t="shared" ref="H5069:J5069" si="6754">H4981</f>
        <v>10_10,50_20,80_30</v>
      </c>
      <c r="I5069" s="8">
        <v>6</v>
      </c>
      <c r="J5069" s="8">
        <f t="shared" si="6754"/>
        <v>50</v>
      </c>
      <c r="K5069" s="7" t="s">
        <v>311</v>
      </c>
      <c r="L5069" s="8">
        <v>40</v>
      </c>
      <c r="M5069" s="7">
        <f>IF(INDEX([1]equip.xml!$B:$B,MATCH(D5069&amp;"",[1]equip.xml!$A:$A,0))=0,0,N5069)</f>
        <v>70</v>
      </c>
      <c r="N5069" s="7">
        <f t="shared" si="6742"/>
        <v>70</v>
      </c>
    </row>
    <row r="5070" spans="1:14">
      <c r="A5070" s="7">
        <f t="shared" si="6691"/>
        <v>30016</v>
      </c>
      <c r="B5070" s="8">
        <f t="shared" ref="B5070:C5070" si="6755">B4982</f>
        <v>40000</v>
      </c>
      <c r="C5070" s="8" t="str">
        <f t="shared" si="6755"/>
        <v>装备</v>
      </c>
      <c r="D5070" s="8">
        <v>40600030</v>
      </c>
      <c r="E5070" s="8"/>
      <c r="F5070" s="8">
        <v>1</v>
      </c>
      <c r="G5070" s="7">
        <f>3*INDEX([1]equip.xml!$I:$I,MATCH(D5070&amp;"",[1]equip.xml!$A:$A,0))</f>
        <v>180000</v>
      </c>
      <c r="H5070" s="8" t="str">
        <f t="shared" ref="H5070:J5070" si="6756">H4982</f>
        <v>10_10,50_20,80_30</v>
      </c>
      <c r="I5070" s="8">
        <v>6</v>
      </c>
      <c r="J5070" s="8">
        <f t="shared" si="6756"/>
        <v>50</v>
      </c>
      <c r="K5070" s="7" t="s">
        <v>311</v>
      </c>
      <c r="L5070" s="8">
        <v>40</v>
      </c>
      <c r="M5070" s="7">
        <f>IF(INDEX([1]equip.xml!$B:$B,MATCH(D5070&amp;"",[1]equip.xml!$A:$A,0))=0,0,N5070)</f>
        <v>70</v>
      </c>
      <c r="N5070" s="7">
        <f t="shared" si="6742"/>
        <v>70</v>
      </c>
    </row>
    <row r="5071" spans="1:14">
      <c r="A5071" s="7">
        <f t="shared" si="6691"/>
        <v>30016</v>
      </c>
      <c r="B5071" s="8">
        <f t="shared" ref="B5071:C5071" si="6757">B4983</f>
        <v>40000</v>
      </c>
      <c r="C5071" s="8" t="str">
        <f t="shared" si="6757"/>
        <v>装备</v>
      </c>
      <c r="D5071" s="8">
        <v>40600080</v>
      </c>
      <c r="E5071" s="8"/>
      <c r="F5071" s="8">
        <v>1</v>
      </c>
      <c r="G5071" s="7">
        <f>3*INDEX([1]equip.xml!$I:$I,MATCH(D5071&amp;"",[1]equip.xml!$A:$A,0))</f>
        <v>180000</v>
      </c>
      <c r="H5071" s="8" t="str">
        <f t="shared" ref="H5071:J5071" si="6758">H4983</f>
        <v>10_10,50_20,80_30</v>
      </c>
      <c r="I5071" s="8">
        <v>6</v>
      </c>
      <c r="J5071" s="8">
        <f t="shared" si="6758"/>
        <v>50</v>
      </c>
      <c r="K5071" s="7" t="s">
        <v>311</v>
      </c>
      <c r="L5071" s="8">
        <v>40</v>
      </c>
      <c r="M5071" s="7">
        <f>IF(INDEX([1]equip.xml!$B:$B,MATCH(D5071&amp;"",[1]equip.xml!$A:$A,0))=0,0,N5071)</f>
        <v>70</v>
      </c>
      <c r="N5071" s="7">
        <f t="shared" si="6742"/>
        <v>70</v>
      </c>
    </row>
    <row r="5072" spans="1:14">
      <c r="A5072" s="7">
        <f t="shared" si="6691"/>
        <v>30016</v>
      </c>
      <c r="B5072" s="8">
        <f t="shared" ref="B5072:C5072" si="6759">B4984</f>
        <v>40000</v>
      </c>
      <c r="C5072" s="8" t="str">
        <f t="shared" si="6759"/>
        <v>装备</v>
      </c>
      <c r="D5072" s="8">
        <v>40600090</v>
      </c>
      <c r="E5072" s="8"/>
      <c r="F5072" s="8">
        <v>1</v>
      </c>
      <c r="G5072" s="7">
        <f>3*INDEX([1]equip.xml!$I:$I,MATCH(D5072&amp;"",[1]equip.xml!$A:$A,0))</f>
        <v>180000</v>
      </c>
      <c r="H5072" s="8" t="str">
        <f t="shared" ref="H5072:J5072" si="6760">H4984</f>
        <v>10_10,50_20,80_30</v>
      </c>
      <c r="I5072" s="8">
        <v>6</v>
      </c>
      <c r="J5072" s="8">
        <f t="shared" si="6760"/>
        <v>50</v>
      </c>
      <c r="K5072" s="7" t="s">
        <v>311</v>
      </c>
      <c r="L5072" s="8">
        <v>40</v>
      </c>
      <c r="M5072" s="7">
        <f>IF(INDEX([1]equip.xml!$B:$B,MATCH(D5072&amp;"",[1]equip.xml!$A:$A,0))=0,0,N5072)</f>
        <v>70</v>
      </c>
      <c r="N5072" s="7">
        <f t="shared" si="6742"/>
        <v>70</v>
      </c>
    </row>
    <row r="5073" spans="1:14">
      <c r="A5073" s="7">
        <f t="shared" si="6691"/>
        <v>30016</v>
      </c>
      <c r="B5073" s="8">
        <f t="shared" ref="B5073:C5073" si="6761">B4985</f>
        <v>40000</v>
      </c>
      <c r="C5073" s="8" t="str">
        <f t="shared" si="6761"/>
        <v>装备</v>
      </c>
      <c r="D5073" s="8">
        <v>40600100</v>
      </c>
      <c r="E5073" s="8"/>
      <c r="F5073" s="8">
        <v>1</v>
      </c>
      <c r="G5073" s="7">
        <f>3*INDEX([1]equip.xml!$I:$I,MATCH(D5073&amp;"",[1]equip.xml!$A:$A,0))</f>
        <v>180000</v>
      </c>
      <c r="H5073" s="8" t="str">
        <f t="shared" ref="H5073:J5073" si="6762">H4985</f>
        <v>10_10,50_20,80_30</v>
      </c>
      <c r="I5073" s="8">
        <v>6</v>
      </c>
      <c r="J5073" s="8">
        <f t="shared" si="6762"/>
        <v>50</v>
      </c>
      <c r="K5073" s="7" t="s">
        <v>311</v>
      </c>
      <c r="L5073" s="8">
        <v>40</v>
      </c>
      <c r="M5073" s="7">
        <f>IF(INDEX([1]equip.xml!$B:$B,MATCH(D5073&amp;"",[1]equip.xml!$A:$A,0))=0,0,N5073)</f>
        <v>70</v>
      </c>
      <c r="N5073" s="7">
        <f t="shared" si="6742"/>
        <v>70</v>
      </c>
    </row>
    <row r="5074" spans="1:14">
      <c r="A5074" s="7">
        <f t="shared" si="6691"/>
        <v>30016</v>
      </c>
      <c r="B5074" s="8">
        <f t="shared" ref="B5074:C5074" si="6763">B4986</f>
        <v>40000</v>
      </c>
      <c r="C5074" s="8" t="str">
        <f t="shared" si="6763"/>
        <v>装备</v>
      </c>
      <c r="D5074" s="8">
        <v>40601050</v>
      </c>
      <c r="E5074" s="8"/>
      <c r="F5074" s="8">
        <v>1</v>
      </c>
      <c r="G5074" s="7">
        <f>3*INDEX([1]equip.xml!$I:$I,MATCH(D5074&amp;"",[1]equip.xml!$A:$A,0))</f>
        <v>180000</v>
      </c>
      <c r="H5074" s="8" t="str">
        <f t="shared" ref="H5074:J5074" si="6764">H4986</f>
        <v>10_10,50_20,80_30</v>
      </c>
      <c r="I5074" s="8">
        <v>6</v>
      </c>
      <c r="J5074" s="8">
        <f t="shared" si="6764"/>
        <v>50</v>
      </c>
      <c r="K5074" s="7" t="s">
        <v>311</v>
      </c>
      <c r="L5074" s="8">
        <v>40</v>
      </c>
      <c r="M5074" s="7">
        <f>IF(INDEX([1]equip.xml!$B:$B,MATCH(D5074&amp;"",[1]equip.xml!$A:$A,0))=0,0,N5074)</f>
        <v>70</v>
      </c>
      <c r="N5074" s="7">
        <f t="shared" si="6742"/>
        <v>70</v>
      </c>
    </row>
    <row r="5075" spans="1:14">
      <c r="A5075" s="7">
        <f t="shared" si="6691"/>
        <v>30016</v>
      </c>
      <c r="B5075" s="8">
        <f t="shared" ref="B5075:C5075" si="6765">B4987</f>
        <v>40000</v>
      </c>
      <c r="C5075" s="8" t="str">
        <f t="shared" si="6765"/>
        <v>装备</v>
      </c>
      <c r="D5075" s="8">
        <v>40601051</v>
      </c>
      <c r="E5075" s="8"/>
      <c r="F5075" s="8">
        <v>1</v>
      </c>
      <c r="G5075" s="7">
        <f>3*INDEX([1]equip.xml!$I:$I,MATCH(D5075&amp;"",[1]equip.xml!$A:$A,0))</f>
        <v>189000</v>
      </c>
      <c r="H5075" s="8" t="str">
        <f t="shared" ref="H5075:J5075" si="6766">H4987</f>
        <v>10_10,50_20,80_30</v>
      </c>
      <c r="I5075" s="8">
        <v>6</v>
      </c>
      <c r="J5075" s="8">
        <f t="shared" si="6766"/>
        <v>50</v>
      </c>
      <c r="K5075" s="7" t="s">
        <v>311</v>
      </c>
      <c r="L5075" s="8">
        <v>40</v>
      </c>
      <c r="M5075" s="7">
        <f>IF(INDEX([1]equip.xml!$B:$B,MATCH(D5075&amp;"",[1]equip.xml!$A:$A,0))=0,0,N5075)</f>
        <v>70</v>
      </c>
      <c r="N5075" s="7">
        <f t="shared" si="6742"/>
        <v>70</v>
      </c>
    </row>
    <row r="5076" spans="1:14">
      <c r="A5076" s="7">
        <f t="shared" si="6691"/>
        <v>30016</v>
      </c>
      <c r="B5076" s="8">
        <f t="shared" ref="B5076:C5076" si="6767">B4988</f>
        <v>40000</v>
      </c>
      <c r="C5076" s="8" t="str">
        <f t="shared" si="6767"/>
        <v>装备</v>
      </c>
      <c r="D5076" s="8">
        <v>40601060</v>
      </c>
      <c r="E5076" s="8"/>
      <c r="F5076" s="8">
        <v>1</v>
      </c>
      <c r="G5076" s="7">
        <f>3*INDEX([1]equip.xml!$I:$I,MATCH(D5076&amp;"",[1]equip.xml!$A:$A,0))</f>
        <v>180000</v>
      </c>
      <c r="H5076" s="8" t="str">
        <f t="shared" ref="H5076:J5076" si="6768">H4988</f>
        <v>10_10,50_20,80_30</v>
      </c>
      <c r="I5076" s="8">
        <v>6</v>
      </c>
      <c r="J5076" s="8">
        <f t="shared" si="6768"/>
        <v>50</v>
      </c>
      <c r="K5076" s="7" t="s">
        <v>311</v>
      </c>
      <c r="L5076" s="8">
        <v>40</v>
      </c>
      <c r="M5076" s="7">
        <f>IF(INDEX([1]equip.xml!$B:$B,MATCH(D5076&amp;"",[1]equip.xml!$A:$A,0))=0,0,N5076)</f>
        <v>70</v>
      </c>
      <c r="N5076" s="7">
        <f t="shared" si="6742"/>
        <v>70</v>
      </c>
    </row>
    <row r="5077" spans="1:14">
      <c r="A5077" s="7">
        <f t="shared" si="6691"/>
        <v>30016</v>
      </c>
      <c r="B5077" s="8">
        <f t="shared" ref="B5077:C5077" si="6769">B4989</f>
        <v>40000</v>
      </c>
      <c r="C5077" s="8" t="str">
        <f t="shared" si="6769"/>
        <v>装备</v>
      </c>
      <c r="D5077" s="8">
        <v>40601061</v>
      </c>
      <c r="E5077" s="8"/>
      <c r="F5077" s="8">
        <v>1</v>
      </c>
      <c r="G5077" s="7">
        <f>3*INDEX([1]equip.xml!$I:$I,MATCH(D5077&amp;"",[1]equip.xml!$A:$A,0))</f>
        <v>189000</v>
      </c>
      <c r="H5077" s="8" t="str">
        <f t="shared" ref="H5077:J5077" si="6770">H4989</f>
        <v>10_10,50_20,80_30</v>
      </c>
      <c r="I5077" s="8">
        <v>6</v>
      </c>
      <c r="J5077" s="8">
        <f t="shared" si="6770"/>
        <v>50</v>
      </c>
      <c r="K5077" s="7" t="s">
        <v>311</v>
      </c>
      <c r="L5077" s="8">
        <v>40</v>
      </c>
      <c r="M5077" s="7">
        <f>IF(INDEX([1]equip.xml!$B:$B,MATCH(D5077&amp;"",[1]equip.xml!$A:$A,0))=0,0,N5077)</f>
        <v>0</v>
      </c>
      <c r="N5077" s="7">
        <f t="shared" si="6742"/>
        <v>70</v>
      </c>
    </row>
    <row r="5078" spans="1:14">
      <c r="A5078" s="7">
        <f t="shared" si="6691"/>
        <v>30016</v>
      </c>
      <c r="B5078" s="8">
        <f t="shared" ref="B5078:C5078" si="6771">B4990</f>
        <v>40000</v>
      </c>
      <c r="C5078" s="8" t="str">
        <f t="shared" si="6771"/>
        <v>装备</v>
      </c>
      <c r="D5078" s="8">
        <v>40602050</v>
      </c>
      <c r="E5078" s="8"/>
      <c r="F5078" s="8">
        <v>1</v>
      </c>
      <c r="G5078" s="7">
        <f>3*INDEX([1]equip.xml!$I:$I,MATCH(D5078&amp;"",[1]equip.xml!$A:$A,0))</f>
        <v>180000</v>
      </c>
      <c r="H5078" s="8" t="str">
        <f t="shared" ref="H5078:J5078" si="6772">H4990</f>
        <v>10_10,50_20,80_30</v>
      </c>
      <c r="I5078" s="8">
        <v>6</v>
      </c>
      <c r="J5078" s="8">
        <f t="shared" si="6772"/>
        <v>50</v>
      </c>
      <c r="K5078" s="7" t="s">
        <v>311</v>
      </c>
      <c r="L5078" s="8">
        <v>40</v>
      </c>
      <c r="M5078" s="7">
        <f>IF(INDEX([1]equip.xml!$B:$B,MATCH(D5078&amp;"",[1]equip.xml!$A:$A,0))=0,0,N5078)</f>
        <v>70</v>
      </c>
      <c r="N5078" s="7">
        <f t="shared" si="6742"/>
        <v>70</v>
      </c>
    </row>
    <row r="5079" spans="1:14">
      <c r="A5079" s="7">
        <f t="shared" si="6691"/>
        <v>30016</v>
      </c>
      <c r="B5079" s="8">
        <f t="shared" ref="B5079:C5079" si="6773">B4991</f>
        <v>40000</v>
      </c>
      <c r="C5079" s="8" t="str">
        <f t="shared" si="6773"/>
        <v>装备</v>
      </c>
      <c r="D5079" s="8">
        <v>40602051</v>
      </c>
      <c r="E5079" s="8"/>
      <c r="F5079" s="8">
        <v>1</v>
      </c>
      <c r="G5079" s="7">
        <f>3*INDEX([1]equip.xml!$I:$I,MATCH(D5079&amp;"",[1]equip.xml!$A:$A,0))</f>
        <v>189000</v>
      </c>
      <c r="H5079" s="8" t="str">
        <f t="shared" ref="H5079:J5079" si="6774">H4991</f>
        <v>10_10,50_20,80_30</v>
      </c>
      <c r="I5079" s="8">
        <v>6</v>
      </c>
      <c r="J5079" s="8">
        <f t="shared" si="6774"/>
        <v>50</v>
      </c>
      <c r="K5079" s="7" t="s">
        <v>311</v>
      </c>
      <c r="L5079" s="8">
        <v>40</v>
      </c>
      <c r="M5079" s="7">
        <f>IF(INDEX([1]equip.xml!$B:$B,MATCH(D5079&amp;"",[1]equip.xml!$A:$A,0))=0,0,N5079)</f>
        <v>0</v>
      </c>
      <c r="N5079" s="7">
        <f t="shared" si="6742"/>
        <v>70</v>
      </c>
    </row>
    <row r="5080" spans="1:14">
      <c r="A5080" s="7">
        <f t="shared" si="6691"/>
        <v>30016</v>
      </c>
      <c r="B5080" s="8">
        <f t="shared" ref="B5080:C5080" si="6775">B4992</f>
        <v>40000</v>
      </c>
      <c r="C5080" s="8" t="str">
        <f t="shared" si="6775"/>
        <v>装备</v>
      </c>
      <c r="D5080" s="8">
        <v>40602060</v>
      </c>
      <c r="E5080" s="8"/>
      <c r="F5080" s="8">
        <v>1</v>
      </c>
      <c r="G5080" s="7">
        <f>3*INDEX([1]equip.xml!$I:$I,MATCH(D5080&amp;"",[1]equip.xml!$A:$A,0))</f>
        <v>180000</v>
      </c>
      <c r="H5080" s="8" t="str">
        <f t="shared" ref="H5080:J5080" si="6776">H4992</f>
        <v>10_10,50_20,80_30</v>
      </c>
      <c r="I5080" s="8">
        <v>6</v>
      </c>
      <c r="J5080" s="8">
        <f t="shared" si="6776"/>
        <v>50</v>
      </c>
      <c r="K5080" s="7" t="s">
        <v>311</v>
      </c>
      <c r="L5080" s="8">
        <v>40</v>
      </c>
      <c r="M5080" s="7">
        <f>IF(INDEX([1]equip.xml!$B:$B,MATCH(D5080&amp;"",[1]equip.xml!$A:$A,0))=0,0,N5080)</f>
        <v>70</v>
      </c>
      <c r="N5080" s="7">
        <f t="shared" si="6742"/>
        <v>70</v>
      </c>
    </row>
    <row r="5081" spans="1:14">
      <c r="A5081" s="7">
        <f t="shared" si="6691"/>
        <v>30016</v>
      </c>
      <c r="B5081" s="8">
        <f t="shared" ref="B5081:C5081" si="6777">B4993</f>
        <v>40000</v>
      </c>
      <c r="C5081" s="8" t="str">
        <f t="shared" si="6777"/>
        <v>装备</v>
      </c>
      <c r="D5081" s="8">
        <v>40602061</v>
      </c>
      <c r="E5081" s="8"/>
      <c r="F5081" s="8">
        <v>1</v>
      </c>
      <c r="G5081" s="7">
        <f>3*INDEX([1]equip.xml!$I:$I,MATCH(D5081&amp;"",[1]equip.xml!$A:$A,0))</f>
        <v>189000</v>
      </c>
      <c r="H5081" s="8" t="str">
        <f t="shared" ref="H5081:J5081" si="6778">H4993</f>
        <v>10_10,50_20,80_30</v>
      </c>
      <c r="I5081" s="8">
        <v>6</v>
      </c>
      <c r="J5081" s="8">
        <f t="shared" si="6778"/>
        <v>50</v>
      </c>
      <c r="K5081" s="7" t="s">
        <v>311</v>
      </c>
      <c r="L5081" s="8">
        <v>40</v>
      </c>
      <c r="M5081" s="7">
        <f>IF(INDEX([1]equip.xml!$B:$B,MATCH(D5081&amp;"",[1]equip.xml!$A:$A,0))=0,0,N5081)</f>
        <v>0</v>
      </c>
      <c r="N5081" s="7">
        <f t="shared" si="6742"/>
        <v>70</v>
      </c>
    </row>
    <row r="5082" spans="1:14">
      <c r="A5082" s="7">
        <f t="shared" si="6691"/>
        <v>30016</v>
      </c>
      <c r="B5082" s="8">
        <f t="shared" ref="B5082:C5082" si="6779">B4994</f>
        <v>40000</v>
      </c>
      <c r="C5082" s="8" t="str">
        <f t="shared" si="6779"/>
        <v>装备</v>
      </c>
      <c r="D5082" s="8">
        <v>40603050</v>
      </c>
      <c r="E5082" s="8"/>
      <c r="F5082" s="8">
        <v>1</v>
      </c>
      <c r="G5082" s="7">
        <f>3*INDEX([1]equip.xml!$I:$I,MATCH(D5082&amp;"",[1]equip.xml!$A:$A,0))</f>
        <v>180000</v>
      </c>
      <c r="H5082" s="8" t="str">
        <f t="shared" ref="H5082:J5082" si="6780">H4994</f>
        <v>10_10,50_20,80_30</v>
      </c>
      <c r="I5082" s="8">
        <v>6</v>
      </c>
      <c r="J5082" s="8">
        <f t="shared" si="6780"/>
        <v>50</v>
      </c>
      <c r="K5082" s="7" t="s">
        <v>311</v>
      </c>
      <c r="L5082" s="8">
        <v>40</v>
      </c>
      <c r="M5082" s="7">
        <f>IF(INDEX([1]equip.xml!$B:$B,MATCH(D5082&amp;"",[1]equip.xml!$A:$A,0))=0,0,N5082)</f>
        <v>70</v>
      </c>
      <c r="N5082" s="7">
        <f t="shared" si="6742"/>
        <v>70</v>
      </c>
    </row>
    <row r="5083" spans="1:14">
      <c r="A5083" s="7">
        <f t="shared" si="6691"/>
        <v>30016</v>
      </c>
      <c r="B5083" s="8">
        <f t="shared" ref="B5083:C5083" si="6781">B4995</f>
        <v>40000</v>
      </c>
      <c r="C5083" s="8" t="str">
        <f t="shared" si="6781"/>
        <v>装备</v>
      </c>
      <c r="D5083" s="8">
        <v>40603051</v>
      </c>
      <c r="E5083" s="8"/>
      <c r="F5083" s="8">
        <v>1</v>
      </c>
      <c r="G5083" s="7">
        <f>3*INDEX([1]equip.xml!$I:$I,MATCH(D5083&amp;"",[1]equip.xml!$A:$A,0))</f>
        <v>189000</v>
      </c>
      <c r="H5083" s="8" t="str">
        <f t="shared" ref="H5083:J5083" si="6782">H4995</f>
        <v>10_10,50_20,80_30</v>
      </c>
      <c r="I5083" s="8">
        <v>6</v>
      </c>
      <c r="J5083" s="8">
        <f t="shared" si="6782"/>
        <v>50</v>
      </c>
      <c r="K5083" s="7" t="s">
        <v>311</v>
      </c>
      <c r="L5083" s="8">
        <v>40</v>
      </c>
      <c r="M5083" s="7">
        <f>IF(INDEX([1]equip.xml!$B:$B,MATCH(D5083&amp;"",[1]equip.xml!$A:$A,0))=0,0,N5083)</f>
        <v>0</v>
      </c>
      <c r="N5083" s="7">
        <f t="shared" si="6742"/>
        <v>70</v>
      </c>
    </row>
    <row r="5084" spans="1:14">
      <c r="A5084" s="7">
        <f t="shared" si="6691"/>
        <v>30016</v>
      </c>
      <c r="B5084" s="8">
        <f t="shared" ref="B5084:C5084" si="6783">B4996</f>
        <v>40000</v>
      </c>
      <c r="C5084" s="8" t="str">
        <f t="shared" si="6783"/>
        <v>装备</v>
      </c>
      <c r="D5084" s="8">
        <v>40603060</v>
      </c>
      <c r="E5084" s="8"/>
      <c r="F5084" s="8">
        <v>1</v>
      </c>
      <c r="G5084" s="7">
        <f>3*INDEX([1]equip.xml!$I:$I,MATCH(D5084&amp;"",[1]equip.xml!$A:$A,0))</f>
        <v>180000</v>
      </c>
      <c r="H5084" s="8" t="str">
        <f t="shared" ref="H5084:J5084" si="6784">H4996</f>
        <v>10_10,50_20,80_30</v>
      </c>
      <c r="I5084" s="8">
        <v>6</v>
      </c>
      <c r="J5084" s="8">
        <f t="shared" si="6784"/>
        <v>50</v>
      </c>
      <c r="K5084" s="7" t="s">
        <v>311</v>
      </c>
      <c r="L5084" s="8">
        <v>40</v>
      </c>
      <c r="M5084" s="7">
        <f>IF(INDEX([1]equip.xml!$B:$B,MATCH(D5084&amp;"",[1]equip.xml!$A:$A,0))=0,0,N5084)</f>
        <v>70</v>
      </c>
      <c r="N5084" s="7">
        <f t="shared" si="6742"/>
        <v>70</v>
      </c>
    </row>
    <row r="5085" spans="1:14">
      <c r="A5085" s="7">
        <f t="shared" si="6691"/>
        <v>30016</v>
      </c>
      <c r="B5085" s="8">
        <f t="shared" ref="B5085:C5085" si="6785">B4997</f>
        <v>40000</v>
      </c>
      <c r="C5085" s="8" t="str">
        <f t="shared" si="6785"/>
        <v>装备</v>
      </c>
      <c r="D5085" s="8">
        <v>40603061</v>
      </c>
      <c r="E5085" s="8"/>
      <c r="F5085" s="8">
        <v>1</v>
      </c>
      <c r="G5085" s="7">
        <f>3*INDEX([1]equip.xml!$I:$I,MATCH(D5085&amp;"",[1]equip.xml!$A:$A,0))</f>
        <v>189000</v>
      </c>
      <c r="H5085" s="8" t="str">
        <f t="shared" ref="H5085:J5085" si="6786">H4997</f>
        <v>10_10,50_20,80_30</v>
      </c>
      <c r="I5085" s="8">
        <v>6</v>
      </c>
      <c r="J5085" s="8">
        <f t="shared" si="6786"/>
        <v>50</v>
      </c>
      <c r="K5085" s="7" t="s">
        <v>311</v>
      </c>
      <c r="L5085" s="8">
        <v>40</v>
      </c>
      <c r="M5085" s="7">
        <f>IF(INDEX([1]equip.xml!$B:$B,MATCH(D5085&amp;"",[1]equip.xml!$A:$A,0))=0,0,N5085)</f>
        <v>0</v>
      </c>
      <c r="N5085" s="7">
        <f t="shared" si="6742"/>
        <v>70</v>
      </c>
    </row>
    <row r="5086" spans="1:14">
      <c r="A5086" s="7">
        <f t="shared" si="6691"/>
        <v>30016</v>
      </c>
      <c r="B5086" s="8">
        <f t="shared" ref="B5086:C5086" si="6787">B4998</f>
        <v>40000</v>
      </c>
      <c r="C5086" s="8" t="str">
        <f t="shared" si="6787"/>
        <v>装备</v>
      </c>
      <c r="D5086" s="8">
        <v>40600040</v>
      </c>
      <c r="E5086" s="8"/>
      <c r="F5086" s="8">
        <v>1</v>
      </c>
      <c r="G5086" s="7">
        <f>3*INDEX([1]equip.xml!$I:$I,MATCH(D5086&amp;"",[1]equip.xml!$A:$A,0))</f>
        <v>180000</v>
      </c>
      <c r="H5086" s="8" t="str">
        <f t="shared" ref="H5086:J5086" si="6788">H4998</f>
        <v>10_10,50_20,80_30</v>
      </c>
      <c r="I5086" s="8">
        <v>6</v>
      </c>
      <c r="J5086" s="8">
        <f t="shared" si="6788"/>
        <v>50</v>
      </c>
      <c r="K5086" s="7" t="s">
        <v>311</v>
      </c>
      <c r="L5086" s="8">
        <v>40</v>
      </c>
      <c r="M5086" s="7">
        <f>IF(INDEX([1]equip.xml!$B:$B,MATCH(D5086&amp;"",[1]equip.xml!$A:$A,0))=0,0,N5086)</f>
        <v>70</v>
      </c>
      <c r="N5086" s="7">
        <f t="shared" si="6742"/>
        <v>70</v>
      </c>
    </row>
    <row r="5087" spans="1:14">
      <c r="A5087" s="7">
        <f t="shared" si="6691"/>
        <v>30016</v>
      </c>
      <c r="B5087" s="8">
        <f t="shared" ref="B5087:C5087" si="6789">B4999</f>
        <v>40000</v>
      </c>
      <c r="C5087" s="8" t="str">
        <f t="shared" si="6789"/>
        <v>装备</v>
      </c>
      <c r="D5087" s="8">
        <v>40600041</v>
      </c>
      <c r="E5087" s="8"/>
      <c r="F5087" s="8">
        <v>1</v>
      </c>
      <c r="G5087" s="7">
        <f>3*INDEX([1]equip.xml!$I:$I,MATCH(D5087&amp;"",[1]equip.xml!$A:$A,0))</f>
        <v>189000</v>
      </c>
      <c r="H5087" s="8" t="str">
        <f t="shared" ref="H5087:J5087" si="6790">H4999</f>
        <v>10_10,50_20,80_30</v>
      </c>
      <c r="I5087" s="8">
        <v>6</v>
      </c>
      <c r="J5087" s="8">
        <f t="shared" si="6790"/>
        <v>50</v>
      </c>
      <c r="K5087" s="7" t="s">
        <v>311</v>
      </c>
      <c r="L5087" s="8">
        <v>40</v>
      </c>
      <c r="M5087" s="7">
        <f>IF(INDEX([1]equip.xml!$B:$B,MATCH(D5087&amp;"",[1]equip.xml!$A:$A,0))=0,0,N5087)</f>
        <v>0</v>
      </c>
      <c r="N5087" s="7">
        <f t="shared" si="6742"/>
        <v>70</v>
      </c>
    </row>
    <row r="5088" spans="1:14">
      <c r="A5088" s="7">
        <f t="shared" si="6691"/>
        <v>30016</v>
      </c>
      <c r="B5088" s="8">
        <f t="shared" ref="B5088:C5088" si="6791">B5000</f>
        <v>40000</v>
      </c>
      <c r="C5088" s="8" t="str">
        <f t="shared" si="6791"/>
        <v>装备</v>
      </c>
      <c r="D5088" s="8">
        <v>40600070</v>
      </c>
      <c r="E5088" s="8"/>
      <c r="F5088" s="8">
        <v>1</v>
      </c>
      <c r="G5088" s="7">
        <f>3*INDEX([1]equip.xml!$I:$I,MATCH(D5088&amp;"",[1]equip.xml!$A:$A,0))</f>
        <v>180000</v>
      </c>
      <c r="H5088" s="8" t="str">
        <f t="shared" ref="H5088:J5088" si="6792">H5000</f>
        <v>10_10,50_20,80_30</v>
      </c>
      <c r="I5088" s="8">
        <v>6</v>
      </c>
      <c r="J5088" s="8">
        <f t="shared" si="6792"/>
        <v>50</v>
      </c>
      <c r="K5088" s="7" t="s">
        <v>311</v>
      </c>
      <c r="L5088" s="8">
        <v>40</v>
      </c>
      <c r="M5088" s="7">
        <f>IF(INDEX([1]equip.xml!$B:$B,MATCH(D5088&amp;"",[1]equip.xml!$A:$A,0))=0,0,N5088)</f>
        <v>70</v>
      </c>
      <c r="N5088" s="7">
        <f t="shared" si="6742"/>
        <v>70</v>
      </c>
    </row>
    <row r="5089" spans="1:14">
      <c r="A5089" s="7">
        <f t="shared" si="6691"/>
        <v>30016</v>
      </c>
      <c r="B5089" s="8">
        <f t="shared" ref="B5089:C5089" si="6793">B5001</f>
        <v>40000</v>
      </c>
      <c r="C5089" s="8" t="str">
        <f t="shared" si="6793"/>
        <v>装备</v>
      </c>
      <c r="D5089" s="8">
        <v>40600071</v>
      </c>
      <c r="E5089" s="8"/>
      <c r="F5089" s="8">
        <v>1</v>
      </c>
      <c r="G5089" s="7">
        <f>3*INDEX([1]equip.xml!$I:$I,MATCH(D5089&amp;"",[1]equip.xml!$A:$A,0))</f>
        <v>189000</v>
      </c>
      <c r="H5089" s="8" t="str">
        <f t="shared" ref="H5089:J5089" si="6794">H5001</f>
        <v>10_10,50_20,80_30</v>
      </c>
      <c r="I5089" s="8">
        <v>6</v>
      </c>
      <c r="J5089" s="8">
        <f t="shared" si="6794"/>
        <v>50</v>
      </c>
      <c r="K5089" s="7" t="s">
        <v>311</v>
      </c>
      <c r="L5089" s="8">
        <v>40</v>
      </c>
      <c r="M5089" s="7">
        <f>IF(INDEX([1]equip.xml!$B:$B,MATCH(D5089&amp;"",[1]equip.xml!$A:$A,0))=0,0,N5089)</f>
        <v>70</v>
      </c>
      <c r="N5089" s="7">
        <f t="shared" si="6742"/>
        <v>70</v>
      </c>
    </row>
    <row r="5090" spans="1:14">
      <c r="A5090" s="7">
        <f t="shared" si="6691"/>
        <v>30016</v>
      </c>
      <c r="B5090" s="8">
        <f t="shared" ref="B5090:C5090" si="6795">B5002</f>
        <v>40000</v>
      </c>
      <c r="C5090" s="8" t="str">
        <f t="shared" si="6795"/>
        <v>装备</v>
      </c>
      <c r="D5090" s="8">
        <v>50550015</v>
      </c>
      <c r="E5090" s="8"/>
      <c r="F5090" s="8">
        <v>1</v>
      </c>
      <c r="G5090" s="8">
        <f>3*INDEX([1]equip.xml!$I:$I,MATCH(D5090,[1]equip.xml!$A:$A,0))</f>
        <v>330000</v>
      </c>
      <c r="H5090" s="8" t="str">
        <f t="shared" ref="H5090:J5090" si="6796">H5002</f>
        <v>10_10,50_20,80_30</v>
      </c>
      <c r="I5090" s="8">
        <v>2</v>
      </c>
      <c r="J5090" s="8">
        <f t="shared" si="6796"/>
        <v>240</v>
      </c>
      <c r="K5090" s="7" t="s">
        <v>311</v>
      </c>
      <c r="L5090" s="8">
        <v>40</v>
      </c>
      <c r="M5090" s="7">
        <f>IF(INDEX([1]equip.xml!$B:$B,MATCH(D5090,[1]equip.xml!$A:$A,0))=0,0,N5090)</f>
        <v>200</v>
      </c>
      <c r="N5090" s="7">
        <f t="shared" si="6742"/>
        <v>200</v>
      </c>
    </row>
    <row r="5091" spans="1:14">
      <c r="A5091" s="7">
        <f t="shared" si="6691"/>
        <v>30016</v>
      </c>
      <c r="B5091" s="8">
        <f t="shared" ref="B5091:C5091" si="6797">B5003</f>
        <v>40000</v>
      </c>
      <c r="C5091" s="8" t="str">
        <f t="shared" si="6797"/>
        <v>装备</v>
      </c>
      <c r="D5091" s="8">
        <v>50550025</v>
      </c>
      <c r="E5091" s="8"/>
      <c r="F5091" s="8">
        <v>1</v>
      </c>
      <c r="G5091" s="8">
        <f>3*INDEX([1]equip.xml!$I:$I,MATCH(D5091,[1]equip.xml!$A:$A,0))</f>
        <v>330000</v>
      </c>
      <c r="H5091" s="8" t="str">
        <f t="shared" ref="H5091:J5091" si="6798">H5003</f>
        <v>10_10,50_20,80_30</v>
      </c>
      <c r="I5091" s="8">
        <v>2</v>
      </c>
      <c r="J5091" s="8">
        <f t="shared" si="6798"/>
        <v>240</v>
      </c>
      <c r="K5091" s="7" t="s">
        <v>311</v>
      </c>
      <c r="L5091" s="8">
        <v>40</v>
      </c>
      <c r="M5091" s="7">
        <f>IF(INDEX([1]equip.xml!$B:$B,MATCH(D5091,[1]equip.xml!$A:$A,0))=0,0,N5091)</f>
        <v>200</v>
      </c>
      <c r="N5091" s="7">
        <f t="shared" si="6742"/>
        <v>200</v>
      </c>
    </row>
    <row r="5092" spans="1:14">
      <c r="A5092" s="7">
        <f t="shared" si="6691"/>
        <v>30016</v>
      </c>
      <c r="B5092" s="8">
        <f t="shared" ref="B5092:C5092" si="6799">B5004</f>
        <v>40000</v>
      </c>
      <c r="C5092" s="8" t="str">
        <f t="shared" si="6799"/>
        <v>装备</v>
      </c>
      <c r="D5092" s="8">
        <v>50550035</v>
      </c>
      <c r="E5092" s="8"/>
      <c r="F5092" s="8">
        <v>1</v>
      </c>
      <c r="G5092" s="8">
        <f>3*INDEX([1]equip.xml!$I:$I,MATCH(D5092,[1]equip.xml!$A:$A,0))</f>
        <v>330000</v>
      </c>
      <c r="H5092" s="8" t="str">
        <f t="shared" ref="H5092:J5092" si="6800">H5004</f>
        <v>10_10,50_20,80_30</v>
      </c>
      <c r="I5092" s="8">
        <v>2</v>
      </c>
      <c r="J5092" s="8">
        <f t="shared" si="6800"/>
        <v>240</v>
      </c>
      <c r="K5092" s="7" t="s">
        <v>311</v>
      </c>
      <c r="L5092" s="8">
        <v>40</v>
      </c>
      <c r="M5092" s="7">
        <f>IF(INDEX([1]equip.xml!$B:$B,MATCH(D5092,[1]equip.xml!$A:$A,0))=0,0,N5092)</f>
        <v>200</v>
      </c>
      <c r="N5092" s="7">
        <f t="shared" si="6742"/>
        <v>200</v>
      </c>
    </row>
    <row r="5093" spans="1:14">
      <c r="A5093" s="7">
        <f t="shared" si="6691"/>
        <v>30016</v>
      </c>
      <c r="B5093" s="8">
        <f t="shared" ref="B5093:C5093" si="6801">B5005</f>
        <v>40000</v>
      </c>
      <c r="C5093" s="8" t="str">
        <f t="shared" si="6801"/>
        <v>装备</v>
      </c>
      <c r="D5093" s="8">
        <v>50550085</v>
      </c>
      <c r="E5093" s="8"/>
      <c r="F5093" s="8">
        <v>1</v>
      </c>
      <c r="G5093" s="8">
        <f>3*INDEX([1]equip.xml!$I:$I,MATCH(D5093,[1]equip.xml!$A:$A,0))</f>
        <v>330000</v>
      </c>
      <c r="H5093" s="8" t="str">
        <f t="shared" ref="H5093:J5093" si="6802">H5005</f>
        <v>10_10,50_20,80_30</v>
      </c>
      <c r="I5093" s="8">
        <v>2</v>
      </c>
      <c r="J5093" s="8">
        <f t="shared" si="6802"/>
        <v>240</v>
      </c>
      <c r="K5093" s="7" t="s">
        <v>311</v>
      </c>
      <c r="L5093" s="8">
        <v>40</v>
      </c>
      <c r="M5093" s="7">
        <f>IF(INDEX([1]equip.xml!$B:$B,MATCH(D5093,[1]equip.xml!$A:$A,0))=0,0,N5093)</f>
        <v>200</v>
      </c>
      <c r="N5093" s="7">
        <f t="shared" si="6742"/>
        <v>200</v>
      </c>
    </row>
    <row r="5094" spans="1:14">
      <c r="A5094" s="7">
        <f t="shared" si="6691"/>
        <v>30016</v>
      </c>
      <c r="B5094" s="8">
        <f t="shared" ref="B5094:C5094" si="6803">B5006</f>
        <v>40000</v>
      </c>
      <c r="C5094" s="8" t="str">
        <f t="shared" si="6803"/>
        <v>装备</v>
      </c>
      <c r="D5094" s="8">
        <v>50550095</v>
      </c>
      <c r="E5094" s="8"/>
      <c r="F5094" s="8">
        <v>1</v>
      </c>
      <c r="G5094" s="8">
        <f>3*INDEX([1]equip.xml!$I:$I,MATCH(D5094,[1]equip.xml!$A:$A,0))</f>
        <v>330000</v>
      </c>
      <c r="H5094" s="8" t="str">
        <f t="shared" ref="H5094:J5094" si="6804">H5006</f>
        <v>10_10,50_20,80_30</v>
      </c>
      <c r="I5094" s="8">
        <v>2</v>
      </c>
      <c r="J5094" s="8">
        <f t="shared" si="6804"/>
        <v>240</v>
      </c>
      <c r="K5094" s="7" t="s">
        <v>311</v>
      </c>
      <c r="L5094" s="8">
        <v>40</v>
      </c>
      <c r="M5094" s="7">
        <f>IF(INDEX([1]equip.xml!$B:$B,MATCH(D5094,[1]equip.xml!$A:$A,0))=0,0,N5094)</f>
        <v>0</v>
      </c>
      <c r="N5094" s="7">
        <f t="shared" si="6742"/>
        <v>200</v>
      </c>
    </row>
    <row r="5095" spans="1:14">
      <c r="A5095" s="7">
        <f t="shared" si="6691"/>
        <v>30016</v>
      </c>
      <c r="B5095" s="8">
        <f t="shared" ref="B5095:C5095" si="6805">B5007</f>
        <v>40000</v>
      </c>
      <c r="C5095" s="8" t="str">
        <f t="shared" si="6805"/>
        <v>装备</v>
      </c>
      <c r="D5095" s="8">
        <v>50550105</v>
      </c>
      <c r="E5095" s="8"/>
      <c r="F5095" s="8">
        <v>1</v>
      </c>
      <c r="G5095" s="8">
        <f>3*INDEX([1]equip.xml!$I:$I,MATCH(D5095,[1]equip.xml!$A:$A,0))</f>
        <v>330000</v>
      </c>
      <c r="H5095" s="8" t="str">
        <f t="shared" ref="H5095:J5095" si="6806">H5007</f>
        <v>10_10,50_20,80_30</v>
      </c>
      <c r="I5095" s="8">
        <v>2</v>
      </c>
      <c r="J5095" s="8">
        <f t="shared" si="6806"/>
        <v>240</v>
      </c>
      <c r="K5095" s="7" t="s">
        <v>311</v>
      </c>
      <c r="L5095" s="8">
        <v>40</v>
      </c>
      <c r="M5095" s="7">
        <f>IF(INDEX([1]equip.xml!$B:$B,MATCH(D5095,[1]equip.xml!$A:$A,0))=0,0,N5095)</f>
        <v>200</v>
      </c>
      <c r="N5095" s="7">
        <f t="shared" si="6742"/>
        <v>200</v>
      </c>
    </row>
    <row r="5096" spans="1:14">
      <c r="A5096" s="7">
        <f t="shared" si="6691"/>
        <v>30016</v>
      </c>
      <c r="B5096" s="8">
        <f t="shared" ref="B5096:C5096" si="6807">B5008</f>
        <v>40000</v>
      </c>
      <c r="C5096" s="8" t="str">
        <f t="shared" si="6807"/>
        <v>装备</v>
      </c>
      <c r="D5096" s="8">
        <v>50551055</v>
      </c>
      <c r="E5096" s="8"/>
      <c r="F5096" s="8">
        <v>1</v>
      </c>
      <c r="G5096" s="8">
        <f>3*INDEX([1]equip.xml!$I:$I,MATCH(D5096,[1]equip.xml!$A:$A,0))</f>
        <v>330000</v>
      </c>
      <c r="H5096" s="8" t="str">
        <f t="shared" ref="H5096:J5096" si="6808">H5008</f>
        <v>10_10,50_20,80_30</v>
      </c>
      <c r="I5096" s="8">
        <v>2</v>
      </c>
      <c r="J5096" s="8">
        <f t="shared" si="6808"/>
        <v>240</v>
      </c>
      <c r="K5096" s="7" t="s">
        <v>311</v>
      </c>
      <c r="L5096" s="8">
        <v>40</v>
      </c>
      <c r="M5096" s="7">
        <f>IF(INDEX([1]equip.xml!$B:$B,MATCH(D5096,[1]equip.xml!$A:$A,0))=0,0,N5096)</f>
        <v>200</v>
      </c>
      <c r="N5096" s="7">
        <f t="shared" si="6742"/>
        <v>200</v>
      </c>
    </row>
    <row r="5097" spans="1:14">
      <c r="A5097" s="7">
        <f t="shared" si="6691"/>
        <v>30016</v>
      </c>
      <c r="B5097" s="8">
        <f t="shared" ref="B5097:C5097" si="6809">B5009</f>
        <v>40000</v>
      </c>
      <c r="C5097" s="8" t="str">
        <f t="shared" si="6809"/>
        <v>装备</v>
      </c>
      <c r="D5097" s="8">
        <v>50551056</v>
      </c>
      <c r="E5097" s="8"/>
      <c r="F5097" s="8">
        <v>1</v>
      </c>
      <c r="G5097" s="8">
        <f>3*INDEX([1]equip.xml!$I:$I,MATCH(D5097,[1]equip.xml!$A:$A,0))</f>
        <v>348000</v>
      </c>
      <c r="H5097" s="8" t="str">
        <f t="shared" ref="H5097:J5097" si="6810">H5009</f>
        <v>10_10,50_20,80_30</v>
      </c>
      <c r="I5097" s="8">
        <v>2</v>
      </c>
      <c r="J5097" s="8">
        <f t="shared" si="6810"/>
        <v>240</v>
      </c>
      <c r="K5097" s="7" t="s">
        <v>311</v>
      </c>
      <c r="L5097" s="8">
        <v>40</v>
      </c>
      <c r="M5097" s="7">
        <f>IF(INDEX([1]equip.xml!$B:$B,MATCH(D5097,[1]equip.xml!$A:$A,0))=0,0,N5097)</f>
        <v>0</v>
      </c>
      <c r="N5097" s="7">
        <f t="shared" si="6742"/>
        <v>200</v>
      </c>
    </row>
    <row r="5098" spans="1:14">
      <c r="A5098" s="7">
        <f t="shared" si="6691"/>
        <v>30016</v>
      </c>
      <c r="B5098" s="8">
        <f t="shared" ref="B5098:C5098" si="6811">B5010</f>
        <v>40000</v>
      </c>
      <c r="C5098" s="8" t="str">
        <f t="shared" si="6811"/>
        <v>装备</v>
      </c>
      <c r="D5098" s="8">
        <v>50551065</v>
      </c>
      <c r="E5098" s="8"/>
      <c r="F5098" s="8">
        <v>1</v>
      </c>
      <c r="G5098" s="8">
        <f>3*INDEX([1]equip.xml!$I:$I,MATCH(D5098,[1]equip.xml!$A:$A,0))</f>
        <v>330000</v>
      </c>
      <c r="H5098" s="8" t="str">
        <f t="shared" ref="H5098:J5098" si="6812">H5010</f>
        <v>10_10,50_20,80_30</v>
      </c>
      <c r="I5098" s="8">
        <v>2</v>
      </c>
      <c r="J5098" s="8">
        <f t="shared" si="6812"/>
        <v>240</v>
      </c>
      <c r="K5098" s="7" t="s">
        <v>311</v>
      </c>
      <c r="L5098" s="8">
        <v>40</v>
      </c>
      <c r="M5098" s="7">
        <f>IF(INDEX([1]equip.xml!$B:$B,MATCH(D5098,[1]equip.xml!$A:$A,0))=0,0,N5098)</f>
        <v>200</v>
      </c>
      <c r="N5098" s="7">
        <f t="shared" si="6742"/>
        <v>200</v>
      </c>
    </row>
    <row r="5099" spans="1:14">
      <c r="A5099" s="7">
        <f t="shared" si="6691"/>
        <v>30016</v>
      </c>
      <c r="B5099" s="8">
        <f t="shared" ref="B5099:C5099" si="6813">B5011</f>
        <v>40000</v>
      </c>
      <c r="C5099" s="8" t="str">
        <f t="shared" si="6813"/>
        <v>装备</v>
      </c>
      <c r="D5099" s="8">
        <v>50551066</v>
      </c>
      <c r="E5099" s="8"/>
      <c r="F5099" s="8">
        <v>1</v>
      </c>
      <c r="G5099" s="8">
        <f>3*INDEX([1]equip.xml!$I:$I,MATCH(D5099,[1]equip.xml!$A:$A,0))</f>
        <v>348000</v>
      </c>
      <c r="H5099" s="8" t="str">
        <f t="shared" ref="H5099:J5099" si="6814">H5011</f>
        <v>10_10,50_20,80_30</v>
      </c>
      <c r="I5099" s="8">
        <v>2</v>
      </c>
      <c r="J5099" s="8">
        <f t="shared" si="6814"/>
        <v>240</v>
      </c>
      <c r="K5099" s="7" t="s">
        <v>311</v>
      </c>
      <c r="L5099" s="8">
        <v>40</v>
      </c>
      <c r="M5099" s="7">
        <f>IF(INDEX([1]equip.xml!$B:$B,MATCH(D5099,[1]equip.xml!$A:$A,0))=0,0,N5099)</f>
        <v>200</v>
      </c>
      <c r="N5099" s="7">
        <f t="shared" si="6742"/>
        <v>200</v>
      </c>
    </row>
    <row r="5100" spans="1:14">
      <c r="A5100" s="7">
        <f t="shared" si="6691"/>
        <v>30016</v>
      </c>
      <c r="B5100" s="8">
        <f t="shared" ref="B5100:C5100" si="6815">B5012</f>
        <v>40000</v>
      </c>
      <c r="C5100" s="8" t="str">
        <f t="shared" si="6815"/>
        <v>装备</v>
      </c>
      <c r="D5100" s="8">
        <v>50552055</v>
      </c>
      <c r="E5100" s="8"/>
      <c r="F5100" s="8">
        <v>1</v>
      </c>
      <c r="G5100" s="8">
        <f>3*INDEX([1]equip.xml!$I:$I,MATCH(D5100,[1]equip.xml!$A:$A,0))</f>
        <v>330000</v>
      </c>
      <c r="H5100" s="8" t="str">
        <f t="shared" ref="H5100:J5100" si="6816">H5012</f>
        <v>10_10,50_20,80_30</v>
      </c>
      <c r="I5100" s="8">
        <v>2</v>
      </c>
      <c r="J5100" s="8">
        <f t="shared" si="6816"/>
        <v>240</v>
      </c>
      <c r="K5100" s="7" t="s">
        <v>311</v>
      </c>
      <c r="L5100" s="8">
        <v>40</v>
      </c>
      <c r="M5100" s="7">
        <f>IF(INDEX([1]equip.xml!$B:$B,MATCH(D5100,[1]equip.xml!$A:$A,0))=0,0,N5100)</f>
        <v>200</v>
      </c>
      <c r="N5100" s="7">
        <f t="shared" si="6742"/>
        <v>200</v>
      </c>
    </row>
    <row r="5101" spans="1:14">
      <c r="A5101" s="7">
        <f t="shared" si="6691"/>
        <v>30016</v>
      </c>
      <c r="B5101" s="8">
        <f t="shared" ref="B5101:C5101" si="6817">B5013</f>
        <v>40000</v>
      </c>
      <c r="C5101" s="8" t="str">
        <f t="shared" si="6817"/>
        <v>装备</v>
      </c>
      <c r="D5101" s="8">
        <v>50552056</v>
      </c>
      <c r="E5101" s="8"/>
      <c r="F5101" s="8">
        <v>1</v>
      </c>
      <c r="G5101" s="8">
        <f>3*INDEX([1]equip.xml!$I:$I,MATCH(D5101,[1]equip.xml!$A:$A,0))</f>
        <v>348000</v>
      </c>
      <c r="H5101" s="8" t="str">
        <f t="shared" ref="H5101:J5101" si="6818">H5013</f>
        <v>10_10,50_20,80_30</v>
      </c>
      <c r="I5101" s="8">
        <v>2</v>
      </c>
      <c r="J5101" s="8">
        <f t="shared" si="6818"/>
        <v>240</v>
      </c>
      <c r="K5101" s="7" t="s">
        <v>311</v>
      </c>
      <c r="L5101" s="8">
        <v>40</v>
      </c>
      <c r="M5101" s="7">
        <f>IF(INDEX([1]equip.xml!$B:$B,MATCH(D5101,[1]equip.xml!$A:$A,0))=0,0,N5101)</f>
        <v>0</v>
      </c>
      <c r="N5101" s="7">
        <f t="shared" si="6742"/>
        <v>200</v>
      </c>
    </row>
    <row r="5102" spans="1:14">
      <c r="A5102" s="7">
        <f t="shared" si="6691"/>
        <v>30016</v>
      </c>
      <c r="B5102" s="8">
        <f t="shared" ref="B5102:C5102" si="6819">B5014</f>
        <v>40000</v>
      </c>
      <c r="C5102" s="8" t="str">
        <f t="shared" si="6819"/>
        <v>装备</v>
      </c>
      <c r="D5102" s="8">
        <v>50552065</v>
      </c>
      <c r="E5102" s="8"/>
      <c r="F5102" s="8">
        <v>1</v>
      </c>
      <c r="G5102" s="8">
        <f>3*INDEX([1]equip.xml!$I:$I,MATCH(D5102,[1]equip.xml!$A:$A,0))</f>
        <v>330000</v>
      </c>
      <c r="H5102" s="8" t="str">
        <f t="shared" ref="H5102:J5102" si="6820">H5014</f>
        <v>10_10,50_20,80_30</v>
      </c>
      <c r="I5102" s="8">
        <v>2</v>
      </c>
      <c r="J5102" s="8">
        <f t="shared" si="6820"/>
        <v>240</v>
      </c>
      <c r="K5102" s="7" t="s">
        <v>311</v>
      </c>
      <c r="L5102" s="8">
        <v>40</v>
      </c>
      <c r="M5102" s="7">
        <f>IF(INDEX([1]equip.xml!$B:$B,MATCH(D5102,[1]equip.xml!$A:$A,0))=0,0,N5102)</f>
        <v>200</v>
      </c>
      <c r="N5102" s="7">
        <f t="shared" si="6742"/>
        <v>200</v>
      </c>
    </row>
    <row r="5103" spans="1:14">
      <c r="A5103" s="7">
        <f t="shared" ref="A5103:A5166" si="6821">10000+A3871</f>
        <v>30016</v>
      </c>
      <c r="B5103" s="8">
        <f t="shared" ref="B5103:C5103" si="6822">B5015</f>
        <v>40000</v>
      </c>
      <c r="C5103" s="8" t="str">
        <f t="shared" si="6822"/>
        <v>装备</v>
      </c>
      <c r="D5103" s="8">
        <v>50552066</v>
      </c>
      <c r="E5103" s="8"/>
      <c r="F5103" s="8">
        <v>1</v>
      </c>
      <c r="G5103" s="8">
        <f>3*INDEX([1]equip.xml!$I:$I,MATCH(D5103,[1]equip.xml!$A:$A,0))</f>
        <v>348000</v>
      </c>
      <c r="H5103" s="8" t="str">
        <f t="shared" ref="H5103:J5103" si="6823">H5015</f>
        <v>10_10,50_20,80_30</v>
      </c>
      <c r="I5103" s="8">
        <v>2</v>
      </c>
      <c r="J5103" s="8">
        <f t="shared" si="6823"/>
        <v>240</v>
      </c>
      <c r="K5103" s="7" t="s">
        <v>311</v>
      </c>
      <c r="L5103" s="8">
        <v>40</v>
      </c>
      <c r="M5103" s="7">
        <f>IF(INDEX([1]equip.xml!$B:$B,MATCH(D5103,[1]equip.xml!$A:$A,0))=0,0,N5103)</f>
        <v>200</v>
      </c>
      <c r="N5103" s="7">
        <f t="shared" si="6742"/>
        <v>200</v>
      </c>
    </row>
    <row r="5104" spans="1:14">
      <c r="A5104" s="7">
        <f t="shared" si="6821"/>
        <v>30016</v>
      </c>
      <c r="B5104" s="8">
        <f t="shared" ref="B5104:C5104" si="6824">B5016</f>
        <v>40000</v>
      </c>
      <c r="C5104" s="8" t="str">
        <f t="shared" si="6824"/>
        <v>装备</v>
      </c>
      <c r="D5104" s="8">
        <v>50553055</v>
      </c>
      <c r="E5104" s="8"/>
      <c r="F5104" s="8">
        <v>1</v>
      </c>
      <c r="G5104" s="8">
        <f>3*INDEX([1]equip.xml!$I:$I,MATCH(D5104,[1]equip.xml!$A:$A,0))</f>
        <v>330000</v>
      </c>
      <c r="H5104" s="8" t="str">
        <f t="shared" ref="H5104:J5104" si="6825">H5016</f>
        <v>10_10,50_20,80_30</v>
      </c>
      <c r="I5104" s="8">
        <v>2</v>
      </c>
      <c r="J5104" s="8">
        <f t="shared" si="6825"/>
        <v>240</v>
      </c>
      <c r="K5104" s="7" t="s">
        <v>311</v>
      </c>
      <c r="L5104" s="8">
        <v>40</v>
      </c>
      <c r="M5104" s="7">
        <f>IF(INDEX([1]equip.xml!$B:$B,MATCH(D5104,[1]equip.xml!$A:$A,0))=0,0,N5104)</f>
        <v>200</v>
      </c>
      <c r="N5104" s="7">
        <f t="shared" si="6742"/>
        <v>200</v>
      </c>
    </row>
    <row r="5105" spans="1:14">
      <c r="A5105" s="7">
        <f t="shared" si="6821"/>
        <v>30016</v>
      </c>
      <c r="B5105" s="8">
        <f t="shared" ref="B5105:C5105" si="6826">B5017</f>
        <v>40000</v>
      </c>
      <c r="C5105" s="8" t="str">
        <f t="shared" si="6826"/>
        <v>装备</v>
      </c>
      <c r="D5105" s="8">
        <v>50553056</v>
      </c>
      <c r="E5105" s="8"/>
      <c r="F5105" s="8">
        <v>1</v>
      </c>
      <c r="G5105" s="8">
        <f>3*INDEX([1]equip.xml!$I:$I,MATCH(D5105,[1]equip.xml!$A:$A,0))</f>
        <v>348000</v>
      </c>
      <c r="H5105" s="8" t="str">
        <f t="shared" ref="H5105:J5105" si="6827">H5017</f>
        <v>10_10,50_20,80_30</v>
      </c>
      <c r="I5105" s="8">
        <v>2</v>
      </c>
      <c r="J5105" s="8">
        <f t="shared" si="6827"/>
        <v>240</v>
      </c>
      <c r="K5105" s="7" t="s">
        <v>311</v>
      </c>
      <c r="L5105" s="8">
        <v>40</v>
      </c>
      <c r="M5105" s="7">
        <f>IF(INDEX([1]equip.xml!$B:$B,MATCH(D5105,[1]equip.xml!$A:$A,0))=0,0,N5105)</f>
        <v>0</v>
      </c>
      <c r="N5105" s="7">
        <f t="shared" si="6742"/>
        <v>200</v>
      </c>
    </row>
    <row r="5106" spans="1:14">
      <c r="A5106" s="7">
        <f t="shared" si="6821"/>
        <v>30016</v>
      </c>
      <c r="B5106" s="8">
        <f t="shared" ref="B5106:C5106" si="6828">B5018</f>
        <v>40000</v>
      </c>
      <c r="C5106" s="8" t="str">
        <f t="shared" si="6828"/>
        <v>装备</v>
      </c>
      <c r="D5106" s="8">
        <v>50553065</v>
      </c>
      <c r="E5106" s="8"/>
      <c r="F5106" s="8">
        <v>1</v>
      </c>
      <c r="G5106" s="8">
        <f>3*INDEX([1]equip.xml!$I:$I,MATCH(D5106,[1]equip.xml!$A:$A,0))</f>
        <v>330000</v>
      </c>
      <c r="H5106" s="8" t="str">
        <f t="shared" ref="H5106:J5106" si="6829">H5018</f>
        <v>10_10,50_20,80_30</v>
      </c>
      <c r="I5106" s="8">
        <v>2</v>
      </c>
      <c r="J5106" s="8">
        <f t="shared" si="6829"/>
        <v>240</v>
      </c>
      <c r="K5106" s="7" t="s">
        <v>311</v>
      </c>
      <c r="L5106" s="8">
        <v>40</v>
      </c>
      <c r="M5106" s="7">
        <f>IF(INDEX([1]equip.xml!$B:$B,MATCH(D5106,[1]equip.xml!$A:$A,0))=0,0,N5106)</f>
        <v>200</v>
      </c>
      <c r="N5106" s="7">
        <f t="shared" si="6742"/>
        <v>200</v>
      </c>
    </row>
    <row r="5107" spans="1:14">
      <c r="A5107" s="7">
        <f t="shared" si="6821"/>
        <v>30016</v>
      </c>
      <c r="B5107" s="8">
        <f t="shared" ref="B5107:C5107" si="6830">B5019</f>
        <v>40000</v>
      </c>
      <c r="C5107" s="8" t="str">
        <f t="shared" si="6830"/>
        <v>装备</v>
      </c>
      <c r="D5107" s="8">
        <v>50553066</v>
      </c>
      <c r="E5107" s="8"/>
      <c r="F5107" s="8">
        <v>1</v>
      </c>
      <c r="G5107" s="8">
        <f>3*INDEX([1]equip.xml!$I:$I,MATCH(D5107,[1]equip.xml!$A:$A,0))</f>
        <v>348000</v>
      </c>
      <c r="H5107" s="8" t="str">
        <f t="shared" ref="H5107:J5107" si="6831">H5019</f>
        <v>10_10,50_20,80_30</v>
      </c>
      <c r="I5107" s="8">
        <v>2</v>
      </c>
      <c r="J5107" s="8">
        <f t="shared" si="6831"/>
        <v>240</v>
      </c>
      <c r="K5107" s="7" t="s">
        <v>311</v>
      </c>
      <c r="L5107" s="8">
        <v>40</v>
      </c>
      <c r="M5107" s="7">
        <f>IF(INDEX([1]equip.xml!$B:$B,MATCH(D5107,[1]equip.xml!$A:$A,0))=0,0,N5107)</f>
        <v>200</v>
      </c>
      <c r="N5107" s="7">
        <f t="shared" si="6742"/>
        <v>200</v>
      </c>
    </row>
    <row r="5108" spans="1:14">
      <c r="A5108" s="7">
        <f t="shared" si="6821"/>
        <v>30016</v>
      </c>
      <c r="B5108" s="8">
        <f t="shared" ref="B5108:C5108" si="6832">B5020</f>
        <v>40000</v>
      </c>
      <c r="C5108" s="8" t="str">
        <f t="shared" si="6832"/>
        <v>装备</v>
      </c>
      <c r="D5108" s="8">
        <v>50550045</v>
      </c>
      <c r="E5108" s="8"/>
      <c r="F5108" s="8">
        <v>1</v>
      </c>
      <c r="G5108" s="8">
        <f>3*INDEX([1]equip.xml!$I:$I,MATCH(D5108,[1]equip.xml!$A:$A,0))</f>
        <v>330000</v>
      </c>
      <c r="H5108" s="8" t="str">
        <f t="shared" ref="H5108:J5108" si="6833">H5020</f>
        <v>10_10,50_20,80_30</v>
      </c>
      <c r="I5108" s="8">
        <v>2</v>
      </c>
      <c r="J5108" s="8">
        <f t="shared" si="6833"/>
        <v>240</v>
      </c>
      <c r="K5108" s="7" t="s">
        <v>311</v>
      </c>
      <c r="L5108" s="8">
        <v>40</v>
      </c>
      <c r="M5108" s="7">
        <f>IF(INDEX([1]equip.xml!$B:$B,MATCH(D5108,[1]equip.xml!$A:$A,0))=0,0,N5108)</f>
        <v>200</v>
      </c>
      <c r="N5108" s="7">
        <f t="shared" si="6742"/>
        <v>200</v>
      </c>
    </row>
    <row r="5109" spans="1:14">
      <c r="A5109" s="7">
        <f t="shared" si="6821"/>
        <v>30016</v>
      </c>
      <c r="B5109" s="8">
        <f t="shared" ref="B5109:C5109" si="6834">B5021</f>
        <v>40000</v>
      </c>
      <c r="C5109" s="8" t="str">
        <f t="shared" si="6834"/>
        <v>装备</v>
      </c>
      <c r="D5109" s="8">
        <v>50550046</v>
      </c>
      <c r="E5109" s="8"/>
      <c r="F5109" s="8">
        <v>1</v>
      </c>
      <c r="G5109" s="8">
        <f>3*INDEX([1]equip.xml!$I:$I,MATCH(D5109,[1]equip.xml!$A:$A,0))</f>
        <v>348000</v>
      </c>
      <c r="H5109" s="8" t="str">
        <f t="shared" ref="H5109:J5109" si="6835">H5021</f>
        <v>10_10,50_20,80_30</v>
      </c>
      <c r="I5109" s="8">
        <v>2</v>
      </c>
      <c r="J5109" s="8">
        <f t="shared" si="6835"/>
        <v>240</v>
      </c>
      <c r="K5109" s="7" t="s">
        <v>311</v>
      </c>
      <c r="L5109" s="8">
        <v>40</v>
      </c>
      <c r="M5109" s="7">
        <f>IF(INDEX([1]equip.xml!$B:$B,MATCH(D5109,[1]equip.xml!$A:$A,0))=0,0,N5109)</f>
        <v>0</v>
      </c>
      <c r="N5109" s="7">
        <f t="shared" si="6742"/>
        <v>200</v>
      </c>
    </row>
    <row r="5110" spans="1:14">
      <c r="A5110" s="7">
        <f t="shared" si="6821"/>
        <v>30016</v>
      </c>
      <c r="B5110" s="8">
        <f t="shared" ref="B5110:C5110" si="6836">B5022</f>
        <v>40000</v>
      </c>
      <c r="C5110" s="8" t="str">
        <f t="shared" si="6836"/>
        <v>装备</v>
      </c>
      <c r="D5110" s="8">
        <v>50550075</v>
      </c>
      <c r="E5110" s="8"/>
      <c r="F5110" s="8">
        <v>1</v>
      </c>
      <c r="G5110" s="8">
        <f>3*INDEX([1]equip.xml!$I:$I,MATCH(D5110,[1]equip.xml!$A:$A,0))</f>
        <v>330000</v>
      </c>
      <c r="H5110" s="8" t="str">
        <f t="shared" ref="H5110:J5110" si="6837">H5022</f>
        <v>10_10,50_20,80_30</v>
      </c>
      <c r="I5110" s="8">
        <v>2</v>
      </c>
      <c r="J5110" s="8">
        <f t="shared" si="6837"/>
        <v>240</v>
      </c>
      <c r="K5110" s="7" t="s">
        <v>311</v>
      </c>
      <c r="L5110" s="8">
        <v>40</v>
      </c>
      <c r="M5110" s="7">
        <f>IF(INDEX([1]equip.xml!$B:$B,MATCH(D5110,[1]equip.xml!$A:$A,0))=0,0,N5110)</f>
        <v>200</v>
      </c>
      <c r="N5110" s="7">
        <f t="shared" si="6742"/>
        <v>200</v>
      </c>
    </row>
    <row r="5111" spans="1:14">
      <c r="A5111" s="7">
        <f t="shared" si="6821"/>
        <v>30016</v>
      </c>
      <c r="B5111" s="8">
        <f t="shared" ref="B5111:C5111" si="6838">B5023</f>
        <v>40000</v>
      </c>
      <c r="C5111" s="8" t="str">
        <f t="shared" si="6838"/>
        <v>装备</v>
      </c>
      <c r="D5111" s="8">
        <v>50550076</v>
      </c>
      <c r="E5111" s="8"/>
      <c r="F5111" s="8">
        <v>1</v>
      </c>
      <c r="G5111" s="8">
        <f>3*INDEX([1]equip.xml!$I:$I,MATCH(D5111,[1]equip.xml!$A:$A,0))</f>
        <v>348000</v>
      </c>
      <c r="H5111" s="8" t="str">
        <f t="shared" ref="H5111:J5111" si="6839">H5023</f>
        <v>10_10,50_20,80_30</v>
      </c>
      <c r="I5111" s="8">
        <v>2</v>
      </c>
      <c r="J5111" s="8">
        <f t="shared" si="6839"/>
        <v>240</v>
      </c>
      <c r="K5111" s="7" t="s">
        <v>311</v>
      </c>
      <c r="L5111" s="8">
        <v>40</v>
      </c>
      <c r="M5111" s="7">
        <f>IF(INDEX([1]equip.xml!$B:$B,MATCH(D5111,[1]equip.xml!$A:$A,0))=0,0,N5111)</f>
        <v>0</v>
      </c>
      <c r="N5111" s="7">
        <f t="shared" si="6742"/>
        <v>200</v>
      </c>
    </row>
    <row r="5112" spans="1:14">
      <c r="A5112" s="7">
        <f t="shared" si="6821"/>
        <v>30016</v>
      </c>
      <c r="B5112" s="8">
        <f t="shared" ref="B5112:C5112" si="6840">B5024</f>
        <v>40000</v>
      </c>
      <c r="C5112" s="8" t="str">
        <f t="shared" si="6840"/>
        <v>装备</v>
      </c>
      <c r="D5112" s="8">
        <v>50600015</v>
      </c>
      <c r="E5112" s="8"/>
      <c r="F5112" s="8">
        <v>1</v>
      </c>
      <c r="G5112" s="8">
        <f>3*INDEX([1]equip.xml!$I:$I,MATCH(D5112,[1]equip.xml!$A:$A,0))</f>
        <v>360000</v>
      </c>
      <c r="H5112" s="8" t="str">
        <f t="shared" ref="H5112:J5112" si="6841">H5024</f>
        <v>10_10,50_20,80_30</v>
      </c>
      <c r="I5112" s="8">
        <v>2</v>
      </c>
      <c r="J5112" s="8">
        <f t="shared" si="6841"/>
        <v>240</v>
      </c>
      <c r="K5112" s="7" t="s">
        <v>311</v>
      </c>
      <c r="L5112" s="8">
        <v>40</v>
      </c>
      <c r="M5112" s="7">
        <f>IF(INDEX([1]equip.xml!$B:$B,MATCH(D5112,[1]equip.xml!$A:$A,0))=0,0,N5112)</f>
        <v>140</v>
      </c>
      <c r="N5112" s="7">
        <f t="shared" si="6742"/>
        <v>140</v>
      </c>
    </row>
    <row r="5113" spans="1:14">
      <c r="A5113" s="7">
        <f t="shared" si="6821"/>
        <v>30016</v>
      </c>
      <c r="B5113" s="8">
        <f t="shared" ref="B5113:C5113" si="6842">B5025</f>
        <v>40000</v>
      </c>
      <c r="C5113" s="8" t="str">
        <f t="shared" si="6842"/>
        <v>装备</v>
      </c>
      <c r="D5113" s="8">
        <v>50600025</v>
      </c>
      <c r="E5113" s="8"/>
      <c r="F5113" s="8">
        <v>1</v>
      </c>
      <c r="G5113" s="8">
        <f>3*INDEX([1]equip.xml!$I:$I,MATCH(D5113,[1]equip.xml!$A:$A,0))</f>
        <v>360000</v>
      </c>
      <c r="H5113" s="8" t="str">
        <f t="shared" ref="H5113:J5113" si="6843">H5025</f>
        <v>10_10,50_20,80_30</v>
      </c>
      <c r="I5113" s="8">
        <v>2</v>
      </c>
      <c r="J5113" s="8">
        <f t="shared" si="6843"/>
        <v>240</v>
      </c>
      <c r="K5113" s="7" t="s">
        <v>311</v>
      </c>
      <c r="L5113" s="8">
        <v>40</v>
      </c>
      <c r="M5113" s="7">
        <f>IF(INDEX([1]equip.xml!$B:$B,MATCH(D5113,[1]equip.xml!$A:$A,0))=0,0,N5113)</f>
        <v>140</v>
      </c>
      <c r="N5113" s="7">
        <f t="shared" si="6742"/>
        <v>140</v>
      </c>
    </row>
    <row r="5114" spans="1:14">
      <c r="A5114" s="7">
        <f t="shared" si="6821"/>
        <v>30016</v>
      </c>
      <c r="B5114" s="8">
        <f t="shared" ref="B5114:C5114" si="6844">B5026</f>
        <v>40000</v>
      </c>
      <c r="C5114" s="8" t="str">
        <f t="shared" si="6844"/>
        <v>装备</v>
      </c>
      <c r="D5114" s="8">
        <v>50600035</v>
      </c>
      <c r="E5114" s="8"/>
      <c r="F5114" s="8">
        <v>1</v>
      </c>
      <c r="G5114" s="8">
        <f>3*INDEX([1]equip.xml!$I:$I,MATCH(D5114,[1]equip.xml!$A:$A,0))</f>
        <v>360000</v>
      </c>
      <c r="H5114" s="8" t="str">
        <f t="shared" ref="H5114:J5114" si="6845">H5026</f>
        <v>10_10,50_20,80_30</v>
      </c>
      <c r="I5114" s="8">
        <v>2</v>
      </c>
      <c r="J5114" s="8">
        <f t="shared" si="6845"/>
        <v>240</v>
      </c>
      <c r="K5114" s="7" t="s">
        <v>311</v>
      </c>
      <c r="L5114" s="8">
        <v>40</v>
      </c>
      <c r="M5114" s="7">
        <f>IF(INDEX([1]equip.xml!$B:$B,MATCH(D5114,[1]equip.xml!$A:$A,0))=0,0,N5114)</f>
        <v>140</v>
      </c>
      <c r="N5114" s="7">
        <f t="shared" si="6742"/>
        <v>140</v>
      </c>
    </row>
    <row r="5115" spans="1:14">
      <c r="A5115" s="7">
        <f t="shared" si="6821"/>
        <v>30016</v>
      </c>
      <c r="B5115" s="8">
        <f t="shared" ref="B5115:C5115" si="6846">B5027</f>
        <v>40000</v>
      </c>
      <c r="C5115" s="8" t="str">
        <f t="shared" si="6846"/>
        <v>装备</v>
      </c>
      <c r="D5115" s="8">
        <v>50600085</v>
      </c>
      <c r="E5115" s="8"/>
      <c r="F5115" s="8">
        <v>1</v>
      </c>
      <c r="G5115" s="8">
        <f>3*INDEX([1]equip.xml!$I:$I,MATCH(D5115,[1]equip.xml!$A:$A,0))</f>
        <v>360000</v>
      </c>
      <c r="H5115" s="8" t="str">
        <f t="shared" ref="H5115:J5115" si="6847">H5027</f>
        <v>10_10,50_20,80_30</v>
      </c>
      <c r="I5115" s="8">
        <v>2</v>
      </c>
      <c r="J5115" s="8">
        <f t="shared" si="6847"/>
        <v>240</v>
      </c>
      <c r="K5115" s="7" t="s">
        <v>311</v>
      </c>
      <c r="L5115" s="8">
        <v>40</v>
      </c>
      <c r="M5115" s="7">
        <f>IF(INDEX([1]equip.xml!$B:$B,MATCH(D5115,[1]equip.xml!$A:$A,0))=0,0,N5115)</f>
        <v>140</v>
      </c>
      <c r="N5115" s="7">
        <f t="shared" si="6742"/>
        <v>140</v>
      </c>
    </row>
    <row r="5116" spans="1:14">
      <c r="A5116" s="7">
        <f t="shared" si="6821"/>
        <v>30016</v>
      </c>
      <c r="B5116" s="8">
        <f t="shared" ref="B5116:C5116" si="6848">B5028</f>
        <v>40000</v>
      </c>
      <c r="C5116" s="8" t="str">
        <f t="shared" si="6848"/>
        <v>装备</v>
      </c>
      <c r="D5116" s="8">
        <v>50600095</v>
      </c>
      <c r="E5116" s="8"/>
      <c r="F5116" s="8">
        <v>1</v>
      </c>
      <c r="G5116" s="8">
        <f>3*INDEX([1]equip.xml!$I:$I,MATCH(D5116,[1]equip.xml!$A:$A,0))</f>
        <v>360000</v>
      </c>
      <c r="H5116" s="8" t="str">
        <f t="shared" ref="H5116:J5116" si="6849">H5028</f>
        <v>10_10,50_20,80_30</v>
      </c>
      <c r="I5116" s="8">
        <v>2</v>
      </c>
      <c r="J5116" s="8">
        <f t="shared" si="6849"/>
        <v>240</v>
      </c>
      <c r="K5116" s="7" t="s">
        <v>311</v>
      </c>
      <c r="L5116" s="8">
        <v>40</v>
      </c>
      <c r="M5116" s="7">
        <f>IF(INDEX([1]equip.xml!$B:$B,MATCH(D5116,[1]equip.xml!$A:$A,0))=0,0,N5116)</f>
        <v>140</v>
      </c>
      <c r="N5116" s="7">
        <f t="shared" si="6742"/>
        <v>140</v>
      </c>
    </row>
    <row r="5117" spans="1:14">
      <c r="A5117" s="7">
        <f t="shared" si="6821"/>
        <v>30016</v>
      </c>
      <c r="B5117" s="8">
        <f t="shared" ref="B5117:C5117" si="6850">B5029</f>
        <v>40000</v>
      </c>
      <c r="C5117" s="8" t="str">
        <f t="shared" si="6850"/>
        <v>装备</v>
      </c>
      <c r="D5117" s="8">
        <v>50600105</v>
      </c>
      <c r="E5117" s="8"/>
      <c r="F5117" s="8">
        <v>1</v>
      </c>
      <c r="G5117" s="8">
        <f>3*INDEX([1]equip.xml!$I:$I,MATCH(D5117,[1]equip.xml!$A:$A,0))</f>
        <v>360000</v>
      </c>
      <c r="H5117" s="8" t="str">
        <f t="shared" ref="H5117:J5117" si="6851">H5029</f>
        <v>10_10,50_20,80_30</v>
      </c>
      <c r="I5117" s="8">
        <v>2</v>
      </c>
      <c r="J5117" s="8">
        <f t="shared" si="6851"/>
        <v>240</v>
      </c>
      <c r="K5117" s="7" t="s">
        <v>311</v>
      </c>
      <c r="L5117" s="8">
        <v>40</v>
      </c>
      <c r="M5117" s="7">
        <f>IF(INDEX([1]equip.xml!$B:$B,MATCH(D5117,[1]equip.xml!$A:$A,0))=0,0,N5117)</f>
        <v>140</v>
      </c>
      <c r="N5117" s="7">
        <f t="shared" si="6742"/>
        <v>140</v>
      </c>
    </row>
    <row r="5118" spans="1:14">
      <c r="A5118" s="7">
        <f t="shared" si="6821"/>
        <v>30016</v>
      </c>
      <c r="B5118" s="8">
        <f t="shared" ref="B5118:C5118" si="6852">B5030</f>
        <v>40000</v>
      </c>
      <c r="C5118" s="8" t="str">
        <f t="shared" si="6852"/>
        <v>装备</v>
      </c>
      <c r="D5118" s="8">
        <v>50601055</v>
      </c>
      <c r="E5118" s="8"/>
      <c r="F5118" s="8">
        <v>1</v>
      </c>
      <c r="G5118" s="8">
        <f>3*INDEX([1]equip.xml!$I:$I,MATCH(D5118,[1]equip.xml!$A:$A,0))</f>
        <v>360000</v>
      </c>
      <c r="H5118" s="8" t="str">
        <f t="shared" ref="H5118:J5118" si="6853">H5030</f>
        <v>10_10,50_20,80_30</v>
      </c>
      <c r="I5118" s="8">
        <v>2</v>
      </c>
      <c r="J5118" s="8">
        <f t="shared" si="6853"/>
        <v>240</v>
      </c>
      <c r="K5118" s="7" t="s">
        <v>311</v>
      </c>
      <c r="L5118" s="8">
        <v>40</v>
      </c>
      <c r="M5118" s="7">
        <f>IF(INDEX([1]equip.xml!$B:$B,MATCH(D5118,[1]equip.xml!$A:$A,0))=0,0,N5118)</f>
        <v>140</v>
      </c>
      <c r="N5118" s="7">
        <f t="shared" si="6742"/>
        <v>140</v>
      </c>
    </row>
    <row r="5119" spans="1:14">
      <c r="A5119" s="7">
        <f t="shared" si="6821"/>
        <v>30016</v>
      </c>
      <c r="B5119" s="8">
        <f t="shared" ref="B5119:C5119" si="6854">B5031</f>
        <v>40000</v>
      </c>
      <c r="C5119" s="8" t="str">
        <f t="shared" si="6854"/>
        <v>装备</v>
      </c>
      <c r="D5119" s="8">
        <v>50601056</v>
      </c>
      <c r="E5119" s="8"/>
      <c r="F5119" s="8">
        <v>1</v>
      </c>
      <c r="G5119" s="8">
        <f>3*INDEX([1]equip.xml!$I:$I,MATCH(D5119,[1]equip.xml!$A:$A,0))</f>
        <v>378000</v>
      </c>
      <c r="H5119" s="8" t="str">
        <f t="shared" ref="H5119:J5119" si="6855">H5031</f>
        <v>10_10,50_20,80_30</v>
      </c>
      <c r="I5119" s="8">
        <v>2</v>
      </c>
      <c r="J5119" s="8">
        <f t="shared" si="6855"/>
        <v>240</v>
      </c>
      <c r="K5119" s="7" t="s">
        <v>311</v>
      </c>
      <c r="L5119" s="8">
        <v>40</v>
      </c>
      <c r="M5119" s="7">
        <f>IF(INDEX([1]equip.xml!$B:$B,MATCH(D5119,[1]equip.xml!$A:$A,0))=0,0,N5119)</f>
        <v>140</v>
      </c>
      <c r="N5119" s="7">
        <f t="shared" si="6742"/>
        <v>140</v>
      </c>
    </row>
    <row r="5120" spans="1:14">
      <c r="A5120" s="7">
        <f t="shared" si="6821"/>
        <v>30016</v>
      </c>
      <c r="B5120" s="8">
        <f t="shared" ref="B5120:C5120" si="6856">B5032</f>
        <v>40000</v>
      </c>
      <c r="C5120" s="8" t="str">
        <f t="shared" si="6856"/>
        <v>装备</v>
      </c>
      <c r="D5120" s="8">
        <v>50601065</v>
      </c>
      <c r="E5120" s="8"/>
      <c r="F5120" s="8">
        <v>1</v>
      </c>
      <c r="G5120" s="8">
        <f>3*INDEX([1]equip.xml!$I:$I,MATCH(D5120,[1]equip.xml!$A:$A,0))</f>
        <v>360000</v>
      </c>
      <c r="H5120" s="8" t="str">
        <f t="shared" ref="H5120:J5120" si="6857">H5032</f>
        <v>10_10,50_20,80_30</v>
      </c>
      <c r="I5120" s="8">
        <v>2</v>
      </c>
      <c r="J5120" s="8">
        <f t="shared" si="6857"/>
        <v>240</v>
      </c>
      <c r="K5120" s="7" t="s">
        <v>311</v>
      </c>
      <c r="L5120" s="8">
        <v>40</v>
      </c>
      <c r="M5120" s="7">
        <f>IF(INDEX([1]equip.xml!$B:$B,MATCH(D5120,[1]equip.xml!$A:$A,0))=0,0,N5120)</f>
        <v>140</v>
      </c>
      <c r="N5120" s="7">
        <f t="shared" si="6742"/>
        <v>140</v>
      </c>
    </row>
    <row r="5121" spans="1:14">
      <c r="A5121" s="7">
        <f t="shared" si="6821"/>
        <v>30016</v>
      </c>
      <c r="B5121" s="8">
        <f t="shared" ref="B5121:C5121" si="6858">B5033</f>
        <v>40000</v>
      </c>
      <c r="C5121" s="8" t="str">
        <f t="shared" si="6858"/>
        <v>装备</v>
      </c>
      <c r="D5121" s="8">
        <v>50601066</v>
      </c>
      <c r="E5121" s="8"/>
      <c r="F5121" s="8">
        <v>1</v>
      </c>
      <c r="G5121" s="8">
        <f>3*INDEX([1]equip.xml!$I:$I,MATCH(D5121,[1]equip.xml!$A:$A,0))</f>
        <v>378000</v>
      </c>
      <c r="H5121" s="8" t="str">
        <f t="shared" ref="H5121:J5121" si="6859">H5033</f>
        <v>10_10,50_20,80_30</v>
      </c>
      <c r="I5121" s="8">
        <v>2</v>
      </c>
      <c r="J5121" s="8">
        <f t="shared" si="6859"/>
        <v>240</v>
      </c>
      <c r="K5121" s="7" t="s">
        <v>311</v>
      </c>
      <c r="L5121" s="8">
        <v>40</v>
      </c>
      <c r="M5121" s="7">
        <f>IF(INDEX([1]equip.xml!$B:$B,MATCH(D5121,[1]equip.xml!$A:$A,0))=0,0,N5121)</f>
        <v>0</v>
      </c>
      <c r="N5121" s="7">
        <f t="shared" si="6742"/>
        <v>140</v>
      </c>
    </row>
    <row r="5122" spans="1:14">
      <c r="A5122" s="7">
        <f t="shared" si="6821"/>
        <v>30016</v>
      </c>
      <c r="B5122" s="8">
        <f t="shared" ref="B5122:C5122" si="6860">B5034</f>
        <v>40000</v>
      </c>
      <c r="C5122" s="8" t="str">
        <f t="shared" si="6860"/>
        <v>装备</v>
      </c>
      <c r="D5122" s="8">
        <v>50602055</v>
      </c>
      <c r="E5122" s="8"/>
      <c r="F5122" s="8">
        <v>1</v>
      </c>
      <c r="G5122" s="8">
        <f>3*INDEX([1]equip.xml!$I:$I,MATCH(D5122,[1]equip.xml!$A:$A,0))</f>
        <v>360000</v>
      </c>
      <c r="H5122" s="8" t="str">
        <f t="shared" ref="H5122:J5122" si="6861">H5034</f>
        <v>10_10,50_20,80_30</v>
      </c>
      <c r="I5122" s="8">
        <v>2</v>
      </c>
      <c r="J5122" s="8">
        <f t="shared" si="6861"/>
        <v>240</v>
      </c>
      <c r="K5122" s="7" t="s">
        <v>311</v>
      </c>
      <c r="L5122" s="8">
        <v>40</v>
      </c>
      <c r="M5122" s="7">
        <f>IF(INDEX([1]equip.xml!$B:$B,MATCH(D5122,[1]equip.xml!$A:$A,0))=0,0,N5122)</f>
        <v>140</v>
      </c>
      <c r="N5122" s="7">
        <f t="shared" si="6742"/>
        <v>140</v>
      </c>
    </row>
    <row r="5123" spans="1:14">
      <c r="A5123" s="7">
        <f t="shared" si="6821"/>
        <v>30016</v>
      </c>
      <c r="B5123" s="8">
        <f t="shared" ref="B5123:C5123" si="6862">B5035</f>
        <v>40000</v>
      </c>
      <c r="C5123" s="8" t="str">
        <f t="shared" si="6862"/>
        <v>装备</v>
      </c>
      <c r="D5123" s="8">
        <v>50602056</v>
      </c>
      <c r="E5123" s="8"/>
      <c r="F5123" s="8">
        <v>1</v>
      </c>
      <c r="G5123" s="8">
        <f>3*INDEX([1]equip.xml!$I:$I,MATCH(D5123,[1]equip.xml!$A:$A,0))</f>
        <v>378000</v>
      </c>
      <c r="H5123" s="8" t="str">
        <f t="shared" ref="H5123:J5123" si="6863">H5035</f>
        <v>10_10,50_20,80_30</v>
      </c>
      <c r="I5123" s="8">
        <v>2</v>
      </c>
      <c r="J5123" s="8">
        <f t="shared" si="6863"/>
        <v>240</v>
      </c>
      <c r="K5123" s="7" t="s">
        <v>311</v>
      </c>
      <c r="L5123" s="8">
        <v>40</v>
      </c>
      <c r="M5123" s="7">
        <f>IF(INDEX([1]equip.xml!$B:$B,MATCH(D5123,[1]equip.xml!$A:$A,0))=0,0,N5123)</f>
        <v>0</v>
      </c>
      <c r="N5123" s="7">
        <f t="shared" si="6742"/>
        <v>140</v>
      </c>
    </row>
    <row r="5124" spans="1:14">
      <c r="A5124" s="7">
        <f t="shared" si="6821"/>
        <v>30016</v>
      </c>
      <c r="B5124" s="8">
        <f t="shared" ref="B5124:C5124" si="6864">B5036</f>
        <v>40000</v>
      </c>
      <c r="C5124" s="8" t="str">
        <f t="shared" si="6864"/>
        <v>装备</v>
      </c>
      <c r="D5124" s="8">
        <v>50602065</v>
      </c>
      <c r="E5124" s="8"/>
      <c r="F5124" s="8">
        <v>1</v>
      </c>
      <c r="G5124" s="8">
        <f>3*INDEX([1]equip.xml!$I:$I,MATCH(D5124,[1]equip.xml!$A:$A,0))</f>
        <v>360000</v>
      </c>
      <c r="H5124" s="8" t="str">
        <f t="shared" ref="H5124:J5124" si="6865">H5036</f>
        <v>10_10,50_20,80_30</v>
      </c>
      <c r="I5124" s="8">
        <v>2</v>
      </c>
      <c r="J5124" s="8">
        <f t="shared" si="6865"/>
        <v>240</v>
      </c>
      <c r="K5124" s="7" t="s">
        <v>311</v>
      </c>
      <c r="L5124" s="8">
        <v>40</v>
      </c>
      <c r="M5124" s="7">
        <f>IF(INDEX([1]equip.xml!$B:$B,MATCH(D5124,[1]equip.xml!$A:$A,0))=0,0,N5124)</f>
        <v>140</v>
      </c>
      <c r="N5124" s="7">
        <f t="shared" si="6742"/>
        <v>140</v>
      </c>
    </row>
    <row r="5125" spans="1:14">
      <c r="A5125" s="7">
        <f t="shared" si="6821"/>
        <v>30016</v>
      </c>
      <c r="B5125" s="8">
        <f t="shared" ref="B5125:C5125" si="6866">B5037</f>
        <v>40000</v>
      </c>
      <c r="C5125" s="8" t="str">
        <f t="shared" si="6866"/>
        <v>装备</v>
      </c>
      <c r="D5125" s="8">
        <v>50602066</v>
      </c>
      <c r="E5125" s="8"/>
      <c r="F5125" s="8">
        <v>1</v>
      </c>
      <c r="G5125" s="8">
        <f>3*INDEX([1]equip.xml!$I:$I,MATCH(D5125,[1]equip.xml!$A:$A,0))</f>
        <v>378000</v>
      </c>
      <c r="H5125" s="8" t="str">
        <f t="shared" ref="H5125:J5125" si="6867">H5037</f>
        <v>10_10,50_20,80_30</v>
      </c>
      <c r="I5125" s="8">
        <v>2</v>
      </c>
      <c r="J5125" s="8">
        <f t="shared" si="6867"/>
        <v>240</v>
      </c>
      <c r="K5125" s="7" t="s">
        <v>311</v>
      </c>
      <c r="L5125" s="8">
        <v>40</v>
      </c>
      <c r="M5125" s="7">
        <f>IF(INDEX([1]equip.xml!$B:$B,MATCH(D5125,[1]equip.xml!$A:$A,0))=0,0,N5125)</f>
        <v>0</v>
      </c>
      <c r="N5125" s="7">
        <f t="shared" si="6742"/>
        <v>140</v>
      </c>
    </row>
    <row r="5126" spans="1:14">
      <c r="A5126" s="7">
        <f t="shared" si="6821"/>
        <v>30016</v>
      </c>
      <c r="B5126" s="8">
        <f t="shared" ref="B5126:C5126" si="6868">B5038</f>
        <v>40000</v>
      </c>
      <c r="C5126" s="8" t="str">
        <f t="shared" si="6868"/>
        <v>装备</v>
      </c>
      <c r="D5126" s="8">
        <v>50603055</v>
      </c>
      <c r="E5126" s="8"/>
      <c r="F5126" s="8">
        <v>1</v>
      </c>
      <c r="G5126" s="8">
        <f>3*INDEX([1]equip.xml!$I:$I,MATCH(D5126,[1]equip.xml!$A:$A,0))</f>
        <v>360000</v>
      </c>
      <c r="H5126" s="8" t="str">
        <f t="shared" ref="H5126:J5126" si="6869">H5038</f>
        <v>10_10,50_20,80_30</v>
      </c>
      <c r="I5126" s="8">
        <v>2</v>
      </c>
      <c r="J5126" s="8">
        <f t="shared" si="6869"/>
        <v>240</v>
      </c>
      <c r="K5126" s="7" t="s">
        <v>311</v>
      </c>
      <c r="L5126" s="8">
        <v>40</v>
      </c>
      <c r="M5126" s="7">
        <f>IF(INDEX([1]equip.xml!$B:$B,MATCH(D5126,[1]equip.xml!$A:$A,0))=0,0,N5126)</f>
        <v>140</v>
      </c>
      <c r="N5126" s="7">
        <f t="shared" si="6742"/>
        <v>140</v>
      </c>
    </row>
    <row r="5127" spans="1:14">
      <c r="A5127" s="7">
        <f t="shared" si="6821"/>
        <v>30016</v>
      </c>
      <c r="B5127" s="8">
        <f t="shared" ref="B5127:C5127" si="6870">B5039</f>
        <v>40000</v>
      </c>
      <c r="C5127" s="8" t="str">
        <f t="shared" si="6870"/>
        <v>装备</v>
      </c>
      <c r="D5127" s="8">
        <v>50603056</v>
      </c>
      <c r="E5127" s="8"/>
      <c r="F5127" s="8">
        <v>1</v>
      </c>
      <c r="G5127" s="8">
        <f>3*INDEX([1]equip.xml!$I:$I,MATCH(D5127,[1]equip.xml!$A:$A,0))</f>
        <v>378000</v>
      </c>
      <c r="H5127" s="8" t="str">
        <f t="shared" ref="H5127:J5127" si="6871">H5039</f>
        <v>10_10,50_20,80_30</v>
      </c>
      <c r="I5127" s="8">
        <v>2</v>
      </c>
      <c r="J5127" s="8">
        <f t="shared" si="6871"/>
        <v>240</v>
      </c>
      <c r="K5127" s="7" t="s">
        <v>311</v>
      </c>
      <c r="L5127" s="8">
        <v>40</v>
      </c>
      <c r="M5127" s="7">
        <f>IF(INDEX([1]equip.xml!$B:$B,MATCH(D5127,[1]equip.xml!$A:$A,0))=0,0,N5127)</f>
        <v>0</v>
      </c>
      <c r="N5127" s="7">
        <f t="shared" ref="N5127:N5190" si="6872">N5039</f>
        <v>140</v>
      </c>
    </row>
    <row r="5128" spans="1:14">
      <c r="A5128" s="7">
        <f t="shared" si="6821"/>
        <v>30016</v>
      </c>
      <c r="B5128" s="8">
        <f t="shared" ref="B5128:C5128" si="6873">B5040</f>
        <v>40000</v>
      </c>
      <c r="C5128" s="8" t="str">
        <f t="shared" si="6873"/>
        <v>装备</v>
      </c>
      <c r="D5128" s="8">
        <v>50603065</v>
      </c>
      <c r="E5128" s="8"/>
      <c r="F5128" s="8">
        <v>1</v>
      </c>
      <c r="G5128" s="8">
        <f>3*INDEX([1]equip.xml!$I:$I,MATCH(D5128,[1]equip.xml!$A:$A,0))</f>
        <v>360000</v>
      </c>
      <c r="H5128" s="8" t="str">
        <f t="shared" ref="H5128:J5128" si="6874">H5040</f>
        <v>10_10,50_20,80_30</v>
      </c>
      <c r="I5128" s="8">
        <v>2</v>
      </c>
      <c r="J5128" s="8">
        <f t="shared" si="6874"/>
        <v>240</v>
      </c>
      <c r="K5128" s="7" t="s">
        <v>311</v>
      </c>
      <c r="L5128" s="8">
        <v>40</v>
      </c>
      <c r="M5128" s="7">
        <f>IF(INDEX([1]equip.xml!$B:$B,MATCH(D5128,[1]equip.xml!$A:$A,0))=0,0,N5128)</f>
        <v>140</v>
      </c>
      <c r="N5128" s="7">
        <f t="shared" si="6872"/>
        <v>140</v>
      </c>
    </row>
    <row r="5129" spans="1:14">
      <c r="A5129" s="7">
        <f t="shared" si="6821"/>
        <v>30016</v>
      </c>
      <c r="B5129" s="8">
        <f t="shared" ref="B5129:C5129" si="6875">B5041</f>
        <v>40000</v>
      </c>
      <c r="C5129" s="8" t="str">
        <f t="shared" si="6875"/>
        <v>装备</v>
      </c>
      <c r="D5129" s="8">
        <v>50603066</v>
      </c>
      <c r="E5129" s="8"/>
      <c r="F5129" s="8">
        <v>1</v>
      </c>
      <c r="G5129" s="8">
        <f>3*INDEX([1]equip.xml!$I:$I,MATCH(D5129,[1]equip.xml!$A:$A,0))</f>
        <v>378000</v>
      </c>
      <c r="H5129" s="8" t="str">
        <f t="shared" ref="H5129:J5129" si="6876">H5041</f>
        <v>10_10,50_20,80_30</v>
      </c>
      <c r="I5129" s="8">
        <v>2</v>
      </c>
      <c r="J5129" s="8">
        <f t="shared" si="6876"/>
        <v>240</v>
      </c>
      <c r="K5129" s="7" t="s">
        <v>311</v>
      </c>
      <c r="L5129" s="8">
        <v>40</v>
      </c>
      <c r="M5129" s="7">
        <f>IF(INDEX([1]equip.xml!$B:$B,MATCH(D5129,[1]equip.xml!$A:$A,0))=0,0,N5129)</f>
        <v>0</v>
      </c>
      <c r="N5129" s="7">
        <f t="shared" si="6872"/>
        <v>140</v>
      </c>
    </row>
    <row r="5130" spans="1:14">
      <c r="A5130" s="7">
        <f t="shared" si="6821"/>
        <v>30016</v>
      </c>
      <c r="B5130" s="8">
        <f t="shared" ref="B5130:C5130" si="6877">B5042</f>
        <v>40000</v>
      </c>
      <c r="C5130" s="8" t="str">
        <f t="shared" si="6877"/>
        <v>装备</v>
      </c>
      <c r="D5130" s="8">
        <v>50600045</v>
      </c>
      <c r="E5130" s="8"/>
      <c r="F5130" s="8">
        <v>1</v>
      </c>
      <c r="G5130" s="8">
        <f>3*INDEX([1]equip.xml!$I:$I,MATCH(D5130,[1]equip.xml!$A:$A,0))</f>
        <v>360000</v>
      </c>
      <c r="H5130" s="8" t="str">
        <f t="shared" ref="H5130:J5130" si="6878">H5042</f>
        <v>10_10,50_20,80_30</v>
      </c>
      <c r="I5130" s="8">
        <v>2</v>
      </c>
      <c r="J5130" s="8">
        <f t="shared" si="6878"/>
        <v>240</v>
      </c>
      <c r="K5130" s="7" t="s">
        <v>311</v>
      </c>
      <c r="L5130" s="8">
        <v>40</v>
      </c>
      <c r="M5130" s="7">
        <f>IF(INDEX([1]equip.xml!$B:$B,MATCH(D5130,[1]equip.xml!$A:$A,0))=0,0,N5130)</f>
        <v>140</v>
      </c>
      <c r="N5130" s="7">
        <f t="shared" si="6872"/>
        <v>140</v>
      </c>
    </row>
    <row r="5131" spans="1:14">
      <c r="A5131" s="7">
        <f t="shared" si="6821"/>
        <v>30016</v>
      </c>
      <c r="B5131" s="8">
        <f t="shared" ref="B5131:C5131" si="6879">B5043</f>
        <v>40000</v>
      </c>
      <c r="C5131" s="8" t="str">
        <f t="shared" si="6879"/>
        <v>装备</v>
      </c>
      <c r="D5131" s="8">
        <v>50600046</v>
      </c>
      <c r="E5131" s="8"/>
      <c r="F5131" s="8">
        <v>1</v>
      </c>
      <c r="G5131" s="8">
        <f>3*INDEX([1]equip.xml!$I:$I,MATCH(D5131,[1]equip.xml!$A:$A,0))</f>
        <v>378000</v>
      </c>
      <c r="H5131" s="8" t="str">
        <f t="shared" ref="H5131:J5131" si="6880">H5043</f>
        <v>10_10,50_20,80_30</v>
      </c>
      <c r="I5131" s="8">
        <v>2</v>
      </c>
      <c r="J5131" s="8">
        <f t="shared" si="6880"/>
        <v>240</v>
      </c>
      <c r="K5131" s="7" t="s">
        <v>311</v>
      </c>
      <c r="L5131" s="8">
        <v>40</v>
      </c>
      <c r="M5131" s="7">
        <f>IF(INDEX([1]equip.xml!$B:$B,MATCH(D5131,[1]equip.xml!$A:$A,0))=0,0,N5131)</f>
        <v>0</v>
      </c>
      <c r="N5131" s="7">
        <f t="shared" si="6872"/>
        <v>140</v>
      </c>
    </row>
    <row r="5132" spans="1:14">
      <c r="A5132" s="7">
        <f t="shared" si="6821"/>
        <v>30016</v>
      </c>
      <c r="B5132" s="8">
        <f t="shared" ref="B5132:C5132" si="6881">B5044</f>
        <v>40000</v>
      </c>
      <c r="C5132" s="8" t="str">
        <f t="shared" si="6881"/>
        <v>装备</v>
      </c>
      <c r="D5132" s="8">
        <v>50600075</v>
      </c>
      <c r="E5132" s="8"/>
      <c r="F5132" s="8">
        <v>1</v>
      </c>
      <c r="G5132" s="8">
        <f>3*INDEX([1]equip.xml!$I:$I,MATCH(D5132,[1]equip.xml!$A:$A,0))</f>
        <v>360000</v>
      </c>
      <c r="H5132" s="8" t="str">
        <f t="shared" ref="H5132:J5132" si="6882">H5044</f>
        <v>10_10,50_20,80_30</v>
      </c>
      <c r="I5132" s="8">
        <v>2</v>
      </c>
      <c r="J5132" s="8">
        <f t="shared" si="6882"/>
        <v>240</v>
      </c>
      <c r="K5132" s="7" t="s">
        <v>311</v>
      </c>
      <c r="L5132" s="8">
        <v>40</v>
      </c>
      <c r="M5132" s="7">
        <f>IF(INDEX([1]equip.xml!$B:$B,MATCH(D5132,[1]equip.xml!$A:$A,0))=0,0,N5132)</f>
        <v>140</v>
      </c>
      <c r="N5132" s="7">
        <f t="shared" si="6872"/>
        <v>140</v>
      </c>
    </row>
    <row r="5133" spans="1:14">
      <c r="A5133" s="7">
        <f t="shared" si="6821"/>
        <v>30016</v>
      </c>
      <c r="B5133" s="8">
        <f t="shared" ref="B5133:C5133" si="6883">B5045</f>
        <v>40000</v>
      </c>
      <c r="C5133" s="8" t="str">
        <f t="shared" si="6883"/>
        <v>装备</v>
      </c>
      <c r="D5133" s="8">
        <v>50600076</v>
      </c>
      <c r="E5133" s="8"/>
      <c r="F5133" s="8">
        <v>1</v>
      </c>
      <c r="G5133" s="8">
        <f>3*INDEX([1]equip.xml!$I:$I,MATCH(D5133,[1]equip.xml!$A:$A,0))</f>
        <v>378000</v>
      </c>
      <c r="H5133" s="8" t="str">
        <f t="shared" ref="H5133:J5133" si="6884">H5045</f>
        <v>10_10,50_20,80_30</v>
      </c>
      <c r="I5133" s="8">
        <v>2</v>
      </c>
      <c r="J5133" s="8">
        <f t="shared" si="6884"/>
        <v>240</v>
      </c>
      <c r="K5133" s="7" t="s">
        <v>311</v>
      </c>
      <c r="L5133" s="8">
        <v>40</v>
      </c>
      <c r="M5133" s="7">
        <f>IF(INDEX([1]equip.xml!$B:$B,MATCH(D5133,[1]equip.xml!$A:$A,0))=0,0,N5133)</f>
        <v>140</v>
      </c>
      <c r="N5133" s="7">
        <f t="shared" si="6872"/>
        <v>140</v>
      </c>
    </row>
    <row r="5134" spans="1:14">
      <c r="A5134" s="7">
        <f t="shared" si="6821"/>
        <v>30017</v>
      </c>
      <c r="B5134" s="7">
        <f t="shared" ref="B5134:C5134" si="6885">B5046</f>
        <v>40000</v>
      </c>
      <c r="C5134" s="7" t="str">
        <f t="shared" si="6885"/>
        <v>装备</v>
      </c>
      <c r="D5134" s="7">
        <v>40600010</v>
      </c>
      <c r="E5134" s="7"/>
      <c r="F5134" s="7">
        <v>1</v>
      </c>
      <c r="G5134" s="7">
        <f>3*INDEX([1]equip.xml!$I:$I,MATCH(D5134&amp;"",[1]equip.xml!$A:$A,0))</f>
        <v>180000</v>
      </c>
      <c r="H5134" s="7" t="str">
        <f t="shared" ref="H5134:J5134" si="6886">H5046</f>
        <v>10_10,50_20,80_30</v>
      </c>
      <c r="I5134" s="7">
        <v>6</v>
      </c>
      <c r="J5134" s="7">
        <f t="shared" si="6886"/>
        <v>50</v>
      </c>
      <c r="K5134" s="7" t="s">
        <v>312</v>
      </c>
      <c r="L5134" s="7">
        <v>42</v>
      </c>
      <c r="M5134" s="7">
        <f>IF(INDEX([1]equip.xml!$B:$B,MATCH(D5134&amp;"",[1]equip.xml!$A:$A,0))=0,0,N5134)</f>
        <v>100</v>
      </c>
      <c r="N5134" s="7">
        <f t="shared" si="6872"/>
        <v>100</v>
      </c>
    </row>
    <row r="5135" spans="1:14">
      <c r="A5135" s="7">
        <f t="shared" si="6821"/>
        <v>30017</v>
      </c>
      <c r="B5135" s="7">
        <f t="shared" ref="B5135:C5135" si="6887">B5047</f>
        <v>40000</v>
      </c>
      <c r="C5135" s="7" t="str">
        <f t="shared" si="6887"/>
        <v>装备</v>
      </c>
      <c r="D5135" s="7">
        <v>40600020</v>
      </c>
      <c r="E5135" s="7"/>
      <c r="F5135" s="7">
        <v>1</v>
      </c>
      <c r="G5135" s="7">
        <f>3*INDEX([1]equip.xml!$I:$I,MATCH(D5135&amp;"",[1]equip.xml!$A:$A,0))</f>
        <v>180000</v>
      </c>
      <c r="H5135" s="7" t="str">
        <f t="shared" ref="H5135:J5135" si="6888">H5047</f>
        <v>10_10,50_20,80_30</v>
      </c>
      <c r="I5135" s="7">
        <v>6</v>
      </c>
      <c r="J5135" s="7">
        <f t="shared" si="6888"/>
        <v>50</v>
      </c>
      <c r="K5135" s="7" t="s">
        <v>312</v>
      </c>
      <c r="L5135" s="7">
        <v>42</v>
      </c>
      <c r="M5135" s="7">
        <f>IF(INDEX([1]equip.xml!$B:$B,MATCH(D5135&amp;"",[1]equip.xml!$A:$A,0))=0,0,N5135)</f>
        <v>100</v>
      </c>
      <c r="N5135" s="7">
        <f t="shared" si="6872"/>
        <v>100</v>
      </c>
    </row>
    <row r="5136" spans="1:14">
      <c r="A5136" s="7">
        <f t="shared" si="6821"/>
        <v>30017</v>
      </c>
      <c r="B5136" s="7">
        <f t="shared" ref="B5136:C5136" si="6889">B5048</f>
        <v>40000</v>
      </c>
      <c r="C5136" s="7" t="str">
        <f t="shared" si="6889"/>
        <v>装备</v>
      </c>
      <c r="D5136" s="7">
        <v>40600030</v>
      </c>
      <c r="E5136" s="7"/>
      <c r="F5136" s="7">
        <v>1</v>
      </c>
      <c r="G5136" s="7">
        <f>3*INDEX([1]equip.xml!$I:$I,MATCH(D5136&amp;"",[1]equip.xml!$A:$A,0))</f>
        <v>180000</v>
      </c>
      <c r="H5136" s="7" t="str">
        <f t="shared" ref="H5136:J5136" si="6890">H5048</f>
        <v>10_10,50_20,80_30</v>
      </c>
      <c r="I5136" s="7">
        <v>6</v>
      </c>
      <c r="J5136" s="7">
        <f t="shared" si="6890"/>
        <v>50</v>
      </c>
      <c r="K5136" s="7" t="s">
        <v>312</v>
      </c>
      <c r="L5136" s="7">
        <v>42</v>
      </c>
      <c r="M5136" s="7">
        <f>IF(INDEX([1]equip.xml!$B:$B,MATCH(D5136&amp;"",[1]equip.xml!$A:$A,0))=0,0,N5136)</f>
        <v>100</v>
      </c>
      <c r="N5136" s="7">
        <f t="shared" si="6872"/>
        <v>100</v>
      </c>
    </row>
    <row r="5137" spans="1:14">
      <c r="A5137" s="7">
        <f t="shared" si="6821"/>
        <v>30017</v>
      </c>
      <c r="B5137" s="7">
        <f t="shared" ref="B5137:C5137" si="6891">B5049</f>
        <v>40000</v>
      </c>
      <c r="C5137" s="7" t="str">
        <f t="shared" si="6891"/>
        <v>装备</v>
      </c>
      <c r="D5137" s="7">
        <v>40600080</v>
      </c>
      <c r="E5137" s="7"/>
      <c r="F5137" s="7">
        <v>1</v>
      </c>
      <c r="G5137" s="7">
        <f>3*INDEX([1]equip.xml!$I:$I,MATCH(D5137&amp;"",[1]equip.xml!$A:$A,0))</f>
        <v>180000</v>
      </c>
      <c r="H5137" s="7" t="str">
        <f t="shared" ref="H5137:J5137" si="6892">H5049</f>
        <v>10_10,50_20,80_30</v>
      </c>
      <c r="I5137" s="7">
        <v>6</v>
      </c>
      <c r="J5137" s="7">
        <f t="shared" si="6892"/>
        <v>50</v>
      </c>
      <c r="K5137" s="7" t="s">
        <v>312</v>
      </c>
      <c r="L5137" s="7">
        <v>42</v>
      </c>
      <c r="M5137" s="7">
        <f>IF(INDEX([1]equip.xml!$B:$B,MATCH(D5137&amp;"",[1]equip.xml!$A:$A,0))=0,0,N5137)</f>
        <v>100</v>
      </c>
      <c r="N5137" s="7">
        <f t="shared" si="6872"/>
        <v>100</v>
      </c>
    </row>
    <row r="5138" spans="1:14">
      <c r="A5138" s="7">
        <f t="shared" si="6821"/>
        <v>30017</v>
      </c>
      <c r="B5138" s="7">
        <f t="shared" ref="B5138:C5138" si="6893">B5050</f>
        <v>40000</v>
      </c>
      <c r="C5138" s="7" t="str">
        <f t="shared" si="6893"/>
        <v>装备</v>
      </c>
      <c r="D5138" s="7">
        <v>40600090</v>
      </c>
      <c r="E5138" s="7"/>
      <c r="F5138" s="7">
        <v>1</v>
      </c>
      <c r="G5138" s="7">
        <f>3*INDEX([1]equip.xml!$I:$I,MATCH(D5138&amp;"",[1]equip.xml!$A:$A,0))</f>
        <v>180000</v>
      </c>
      <c r="H5138" s="7" t="str">
        <f t="shared" ref="H5138:J5138" si="6894">H5050</f>
        <v>10_10,50_20,80_30</v>
      </c>
      <c r="I5138" s="7">
        <v>6</v>
      </c>
      <c r="J5138" s="7">
        <f t="shared" si="6894"/>
        <v>50</v>
      </c>
      <c r="K5138" s="7" t="s">
        <v>312</v>
      </c>
      <c r="L5138" s="7">
        <v>42</v>
      </c>
      <c r="M5138" s="7">
        <f>IF(INDEX([1]equip.xml!$B:$B,MATCH(D5138&amp;"",[1]equip.xml!$A:$A,0))=0,0,N5138)</f>
        <v>100</v>
      </c>
      <c r="N5138" s="7">
        <f t="shared" si="6872"/>
        <v>100</v>
      </c>
    </row>
    <row r="5139" spans="1:14">
      <c r="A5139" s="7">
        <f t="shared" si="6821"/>
        <v>30017</v>
      </c>
      <c r="B5139" s="7">
        <f t="shared" ref="B5139:C5139" si="6895">B5051</f>
        <v>40000</v>
      </c>
      <c r="C5139" s="7" t="str">
        <f t="shared" si="6895"/>
        <v>装备</v>
      </c>
      <c r="D5139" s="7">
        <v>40600100</v>
      </c>
      <c r="E5139" s="7"/>
      <c r="F5139" s="7">
        <v>1</v>
      </c>
      <c r="G5139" s="7">
        <f>3*INDEX([1]equip.xml!$I:$I,MATCH(D5139&amp;"",[1]equip.xml!$A:$A,0))</f>
        <v>180000</v>
      </c>
      <c r="H5139" s="7" t="str">
        <f t="shared" ref="H5139:J5139" si="6896">H5051</f>
        <v>10_10,50_20,80_30</v>
      </c>
      <c r="I5139" s="7">
        <v>6</v>
      </c>
      <c r="J5139" s="7">
        <f t="shared" si="6896"/>
        <v>50</v>
      </c>
      <c r="K5139" s="7" t="s">
        <v>312</v>
      </c>
      <c r="L5139" s="7">
        <v>42</v>
      </c>
      <c r="M5139" s="7">
        <f>IF(INDEX([1]equip.xml!$B:$B,MATCH(D5139&amp;"",[1]equip.xml!$A:$A,0))=0,0,N5139)</f>
        <v>100</v>
      </c>
      <c r="N5139" s="7">
        <f t="shared" si="6872"/>
        <v>100</v>
      </c>
    </row>
    <row r="5140" spans="1:14">
      <c r="A5140" s="7">
        <f t="shared" si="6821"/>
        <v>30017</v>
      </c>
      <c r="B5140" s="7">
        <f t="shared" ref="B5140:C5140" si="6897">B5052</f>
        <v>40000</v>
      </c>
      <c r="C5140" s="7" t="str">
        <f t="shared" si="6897"/>
        <v>装备</v>
      </c>
      <c r="D5140" s="7">
        <v>40601050</v>
      </c>
      <c r="E5140" s="7"/>
      <c r="F5140" s="7">
        <v>1</v>
      </c>
      <c r="G5140" s="7">
        <f>3*INDEX([1]equip.xml!$I:$I,MATCH(D5140&amp;"",[1]equip.xml!$A:$A,0))</f>
        <v>180000</v>
      </c>
      <c r="H5140" s="7" t="str">
        <f t="shared" ref="H5140:J5140" si="6898">H5052</f>
        <v>10_10,50_20,80_30</v>
      </c>
      <c r="I5140" s="7">
        <v>6</v>
      </c>
      <c r="J5140" s="7">
        <f t="shared" si="6898"/>
        <v>50</v>
      </c>
      <c r="K5140" s="7" t="s">
        <v>312</v>
      </c>
      <c r="L5140" s="7">
        <v>42</v>
      </c>
      <c r="M5140" s="7">
        <f>IF(INDEX([1]equip.xml!$B:$B,MATCH(D5140&amp;"",[1]equip.xml!$A:$A,0))=0,0,N5140)</f>
        <v>100</v>
      </c>
      <c r="N5140" s="7">
        <f t="shared" si="6872"/>
        <v>100</v>
      </c>
    </row>
    <row r="5141" spans="1:14">
      <c r="A5141" s="7">
        <f t="shared" si="6821"/>
        <v>30017</v>
      </c>
      <c r="B5141" s="7">
        <f t="shared" ref="B5141:C5141" si="6899">B5053</f>
        <v>40000</v>
      </c>
      <c r="C5141" s="7" t="str">
        <f t="shared" si="6899"/>
        <v>装备</v>
      </c>
      <c r="D5141" s="7">
        <v>40601051</v>
      </c>
      <c r="E5141" s="7"/>
      <c r="F5141" s="7">
        <v>1</v>
      </c>
      <c r="G5141" s="7">
        <f>3*INDEX([1]equip.xml!$I:$I,MATCH(D5141&amp;"",[1]equip.xml!$A:$A,0))</f>
        <v>189000</v>
      </c>
      <c r="H5141" s="7" t="str">
        <f t="shared" ref="H5141:J5141" si="6900">H5053</f>
        <v>10_10,50_20,80_30</v>
      </c>
      <c r="I5141" s="7">
        <v>6</v>
      </c>
      <c r="J5141" s="7">
        <f t="shared" si="6900"/>
        <v>50</v>
      </c>
      <c r="K5141" s="7" t="s">
        <v>312</v>
      </c>
      <c r="L5141" s="7">
        <v>42</v>
      </c>
      <c r="M5141" s="7">
        <f>IF(INDEX([1]equip.xml!$B:$B,MATCH(D5141&amp;"",[1]equip.xml!$A:$A,0))=0,0,N5141)</f>
        <v>100</v>
      </c>
      <c r="N5141" s="7">
        <f t="shared" si="6872"/>
        <v>100</v>
      </c>
    </row>
    <row r="5142" spans="1:14">
      <c r="A5142" s="7">
        <f t="shared" si="6821"/>
        <v>30017</v>
      </c>
      <c r="B5142" s="7">
        <f t="shared" ref="B5142:C5142" si="6901">B5054</f>
        <v>40000</v>
      </c>
      <c r="C5142" s="7" t="str">
        <f t="shared" si="6901"/>
        <v>装备</v>
      </c>
      <c r="D5142" s="7">
        <v>40601060</v>
      </c>
      <c r="E5142" s="7"/>
      <c r="F5142" s="7">
        <v>1</v>
      </c>
      <c r="G5142" s="7">
        <f>3*INDEX([1]equip.xml!$I:$I,MATCH(D5142&amp;"",[1]equip.xml!$A:$A,0))</f>
        <v>180000</v>
      </c>
      <c r="H5142" s="7" t="str">
        <f t="shared" ref="H5142:J5142" si="6902">H5054</f>
        <v>10_10,50_20,80_30</v>
      </c>
      <c r="I5142" s="7">
        <v>6</v>
      </c>
      <c r="J5142" s="7">
        <f t="shared" si="6902"/>
        <v>50</v>
      </c>
      <c r="K5142" s="7" t="s">
        <v>312</v>
      </c>
      <c r="L5142" s="7">
        <v>42</v>
      </c>
      <c r="M5142" s="7">
        <f>IF(INDEX([1]equip.xml!$B:$B,MATCH(D5142&amp;"",[1]equip.xml!$A:$A,0))=0,0,N5142)</f>
        <v>100</v>
      </c>
      <c r="N5142" s="7">
        <f t="shared" si="6872"/>
        <v>100</v>
      </c>
    </row>
    <row r="5143" spans="1:14">
      <c r="A5143" s="7">
        <f t="shared" si="6821"/>
        <v>30017</v>
      </c>
      <c r="B5143" s="7">
        <f t="shared" ref="B5143:C5143" si="6903">B5055</f>
        <v>40000</v>
      </c>
      <c r="C5143" s="7" t="str">
        <f t="shared" si="6903"/>
        <v>装备</v>
      </c>
      <c r="D5143" s="7">
        <v>40601061</v>
      </c>
      <c r="E5143" s="7"/>
      <c r="F5143" s="7">
        <v>1</v>
      </c>
      <c r="G5143" s="7">
        <f>3*INDEX([1]equip.xml!$I:$I,MATCH(D5143&amp;"",[1]equip.xml!$A:$A,0))</f>
        <v>189000</v>
      </c>
      <c r="H5143" s="7" t="str">
        <f t="shared" ref="H5143:J5143" si="6904">H5055</f>
        <v>10_10,50_20,80_30</v>
      </c>
      <c r="I5143" s="7">
        <v>6</v>
      </c>
      <c r="J5143" s="7">
        <f t="shared" si="6904"/>
        <v>50</v>
      </c>
      <c r="K5143" s="7" t="s">
        <v>312</v>
      </c>
      <c r="L5143" s="7">
        <v>42</v>
      </c>
      <c r="M5143" s="7">
        <f>IF(INDEX([1]equip.xml!$B:$B,MATCH(D5143&amp;"",[1]equip.xml!$A:$A,0))=0,0,N5143)</f>
        <v>0</v>
      </c>
      <c r="N5143" s="7">
        <f t="shared" si="6872"/>
        <v>100</v>
      </c>
    </row>
    <row r="5144" spans="1:14">
      <c r="A5144" s="7">
        <f t="shared" si="6821"/>
        <v>30017</v>
      </c>
      <c r="B5144" s="7">
        <f t="shared" ref="B5144:C5144" si="6905">B5056</f>
        <v>40000</v>
      </c>
      <c r="C5144" s="7" t="str">
        <f t="shared" si="6905"/>
        <v>装备</v>
      </c>
      <c r="D5144" s="7">
        <v>40602050</v>
      </c>
      <c r="E5144" s="7"/>
      <c r="F5144" s="7">
        <v>1</v>
      </c>
      <c r="G5144" s="7">
        <f>3*INDEX([1]equip.xml!$I:$I,MATCH(D5144&amp;"",[1]equip.xml!$A:$A,0))</f>
        <v>180000</v>
      </c>
      <c r="H5144" s="7" t="str">
        <f t="shared" ref="H5144:J5144" si="6906">H5056</f>
        <v>10_10,50_20,80_30</v>
      </c>
      <c r="I5144" s="7">
        <v>6</v>
      </c>
      <c r="J5144" s="7">
        <f t="shared" si="6906"/>
        <v>50</v>
      </c>
      <c r="K5144" s="7" t="s">
        <v>312</v>
      </c>
      <c r="L5144" s="7">
        <v>42</v>
      </c>
      <c r="M5144" s="7">
        <f>IF(INDEX([1]equip.xml!$B:$B,MATCH(D5144&amp;"",[1]equip.xml!$A:$A,0))=0,0,N5144)</f>
        <v>100</v>
      </c>
      <c r="N5144" s="7">
        <f t="shared" si="6872"/>
        <v>100</v>
      </c>
    </row>
    <row r="5145" spans="1:14">
      <c r="A5145" s="7">
        <f t="shared" si="6821"/>
        <v>30017</v>
      </c>
      <c r="B5145" s="7">
        <f t="shared" ref="B5145:C5145" si="6907">B5057</f>
        <v>40000</v>
      </c>
      <c r="C5145" s="7" t="str">
        <f t="shared" si="6907"/>
        <v>装备</v>
      </c>
      <c r="D5145" s="7">
        <v>40602051</v>
      </c>
      <c r="E5145" s="7"/>
      <c r="F5145" s="7">
        <v>1</v>
      </c>
      <c r="G5145" s="7">
        <f>3*INDEX([1]equip.xml!$I:$I,MATCH(D5145&amp;"",[1]equip.xml!$A:$A,0))</f>
        <v>189000</v>
      </c>
      <c r="H5145" s="7" t="str">
        <f t="shared" ref="H5145:J5145" si="6908">H5057</f>
        <v>10_10,50_20,80_30</v>
      </c>
      <c r="I5145" s="7">
        <v>6</v>
      </c>
      <c r="J5145" s="7">
        <f t="shared" si="6908"/>
        <v>50</v>
      </c>
      <c r="K5145" s="7" t="s">
        <v>312</v>
      </c>
      <c r="L5145" s="7">
        <v>42</v>
      </c>
      <c r="M5145" s="7">
        <f>IF(INDEX([1]equip.xml!$B:$B,MATCH(D5145&amp;"",[1]equip.xml!$A:$A,0))=0,0,N5145)</f>
        <v>0</v>
      </c>
      <c r="N5145" s="7">
        <f t="shared" si="6872"/>
        <v>100</v>
      </c>
    </row>
    <row r="5146" spans="1:14">
      <c r="A5146" s="7">
        <f t="shared" si="6821"/>
        <v>30017</v>
      </c>
      <c r="B5146" s="7">
        <f t="shared" ref="B5146:C5146" si="6909">B5058</f>
        <v>40000</v>
      </c>
      <c r="C5146" s="7" t="str">
        <f t="shared" si="6909"/>
        <v>装备</v>
      </c>
      <c r="D5146" s="7">
        <v>40602060</v>
      </c>
      <c r="E5146" s="7"/>
      <c r="F5146" s="7">
        <v>1</v>
      </c>
      <c r="G5146" s="7">
        <f>3*INDEX([1]equip.xml!$I:$I,MATCH(D5146&amp;"",[1]equip.xml!$A:$A,0))</f>
        <v>180000</v>
      </c>
      <c r="H5146" s="7" t="str">
        <f t="shared" ref="H5146:J5146" si="6910">H5058</f>
        <v>10_10,50_20,80_30</v>
      </c>
      <c r="I5146" s="7">
        <v>6</v>
      </c>
      <c r="J5146" s="7">
        <f t="shared" si="6910"/>
        <v>50</v>
      </c>
      <c r="K5146" s="7" t="s">
        <v>312</v>
      </c>
      <c r="L5146" s="7">
        <v>42</v>
      </c>
      <c r="M5146" s="7">
        <f>IF(INDEX([1]equip.xml!$B:$B,MATCH(D5146&amp;"",[1]equip.xml!$A:$A,0))=0,0,N5146)</f>
        <v>100</v>
      </c>
      <c r="N5146" s="7">
        <f t="shared" si="6872"/>
        <v>100</v>
      </c>
    </row>
    <row r="5147" spans="1:14">
      <c r="A5147" s="7">
        <f t="shared" si="6821"/>
        <v>30017</v>
      </c>
      <c r="B5147" s="7">
        <f t="shared" ref="B5147:C5147" si="6911">B5059</f>
        <v>40000</v>
      </c>
      <c r="C5147" s="7" t="str">
        <f t="shared" si="6911"/>
        <v>装备</v>
      </c>
      <c r="D5147" s="7">
        <v>40602061</v>
      </c>
      <c r="E5147" s="7"/>
      <c r="F5147" s="7">
        <v>1</v>
      </c>
      <c r="G5147" s="7">
        <f>3*INDEX([1]equip.xml!$I:$I,MATCH(D5147&amp;"",[1]equip.xml!$A:$A,0))</f>
        <v>189000</v>
      </c>
      <c r="H5147" s="7" t="str">
        <f t="shared" ref="H5147:J5147" si="6912">H5059</f>
        <v>10_10,50_20,80_30</v>
      </c>
      <c r="I5147" s="7">
        <v>6</v>
      </c>
      <c r="J5147" s="7">
        <f t="shared" si="6912"/>
        <v>50</v>
      </c>
      <c r="K5147" s="7" t="s">
        <v>312</v>
      </c>
      <c r="L5147" s="7">
        <v>42</v>
      </c>
      <c r="M5147" s="7">
        <f>IF(INDEX([1]equip.xml!$B:$B,MATCH(D5147&amp;"",[1]equip.xml!$A:$A,0))=0,0,N5147)</f>
        <v>0</v>
      </c>
      <c r="N5147" s="7">
        <f t="shared" si="6872"/>
        <v>100</v>
      </c>
    </row>
    <row r="5148" spans="1:14">
      <c r="A5148" s="7">
        <f t="shared" si="6821"/>
        <v>30017</v>
      </c>
      <c r="B5148" s="7">
        <f t="shared" ref="B5148:C5148" si="6913">B5060</f>
        <v>40000</v>
      </c>
      <c r="C5148" s="7" t="str">
        <f t="shared" si="6913"/>
        <v>装备</v>
      </c>
      <c r="D5148" s="7">
        <v>40603050</v>
      </c>
      <c r="E5148" s="7"/>
      <c r="F5148" s="7">
        <v>1</v>
      </c>
      <c r="G5148" s="7">
        <f>3*INDEX([1]equip.xml!$I:$I,MATCH(D5148&amp;"",[1]equip.xml!$A:$A,0))</f>
        <v>180000</v>
      </c>
      <c r="H5148" s="7" t="str">
        <f t="shared" ref="H5148:J5148" si="6914">H5060</f>
        <v>10_10,50_20,80_30</v>
      </c>
      <c r="I5148" s="7">
        <v>6</v>
      </c>
      <c r="J5148" s="7">
        <f t="shared" si="6914"/>
        <v>50</v>
      </c>
      <c r="K5148" s="7" t="s">
        <v>312</v>
      </c>
      <c r="L5148" s="7">
        <v>42</v>
      </c>
      <c r="M5148" s="7">
        <f>IF(INDEX([1]equip.xml!$B:$B,MATCH(D5148&amp;"",[1]equip.xml!$A:$A,0))=0,0,N5148)</f>
        <v>100</v>
      </c>
      <c r="N5148" s="7">
        <f t="shared" si="6872"/>
        <v>100</v>
      </c>
    </row>
    <row r="5149" spans="1:14">
      <c r="A5149" s="7">
        <f t="shared" si="6821"/>
        <v>30017</v>
      </c>
      <c r="B5149" s="7">
        <f t="shared" ref="B5149:C5149" si="6915">B5061</f>
        <v>40000</v>
      </c>
      <c r="C5149" s="7" t="str">
        <f t="shared" si="6915"/>
        <v>装备</v>
      </c>
      <c r="D5149" s="7">
        <v>40603051</v>
      </c>
      <c r="E5149" s="7"/>
      <c r="F5149" s="7">
        <v>1</v>
      </c>
      <c r="G5149" s="7">
        <f>3*INDEX([1]equip.xml!$I:$I,MATCH(D5149&amp;"",[1]equip.xml!$A:$A,0))</f>
        <v>189000</v>
      </c>
      <c r="H5149" s="7" t="str">
        <f t="shared" ref="H5149:J5149" si="6916">H5061</f>
        <v>10_10,50_20,80_30</v>
      </c>
      <c r="I5149" s="7">
        <v>6</v>
      </c>
      <c r="J5149" s="7">
        <f t="shared" si="6916"/>
        <v>50</v>
      </c>
      <c r="K5149" s="7" t="s">
        <v>312</v>
      </c>
      <c r="L5149" s="7">
        <v>42</v>
      </c>
      <c r="M5149" s="7">
        <f>IF(INDEX([1]equip.xml!$B:$B,MATCH(D5149&amp;"",[1]equip.xml!$A:$A,0))=0,0,N5149)</f>
        <v>0</v>
      </c>
      <c r="N5149" s="7">
        <f t="shared" si="6872"/>
        <v>100</v>
      </c>
    </row>
    <row r="5150" spans="1:14">
      <c r="A5150" s="7">
        <f t="shared" si="6821"/>
        <v>30017</v>
      </c>
      <c r="B5150" s="7">
        <f t="shared" ref="B5150:C5150" si="6917">B5062</f>
        <v>40000</v>
      </c>
      <c r="C5150" s="7" t="str">
        <f t="shared" si="6917"/>
        <v>装备</v>
      </c>
      <c r="D5150" s="7">
        <v>40603060</v>
      </c>
      <c r="E5150" s="7"/>
      <c r="F5150" s="7">
        <v>1</v>
      </c>
      <c r="G5150" s="7">
        <f>3*INDEX([1]equip.xml!$I:$I,MATCH(D5150&amp;"",[1]equip.xml!$A:$A,0))</f>
        <v>180000</v>
      </c>
      <c r="H5150" s="7" t="str">
        <f t="shared" ref="H5150:J5150" si="6918">H5062</f>
        <v>10_10,50_20,80_30</v>
      </c>
      <c r="I5150" s="7">
        <v>6</v>
      </c>
      <c r="J5150" s="7">
        <f t="shared" si="6918"/>
        <v>50</v>
      </c>
      <c r="K5150" s="7" t="s">
        <v>312</v>
      </c>
      <c r="L5150" s="7">
        <v>42</v>
      </c>
      <c r="M5150" s="7">
        <f>IF(INDEX([1]equip.xml!$B:$B,MATCH(D5150&amp;"",[1]equip.xml!$A:$A,0))=0,0,N5150)</f>
        <v>100</v>
      </c>
      <c r="N5150" s="7">
        <f t="shared" si="6872"/>
        <v>100</v>
      </c>
    </row>
    <row r="5151" spans="1:14">
      <c r="A5151" s="7">
        <f t="shared" si="6821"/>
        <v>30017</v>
      </c>
      <c r="B5151" s="7">
        <f t="shared" ref="B5151:C5151" si="6919">B5063</f>
        <v>40000</v>
      </c>
      <c r="C5151" s="7" t="str">
        <f t="shared" si="6919"/>
        <v>装备</v>
      </c>
      <c r="D5151" s="7">
        <v>40603061</v>
      </c>
      <c r="E5151" s="7"/>
      <c r="F5151" s="7">
        <v>1</v>
      </c>
      <c r="G5151" s="7">
        <f>3*INDEX([1]equip.xml!$I:$I,MATCH(D5151&amp;"",[1]equip.xml!$A:$A,0))</f>
        <v>189000</v>
      </c>
      <c r="H5151" s="7" t="str">
        <f t="shared" ref="H5151:J5151" si="6920">H5063</f>
        <v>10_10,50_20,80_30</v>
      </c>
      <c r="I5151" s="7">
        <v>6</v>
      </c>
      <c r="J5151" s="7">
        <f t="shared" si="6920"/>
        <v>50</v>
      </c>
      <c r="K5151" s="7" t="s">
        <v>312</v>
      </c>
      <c r="L5151" s="7">
        <v>42</v>
      </c>
      <c r="M5151" s="7">
        <f>IF(INDEX([1]equip.xml!$B:$B,MATCH(D5151&amp;"",[1]equip.xml!$A:$A,0))=0,0,N5151)</f>
        <v>0</v>
      </c>
      <c r="N5151" s="7">
        <f t="shared" si="6872"/>
        <v>100</v>
      </c>
    </row>
    <row r="5152" spans="1:14">
      <c r="A5152" s="7">
        <f t="shared" si="6821"/>
        <v>30017</v>
      </c>
      <c r="B5152" s="7">
        <f t="shared" ref="B5152:C5152" si="6921">B5064</f>
        <v>40000</v>
      </c>
      <c r="C5152" s="7" t="str">
        <f t="shared" si="6921"/>
        <v>装备</v>
      </c>
      <c r="D5152" s="7">
        <v>40600040</v>
      </c>
      <c r="E5152" s="7"/>
      <c r="F5152" s="7">
        <v>1</v>
      </c>
      <c r="G5152" s="7">
        <f>3*INDEX([1]equip.xml!$I:$I,MATCH(D5152&amp;"",[1]equip.xml!$A:$A,0))</f>
        <v>180000</v>
      </c>
      <c r="H5152" s="7" t="str">
        <f t="shared" ref="H5152:J5152" si="6922">H5064</f>
        <v>10_10,50_20,80_30</v>
      </c>
      <c r="I5152" s="7">
        <v>6</v>
      </c>
      <c r="J5152" s="7">
        <f t="shared" si="6922"/>
        <v>50</v>
      </c>
      <c r="K5152" s="7" t="s">
        <v>312</v>
      </c>
      <c r="L5152" s="7">
        <v>42</v>
      </c>
      <c r="M5152" s="7">
        <f>IF(INDEX([1]equip.xml!$B:$B,MATCH(D5152&amp;"",[1]equip.xml!$A:$A,0))=0,0,N5152)</f>
        <v>100</v>
      </c>
      <c r="N5152" s="7">
        <f t="shared" si="6872"/>
        <v>100</v>
      </c>
    </row>
    <row r="5153" spans="1:14">
      <c r="A5153" s="7">
        <f t="shared" si="6821"/>
        <v>30017</v>
      </c>
      <c r="B5153" s="7">
        <f t="shared" ref="B5153:C5153" si="6923">B5065</f>
        <v>40000</v>
      </c>
      <c r="C5153" s="7" t="str">
        <f t="shared" si="6923"/>
        <v>装备</v>
      </c>
      <c r="D5153" s="7">
        <v>40600041</v>
      </c>
      <c r="E5153" s="7"/>
      <c r="F5153" s="7">
        <v>1</v>
      </c>
      <c r="G5153" s="7">
        <f>3*INDEX([1]equip.xml!$I:$I,MATCH(D5153&amp;"",[1]equip.xml!$A:$A,0))</f>
        <v>189000</v>
      </c>
      <c r="H5153" s="7" t="str">
        <f t="shared" ref="H5153:J5153" si="6924">H5065</f>
        <v>10_10,50_20,80_30</v>
      </c>
      <c r="I5153" s="7">
        <v>6</v>
      </c>
      <c r="J5153" s="7">
        <f t="shared" si="6924"/>
        <v>50</v>
      </c>
      <c r="K5153" s="7" t="s">
        <v>312</v>
      </c>
      <c r="L5153" s="7">
        <v>42</v>
      </c>
      <c r="M5153" s="7">
        <f>IF(INDEX([1]equip.xml!$B:$B,MATCH(D5153&amp;"",[1]equip.xml!$A:$A,0))=0,0,N5153)</f>
        <v>0</v>
      </c>
      <c r="N5153" s="7">
        <f t="shared" si="6872"/>
        <v>100</v>
      </c>
    </row>
    <row r="5154" spans="1:14">
      <c r="A5154" s="7">
        <f t="shared" si="6821"/>
        <v>30017</v>
      </c>
      <c r="B5154" s="7">
        <f t="shared" ref="B5154:C5154" si="6925">B5066</f>
        <v>40000</v>
      </c>
      <c r="C5154" s="7" t="str">
        <f t="shared" si="6925"/>
        <v>装备</v>
      </c>
      <c r="D5154" s="7">
        <v>40600070</v>
      </c>
      <c r="E5154" s="7"/>
      <c r="F5154" s="7">
        <v>1</v>
      </c>
      <c r="G5154" s="7">
        <f>3*INDEX([1]equip.xml!$I:$I,MATCH(D5154&amp;"",[1]equip.xml!$A:$A,0))</f>
        <v>180000</v>
      </c>
      <c r="H5154" s="7" t="str">
        <f t="shared" ref="H5154:J5154" si="6926">H5066</f>
        <v>10_10,50_20,80_30</v>
      </c>
      <c r="I5154" s="7">
        <v>6</v>
      </c>
      <c r="J5154" s="7">
        <f t="shared" si="6926"/>
        <v>50</v>
      </c>
      <c r="K5154" s="7" t="s">
        <v>312</v>
      </c>
      <c r="L5154" s="7">
        <v>42</v>
      </c>
      <c r="M5154" s="7">
        <f>IF(INDEX([1]equip.xml!$B:$B,MATCH(D5154&amp;"",[1]equip.xml!$A:$A,0))=0,0,N5154)</f>
        <v>100</v>
      </c>
      <c r="N5154" s="7">
        <f t="shared" si="6872"/>
        <v>100</v>
      </c>
    </row>
    <row r="5155" spans="1:14">
      <c r="A5155" s="7">
        <f t="shared" si="6821"/>
        <v>30017</v>
      </c>
      <c r="B5155" s="7">
        <f t="shared" ref="B5155:C5155" si="6927">B5067</f>
        <v>40000</v>
      </c>
      <c r="C5155" s="7" t="str">
        <f t="shared" si="6927"/>
        <v>装备</v>
      </c>
      <c r="D5155" s="7">
        <v>40600071</v>
      </c>
      <c r="E5155" s="7"/>
      <c r="F5155" s="7">
        <v>1</v>
      </c>
      <c r="G5155" s="7">
        <f>3*INDEX([1]equip.xml!$I:$I,MATCH(D5155&amp;"",[1]equip.xml!$A:$A,0))</f>
        <v>189000</v>
      </c>
      <c r="H5155" s="7" t="str">
        <f t="shared" ref="H5155:J5155" si="6928">H5067</f>
        <v>10_10,50_20,80_30</v>
      </c>
      <c r="I5155" s="7">
        <v>6</v>
      </c>
      <c r="J5155" s="7">
        <f t="shared" si="6928"/>
        <v>50</v>
      </c>
      <c r="K5155" s="7" t="s">
        <v>312</v>
      </c>
      <c r="L5155" s="7">
        <v>42</v>
      </c>
      <c r="M5155" s="7">
        <f>IF(INDEX([1]equip.xml!$B:$B,MATCH(D5155&amp;"",[1]equip.xml!$A:$A,0))=0,0,N5155)</f>
        <v>100</v>
      </c>
      <c r="N5155" s="7">
        <f t="shared" si="6872"/>
        <v>100</v>
      </c>
    </row>
    <row r="5156" spans="1:14">
      <c r="A5156" s="7">
        <f t="shared" si="6821"/>
        <v>30017</v>
      </c>
      <c r="B5156" s="7">
        <f t="shared" ref="B5156:C5156" si="6929">B5068</f>
        <v>40000</v>
      </c>
      <c r="C5156" s="7" t="str">
        <f t="shared" si="6929"/>
        <v>装备</v>
      </c>
      <c r="D5156" s="7">
        <v>40650010</v>
      </c>
      <c r="E5156" s="7"/>
      <c r="F5156" s="7">
        <v>1</v>
      </c>
      <c r="G5156" s="7">
        <f>3*INDEX([1]equip.xml!$I:$I,MATCH(D5156&amp;"",[1]equip.xml!$A:$A,0))</f>
        <v>195000</v>
      </c>
      <c r="H5156" s="7" t="str">
        <f t="shared" ref="H5156:J5156" si="6930">H5068</f>
        <v>10_10,50_20,80_30</v>
      </c>
      <c r="I5156" s="7">
        <v>6</v>
      </c>
      <c r="J5156" s="7">
        <f t="shared" si="6930"/>
        <v>50</v>
      </c>
      <c r="K5156" s="7" t="s">
        <v>312</v>
      </c>
      <c r="L5156" s="7">
        <v>42</v>
      </c>
      <c r="M5156" s="7">
        <f>IF(INDEX([1]equip.xml!$B:$B,MATCH(D5156&amp;"",[1]equip.xml!$A:$A,0))=0,0,N5156)</f>
        <v>70</v>
      </c>
      <c r="N5156" s="7">
        <f t="shared" si="6872"/>
        <v>70</v>
      </c>
    </row>
    <row r="5157" spans="1:14">
      <c r="A5157" s="7">
        <f t="shared" si="6821"/>
        <v>30017</v>
      </c>
      <c r="B5157" s="7">
        <f t="shared" ref="B5157:C5157" si="6931">B5069</f>
        <v>40000</v>
      </c>
      <c r="C5157" s="7" t="str">
        <f t="shared" si="6931"/>
        <v>装备</v>
      </c>
      <c r="D5157" s="7">
        <v>40650020</v>
      </c>
      <c r="E5157" s="7"/>
      <c r="F5157" s="7">
        <v>1</v>
      </c>
      <c r="G5157" s="7">
        <f>3*INDEX([1]equip.xml!$I:$I,MATCH(D5157&amp;"",[1]equip.xml!$A:$A,0))</f>
        <v>195000</v>
      </c>
      <c r="H5157" s="7" t="str">
        <f t="shared" ref="H5157:J5157" si="6932">H5069</f>
        <v>10_10,50_20,80_30</v>
      </c>
      <c r="I5157" s="7">
        <v>6</v>
      </c>
      <c r="J5157" s="7">
        <f t="shared" si="6932"/>
        <v>50</v>
      </c>
      <c r="K5157" s="7" t="s">
        <v>312</v>
      </c>
      <c r="L5157" s="7">
        <v>42</v>
      </c>
      <c r="M5157" s="7">
        <f>IF(INDEX([1]equip.xml!$B:$B,MATCH(D5157&amp;"",[1]equip.xml!$A:$A,0))=0,0,N5157)</f>
        <v>70</v>
      </c>
      <c r="N5157" s="7">
        <f t="shared" si="6872"/>
        <v>70</v>
      </c>
    </row>
    <row r="5158" spans="1:14">
      <c r="A5158" s="7">
        <f t="shared" si="6821"/>
        <v>30017</v>
      </c>
      <c r="B5158" s="7">
        <f t="shared" ref="B5158:C5158" si="6933">B5070</f>
        <v>40000</v>
      </c>
      <c r="C5158" s="7" t="str">
        <f t="shared" si="6933"/>
        <v>装备</v>
      </c>
      <c r="D5158" s="7">
        <v>40650030</v>
      </c>
      <c r="E5158" s="7"/>
      <c r="F5158" s="7">
        <v>1</v>
      </c>
      <c r="G5158" s="7">
        <f>3*INDEX([1]equip.xml!$I:$I,MATCH(D5158&amp;"",[1]equip.xml!$A:$A,0))</f>
        <v>195000</v>
      </c>
      <c r="H5158" s="7" t="str">
        <f t="shared" ref="H5158:J5158" si="6934">H5070</f>
        <v>10_10,50_20,80_30</v>
      </c>
      <c r="I5158" s="7">
        <v>6</v>
      </c>
      <c r="J5158" s="7">
        <f t="shared" si="6934"/>
        <v>50</v>
      </c>
      <c r="K5158" s="7" t="s">
        <v>312</v>
      </c>
      <c r="L5158" s="7">
        <v>42</v>
      </c>
      <c r="M5158" s="7">
        <f>IF(INDEX([1]equip.xml!$B:$B,MATCH(D5158&amp;"",[1]equip.xml!$A:$A,0))=0,0,N5158)</f>
        <v>70</v>
      </c>
      <c r="N5158" s="7">
        <f t="shared" si="6872"/>
        <v>70</v>
      </c>
    </row>
    <row r="5159" spans="1:14">
      <c r="A5159" s="7">
        <f t="shared" si="6821"/>
        <v>30017</v>
      </c>
      <c r="B5159" s="7">
        <f t="shared" ref="B5159:C5159" si="6935">B5071</f>
        <v>40000</v>
      </c>
      <c r="C5159" s="7" t="str">
        <f t="shared" si="6935"/>
        <v>装备</v>
      </c>
      <c r="D5159" s="7">
        <v>40650080</v>
      </c>
      <c r="E5159" s="7"/>
      <c r="F5159" s="7">
        <v>1</v>
      </c>
      <c r="G5159" s="7">
        <f>3*INDEX([1]equip.xml!$I:$I,MATCH(D5159&amp;"",[1]equip.xml!$A:$A,0))</f>
        <v>195000</v>
      </c>
      <c r="H5159" s="7" t="str">
        <f t="shared" ref="H5159:J5159" si="6936">H5071</f>
        <v>10_10,50_20,80_30</v>
      </c>
      <c r="I5159" s="7">
        <v>6</v>
      </c>
      <c r="J5159" s="7">
        <f t="shared" si="6936"/>
        <v>50</v>
      </c>
      <c r="K5159" s="7" t="s">
        <v>312</v>
      </c>
      <c r="L5159" s="7">
        <v>42</v>
      </c>
      <c r="M5159" s="7">
        <f>IF(INDEX([1]equip.xml!$B:$B,MATCH(D5159&amp;"",[1]equip.xml!$A:$A,0))=0,0,N5159)</f>
        <v>70</v>
      </c>
      <c r="N5159" s="7">
        <f t="shared" si="6872"/>
        <v>70</v>
      </c>
    </row>
    <row r="5160" spans="1:14">
      <c r="A5160" s="7">
        <f t="shared" si="6821"/>
        <v>30017</v>
      </c>
      <c r="B5160" s="7">
        <f t="shared" ref="B5160:C5160" si="6937">B5072</f>
        <v>40000</v>
      </c>
      <c r="C5160" s="7" t="str">
        <f t="shared" si="6937"/>
        <v>装备</v>
      </c>
      <c r="D5160" s="7">
        <v>40650090</v>
      </c>
      <c r="E5160" s="7"/>
      <c r="F5160" s="7">
        <v>1</v>
      </c>
      <c r="G5160" s="7">
        <f>3*INDEX([1]equip.xml!$I:$I,MATCH(D5160&amp;"",[1]equip.xml!$A:$A,0))</f>
        <v>195000</v>
      </c>
      <c r="H5160" s="7" t="str">
        <f t="shared" ref="H5160:J5160" si="6938">H5072</f>
        <v>10_10,50_20,80_30</v>
      </c>
      <c r="I5160" s="7">
        <v>6</v>
      </c>
      <c r="J5160" s="7">
        <f t="shared" si="6938"/>
        <v>50</v>
      </c>
      <c r="K5160" s="7" t="s">
        <v>312</v>
      </c>
      <c r="L5160" s="7">
        <v>42</v>
      </c>
      <c r="M5160" s="7">
        <f>IF(INDEX([1]equip.xml!$B:$B,MATCH(D5160&amp;"",[1]equip.xml!$A:$A,0))=0,0,N5160)</f>
        <v>70</v>
      </c>
      <c r="N5160" s="7">
        <f t="shared" si="6872"/>
        <v>70</v>
      </c>
    </row>
    <row r="5161" spans="1:14">
      <c r="A5161" s="7">
        <f t="shared" si="6821"/>
        <v>30017</v>
      </c>
      <c r="B5161" s="7">
        <f t="shared" ref="B5161:C5161" si="6939">B5073</f>
        <v>40000</v>
      </c>
      <c r="C5161" s="7" t="str">
        <f t="shared" si="6939"/>
        <v>装备</v>
      </c>
      <c r="D5161" s="7">
        <v>40650100</v>
      </c>
      <c r="E5161" s="7"/>
      <c r="F5161" s="7">
        <v>1</v>
      </c>
      <c r="G5161" s="7">
        <f>3*INDEX([1]equip.xml!$I:$I,MATCH(D5161&amp;"",[1]equip.xml!$A:$A,0))</f>
        <v>195000</v>
      </c>
      <c r="H5161" s="7" t="str">
        <f t="shared" ref="H5161:J5161" si="6940">H5073</f>
        <v>10_10,50_20,80_30</v>
      </c>
      <c r="I5161" s="7">
        <v>6</v>
      </c>
      <c r="J5161" s="7">
        <f t="shared" si="6940"/>
        <v>50</v>
      </c>
      <c r="K5161" s="7" t="s">
        <v>312</v>
      </c>
      <c r="L5161" s="7">
        <v>42</v>
      </c>
      <c r="M5161" s="7">
        <f>IF(INDEX([1]equip.xml!$B:$B,MATCH(D5161&amp;"",[1]equip.xml!$A:$A,0))=0,0,N5161)</f>
        <v>70</v>
      </c>
      <c r="N5161" s="7">
        <f t="shared" si="6872"/>
        <v>70</v>
      </c>
    </row>
    <row r="5162" spans="1:14">
      <c r="A5162" s="7">
        <f t="shared" si="6821"/>
        <v>30017</v>
      </c>
      <c r="B5162" s="7">
        <f t="shared" ref="B5162:C5162" si="6941">B5074</f>
        <v>40000</v>
      </c>
      <c r="C5162" s="7" t="str">
        <f t="shared" si="6941"/>
        <v>装备</v>
      </c>
      <c r="D5162" s="7">
        <v>40651050</v>
      </c>
      <c r="E5162" s="7"/>
      <c r="F5162" s="7">
        <v>1</v>
      </c>
      <c r="G5162" s="7">
        <f>3*INDEX([1]equip.xml!$I:$I,MATCH(D5162&amp;"",[1]equip.xml!$A:$A,0))</f>
        <v>195000</v>
      </c>
      <c r="H5162" s="7" t="str">
        <f t="shared" ref="H5162:J5162" si="6942">H5074</f>
        <v>10_10,50_20,80_30</v>
      </c>
      <c r="I5162" s="7">
        <v>6</v>
      </c>
      <c r="J5162" s="7">
        <f t="shared" si="6942"/>
        <v>50</v>
      </c>
      <c r="K5162" s="7" t="s">
        <v>312</v>
      </c>
      <c r="L5162" s="7">
        <v>42</v>
      </c>
      <c r="M5162" s="7">
        <f>IF(INDEX([1]equip.xml!$B:$B,MATCH(D5162&amp;"",[1]equip.xml!$A:$A,0))=0,0,N5162)</f>
        <v>70</v>
      </c>
      <c r="N5162" s="7">
        <f t="shared" si="6872"/>
        <v>70</v>
      </c>
    </row>
    <row r="5163" spans="1:14">
      <c r="A5163" s="7">
        <f t="shared" si="6821"/>
        <v>30017</v>
      </c>
      <c r="B5163" s="7">
        <f t="shared" ref="B5163:C5163" si="6943">B5075</f>
        <v>40000</v>
      </c>
      <c r="C5163" s="7" t="str">
        <f t="shared" si="6943"/>
        <v>装备</v>
      </c>
      <c r="D5163" s="7">
        <v>40651051</v>
      </c>
      <c r="E5163" s="7"/>
      <c r="F5163" s="7">
        <v>1</v>
      </c>
      <c r="G5163" s="7">
        <f>3*INDEX([1]equip.xml!$I:$I,MATCH(D5163&amp;"",[1]equip.xml!$A:$A,0))</f>
        <v>204000</v>
      </c>
      <c r="H5163" s="7" t="str">
        <f t="shared" ref="H5163:J5163" si="6944">H5075</f>
        <v>10_10,50_20,80_30</v>
      </c>
      <c r="I5163" s="7">
        <v>6</v>
      </c>
      <c r="J5163" s="7">
        <f t="shared" si="6944"/>
        <v>50</v>
      </c>
      <c r="K5163" s="7" t="s">
        <v>312</v>
      </c>
      <c r="L5163" s="7">
        <v>42</v>
      </c>
      <c r="M5163" s="7">
        <f>IF(INDEX([1]equip.xml!$B:$B,MATCH(D5163&amp;"",[1]equip.xml!$A:$A,0))=0,0,N5163)</f>
        <v>0</v>
      </c>
      <c r="N5163" s="7">
        <f t="shared" si="6872"/>
        <v>70</v>
      </c>
    </row>
    <row r="5164" spans="1:14">
      <c r="A5164" s="7">
        <f t="shared" si="6821"/>
        <v>30017</v>
      </c>
      <c r="B5164" s="7">
        <f t="shared" ref="B5164:C5164" si="6945">B5076</f>
        <v>40000</v>
      </c>
      <c r="C5164" s="7" t="str">
        <f t="shared" si="6945"/>
        <v>装备</v>
      </c>
      <c r="D5164" s="7">
        <v>40651060</v>
      </c>
      <c r="E5164" s="7"/>
      <c r="F5164" s="7">
        <v>1</v>
      </c>
      <c r="G5164" s="7">
        <f>3*INDEX([1]equip.xml!$I:$I,MATCH(D5164&amp;"",[1]equip.xml!$A:$A,0))</f>
        <v>195000</v>
      </c>
      <c r="H5164" s="7" t="str">
        <f t="shared" ref="H5164:J5164" si="6946">H5076</f>
        <v>10_10,50_20,80_30</v>
      </c>
      <c r="I5164" s="7">
        <v>6</v>
      </c>
      <c r="J5164" s="7">
        <f t="shared" si="6946"/>
        <v>50</v>
      </c>
      <c r="K5164" s="7" t="s">
        <v>312</v>
      </c>
      <c r="L5164" s="7">
        <v>42</v>
      </c>
      <c r="M5164" s="7">
        <f>IF(INDEX([1]equip.xml!$B:$B,MATCH(D5164&amp;"",[1]equip.xml!$A:$A,0))=0,0,N5164)</f>
        <v>70</v>
      </c>
      <c r="N5164" s="7">
        <f t="shared" si="6872"/>
        <v>70</v>
      </c>
    </row>
    <row r="5165" spans="1:14">
      <c r="A5165" s="7">
        <f t="shared" si="6821"/>
        <v>30017</v>
      </c>
      <c r="B5165" s="7">
        <f t="shared" ref="B5165:C5165" si="6947">B5077</f>
        <v>40000</v>
      </c>
      <c r="C5165" s="7" t="str">
        <f t="shared" si="6947"/>
        <v>装备</v>
      </c>
      <c r="D5165" s="7">
        <v>40651061</v>
      </c>
      <c r="E5165" s="7"/>
      <c r="F5165" s="7">
        <v>1</v>
      </c>
      <c r="G5165" s="7">
        <f>3*INDEX([1]equip.xml!$I:$I,MATCH(D5165&amp;"",[1]equip.xml!$A:$A,0))</f>
        <v>204000</v>
      </c>
      <c r="H5165" s="7" t="str">
        <f t="shared" ref="H5165:J5165" si="6948">H5077</f>
        <v>10_10,50_20,80_30</v>
      </c>
      <c r="I5165" s="7">
        <v>6</v>
      </c>
      <c r="J5165" s="7">
        <f t="shared" si="6948"/>
        <v>50</v>
      </c>
      <c r="K5165" s="7" t="s">
        <v>312</v>
      </c>
      <c r="L5165" s="7">
        <v>42</v>
      </c>
      <c r="M5165" s="7">
        <f>IF(INDEX([1]equip.xml!$B:$B,MATCH(D5165&amp;"",[1]equip.xml!$A:$A,0))=0,0,N5165)</f>
        <v>0</v>
      </c>
      <c r="N5165" s="7">
        <f t="shared" si="6872"/>
        <v>70</v>
      </c>
    </row>
    <row r="5166" spans="1:14">
      <c r="A5166" s="7">
        <f t="shared" si="6821"/>
        <v>30017</v>
      </c>
      <c r="B5166" s="7">
        <f t="shared" ref="B5166:C5166" si="6949">B5078</f>
        <v>40000</v>
      </c>
      <c r="C5166" s="7" t="str">
        <f t="shared" si="6949"/>
        <v>装备</v>
      </c>
      <c r="D5166" s="7">
        <v>40652050</v>
      </c>
      <c r="E5166" s="7"/>
      <c r="F5166" s="7">
        <v>1</v>
      </c>
      <c r="G5166" s="7">
        <f>3*INDEX([1]equip.xml!$I:$I,MATCH(D5166&amp;"",[1]equip.xml!$A:$A,0))</f>
        <v>195000</v>
      </c>
      <c r="H5166" s="7" t="str">
        <f t="shared" ref="H5166:J5166" si="6950">H5078</f>
        <v>10_10,50_20,80_30</v>
      </c>
      <c r="I5166" s="7">
        <v>6</v>
      </c>
      <c r="J5166" s="7">
        <f t="shared" si="6950"/>
        <v>50</v>
      </c>
      <c r="K5166" s="7" t="s">
        <v>312</v>
      </c>
      <c r="L5166" s="7">
        <v>42</v>
      </c>
      <c r="M5166" s="7">
        <f>IF(INDEX([1]equip.xml!$B:$B,MATCH(D5166&amp;"",[1]equip.xml!$A:$A,0))=0,0,N5166)</f>
        <v>70</v>
      </c>
      <c r="N5166" s="7">
        <f t="shared" si="6872"/>
        <v>70</v>
      </c>
    </row>
    <row r="5167" spans="1:14">
      <c r="A5167" s="7">
        <f t="shared" ref="A5167:A5230" si="6951">10000+A3935</f>
        <v>30017</v>
      </c>
      <c r="B5167" s="7">
        <f t="shared" ref="B5167:C5167" si="6952">B5079</f>
        <v>40000</v>
      </c>
      <c r="C5167" s="7" t="str">
        <f t="shared" si="6952"/>
        <v>装备</v>
      </c>
      <c r="D5167" s="7">
        <v>40652051</v>
      </c>
      <c r="E5167" s="7"/>
      <c r="F5167" s="7">
        <v>1</v>
      </c>
      <c r="G5167" s="7">
        <f>3*INDEX([1]equip.xml!$I:$I,MATCH(D5167&amp;"",[1]equip.xml!$A:$A,0))</f>
        <v>204000</v>
      </c>
      <c r="H5167" s="7" t="str">
        <f t="shared" ref="H5167:J5167" si="6953">H5079</f>
        <v>10_10,50_20,80_30</v>
      </c>
      <c r="I5167" s="7">
        <v>6</v>
      </c>
      <c r="J5167" s="7">
        <f t="shared" si="6953"/>
        <v>50</v>
      </c>
      <c r="K5167" s="7" t="s">
        <v>312</v>
      </c>
      <c r="L5167" s="7">
        <v>42</v>
      </c>
      <c r="M5167" s="7">
        <f>IF(INDEX([1]equip.xml!$B:$B,MATCH(D5167&amp;"",[1]equip.xml!$A:$A,0))=0,0,N5167)</f>
        <v>0</v>
      </c>
      <c r="N5167" s="7">
        <f t="shared" si="6872"/>
        <v>70</v>
      </c>
    </row>
    <row r="5168" spans="1:14">
      <c r="A5168" s="7">
        <f t="shared" si="6951"/>
        <v>30017</v>
      </c>
      <c r="B5168" s="7">
        <f t="shared" ref="B5168:C5168" si="6954">B5080</f>
        <v>40000</v>
      </c>
      <c r="C5168" s="7" t="str">
        <f t="shared" si="6954"/>
        <v>装备</v>
      </c>
      <c r="D5168" s="7">
        <v>40652060</v>
      </c>
      <c r="E5168" s="7"/>
      <c r="F5168" s="7">
        <v>1</v>
      </c>
      <c r="G5168" s="7">
        <f>3*INDEX([1]equip.xml!$I:$I,MATCH(D5168&amp;"",[1]equip.xml!$A:$A,0))</f>
        <v>195000</v>
      </c>
      <c r="H5168" s="7" t="str">
        <f t="shared" ref="H5168:J5168" si="6955">H5080</f>
        <v>10_10,50_20,80_30</v>
      </c>
      <c r="I5168" s="7">
        <v>6</v>
      </c>
      <c r="J5168" s="7">
        <f t="shared" si="6955"/>
        <v>50</v>
      </c>
      <c r="K5168" s="7" t="s">
        <v>312</v>
      </c>
      <c r="L5168" s="7">
        <v>42</v>
      </c>
      <c r="M5168" s="7">
        <f>IF(INDEX([1]equip.xml!$B:$B,MATCH(D5168&amp;"",[1]equip.xml!$A:$A,0))=0,0,N5168)</f>
        <v>70</v>
      </c>
      <c r="N5168" s="7">
        <f t="shared" si="6872"/>
        <v>70</v>
      </c>
    </row>
    <row r="5169" spans="1:14">
      <c r="A5169" s="7">
        <f t="shared" si="6951"/>
        <v>30017</v>
      </c>
      <c r="B5169" s="7">
        <f t="shared" ref="B5169:C5169" si="6956">B5081</f>
        <v>40000</v>
      </c>
      <c r="C5169" s="7" t="str">
        <f t="shared" si="6956"/>
        <v>装备</v>
      </c>
      <c r="D5169" s="7">
        <v>40652061</v>
      </c>
      <c r="E5169" s="7"/>
      <c r="F5169" s="7">
        <v>1</v>
      </c>
      <c r="G5169" s="7">
        <f>3*INDEX([1]equip.xml!$I:$I,MATCH(D5169&amp;"",[1]equip.xml!$A:$A,0))</f>
        <v>204000</v>
      </c>
      <c r="H5169" s="7" t="str">
        <f t="shared" ref="H5169:J5169" si="6957">H5081</f>
        <v>10_10,50_20,80_30</v>
      </c>
      <c r="I5169" s="7">
        <v>6</v>
      </c>
      <c r="J5169" s="7">
        <f t="shared" si="6957"/>
        <v>50</v>
      </c>
      <c r="K5169" s="7" t="s">
        <v>312</v>
      </c>
      <c r="L5169" s="7">
        <v>42</v>
      </c>
      <c r="M5169" s="7">
        <f>IF(INDEX([1]equip.xml!$B:$B,MATCH(D5169&amp;"",[1]equip.xml!$A:$A,0))=0,0,N5169)</f>
        <v>0</v>
      </c>
      <c r="N5169" s="7">
        <f t="shared" si="6872"/>
        <v>70</v>
      </c>
    </row>
    <row r="5170" spans="1:14">
      <c r="A5170" s="7">
        <f t="shared" si="6951"/>
        <v>30017</v>
      </c>
      <c r="B5170" s="7">
        <f t="shared" ref="B5170:C5170" si="6958">B5082</f>
        <v>40000</v>
      </c>
      <c r="C5170" s="7" t="str">
        <f t="shared" si="6958"/>
        <v>装备</v>
      </c>
      <c r="D5170" s="7">
        <v>40653050</v>
      </c>
      <c r="E5170" s="7"/>
      <c r="F5170" s="7">
        <v>1</v>
      </c>
      <c r="G5170" s="7">
        <f>3*INDEX([1]equip.xml!$I:$I,MATCH(D5170&amp;"",[1]equip.xml!$A:$A,0))</f>
        <v>195000</v>
      </c>
      <c r="H5170" s="7" t="str">
        <f t="shared" ref="H5170:J5170" si="6959">H5082</f>
        <v>10_10,50_20,80_30</v>
      </c>
      <c r="I5170" s="7">
        <v>6</v>
      </c>
      <c r="J5170" s="7">
        <f t="shared" si="6959"/>
        <v>50</v>
      </c>
      <c r="K5170" s="7" t="s">
        <v>312</v>
      </c>
      <c r="L5170" s="7">
        <v>42</v>
      </c>
      <c r="M5170" s="7">
        <f>IF(INDEX([1]equip.xml!$B:$B,MATCH(D5170&amp;"",[1]equip.xml!$A:$A,0))=0,0,N5170)</f>
        <v>70</v>
      </c>
      <c r="N5170" s="7">
        <f t="shared" si="6872"/>
        <v>70</v>
      </c>
    </row>
    <row r="5171" spans="1:14">
      <c r="A5171" s="7">
        <f t="shared" si="6951"/>
        <v>30017</v>
      </c>
      <c r="B5171" s="7">
        <f t="shared" ref="B5171:C5171" si="6960">B5083</f>
        <v>40000</v>
      </c>
      <c r="C5171" s="7" t="str">
        <f t="shared" si="6960"/>
        <v>装备</v>
      </c>
      <c r="D5171" s="7">
        <v>40653051</v>
      </c>
      <c r="E5171" s="7"/>
      <c r="F5171" s="7">
        <v>1</v>
      </c>
      <c r="G5171" s="7">
        <f>3*INDEX([1]equip.xml!$I:$I,MATCH(D5171&amp;"",[1]equip.xml!$A:$A,0))</f>
        <v>204000</v>
      </c>
      <c r="H5171" s="7" t="str">
        <f t="shared" ref="H5171:J5171" si="6961">H5083</f>
        <v>10_10,50_20,80_30</v>
      </c>
      <c r="I5171" s="7">
        <v>6</v>
      </c>
      <c r="J5171" s="7">
        <f t="shared" si="6961"/>
        <v>50</v>
      </c>
      <c r="K5171" s="7" t="s">
        <v>312</v>
      </c>
      <c r="L5171" s="7">
        <v>42</v>
      </c>
      <c r="M5171" s="7">
        <f>IF(INDEX([1]equip.xml!$B:$B,MATCH(D5171&amp;"",[1]equip.xml!$A:$A,0))=0,0,N5171)</f>
        <v>0</v>
      </c>
      <c r="N5171" s="7">
        <f t="shared" si="6872"/>
        <v>70</v>
      </c>
    </row>
    <row r="5172" spans="1:14">
      <c r="A5172" s="7">
        <f t="shared" si="6951"/>
        <v>30017</v>
      </c>
      <c r="B5172" s="7">
        <f t="shared" ref="B5172:C5172" si="6962">B5084</f>
        <v>40000</v>
      </c>
      <c r="C5172" s="7" t="str">
        <f t="shared" si="6962"/>
        <v>装备</v>
      </c>
      <c r="D5172" s="7">
        <v>40653060</v>
      </c>
      <c r="E5172" s="7"/>
      <c r="F5172" s="7">
        <v>1</v>
      </c>
      <c r="G5172" s="7">
        <f>3*INDEX([1]equip.xml!$I:$I,MATCH(D5172&amp;"",[1]equip.xml!$A:$A,0))</f>
        <v>195000</v>
      </c>
      <c r="H5172" s="7" t="str">
        <f t="shared" ref="H5172:J5172" si="6963">H5084</f>
        <v>10_10,50_20,80_30</v>
      </c>
      <c r="I5172" s="7">
        <v>6</v>
      </c>
      <c r="J5172" s="7">
        <f t="shared" si="6963"/>
        <v>50</v>
      </c>
      <c r="K5172" s="7" t="s">
        <v>312</v>
      </c>
      <c r="L5172" s="7">
        <v>42</v>
      </c>
      <c r="M5172" s="7">
        <f>IF(INDEX([1]equip.xml!$B:$B,MATCH(D5172&amp;"",[1]equip.xml!$A:$A,0))=0,0,N5172)</f>
        <v>70</v>
      </c>
      <c r="N5172" s="7">
        <f t="shared" si="6872"/>
        <v>70</v>
      </c>
    </row>
    <row r="5173" spans="1:14">
      <c r="A5173" s="7">
        <f t="shared" si="6951"/>
        <v>30017</v>
      </c>
      <c r="B5173" s="7">
        <f t="shared" ref="B5173:C5173" si="6964">B5085</f>
        <v>40000</v>
      </c>
      <c r="C5173" s="7" t="str">
        <f t="shared" si="6964"/>
        <v>装备</v>
      </c>
      <c r="D5173" s="7">
        <v>40653061</v>
      </c>
      <c r="E5173" s="7"/>
      <c r="F5173" s="7">
        <v>1</v>
      </c>
      <c r="G5173" s="7">
        <f>3*INDEX([1]equip.xml!$I:$I,MATCH(D5173&amp;"",[1]equip.xml!$A:$A,0))</f>
        <v>204000</v>
      </c>
      <c r="H5173" s="7" t="str">
        <f t="shared" ref="H5173:J5173" si="6965">H5085</f>
        <v>10_10,50_20,80_30</v>
      </c>
      <c r="I5173" s="7">
        <v>6</v>
      </c>
      <c r="J5173" s="7">
        <f t="shared" si="6965"/>
        <v>50</v>
      </c>
      <c r="K5173" s="7" t="s">
        <v>312</v>
      </c>
      <c r="L5173" s="7">
        <v>42</v>
      </c>
      <c r="M5173" s="7">
        <f>IF(INDEX([1]equip.xml!$B:$B,MATCH(D5173&amp;"",[1]equip.xml!$A:$A,0))=0,0,N5173)</f>
        <v>0</v>
      </c>
      <c r="N5173" s="7">
        <f t="shared" si="6872"/>
        <v>70</v>
      </c>
    </row>
    <row r="5174" spans="1:14">
      <c r="A5174" s="7">
        <f t="shared" si="6951"/>
        <v>30017</v>
      </c>
      <c r="B5174" s="7">
        <f t="shared" ref="B5174:C5174" si="6966">B5086</f>
        <v>40000</v>
      </c>
      <c r="C5174" s="7" t="str">
        <f t="shared" si="6966"/>
        <v>装备</v>
      </c>
      <c r="D5174" s="7">
        <v>40650040</v>
      </c>
      <c r="E5174" s="7"/>
      <c r="F5174" s="7">
        <v>1</v>
      </c>
      <c r="G5174" s="7">
        <f>3*INDEX([1]equip.xml!$I:$I,MATCH(D5174&amp;"",[1]equip.xml!$A:$A,0))</f>
        <v>195000</v>
      </c>
      <c r="H5174" s="7" t="str">
        <f t="shared" ref="H5174:J5174" si="6967">H5086</f>
        <v>10_10,50_20,80_30</v>
      </c>
      <c r="I5174" s="7">
        <v>6</v>
      </c>
      <c r="J5174" s="7">
        <f t="shared" si="6967"/>
        <v>50</v>
      </c>
      <c r="K5174" s="7" t="s">
        <v>312</v>
      </c>
      <c r="L5174" s="7">
        <v>42</v>
      </c>
      <c r="M5174" s="7">
        <f>IF(INDEX([1]equip.xml!$B:$B,MATCH(D5174&amp;"",[1]equip.xml!$A:$A,0))=0,0,N5174)</f>
        <v>70</v>
      </c>
      <c r="N5174" s="7">
        <f t="shared" si="6872"/>
        <v>70</v>
      </c>
    </row>
    <row r="5175" spans="1:14">
      <c r="A5175" s="7">
        <f t="shared" si="6951"/>
        <v>30017</v>
      </c>
      <c r="B5175" s="7">
        <f t="shared" ref="B5175:C5175" si="6968">B5087</f>
        <v>40000</v>
      </c>
      <c r="C5175" s="7" t="str">
        <f t="shared" si="6968"/>
        <v>装备</v>
      </c>
      <c r="D5175" s="7">
        <v>40650041</v>
      </c>
      <c r="E5175" s="7"/>
      <c r="F5175" s="7">
        <v>1</v>
      </c>
      <c r="G5175" s="7">
        <f>3*INDEX([1]equip.xml!$I:$I,MATCH(D5175&amp;"",[1]equip.xml!$A:$A,0))</f>
        <v>204000</v>
      </c>
      <c r="H5175" s="7" t="str">
        <f t="shared" ref="H5175:J5175" si="6969">H5087</f>
        <v>10_10,50_20,80_30</v>
      </c>
      <c r="I5175" s="7">
        <v>6</v>
      </c>
      <c r="J5175" s="7">
        <f t="shared" si="6969"/>
        <v>50</v>
      </c>
      <c r="K5175" s="7" t="s">
        <v>312</v>
      </c>
      <c r="L5175" s="7">
        <v>42</v>
      </c>
      <c r="M5175" s="7">
        <f>IF(INDEX([1]equip.xml!$B:$B,MATCH(D5175&amp;"",[1]equip.xml!$A:$A,0))=0,0,N5175)</f>
        <v>0</v>
      </c>
      <c r="N5175" s="7">
        <f t="shared" si="6872"/>
        <v>70</v>
      </c>
    </row>
    <row r="5176" spans="1:14">
      <c r="A5176" s="7">
        <f t="shared" si="6951"/>
        <v>30017</v>
      </c>
      <c r="B5176" s="7">
        <f t="shared" ref="B5176:C5176" si="6970">B5088</f>
        <v>40000</v>
      </c>
      <c r="C5176" s="7" t="str">
        <f t="shared" si="6970"/>
        <v>装备</v>
      </c>
      <c r="D5176" s="7">
        <v>40650070</v>
      </c>
      <c r="E5176" s="7"/>
      <c r="F5176" s="7">
        <v>1</v>
      </c>
      <c r="G5176" s="7">
        <f>3*INDEX([1]equip.xml!$I:$I,MATCH(D5176&amp;"",[1]equip.xml!$A:$A,0))</f>
        <v>195000</v>
      </c>
      <c r="H5176" s="7" t="str">
        <f t="shared" ref="H5176:J5176" si="6971">H5088</f>
        <v>10_10,50_20,80_30</v>
      </c>
      <c r="I5176" s="7">
        <v>6</v>
      </c>
      <c r="J5176" s="7">
        <f t="shared" si="6971"/>
        <v>50</v>
      </c>
      <c r="K5176" s="7" t="s">
        <v>312</v>
      </c>
      <c r="L5176" s="7">
        <v>42</v>
      </c>
      <c r="M5176" s="7">
        <f>IF(INDEX([1]equip.xml!$B:$B,MATCH(D5176&amp;"",[1]equip.xml!$A:$A,0))=0,0,N5176)</f>
        <v>70</v>
      </c>
      <c r="N5176" s="7">
        <f t="shared" si="6872"/>
        <v>70</v>
      </c>
    </row>
    <row r="5177" spans="1:14">
      <c r="A5177" s="7">
        <f t="shared" si="6951"/>
        <v>30017</v>
      </c>
      <c r="B5177" s="7">
        <f t="shared" ref="B5177:C5177" si="6972">B5089</f>
        <v>40000</v>
      </c>
      <c r="C5177" s="7" t="str">
        <f t="shared" si="6972"/>
        <v>装备</v>
      </c>
      <c r="D5177" s="7">
        <v>40650071</v>
      </c>
      <c r="E5177" s="7"/>
      <c r="F5177" s="7">
        <v>1</v>
      </c>
      <c r="G5177" s="7">
        <f>3*INDEX([1]equip.xml!$I:$I,MATCH(D5177&amp;"",[1]equip.xml!$A:$A,0))</f>
        <v>204000</v>
      </c>
      <c r="H5177" s="7" t="str">
        <f t="shared" ref="H5177:J5177" si="6973">H5089</f>
        <v>10_10,50_20,80_30</v>
      </c>
      <c r="I5177" s="7">
        <v>6</v>
      </c>
      <c r="J5177" s="7">
        <f t="shared" si="6973"/>
        <v>50</v>
      </c>
      <c r="K5177" s="7" t="s">
        <v>312</v>
      </c>
      <c r="L5177" s="7">
        <v>42</v>
      </c>
      <c r="M5177" s="7">
        <f>IF(INDEX([1]equip.xml!$B:$B,MATCH(D5177&amp;"",[1]equip.xml!$A:$A,0))=0,0,N5177)</f>
        <v>0</v>
      </c>
      <c r="N5177" s="7">
        <f t="shared" si="6872"/>
        <v>70</v>
      </c>
    </row>
    <row r="5178" spans="1:14">
      <c r="A5178" s="7">
        <f t="shared" si="6951"/>
        <v>30017</v>
      </c>
      <c r="B5178" s="7">
        <f t="shared" ref="B5178:C5178" si="6974">B5090</f>
        <v>40000</v>
      </c>
      <c r="C5178" s="7" t="str">
        <f t="shared" si="6974"/>
        <v>装备</v>
      </c>
      <c r="D5178" s="7">
        <v>50600015</v>
      </c>
      <c r="E5178" s="7"/>
      <c r="F5178" s="7">
        <v>1</v>
      </c>
      <c r="G5178" s="8">
        <f>3*INDEX([1]equip.xml!$I:$I,MATCH(D5178,[1]equip.xml!$A:$A,0))</f>
        <v>360000</v>
      </c>
      <c r="H5178" s="7" t="str">
        <f t="shared" ref="H5178:J5178" si="6975">H5090</f>
        <v>10_10,50_20,80_30</v>
      </c>
      <c r="I5178" s="7">
        <v>1</v>
      </c>
      <c r="J5178" s="7">
        <f t="shared" si="6975"/>
        <v>240</v>
      </c>
      <c r="K5178" s="7" t="s">
        <v>312</v>
      </c>
      <c r="L5178" s="7">
        <v>42</v>
      </c>
      <c r="M5178" s="7">
        <f>IF(INDEX([1]equip.xml!$B:$B,MATCH(D5178,[1]equip.xml!$A:$A,0))=0,0,N5178)</f>
        <v>200</v>
      </c>
      <c r="N5178" s="7">
        <f t="shared" si="6872"/>
        <v>200</v>
      </c>
    </row>
    <row r="5179" spans="1:14">
      <c r="A5179" s="7">
        <f t="shared" si="6951"/>
        <v>30017</v>
      </c>
      <c r="B5179" s="7">
        <f t="shared" ref="B5179:C5179" si="6976">B5091</f>
        <v>40000</v>
      </c>
      <c r="C5179" s="7" t="str">
        <f t="shared" si="6976"/>
        <v>装备</v>
      </c>
      <c r="D5179" s="7">
        <v>50600025</v>
      </c>
      <c r="E5179" s="7"/>
      <c r="F5179" s="7">
        <v>1</v>
      </c>
      <c r="G5179" s="8">
        <f>3*INDEX([1]equip.xml!$I:$I,MATCH(D5179,[1]equip.xml!$A:$A,0))</f>
        <v>360000</v>
      </c>
      <c r="H5179" s="7" t="str">
        <f t="shared" ref="H5179:J5179" si="6977">H5091</f>
        <v>10_10,50_20,80_30</v>
      </c>
      <c r="I5179" s="7">
        <v>1</v>
      </c>
      <c r="J5179" s="7">
        <f t="shared" si="6977"/>
        <v>240</v>
      </c>
      <c r="K5179" s="7" t="s">
        <v>312</v>
      </c>
      <c r="L5179" s="7">
        <v>42</v>
      </c>
      <c r="M5179" s="7">
        <f>IF(INDEX([1]equip.xml!$B:$B,MATCH(D5179,[1]equip.xml!$A:$A,0))=0,0,N5179)</f>
        <v>200</v>
      </c>
      <c r="N5179" s="7">
        <f t="shared" si="6872"/>
        <v>200</v>
      </c>
    </row>
    <row r="5180" spans="1:14">
      <c r="A5180" s="7">
        <f t="shared" si="6951"/>
        <v>30017</v>
      </c>
      <c r="B5180" s="7">
        <f t="shared" ref="B5180:C5180" si="6978">B5092</f>
        <v>40000</v>
      </c>
      <c r="C5180" s="7" t="str">
        <f t="shared" si="6978"/>
        <v>装备</v>
      </c>
      <c r="D5180" s="7">
        <v>50600035</v>
      </c>
      <c r="E5180" s="7"/>
      <c r="F5180" s="7">
        <v>1</v>
      </c>
      <c r="G5180" s="8">
        <f>3*INDEX([1]equip.xml!$I:$I,MATCH(D5180,[1]equip.xml!$A:$A,0))</f>
        <v>360000</v>
      </c>
      <c r="H5180" s="7" t="str">
        <f t="shared" ref="H5180:J5180" si="6979">H5092</f>
        <v>10_10,50_20,80_30</v>
      </c>
      <c r="I5180" s="7">
        <v>1</v>
      </c>
      <c r="J5180" s="7">
        <f t="shared" si="6979"/>
        <v>240</v>
      </c>
      <c r="K5180" s="7" t="s">
        <v>312</v>
      </c>
      <c r="L5180" s="7">
        <v>42</v>
      </c>
      <c r="M5180" s="7">
        <f>IF(INDEX([1]equip.xml!$B:$B,MATCH(D5180,[1]equip.xml!$A:$A,0))=0,0,N5180)</f>
        <v>200</v>
      </c>
      <c r="N5180" s="7">
        <f t="shared" si="6872"/>
        <v>200</v>
      </c>
    </row>
    <row r="5181" spans="1:14">
      <c r="A5181" s="7">
        <f t="shared" si="6951"/>
        <v>30017</v>
      </c>
      <c r="B5181" s="7">
        <f t="shared" ref="B5181:C5181" si="6980">B5093</f>
        <v>40000</v>
      </c>
      <c r="C5181" s="7" t="str">
        <f t="shared" si="6980"/>
        <v>装备</v>
      </c>
      <c r="D5181" s="7">
        <v>50600085</v>
      </c>
      <c r="E5181" s="7"/>
      <c r="F5181" s="7">
        <v>1</v>
      </c>
      <c r="G5181" s="8">
        <f>3*INDEX([1]equip.xml!$I:$I,MATCH(D5181,[1]equip.xml!$A:$A,0))</f>
        <v>360000</v>
      </c>
      <c r="H5181" s="7" t="str">
        <f t="shared" ref="H5181:J5181" si="6981">H5093</f>
        <v>10_10,50_20,80_30</v>
      </c>
      <c r="I5181" s="7">
        <v>1</v>
      </c>
      <c r="J5181" s="7">
        <f t="shared" si="6981"/>
        <v>240</v>
      </c>
      <c r="K5181" s="7" t="s">
        <v>312</v>
      </c>
      <c r="L5181" s="7">
        <v>42</v>
      </c>
      <c r="M5181" s="7">
        <f>IF(INDEX([1]equip.xml!$B:$B,MATCH(D5181,[1]equip.xml!$A:$A,0))=0,0,N5181)</f>
        <v>200</v>
      </c>
      <c r="N5181" s="7">
        <f t="shared" si="6872"/>
        <v>200</v>
      </c>
    </row>
    <row r="5182" spans="1:14">
      <c r="A5182" s="7">
        <f t="shared" si="6951"/>
        <v>30017</v>
      </c>
      <c r="B5182" s="7">
        <f t="shared" ref="B5182:C5182" si="6982">B5094</f>
        <v>40000</v>
      </c>
      <c r="C5182" s="7" t="str">
        <f t="shared" si="6982"/>
        <v>装备</v>
      </c>
      <c r="D5182" s="7">
        <v>50600095</v>
      </c>
      <c r="E5182" s="7"/>
      <c r="F5182" s="7">
        <v>1</v>
      </c>
      <c r="G5182" s="8">
        <f>3*INDEX([1]equip.xml!$I:$I,MATCH(D5182,[1]equip.xml!$A:$A,0))</f>
        <v>360000</v>
      </c>
      <c r="H5182" s="7" t="str">
        <f t="shared" ref="H5182:J5182" si="6983">H5094</f>
        <v>10_10,50_20,80_30</v>
      </c>
      <c r="I5182" s="7">
        <v>1</v>
      </c>
      <c r="J5182" s="7">
        <f t="shared" si="6983"/>
        <v>240</v>
      </c>
      <c r="K5182" s="7" t="s">
        <v>312</v>
      </c>
      <c r="L5182" s="7">
        <v>42</v>
      </c>
      <c r="M5182" s="7">
        <f>IF(INDEX([1]equip.xml!$B:$B,MATCH(D5182,[1]equip.xml!$A:$A,0))=0,0,N5182)</f>
        <v>200</v>
      </c>
      <c r="N5182" s="7">
        <f t="shared" si="6872"/>
        <v>200</v>
      </c>
    </row>
    <row r="5183" spans="1:14">
      <c r="A5183" s="7">
        <f t="shared" si="6951"/>
        <v>30017</v>
      </c>
      <c r="B5183" s="7">
        <f t="shared" ref="B5183:C5183" si="6984">B5095</f>
        <v>40000</v>
      </c>
      <c r="C5183" s="7" t="str">
        <f t="shared" si="6984"/>
        <v>装备</v>
      </c>
      <c r="D5183" s="7">
        <v>50600105</v>
      </c>
      <c r="E5183" s="7"/>
      <c r="F5183" s="7">
        <v>1</v>
      </c>
      <c r="G5183" s="8">
        <f>3*INDEX([1]equip.xml!$I:$I,MATCH(D5183,[1]equip.xml!$A:$A,0))</f>
        <v>360000</v>
      </c>
      <c r="H5183" s="7" t="str">
        <f t="shared" ref="H5183:J5183" si="6985">H5095</f>
        <v>10_10,50_20,80_30</v>
      </c>
      <c r="I5183" s="7">
        <v>1</v>
      </c>
      <c r="J5183" s="7">
        <f t="shared" si="6985"/>
        <v>240</v>
      </c>
      <c r="K5183" s="7" t="s">
        <v>312</v>
      </c>
      <c r="L5183" s="7">
        <v>42</v>
      </c>
      <c r="M5183" s="7">
        <f>IF(INDEX([1]equip.xml!$B:$B,MATCH(D5183,[1]equip.xml!$A:$A,0))=0,0,N5183)</f>
        <v>200</v>
      </c>
      <c r="N5183" s="7">
        <f t="shared" si="6872"/>
        <v>200</v>
      </c>
    </row>
    <row r="5184" spans="1:14">
      <c r="A5184" s="7">
        <f t="shared" si="6951"/>
        <v>30017</v>
      </c>
      <c r="B5184" s="7">
        <f t="shared" ref="B5184:C5184" si="6986">B5096</f>
        <v>40000</v>
      </c>
      <c r="C5184" s="7" t="str">
        <f t="shared" si="6986"/>
        <v>装备</v>
      </c>
      <c r="D5184" s="7">
        <v>50601055</v>
      </c>
      <c r="E5184" s="7"/>
      <c r="F5184" s="7">
        <v>1</v>
      </c>
      <c r="G5184" s="8">
        <f>3*INDEX([1]equip.xml!$I:$I,MATCH(D5184,[1]equip.xml!$A:$A,0))</f>
        <v>360000</v>
      </c>
      <c r="H5184" s="7" t="str">
        <f t="shared" ref="H5184:J5184" si="6987">H5096</f>
        <v>10_10,50_20,80_30</v>
      </c>
      <c r="I5184" s="7">
        <v>1</v>
      </c>
      <c r="J5184" s="7">
        <f t="shared" si="6987"/>
        <v>240</v>
      </c>
      <c r="K5184" s="7" t="s">
        <v>312</v>
      </c>
      <c r="L5184" s="7">
        <v>42</v>
      </c>
      <c r="M5184" s="7">
        <f>IF(INDEX([1]equip.xml!$B:$B,MATCH(D5184,[1]equip.xml!$A:$A,0))=0,0,N5184)</f>
        <v>200</v>
      </c>
      <c r="N5184" s="7">
        <f t="shared" si="6872"/>
        <v>200</v>
      </c>
    </row>
    <row r="5185" spans="1:14">
      <c r="A5185" s="7">
        <f t="shared" si="6951"/>
        <v>30017</v>
      </c>
      <c r="B5185" s="7">
        <f t="shared" ref="B5185:C5185" si="6988">B5097</f>
        <v>40000</v>
      </c>
      <c r="C5185" s="7" t="str">
        <f t="shared" si="6988"/>
        <v>装备</v>
      </c>
      <c r="D5185" s="7">
        <v>50601056</v>
      </c>
      <c r="E5185" s="7"/>
      <c r="F5185" s="7">
        <v>1</v>
      </c>
      <c r="G5185" s="8">
        <f>3*INDEX([1]equip.xml!$I:$I,MATCH(D5185,[1]equip.xml!$A:$A,0))</f>
        <v>378000</v>
      </c>
      <c r="H5185" s="7" t="str">
        <f t="shared" ref="H5185:J5185" si="6989">H5097</f>
        <v>10_10,50_20,80_30</v>
      </c>
      <c r="I5185" s="7">
        <v>1</v>
      </c>
      <c r="J5185" s="7">
        <f t="shared" si="6989"/>
        <v>240</v>
      </c>
      <c r="K5185" s="7" t="s">
        <v>312</v>
      </c>
      <c r="L5185" s="7">
        <v>42</v>
      </c>
      <c r="M5185" s="7">
        <f>IF(INDEX([1]equip.xml!$B:$B,MATCH(D5185,[1]equip.xml!$A:$A,0))=0,0,N5185)</f>
        <v>200</v>
      </c>
      <c r="N5185" s="7">
        <f t="shared" si="6872"/>
        <v>200</v>
      </c>
    </row>
    <row r="5186" spans="1:14">
      <c r="A5186" s="7">
        <f t="shared" si="6951"/>
        <v>30017</v>
      </c>
      <c r="B5186" s="7">
        <f t="shared" ref="B5186:C5186" si="6990">B5098</f>
        <v>40000</v>
      </c>
      <c r="C5186" s="7" t="str">
        <f t="shared" si="6990"/>
        <v>装备</v>
      </c>
      <c r="D5186" s="7">
        <v>50601065</v>
      </c>
      <c r="E5186" s="7"/>
      <c r="F5186" s="7">
        <v>1</v>
      </c>
      <c r="G5186" s="8">
        <f>3*INDEX([1]equip.xml!$I:$I,MATCH(D5186,[1]equip.xml!$A:$A,0))</f>
        <v>360000</v>
      </c>
      <c r="H5186" s="7" t="str">
        <f t="shared" ref="H5186:J5186" si="6991">H5098</f>
        <v>10_10,50_20,80_30</v>
      </c>
      <c r="I5186" s="7">
        <v>1</v>
      </c>
      <c r="J5186" s="7">
        <f t="shared" si="6991"/>
        <v>240</v>
      </c>
      <c r="K5186" s="7" t="s">
        <v>312</v>
      </c>
      <c r="L5186" s="7">
        <v>42</v>
      </c>
      <c r="M5186" s="7">
        <f>IF(INDEX([1]equip.xml!$B:$B,MATCH(D5186,[1]equip.xml!$A:$A,0))=0,0,N5186)</f>
        <v>200</v>
      </c>
      <c r="N5186" s="7">
        <f t="shared" si="6872"/>
        <v>200</v>
      </c>
    </row>
    <row r="5187" spans="1:14">
      <c r="A5187" s="7">
        <f t="shared" si="6951"/>
        <v>30017</v>
      </c>
      <c r="B5187" s="7">
        <f t="shared" ref="B5187:C5187" si="6992">B5099</f>
        <v>40000</v>
      </c>
      <c r="C5187" s="7" t="str">
        <f t="shared" si="6992"/>
        <v>装备</v>
      </c>
      <c r="D5187" s="7">
        <v>50601066</v>
      </c>
      <c r="E5187" s="7"/>
      <c r="F5187" s="7">
        <v>1</v>
      </c>
      <c r="G5187" s="8">
        <f>3*INDEX([1]equip.xml!$I:$I,MATCH(D5187,[1]equip.xml!$A:$A,0))</f>
        <v>378000</v>
      </c>
      <c r="H5187" s="7" t="str">
        <f t="shared" ref="H5187:J5187" si="6993">H5099</f>
        <v>10_10,50_20,80_30</v>
      </c>
      <c r="I5187" s="7">
        <v>1</v>
      </c>
      <c r="J5187" s="7">
        <f t="shared" si="6993"/>
        <v>240</v>
      </c>
      <c r="K5187" s="7" t="s">
        <v>312</v>
      </c>
      <c r="L5187" s="7">
        <v>42</v>
      </c>
      <c r="M5187" s="7">
        <f>IF(INDEX([1]equip.xml!$B:$B,MATCH(D5187,[1]equip.xml!$A:$A,0))=0,0,N5187)</f>
        <v>0</v>
      </c>
      <c r="N5187" s="7">
        <f t="shared" si="6872"/>
        <v>200</v>
      </c>
    </row>
    <row r="5188" spans="1:14">
      <c r="A5188" s="7">
        <f t="shared" si="6951"/>
        <v>30017</v>
      </c>
      <c r="B5188" s="7">
        <f t="shared" ref="B5188:C5188" si="6994">B5100</f>
        <v>40000</v>
      </c>
      <c r="C5188" s="7" t="str">
        <f t="shared" si="6994"/>
        <v>装备</v>
      </c>
      <c r="D5188" s="7">
        <v>50602055</v>
      </c>
      <c r="E5188" s="7"/>
      <c r="F5188" s="7">
        <v>1</v>
      </c>
      <c r="G5188" s="8">
        <f>3*INDEX([1]equip.xml!$I:$I,MATCH(D5188,[1]equip.xml!$A:$A,0))</f>
        <v>360000</v>
      </c>
      <c r="H5188" s="7" t="str">
        <f t="shared" ref="H5188:J5188" si="6995">H5100</f>
        <v>10_10,50_20,80_30</v>
      </c>
      <c r="I5188" s="7">
        <v>1</v>
      </c>
      <c r="J5188" s="7">
        <f t="shared" si="6995"/>
        <v>240</v>
      </c>
      <c r="K5188" s="7" t="s">
        <v>312</v>
      </c>
      <c r="L5188" s="7">
        <v>42</v>
      </c>
      <c r="M5188" s="7">
        <f>IF(INDEX([1]equip.xml!$B:$B,MATCH(D5188,[1]equip.xml!$A:$A,0))=0,0,N5188)</f>
        <v>200</v>
      </c>
      <c r="N5188" s="7">
        <f t="shared" si="6872"/>
        <v>200</v>
      </c>
    </row>
    <row r="5189" spans="1:14">
      <c r="A5189" s="7">
        <f t="shared" si="6951"/>
        <v>30017</v>
      </c>
      <c r="B5189" s="7">
        <f t="shared" ref="B5189:C5189" si="6996">B5101</f>
        <v>40000</v>
      </c>
      <c r="C5189" s="7" t="str">
        <f t="shared" si="6996"/>
        <v>装备</v>
      </c>
      <c r="D5189" s="7">
        <v>50602056</v>
      </c>
      <c r="E5189" s="7"/>
      <c r="F5189" s="7">
        <v>1</v>
      </c>
      <c r="G5189" s="8">
        <f>3*INDEX([1]equip.xml!$I:$I,MATCH(D5189,[1]equip.xml!$A:$A,0))</f>
        <v>378000</v>
      </c>
      <c r="H5189" s="7" t="str">
        <f t="shared" ref="H5189:J5189" si="6997">H5101</f>
        <v>10_10,50_20,80_30</v>
      </c>
      <c r="I5189" s="7">
        <v>1</v>
      </c>
      <c r="J5189" s="7">
        <f t="shared" si="6997"/>
        <v>240</v>
      </c>
      <c r="K5189" s="7" t="s">
        <v>312</v>
      </c>
      <c r="L5189" s="7">
        <v>42</v>
      </c>
      <c r="M5189" s="7">
        <f>IF(INDEX([1]equip.xml!$B:$B,MATCH(D5189,[1]equip.xml!$A:$A,0))=0,0,N5189)</f>
        <v>0</v>
      </c>
      <c r="N5189" s="7">
        <f t="shared" si="6872"/>
        <v>200</v>
      </c>
    </row>
    <row r="5190" spans="1:14">
      <c r="A5190" s="7">
        <f t="shared" si="6951"/>
        <v>30017</v>
      </c>
      <c r="B5190" s="7">
        <f t="shared" ref="B5190:C5190" si="6998">B5102</f>
        <v>40000</v>
      </c>
      <c r="C5190" s="7" t="str">
        <f t="shared" si="6998"/>
        <v>装备</v>
      </c>
      <c r="D5190" s="7">
        <v>50602065</v>
      </c>
      <c r="E5190" s="7"/>
      <c r="F5190" s="7">
        <v>1</v>
      </c>
      <c r="G5190" s="8">
        <f>3*INDEX([1]equip.xml!$I:$I,MATCH(D5190,[1]equip.xml!$A:$A,0))</f>
        <v>360000</v>
      </c>
      <c r="H5190" s="7" t="str">
        <f t="shared" ref="H5190:J5190" si="6999">H5102</f>
        <v>10_10,50_20,80_30</v>
      </c>
      <c r="I5190" s="7">
        <v>1</v>
      </c>
      <c r="J5190" s="7">
        <f t="shared" si="6999"/>
        <v>240</v>
      </c>
      <c r="K5190" s="7" t="s">
        <v>312</v>
      </c>
      <c r="L5190" s="7">
        <v>42</v>
      </c>
      <c r="M5190" s="7">
        <f>IF(INDEX([1]equip.xml!$B:$B,MATCH(D5190,[1]equip.xml!$A:$A,0))=0,0,N5190)</f>
        <v>200</v>
      </c>
      <c r="N5190" s="7">
        <f t="shared" si="6872"/>
        <v>200</v>
      </c>
    </row>
    <row r="5191" spans="1:14">
      <c r="A5191" s="7">
        <f t="shared" si="6951"/>
        <v>30017</v>
      </c>
      <c r="B5191" s="7">
        <f t="shared" ref="B5191:C5191" si="7000">B5103</f>
        <v>40000</v>
      </c>
      <c r="C5191" s="7" t="str">
        <f t="shared" si="7000"/>
        <v>装备</v>
      </c>
      <c r="D5191" s="7">
        <v>50602066</v>
      </c>
      <c r="E5191" s="7"/>
      <c r="F5191" s="7">
        <v>1</v>
      </c>
      <c r="G5191" s="8">
        <f>3*INDEX([1]equip.xml!$I:$I,MATCH(D5191,[1]equip.xml!$A:$A,0))</f>
        <v>378000</v>
      </c>
      <c r="H5191" s="7" t="str">
        <f t="shared" ref="H5191:J5191" si="7001">H5103</f>
        <v>10_10,50_20,80_30</v>
      </c>
      <c r="I5191" s="7">
        <v>1</v>
      </c>
      <c r="J5191" s="7">
        <f t="shared" si="7001"/>
        <v>240</v>
      </c>
      <c r="K5191" s="7" t="s">
        <v>312</v>
      </c>
      <c r="L5191" s="7">
        <v>42</v>
      </c>
      <c r="M5191" s="7">
        <f>IF(INDEX([1]equip.xml!$B:$B,MATCH(D5191,[1]equip.xml!$A:$A,0))=0,0,N5191)</f>
        <v>0</v>
      </c>
      <c r="N5191" s="7">
        <f t="shared" ref="N5191:N5254" si="7002">N5103</f>
        <v>200</v>
      </c>
    </row>
    <row r="5192" spans="1:14">
      <c r="A5192" s="7">
        <f t="shared" si="6951"/>
        <v>30017</v>
      </c>
      <c r="B5192" s="7">
        <f t="shared" ref="B5192:C5192" si="7003">B5104</f>
        <v>40000</v>
      </c>
      <c r="C5192" s="7" t="str">
        <f t="shared" si="7003"/>
        <v>装备</v>
      </c>
      <c r="D5192" s="7">
        <v>50603055</v>
      </c>
      <c r="E5192" s="7"/>
      <c r="F5192" s="7">
        <v>1</v>
      </c>
      <c r="G5192" s="8">
        <f>3*INDEX([1]equip.xml!$I:$I,MATCH(D5192,[1]equip.xml!$A:$A,0))</f>
        <v>360000</v>
      </c>
      <c r="H5192" s="7" t="str">
        <f t="shared" ref="H5192:J5192" si="7004">H5104</f>
        <v>10_10,50_20,80_30</v>
      </c>
      <c r="I5192" s="7">
        <v>1</v>
      </c>
      <c r="J5192" s="7">
        <f t="shared" si="7004"/>
        <v>240</v>
      </c>
      <c r="K5192" s="7" t="s">
        <v>312</v>
      </c>
      <c r="L5192" s="7">
        <v>42</v>
      </c>
      <c r="M5192" s="7">
        <f>IF(INDEX([1]equip.xml!$B:$B,MATCH(D5192,[1]equip.xml!$A:$A,0))=0,0,N5192)</f>
        <v>200</v>
      </c>
      <c r="N5192" s="7">
        <f t="shared" si="7002"/>
        <v>200</v>
      </c>
    </row>
    <row r="5193" spans="1:14">
      <c r="A5193" s="7">
        <f t="shared" si="6951"/>
        <v>30017</v>
      </c>
      <c r="B5193" s="7">
        <f t="shared" ref="B5193:C5193" si="7005">B5105</f>
        <v>40000</v>
      </c>
      <c r="C5193" s="7" t="str">
        <f t="shared" si="7005"/>
        <v>装备</v>
      </c>
      <c r="D5193" s="7">
        <v>50603056</v>
      </c>
      <c r="E5193" s="7"/>
      <c r="F5193" s="7">
        <v>1</v>
      </c>
      <c r="G5193" s="8">
        <f>3*INDEX([1]equip.xml!$I:$I,MATCH(D5193,[1]equip.xml!$A:$A,0))</f>
        <v>378000</v>
      </c>
      <c r="H5193" s="7" t="str">
        <f t="shared" ref="H5193:J5193" si="7006">H5105</f>
        <v>10_10,50_20,80_30</v>
      </c>
      <c r="I5193" s="7">
        <v>1</v>
      </c>
      <c r="J5193" s="7">
        <f t="shared" si="7006"/>
        <v>240</v>
      </c>
      <c r="K5193" s="7" t="s">
        <v>312</v>
      </c>
      <c r="L5193" s="7">
        <v>42</v>
      </c>
      <c r="M5193" s="7">
        <f>IF(INDEX([1]equip.xml!$B:$B,MATCH(D5193,[1]equip.xml!$A:$A,0))=0,0,N5193)</f>
        <v>0</v>
      </c>
      <c r="N5193" s="7">
        <f t="shared" si="7002"/>
        <v>200</v>
      </c>
    </row>
    <row r="5194" spans="1:14">
      <c r="A5194" s="7">
        <f t="shared" si="6951"/>
        <v>30017</v>
      </c>
      <c r="B5194" s="7">
        <f t="shared" ref="B5194:C5194" si="7007">B5106</f>
        <v>40000</v>
      </c>
      <c r="C5194" s="7" t="str">
        <f t="shared" si="7007"/>
        <v>装备</v>
      </c>
      <c r="D5194" s="7">
        <v>50603065</v>
      </c>
      <c r="E5194" s="7"/>
      <c r="F5194" s="7">
        <v>1</v>
      </c>
      <c r="G5194" s="8">
        <f>3*INDEX([1]equip.xml!$I:$I,MATCH(D5194,[1]equip.xml!$A:$A,0))</f>
        <v>360000</v>
      </c>
      <c r="H5194" s="7" t="str">
        <f t="shared" ref="H5194:J5194" si="7008">H5106</f>
        <v>10_10,50_20,80_30</v>
      </c>
      <c r="I5194" s="7">
        <v>1</v>
      </c>
      <c r="J5194" s="7">
        <f t="shared" si="7008"/>
        <v>240</v>
      </c>
      <c r="K5194" s="7" t="s">
        <v>312</v>
      </c>
      <c r="L5194" s="7">
        <v>42</v>
      </c>
      <c r="M5194" s="7">
        <f>IF(INDEX([1]equip.xml!$B:$B,MATCH(D5194,[1]equip.xml!$A:$A,0))=0,0,N5194)</f>
        <v>200</v>
      </c>
      <c r="N5194" s="7">
        <f t="shared" si="7002"/>
        <v>200</v>
      </c>
    </row>
    <row r="5195" spans="1:14">
      <c r="A5195" s="7">
        <f t="shared" si="6951"/>
        <v>30017</v>
      </c>
      <c r="B5195" s="7">
        <f t="shared" ref="B5195:C5195" si="7009">B5107</f>
        <v>40000</v>
      </c>
      <c r="C5195" s="7" t="str">
        <f t="shared" si="7009"/>
        <v>装备</v>
      </c>
      <c r="D5195" s="7">
        <v>50603066</v>
      </c>
      <c r="E5195" s="7"/>
      <c r="F5195" s="7">
        <v>1</v>
      </c>
      <c r="G5195" s="8">
        <f>3*INDEX([1]equip.xml!$I:$I,MATCH(D5195,[1]equip.xml!$A:$A,0))</f>
        <v>378000</v>
      </c>
      <c r="H5195" s="7" t="str">
        <f t="shared" ref="H5195:J5195" si="7010">H5107</f>
        <v>10_10,50_20,80_30</v>
      </c>
      <c r="I5195" s="7">
        <v>1</v>
      </c>
      <c r="J5195" s="7">
        <f t="shared" si="7010"/>
        <v>240</v>
      </c>
      <c r="K5195" s="7" t="s">
        <v>312</v>
      </c>
      <c r="L5195" s="7">
        <v>42</v>
      </c>
      <c r="M5195" s="7">
        <f>IF(INDEX([1]equip.xml!$B:$B,MATCH(D5195,[1]equip.xml!$A:$A,0))=0,0,N5195)</f>
        <v>0</v>
      </c>
      <c r="N5195" s="7">
        <f t="shared" si="7002"/>
        <v>200</v>
      </c>
    </row>
    <row r="5196" spans="1:14">
      <c r="A5196" s="7">
        <f t="shared" si="6951"/>
        <v>30017</v>
      </c>
      <c r="B5196" s="7">
        <f t="shared" ref="B5196:C5196" si="7011">B5108</f>
        <v>40000</v>
      </c>
      <c r="C5196" s="7" t="str">
        <f t="shared" si="7011"/>
        <v>装备</v>
      </c>
      <c r="D5196" s="7">
        <v>50600045</v>
      </c>
      <c r="E5196" s="7"/>
      <c r="F5196" s="7">
        <v>1</v>
      </c>
      <c r="G5196" s="8">
        <f>3*INDEX([1]equip.xml!$I:$I,MATCH(D5196,[1]equip.xml!$A:$A,0))</f>
        <v>360000</v>
      </c>
      <c r="H5196" s="7" t="str">
        <f t="shared" ref="H5196:J5196" si="7012">H5108</f>
        <v>10_10,50_20,80_30</v>
      </c>
      <c r="I5196" s="7">
        <v>1</v>
      </c>
      <c r="J5196" s="7">
        <f t="shared" si="7012"/>
        <v>240</v>
      </c>
      <c r="K5196" s="7" t="s">
        <v>312</v>
      </c>
      <c r="L5196" s="7">
        <v>42</v>
      </c>
      <c r="M5196" s="7">
        <f>IF(INDEX([1]equip.xml!$B:$B,MATCH(D5196,[1]equip.xml!$A:$A,0))=0,0,N5196)</f>
        <v>200</v>
      </c>
      <c r="N5196" s="7">
        <f t="shared" si="7002"/>
        <v>200</v>
      </c>
    </row>
    <row r="5197" spans="1:14">
      <c r="A5197" s="7">
        <f t="shared" si="6951"/>
        <v>30017</v>
      </c>
      <c r="B5197" s="7">
        <f t="shared" ref="B5197:C5197" si="7013">B5109</f>
        <v>40000</v>
      </c>
      <c r="C5197" s="7" t="str">
        <f t="shared" si="7013"/>
        <v>装备</v>
      </c>
      <c r="D5197" s="7">
        <v>50600046</v>
      </c>
      <c r="E5197" s="7"/>
      <c r="F5197" s="7">
        <v>1</v>
      </c>
      <c r="G5197" s="8">
        <f>3*INDEX([1]equip.xml!$I:$I,MATCH(D5197,[1]equip.xml!$A:$A,0))</f>
        <v>378000</v>
      </c>
      <c r="H5197" s="7" t="str">
        <f t="shared" ref="H5197:J5197" si="7014">H5109</f>
        <v>10_10,50_20,80_30</v>
      </c>
      <c r="I5197" s="7">
        <v>1</v>
      </c>
      <c r="J5197" s="7">
        <f t="shared" si="7014"/>
        <v>240</v>
      </c>
      <c r="K5197" s="7" t="s">
        <v>312</v>
      </c>
      <c r="L5197" s="7">
        <v>42</v>
      </c>
      <c r="M5197" s="7">
        <f>IF(INDEX([1]equip.xml!$B:$B,MATCH(D5197,[1]equip.xml!$A:$A,0))=0,0,N5197)</f>
        <v>0</v>
      </c>
      <c r="N5197" s="7">
        <f t="shared" si="7002"/>
        <v>200</v>
      </c>
    </row>
    <row r="5198" spans="1:14">
      <c r="A5198" s="7">
        <f t="shared" si="6951"/>
        <v>30017</v>
      </c>
      <c r="B5198" s="7">
        <f t="shared" ref="B5198:C5198" si="7015">B5110</f>
        <v>40000</v>
      </c>
      <c r="C5198" s="7" t="str">
        <f t="shared" si="7015"/>
        <v>装备</v>
      </c>
      <c r="D5198" s="7">
        <v>50600075</v>
      </c>
      <c r="E5198" s="7"/>
      <c r="F5198" s="7">
        <v>1</v>
      </c>
      <c r="G5198" s="8">
        <f>3*INDEX([1]equip.xml!$I:$I,MATCH(D5198,[1]equip.xml!$A:$A,0))</f>
        <v>360000</v>
      </c>
      <c r="H5198" s="7" t="str">
        <f t="shared" ref="H5198:J5198" si="7016">H5110</f>
        <v>10_10,50_20,80_30</v>
      </c>
      <c r="I5198" s="7">
        <v>1</v>
      </c>
      <c r="J5198" s="7">
        <f t="shared" si="7016"/>
        <v>240</v>
      </c>
      <c r="K5198" s="7" t="s">
        <v>312</v>
      </c>
      <c r="L5198" s="7">
        <v>42</v>
      </c>
      <c r="M5198" s="7">
        <f>IF(INDEX([1]equip.xml!$B:$B,MATCH(D5198,[1]equip.xml!$A:$A,0))=0,0,N5198)</f>
        <v>200</v>
      </c>
      <c r="N5198" s="7">
        <f t="shared" si="7002"/>
        <v>200</v>
      </c>
    </row>
    <row r="5199" spans="1:14">
      <c r="A5199" s="7">
        <f t="shared" si="6951"/>
        <v>30017</v>
      </c>
      <c r="B5199" s="7">
        <f t="shared" ref="B5199:C5199" si="7017">B5111</f>
        <v>40000</v>
      </c>
      <c r="C5199" s="7" t="str">
        <f t="shared" si="7017"/>
        <v>装备</v>
      </c>
      <c r="D5199" s="7">
        <v>50600076</v>
      </c>
      <c r="E5199" s="7"/>
      <c r="F5199" s="7">
        <v>1</v>
      </c>
      <c r="G5199" s="8">
        <f>3*INDEX([1]equip.xml!$I:$I,MATCH(D5199,[1]equip.xml!$A:$A,0))</f>
        <v>378000</v>
      </c>
      <c r="H5199" s="7" t="str">
        <f t="shared" ref="H5199:J5199" si="7018">H5111</f>
        <v>10_10,50_20,80_30</v>
      </c>
      <c r="I5199" s="7">
        <v>1</v>
      </c>
      <c r="J5199" s="7">
        <f t="shared" si="7018"/>
        <v>240</v>
      </c>
      <c r="K5199" s="7" t="s">
        <v>312</v>
      </c>
      <c r="L5199" s="7">
        <v>42</v>
      </c>
      <c r="M5199" s="7">
        <f>IF(INDEX([1]equip.xml!$B:$B,MATCH(D5199,[1]equip.xml!$A:$A,0))=0,0,N5199)</f>
        <v>200</v>
      </c>
      <c r="N5199" s="7">
        <f t="shared" si="7002"/>
        <v>200</v>
      </c>
    </row>
    <row r="5200" spans="1:14">
      <c r="A5200" s="7">
        <f t="shared" si="6951"/>
        <v>30017</v>
      </c>
      <c r="B5200" s="7">
        <f t="shared" ref="B5200:C5200" si="7019">B5112</f>
        <v>40000</v>
      </c>
      <c r="C5200" s="7" t="str">
        <f t="shared" si="7019"/>
        <v>装备</v>
      </c>
      <c r="D5200" s="7">
        <v>50650015</v>
      </c>
      <c r="E5200" s="7"/>
      <c r="F5200" s="7">
        <v>1</v>
      </c>
      <c r="G5200" s="8">
        <f>3*INDEX([1]equip.xml!$I:$I,MATCH(D5200,[1]equip.xml!$A:$A,0))</f>
        <v>390000</v>
      </c>
      <c r="H5200" s="7" t="str">
        <f t="shared" ref="H5200:J5200" si="7020">H5112</f>
        <v>10_10,50_20,80_30</v>
      </c>
      <c r="I5200" s="7">
        <v>1</v>
      </c>
      <c r="J5200" s="7">
        <f t="shared" si="7020"/>
        <v>240</v>
      </c>
      <c r="K5200" s="7" t="s">
        <v>312</v>
      </c>
      <c r="L5200" s="7">
        <v>42</v>
      </c>
      <c r="M5200" s="7">
        <f>IF(INDEX([1]equip.xml!$B:$B,MATCH(D5200,[1]equip.xml!$A:$A,0))=0,0,N5200)</f>
        <v>140</v>
      </c>
      <c r="N5200" s="7">
        <f t="shared" si="7002"/>
        <v>140</v>
      </c>
    </row>
    <row r="5201" spans="1:14">
      <c r="A5201" s="7">
        <f t="shared" si="6951"/>
        <v>30017</v>
      </c>
      <c r="B5201" s="7">
        <f t="shared" ref="B5201:C5201" si="7021">B5113</f>
        <v>40000</v>
      </c>
      <c r="C5201" s="7" t="str">
        <f t="shared" si="7021"/>
        <v>装备</v>
      </c>
      <c r="D5201" s="7">
        <v>50650025</v>
      </c>
      <c r="E5201" s="7"/>
      <c r="F5201" s="7">
        <v>1</v>
      </c>
      <c r="G5201" s="8">
        <f>3*INDEX([1]equip.xml!$I:$I,MATCH(D5201,[1]equip.xml!$A:$A,0))</f>
        <v>390000</v>
      </c>
      <c r="H5201" s="7" t="str">
        <f t="shared" ref="H5201:J5201" si="7022">H5113</f>
        <v>10_10,50_20,80_30</v>
      </c>
      <c r="I5201" s="7">
        <v>1</v>
      </c>
      <c r="J5201" s="7">
        <f t="shared" si="7022"/>
        <v>240</v>
      </c>
      <c r="K5201" s="7" t="s">
        <v>312</v>
      </c>
      <c r="L5201" s="7">
        <v>42</v>
      </c>
      <c r="M5201" s="7">
        <f>IF(INDEX([1]equip.xml!$B:$B,MATCH(D5201,[1]equip.xml!$A:$A,0))=0,0,N5201)</f>
        <v>140</v>
      </c>
      <c r="N5201" s="7">
        <f t="shared" si="7002"/>
        <v>140</v>
      </c>
    </row>
    <row r="5202" spans="1:14">
      <c r="A5202" s="7">
        <f t="shared" si="6951"/>
        <v>30017</v>
      </c>
      <c r="B5202" s="7">
        <f t="shared" ref="B5202:C5202" si="7023">B5114</f>
        <v>40000</v>
      </c>
      <c r="C5202" s="7" t="str">
        <f t="shared" si="7023"/>
        <v>装备</v>
      </c>
      <c r="D5202" s="7">
        <v>50650035</v>
      </c>
      <c r="E5202" s="7"/>
      <c r="F5202" s="7">
        <v>1</v>
      </c>
      <c r="G5202" s="8">
        <f>3*INDEX([1]equip.xml!$I:$I,MATCH(D5202,[1]equip.xml!$A:$A,0))</f>
        <v>390000</v>
      </c>
      <c r="H5202" s="7" t="str">
        <f t="shared" ref="H5202:J5202" si="7024">H5114</f>
        <v>10_10,50_20,80_30</v>
      </c>
      <c r="I5202" s="7">
        <v>1</v>
      </c>
      <c r="J5202" s="7">
        <f t="shared" si="7024"/>
        <v>240</v>
      </c>
      <c r="K5202" s="7" t="s">
        <v>312</v>
      </c>
      <c r="L5202" s="7">
        <v>42</v>
      </c>
      <c r="M5202" s="7">
        <f>IF(INDEX([1]equip.xml!$B:$B,MATCH(D5202,[1]equip.xml!$A:$A,0))=0,0,N5202)</f>
        <v>140</v>
      </c>
      <c r="N5202" s="7">
        <f t="shared" si="7002"/>
        <v>140</v>
      </c>
    </row>
    <row r="5203" spans="1:14">
      <c r="A5203" s="7">
        <f t="shared" si="6951"/>
        <v>30017</v>
      </c>
      <c r="B5203" s="7">
        <f t="shared" ref="B5203:C5203" si="7025">B5115</f>
        <v>40000</v>
      </c>
      <c r="C5203" s="7" t="str">
        <f t="shared" si="7025"/>
        <v>装备</v>
      </c>
      <c r="D5203" s="7">
        <v>50650085</v>
      </c>
      <c r="E5203" s="7"/>
      <c r="F5203" s="7">
        <v>1</v>
      </c>
      <c r="G5203" s="8">
        <f>3*INDEX([1]equip.xml!$I:$I,MATCH(D5203,[1]equip.xml!$A:$A,0))</f>
        <v>390000</v>
      </c>
      <c r="H5203" s="7" t="str">
        <f t="shared" ref="H5203:J5203" si="7026">H5115</f>
        <v>10_10,50_20,80_30</v>
      </c>
      <c r="I5203" s="7">
        <v>1</v>
      </c>
      <c r="J5203" s="7">
        <f t="shared" si="7026"/>
        <v>240</v>
      </c>
      <c r="K5203" s="7" t="s">
        <v>312</v>
      </c>
      <c r="L5203" s="7">
        <v>42</v>
      </c>
      <c r="M5203" s="7">
        <f>IF(INDEX([1]equip.xml!$B:$B,MATCH(D5203,[1]equip.xml!$A:$A,0))=0,0,N5203)</f>
        <v>140</v>
      </c>
      <c r="N5203" s="7">
        <f t="shared" si="7002"/>
        <v>140</v>
      </c>
    </row>
    <row r="5204" spans="1:14">
      <c r="A5204" s="7">
        <f t="shared" si="6951"/>
        <v>30017</v>
      </c>
      <c r="B5204" s="7">
        <f t="shared" ref="B5204:C5204" si="7027">B5116</f>
        <v>40000</v>
      </c>
      <c r="C5204" s="7" t="str">
        <f t="shared" si="7027"/>
        <v>装备</v>
      </c>
      <c r="D5204" s="7">
        <v>50650095</v>
      </c>
      <c r="E5204" s="7"/>
      <c r="F5204" s="7">
        <v>1</v>
      </c>
      <c r="G5204" s="8">
        <f>3*INDEX([1]equip.xml!$I:$I,MATCH(D5204,[1]equip.xml!$A:$A,0))</f>
        <v>390000</v>
      </c>
      <c r="H5204" s="7" t="str">
        <f t="shared" ref="H5204:J5204" si="7028">H5116</f>
        <v>10_10,50_20,80_30</v>
      </c>
      <c r="I5204" s="7">
        <v>1</v>
      </c>
      <c r="J5204" s="7">
        <f t="shared" si="7028"/>
        <v>240</v>
      </c>
      <c r="K5204" s="7" t="s">
        <v>312</v>
      </c>
      <c r="L5204" s="7">
        <v>42</v>
      </c>
      <c r="M5204" s="7">
        <f>IF(INDEX([1]equip.xml!$B:$B,MATCH(D5204,[1]equip.xml!$A:$A,0))=0,0,N5204)</f>
        <v>140</v>
      </c>
      <c r="N5204" s="7">
        <f t="shared" si="7002"/>
        <v>140</v>
      </c>
    </row>
    <row r="5205" spans="1:14">
      <c r="A5205" s="7">
        <f t="shared" si="6951"/>
        <v>30017</v>
      </c>
      <c r="B5205" s="7">
        <f t="shared" ref="B5205:C5205" si="7029">B5117</f>
        <v>40000</v>
      </c>
      <c r="C5205" s="7" t="str">
        <f t="shared" si="7029"/>
        <v>装备</v>
      </c>
      <c r="D5205" s="7">
        <v>50650105</v>
      </c>
      <c r="E5205" s="7"/>
      <c r="F5205" s="7">
        <v>1</v>
      </c>
      <c r="G5205" s="8">
        <f>3*INDEX([1]equip.xml!$I:$I,MATCH(D5205,[1]equip.xml!$A:$A,0))</f>
        <v>390000</v>
      </c>
      <c r="H5205" s="7" t="str">
        <f t="shared" ref="H5205:J5205" si="7030">H5117</f>
        <v>10_10,50_20,80_30</v>
      </c>
      <c r="I5205" s="7">
        <v>1</v>
      </c>
      <c r="J5205" s="7">
        <f t="shared" si="7030"/>
        <v>240</v>
      </c>
      <c r="K5205" s="7" t="s">
        <v>312</v>
      </c>
      <c r="L5205" s="7">
        <v>42</v>
      </c>
      <c r="M5205" s="7">
        <f>IF(INDEX([1]equip.xml!$B:$B,MATCH(D5205,[1]equip.xml!$A:$A,0))=0,0,N5205)</f>
        <v>140</v>
      </c>
      <c r="N5205" s="7">
        <f t="shared" si="7002"/>
        <v>140</v>
      </c>
    </row>
    <row r="5206" spans="1:14">
      <c r="A5206" s="7">
        <f t="shared" si="6951"/>
        <v>30017</v>
      </c>
      <c r="B5206" s="7">
        <f t="shared" ref="B5206:C5206" si="7031">B5118</f>
        <v>40000</v>
      </c>
      <c r="C5206" s="7" t="str">
        <f t="shared" si="7031"/>
        <v>装备</v>
      </c>
      <c r="D5206" s="7">
        <v>50651055</v>
      </c>
      <c r="E5206" s="7"/>
      <c r="F5206" s="7">
        <v>1</v>
      </c>
      <c r="G5206" s="8">
        <f>3*INDEX([1]equip.xml!$I:$I,MATCH(D5206,[1]equip.xml!$A:$A,0))</f>
        <v>390000</v>
      </c>
      <c r="H5206" s="7" t="str">
        <f t="shared" ref="H5206:J5206" si="7032">H5118</f>
        <v>10_10,50_20,80_30</v>
      </c>
      <c r="I5206" s="7">
        <v>1</v>
      </c>
      <c r="J5206" s="7">
        <f t="shared" si="7032"/>
        <v>240</v>
      </c>
      <c r="K5206" s="7" t="s">
        <v>312</v>
      </c>
      <c r="L5206" s="7">
        <v>42</v>
      </c>
      <c r="M5206" s="7">
        <f>IF(INDEX([1]equip.xml!$B:$B,MATCH(D5206,[1]equip.xml!$A:$A,0))=0,0,N5206)</f>
        <v>140</v>
      </c>
      <c r="N5206" s="7">
        <f t="shared" si="7002"/>
        <v>140</v>
      </c>
    </row>
    <row r="5207" spans="1:14">
      <c r="A5207" s="7">
        <f t="shared" si="6951"/>
        <v>30017</v>
      </c>
      <c r="B5207" s="7">
        <f t="shared" ref="B5207:C5207" si="7033">B5119</f>
        <v>40000</v>
      </c>
      <c r="C5207" s="7" t="str">
        <f t="shared" si="7033"/>
        <v>装备</v>
      </c>
      <c r="D5207" s="7">
        <v>50651056</v>
      </c>
      <c r="E5207" s="7"/>
      <c r="F5207" s="7">
        <v>1</v>
      </c>
      <c r="G5207" s="8">
        <f>3*INDEX([1]equip.xml!$I:$I,MATCH(D5207,[1]equip.xml!$A:$A,0))</f>
        <v>408000</v>
      </c>
      <c r="H5207" s="7" t="str">
        <f t="shared" ref="H5207:J5207" si="7034">H5119</f>
        <v>10_10,50_20,80_30</v>
      </c>
      <c r="I5207" s="7">
        <v>1</v>
      </c>
      <c r="J5207" s="7">
        <f t="shared" si="7034"/>
        <v>240</v>
      </c>
      <c r="K5207" s="7" t="s">
        <v>312</v>
      </c>
      <c r="L5207" s="7">
        <v>42</v>
      </c>
      <c r="M5207" s="7">
        <f>IF(INDEX([1]equip.xml!$B:$B,MATCH(D5207,[1]equip.xml!$A:$A,0))=0,0,N5207)</f>
        <v>0</v>
      </c>
      <c r="N5207" s="7">
        <f t="shared" si="7002"/>
        <v>140</v>
      </c>
    </row>
    <row r="5208" spans="1:14">
      <c r="A5208" s="7">
        <f t="shared" si="6951"/>
        <v>30017</v>
      </c>
      <c r="B5208" s="7">
        <f t="shared" ref="B5208:C5208" si="7035">B5120</f>
        <v>40000</v>
      </c>
      <c r="C5208" s="7" t="str">
        <f t="shared" si="7035"/>
        <v>装备</v>
      </c>
      <c r="D5208" s="7">
        <v>50651065</v>
      </c>
      <c r="E5208" s="7"/>
      <c r="F5208" s="7">
        <v>1</v>
      </c>
      <c r="G5208" s="8">
        <f>3*INDEX([1]equip.xml!$I:$I,MATCH(D5208,[1]equip.xml!$A:$A,0))</f>
        <v>390000</v>
      </c>
      <c r="H5208" s="7" t="str">
        <f t="shared" ref="H5208:J5208" si="7036">H5120</f>
        <v>10_10,50_20,80_30</v>
      </c>
      <c r="I5208" s="7">
        <v>1</v>
      </c>
      <c r="J5208" s="7">
        <f t="shared" si="7036"/>
        <v>240</v>
      </c>
      <c r="K5208" s="7" t="s">
        <v>312</v>
      </c>
      <c r="L5208" s="7">
        <v>42</v>
      </c>
      <c r="M5208" s="7">
        <f>IF(INDEX([1]equip.xml!$B:$B,MATCH(D5208,[1]equip.xml!$A:$A,0))=0,0,N5208)</f>
        <v>140</v>
      </c>
      <c r="N5208" s="7">
        <f t="shared" si="7002"/>
        <v>140</v>
      </c>
    </row>
    <row r="5209" spans="1:14">
      <c r="A5209" s="7">
        <f t="shared" si="6951"/>
        <v>30017</v>
      </c>
      <c r="B5209" s="7">
        <f t="shared" ref="B5209:C5209" si="7037">B5121</f>
        <v>40000</v>
      </c>
      <c r="C5209" s="7" t="str">
        <f t="shared" si="7037"/>
        <v>装备</v>
      </c>
      <c r="D5209" s="7">
        <v>50651066</v>
      </c>
      <c r="E5209" s="7"/>
      <c r="F5209" s="7">
        <v>1</v>
      </c>
      <c r="G5209" s="8">
        <f>3*INDEX([1]equip.xml!$I:$I,MATCH(D5209,[1]equip.xml!$A:$A,0))</f>
        <v>408000</v>
      </c>
      <c r="H5209" s="7" t="str">
        <f t="shared" ref="H5209:J5209" si="7038">H5121</f>
        <v>10_10,50_20,80_30</v>
      </c>
      <c r="I5209" s="7">
        <v>1</v>
      </c>
      <c r="J5209" s="7">
        <f t="shared" si="7038"/>
        <v>240</v>
      </c>
      <c r="K5209" s="7" t="s">
        <v>312</v>
      </c>
      <c r="L5209" s="7">
        <v>42</v>
      </c>
      <c r="M5209" s="7">
        <f>IF(INDEX([1]equip.xml!$B:$B,MATCH(D5209,[1]equip.xml!$A:$A,0))=0,0,N5209)</f>
        <v>0</v>
      </c>
      <c r="N5209" s="7">
        <f t="shared" si="7002"/>
        <v>140</v>
      </c>
    </row>
    <row r="5210" spans="1:14">
      <c r="A5210" s="7">
        <f t="shared" si="6951"/>
        <v>30017</v>
      </c>
      <c r="B5210" s="7">
        <f t="shared" ref="B5210:C5210" si="7039">B5122</f>
        <v>40000</v>
      </c>
      <c r="C5210" s="7" t="str">
        <f t="shared" si="7039"/>
        <v>装备</v>
      </c>
      <c r="D5210" s="7">
        <v>50652055</v>
      </c>
      <c r="E5210" s="7"/>
      <c r="F5210" s="7">
        <v>1</v>
      </c>
      <c r="G5210" s="8">
        <f>3*INDEX([1]equip.xml!$I:$I,MATCH(D5210,[1]equip.xml!$A:$A,0))</f>
        <v>390000</v>
      </c>
      <c r="H5210" s="7" t="str">
        <f t="shared" ref="H5210:J5210" si="7040">H5122</f>
        <v>10_10,50_20,80_30</v>
      </c>
      <c r="I5210" s="7">
        <v>1</v>
      </c>
      <c r="J5210" s="7">
        <f t="shared" si="7040"/>
        <v>240</v>
      </c>
      <c r="K5210" s="7" t="s">
        <v>312</v>
      </c>
      <c r="L5210" s="7">
        <v>42</v>
      </c>
      <c r="M5210" s="7">
        <f>IF(INDEX([1]equip.xml!$B:$B,MATCH(D5210,[1]equip.xml!$A:$A,0))=0,0,N5210)</f>
        <v>140</v>
      </c>
      <c r="N5210" s="7">
        <f t="shared" si="7002"/>
        <v>140</v>
      </c>
    </row>
    <row r="5211" spans="1:14">
      <c r="A5211" s="7">
        <f t="shared" si="6951"/>
        <v>30017</v>
      </c>
      <c r="B5211" s="7">
        <f t="shared" ref="B5211:C5211" si="7041">B5123</f>
        <v>40000</v>
      </c>
      <c r="C5211" s="7" t="str">
        <f t="shared" si="7041"/>
        <v>装备</v>
      </c>
      <c r="D5211" s="7">
        <v>50652056</v>
      </c>
      <c r="E5211" s="7"/>
      <c r="F5211" s="7">
        <v>1</v>
      </c>
      <c r="G5211" s="8">
        <f>3*INDEX([1]equip.xml!$I:$I,MATCH(D5211,[1]equip.xml!$A:$A,0))</f>
        <v>408000</v>
      </c>
      <c r="H5211" s="7" t="str">
        <f t="shared" ref="H5211:J5211" si="7042">H5123</f>
        <v>10_10,50_20,80_30</v>
      </c>
      <c r="I5211" s="7">
        <v>1</v>
      </c>
      <c r="J5211" s="7">
        <f t="shared" si="7042"/>
        <v>240</v>
      </c>
      <c r="K5211" s="7" t="s">
        <v>312</v>
      </c>
      <c r="L5211" s="7">
        <v>42</v>
      </c>
      <c r="M5211" s="7">
        <f>IF(INDEX([1]equip.xml!$B:$B,MATCH(D5211,[1]equip.xml!$A:$A,0))=0,0,N5211)</f>
        <v>0</v>
      </c>
      <c r="N5211" s="7">
        <f t="shared" si="7002"/>
        <v>140</v>
      </c>
    </row>
    <row r="5212" spans="1:14">
      <c r="A5212" s="7">
        <f t="shared" si="6951"/>
        <v>30017</v>
      </c>
      <c r="B5212" s="7">
        <f t="shared" ref="B5212:C5212" si="7043">B5124</f>
        <v>40000</v>
      </c>
      <c r="C5212" s="7" t="str">
        <f t="shared" si="7043"/>
        <v>装备</v>
      </c>
      <c r="D5212" s="7">
        <v>50652065</v>
      </c>
      <c r="E5212" s="7"/>
      <c r="F5212" s="7">
        <v>1</v>
      </c>
      <c r="G5212" s="8">
        <f>3*INDEX([1]equip.xml!$I:$I,MATCH(D5212,[1]equip.xml!$A:$A,0))</f>
        <v>390000</v>
      </c>
      <c r="H5212" s="7" t="str">
        <f t="shared" ref="H5212:J5212" si="7044">H5124</f>
        <v>10_10,50_20,80_30</v>
      </c>
      <c r="I5212" s="7">
        <v>1</v>
      </c>
      <c r="J5212" s="7">
        <f t="shared" si="7044"/>
        <v>240</v>
      </c>
      <c r="K5212" s="7" t="s">
        <v>312</v>
      </c>
      <c r="L5212" s="7">
        <v>42</v>
      </c>
      <c r="M5212" s="7">
        <f>IF(INDEX([1]equip.xml!$B:$B,MATCH(D5212,[1]equip.xml!$A:$A,0))=0,0,N5212)</f>
        <v>140</v>
      </c>
      <c r="N5212" s="7">
        <f t="shared" si="7002"/>
        <v>140</v>
      </c>
    </row>
    <row r="5213" spans="1:14">
      <c r="A5213" s="7">
        <f t="shared" si="6951"/>
        <v>30017</v>
      </c>
      <c r="B5213" s="7">
        <f t="shared" ref="B5213:C5213" si="7045">B5125</f>
        <v>40000</v>
      </c>
      <c r="C5213" s="7" t="str">
        <f t="shared" si="7045"/>
        <v>装备</v>
      </c>
      <c r="D5213" s="7">
        <v>50652066</v>
      </c>
      <c r="E5213" s="7"/>
      <c r="F5213" s="7">
        <v>1</v>
      </c>
      <c r="G5213" s="8">
        <f>3*INDEX([1]equip.xml!$I:$I,MATCH(D5213,[1]equip.xml!$A:$A,0))</f>
        <v>408000</v>
      </c>
      <c r="H5213" s="7" t="str">
        <f t="shared" ref="H5213:J5213" si="7046">H5125</f>
        <v>10_10,50_20,80_30</v>
      </c>
      <c r="I5213" s="7">
        <v>1</v>
      </c>
      <c r="J5213" s="7">
        <f t="shared" si="7046"/>
        <v>240</v>
      </c>
      <c r="K5213" s="7" t="s">
        <v>312</v>
      </c>
      <c r="L5213" s="7">
        <v>42</v>
      </c>
      <c r="M5213" s="7">
        <f>IF(INDEX([1]equip.xml!$B:$B,MATCH(D5213,[1]equip.xml!$A:$A,0))=0,0,N5213)</f>
        <v>0</v>
      </c>
      <c r="N5213" s="7">
        <f t="shared" si="7002"/>
        <v>140</v>
      </c>
    </row>
    <row r="5214" spans="1:14">
      <c r="A5214" s="7">
        <f t="shared" si="6951"/>
        <v>30017</v>
      </c>
      <c r="B5214" s="7">
        <f t="shared" ref="B5214:C5214" si="7047">B5126</f>
        <v>40000</v>
      </c>
      <c r="C5214" s="7" t="str">
        <f t="shared" si="7047"/>
        <v>装备</v>
      </c>
      <c r="D5214" s="7">
        <v>50653055</v>
      </c>
      <c r="E5214" s="7"/>
      <c r="F5214" s="7">
        <v>1</v>
      </c>
      <c r="G5214" s="8">
        <f>3*INDEX([1]equip.xml!$I:$I,MATCH(D5214,[1]equip.xml!$A:$A,0))</f>
        <v>390000</v>
      </c>
      <c r="H5214" s="7" t="str">
        <f t="shared" ref="H5214:J5214" si="7048">H5126</f>
        <v>10_10,50_20,80_30</v>
      </c>
      <c r="I5214" s="7">
        <v>1</v>
      </c>
      <c r="J5214" s="7">
        <f t="shared" si="7048"/>
        <v>240</v>
      </c>
      <c r="K5214" s="7" t="s">
        <v>312</v>
      </c>
      <c r="L5214" s="7">
        <v>42</v>
      </c>
      <c r="M5214" s="7">
        <f>IF(INDEX([1]equip.xml!$B:$B,MATCH(D5214,[1]equip.xml!$A:$A,0))=0,0,N5214)</f>
        <v>140</v>
      </c>
      <c r="N5214" s="7">
        <f t="shared" si="7002"/>
        <v>140</v>
      </c>
    </row>
    <row r="5215" spans="1:14">
      <c r="A5215" s="7">
        <f t="shared" si="6951"/>
        <v>30017</v>
      </c>
      <c r="B5215" s="7">
        <f t="shared" ref="B5215:C5215" si="7049">B5127</f>
        <v>40000</v>
      </c>
      <c r="C5215" s="7" t="str">
        <f t="shared" si="7049"/>
        <v>装备</v>
      </c>
      <c r="D5215" s="7">
        <v>50653056</v>
      </c>
      <c r="E5215" s="7"/>
      <c r="F5215" s="7">
        <v>1</v>
      </c>
      <c r="G5215" s="8">
        <f>3*INDEX([1]equip.xml!$I:$I,MATCH(D5215,[1]equip.xml!$A:$A,0))</f>
        <v>408000</v>
      </c>
      <c r="H5215" s="7" t="str">
        <f t="shared" ref="H5215:J5215" si="7050">H5127</f>
        <v>10_10,50_20,80_30</v>
      </c>
      <c r="I5215" s="7">
        <v>1</v>
      </c>
      <c r="J5215" s="7">
        <f t="shared" si="7050"/>
        <v>240</v>
      </c>
      <c r="K5215" s="7" t="s">
        <v>312</v>
      </c>
      <c r="L5215" s="7">
        <v>42</v>
      </c>
      <c r="M5215" s="7">
        <f>IF(INDEX([1]equip.xml!$B:$B,MATCH(D5215,[1]equip.xml!$A:$A,0))=0,0,N5215)</f>
        <v>0</v>
      </c>
      <c r="N5215" s="7">
        <f t="shared" si="7002"/>
        <v>140</v>
      </c>
    </row>
    <row r="5216" spans="1:14">
      <c r="A5216" s="7">
        <f t="shared" si="6951"/>
        <v>30017</v>
      </c>
      <c r="B5216" s="7">
        <f t="shared" ref="B5216:C5216" si="7051">B5128</f>
        <v>40000</v>
      </c>
      <c r="C5216" s="7" t="str">
        <f t="shared" si="7051"/>
        <v>装备</v>
      </c>
      <c r="D5216" s="7">
        <v>50653065</v>
      </c>
      <c r="E5216" s="7"/>
      <c r="F5216" s="7">
        <v>1</v>
      </c>
      <c r="G5216" s="8">
        <f>3*INDEX([1]equip.xml!$I:$I,MATCH(D5216,[1]equip.xml!$A:$A,0))</f>
        <v>390000</v>
      </c>
      <c r="H5216" s="7" t="str">
        <f t="shared" ref="H5216:J5216" si="7052">H5128</f>
        <v>10_10,50_20,80_30</v>
      </c>
      <c r="I5216" s="7">
        <v>1</v>
      </c>
      <c r="J5216" s="7">
        <f t="shared" si="7052"/>
        <v>240</v>
      </c>
      <c r="K5216" s="7" t="s">
        <v>312</v>
      </c>
      <c r="L5216" s="7">
        <v>42</v>
      </c>
      <c r="M5216" s="7">
        <f>IF(INDEX([1]equip.xml!$B:$B,MATCH(D5216,[1]equip.xml!$A:$A,0))=0,0,N5216)</f>
        <v>140</v>
      </c>
      <c r="N5216" s="7">
        <f t="shared" si="7002"/>
        <v>140</v>
      </c>
    </row>
    <row r="5217" spans="1:14">
      <c r="A5217" s="7">
        <f t="shared" si="6951"/>
        <v>30017</v>
      </c>
      <c r="B5217" s="7">
        <f t="shared" ref="B5217:C5217" si="7053">B5129</f>
        <v>40000</v>
      </c>
      <c r="C5217" s="7" t="str">
        <f t="shared" si="7053"/>
        <v>装备</v>
      </c>
      <c r="D5217" s="7">
        <v>50653066</v>
      </c>
      <c r="E5217" s="7"/>
      <c r="F5217" s="7">
        <v>1</v>
      </c>
      <c r="G5217" s="8">
        <f>3*INDEX([1]equip.xml!$I:$I,MATCH(D5217,[1]equip.xml!$A:$A,0))</f>
        <v>408000</v>
      </c>
      <c r="H5217" s="7" t="str">
        <f t="shared" ref="H5217:J5217" si="7054">H5129</f>
        <v>10_10,50_20,80_30</v>
      </c>
      <c r="I5217" s="7">
        <v>1</v>
      </c>
      <c r="J5217" s="7">
        <f t="shared" si="7054"/>
        <v>240</v>
      </c>
      <c r="K5217" s="7" t="s">
        <v>312</v>
      </c>
      <c r="L5217" s="7">
        <v>42</v>
      </c>
      <c r="M5217" s="7">
        <f>IF(INDEX([1]equip.xml!$B:$B,MATCH(D5217,[1]equip.xml!$A:$A,0))=0,0,N5217)</f>
        <v>0</v>
      </c>
      <c r="N5217" s="7">
        <f t="shared" si="7002"/>
        <v>140</v>
      </c>
    </row>
    <row r="5218" spans="1:14">
      <c r="A5218" s="7">
        <f t="shared" si="6951"/>
        <v>30017</v>
      </c>
      <c r="B5218" s="7">
        <f t="shared" ref="B5218:C5218" si="7055">B5130</f>
        <v>40000</v>
      </c>
      <c r="C5218" s="7" t="str">
        <f t="shared" si="7055"/>
        <v>装备</v>
      </c>
      <c r="D5218" s="7">
        <v>50650045</v>
      </c>
      <c r="E5218" s="7"/>
      <c r="F5218" s="7">
        <v>1</v>
      </c>
      <c r="G5218" s="8">
        <f>3*INDEX([1]equip.xml!$I:$I,MATCH(D5218,[1]equip.xml!$A:$A,0))</f>
        <v>390000</v>
      </c>
      <c r="H5218" s="7" t="str">
        <f t="shared" ref="H5218:J5218" si="7056">H5130</f>
        <v>10_10,50_20,80_30</v>
      </c>
      <c r="I5218" s="7">
        <v>1</v>
      </c>
      <c r="J5218" s="7">
        <f t="shared" si="7056"/>
        <v>240</v>
      </c>
      <c r="K5218" s="7" t="s">
        <v>312</v>
      </c>
      <c r="L5218" s="7">
        <v>42</v>
      </c>
      <c r="M5218" s="7">
        <f>IF(INDEX([1]equip.xml!$B:$B,MATCH(D5218,[1]equip.xml!$A:$A,0))=0,0,N5218)</f>
        <v>140</v>
      </c>
      <c r="N5218" s="7">
        <f t="shared" si="7002"/>
        <v>140</v>
      </c>
    </row>
    <row r="5219" spans="1:14">
      <c r="A5219" s="7">
        <f t="shared" si="6951"/>
        <v>30017</v>
      </c>
      <c r="B5219" s="7">
        <f t="shared" ref="B5219:C5219" si="7057">B5131</f>
        <v>40000</v>
      </c>
      <c r="C5219" s="7" t="str">
        <f t="shared" si="7057"/>
        <v>装备</v>
      </c>
      <c r="D5219" s="7">
        <v>50650046</v>
      </c>
      <c r="E5219" s="7"/>
      <c r="F5219" s="7">
        <v>1</v>
      </c>
      <c r="G5219" s="8">
        <f>3*INDEX([1]equip.xml!$I:$I,MATCH(D5219,[1]equip.xml!$A:$A,0))</f>
        <v>408000</v>
      </c>
      <c r="H5219" s="7" t="str">
        <f t="shared" ref="H5219:J5219" si="7058">H5131</f>
        <v>10_10,50_20,80_30</v>
      </c>
      <c r="I5219" s="7">
        <v>1</v>
      </c>
      <c r="J5219" s="7">
        <f t="shared" si="7058"/>
        <v>240</v>
      </c>
      <c r="K5219" s="7" t="s">
        <v>312</v>
      </c>
      <c r="L5219" s="7">
        <v>42</v>
      </c>
      <c r="M5219" s="7">
        <f>IF(INDEX([1]equip.xml!$B:$B,MATCH(D5219,[1]equip.xml!$A:$A,0))=0,0,N5219)</f>
        <v>0</v>
      </c>
      <c r="N5219" s="7">
        <f t="shared" si="7002"/>
        <v>140</v>
      </c>
    </row>
    <row r="5220" spans="1:14">
      <c r="A5220" s="7">
        <f t="shared" si="6951"/>
        <v>30017</v>
      </c>
      <c r="B5220" s="7">
        <f t="shared" ref="B5220:C5220" si="7059">B5132</f>
        <v>40000</v>
      </c>
      <c r="C5220" s="7" t="str">
        <f t="shared" si="7059"/>
        <v>装备</v>
      </c>
      <c r="D5220" s="7">
        <v>50650075</v>
      </c>
      <c r="E5220" s="7"/>
      <c r="F5220" s="7">
        <v>1</v>
      </c>
      <c r="G5220" s="8">
        <f>3*INDEX([1]equip.xml!$I:$I,MATCH(D5220,[1]equip.xml!$A:$A,0))</f>
        <v>390000</v>
      </c>
      <c r="H5220" s="7" t="str">
        <f t="shared" ref="H5220:J5220" si="7060">H5132</f>
        <v>10_10,50_20,80_30</v>
      </c>
      <c r="I5220" s="7">
        <v>1</v>
      </c>
      <c r="J5220" s="7">
        <f t="shared" si="7060"/>
        <v>240</v>
      </c>
      <c r="K5220" s="7" t="s">
        <v>312</v>
      </c>
      <c r="L5220" s="7">
        <v>42</v>
      </c>
      <c r="M5220" s="7">
        <f>IF(INDEX([1]equip.xml!$B:$B,MATCH(D5220,[1]equip.xml!$A:$A,0))=0,0,N5220)</f>
        <v>140</v>
      </c>
      <c r="N5220" s="7">
        <f t="shared" si="7002"/>
        <v>140</v>
      </c>
    </row>
    <row r="5221" spans="1:14">
      <c r="A5221" s="7">
        <f t="shared" si="6951"/>
        <v>30017</v>
      </c>
      <c r="B5221" s="7">
        <f t="shared" ref="B5221:C5221" si="7061">B5133</f>
        <v>40000</v>
      </c>
      <c r="C5221" s="7" t="str">
        <f t="shared" si="7061"/>
        <v>装备</v>
      </c>
      <c r="D5221" s="7">
        <v>50650076</v>
      </c>
      <c r="E5221" s="7"/>
      <c r="F5221" s="7">
        <v>1</v>
      </c>
      <c r="G5221" s="8">
        <f>3*INDEX([1]equip.xml!$I:$I,MATCH(D5221,[1]equip.xml!$A:$A,0))</f>
        <v>408000</v>
      </c>
      <c r="H5221" s="7" t="str">
        <f t="shared" ref="H5221:J5221" si="7062">H5133</f>
        <v>10_10,50_20,80_30</v>
      </c>
      <c r="I5221" s="7">
        <v>1</v>
      </c>
      <c r="J5221" s="7">
        <f t="shared" si="7062"/>
        <v>240</v>
      </c>
      <c r="K5221" s="7" t="s">
        <v>312</v>
      </c>
      <c r="L5221" s="7">
        <v>42</v>
      </c>
      <c r="M5221" s="7">
        <f>IF(INDEX([1]equip.xml!$B:$B,MATCH(D5221,[1]equip.xml!$A:$A,0))=0,0,N5221)</f>
        <v>0</v>
      </c>
      <c r="N5221" s="7">
        <f t="shared" si="7002"/>
        <v>140</v>
      </c>
    </row>
    <row r="5222" spans="1:14">
      <c r="A5222" s="7">
        <f t="shared" si="6951"/>
        <v>30018</v>
      </c>
      <c r="B5222" s="8">
        <f t="shared" ref="B5222:C5222" si="7063">B5134</f>
        <v>40000</v>
      </c>
      <c r="C5222" s="8" t="str">
        <f t="shared" si="7063"/>
        <v>装备</v>
      </c>
      <c r="D5222" s="8">
        <v>40650010</v>
      </c>
      <c r="E5222" s="8"/>
      <c r="F5222" s="8">
        <v>1</v>
      </c>
      <c r="G5222" s="7">
        <f>3*INDEX([1]equip.xml!$I:$I,MATCH(D5222&amp;"",[1]equip.xml!$A:$A,0))</f>
        <v>195000</v>
      </c>
      <c r="H5222" s="8" t="str">
        <f t="shared" ref="H5222:J5222" si="7064">H5134</f>
        <v>10_10,50_20,80_30</v>
      </c>
      <c r="I5222" s="8">
        <v>6</v>
      </c>
      <c r="J5222" s="8">
        <f t="shared" si="7064"/>
        <v>50</v>
      </c>
      <c r="K5222" s="7" t="s">
        <v>312</v>
      </c>
      <c r="L5222" s="8">
        <v>44</v>
      </c>
      <c r="M5222" s="7">
        <f>IF(INDEX([1]equip.xml!$B:$B,MATCH(D5222&amp;"",[1]equip.xml!$A:$A,0))=0,0,N5222)</f>
        <v>100</v>
      </c>
      <c r="N5222" s="7">
        <f t="shared" si="7002"/>
        <v>100</v>
      </c>
    </row>
    <row r="5223" spans="1:14">
      <c r="A5223" s="7">
        <f t="shared" si="6951"/>
        <v>30018</v>
      </c>
      <c r="B5223" s="8">
        <f t="shared" ref="B5223:C5223" si="7065">B5135</f>
        <v>40000</v>
      </c>
      <c r="C5223" s="8" t="str">
        <f t="shared" si="7065"/>
        <v>装备</v>
      </c>
      <c r="D5223" s="8">
        <v>40650020</v>
      </c>
      <c r="E5223" s="8"/>
      <c r="F5223" s="8">
        <v>1</v>
      </c>
      <c r="G5223" s="7">
        <f>3*INDEX([1]equip.xml!$I:$I,MATCH(D5223&amp;"",[1]equip.xml!$A:$A,0))</f>
        <v>195000</v>
      </c>
      <c r="H5223" s="8" t="str">
        <f t="shared" ref="H5223:J5223" si="7066">H5135</f>
        <v>10_10,50_20,80_30</v>
      </c>
      <c r="I5223" s="8">
        <v>6</v>
      </c>
      <c r="J5223" s="8">
        <f t="shared" si="7066"/>
        <v>50</v>
      </c>
      <c r="K5223" s="7" t="s">
        <v>312</v>
      </c>
      <c r="L5223" s="8">
        <v>44</v>
      </c>
      <c r="M5223" s="7">
        <f>IF(INDEX([1]equip.xml!$B:$B,MATCH(D5223&amp;"",[1]equip.xml!$A:$A,0))=0,0,N5223)</f>
        <v>100</v>
      </c>
      <c r="N5223" s="7">
        <f t="shared" si="7002"/>
        <v>100</v>
      </c>
    </row>
    <row r="5224" spans="1:14">
      <c r="A5224" s="7">
        <f t="shared" si="6951"/>
        <v>30018</v>
      </c>
      <c r="B5224" s="8">
        <f t="shared" ref="B5224:C5224" si="7067">B5136</f>
        <v>40000</v>
      </c>
      <c r="C5224" s="8" t="str">
        <f t="shared" si="7067"/>
        <v>装备</v>
      </c>
      <c r="D5224" s="8">
        <v>40650030</v>
      </c>
      <c r="E5224" s="8"/>
      <c r="F5224" s="8">
        <v>1</v>
      </c>
      <c r="G5224" s="7">
        <f>3*INDEX([1]equip.xml!$I:$I,MATCH(D5224&amp;"",[1]equip.xml!$A:$A,0))</f>
        <v>195000</v>
      </c>
      <c r="H5224" s="8" t="str">
        <f t="shared" ref="H5224:J5224" si="7068">H5136</f>
        <v>10_10,50_20,80_30</v>
      </c>
      <c r="I5224" s="8">
        <v>6</v>
      </c>
      <c r="J5224" s="8">
        <f t="shared" si="7068"/>
        <v>50</v>
      </c>
      <c r="K5224" s="7" t="s">
        <v>312</v>
      </c>
      <c r="L5224" s="8">
        <v>44</v>
      </c>
      <c r="M5224" s="7">
        <f>IF(INDEX([1]equip.xml!$B:$B,MATCH(D5224&amp;"",[1]equip.xml!$A:$A,0))=0,0,N5224)</f>
        <v>100</v>
      </c>
      <c r="N5224" s="7">
        <f t="shared" si="7002"/>
        <v>100</v>
      </c>
    </row>
    <row r="5225" spans="1:14">
      <c r="A5225" s="7">
        <f t="shared" si="6951"/>
        <v>30018</v>
      </c>
      <c r="B5225" s="8">
        <f t="shared" ref="B5225:C5225" si="7069">B5137</f>
        <v>40000</v>
      </c>
      <c r="C5225" s="8" t="str">
        <f t="shared" si="7069"/>
        <v>装备</v>
      </c>
      <c r="D5225" s="8">
        <v>40650080</v>
      </c>
      <c r="E5225" s="8"/>
      <c r="F5225" s="8">
        <v>1</v>
      </c>
      <c r="G5225" s="7">
        <f>3*INDEX([1]equip.xml!$I:$I,MATCH(D5225&amp;"",[1]equip.xml!$A:$A,0))</f>
        <v>195000</v>
      </c>
      <c r="H5225" s="8" t="str">
        <f t="shared" ref="H5225:J5225" si="7070">H5137</f>
        <v>10_10,50_20,80_30</v>
      </c>
      <c r="I5225" s="8">
        <v>6</v>
      </c>
      <c r="J5225" s="8">
        <f t="shared" si="7070"/>
        <v>50</v>
      </c>
      <c r="K5225" s="7" t="s">
        <v>312</v>
      </c>
      <c r="L5225" s="8">
        <v>44</v>
      </c>
      <c r="M5225" s="7">
        <f>IF(INDEX([1]equip.xml!$B:$B,MATCH(D5225&amp;"",[1]equip.xml!$A:$A,0))=0,0,N5225)</f>
        <v>100</v>
      </c>
      <c r="N5225" s="7">
        <f t="shared" si="7002"/>
        <v>100</v>
      </c>
    </row>
    <row r="5226" spans="1:14">
      <c r="A5226" s="7">
        <f t="shared" si="6951"/>
        <v>30018</v>
      </c>
      <c r="B5226" s="8">
        <f t="shared" ref="B5226:C5226" si="7071">B5138</f>
        <v>40000</v>
      </c>
      <c r="C5226" s="8" t="str">
        <f t="shared" si="7071"/>
        <v>装备</v>
      </c>
      <c r="D5226" s="8">
        <v>40650090</v>
      </c>
      <c r="E5226" s="8"/>
      <c r="F5226" s="8">
        <v>1</v>
      </c>
      <c r="G5226" s="7">
        <f>3*INDEX([1]equip.xml!$I:$I,MATCH(D5226&amp;"",[1]equip.xml!$A:$A,0))</f>
        <v>195000</v>
      </c>
      <c r="H5226" s="8" t="str">
        <f t="shared" ref="H5226:J5226" si="7072">H5138</f>
        <v>10_10,50_20,80_30</v>
      </c>
      <c r="I5226" s="8">
        <v>6</v>
      </c>
      <c r="J5226" s="8">
        <f t="shared" si="7072"/>
        <v>50</v>
      </c>
      <c r="K5226" s="7" t="s">
        <v>312</v>
      </c>
      <c r="L5226" s="8">
        <v>44</v>
      </c>
      <c r="M5226" s="7">
        <f>IF(INDEX([1]equip.xml!$B:$B,MATCH(D5226&amp;"",[1]equip.xml!$A:$A,0))=0,0,N5226)</f>
        <v>100</v>
      </c>
      <c r="N5226" s="7">
        <f t="shared" si="7002"/>
        <v>100</v>
      </c>
    </row>
    <row r="5227" spans="1:14">
      <c r="A5227" s="7">
        <f t="shared" si="6951"/>
        <v>30018</v>
      </c>
      <c r="B5227" s="8">
        <f t="shared" ref="B5227:C5227" si="7073">B5139</f>
        <v>40000</v>
      </c>
      <c r="C5227" s="8" t="str">
        <f t="shared" si="7073"/>
        <v>装备</v>
      </c>
      <c r="D5227" s="8">
        <v>40650100</v>
      </c>
      <c r="E5227" s="8"/>
      <c r="F5227" s="8">
        <v>1</v>
      </c>
      <c r="G5227" s="7">
        <f>3*INDEX([1]equip.xml!$I:$I,MATCH(D5227&amp;"",[1]equip.xml!$A:$A,0))</f>
        <v>195000</v>
      </c>
      <c r="H5227" s="8" t="str">
        <f t="shared" ref="H5227:J5227" si="7074">H5139</f>
        <v>10_10,50_20,80_30</v>
      </c>
      <c r="I5227" s="8">
        <v>6</v>
      </c>
      <c r="J5227" s="8">
        <f t="shared" si="7074"/>
        <v>50</v>
      </c>
      <c r="K5227" s="7" t="s">
        <v>312</v>
      </c>
      <c r="L5227" s="8">
        <v>44</v>
      </c>
      <c r="M5227" s="7">
        <f>IF(INDEX([1]equip.xml!$B:$B,MATCH(D5227&amp;"",[1]equip.xml!$A:$A,0))=0,0,N5227)</f>
        <v>100</v>
      </c>
      <c r="N5227" s="7">
        <f t="shared" si="7002"/>
        <v>100</v>
      </c>
    </row>
    <row r="5228" spans="1:14">
      <c r="A5228" s="7">
        <f t="shared" si="6951"/>
        <v>30018</v>
      </c>
      <c r="B5228" s="8">
        <f t="shared" ref="B5228:C5228" si="7075">B5140</f>
        <v>40000</v>
      </c>
      <c r="C5228" s="8" t="str">
        <f t="shared" si="7075"/>
        <v>装备</v>
      </c>
      <c r="D5228" s="8">
        <v>40651050</v>
      </c>
      <c r="E5228" s="8"/>
      <c r="F5228" s="8">
        <v>1</v>
      </c>
      <c r="G5228" s="7">
        <f>3*INDEX([1]equip.xml!$I:$I,MATCH(D5228&amp;"",[1]equip.xml!$A:$A,0))</f>
        <v>195000</v>
      </c>
      <c r="H5228" s="8" t="str">
        <f t="shared" ref="H5228:J5228" si="7076">H5140</f>
        <v>10_10,50_20,80_30</v>
      </c>
      <c r="I5228" s="8">
        <v>6</v>
      </c>
      <c r="J5228" s="8">
        <f t="shared" si="7076"/>
        <v>50</v>
      </c>
      <c r="K5228" s="7" t="s">
        <v>312</v>
      </c>
      <c r="L5228" s="8">
        <v>44</v>
      </c>
      <c r="M5228" s="7">
        <f>IF(INDEX([1]equip.xml!$B:$B,MATCH(D5228&amp;"",[1]equip.xml!$A:$A,0))=0,0,N5228)</f>
        <v>100</v>
      </c>
      <c r="N5228" s="7">
        <f t="shared" si="7002"/>
        <v>100</v>
      </c>
    </row>
    <row r="5229" spans="1:14">
      <c r="A5229" s="7">
        <f t="shared" si="6951"/>
        <v>30018</v>
      </c>
      <c r="B5229" s="8">
        <f t="shared" ref="B5229:C5229" si="7077">B5141</f>
        <v>40000</v>
      </c>
      <c r="C5229" s="8" t="str">
        <f t="shared" si="7077"/>
        <v>装备</v>
      </c>
      <c r="D5229" s="8">
        <v>40651051</v>
      </c>
      <c r="E5229" s="8"/>
      <c r="F5229" s="8">
        <v>1</v>
      </c>
      <c r="G5229" s="7">
        <f>3*INDEX([1]equip.xml!$I:$I,MATCH(D5229&amp;"",[1]equip.xml!$A:$A,0))</f>
        <v>204000</v>
      </c>
      <c r="H5229" s="8" t="str">
        <f t="shared" ref="H5229:J5229" si="7078">H5141</f>
        <v>10_10,50_20,80_30</v>
      </c>
      <c r="I5229" s="8">
        <v>6</v>
      </c>
      <c r="J5229" s="8">
        <f t="shared" si="7078"/>
        <v>50</v>
      </c>
      <c r="K5229" s="7" t="s">
        <v>312</v>
      </c>
      <c r="L5229" s="8">
        <v>44</v>
      </c>
      <c r="M5229" s="7">
        <f>IF(INDEX([1]equip.xml!$B:$B,MATCH(D5229&amp;"",[1]equip.xml!$A:$A,0))=0,0,N5229)</f>
        <v>0</v>
      </c>
      <c r="N5229" s="7">
        <f t="shared" si="7002"/>
        <v>100</v>
      </c>
    </row>
    <row r="5230" spans="1:14">
      <c r="A5230" s="7">
        <f t="shared" si="6951"/>
        <v>30018</v>
      </c>
      <c r="B5230" s="8">
        <f t="shared" ref="B5230:C5230" si="7079">B5142</f>
        <v>40000</v>
      </c>
      <c r="C5230" s="8" t="str">
        <f t="shared" si="7079"/>
        <v>装备</v>
      </c>
      <c r="D5230" s="8">
        <v>40651060</v>
      </c>
      <c r="E5230" s="8"/>
      <c r="F5230" s="8">
        <v>1</v>
      </c>
      <c r="G5230" s="7">
        <f>3*INDEX([1]equip.xml!$I:$I,MATCH(D5230&amp;"",[1]equip.xml!$A:$A,0))</f>
        <v>195000</v>
      </c>
      <c r="H5230" s="8" t="str">
        <f t="shared" ref="H5230:J5230" si="7080">H5142</f>
        <v>10_10,50_20,80_30</v>
      </c>
      <c r="I5230" s="8">
        <v>6</v>
      </c>
      <c r="J5230" s="8">
        <f t="shared" si="7080"/>
        <v>50</v>
      </c>
      <c r="K5230" s="7" t="s">
        <v>312</v>
      </c>
      <c r="L5230" s="8">
        <v>44</v>
      </c>
      <c r="M5230" s="7">
        <f>IF(INDEX([1]equip.xml!$B:$B,MATCH(D5230&amp;"",[1]equip.xml!$A:$A,0))=0,0,N5230)</f>
        <v>100</v>
      </c>
      <c r="N5230" s="7">
        <f t="shared" si="7002"/>
        <v>100</v>
      </c>
    </row>
    <row r="5231" spans="1:14">
      <c r="A5231" s="7">
        <f t="shared" ref="A5231:A5294" si="7081">10000+A3999</f>
        <v>30018</v>
      </c>
      <c r="B5231" s="8">
        <f t="shared" ref="B5231:C5231" si="7082">B5143</f>
        <v>40000</v>
      </c>
      <c r="C5231" s="8" t="str">
        <f t="shared" si="7082"/>
        <v>装备</v>
      </c>
      <c r="D5231" s="8">
        <v>40651061</v>
      </c>
      <c r="E5231" s="8"/>
      <c r="F5231" s="8">
        <v>1</v>
      </c>
      <c r="G5231" s="7">
        <f>3*INDEX([1]equip.xml!$I:$I,MATCH(D5231&amp;"",[1]equip.xml!$A:$A,0))</f>
        <v>204000</v>
      </c>
      <c r="H5231" s="8" t="str">
        <f t="shared" ref="H5231:J5231" si="7083">H5143</f>
        <v>10_10,50_20,80_30</v>
      </c>
      <c r="I5231" s="8">
        <v>6</v>
      </c>
      <c r="J5231" s="8">
        <f t="shared" si="7083"/>
        <v>50</v>
      </c>
      <c r="K5231" s="7" t="s">
        <v>312</v>
      </c>
      <c r="L5231" s="8">
        <v>44</v>
      </c>
      <c r="M5231" s="7">
        <f>IF(INDEX([1]equip.xml!$B:$B,MATCH(D5231&amp;"",[1]equip.xml!$A:$A,0))=0,0,N5231)</f>
        <v>0</v>
      </c>
      <c r="N5231" s="7">
        <f t="shared" si="7002"/>
        <v>100</v>
      </c>
    </row>
    <row r="5232" spans="1:14">
      <c r="A5232" s="7">
        <f t="shared" si="7081"/>
        <v>30018</v>
      </c>
      <c r="B5232" s="8">
        <f t="shared" ref="B5232:C5232" si="7084">B5144</f>
        <v>40000</v>
      </c>
      <c r="C5232" s="8" t="str">
        <f t="shared" si="7084"/>
        <v>装备</v>
      </c>
      <c r="D5232" s="8">
        <v>40652050</v>
      </c>
      <c r="E5232" s="8"/>
      <c r="F5232" s="8">
        <v>1</v>
      </c>
      <c r="G5232" s="7">
        <f>3*INDEX([1]equip.xml!$I:$I,MATCH(D5232&amp;"",[1]equip.xml!$A:$A,0))</f>
        <v>195000</v>
      </c>
      <c r="H5232" s="8" t="str">
        <f t="shared" ref="H5232:J5232" si="7085">H5144</f>
        <v>10_10,50_20,80_30</v>
      </c>
      <c r="I5232" s="8">
        <v>6</v>
      </c>
      <c r="J5232" s="8">
        <f t="shared" si="7085"/>
        <v>50</v>
      </c>
      <c r="K5232" s="7" t="s">
        <v>312</v>
      </c>
      <c r="L5232" s="8">
        <v>44</v>
      </c>
      <c r="M5232" s="7">
        <f>IF(INDEX([1]equip.xml!$B:$B,MATCH(D5232&amp;"",[1]equip.xml!$A:$A,0))=0,0,N5232)</f>
        <v>100</v>
      </c>
      <c r="N5232" s="7">
        <f t="shared" si="7002"/>
        <v>100</v>
      </c>
    </row>
    <row r="5233" spans="1:14">
      <c r="A5233" s="7">
        <f t="shared" si="7081"/>
        <v>30018</v>
      </c>
      <c r="B5233" s="8">
        <f t="shared" ref="B5233:C5233" si="7086">B5145</f>
        <v>40000</v>
      </c>
      <c r="C5233" s="8" t="str">
        <f t="shared" si="7086"/>
        <v>装备</v>
      </c>
      <c r="D5233" s="8">
        <v>40652051</v>
      </c>
      <c r="E5233" s="8"/>
      <c r="F5233" s="8">
        <v>1</v>
      </c>
      <c r="G5233" s="7">
        <f>3*INDEX([1]equip.xml!$I:$I,MATCH(D5233&amp;"",[1]equip.xml!$A:$A,0))</f>
        <v>204000</v>
      </c>
      <c r="H5233" s="8" t="str">
        <f t="shared" ref="H5233:J5233" si="7087">H5145</f>
        <v>10_10,50_20,80_30</v>
      </c>
      <c r="I5233" s="8">
        <v>6</v>
      </c>
      <c r="J5233" s="8">
        <f t="shared" si="7087"/>
        <v>50</v>
      </c>
      <c r="K5233" s="7" t="s">
        <v>312</v>
      </c>
      <c r="L5233" s="8">
        <v>44</v>
      </c>
      <c r="M5233" s="7">
        <f>IF(INDEX([1]equip.xml!$B:$B,MATCH(D5233&amp;"",[1]equip.xml!$A:$A,0))=0,0,N5233)</f>
        <v>0</v>
      </c>
      <c r="N5233" s="7">
        <f t="shared" si="7002"/>
        <v>100</v>
      </c>
    </row>
    <row r="5234" spans="1:14">
      <c r="A5234" s="7">
        <f t="shared" si="7081"/>
        <v>30018</v>
      </c>
      <c r="B5234" s="8">
        <f t="shared" ref="B5234:C5234" si="7088">B5146</f>
        <v>40000</v>
      </c>
      <c r="C5234" s="8" t="str">
        <f t="shared" si="7088"/>
        <v>装备</v>
      </c>
      <c r="D5234" s="8">
        <v>40652060</v>
      </c>
      <c r="E5234" s="8"/>
      <c r="F5234" s="8">
        <v>1</v>
      </c>
      <c r="G5234" s="7">
        <f>3*INDEX([1]equip.xml!$I:$I,MATCH(D5234&amp;"",[1]equip.xml!$A:$A,0))</f>
        <v>195000</v>
      </c>
      <c r="H5234" s="8" t="str">
        <f t="shared" ref="H5234:J5234" si="7089">H5146</f>
        <v>10_10,50_20,80_30</v>
      </c>
      <c r="I5234" s="8">
        <v>6</v>
      </c>
      <c r="J5234" s="8">
        <f t="shared" si="7089"/>
        <v>50</v>
      </c>
      <c r="K5234" s="7" t="s">
        <v>312</v>
      </c>
      <c r="L5234" s="8">
        <v>44</v>
      </c>
      <c r="M5234" s="7">
        <f>IF(INDEX([1]equip.xml!$B:$B,MATCH(D5234&amp;"",[1]equip.xml!$A:$A,0))=0,0,N5234)</f>
        <v>100</v>
      </c>
      <c r="N5234" s="7">
        <f t="shared" si="7002"/>
        <v>100</v>
      </c>
    </row>
    <row r="5235" spans="1:14">
      <c r="A5235" s="7">
        <f t="shared" si="7081"/>
        <v>30018</v>
      </c>
      <c r="B5235" s="8">
        <f t="shared" ref="B5235:C5235" si="7090">B5147</f>
        <v>40000</v>
      </c>
      <c r="C5235" s="8" t="str">
        <f t="shared" si="7090"/>
        <v>装备</v>
      </c>
      <c r="D5235" s="8">
        <v>40652061</v>
      </c>
      <c r="E5235" s="8"/>
      <c r="F5235" s="8">
        <v>1</v>
      </c>
      <c r="G5235" s="7">
        <f>3*INDEX([1]equip.xml!$I:$I,MATCH(D5235&amp;"",[1]equip.xml!$A:$A,0))</f>
        <v>204000</v>
      </c>
      <c r="H5235" s="8" t="str">
        <f t="shared" ref="H5235:J5235" si="7091">H5147</f>
        <v>10_10,50_20,80_30</v>
      </c>
      <c r="I5235" s="8">
        <v>6</v>
      </c>
      <c r="J5235" s="8">
        <f t="shared" si="7091"/>
        <v>50</v>
      </c>
      <c r="K5235" s="7" t="s">
        <v>312</v>
      </c>
      <c r="L5235" s="8">
        <v>44</v>
      </c>
      <c r="M5235" s="7">
        <f>IF(INDEX([1]equip.xml!$B:$B,MATCH(D5235&amp;"",[1]equip.xml!$A:$A,0))=0,0,N5235)</f>
        <v>0</v>
      </c>
      <c r="N5235" s="7">
        <f t="shared" si="7002"/>
        <v>100</v>
      </c>
    </row>
    <row r="5236" spans="1:14">
      <c r="A5236" s="7">
        <f t="shared" si="7081"/>
        <v>30018</v>
      </c>
      <c r="B5236" s="8">
        <f t="shared" ref="B5236:C5236" si="7092">B5148</f>
        <v>40000</v>
      </c>
      <c r="C5236" s="8" t="str">
        <f t="shared" si="7092"/>
        <v>装备</v>
      </c>
      <c r="D5236" s="8">
        <v>40653050</v>
      </c>
      <c r="E5236" s="8"/>
      <c r="F5236" s="8">
        <v>1</v>
      </c>
      <c r="G5236" s="7">
        <f>3*INDEX([1]equip.xml!$I:$I,MATCH(D5236&amp;"",[1]equip.xml!$A:$A,0))</f>
        <v>195000</v>
      </c>
      <c r="H5236" s="8" t="str">
        <f t="shared" ref="H5236:J5236" si="7093">H5148</f>
        <v>10_10,50_20,80_30</v>
      </c>
      <c r="I5236" s="8">
        <v>6</v>
      </c>
      <c r="J5236" s="8">
        <f t="shared" si="7093"/>
        <v>50</v>
      </c>
      <c r="K5236" s="7" t="s">
        <v>312</v>
      </c>
      <c r="L5236" s="8">
        <v>44</v>
      </c>
      <c r="M5236" s="7">
        <f>IF(INDEX([1]equip.xml!$B:$B,MATCH(D5236&amp;"",[1]equip.xml!$A:$A,0))=0,0,N5236)</f>
        <v>100</v>
      </c>
      <c r="N5236" s="7">
        <f t="shared" si="7002"/>
        <v>100</v>
      </c>
    </row>
    <row r="5237" spans="1:14">
      <c r="A5237" s="7">
        <f t="shared" si="7081"/>
        <v>30018</v>
      </c>
      <c r="B5237" s="8">
        <f t="shared" ref="B5237:C5237" si="7094">B5149</f>
        <v>40000</v>
      </c>
      <c r="C5237" s="8" t="str">
        <f t="shared" si="7094"/>
        <v>装备</v>
      </c>
      <c r="D5237" s="8">
        <v>40653051</v>
      </c>
      <c r="E5237" s="8"/>
      <c r="F5237" s="8">
        <v>1</v>
      </c>
      <c r="G5237" s="7">
        <f>3*INDEX([1]equip.xml!$I:$I,MATCH(D5237&amp;"",[1]equip.xml!$A:$A,0))</f>
        <v>204000</v>
      </c>
      <c r="H5237" s="8" t="str">
        <f t="shared" ref="H5237:J5237" si="7095">H5149</f>
        <v>10_10,50_20,80_30</v>
      </c>
      <c r="I5237" s="8">
        <v>6</v>
      </c>
      <c r="J5237" s="8">
        <f t="shared" si="7095"/>
        <v>50</v>
      </c>
      <c r="K5237" s="7" t="s">
        <v>312</v>
      </c>
      <c r="L5237" s="8">
        <v>44</v>
      </c>
      <c r="M5237" s="7">
        <f>IF(INDEX([1]equip.xml!$B:$B,MATCH(D5237&amp;"",[1]equip.xml!$A:$A,0))=0,0,N5237)</f>
        <v>0</v>
      </c>
      <c r="N5237" s="7">
        <f t="shared" si="7002"/>
        <v>100</v>
      </c>
    </row>
    <row r="5238" spans="1:14">
      <c r="A5238" s="7">
        <f t="shared" si="7081"/>
        <v>30018</v>
      </c>
      <c r="B5238" s="8">
        <f t="shared" ref="B5238:C5238" si="7096">B5150</f>
        <v>40000</v>
      </c>
      <c r="C5238" s="8" t="str">
        <f t="shared" si="7096"/>
        <v>装备</v>
      </c>
      <c r="D5238" s="8">
        <v>40653060</v>
      </c>
      <c r="E5238" s="8"/>
      <c r="F5238" s="8">
        <v>1</v>
      </c>
      <c r="G5238" s="7">
        <f>3*INDEX([1]equip.xml!$I:$I,MATCH(D5238&amp;"",[1]equip.xml!$A:$A,0))</f>
        <v>195000</v>
      </c>
      <c r="H5238" s="8" t="str">
        <f t="shared" ref="H5238:J5238" si="7097">H5150</f>
        <v>10_10,50_20,80_30</v>
      </c>
      <c r="I5238" s="8">
        <v>6</v>
      </c>
      <c r="J5238" s="8">
        <f t="shared" si="7097"/>
        <v>50</v>
      </c>
      <c r="K5238" s="7" t="s">
        <v>312</v>
      </c>
      <c r="L5238" s="8">
        <v>44</v>
      </c>
      <c r="M5238" s="7">
        <f>IF(INDEX([1]equip.xml!$B:$B,MATCH(D5238&amp;"",[1]equip.xml!$A:$A,0))=0,0,N5238)</f>
        <v>100</v>
      </c>
      <c r="N5238" s="7">
        <f t="shared" si="7002"/>
        <v>100</v>
      </c>
    </row>
    <row r="5239" spans="1:14">
      <c r="A5239" s="7">
        <f t="shared" si="7081"/>
        <v>30018</v>
      </c>
      <c r="B5239" s="8">
        <f t="shared" ref="B5239:C5239" si="7098">B5151</f>
        <v>40000</v>
      </c>
      <c r="C5239" s="8" t="str">
        <f t="shared" si="7098"/>
        <v>装备</v>
      </c>
      <c r="D5239" s="8">
        <v>40653061</v>
      </c>
      <c r="E5239" s="8"/>
      <c r="F5239" s="8">
        <v>1</v>
      </c>
      <c r="G5239" s="7">
        <f>3*INDEX([1]equip.xml!$I:$I,MATCH(D5239&amp;"",[1]equip.xml!$A:$A,0))</f>
        <v>204000</v>
      </c>
      <c r="H5239" s="8" t="str">
        <f t="shared" ref="H5239:J5239" si="7099">H5151</f>
        <v>10_10,50_20,80_30</v>
      </c>
      <c r="I5239" s="8">
        <v>6</v>
      </c>
      <c r="J5239" s="8">
        <f t="shared" si="7099"/>
        <v>50</v>
      </c>
      <c r="K5239" s="7" t="s">
        <v>312</v>
      </c>
      <c r="L5239" s="8">
        <v>44</v>
      </c>
      <c r="M5239" s="7">
        <f>IF(INDEX([1]equip.xml!$B:$B,MATCH(D5239&amp;"",[1]equip.xml!$A:$A,0))=0,0,N5239)</f>
        <v>0</v>
      </c>
      <c r="N5239" s="7">
        <f t="shared" si="7002"/>
        <v>100</v>
      </c>
    </row>
    <row r="5240" spans="1:14">
      <c r="A5240" s="7">
        <f t="shared" si="7081"/>
        <v>30018</v>
      </c>
      <c r="B5240" s="8">
        <f t="shared" ref="B5240:C5240" si="7100">B5152</f>
        <v>40000</v>
      </c>
      <c r="C5240" s="8" t="str">
        <f t="shared" si="7100"/>
        <v>装备</v>
      </c>
      <c r="D5240" s="8">
        <v>40650040</v>
      </c>
      <c r="E5240" s="8"/>
      <c r="F5240" s="8">
        <v>1</v>
      </c>
      <c r="G5240" s="7">
        <f>3*INDEX([1]equip.xml!$I:$I,MATCH(D5240&amp;"",[1]equip.xml!$A:$A,0))</f>
        <v>195000</v>
      </c>
      <c r="H5240" s="8" t="str">
        <f t="shared" ref="H5240:J5240" si="7101">H5152</f>
        <v>10_10,50_20,80_30</v>
      </c>
      <c r="I5240" s="8">
        <v>6</v>
      </c>
      <c r="J5240" s="8">
        <f t="shared" si="7101"/>
        <v>50</v>
      </c>
      <c r="K5240" s="7" t="s">
        <v>312</v>
      </c>
      <c r="L5240" s="8">
        <v>44</v>
      </c>
      <c r="M5240" s="7">
        <f>IF(INDEX([1]equip.xml!$B:$B,MATCH(D5240&amp;"",[1]equip.xml!$A:$A,0))=0,0,N5240)</f>
        <v>100</v>
      </c>
      <c r="N5240" s="7">
        <f t="shared" si="7002"/>
        <v>100</v>
      </c>
    </row>
    <row r="5241" spans="1:14">
      <c r="A5241" s="7">
        <f t="shared" si="7081"/>
        <v>30018</v>
      </c>
      <c r="B5241" s="8">
        <f t="shared" ref="B5241:C5241" si="7102">B5153</f>
        <v>40000</v>
      </c>
      <c r="C5241" s="8" t="str">
        <f t="shared" si="7102"/>
        <v>装备</v>
      </c>
      <c r="D5241" s="8">
        <v>40650041</v>
      </c>
      <c r="E5241" s="8"/>
      <c r="F5241" s="8">
        <v>1</v>
      </c>
      <c r="G5241" s="7">
        <f>3*INDEX([1]equip.xml!$I:$I,MATCH(D5241&amp;"",[1]equip.xml!$A:$A,0))</f>
        <v>204000</v>
      </c>
      <c r="H5241" s="8" t="str">
        <f t="shared" ref="H5241:J5241" si="7103">H5153</f>
        <v>10_10,50_20,80_30</v>
      </c>
      <c r="I5241" s="8">
        <v>6</v>
      </c>
      <c r="J5241" s="8">
        <f t="shared" si="7103"/>
        <v>50</v>
      </c>
      <c r="K5241" s="7" t="s">
        <v>312</v>
      </c>
      <c r="L5241" s="8">
        <v>44</v>
      </c>
      <c r="M5241" s="7">
        <f>IF(INDEX([1]equip.xml!$B:$B,MATCH(D5241&amp;"",[1]equip.xml!$A:$A,0))=0,0,N5241)</f>
        <v>0</v>
      </c>
      <c r="N5241" s="7">
        <f t="shared" si="7002"/>
        <v>100</v>
      </c>
    </row>
    <row r="5242" spans="1:14">
      <c r="A5242" s="7">
        <f t="shared" si="7081"/>
        <v>30018</v>
      </c>
      <c r="B5242" s="8">
        <f t="shared" ref="B5242:C5242" si="7104">B5154</f>
        <v>40000</v>
      </c>
      <c r="C5242" s="8" t="str">
        <f t="shared" si="7104"/>
        <v>装备</v>
      </c>
      <c r="D5242" s="8">
        <v>40650070</v>
      </c>
      <c r="E5242" s="8"/>
      <c r="F5242" s="8">
        <v>1</v>
      </c>
      <c r="G5242" s="7">
        <f>3*INDEX([1]equip.xml!$I:$I,MATCH(D5242&amp;"",[1]equip.xml!$A:$A,0))</f>
        <v>195000</v>
      </c>
      <c r="H5242" s="8" t="str">
        <f t="shared" ref="H5242:J5242" si="7105">H5154</f>
        <v>10_10,50_20,80_30</v>
      </c>
      <c r="I5242" s="8">
        <v>6</v>
      </c>
      <c r="J5242" s="8">
        <f t="shared" si="7105"/>
        <v>50</v>
      </c>
      <c r="K5242" s="7" t="s">
        <v>312</v>
      </c>
      <c r="L5242" s="8">
        <v>44</v>
      </c>
      <c r="M5242" s="7">
        <f>IF(INDEX([1]equip.xml!$B:$B,MATCH(D5242&amp;"",[1]equip.xml!$A:$A,0))=0,0,N5242)</f>
        <v>100</v>
      </c>
      <c r="N5242" s="7">
        <f t="shared" si="7002"/>
        <v>100</v>
      </c>
    </row>
    <row r="5243" spans="1:14">
      <c r="A5243" s="7">
        <f t="shared" si="7081"/>
        <v>30018</v>
      </c>
      <c r="B5243" s="8">
        <f t="shared" ref="B5243:C5243" si="7106">B5155</f>
        <v>40000</v>
      </c>
      <c r="C5243" s="8" t="str">
        <f t="shared" si="7106"/>
        <v>装备</v>
      </c>
      <c r="D5243" s="8">
        <v>40650071</v>
      </c>
      <c r="E5243" s="8"/>
      <c r="F5243" s="8">
        <v>1</v>
      </c>
      <c r="G5243" s="7">
        <f>3*INDEX([1]equip.xml!$I:$I,MATCH(D5243&amp;"",[1]equip.xml!$A:$A,0))</f>
        <v>204000</v>
      </c>
      <c r="H5243" s="8" t="str">
        <f t="shared" ref="H5243:J5243" si="7107">H5155</f>
        <v>10_10,50_20,80_30</v>
      </c>
      <c r="I5243" s="8">
        <v>6</v>
      </c>
      <c r="J5243" s="8">
        <f t="shared" si="7107"/>
        <v>50</v>
      </c>
      <c r="K5243" s="7" t="s">
        <v>312</v>
      </c>
      <c r="L5243" s="8">
        <v>44</v>
      </c>
      <c r="M5243" s="7">
        <f>IF(INDEX([1]equip.xml!$B:$B,MATCH(D5243&amp;"",[1]equip.xml!$A:$A,0))=0,0,N5243)</f>
        <v>0</v>
      </c>
      <c r="N5243" s="7">
        <f t="shared" si="7002"/>
        <v>100</v>
      </c>
    </row>
    <row r="5244" spans="1:14">
      <c r="A5244" s="7">
        <f t="shared" si="7081"/>
        <v>30018</v>
      </c>
      <c r="B5244" s="8">
        <f t="shared" ref="B5244:C5244" si="7108">B5156</f>
        <v>40000</v>
      </c>
      <c r="C5244" s="8" t="str">
        <f t="shared" si="7108"/>
        <v>装备</v>
      </c>
      <c r="D5244" s="8">
        <v>40700010</v>
      </c>
      <c r="E5244" s="8"/>
      <c r="F5244" s="8">
        <v>1</v>
      </c>
      <c r="G5244" s="7">
        <f>3*INDEX([1]equip.xml!$I:$I,MATCH(D5244&amp;"",[1]equip.xml!$A:$A,0))</f>
        <v>210000</v>
      </c>
      <c r="H5244" s="8" t="str">
        <f t="shared" ref="H5244:J5244" si="7109">H5156</f>
        <v>10_10,50_20,80_30</v>
      </c>
      <c r="I5244" s="8">
        <v>6</v>
      </c>
      <c r="J5244" s="8">
        <f t="shared" si="7109"/>
        <v>50</v>
      </c>
      <c r="K5244" s="7" t="s">
        <v>312</v>
      </c>
      <c r="L5244" s="8">
        <v>44</v>
      </c>
      <c r="M5244" s="7">
        <f>IF(INDEX([1]equip.xml!$B:$B,MATCH(D5244&amp;"",[1]equip.xml!$A:$A,0))=0,0,N5244)</f>
        <v>70</v>
      </c>
      <c r="N5244" s="7">
        <f t="shared" si="7002"/>
        <v>70</v>
      </c>
    </row>
    <row r="5245" spans="1:14">
      <c r="A5245" s="7">
        <f t="shared" si="7081"/>
        <v>30018</v>
      </c>
      <c r="B5245" s="8">
        <f t="shared" ref="B5245:C5245" si="7110">B5157</f>
        <v>40000</v>
      </c>
      <c r="C5245" s="8" t="str">
        <f t="shared" si="7110"/>
        <v>装备</v>
      </c>
      <c r="D5245" s="8">
        <v>40700020</v>
      </c>
      <c r="E5245" s="8"/>
      <c r="F5245" s="8">
        <v>1</v>
      </c>
      <c r="G5245" s="7">
        <f>3*INDEX([1]equip.xml!$I:$I,MATCH(D5245&amp;"",[1]equip.xml!$A:$A,0))</f>
        <v>210000</v>
      </c>
      <c r="H5245" s="8" t="str">
        <f t="shared" ref="H5245:J5245" si="7111">H5157</f>
        <v>10_10,50_20,80_30</v>
      </c>
      <c r="I5245" s="8">
        <v>6</v>
      </c>
      <c r="J5245" s="8">
        <f t="shared" si="7111"/>
        <v>50</v>
      </c>
      <c r="K5245" s="7" t="s">
        <v>312</v>
      </c>
      <c r="L5245" s="8">
        <v>44</v>
      </c>
      <c r="M5245" s="7">
        <f>IF(INDEX([1]equip.xml!$B:$B,MATCH(D5245&amp;"",[1]equip.xml!$A:$A,0))=0,0,N5245)</f>
        <v>70</v>
      </c>
      <c r="N5245" s="7">
        <f t="shared" si="7002"/>
        <v>70</v>
      </c>
    </row>
    <row r="5246" spans="1:14">
      <c r="A5246" s="7">
        <f t="shared" si="7081"/>
        <v>30018</v>
      </c>
      <c r="B5246" s="8">
        <f t="shared" ref="B5246:C5246" si="7112">B5158</f>
        <v>40000</v>
      </c>
      <c r="C5246" s="8" t="str">
        <f t="shared" si="7112"/>
        <v>装备</v>
      </c>
      <c r="D5246" s="8">
        <v>40700030</v>
      </c>
      <c r="E5246" s="8"/>
      <c r="F5246" s="8">
        <v>1</v>
      </c>
      <c r="G5246" s="7">
        <f>3*INDEX([1]equip.xml!$I:$I,MATCH(D5246&amp;"",[1]equip.xml!$A:$A,0))</f>
        <v>210000</v>
      </c>
      <c r="H5246" s="8" t="str">
        <f t="shared" ref="H5246:J5246" si="7113">H5158</f>
        <v>10_10,50_20,80_30</v>
      </c>
      <c r="I5246" s="8">
        <v>6</v>
      </c>
      <c r="J5246" s="8">
        <f t="shared" si="7113"/>
        <v>50</v>
      </c>
      <c r="K5246" s="7" t="s">
        <v>312</v>
      </c>
      <c r="L5246" s="8">
        <v>44</v>
      </c>
      <c r="M5246" s="7">
        <f>IF(INDEX([1]equip.xml!$B:$B,MATCH(D5246&amp;"",[1]equip.xml!$A:$A,0))=0,0,N5246)</f>
        <v>70</v>
      </c>
      <c r="N5246" s="7">
        <f t="shared" si="7002"/>
        <v>70</v>
      </c>
    </row>
    <row r="5247" spans="1:14">
      <c r="A5247" s="7">
        <f t="shared" si="7081"/>
        <v>30018</v>
      </c>
      <c r="B5247" s="8">
        <f t="shared" ref="B5247:C5247" si="7114">B5159</f>
        <v>40000</v>
      </c>
      <c r="C5247" s="8" t="str">
        <f t="shared" si="7114"/>
        <v>装备</v>
      </c>
      <c r="D5247" s="8">
        <v>40700080</v>
      </c>
      <c r="E5247" s="8"/>
      <c r="F5247" s="8">
        <v>1</v>
      </c>
      <c r="G5247" s="7">
        <f>3*INDEX([1]equip.xml!$I:$I,MATCH(D5247&amp;"",[1]equip.xml!$A:$A,0))</f>
        <v>210000</v>
      </c>
      <c r="H5247" s="8" t="str">
        <f t="shared" ref="H5247:J5247" si="7115">H5159</f>
        <v>10_10,50_20,80_30</v>
      </c>
      <c r="I5247" s="8">
        <v>6</v>
      </c>
      <c r="J5247" s="8">
        <f t="shared" si="7115"/>
        <v>50</v>
      </c>
      <c r="K5247" s="7" t="s">
        <v>312</v>
      </c>
      <c r="L5247" s="8">
        <v>44</v>
      </c>
      <c r="M5247" s="7">
        <f>IF(INDEX([1]equip.xml!$B:$B,MATCH(D5247&amp;"",[1]equip.xml!$A:$A,0))=0,0,N5247)</f>
        <v>70</v>
      </c>
      <c r="N5247" s="7">
        <f t="shared" si="7002"/>
        <v>70</v>
      </c>
    </row>
    <row r="5248" spans="1:14">
      <c r="A5248" s="7">
        <f t="shared" si="7081"/>
        <v>30018</v>
      </c>
      <c r="B5248" s="8">
        <f t="shared" ref="B5248:C5248" si="7116">B5160</f>
        <v>40000</v>
      </c>
      <c r="C5248" s="8" t="str">
        <f t="shared" si="7116"/>
        <v>装备</v>
      </c>
      <c r="D5248" s="8">
        <v>40700090</v>
      </c>
      <c r="E5248" s="8"/>
      <c r="F5248" s="8">
        <v>1</v>
      </c>
      <c r="G5248" s="7">
        <f>3*INDEX([1]equip.xml!$I:$I,MATCH(D5248&amp;"",[1]equip.xml!$A:$A,0))</f>
        <v>210000</v>
      </c>
      <c r="H5248" s="8" t="str">
        <f t="shared" ref="H5248:J5248" si="7117">H5160</f>
        <v>10_10,50_20,80_30</v>
      </c>
      <c r="I5248" s="8">
        <v>6</v>
      </c>
      <c r="J5248" s="8">
        <f t="shared" si="7117"/>
        <v>50</v>
      </c>
      <c r="K5248" s="7" t="s">
        <v>312</v>
      </c>
      <c r="L5248" s="8">
        <v>44</v>
      </c>
      <c r="M5248" s="7">
        <f>IF(INDEX([1]equip.xml!$B:$B,MATCH(D5248&amp;"",[1]equip.xml!$A:$A,0))=0,0,N5248)</f>
        <v>70</v>
      </c>
      <c r="N5248" s="7">
        <f t="shared" si="7002"/>
        <v>70</v>
      </c>
    </row>
    <row r="5249" spans="1:14">
      <c r="A5249" s="7">
        <f t="shared" si="7081"/>
        <v>30018</v>
      </c>
      <c r="B5249" s="8">
        <f t="shared" ref="B5249:C5249" si="7118">B5161</f>
        <v>40000</v>
      </c>
      <c r="C5249" s="8" t="str">
        <f t="shared" si="7118"/>
        <v>装备</v>
      </c>
      <c r="D5249" s="8">
        <v>40700100</v>
      </c>
      <c r="E5249" s="8"/>
      <c r="F5249" s="8">
        <v>1</v>
      </c>
      <c r="G5249" s="7">
        <f>3*INDEX([1]equip.xml!$I:$I,MATCH(D5249&amp;"",[1]equip.xml!$A:$A,0))</f>
        <v>210000</v>
      </c>
      <c r="H5249" s="8" t="str">
        <f t="shared" ref="H5249:J5249" si="7119">H5161</f>
        <v>10_10,50_20,80_30</v>
      </c>
      <c r="I5249" s="8">
        <v>6</v>
      </c>
      <c r="J5249" s="8">
        <f t="shared" si="7119"/>
        <v>50</v>
      </c>
      <c r="K5249" s="7" t="s">
        <v>312</v>
      </c>
      <c r="L5249" s="8">
        <v>44</v>
      </c>
      <c r="M5249" s="7">
        <f>IF(INDEX([1]equip.xml!$B:$B,MATCH(D5249&amp;"",[1]equip.xml!$A:$A,0))=0,0,N5249)</f>
        <v>70</v>
      </c>
      <c r="N5249" s="7">
        <f t="shared" si="7002"/>
        <v>70</v>
      </c>
    </row>
    <row r="5250" spans="1:14">
      <c r="A5250" s="7">
        <f t="shared" si="7081"/>
        <v>30018</v>
      </c>
      <c r="B5250" s="8">
        <f t="shared" ref="B5250:C5250" si="7120">B5162</f>
        <v>40000</v>
      </c>
      <c r="C5250" s="8" t="str">
        <f t="shared" si="7120"/>
        <v>装备</v>
      </c>
      <c r="D5250" s="8">
        <v>40701050</v>
      </c>
      <c r="E5250" s="8"/>
      <c r="F5250" s="8">
        <v>1</v>
      </c>
      <c r="G5250" s="7">
        <f>3*INDEX([1]equip.xml!$I:$I,MATCH(D5250&amp;"",[1]equip.xml!$A:$A,0))</f>
        <v>210000</v>
      </c>
      <c r="H5250" s="8" t="str">
        <f t="shared" ref="H5250:J5250" si="7121">H5162</f>
        <v>10_10,50_20,80_30</v>
      </c>
      <c r="I5250" s="8">
        <v>6</v>
      </c>
      <c r="J5250" s="8">
        <f t="shared" si="7121"/>
        <v>50</v>
      </c>
      <c r="K5250" s="7" t="s">
        <v>312</v>
      </c>
      <c r="L5250" s="8">
        <v>44</v>
      </c>
      <c r="M5250" s="7">
        <f>IF(INDEX([1]equip.xml!$B:$B,MATCH(D5250&amp;"",[1]equip.xml!$A:$A,0))=0,0,N5250)</f>
        <v>70</v>
      </c>
      <c r="N5250" s="7">
        <f t="shared" si="7002"/>
        <v>70</v>
      </c>
    </row>
    <row r="5251" spans="1:14">
      <c r="A5251" s="7">
        <f t="shared" si="7081"/>
        <v>30018</v>
      </c>
      <c r="B5251" s="8">
        <f t="shared" ref="B5251:C5251" si="7122">B5163</f>
        <v>40000</v>
      </c>
      <c r="C5251" s="8" t="str">
        <f t="shared" si="7122"/>
        <v>装备</v>
      </c>
      <c r="D5251" s="8">
        <v>40701051</v>
      </c>
      <c r="E5251" s="8"/>
      <c r="F5251" s="8">
        <v>1</v>
      </c>
      <c r="G5251" s="7">
        <f>3*INDEX([1]equip.xml!$I:$I,MATCH(D5251&amp;"",[1]equip.xml!$A:$A,0))</f>
        <v>219000</v>
      </c>
      <c r="H5251" s="8" t="str">
        <f t="shared" ref="H5251:J5251" si="7123">H5163</f>
        <v>10_10,50_20,80_30</v>
      </c>
      <c r="I5251" s="8">
        <v>6</v>
      </c>
      <c r="J5251" s="8">
        <f t="shared" si="7123"/>
        <v>50</v>
      </c>
      <c r="K5251" s="7" t="s">
        <v>312</v>
      </c>
      <c r="L5251" s="8">
        <v>44</v>
      </c>
      <c r="M5251" s="7">
        <f>IF(INDEX([1]equip.xml!$B:$B,MATCH(D5251&amp;"",[1]equip.xml!$A:$A,0))=0,0,N5251)</f>
        <v>0</v>
      </c>
      <c r="N5251" s="7">
        <f t="shared" si="7002"/>
        <v>70</v>
      </c>
    </row>
    <row r="5252" spans="1:14">
      <c r="A5252" s="7">
        <f t="shared" si="7081"/>
        <v>30018</v>
      </c>
      <c r="B5252" s="8">
        <f t="shared" ref="B5252:C5252" si="7124">B5164</f>
        <v>40000</v>
      </c>
      <c r="C5252" s="8" t="str">
        <f t="shared" si="7124"/>
        <v>装备</v>
      </c>
      <c r="D5252" s="8">
        <v>40701060</v>
      </c>
      <c r="E5252" s="8"/>
      <c r="F5252" s="8">
        <v>1</v>
      </c>
      <c r="G5252" s="7">
        <f>3*INDEX([1]equip.xml!$I:$I,MATCH(D5252&amp;"",[1]equip.xml!$A:$A,0))</f>
        <v>210000</v>
      </c>
      <c r="H5252" s="8" t="str">
        <f t="shared" ref="H5252:J5252" si="7125">H5164</f>
        <v>10_10,50_20,80_30</v>
      </c>
      <c r="I5252" s="8">
        <v>6</v>
      </c>
      <c r="J5252" s="8">
        <f t="shared" si="7125"/>
        <v>50</v>
      </c>
      <c r="K5252" s="7" t="s">
        <v>312</v>
      </c>
      <c r="L5252" s="8">
        <v>44</v>
      </c>
      <c r="M5252" s="7">
        <f>IF(INDEX([1]equip.xml!$B:$B,MATCH(D5252&amp;"",[1]equip.xml!$A:$A,0))=0,0,N5252)</f>
        <v>70</v>
      </c>
      <c r="N5252" s="7">
        <f t="shared" si="7002"/>
        <v>70</v>
      </c>
    </row>
    <row r="5253" spans="1:14">
      <c r="A5253" s="7">
        <f t="shared" si="7081"/>
        <v>30018</v>
      </c>
      <c r="B5253" s="8">
        <f t="shared" ref="B5253:C5253" si="7126">B5165</f>
        <v>40000</v>
      </c>
      <c r="C5253" s="8" t="str">
        <f t="shared" si="7126"/>
        <v>装备</v>
      </c>
      <c r="D5253" s="8">
        <v>40701061</v>
      </c>
      <c r="E5253" s="8"/>
      <c r="F5253" s="8">
        <v>1</v>
      </c>
      <c r="G5253" s="7">
        <f>3*INDEX([1]equip.xml!$I:$I,MATCH(D5253&amp;"",[1]equip.xml!$A:$A,0))</f>
        <v>219000</v>
      </c>
      <c r="H5253" s="8" t="str">
        <f t="shared" ref="H5253:J5253" si="7127">H5165</f>
        <v>10_10,50_20,80_30</v>
      </c>
      <c r="I5253" s="8">
        <v>6</v>
      </c>
      <c r="J5253" s="8">
        <f t="shared" si="7127"/>
        <v>50</v>
      </c>
      <c r="K5253" s="7" t="s">
        <v>312</v>
      </c>
      <c r="L5253" s="8">
        <v>44</v>
      </c>
      <c r="M5253" s="7">
        <f>IF(INDEX([1]equip.xml!$B:$B,MATCH(D5253&amp;"",[1]equip.xml!$A:$A,0))=0,0,N5253)</f>
        <v>0</v>
      </c>
      <c r="N5253" s="7">
        <f t="shared" si="7002"/>
        <v>70</v>
      </c>
    </row>
    <row r="5254" spans="1:14">
      <c r="A5254" s="7">
        <f t="shared" si="7081"/>
        <v>30018</v>
      </c>
      <c r="B5254" s="8">
        <f t="shared" ref="B5254:C5254" si="7128">B5166</f>
        <v>40000</v>
      </c>
      <c r="C5254" s="8" t="str">
        <f t="shared" si="7128"/>
        <v>装备</v>
      </c>
      <c r="D5254" s="8">
        <v>40702050</v>
      </c>
      <c r="E5254" s="8"/>
      <c r="F5254" s="8">
        <v>1</v>
      </c>
      <c r="G5254" s="7">
        <f>3*INDEX([1]equip.xml!$I:$I,MATCH(D5254&amp;"",[1]equip.xml!$A:$A,0))</f>
        <v>210000</v>
      </c>
      <c r="H5254" s="8" t="str">
        <f t="shared" ref="H5254:J5254" si="7129">H5166</f>
        <v>10_10,50_20,80_30</v>
      </c>
      <c r="I5254" s="8">
        <v>6</v>
      </c>
      <c r="J5254" s="8">
        <f t="shared" si="7129"/>
        <v>50</v>
      </c>
      <c r="K5254" s="7" t="s">
        <v>312</v>
      </c>
      <c r="L5254" s="8">
        <v>44</v>
      </c>
      <c r="M5254" s="7">
        <f>IF(INDEX([1]equip.xml!$B:$B,MATCH(D5254&amp;"",[1]equip.xml!$A:$A,0))=0,0,N5254)</f>
        <v>70</v>
      </c>
      <c r="N5254" s="7">
        <f t="shared" si="7002"/>
        <v>70</v>
      </c>
    </row>
    <row r="5255" spans="1:14">
      <c r="A5255" s="7">
        <f t="shared" si="7081"/>
        <v>30018</v>
      </c>
      <c r="B5255" s="8">
        <f t="shared" ref="B5255:C5255" si="7130">B5167</f>
        <v>40000</v>
      </c>
      <c r="C5255" s="8" t="str">
        <f t="shared" si="7130"/>
        <v>装备</v>
      </c>
      <c r="D5255" s="8">
        <v>40702051</v>
      </c>
      <c r="E5255" s="8"/>
      <c r="F5255" s="8">
        <v>1</v>
      </c>
      <c r="G5255" s="7">
        <f>3*INDEX([1]equip.xml!$I:$I,MATCH(D5255&amp;"",[1]equip.xml!$A:$A,0))</f>
        <v>219000</v>
      </c>
      <c r="H5255" s="8" t="str">
        <f t="shared" ref="H5255:J5255" si="7131">H5167</f>
        <v>10_10,50_20,80_30</v>
      </c>
      <c r="I5255" s="8">
        <v>6</v>
      </c>
      <c r="J5255" s="8">
        <f t="shared" si="7131"/>
        <v>50</v>
      </c>
      <c r="K5255" s="7" t="s">
        <v>312</v>
      </c>
      <c r="L5255" s="8">
        <v>44</v>
      </c>
      <c r="M5255" s="7">
        <f>IF(INDEX([1]equip.xml!$B:$B,MATCH(D5255&amp;"",[1]equip.xml!$A:$A,0))=0,0,N5255)</f>
        <v>0</v>
      </c>
      <c r="N5255" s="7">
        <f t="shared" ref="N5255:N5309" si="7132">N5167</f>
        <v>70</v>
      </c>
    </row>
    <row r="5256" spans="1:14">
      <c r="A5256" s="7">
        <f t="shared" si="7081"/>
        <v>30018</v>
      </c>
      <c r="B5256" s="8">
        <f t="shared" ref="B5256:C5256" si="7133">B5168</f>
        <v>40000</v>
      </c>
      <c r="C5256" s="8" t="str">
        <f t="shared" si="7133"/>
        <v>装备</v>
      </c>
      <c r="D5256" s="8">
        <v>40702060</v>
      </c>
      <c r="E5256" s="8"/>
      <c r="F5256" s="8">
        <v>1</v>
      </c>
      <c r="G5256" s="7">
        <f>3*INDEX([1]equip.xml!$I:$I,MATCH(D5256&amp;"",[1]equip.xml!$A:$A,0))</f>
        <v>210000</v>
      </c>
      <c r="H5256" s="8" t="str">
        <f t="shared" ref="H5256:J5256" si="7134">H5168</f>
        <v>10_10,50_20,80_30</v>
      </c>
      <c r="I5256" s="8">
        <v>6</v>
      </c>
      <c r="J5256" s="8">
        <f t="shared" si="7134"/>
        <v>50</v>
      </c>
      <c r="K5256" s="7" t="s">
        <v>312</v>
      </c>
      <c r="L5256" s="8">
        <v>44</v>
      </c>
      <c r="M5256" s="7">
        <f>IF(INDEX([1]equip.xml!$B:$B,MATCH(D5256&amp;"",[1]equip.xml!$A:$A,0))=0,0,N5256)</f>
        <v>70</v>
      </c>
      <c r="N5256" s="7">
        <f t="shared" si="7132"/>
        <v>70</v>
      </c>
    </row>
    <row r="5257" spans="1:14">
      <c r="A5257" s="7">
        <f t="shared" si="7081"/>
        <v>30018</v>
      </c>
      <c r="B5257" s="8">
        <f t="shared" ref="B5257:C5257" si="7135">B5169</f>
        <v>40000</v>
      </c>
      <c r="C5257" s="8" t="str">
        <f t="shared" si="7135"/>
        <v>装备</v>
      </c>
      <c r="D5257" s="8">
        <v>40702061</v>
      </c>
      <c r="E5257" s="8"/>
      <c r="F5257" s="8">
        <v>1</v>
      </c>
      <c r="G5257" s="7">
        <f>3*INDEX([1]equip.xml!$I:$I,MATCH(D5257&amp;"",[1]equip.xml!$A:$A,0))</f>
        <v>219000</v>
      </c>
      <c r="H5257" s="8" t="str">
        <f t="shared" ref="H5257:J5257" si="7136">H5169</f>
        <v>10_10,50_20,80_30</v>
      </c>
      <c r="I5257" s="8">
        <v>6</v>
      </c>
      <c r="J5257" s="8">
        <f t="shared" si="7136"/>
        <v>50</v>
      </c>
      <c r="K5257" s="7" t="s">
        <v>312</v>
      </c>
      <c r="L5257" s="8">
        <v>44</v>
      </c>
      <c r="M5257" s="7">
        <f>IF(INDEX([1]equip.xml!$B:$B,MATCH(D5257&amp;"",[1]equip.xml!$A:$A,0))=0,0,N5257)</f>
        <v>0</v>
      </c>
      <c r="N5257" s="7">
        <f t="shared" si="7132"/>
        <v>70</v>
      </c>
    </row>
    <row r="5258" spans="1:14">
      <c r="A5258" s="7">
        <f t="shared" si="7081"/>
        <v>30018</v>
      </c>
      <c r="B5258" s="8">
        <f t="shared" ref="B5258:C5258" si="7137">B5170</f>
        <v>40000</v>
      </c>
      <c r="C5258" s="8" t="str">
        <f t="shared" si="7137"/>
        <v>装备</v>
      </c>
      <c r="D5258" s="8">
        <v>40703050</v>
      </c>
      <c r="E5258" s="8"/>
      <c r="F5258" s="8">
        <v>1</v>
      </c>
      <c r="G5258" s="7">
        <f>3*INDEX([1]equip.xml!$I:$I,MATCH(D5258&amp;"",[1]equip.xml!$A:$A,0))</f>
        <v>210000</v>
      </c>
      <c r="H5258" s="8" t="str">
        <f t="shared" ref="H5258:J5258" si="7138">H5170</f>
        <v>10_10,50_20,80_30</v>
      </c>
      <c r="I5258" s="8">
        <v>6</v>
      </c>
      <c r="J5258" s="8">
        <f t="shared" si="7138"/>
        <v>50</v>
      </c>
      <c r="K5258" s="7" t="s">
        <v>312</v>
      </c>
      <c r="L5258" s="8">
        <v>44</v>
      </c>
      <c r="M5258" s="7">
        <f>IF(INDEX([1]equip.xml!$B:$B,MATCH(D5258&amp;"",[1]equip.xml!$A:$A,0))=0,0,N5258)</f>
        <v>70</v>
      </c>
      <c r="N5258" s="7">
        <f t="shared" si="7132"/>
        <v>70</v>
      </c>
    </row>
    <row r="5259" spans="1:14">
      <c r="A5259" s="7">
        <f t="shared" si="7081"/>
        <v>30018</v>
      </c>
      <c r="B5259" s="8">
        <f t="shared" ref="B5259:C5259" si="7139">B5171</f>
        <v>40000</v>
      </c>
      <c r="C5259" s="8" t="str">
        <f t="shared" si="7139"/>
        <v>装备</v>
      </c>
      <c r="D5259" s="8">
        <v>40703051</v>
      </c>
      <c r="E5259" s="8"/>
      <c r="F5259" s="8">
        <v>1</v>
      </c>
      <c r="G5259" s="7">
        <f>3*INDEX([1]equip.xml!$I:$I,MATCH(D5259&amp;"",[1]equip.xml!$A:$A,0))</f>
        <v>219000</v>
      </c>
      <c r="H5259" s="8" t="str">
        <f t="shared" ref="H5259:J5259" si="7140">H5171</f>
        <v>10_10,50_20,80_30</v>
      </c>
      <c r="I5259" s="8">
        <v>6</v>
      </c>
      <c r="J5259" s="8">
        <f t="shared" si="7140"/>
        <v>50</v>
      </c>
      <c r="K5259" s="7" t="s">
        <v>312</v>
      </c>
      <c r="L5259" s="8">
        <v>44</v>
      </c>
      <c r="M5259" s="7">
        <f>IF(INDEX([1]equip.xml!$B:$B,MATCH(D5259&amp;"",[1]equip.xml!$A:$A,0))=0,0,N5259)</f>
        <v>0</v>
      </c>
      <c r="N5259" s="7">
        <f t="shared" si="7132"/>
        <v>70</v>
      </c>
    </row>
    <row r="5260" spans="1:14">
      <c r="A5260" s="7">
        <f t="shared" si="7081"/>
        <v>30018</v>
      </c>
      <c r="B5260" s="8">
        <f t="shared" ref="B5260:C5260" si="7141">B5172</f>
        <v>40000</v>
      </c>
      <c r="C5260" s="8" t="str">
        <f t="shared" si="7141"/>
        <v>装备</v>
      </c>
      <c r="D5260" s="8">
        <v>40703060</v>
      </c>
      <c r="E5260" s="8"/>
      <c r="F5260" s="8">
        <v>1</v>
      </c>
      <c r="G5260" s="7">
        <f>3*INDEX([1]equip.xml!$I:$I,MATCH(D5260&amp;"",[1]equip.xml!$A:$A,0))</f>
        <v>210000</v>
      </c>
      <c r="H5260" s="8" t="str">
        <f t="shared" ref="H5260:J5260" si="7142">H5172</f>
        <v>10_10,50_20,80_30</v>
      </c>
      <c r="I5260" s="8">
        <v>6</v>
      </c>
      <c r="J5260" s="8">
        <f t="shared" si="7142"/>
        <v>50</v>
      </c>
      <c r="K5260" s="7" t="s">
        <v>312</v>
      </c>
      <c r="L5260" s="8">
        <v>44</v>
      </c>
      <c r="M5260" s="7">
        <f>IF(INDEX([1]equip.xml!$B:$B,MATCH(D5260&amp;"",[1]equip.xml!$A:$A,0))=0,0,N5260)</f>
        <v>70</v>
      </c>
      <c r="N5260" s="7">
        <f t="shared" si="7132"/>
        <v>70</v>
      </c>
    </row>
    <row r="5261" spans="1:14">
      <c r="A5261" s="7">
        <f t="shared" si="7081"/>
        <v>30018</v>
      </c>
      <c r="B5261" s="8">
        <f t="shared" ref="B5261:C5261" si="7143">B5173</f>
        <v>40000</v>
      </c>
      <c r="C5261" s="8" t="str">
        <f t="shared" si="7143"/>
        <v>装备</v>
      </c>
      <c r="D5261" s="8">
        <v>40703061</v>
      </c>
      <c r="E5261" s="8"/>
      <c r="F5261" s="8">
        <v>1</v>
      </c>
      <c r="G5261" s="7">
        <f>3*INDEX([1]equip.xml!$I:$I,MATCH(D5261&amp;"",[1]equip.xml!$A:$A,0))</f>
        <v>219000</v>
      </c>
      <c r="H5261" s="8" t="str">
        <f t="shared" ref="H5261:J5261" si="7144">H5173</f>
        <v>10_10,50_20,80_30</v>
      </c>
      <c r="I5261" s="8">
        <v>6</v>
      </c>
      <c r="J5261" s="8">
        <f t="shared" si="7144"/>
        <v>50</v>
      </c>
      <c r="K5261" s="7" t="s">
        <v>312</v>
      </c>
      <c r="L5261" s="8">
        <v>44</v>
      </c>
      <c r="M5261" s="7">
        <f>IF(INDEX([1]equip.xml!$B:$B,MATCH(D5261&amp;"",[1]equip.xml!$A:$A,0))=0,0,N5261)</f>
        <v>0</v>
      </c>
      <c r="N5261" s="7">
        <f t="shared" si="7132"/>
        <v>70</v>
      </c>
    </row>
    <row r="5262" spans="1:14">
      <c r="A5262" s="7">
        <f t="shared" si="7081"/>
        <v>30018</v>
      </c>
      <c r="B5262" s="8">
        <f t="shared" ref="B5262:C5262" si="7145">B5174</f>
        <v>40000</v>
      </c>
      <c r="C5262" s="8" t="str">
        <f t="shared" si="7145"/>
        <v>装备</v>
      </c>
      <c r="D5262" s="8">
        <v>40700040</v>
      </c>
      <c r="E5262" s="8"/>
      <c r="F5262" s="8">
        <v>1</v>
      </c>
      <c r="G5262" s="7">
        <f>3*INDEX([1]equip.xml!$I:$I,MATCH(D5262&amp;"",[1]equip.xml!$A:$A,0))</f>
        <v>210000</v>
      </c>
      <c r="H5262" s="8" t="str">
        <f t="shared" ref="H5262:J5262" si="7146">H5174</f>
        <v>10_10,50_20,80_30</v>
      </c>
      <c r="I5262" s="8">
        <v>6</v>
      </c>
      <c r="J5262" s="8">
        <f t="shared" si="7146"/>
        <v>50</v>
      </c>
      <c r="K5262" s="7" t="s">
        <v>312</v>
      </c>
      <c r="L5262" s="8">
        <v>44</v>
      </c>
      <c r="M5262" s="7">
        <f>IF(INDEX([1]equip.xml!$B:$B,MATCH(D5262&amp;"",[1]equip.xml!$A:$A,0))=0,0,N5262)</f>
        <v>70</v>
      </c>
      <c r="N5262" s="7">
        <f t="shared" si="7132"/>
        <v>70</v>
      </c>
    </row>
    <row r="5263" spans="1:14">
      <c r="A5263" s="7">
        <f t="shared" si="7081"/>
        <v>30018</v>
      </c>
      <c r="B5263" s="8">
        <f t="shared" ref="B5263:C5263" si="7147">B5175</f>
        <v>40000</v>
      </c>
      <c r="C5263" s="8" t="str">
        <f t="shared" si="7147"/>
        <v>装备</v>
      </c>
      <c r="D5263" s="8">
        <v>40700041</v>
      </c>
      <c r="E5263" s="8"/>
      <c r="F5263" s="8">
        <v>1</v>
      </c>
      <c r="G5263" s="7">
        <f>3*INDEX([1]equip.xml!$I:$I,MATCH(D5263&amp;"",[1]equip.xml!$A:$A,0))</f>
        <v>219000</v>
      </c>
      <c r="H5263" s="8" t="str">
        <f t="shared" ref="H5263:J5263" si="7148">H5175</f>
        <v>10_10,50_20,80_30</v>
      </c>
      <c r="I5263" s="8">
        <v>6</v>
      </c>
      <c r="J5263" s="8">
        <f t="shared" si="7148"/>
        <v>50</v>
      </c>
      <c r="K5263" s="7" t="s">
        <v>312</v>
      </c>
      <c r="L5263" s="8">
        <v>44</v>
      </c>
      <c r="M5263" s="7">
        <f>IF(INDEX([1]equip.xml!$B:$B,MATCH(D5263&amp;"",[1]equip.xml!$A:$A,0))=0,0,N5263)</f>
        <v>0</v>
      </c>
      <c r="N5263" s="7">
        <f t="shared" si="7132"/>
        <v>70</v>
      </c>
    </row>
    <row r="5264" spans="1:14">
      <c r="A5264" s="7">
        <f t="shared" si="7081"/>
        <v>30018</v>
      </c>
      <c r="B5264" s="8">
        <f t="shared" ref="B5264:C5264" si="7149">B5176</f>
        <v>40000</v>
      </c>
      <c r="C5264" s="8" t="str">
        <f t="shared" si="7149"/>
        <v>装备</v>
      </c>
      <c r="D5264" s="8">
        <v>40700070</v>
      </c>
      <c r="E5264" s="8"/>
      <c r="F5264" s="8">
        <v>1</v>
      </c>
      <c r="G5264" s="7">
        <f>3*INDEX([1]equip.xml!$I:$I,MATCH(D5264&amp;"",[1]equip.xml!$A:$A,0))</f>
        <v>210000</v>
      </c>
      <c r="H5264" s="8" t="str">
        <f t="shared" ref="H5264:J5264" si="7150">H5176</f>
        <v>10_10,50_20,80_30</v>
      </c>
      <c r="I5264" s="8">
        <v>6</v>
      </c>
      <c r="J5264" s="8">
        <f t="shared" si="7150"/>
        <v>50</v>
      </c>
      <c r="K5264" s="7" t="s">
        <v>312</v>
      </c>
      <c r="L5264" s="8">
        <v>44</v>
      </c>
      <c r="M5264" s="7">
        <f>IF(INDEX([1]equip.xml!$B:$B,MATCH(D5264&amp;"",[1]equip.xml!$A:$A,0))=0,0,N5264)</f>
        <v>70</v>
      </c>
      <c r="N5264" s="7">
        <f t="shared" si="7132"/>
        <v>70</v>
      </c>
    </row>
    <row r="5265" spans="1:14">
      <c r="A5265" s="7">
        <f t="shared" si="7081"/>
        <v>30018</v>
      </c>
      <c r="B5265" s="8">
        <f t="shared" ref="B5265:C5265" si="7151">B5177</f>
        <v>40000</v>
      </c>
      <c r="C5265" s="8" t="str">
        <f t="shared" si="7151"/>
        <v>装备</v>
      </c>
      <c r="D5265" s="8">
        <v>40700071</v>
      </c>
      <c r="E5265" s="8"/>
      <c r="F5265" s="8">
        <v>1</v>
      </c>
      <c r="G5265" s="7">
        <f>3*INDEX([1]equip.xml!$I:$I,MATCH(D5265&amp;"",[1]equip.xml!$A:$A,0))</f>
        <v>219000</v>
      </c>
      <c r="H5265" s="8" t="str">
        <f t="shared" ref="H5265:J5265" si="7152">H5177</f>
        <v>10_10,50_20,80_30</v>
      </c>
      <c r="I5265" s="8">
        <v>6</v>
      </c>
      <c r="J5265" s="8">
        <f t="shared" si="7152"/>
        <v>50</v>
      </c>
      <c r="K5265" s="7" t="s">
        <v>312</v>
      </c>
      <c r="L5265" s="8">
        <v>44</v>
      </c>
      <c r="M5265" s="7">
        <f>IF(INDEX([1]equip.xml!$B:$B,MATCH(D5265&amp;"",[1]equip.xml!$A:$A,0))=0,0,N5265)</f>
        <v>0</v>
      </c>
      <c r="N5265" s="7">
        <f t="shared" si="7132"/>
        <v>70</v>
      </c>
    </row>
    <row r="5266" spans="1:14">
      <c r="A5266" s="7">
        <f t="shared" si="7081"/>
        <v>30018</v>
      </c>
      <c r="B5266" s="8">
        <f t="shared" ref="B5266:C5266" si="7153">B5178</f>
        <v>40000</v>
      </c>
      <c r="C5266" s="8" t="str">
        <f t="shared" si="7153"/>
        <v>装备</v>
      </c>
      <c r="D5266" s="8">
        <v>50650015</v>
      </c>
      <c r="E5266" s="8"/>
      <c r="F5266" s="8">
        <v>1</v>
      </c>
      <c r="G5266" s="8">
        <f>3*INDEX([1]equip.xml!$I:$I,MATCH(D5266,[1]equip.xml!$A:$A,0))</f>
        <v>390000</v>
      </c>
      <c r="H5266" s="8" t="str">
        <f t="shared" ref="H5266:J5266" si="7154">H5178</f>
        <v>10_10,50_20,80_30</v>
      </c>
      <c r="I5266" s="8">
        <v>1</v>
      </c>
      <c r="J5266" s="8">
        <f t="shared" si="7154"/>
        <v>240</v>
      </c>
      <c r="K5266" s="7" t="s">
        <v>312</v>
      </c>
      <c r="L5266" s="8">
        <v>44</v>
      </c>
      <c r="M5266" s="7">
        <f>IF(INDEX([1]equip.xml!$B:$B,MATCH(D5266,[1]equip.xml!$A:$A,0))=0,0,N5266)</f>
        <v>200</v>
      </c>
      <c r="N5266" s="7">
        <f t="shared" si="7132"/>
        <v>200</v>
      </c>
    </row>
    <row r="5267" spans="1:14">
      <c r="A5267" s="7">
        <f t="shared" si="7081"/>
        <v>30018</v>
      </c>
      <c r="B5267" s="8">
        <f t="shared" ref="B5267:C5267" si="7155">B5179</f>
        <v>40000</v>
      </c>
      <c r="C5267" s="8" t="str">
        <f t="shared" si="7155"/>
        <v>装备</v>
      </c>
      <c r="D5267" s="8">
        <v>50650025</v>
      </c>
      <c r="E5267" s="8"/>
      <c r="F5267" s="8">
        <v>1</v>
      </c>
      <c r="G5267" s="8">
        <f>3*INDEX([1]equip.xml!$I:$I,MATCH(D5267,[1]equip.xml!$A:$A,0))</f>
        <v>390000</v>
      </c>
      <c r="H5267" s="8" t="str">
        <f t="shared" ref="H5267:J5267" si="7156">H5179</f>
        <v>10_10,50_20,80_30</v>
      </c>
      <c r="I5267" s="8">
        <v>1</v>
      </c>
      <c r="J5267" s="8">
        <f t="shared" si="7156"/>
        <v>240</v>
      </c>
      <c r="K5267" s="7" t="s">
        <v>312</v>
      </c>
      <c r="L5267" s="8">
        <v>44</v>
      </c>
      <c r="M5267" s="7">
        <f>IF(INDEX([1]equip.xml!$B:$B,MATCH(D5267,[1]equip.xml!$A:$A,0))=0,0,N5267)</f>
        <v>200</v>
      </c>
      <c r="N5267" s="7">
        <f t="shared" si="7132"/>
        <v>200</v>
      </c>
    </row>
    <row r="5268" spans="1:14">
      <c r="A5268" s="7">
        <f t="shared" si="7081"/>
        <v>30018</v>
      </c>
      <c r="B5268" s="8">
        <f t="shared" ref="B5268:C5268" si="7157">B5180</f>
        <v>40000</v>
      </c>
      <c r="C5268" s="8" t="str">
        <f t="shared" si="7157"/>
        <v>装备</v>
      </c>
      <c r="D5268" s="8">
        <v>50650035</v>
      </c>
      <c r="E5268" s="8"/>
      <c r="F5268" s="8">
        <v>1</v>
      </c>
      <c r="G5268" s="8">
        <f>3*INDEX([1]equip.xml!$I:$I,MATCH(D5268,[1]equip.xml!$A:$A,0))</f>
        <v>390000</v>
      </c>
      <c r="H5268" s="8" t="str">
        <f t="shared" ref="H5268:J5268" si="7158">H5180</f>
        <v>10_10,50_20,80_30</v>
      </c>
      <c r="I5268" s="8">
        <v>1</v>
      </c>
      <c r="J5268" s="8">
        <f t="shared" si="7158"/>
        <v>240</v>
      </c>
      <c r="K5268" s="7" t="s">
        <v>312</v>
      </c>
      <c r="L5268" s="8">
        <v>44</v>
      </c>
      <c r="M5268" s="7">
        <f>IF(INDEX([1]equip.xml!$B:$B,MATCH(D5268,[1]equip.xml!$A:$A,0))=0,0,N5268)</f>
        <v>200</v>
      </c>
      <c r="N5268" s="7">
        <f t="shared" si="7132"/>
        <v>200</v>
      </c>
    </row>
    <row r="5269" spans="1:14">
      <c r="A5269" s="7">
        <f t="shared" si="7081"/>
        <v>30018</v>
      </c>
      <c r="B5269" s="8">
        <f t="shared" ref="B5269:C5269" si="7159">B5181</f>
        <v>40000</v>
      </c>
      <c r="C5269" s="8" t="str">
        <f t="shared" si="7159"/>
        <v>装备</v>
      </c>
      <c r="D5269" s="8">
        <v>50650085</v>
      </c>
      <c r="E5269" s="8"/>
      <c r="F5269" s="8">
        <v>1</v>
      </c>
      <c r="G5269" s="8">
        <f>3*INDEX([1]equip.xml!$I:$I,MATCH(D5269,[1]equip.xml!$A:$A,0))</f>
        <v>390000</v>
      </c>
      <c r="H5269" s="8" t="str">
        <f t="shared" ref="H5269:J5269" si="7160">H5181</f>
        <v>10_10,50_20,80_30</v>
      </c>
      <c r="I5269" s="8">
        <v>1</v>
      </c>
      <c r="J5269" s="8">
        <f t="shared" si="7160"/>
        <v>240</v>
      </c>
      <c r="K5269" s="7" t="s">
        <v>312</v>
      </c>
      <c r="L5269" s="8">
        <v>44</v>
      </c>
      <c r="M5269" s="7">
        <f>IF(INDEX([1]equip.xml!$B:$B,MATCH(D5269,[1]equip.xml!$A:$A,0))=0,0,N5269)</f>
        <v>200</v>
      </c>
      <c r="N5269" s="7">
        <f t="shared" si="7132"/>
        <v>200</v>
      </c>
    </row>
    <row r="5270" spans="1:14">
      <c r="A5270" s="7">
        <f t="shared" si="7081"/>
        <v>30018</v>
      </c>
      <c r="B5270" s="8">
        <f t="shared" ref="B5270:C5270" si="7161">B5182</f>
        <v>40000</v>
      </c>
      <c r="C5270" s="8" t="str">
        <f t="shared" si="7161"/>
        <v>装备</v>
      </c>
      <c r="D5270" s="8">
        <v>50650095</v>
      </c>
      <c r="E5270" s="8"/>
      <c r="F5270" s="8">
        <v>1</v>
      </c>
      <c r="G5270" s="8">
        <f>3*INDEX([1]equip.xml!$I:$I,MATCH(D5270,[1]equip.xml!$A:$A,0))</f>
        <v>390000</v>
      </c>
      <c r="H5270" s="8" t="str">
        <f t="shared" ref="H5270:J5270" si="7162">H5182</f>
        <v>10_10,50_20,80_30</v>
      </c>
      <c r="I5270" s="8">
        <v>1</v>
      </c>
      <c r="J5270" s="8">
        <f t="shared" si="7162"/>
        <v>240</v>
      </c>
      <c r="K5270" s="7" t="s">
        <v>312</v>
      </c>
      <c r="L5270" s="8">
        <v>44</v>
      </c>
      <c r="M5270" s="7">
        <f>IF(INDEX([1]equip.xml!$B:$B,MATCH(D5270,[1]equip.xml!$A:$A,0))=0,0,N5270)</f>
        <v>200</v>
      </c>
      <c r="N5270" s="7">
        <f t="shared" si="7132"/>
        <v>200</v>
      </c>
    </row>
    <row r="5271" spans="1:14">
      <c r="A5271" s="7">
        <f t="shared" si="7081"/>
        <v>30018</v>
      </c>
      <c r="B5271" s="8">
        <f t="shared" ref="B5271:C5271" si="7163">B5183</f>
        <v>40000</v>
      </c>
      <c r="C5271" s="8" t="str">
        <f t="shared" si="7163"/>
        <v>装备</v>
      </c>
      <c r="D5271" s="8">
        <v>50650105</v>
      </c>
      <c r="E5271" s="8"/>
      <c r="F5271" s="8">
        <v>1</v>
      </c>
      <c r="G5271" s="8">
        <f>3*INDEX([1]equip.xml!$I:$I,MATCH(D5271,[1]equip.xml!$A:$A,0))</f>
        <v>390000</v>
      </c>
      <c r="H5271" s="8" t="str">
        <f t="shared" ref="H5271:J5271" si="7164">H5183</f>
        <v>10_10,50_20,80_30</v>
      </c>
      <c r="I5271" s="8">
        <v>1</v>
      </c>
      <c r="J5271" s="8">
        <f t="shared" si="7164"/>
        <v>240</v>
      </c>
      <c r="K5271" s="7" t="s">
        <v>312</v>
      </c>
      <c r="L5271" s="8">
        <v>44</v>
      </c>
      <c r="M5271" s="7">
        <f>IF(INDEX([1]equip.xml!$B:$B,MATCH(D5271,[1]equip.xml!$A:$A,0))=0,0,N5271)</f>
        <v>200</v>
      </c>
      <c r="N5271" s="7">
        <f t="shared" si="7132"/>
        <v>200</v>
      </c>
    </row>
    <row r="5272" spans="1:14">
      <c r="A5272" s="7">
        <f t="shared" si="7081"/>
        <v>30018</v>
      </c>
      <c r="B5272" s="8">
        <f t="shared" ref="B5272:C5272" si="7165">B5184</f>
        <v>40000</v>
      </c>
      <c r="C5272" s="8" t="str">
        <f t="shared" si="7165"/>
        <v>装备</v>
      </c>
      <c r="D5272" s="8">
        <v>50651055</v>
      </c>
      <c r="E5272" s="8"/>
      <c r="F5272" s="8">
        <v>1</v>
      </c>
      <c r="G5272" s="8">
        <f>3*INDEX([1]equip.xml!$I:$I,MATCH(D5272,[1]equip.xml!$A:$A,0))</f>
        <v>390000</v>
      </c>
      <c r="H5272" s="8" t="str">
        <f t="shared" ref="H5272:J5272" si="7166">H5184</f>
        <v>10_10,50_20,80_30</v>
      </c>
      <c r="I5272" s="8">
        <v>1</v>
      </c>
      <c r="J5272" s="8">
        <f t="shared" si="7166"/>
        <v>240</v>
      </c>
      <c r="K5272" s="7" t="s">
        <v>312</v>
      </c>
      <c r="L5272" s="8">
        <v>44</v>
      </c>
      <c r="M5272" s="7">
        <f>IF(INDEX([1]equip.xml!$B:$B,MATCH(D5272,[1]equip.xml!$A:$A,0))=0,0,N5272)</f>
        <v>200</v>
      </c>
      <c r="N5272" s="7">
        <f t="shared" si="7132"/>
        <v>200</v>
      </c>
    </row>
    <row r="5273" spans="1:14">
      <c r="A5273" s="7">
        <f t="shared" si="7081"/>
        <v>30018</v>
      </c>
      <c r="B5273" s="8">
        <f t="shared" ref="B5273:C5273" si="7167">B5185</f>
        <v>40000</v>
      </c>
      <c r="C5273" s="8" t="str">
        <f t="shared" si="7167"/>
        <v>装备</v>
      </c>
      <c r="D5273" s="8">
        <v>50651056</v>
      </c>
      <c r="E5273" s="8"/>
      <c r="F5273" s="8">
        <v>1</v>
      </c>
      <c r="G5273" s="8">
        <f>3*INDEX([1]equip.xml!$I:$I,MATCH(D5273,[1]equip.xml!$A:$A,0))</f>
        <v>408000</v>
      </c>
      <c r="H5273" s="8" t="str">
        <f t="shared" ref="H5273:J5273" si="7168">H5185</f>
        <v>10_10,50_20,80_30</v>
      </c>
      <c r="I5273" s="8">
        <v>1</v>
      </c>
      <c r="J5273" s="8">
        <f t="shared" si="7168"/>
        <v>240</v>
      </c>
      <c r="K5273" s="7" t="s">
        <v>312</v>
      </c>
      <c r="L5273" s="8">
        <v>44</v>
      </c>
      <c r="M5273" s="7">
        <f>IF(INDEX([1]equip.xml!$B:$B,MATCH(D5273,[1]equip.xml!$A:$A,0))=0,0,N5273)</f>
        <v>0</v>
      </c>
      <c r="N5273" s="7">
        <f t="shared" si="7132"/>
        <v>200</v>
      </c>
    </row>
    <row r="5274" spans="1:14">
      <c r="A5274" s="7">
        <f t="shared" si="7081"/>
        <v>30018</v>
      </c>
      <c r="B5274" s="8">
        <f t="shared" ref="B5274:C5274" si="7169">B5186</f>
        <v>40000</v>
      </c>
      <c r="C5274" s="8" t="str">
        <f t="shared" si="7169"/>
        <v>装备</v>
      </c>
      <c r="D5274" s="8">
        <v>50651065</v>
      </c>
      <c r="E5274" s="8"/>
      <c r="F5274" s="8">
        <v>1</v>
      </c>
      <c r="G5274" s="8">
        <f>3*INDEX([1]equip.xml!$I:$I,MATCH(D5274,[1]equip.xml!$A:$A,0))</f>
        <v>390000</v>
      </c>
      <c r="H5274" s="8" t="str">
        <f t="shared" ref="H5274:J5274" si="7170">H5186</f>
        <v>10_10,50_20,80_30</v>
      </c>
      <c r="I5274" s="8">
        <v>1</v>
      </c>
      <c r="J5274" s="8">
        <f t="shared" si="7170"/>
        <v>240</v>
      </c>
      <c r="K5274" s="7" t="s">
        <v>312</v>
      </c>
      <c r="L5274" s="8">
        <v>44</v>
      </c>
      <c r="M5274" s="7">
        <f>IF(INDEX([1]equip.xml!$B:$B,MATCH(D5274,[1]equip.xml!$A:$A,0))=0,0,N5274)</f>
        <v>200</v>
      </c>
      <c r="N5274" s="7">
        <f t="shared" si="7132"/>
        <v>200</v>
      </c>
    </row>
    <row r="5275" spans="1:14">
      <c r="A5275" s="7">
        <f t="shared" si="7081"/>
        <v>30018</v>
      </c>
      <c r="B5275" s="8">
        <f t="shared" ref="B5275:C5275" si="7171">B5187</f>
        <v>40000</v>
      </c>
      <c r="C5275" s="8" t="str">
        <f t="shared" si="7171"/>
        <v>装备</v>
      </c>
      <c r="D5275" s="8">
        <v>50651066</v>
      </c>
      <c r="E5275" s="8"/>
      <c r="F5275" s="8">
        <v>1</v>
      </c>
      <c r="G5275" s="8">
        <f>3*INDEX([1]equip.xml!$I:$I,MATCH(D5275,[1]equip.xml!$A:$A,0))</f>
        <v>408000</v>
      </c>
      <c r="H5275" s="8" t="str">
        <f t="shared" ref="H5275:J5275" si="7172">H5187</f>
        <v>10_10,50_20,80_30</v>
      </c>
      <c r="I5275" s="8">
        <v>1</v>
      </c>
      <c r="J5275" s="8">
        <f t="shared" si="7172"/>
        <v>240</v>
      </c>
      <c r="K5275" s="7" t="s">
        <v>312</v>
      </c>
      <c r="L5275" s="8">
        <v>44</v>
      </c>
      <c r="M5275" s="7">
        <f>IF(INDEX([1]equip.xml!$B:$B,MATCH(D5275,[1]equip.xml!$A:$A,0))=0,0,N5275)</f>
        <v>0</v>
      </c>
      <c r="N5275" s="7">
        <f t="shared" si="7132"/>
        <v>200</v>
      </c>
    </row>
    <row r="5276" spans="1:14">
      <c r="A5276" s="7">
        <f t="shared" si="7081"/>
        <v>30018</v>
      </c>
      <c r="B5276" s="8">
        <f t="shared" ref="B5276:C5276" si="7173">B5188</f>
        <v>40000</v>
      </c>
      <c r="C5276" s="8" t="str">
        <f t="shared" si="7173"/>
        <v>装备</v>
      </c>
      <c r="D5276" s="8">
        <v>50652055</v>
      </c>
      <c r="E5276" s="8"/>
      <c r="F5276" s="8">
        <v>1</v>
      </c>
      <c r="G5276" s="8">
        <f>3*INDEX([1]equip.xml!$I:$I,MATCH(D5276,[1]equip.xml!$A:$A,0))</f>
        <v>390000</v>
      </c>
      <c r="H5276" s="8" t="str">
        <f t="shared" ref="H5276:J5276" si="7174">H5188</f>
        <v>10_10,50_20,80_30</v>
      </c>
      <c r="I5276" s="8">
        <v>1</v>
      </c>
      <c r="J5276" s="8">
        <f t="shared" si="7174"/>
        <v>240</v>
      </c>
      <c r="K5276" s="7" t="s">
        <v>312</v>
      </c>
      <c r="L5276" s="8">
        <v>44</v>
      </c>
      <c r="M5276" s="7">
        <f>IF(INDEX([1]equip.xml!$B:$B,MATCH(D5276,[1]equip.xml!$A:$A,0))=0,0,N5276)</f>
        <v>200</v>
      </c>
      <c r="N5276" s="7">
        <f t="shared" si="7132"/>
        <v>200</v>
      </c>
    </row>
    <row r="5277" spans="1:14">
      <c r="A5277" s="7">
        <f t="shared" si="7081"/>
        <v>30018</v>
      </c>
      <c r="B5277" s="8">
        <f t="shared" ref="B5277:C5277" si="7175">B5189</f>
        <v>40000</v>
      </c>
      <c r="C5277" s="8" t="str">
        <f t="shared" si="7175"/>
        <v>装备</v>
      </c>
      <c r="D5277" s="8">
        <v>50652056</v>
      </c>
      <c r="E5277" s="8"/>
      <c r="F5277" s="8">
        <v>1</v>
      </c>
      <c r="G5277" s="8">
        <f>3*INDEX([1]equip.xml!$I:$I,MATCH(D5277,[1]equip.xml!$A:$A,0))</f>
        <v>408000</v>
      </c>
      <c r="H5277" s="8" t="str">
        <f t="shared" ref="H5277:J5277" si="7176">H5189</f>
        <v>10_10,50_20,80_30</v>
      </c>
      <c r="I5277" s="8">
        <v>1</v>
      </c>
      <c r="J5277" s="8">
        <f t="shared" si="7176"/>
        <v>240</v>
      </c>
      <c r="K5277" s="7" t="s">
        <v>312</v>
      </c>
      <c r="L5277" s="8">
        <v>44</v>
      </c>
      <c r="M5277" s="7">
        <f>IF(INDEX([1]equip.xml!$B:$B,MATCH(D5277,[1]equip.xml!$A:$A,0))=0,0,N5277)</f>
        <v>0</v>
      </c>
      <c r="N5277" s="7">
        <f t="shared" si="7132"/>
        <v>200</v>
      </c>
    </row>
    <row r="5278" spans="1:14">
      <c r="A5278" s="7">
        <f t="shared" si="7081"/>
        <v>30018</v>
      </c>
      <c r="B5278" s="8">
        <f t="shared" ref="B5278:C5278" si="7177">B5190</f>
        <v>40000</v>
      </c>
      <c r="C5278" s="8" t="str">
        <f t="shared" si="7177"/>
        <v>装备</v>
      </c>
      <c r="D5278" s="8">
        <v>50652065</v>
      </c>
      <c r="E5278" s="8"/>
      <c r="F5278" s="8">
        <v>1</v>
      </c>
      <c r="G5278" s="8">
        <f>3*INDEX([1]equip.xml!$I:$I,MATCH(D5278,[1]equip.xml!$A:$A,0))</f>
        <v>390000</v>
      </c>
      <c r="H5278" s="8" t="str">
        <f t="shared" ref="H5278:J5278" si="7178">H5190</f>
        <v>10_10,50_20,80_30</v>
      </c>
      <c r="I5278" s="8">
        <v>1</v>
      </c>
      <c r="J5278" s="8">
        <f t="shared" si="7178"/>
        <v>240</v>
      </c>
      <c r="K5278" s="7" t="s">
        <v>312</v>
      </c>
      <c r="L5278" s="8">
        <v>44</v>
      </c>
      <c r="M5278" s="7">
        <f>IF(INDEX([1]equip.xml!$B:$B,MATCH(D5278,[1]equip.xml!$A:$A,0))=0,0,N5278)</f>
        <v>200</v>
      </c>
      <c r="N5278" s="7">
        <f t="shared" si="7132"/>
        <v>200</v>
      </c>
    </row>
    <row r="5279" spans="1:14">
      <c r="A5279" s="7">
        <f t="shared" si="7081"/>
        <v>30018</v>
      </c>
      <c r="B5279" s="8">
        <f t="shared" ref="B5279:C5279" si="7179">B5191</f>
        <v>40000</v>
      </c>
      <c r="C5279" s="8" t="str">
        <f t="shared" si="7179"/>
        <v>装备</v>
      </c>
      <c r="D5279" s="8">
        <v>50652066</v>
      </c>
      <c r="E5279" s="8"/>
      <c r="F5279" s="8">
        <v>1</v>
      </c>
      <c r="G5279" s="8">
        <f>3*INDEX([1]equip.xml!$I:$I,MATCH(D5279,[1]equip.xml!$A:$A,0))</f>
        <v>408000</v>
      </c>
      <c r="H5279" s="8" t="str">
        <f t="shared" ref="H5279:J5279" si="7180">H5191</f>
        <v>10_10,50_20,80_30</v>
      </c>
      <c r="I5279" s="8">
        <v>1</v>
      </c>
      <c r="J5279" s="8">
        <f t="shared" si="7180"/>
        <v>240</v>
      </c>
      <c r="K5279" s="7" t="s">
        <v>312</v>
      </c>
      <c r="L5279" s="8">
        <v>44</v>
      </c>
      <c r="M5279" s="7">
        <f>IF(INDEX([1]equip.xml!$B:$B,MATCH(D5279,[1]equip.xml!$A:$A,0))=0,0,N5279)</f>
        <v>0</v>
      </c>
      <c r="N5279" s="7">
        <f t="shared" si="7132"/>
        <v>200</v>
      </c>
    </row>
    <row r="5280" spans="1:14">
      <c r="A5280" s="7">
        <f t="shared" si="7081"/>
        <v>30018</v>
      </c>
      <c r="B5280" s="8">
        <f t="shared" ref="B5280:C5280" si="7181">B5192</f>
        <v>40000</v>
      </c>
      <c r="C5280" s="8" t="str">
        <f t="shared" si="7181"/>
        <v>装备</v>
      </c>
      <c r="D5280" s="8">
        <v>50653055</v>
      </c>
      <c r="E5280" s="8"/>
      <c r="F5280" s="8">
        <v>1</v>
      </c>
      <c r="G5280" s="8">
        <f>3*INDEX([1]equip.xml!$I:$I,MATCH(D5280,[1]equip.xml!$A:$A,0))</f>
        <v>390000</v>
      </c>
      <c r="H5280" s="8" t="str">
        <f t="shared" ref="H5280:J5280" si="7182">H5192</f>
        <v>10_10,50_20,80_30</v>
      </c>
      <c r="I5280" s="8">
        <v>1</v>
      </c>
      <c r="J5280" s="8">
        <f t="shared" si="7182"/>
        <v>240</v>
      </c>
      <c r="K5280" s="7" t="s">
        <v>312</v>
      </c>
      <c r="L5280" s="8">
        <v>44</v>
      </c>
      <c r="M5280" s="7">
        <f>IF(INDEX([1]equip.xml!$B:$B,MATCH(D5280,[1]equip.xml!$A:$A,0))=0,0,N5280)</f>
        <v>200</v>
      </c>
      <c r="N5280" s="7">
        <f t="shared" si="7132"/>
        <v>200</v>
      </c>
    </row>
    <row r="5281" spans="1:14">
      <c r="A5281" s="7">
        <f t="shared" si="7081"/>
        <v>30018</v>
      </c>
      <c r="B5281" s="8">
        <f t="shared" ref="B5281:C5281" si="7183">B5193</f>
        <v>40000</v>
      </c>
      <c r="C5281" s="8" t="str">
        <f t="shared" si="7183"/>
        <v>装备</v>
      </c>
      <c r="D5281" s="8">
        <v>50653056</v>
      </c>
      <c r="E5281" s="8"/>
      <c r="F5281" s="8">
        <v>1</v>
      </c>
      <c r="G5281" s="8">
        <f>3*INDEX([1]equip.xml!$I:$I,MATCH(D5281,[1]equip.xml!$A:$A,0))</f>
        <v>408000</v>
      </c>
      <c r="H5281" s="8" t="str">
        <f t="shared" ref="H5281:J5281" si="7184">H5193</f>
        <v>10_10,50_20,80_30</v>
      </c>
      <c r="I5281" s="8">
        <v>1</v>
      </c>
      <c r="J5281" s="8">
        <f t="shared" si="7184"/>
        <v>240</v>
      </c>
      <c r="K5281" s="7" t="s">
        <v>312</v>
      </c>
      <c r="L5281" s="8">
        <v>44</v>
      </c>
      <c r="M5281" s="7">
        <f>IF(INDEX([1]equip.xml!$B:$B,MATCH(D5281,[1]equip.xml!$A:$A,0))=0,0,N5281)</f>
        <v>0</v>
      </c>
      <c r="N5281" s="7">
        <f t="shared" si="7132"/>
        <v>200</v>
      </c>
    </row>
    <row r="5282" spans="1:14">
      <c r="A5282" s="7">
        <f t="shared" si="7081"/>
        <v>30018</v>
      </c>
      <c r="B5282" s="8">
        <f t="shared" ref="B5282:C5282" si="7185">B5194</f>
        <v>40000</v>
      </c>
      <c r="C5282" s="8" t="str">
        <f t="shared" si="7185"/>
        <v>装备</v>
      </c>
      <c r="D5282" s="8">
        <v>50653065</v>
      </c>
      <c r="E5282" s="8"/>
      <c r="F5282" s="8">
        <v>1</v>
      </c>
      <c r="G5282" s="8">
        <f>3*INDEX([1]equip.xml!$I:$I,MATCH(D5282,[1]equip.xml!$A:$A,0))</f>
        <v>390000</v>
      </c>
      <c r="H5282" s="8" t="str">
        <f t="shared" ref="H5282:J5282" si="7186">H5194</f>
        <v>10_10,50_20,80_30</v>
      </c>
      <c r="I5282" s="8">
        <v>1</v>
      </c>
      <c r="J5282" s="8">
        <f t="shared" si="7186"/>
        <v>240</v>
      </c>
      <c r="K5282" s="7" t="s">
        <v>312</v>
      </c>
      <c r="L5282" s="8">
        <v>44</v>
      </c>
      <c r="M5282" s="7">
        <f>IF(INDEX([1]equip.xml!$B:$B,MATCH(D5282,[1]equip.xml!$A:$A,0))=0,0,N5282)</f>
        <v>200</v>
      </c>
      <c r="N5282" s="7">
        <f t="shared" si="7132"/>
        <v>200</v>
      </c>
    </row>
    <row r="5283" spans="1:14">
      <c r="A5283" s="7">
        <f t="shared" si="7081"/>
        <v>30018</v>
      </c>
      <c r="B5283" s="8">
        <f t="shared" ref="B5283:C5283" si="7187">B5195</f>
        <v>40000</v>
      </c>
      <c r="C5283" s="8" t="str">
        <f t="shared" si="7187"/>
        <v>装备</v>
      </c>
      <c r="D5283" s="8">
        <v>50653066</v>
      </c>
      <c r="E5283" s="8"/>
      <c r="F5283" s="8">
        <v>1</v>
      </c>
      <c r="G5283" s="8">
        <f>3*INDEX([1]equip.xml!$I:$I,MATCH(D5283,[1]equip.xml!$A:$A,0))</f>
        <v>408000</v>
      </c>
      <c r="H5283" s="8" t="str">
        <f t="shared" ref="H5283:J5283" si="7188">H5195</f>
        <v>10_10,50_20,80_30</v>
      </c>
      <c r="I5283" s="8">
        <v>1</v>
      </c>
      <c r="J5283" s="8">
        <f t="shared" si="7188"/>
        <v>240</v>
      </c>
      <c r="K5283" s="7" t="s">
        <v>312</v>
      </c>
      <c r="L5283" s="8">
        <v>44</v>
      </c>
      <c r="M5283" s="7">
        <f>IF(INDEX([1]equip.xml!$B:$B,MATCH(D5283,[1]equip.xml!$A:$A,0))=0,0,N5283)</f>
        <v>0</v>
      </c>
      <c r="N5283" s="7">
        <f t="shared" si="7132"/>
        <v>200</v>
      </c>
    </row>
    <row r="5284" spans="1:14">
      <c r="A5284" s="7">
        <f t="shared" si="7081"/>
        <v>30018</v>
      </c>
      <c r="B5284" s="8">
        <f t="shared" ref="B5284:C5284" si="7189">B5196</f>
        <v>40000</v>
      </c>
      <c r="C5284" s="8" t="str">
        <f t="shared" si="7189"/>
        <v>装备</v>
      </c>
      <c r="D5284" s="8">
        <v>50650045</v>
      </c>
      <c r="E5284" s="8"/>
      <c r="F5284" s="8">
        <v>1</v>
      </c>
      <c r="G5284" s="8">
        <f>3*INDEX([1]equip.xml!$I:$I,MATCH(D5284,[1]equip.xml!$A:$A,0))</f>
        <v>390000</v>
      </c>
      <c r="H5284" s="8" t="str">
        <f t="shared" ref="H5284:J5284" si="7190">H5196</f>
        <v>10_10,50_20,80_30</v>
      </c>
      <c r="I5284" s="8">
        <v>1</v>
      </c>
      <c r="J5284" s="8">
        <f t="shared" si="7190"/>
        <v>240</v>
      </c>
      <c r="K5284" s="7" t="s">
        <v>312</v>
      </c>
      <c r="L5284" s="8">
        <v>44</v>
      </c>
      <c r="M5284" s="7">
        <f>IF(INDEX([1]equip.xml!$B:$B,MATCH(D5284,[1]equip.xml!$A:$A,0))=0,0,N5284)</f>
        <v>200</v>
      </c>
      <c r="N5284" s="7">
        <f t="shared" si="7132"/>
        <v>200</v>
      </c>
    </row>
    <row r="5285" spans="1:14">
      <c r="A5285" s="7">
        <f t="shared" si="7081"/>
        <v>30018</v>
      </c>
      <c r="B5285" s="8">
        <f t="shared" ref="B5285:C5285" si="7191">B5197</f>
        <v>40000</v>
      </c>
      <c r="C5285" s="8" t="str">
        <f t="shared" si="7191"/>
        <v>装备</v>
      </c>
      <c r="D5285" s="8">
        <v>50650046</v>
      </c>
      <c r="E5285" s="8"/>
      <c r="F5285" s="8">
        <v>1</v>
      </c>
      <c r="G5285" s="8">
        <f>3*INDEX([1]equip.xml!$I:$I,MATCH(D5285,[1]equip.xml!$A:$A,0))</f>
        <v>408000</v>
      </c>
      <c r="H5285" s="8" t="str">
        <f t="shared" ref="H5285:J5285" si="7192">H5197</f>
        <v>10_10,50_20,80_30</v>
      </c>
      <c r="I5285" s="8">
        <v>1</v>
      </c>
      <c r="J5285" s="8">
        <f t="shared" si="7192"/>
        <v>240</v>
      </c>
      <c r="K5285" s="7" t="s">
        <v>312</v>
      </c>
      <c r="L5285" s="8">
        <v>44</v>
      </c>
      <c r="M5285" s="7">
        <f>IF(INDEX([1]equip.xml!$B:$B,MATCH(D5285,[1]equip.xml!$A:$A,0))=0,0,N5285)</f>
        <v>0</v>
      </c>
      <c r="N5285" s="7">
        <f t="shared" si="7132"/>
        <v>200</v>
      </c>
    </row>
    <row r="5286" spans="1:14">
      <c r="A5286" s="7">
        <f t="shared" si="7081"/>
        <v>30018</v>
      </c>
      <c r="B5286" s="8">
        <f t="shared" ref="B5286:C5286" si="7193">B5198</f>
        <v>40000</v>
      </c>
      <c r="C5286" s="8" t="str">
        <f t="shared" si="7193"/>
        <v>装备</v>
      </c>
      <c r="D5286" s="8">
        <v>50650075</v>
      </c>
      <c r="E5286" s="8"/>
      <c r="F5286" s="8">
        <v>1</v>
      </c>
      <c r="G5286" s="8">
        <f>3*INDEX([1]equip.xml!$I:$I,MATCH(D5286,[1]equip.xml!$A:$A,0))</f>
        <v>390000</v>
      </c>
      <c r="H5286" s="8" t="str">
        <f t="shared" ref="H5286:J5286" si="7194">H5198</f>
        <v>10_10,50_20,80_30</v>
      </c>
      <c r="I5286" s="8">
        <v>1</v>
      </c>
      <c r="J5286" s="8">
        <f t="shared" si="7194"/>
        <v>240</v>
      </c>
      <c r="K5286" s="7" t="s">
        <v>312</v>
      </c>
      <c r="L5286" s="8">
        <v>44</v>
      </c>
      <c r="M5286" s="7">
        <f>IF(INDEX([1]equip.xml!$B:$B,MATCH(D5286,[1]equip.xml!$A:$A,0))=0,0,N5286)</f>
        <v>200</v>
      </c>
      <c r="N5286" s="7">
        <f t="shared" si="7132"/>
        <v>200</v>
      </c>
    </row>
    <row r="5287" spans="1:14">
      <c r="A5287" s="7">
        <f t="shared" si="7081"/>
        <v>30018</v>
      </c>
      <c r="B5287" s="8">
        <f t="shared" ref="B5287:C5287" si="7195">B5199</f>
        <v>40000</v>
      </c>
      <c r="C5287" s="8" t="str">
        <f t="shared" si="7195"/>
        <v>装备</v>
      </c>
      <c r="D5287" s="8">
        <v>50650076</v>
      </c>
      <c r="E5287" s="8"/>
      <c r="F5287" s="8">
        <v>1</v>
      </c>
      <c r="G5287" s="8">
        <f>3*INDEX([1]equip.xml!$I:$I,MATCH(D5287,[1]equip.xml!$A:$A,0))</f>
        <v>408000</v>
      </c>
      <c r="H5287" s="8" t="str">
        <f t="shared" ref="H5287:J5287" si="7196">H5199</f>
        <v>10_10,50_20,80_30</v>
      </c>
      <c r="I5287" s="8">
        <v>1</v>
      </c>
      <c r="J5287" s="8">
        <f t="shared" si="7196"/>
        <v>240</v>
      </c>
      <c r="K5287" s="7" t="s">
        <v>312</v>
      </c>
      <c r="L5287" s="8">
        <v>44</v>
      </c>
      <c r="M5287" s="7">
        <f>IF(INDEX([1]equip.xml!$B:$B,MATCH(D5287,[1]equip.xml!$A:$A,0))=0,0,N5287)</f>
        <v>0</v>
      </c>
      <c r="N5287" s="7">
        <f t="shared" si="7132"/>
        <v>200</v>
      </c>
    </row>
    <row r="5288" spans="1:14">
      <c r="A5288" s="7">
        <f t="shared" si="7081"/>
        <v>30018</v>
      </c>
      <c r="B5288" s="8">
        <f t="shared" ref="B5288:C5288" si="7197">B5200</f>
        <v>40000</v>
      </c>
      <c r="C5288" s="8" t="str">
        <f t="shared" si="7197"/>
        <v>装备</v>
      </c>
      <c r="D5288" s="8">
        <v>50700015</v>
      </c>
      <c r="E5288" s="8"/>
      <c r="F5288" s="8">
        <v>1</v>
      </c>
      <c r="G5288" s="8">
        <f>3*INDEX([1]equip.xml!$I:$I,MATCH(D5288,[1]equip.xml!$A:$A,0))</f>
        <v>420000</v>
      </c>
      <c r="H5288" s="8" t="str">
        <f t="shared" ref="H5288:J5288" si="7198">H5200</f>
        <v>10_10,50_20,80_30</v>
      </c>
      <c r="I5288" s="8">
        <v>1</v>
      </c>
      <c r="J5288" s="8">
        <f t="shared" si="7198"/>
        <v>240</v>
      </c>
      <c r="K5288" s="7" t="s">
        <v>312</v>
      </c>
      <c r="L5288" s="8">
        <v>44</v>
      </c>
      <c r="M5288" s="7">
        <f>IF(INDEX([1]equip.xml!$B:$B,MATCH(D5288,[1]equip.xml!$A:$A,0))=0,0,N5288)</f>
        <v>140</v>
      </c>
      <c r="N5288" s="7">
        <f t="shared" si="7132"/>
        <v>140</v>
      </c>
    </row>
    <row r="5289" spans="1:14">
      <c r="A5289" s="7">
        <f t="shared" si="7081"/>
        <v>30018</v>
      </c>
      <c r="B5289" s="8">
        <f t="shared" ref="B5289:C5289" si="7199">B5201</f>
        <v>40000</v>
      </c>
      <c r="C5289" s="8" t="str">
        <f t="shared" si="7199"/>
        <v>装备</v>
      </c>
      <c r="D5289" s="8">
        <v>50700025</v>
      </c>
      <c r="E5289" s="8"/>
      <c r="F5289" s="8">
        <v>1</v>
      </c>
      <c r="G5289" s="8">
        <f>3*INDEX([1]equip.xml!$I:$I,MATCH(D5289,[1]equip.xml!$A:$A,0))</f>
        <v>420000</v>
      </c>
      <c r="H5289" s="8" t="str">
        <f t="shared" ref="H5289:J5289" si="7200">H5201</f>
        <v>10_10,50_20,80_30</v>
      </c>
      <c r="I5289" s="8">
        <v>1</v>
      </c>
      <c r="J5289" s="8">
        <f t="shared" si="7200"/>
        <v>240</v>
      </c>
      <c r="K5289" s="7" t="s">
        <v>312</v>
      </c>
      <c r="L5289" s="8">
        <v>44</v>
      </c>
      <c r="M5289" s="7">
        <f>IF(INDEX([1]equip.xml!$B:$B,MATCH(D5289,[1]equip.xml!$A:$A,0))=0,0,N5289)</f>
        <v>140</v>
      </c>
      <c r="N5289" s="7">
        <f t="shared" si="7132"/>
        <v>140</v>
      </c>
    </row>
    <row r="5290" spans="1:14">
      <c r="A5290" s="7">
        <f t="shared" si="7081"/>
        <v>30018</v>
      </c>
      <c r="B5290" s="8">
        <f t="shared" ref="B5290:C5290" si="7201">B5202</f>
        <v>40000</v>
      </c>
      <c r="C5290" s="8" t="str">
        <f t="shared" si="7201"/>
        <v>装备</v>
      </c>
      <c r="D5290" s="8">
        <v>50700035</v>
      </c>
      <c r="E5290" s="8"/>
      <c r="F5290" s="8">
        <v>1</v>
      </c>
      <c r="G5290" s="8">
        <f>3*INDEX([1]equip.xml!$I:$I,MATCH(D5290,[1]equip.xml!$A:$A,0))</f>
        <v>420000</v>
      </c>
      <c r="H5290" s="8" t="str">
        <f t="shared" ref="H5290:J5290" si="7202">H5202</f>
        <v>10_10,50_20,80_30</v>
      </c>
      <c r="I5290" s="8">
        <v>1</v>
      </c>
      <c r="J5290" s="8">
        <f t="shared" si="7202"/>
        <v>240</v>
      </c>
      <c r="K5290" s="7" t="s">
        <v>312</v>
      </c>
      <c r="L5290" s="8">
        <v>44</v>
      </c>
      <c r="M5290" s="7">
        <f>IF(INDEX([1]equip.xml!$B:$B,MATCH(D5290,[1]equip.xml!$A:$A,0))=0,0,N5290)</f>
        <v>140</v>
      </c>
      <c r="N5290" s="7">
        <f t="shared" si="7132"/>
        <v>140</v>
      </c>
    </row>
    <row r="5291" spans="1:14">
      <c r="A5291" s="7">
        <f t="shared" si="7081"/>
        <v>30018</v>
      </c>
      <c r="B5291" s="8">
        <f t="shared" ref="B5291:C5291" si="7203">B5203</f>
        <v>40000</v>
      </c>
      <c r="C5291" s="8" t="str">
        <f t="shared" si="7203"/>
        <v>装备</v>
      </c>
      <c r="D5291" s="8">
        <v>50700085</v>
      </c>
      <c r="E5291" s="8"/>
      <c r="F5291" s="8">
        <v>1</v>
      </c>
      <c r="G5291" s="8">
        <f>3*INDEX([1]equip.xml!$I:$I,MATCH(D5291,[1]equip.xml!$A:$A,0))</f>
        <v>420000</v>
      </c>
      <c r="H5291" s="8" t="str">
        <f t="shared" ref="H5291:J5291" si="7204">H5203</f>
        <v>10_10,50_20,80_30</v>
      </c>
      <c r="I5291" s="8">
        <v>1</v>
      </c>
      <c r="J5291" s="8">
        <f t="shared" si="7204"/>
        <v>240</v>
      </c>
      <c r="K5291" s="7" t="s">
        <v>312</v>
      </c>
      <c r="L5291" s="8">
        <v>44</v>
      </c>
      <c r="M5291" s="7">
        <f>IF(INDEX([1]equip.xml!$B:$B,MATCH(D5291,[1]equip.xml!$A:$A,0))=0,0,N5291)</f>
        <v>140</v>
      </c>
      <c r="N5291" s="7">
        <f t="shared" si="7132"/>
        <v>140</v>
      </c>
    </row>
    <row r="5292" spans="1:14">
      <c r="A5292" s="7">
        <f t="shared" si="7081"/>
        <v>30018</v>
      </c>
      <c r="B5292" s="8">
        <f t="shared" ref="B5292:C5292" si="7205">B5204</f>
        <v>40000</v>
      </c>
      <c r="C5292" s="8" t="str">
        <f t="shared" si="7205"/>
        <v>装备</v>
      </c>
      <c r="D5292" s="8">
        <v>50700095</v>
      </c>
      <c r="E5292" s="8"/>
      <c r="F5292" s="8">
        <v>1</v>
      </c>
      <c r="G5292" s="8">
        <f>3*INDEX([1]equip.xml!$I:$I,MATCH(D5292,[1]equip.xml!$A:$A,0))</f>
        <v>420000</v>
      </c>
      <c r="H5292" s="8" t="str">
        <f t="shared" ref="H5292:J5292" si="7206">H5204</f>
        <v>10_10,50_20,80_30</v>
      </c>
      <c r="I5292" s="8">
        <v>1</v>
      </c>
      <c r="J5292" s="8">
        <f t="shared" si="7206"/>
        <v>240</v>
      </c>
      <c r="K5292" s="7" t="s">
        <v>312</v>
      </c>
      <c r="L5292" s="8">
        <v>44</v>
      </c>
      <c r="M5292" s="7">
        <f>IF(INDEX([1]equip.xml!$B:$B,MATCH(D5292,[1]equip.xml!$A:$A,0))=0,0,N5292)</f>
        <v>140</v>
      </c>
      <c r="N5292" s="7">
        <f t="shared" si="7132"/>
        <v>140</v>
      </c>
    </row>
    <row r="5293" spans="1:14">
      <c r="A5293" s="7">
        <f t="shared" si="7081"/>
        <v>30018</v>
      </c>
      <c r="B5293" s="8">
        <f t="shared" ref="B5293:C5293" si="7207">B5205</f>
        <v>40000</v>
      </c>
      <c r="C5293" s="8" t="str">
        <f t="shared" si="7207"/>
        <v>装备</v>
      </c>
      <c r="D5293" s="8">
        <v>50700105</v>
      </c>
      <c r="E5293" s="8"/>
      <c r="F5293" s="8">
        <v>1</v>
      </c>
      <c r="G5293" s="8">
        <f>3*INDEX([1]equip.xml!$I:$I,MATCH(D5293,[1]equip.xml!$A:$A,0))</f>
        <v>420000</v>
      </c>
      <c r="H5293" s="8" t="str">
        <f t="shared" ref="H5293:J5293" si="7208">H5205</f>
        <v>10_10,50_20,80_30</v>
      </c>
      <c r="I5293" s="8">
        <v>1</v>
      </c>
      <c r="J5293" s="8">
        <f t="shared" si="7208"/>
        <v>240</v>
      </c>
      <c r="K5293" s="7" t="s">
        <v>312</v>
      </c>
      <c r="L5293" s="8">
        <v>44</v>
      </c>
      <c r="M5293" s="7">
        <f>IF(INDEX([1]equip.xml!$B:$B,MATCH(D5293,[1]equip.xml!$A:$A,0))=0,0,N5293)</f>
        <v>140</v>
      </c>
      <c r="N5293" s="7">
        <f t="shared" si="7132"/>
        <v>140</v>
      </c>
    </row>
    <row r="5294" spans="1:14">
      <c r="A5294" s="7">
        <f t="shared" si="7081"/>
        <v>30018</v>
      </c>
      <c r="B5294" s="8">
        <f t="shared" ref="B5294:C5294" si="7209">B5206</f>
        <v>40000</v>
      </c>
      <c r="C5294" s="8" t="str">
        <f t="shared" si="7209"/>
        <v>装备</v>
      </c>
      <c r="D5294" s="8">
        <v>50701055</v>
      </c>
      <c r="E5294" s="8"/>
      <c r="F5294" s="8">
        <v>1</v>
      </c>
      <c r="G5294" s="8">
        <f>3*INDEX([1]equip.xml!$I:$I,MATCH(D5294,[1]equip.xml!$A:$A,0))</f>
        <v>420000</v>
      </c>
      <c r="H5294" s="8" t="str">
        <f t="shared" ref="H5294:J5294" si="7210">H5206</f>
        <v>10_10,50_20,80_30</v>
      </c>
      <c r="I5294" s="8">
        <v>1</v>
      </c>
      <c r="J5294" s="8">
        <f t="shared" si="7210"/>
        <v>240</v>
      </c>
      <c r="K5294" s="7" t="s">
        <v>312</v>
      </c>
      <c r="L5294" s="8">
        <v>44</v>
      </c>
      <c r="M5294" s="7">
        <f>IF(INDEX([1]equip.xml!$B:$B,MATCH(D5294,[1]equip.xml!$A:$A,0))=0,0,N5294)</f>
        <v>140</v>
      </c>
      <c r="N5294" s="7">
        <f t="shared" si="7132"/>
        <v>140</v>
      </c>
    </row>
    <row r="5295" spans="1:14">
      <c r="A5295" s="7">
        <f t="shared" ref="A5295:A5309" si="7211">10000+A4063</f>
        <v>30018</v>
      </c>
      <c r="B5295" s="8">
        <f t="shared" ref="B5295:C5295" si="7212">B5207</f>
        <v>40000</v>
      </c>
      <c r="C5295" s="8" t="str">
        <f t="shared" si="7212"/>
        <v>装备</v>
      </c>
      <c r="D5295" s="8">
        <v>50701056</v>
      </c>
      <c r="E5295" s="8"/>
      <c r="F5295" s="8">
        <v>1</v>
      </c>
      <c r="G5295" s="8">
        <f>3*INDEX([1]equip.xml!$I:$I,MATCH(D5295,[1]equip.xml!$A:$A,0))</f>
        <v>438000</v>
      </c>
      <c r="H5295" s="8" t="str">
        <f t="shared" ref="H5295:J5295" si="7213">H5207</f>
        <v>10_10,50_20,80_30</v>
      </c>
      <c r="I5295" s="8">
        <v>1</v>
      </c>
      <c r="J5295" s="8">
        <f t="shared" si="7213"/>
        <v>240</v>
      </c>
      <c r="K5295" s="7" t="s">
        <v>312</v>
      </c>
      <c r="L5295" s="8">
        <v>44</v>
      </c>
      <c r="M5295" s="7">
        <f>IF(INDEX([1]equip.xml!$B:$B,MATCH(D5295,[1]equip.xml!$A:$A,0))=0,0,N5295)</f>
        <v>0</v>
      </c>
      <c r="N5295" s="7">
        <f t="shared" si="7132"/>
        <v>140</v>
      </c>
    </row>
    <row r="5296" spans="1:14">
      <c r="A5296" s="7">
        <f t="shared" si="7211"/>
        <v>30018</v>
      </c>
      <c r="B5296" s="8">
        <f t="shared" ref="B5296:C5296" si="7214">B5208</f>
        <v>40000</v>
      </c>
      <c r="C5296" s="8" t="str">
        <f t="shared" si="7214"/>
        <v>装备</v>
      </c>
      <c r="D5296" s="8">
        <v>50701065</v>
      </c>
      <c r="E5296" s="8"/>
      <c r="F5296" s="8">
        <v>1</v>
      </c>
      <c r="G5296" s="8">
        <f>3*INDEX([1]equip.xml!$I:$I,MATCH(D5296,[1]equip.xml!$A:$A,0))</f>
        <v>420000</v>
      </c>
      <c r="H5296" s="8" t="str">
        <f t="shared" ref="H5296:J5296" si="7215">H5208</f>
        <v>10_10,50_20,80_30</v>
      </c>
      <c r="I5296" s="8">
        <v>1</v>
      </c>
      <c r="J5296" s="8">
        <f t="shared" si="7215"/>
        <v>240</v>
      </c>
      <c r="K5296" s="7" t="s">
        <v>312</v>
      </c>
      <c r="L5296" s="8">
        <v>44</v>
      </c>
      <c r="M5296" s="7">
        <f>IF(INDEX([1]equip.xml!$B:$B,MATCH(D5296,[1]equip.xml!$A:$A,0))=0,0,N5296)</f>
        <v>140</v>
      </c>
      <c r="N5296" s="7">
        <f t="shared" si="7132"/>
        <v>140</v>
      </c>
    </row>
    <row r="5297" spans="1:14">
      <c r="A5297" s="7">
        <f t="shared" si="7211"/>
        <v>30018</v>
      </c>
      <c r="B5297" s="8">
        <f t="shared" ref="B5297:C5297" si="7216">B5209</f>
        <v>40000</v>
      </c>
      <c r="C5297" s="8" t="str">
        <f t="shared" si="7216"/>
        <v>装备</v>
      </c>
      <c r="D5297" s="8">
        <v>50701066</v>
      </c>
      <c r="E5297" s="8"/>
      <c r="F5297" s="8">
        <v>1</v>
      </c>
      <c r="G5297" s="8">
        <f>3*INDEX([1]equip.xml!$I:$I,MATCH(D5297,[1]equip.xml!$A:$A,0))</f>
        <v>438000</v>
      </c>
      <c r="H5297" s="8" t="str">
        <f t="shared" ref="H5297:J5297" si="7217">H5209</f>
        <v>10_10,50_20,80_30</v>
      </c>
      <c r="I5297" s="8">
        <v>1</v>
      </c>
      <c r="J5297" s="8">
        <f t="shared" si="7217"/>
        <v>240</v>
      </c>
      <c r="K5297" s="7" t="s">
        <v>312</v>
      </c>
      <c r="L5297" s="8">
        <v>44</v>
      </c>
      <c r="M5297" s="7">
        <f>IF(INDEX([1]equip.xml!$B:$B,MATCH(D5297,[1]equip.xml!$A:$A,0))=0,0,N5297)</f>
        <v>0</v>
      </c>
      <c r="N5297" s="7">
        <f t="shared" si="7132"/>
        <v>140</v>
      </c>
    </row>
    <row r="5298" spans="1:14">
      <c r="A5298" s="7">
        <f t="shared" si="7211"/>
        <v>30018</v>
      </c>
      <c r="B5298" s="8">
        <f t="shared" ref="B5298:C5298" si="7218">B5210</f>
        <v>40000</v>
      </c>
      <c r="C5298" s="8" t="str">
        <f t="shared" si="7218"/>
        <v>装备</v>
      </c>
      <c r="D5298" s="8">
        <v>50702055</v>
      </c>
      <c r="E5298" s="8"/>
      <c r="F5298" s="8">
        <v>1</v>
      </c>
      <c r="G5298" s="8">
        <f>3*INDEX([1]equip.xml!$I:$I,MATCH(D5298,[1]equip.xml!$A:$A,0))</f>
        <v>420000</v>
      </c>
      <c r="H5298" s="8" t="str">
        <f t="shared" ref="H5298:J5298" si="7219">H5210</f>
        <v>10_10,50_20,80_30</v>
      </c>
      <c r="I5298" s="8">
        <v>1</v>
      </c>
      <c r="J5298" s="8">
        <f t="shared" si="7219"/>
        <v>240</v>
      </c>
      <c r="K5298" s="7" t="s">
        <v>312</v>
      </c>
      <c r="L5298" s="8">
        <v>44</v>
      </c>
      <c r="M5298" s="7">
        <f>IF(INDEX([1]equip.xml!$B:$B,MATCH(D5298,[1]equip.xml!$A:$A,0))=0,0,N5298)</f>
        <v>140</v>
      </c>
      <c r="N5298" s="7">
        <f t="shared" si="7132"/>
        <v>140</v>
      </c>
    </row>
    <row r="5299" spans="1:14">
      <c r="A5299" s="7">
        <f t="shared" si="7211"/>
        <v>30018</v>
      </c>
      <c r="B5299" s="8">
        <f t="shared" ref="B5299:C5299" si="7220">B5211</f>
        <v>40000</v>
      </c>
      <c r="C5299" s="8" t="str">
        <f t="shared" si="7220"/>
        <v>装备</v>
      </c>
      <c r="D5299" s="8">
        <v>50702056</v>
      </c>
      <c r="E5299" s="8"/>
      <c r="F5299" s="8">
        <v>1</v>
      </c>
      <c r="G5299" s="8">
        <f>3*INDEX([1]equip.xml!$I:$I,MATCH(D5299,[1]equip.xml!$A:$A,0))</f>
        <v>438000</v>
      </c>
      <c r="H5299" s="8" t="str">
        <f t="shared" ref="H5299:J5299" si="7221">H5211</f>
        <v>10_10,50_20,80_30</v>
      </c>
      <c r="I5299" s="8">
        <v>1</v>
      </c>
      <c r="J5299" s="8">
        <f t="shared" si="7221"/>
        <v>240</v>
      </c>
      <c r="K5299" s="7" t="s">
        <v>312</v>
      </c>
      <c r="L5299" s="8">
        <v>44</v>
      </c>
      <c r="M5299" s="7">
        <f>IF(INDEX([1]equip.xml!$B:$B,MATCH(D5299,[1]equip.xml!$A:$A,0))=0,0,N5299)</f>
        <v>0</v>
      </c>
      <c r="N5299" s="7">
        <f t="shared" si="7132"/>
        <v>140</v>
      </c>
    </row>
    <row r="5300" spans="1:14">
      <c r="A5300" s="7">
        <f t="shared" si="7211"/>
        <v>30018</v>
      </c>
      <c r="B5300" s="8">
        <f t="shared" ref="B5300:C5300" si="7222">B5212</f>
        <v>40000</v>
      </c>
      <c r="C5300" s="8" t="str">
        <f t="shared" si="7222"/>
        <v>装备</v>
      </c>
      <c r="D5300" s="8">
        <v>50702065</v>
      </c>
      <c r="E5300" s="8"/>
      <c r="F5300" s="8">
        <v>1</v>
      </c>
      <c r="G5300" s="8">
        <f>3*INDEX([1]equip.xml!$I:$I,MATCH(D5300,[1]equip.xml!$A:$A,0))</f>
        <v>420000</v>
      </c>
      <c r="H5300" s="8" t="str">
        <f t="shared" ref="H5300:J5300" si="7223">H5212</f>
        <v>10_10,50_20,80_30</v>
      </c>
      <c r="I5300" s="8">
        <v>1</v>
      </c>
      <c r="J5300" s="8">
        <f t="shared" si="7223"/>
        <v>240</v>
      </c>
      <c r="K5300" s="7" t="s">
        <v>312</v>
      </c>
      <c r="L5300" s="8">
        <v>44</v>
      </c>
      <c r="M5300" s="7">
        <f>IF(INDEX([1]equip.xml!$B:$B,MATCH(D5300,[1]equip.xml!$A:$A,0))=0,0,N5300)</f>
        <v>140</v>
      </c>
      <c r="N5300" s="7">
        <f t="shared" si="7132"/>
        <v>140</v>
      </c>
    </row>
    <row r="5301" spans="1:14">
      <c r="A5301" s="7">
        <f t="shared" si="7211"/>
        <v>30018</v>
      </c>
      <c r="B5301" s="8">
        <f t="shared" ref="B5301:C5301" si="7224">B5213</f>
        <v>40000</v>
      </c>
      <c r="C5301" s="8" t="str">
        <f t="shared" si="7224"/>
        <v>装备</v>
      </c>
      <c r="D5301" s="8">
        <v>50702066</v>
      </c>
      <c r="E5301" s="8"/>
      <c r="F5301" s="8">
        <v>1</v>
      </c>
      <c r="G5301" s="8">
        <f>3*INDEX([1]equip.xml!$I:$I,MATCH(D5301,[1]equip.xml!$A:$A,0))</f>
        <v>438000</v>
      </c>
      <c r="H5301" s="8" t="str">
        <f t="shared" ref="H5301:J5301" si="7225">H5213</f>
        <v>10_10,50_20,80_30</v>
      </c>
      <c r="I5301" s="8">
        <v>1</v>
      </c>
      <c r="J5301" s="8">
        <f t="shared" si="7225"/>
        <v>240</v>
      </c>
      <c r="K5301" s="7" t="s">
        <v>312</v>
      </c>
      <c r="L5301" s="8">
        <v>44</v>
      </c>
      <c r="M5301" s="7">
        <f>IF(INDEX([1]equip.xml!$B:$B,MATCH(D5301,[1]equip.xml!$A:$A,0))=0,0,N5301)</f>
        <v>0</v>
      </c>
      <c r="N5301" s="7">
        <f t="shared" si="7132"/>
        <v>140</v>
      </c>
    </row>
    <row r="5302" spans="1:14">
      <c r="A5302" s="7">
        <f t="shared" si="7211"/>
        <v>30018</v>
      </c>
      <c r="B5302" s="8">
        <f t="shared" ref="B5302:C5302" si="7226">B5214</f>
        <v>40000</v>
      </c>
      <c r="C5302" s="8" t="str">
        <f t="shared" si="7226"/>
        <v>装备</v>
      </c>
      <c r="D5302" s="8">
        <v>50703055</v>
      </c>
      <c r="E5302" s="8"/>
      <c r="F5302" s="8">
        <v>1</v>
      </c>
      <c r="G5302" s="8">
        <f>3*INDEX([1]equip.xml!$I:$I,MATCH(D5302,[1]equip.xml!$A:$A,0))</f>
        <v>420000</v>
      </c>
      <c r="H5302" s="8" t="str">
        <f t="shared" ref="H5302:J5302" si="7227">H5214</f>
        <v>10_10,50_20,80_30</v>
      </c>
      <c r="I5302" s="8">
        <v>1</v>
      </c>
      <c r="J5302" s="8">
        <f t="shared" si="7227"/>
        <v>240</v>
      </c>
      <c r="K5302" s="7" t="s">
        <v>312</v>
      </c>
      <c r="L5302" s="8">
        <v>44</v>
      </c>
      <c r="M5302" s="7">
        <f>IF(INDEX([1]equip.xml!$B:$B,MATCH(D5302,[1]equip.xml!$A:$A,0))=0,0,N5302)</f>
        <v>140</v>
      </c>
      <c r="N5302" s="7">
        <f t="shared" si="7132"/>
        <v>140</v>
      </c>
    </row>
    <row r="5303" spans="1:14">
      <c r="A5303" s="7">
        <f t="shared" si="7211"/>
        <v>30018</v>
      </c>
      <c r="B5303" s="8">
        <f t="shared" ref="B5303:C5303" si="7228">B5215</f>
        <v>40000</v>
      </c>
      <c r="C5303" s="8" t="str">
        <f t="shared" si="7228"/>
        <v>装备</v>
      </c>
      <c r="D5303" s="8">
        <v>50703056</v>
      </c>
      <c r="E5303" s="8"/>
      <c r="F5303" s="8">
        <v>1</v>
      </c>
      <c r="G5303" s="8">
        <f>3*INDEX([1]equip.xml!$I:$I,MATCH(D5303,[1]equip.xml!$A:$A,0))</f>
        <v>438000</v>
      </c>
      <c r="H5303" s="8" t="str">
        <f t="shared" ref="H5303:J5303" si="7229">H5215</f>
        <v>10_10,50_20,80_30</v>
      </c>
      <c r="I5303" s="8">
        <v>1</v>
      </c>
      <c r="J5303" s="8">
        <f t="shared" si="7229"/>
        <v>240</v>
      </c>
      <c r="K5303" s="7" t="s">
        <v>312</v>
      </c>
      <c r="L5303" s="8">
        <v>44</v>
      </c>
      <c r="M5303" s="7">
        <f>IF(INDEX([1]equip.xml!$B:$B,MATCH(D5303,[1]equip.xml!$A:$A,0))=0,0,N5303)</f>
        <v>0</v>
      </c>
      <c r="N5303" s="7">
        <f t="shared" si="7132"/>
        <v>140</v>
      </c>
    </row>
    <row r="5304" spans="1:14">
      <c r="A5304" s="7">
        <f t="shared" si="7211"/>
        <v>30018</v>
      </c>
      <c r="B5304" s="8">
        <f t="shared" ref="B5304:C5304" si="7230">B5216</f>
        <v>40000</v>
      </c>
      <c r="C5304" s="8" t="str">
        <f t="shared" si="7230"/>
        <v>装备</v>
      </c>
      <c r="D5304" s="8">
        <v>50703065</v>
      </c>
      <c r="E5304" s="8"/>
      <c r="F5304" s="8">
        <v>1</v>
      </c>
      <c r="G5304" s="8">
        <f>3*INDEX([1]equip.xml!$I:$I,MATCH(D5304,[1]equip.xml!$A:$A,0))</f>
        <v>420000</v>
      </c>
      <c r="H5304" s="8" t="str">
        <f t="shared" ref="H5304:J5304" si="7231">H5216</f>
        <v>10_10,50_20,80_30</v>
      </c>
      <c r="I5304" s="8">
        <v>1</v>
      </c>
      <c r="J5304" s="8">
        <f t="shared" si="7231"/>
        <v>240</v>
      </c>
      <c r="K5304" s="7" t="s">
        <v>312</v>
      </c>
      <c r="L5304" s="8">
        <v>44</v>
      </c>
      <c r="M5304" s="7">
        <f>IF(INDEX([1]equip.xml!$B:$B,MATCH(D5304,[1]equip.xml!$A:$A,0))=0,0,N5304)</f>
        <v>140</v>
      </c>
      <c r="N5304" s="7">
        <f t="shared" si="7132"/>
        <v>140</v>
      </c>
    </row>
    <row r="5305" spans="1:14">
      <c r="A5305" s="7">
        <f t="shared" si="7211"/>
        <v>30018</v>
      </c>
      <c r="B5305" s="8">
        <f t="shared" ref="B5305:C5305" si="7232">B5217</f>
        <v>40000</v>
      </c>
      <c r="C5305" s="8" t="str">
        <f t="shared" si="7232"/>
        <v>装备</v>
      </c>
      <c r="D5305" s="8">
        <v>50703066</v>
      </c>
      <c r="E5305" s="8"/>
      <c r="F5305" s="8">
        <v>1</v>
      </c>
      <c r="G5305" s="8">
        <f>3*INDEX([1]equip.xml!$I:$I,MATCH(D5305,[1]equip.xml!$A:$A,0))</f>
        <v>438000</v>
      </c>
      <c r="H5305" s="8" t="str">
        <f t="shared" ref="H5305:J5305" si="7233">H5217</f>
        <v>10_10,50_20,80_30</v>
      </c>
      <c r="I5305" s="8">
        <v>1</v>
      </c>
      <c r="J5305" s="8">
        <f t="shared" si="7233"/>
        <v>240</v>
      </c>
      <c r="K5305" s="7" t="s">
        <v>312</v>
      </c>
      <c r="L5305" s="8">
        <v>44</v>
      </c>
      <c r="M5305" s="7">
        <f>IF(INDEX([1]equip.xml!$B:$B,MATCH(D5305,[1]equip.xml!$A:$A,0))=0,0,N5305)</f>
        <v>0</v>
      </c>
      <c r="N5305" s="7">
        <f t="shared" si="7132"/>
        <v>140</v>
      </c>
    </row>
    <row r="5306" spans="1:14">
      <c r="A5306" s="7">
        <f t="shared" si="7211"/>
        <v>30018</v>
      </c>
      <c r="B5306" s="8">
        <f t="shared" ref="B5306:C5306" si="7234">B5218</f>
        <v>40000</v>
      </c>
      <c r="C5306" s="8" t="str">
        <f t="shared" si="7234"/>
        <v>装备</v>
      </c>
      <c r="D5306" s="8">
        <v>50700045</v>
      </c>
      <c r="E5306" s="8"/>
      <c r="F5306" s="8">
        <v>1</v>
      </c>
      <c r="G5306" s="8">
        <f>3*INDEX([1]equip.xml!$I:$I,MATCH(D5306,[1]equip.xml!$A:$A,0))</f>
        <v>420000</v>
      </c>
      <c r="H5306" s="8" t="str">
        <f t="shared" ref="H5306:J5306" si="7235">H5218</f>
        <v>10_10,50_20,80_30</v>
      </c>
      <c r="I5306" s="8">
        <v>1</v>
      </c>
      <c r="J5306" s="8">
        <f t="shared" si="7235"/>
        <v>240</v>
      </c>
      <c r="K5306" s="7" t="s">
        <v>312</v>
      </c>
      <c r="L5306" s="8">
        <v>44</v>
      </c>
      <c r="M5306" s="7">
        <f>IF(INDEX([1]equip.xml!$B:$B,MATCH(D5306,[1]equip.xml!$A:$A,0))=0,0,N5306)</f>
        <v>140</v>
      </c>
      <c r="N5306" s="7">
        <f t="shared" si="7132"/>
        <v>140</v>
      </c>
    </row>
    <row r="5307" spans="1:14">
      <c r="A5307" s="7">
        <f t="shared" si="7211"/>
        <v>30018</v>
      </c>
      <c r="B5307" s="8">
        <f t="shared" ref="B5307:C5307" si="7236">B5219</f>
        <v>40000</v>
      </c>
      <c r="C5307" s="8" t="str">
        <f t="shared" si="7236"/>
        <v>装备</v>
      </c>
      <c r="D5307" s="8">
        <v>50700046</v>
      </c>
      <c r="E5307" s="8"/>
      <c r="F5307" s="8">
        <v>1</v>
      </c>
      <c r="G5307" s="8">
        <f>3*INDEX([1]equip.xml!$I:$I,MATCH(D5307,[1]equip.xml!$A:$A,0))</f>
        <v>438000</v>
      </c>
      <c r="H5307" s="8" t="str">
        <f t="shared" ref="H5307:J5307" si="7237">H5219</f>
        <v>10_10,50_20,80_30</v>
      </c>
      <c r="I5307" s="8">
        <v>1</v>
      </c>
      <c r="J5307" s="8">
        <f t="shared" si="7237"/>
        <v>240</v>
      </c>
      <c r="K5307" s="7" t="s">
        <v>312</v>
      </c>
      <c r="L5307" s="8">
        <v>44</v>
      </c>
      <c r="M5307" s="7">
        <f>IF(INDEX([1]equip.xml!$B:$B,MATCH(D5307,[1]equip.xml!$A:$A,0))=0,0,N5307)</f>
        <v>0</v>
      </c>
      <c r="N5307" s="7">
        <f t="shared" si="7132"/>
        <v>140</v>
      </c>
    </row>
    <row r="5308" spans="1:14">
      <c r="A5308" s="7">
        <f t="shared" si="7211"/>
        <v>30018</v>
      </c>
      <c r="B5308" s="8">
        <f t="shared" ref="B5308:C5308" si="7238">B5220</f>
        <v>40000</v>
      </c>
      <c r="C5308" s="8" t="str">
        <f t="shared" si="7238"/>
        <v>装备</v>
      </c>
      <c r="D5308" s="8">
        <v>50700075</v>
      </c>
      <c r="E5308" s="8"/>
      <c r="F5308" s="8">
        <v>1</v>
      </c>
      <c r="G5308" s="8">
        <f>3*INDEX([1]equip.xml!$I:$I,MATCH(D5308,[1]equip.xml!$A:$A,0))</f>
        <v>420000</v>
      </c>
      <c r="H5308" s="8" t="str">
        <f t="shared" ref="H5308:J5308" si="7239">H5220</f>
        <v>10_10,50_20,80_30</v>
      </c>
      <c r="I5308" s="8">
        <v>1</v>
      </c>
      <c r="J5308" s="8">
        <f t="shared" si="7239"/>
        <v>240</v>
      </c>
      <c r="K5308" s="7" t="s">
        <v>312</v>
      </c>
      <c r="L5308" s="8">
        <v>44</v>
      </c>
      <c r="M5308" s="7">
        <f>IF(INDEX([1]equip.xml!$B:$B,MATCH(D5308,[1]equip.xml!$A:$A,0))=0,0,N5308)</f>
        <v>140</v>
      </c>
      <c r="N5308" s="7">
        <f t="shared" si="7132"/>
        <v>140</v>
      </c>
    </row>
    <row r="5309" spans="1:14">
      <c r="A5309" s="7">
        <f t="shared" si="7211"/>
        <v>30018</v>
      </c>
      <c r="B5309" s="8">
        <f t="shared" ref="B5309:C5309" si="7240">B5221</f>
        <v>40000</v>
      </c>
      <c r="C5309" s="8" t="str">
        <f t="shared" si="7240"/>
        <v>装备</v>
      </c>
      <c r="D5309" s="8">
        <v>50700076</v>
      </c>
      <c r="E5309" s="8"/>
      <c r="F5309" s="8">
        <v>1</v>
      </c>
      <c r="G5309" s="8">
        <f>3*INDEX([1]equip.xml!$I:$I,MATCH(D5309,[1]equip.xml!$A:$A,0))</f>
        <v>438000</v>
      </c>
      <c r="H5309" s="8" t="str">
        <f t="shared" ref="H5309:J5309" si="7241">H5221</f>
        <v>10_10,50_20,80_30</v>
      </c>
      <c r="I5309" s="8">
        <v>1</v>
      </c>
      <c r="J5309" s="8">
        <f t="shared" si="7241"/>
        <v>240</v>
      </c>
      <c r="K5309" s="7" t="s">
        <v>312</v>
      </c>
      <c r="L5309" s="8">
        <v>44</v>
      </c>
      <c r="M5309" s="7">
        <f>IF(INDEX([1]equip.xml!$B:$B,MATCH(D5309,[1]equip.xml!$A:$A,0))=0,0,N5309)</f>
        <v>0</v>
      </c>
      <c r="N5309" s="7">
        <f t="shared" si="7132"/>
        <v>140</v>
      </c>
    </row>
    <row r="5310" spans="1:14">
      <c r="A5310" s="7">
        <v>20001</v>
      </c>
      <c r="B5310" s="7">
        <v>30000</v>
      </c>
      <c r="C5310" s="7" t="s">
        <v>37</v>
      </c>
      <c r="D5310" s="7">
        <v>10001</v>
      </c>
      <c r="E5310" s="7" t="s">
        <v>39</v>
      </c>
      <c r="F5310" s="7">
        <v>1</v>
      </c>
      <c r="G5310" s="7">
        <v>10000</v>
      </c>
      <c r="H5310" s="7" t="s">
        <v>31</v>
      </c>
      <c r="I5310" s="7">
        <v>0</v>
      </c>
      <c r="J5310" s="7">
        <v>240</v>
      </c>
      <c r="K5310" s="7" t="s">
        <v>307</v>
      </c>
      <c r="L5310" s="7">
        <v>20</v>
      </c>
      <c r="M5310" s="7">
        <v>10</v>
      </c>
      <c r="N5310" s="7">
        <v>10</v>
      </c>
    </row>
    <row r="5311" spans="1:14">
      <c r="A5311" s="7">
        <v>20001</v>
      </c>
      <c r="B5311" s="7">
        <v>30000</v>
      </c>
      <c r="C5311" s="7" t="s">
        <v>37</v>
      </c>
      <c r="D5311" s="7">
        <v>50003</v>
      </c>
      <c r="E5311" s="7" t="s">
        <v>40</v>
      </c>
      <c r="F5311" s="7">
        <v>10</v>
      </c>
      <c r="G5311" s="7">
        <v>10000</v>
      </c>
      <c r="H5311" s="7" t="s">
        <v>31</v>
      </c>
      <c r="I5311" s="7">
        <v>0</v>
      </c>
      <c r="J5311" s="7">
        <v>2200</v>
      </c>
      <c r="K5311" s="7" t="s">
        <v>307</v>
      </c>
      <c r="L5311" s="7">
        <v>20</v>
      </c>
      <c r="M5311" s="7">
        <v>5</v>
      </c>
      <c r="N5311" s="7">
        <v>1</v>
      </c>
    </row>
    <row r="5312" spans="1:14">
      <c r="A5312" s="7">
        <v>20001</v>
      </c>
      <c r="B5312" s="7">
        <v>30000</v>
      </c>
      <c r="C5312" s="7" t="s">
        <v>37</v>
      </c>
      <c r="D5312" s="7">
        <v>50003</v>
      </c>
      <c r="E5312" s="7" t="s">
        <v>40</v>
      </c>
      <c r="F5312" s="7">
        <v>1</v>
      </c>
      <c r="G5312" s="7">
        <v>10000</v>
      </c>
      <c r="H5312" s="7" t="s">
        <v>31</v>
      </c>
      <c r="I5312" s="7">
        <v>0</v>
      </c>
      <c r="J5312" s="7">
        <v>240</v>
      </c>
      <c r="K5312" s="7" t="s">
        <v>299</v>
      </c>
      <c r="L5312" s="7">
        <v>20</v>
      </c>
      <c r="M5312" s="7">
        <v>10</v>
      </c>
      <c r="N5312" s="7">
        <v>10</v>
      </c>
    </row>
    <row r="5313" spans="1:14">
      <c r="A5313" s="7">
        <v>20001</v>
      </c>
      <c r="B5313" s="7">
        <v>30000</v>
      </c>
      <c r="C5313" s="7" t="s">
        <v>37</v>
      </c>
      <c r="D5313" s="7">
        <v>50002</v>
      </c>
      <c r="E5313" s="7" t="s">
        <v>41</v>
      </c>
      <c r="F5313" s="7">
        <v>10</v>
      </c>
      <c r="G5313" s="7">
        <v>10000</v>
      </c>
      <c r="H5313" s="7" t="s">
        <v>31</v>
      </c>
      <c r="I5313" s="7">
        <v>0</v>
      </c>
      <c r="J5313" s="7">
        <v>650</v>
      </c>
      <c r="K5313" s="7" t="s">
        <v>308</v>
      </c>
      <c r="L5313" s="7">
        <v>20</v>
      </c>
      <c r="M5313" s="7">
        <v>5</v>
      </c>
      <c r="N5313" s="7">
        <v>1</v>
      </c>
    </row>
    <row r="5314" spans="1:14">
      <c r="A5314" s="7">
        <v>20001</v>
      </c>
      <c r="B5314" s="7">
        <v>30000</v>
      </c>
      <c r="C5314" s="7" t="s">
        <v>37</v>
      </c>
      <c r="D5314" s="7">
        <v>50002</v>
      </c>
      <c r="E5314" s="7" t="s">
        <v>41</v>
      </c>
      <c r="F5314" s="7">
        <v>1</v>
      </c>
      <c r="G5314" s="7">
        <v>10000</v>
      </c>
      <c r="H5314" s="7" t="s">
        <v>31</v>
      </c>
      <c r="I5314" s="7">
        <v>0</v>
      </c>
      <c r="J5314" s="7">
        <v>70</v>
      </c>
      <c r="K5314" s="7" t="s">
        <v>299</v>
      </c>
      <c r="L5314" s="7">
        <v>20</v>
      </c>
      <c r="M5314" s="7">
        <v>35</v>
      </c>
      <c r="N5314" s="7">
        <v>35</v>
      </c>
    </row>
    <row r="5315" spans="1:14">
      <c r="A5315" s="7">
        <v>20001</v>
      </c>
      <c r="B5315" s="7">
        <v>30000</v>
      </c>
      <c r="C5315" s="7" t="s">
        <v>37</v>
      </c>
      <c r="D5315" s="7">
        <v>50001</v>
      </c>
      <c r="E5315" s="7" t="s">
        <v>42</v>
      </c>
      <c r="F5315" s="7">
        <v>3</v>
      </c>
      <c r="G5315" s="7">
        <v>10000</v>
      </c>
      <c r="H5315" s="7" t="s">
        <v>31</v>
      </c>
      <c r="I5315" s="7">
        <v>0</v>
      </c>
      <c r="J5315" s="7">
        <v>70</v>
      </c>
      <c r="K5315" s="7" t="s">
        <v>299</v>
      </c>
      <c r="L5315" s="7">
        <v>20</v>
      </c>
      <c r="M5315" s="7">
        <v>35</v>
      </c>
      <c r="N5315" s="7">
        <v>35</v>
      </c>
    </row>
    <row r="5316" spans="1:14">
      <c r="A5316" s="7">
        <v>20001</v>
      </c>
      <c r="B5316" s="7">
        <v>30000</v>
      </c>
      <c r="C5316" s="7" t="s">
        <v>37</v>
      </c>
      <c r="D5316" s="7">
        <v>40005</v>
      </c>
      <c r="E5316" s="7" t="s">
        <v>301</v>
      </c>
      <c r="F5316" s="7">
        <v>1</v>
      </c>
      <c r="G5316" s="7">
        <v>10000</v>
      </c>
      <c r="H5316" s="7" t="s">
        <v>303</v>
      </c>
      <c r="I5316" s="7">
        <v>0</v>
      </c>
      <c r="J5316" s="7">
        <v>250</v>
      </c>
      <c r="K5316" s="7" t="s">
        <v>314</v>
      </c>
      <c r="L5316" s="7">
        <v>20</v>
      </c>
      <c r="M5316" s="7">
        <v>50</v>
      </c>
      <c r="N5316" s="7">
        <v>50</v>
      </c>
    </row>
    <row r="5317" spans="1:14">
      <c r="A5317" s="7">
        <v>20001</v>
      </c>
      <c r="B5317" s="7">
        <v>30000</v>
      </c>
      <c r="C5317" s="7" t="s">
        <v>37</v>
      </c>
      <c r="D5317" s="7">
        <v>40005</v>
      </c>
      <c r="E5317" s="7" t="s">
        <v>301</v>
      </c>
      <c r="F5317" s="7">
        <v>3</v>
      </c>
      <c r="G5317" s="7">
        <v>10000</v>
      </c>
      <c r="H5317" s="7" t="s">
        <v>303</v>
      </c>
      <c r="I5317" s="7">
        <v>0</v>
      </c>
      <c r="J5317" s="7">
        <v>600</v>
      </c>
      <c r="K5317" s="7" t="s">
        <v>316</v>
      </c>
      <c r="L5317" s="7">
        <v>20</v>
      </c>
      <c r="M5317" s="7">
        <v>50</v>
      </c>
      <c r="N5317" s="7">
        <v>50</v>
      </c>
    </row>
    <row r="5318" spans="1:14">
      <c r="A5318" s="7">
        <v>20001</v>
      </c>
      <c r="B5318" s="7">
        <v>30000</v>
      </c>
      <c r="C5318" s="7" t="s">
        <v>37</v>
      </c>
      <c r="D5318" s="7">
        <v>40004</v>
      </c>
      <c r="E5318" s="7" t="s">
        <v>306</v>
      </c>
      <c r="F5318" s="7">
        <v>10</v>
      </c>
      <c r="G5318" s="7">
        <v>10000</v>
      </c>
      <c r="H5318" s="7" t="s">
        <v>303</v>
      </c>
      <c r="I5318" s="7">
        <v>0</v>
      </c>
      <c r="J5318" s="7">
        <v>300</v>
      </c>
      <c r="K5318" s="7" t="s">
        <v>302</v>
      </c>
      <c r="L5318" s="7">
        <v>20</v>
      </c>
      <c r="M5318" s="7">
        <v>50</v>
      </c>
      <c r="N5318" s="7">
        <v>50</v>
      </c>
    </row>
    <row r="5319" spans="1:14">
      <c r="A5319" s="8">
        <v>20002</v>
      </c>
      <c r="B5319" s="8">
        <v>30000</v>
      </c>
      <c r="C5319" s="8" t="s">
        <v>37</v>
      </c>
      <c r="D5319" s="8">
        <v>10001</v>
      </c>
      <c r="E5319" s="8" t="s">
        <v>39</v>
      </c>
      <c r="F5319" s="8">
        <v>1</v>
      </c>
      <c r="G5319" s="8">
        <v>10000</v>
      </c>
      <c r="H5319" s="8" t="s">
        <v>31</v>
      </c>
      <c r="I5319" s="8">
        <v>0</v>
      </c>
      <c r="J5319" s="8">
        <v>240</v>
      </c>
      <c r="K5319" s="8" t="s">
        <v>307</v>
      </c>
      <c r="L5319" s="8">
        <v>20</v>
      </c>
      <c r="M5319" s="8">
        <v>15</v>
      </c>
      <c r="N5319" s="8">
        <v>15</v>
      </c>
    </row>
    <row r="5320" spans="1:14">
      <c r="A5320" s="8">
        <v>20002</v>
      </c>
      <c r="B5320" s="8">
        <v>30000</v>
      </c>
      <c r="C5320" s="8" t="s">
        <v>37</v>
      </c>
      <c r="D5320" s="8">
        <v>50003</v>
      </c>
      <c r="E5320" s="8" t="s">
        <v>40</v>
      </c>
      <c r="F5320" s="8">
        <v>10</v>
      </c>
      <c r="G5320" s="8">
        <v>10000</v>
      </c>
      <c r="H5320" s="8" t="s">
        <v>31</v>
      </c>
      <c r="I5320" s="8">
        <v>0</v>
      </c>
      <c r="J5320" s="8">
        <f t="shared" ref="J5320:J5324" si="7242">J5311</f>
        <v>2200</v>
      </c>
      <c r="K5320" s="8" t="s">
        <v>307</v>
      </c>
      <c r="L5320" s="8">
        <v>20</v>
      </c>
      <c r="M5320" s="8">
        <v>5</v>
      </c>
      <c r="N5320" s="8">
        <v>1</v>
      </c>
    </row>
    <row r="5321" spans="1:14">
      <c r="A5321" s="8">
        <v>20002</v>
      </c>
      <c r="B5321" s="8">
        <v>30000</v>
      </c>
      <c r="C5321" s="8" t="s">
        <v>37</v>
      </c>
      <c r="D5321" s="8">
        <v>50003</v>
      </c>
      <c r="E5321" s="8" t="s">
        <v>40</v>
      </c>
      <c r="F5321" s="8">
        <v>1</v>
      </c>
      <c r="G5321" s="8">
        <v>10000</v>
      </c>
      <c r="H5321" s="8" t="s">
        <v>31</v>
      </c>
      <c r="I5321" s="8">
        <v>0</v>
      </c>
      <c r="J5321" s="8">
        <f t="shared" si="7242"/>
        <v>240</v>
      </c>
      <c r="K5321" s="8" t="s">
        <v>299</v>
      </c>
      <c r="L5321" s="8">
        <v>20</v>
      </c>
      <c r="M5321" s="8">
        <v>15</v>
      </c>
      <c r="N5321" s="8">
        <v>15</v>
      </c>
    </row>
    <row r="5322" spans="1:14">
      <c r="A5322" s="8">
        <v>20002</v>
      </c>
      <c r="B5322" s="8">
        <v>30000</v>
      </c>
      <c r="C5322" s="8" t="s">
        <v>37</v>
      </c>
      <c r="D5322" s="8">
        <v>50002</v>
      </c>
      <c r="E5322" s="8" t="s">
        <v>41</v>
      </c>
      <c r="F5322" s="8">
        <v>10</v>
      </c>
      <c r="G5322" s="8">
        <v>10000</v>
      </c>
      <c r="H5322" s="8" t="s">
        <v>31</v>
      </c>
      <c r="I5322" s="8">
        <v>0</v>
      </c>
      <c r="J5322" s="8">
        <f t="shared" si="7242"/>
        <v>650</v>
      </c>
      <c r="K5322" s="8" t="s">
        <v>308</v>
      </c>
      <c r="L5322" s="8">
        <v>20</v>
      </c>
      <c r="M5322" s="8">
        <v>5</v>
      </c>
      <c r="N5322" s="8">
        <v>1</v>
      </c>
    </row>
    <row r="5323" spans="1:14">
      <c r="A5323" s="8">
        <v>20002</v>
      </c>
      <c r="B5323" s="8">
        <v>30000</v>
      </c>
      <c r="C5323" s="8" t="s">
        <v>37</v>
      </c>
      <c r="D5323" s="8">
        <v>50002</v>
      </c>
      <c r="E5323" s="8" t="s">
        <v>41</v>
      </c>
      <c r="F5323" s="8">
        <v>1</v>
      </c>
      <c r="G5323" s="8">
        <v>10000</v>
      </c>
      <c r="H5323" s="8" t="s">
        <v>31</v>
      </c>
      <c r="I5323" s="8">
        <v>0</v>
      </c>
      <c r="J5323" s="8">
        <f t="shared" si="7242"/>
        <v>70</v>
      </c>
      <c r="K5323" s="8" t="s">
        <v>299</v>
      </c>
      <c r="L5323" s="8">
        <v>20</v>
      </c>
      <c r="M5323" s="8">
        <v>40</v>
      </c>
      <c r="N5323" s="8">
        <v>40</v>
      </c>
    </row>
    <row r="5324" spans="1:14">
      <c r="A5324" s="8">
        <v>20002</v>
      </c>
      <c r="B5324" s="8">
        <v>30000</v>
      </c>
      <c r="C5324" s="8" t="s">
        <v>37</v>
      </c>
      <c r="D5324" s="8">
        <v>50001</v>
      </c>
      <c r="E5324" s="8" t="s">
        <v>42</v>
      </c>
      <c r="F5324" s="8">
        <v>3</v>
      </c>
      <c r="G5324" s="8">
        <v>10000</v>
      </c>
      <c r="H5324" s="8" t="s">
        <v>31</v>
      </c>
      <c r="I5324" s="8">
        <v>0</v>
      </c>
      <c r="J5324" s="8">
        <f t="shared" si="7242"/>
        <v>70</v>
      </c>
      <c r="K5324" s="8" t="s">
        <v>299</v>
      </c>
      <c r="L5324" s="8">
        <v>20</v>
      </c>
      <c r="M5324" s="8">
        <v>20</v>
      </c>
      <c r="N5324" s="8">
        <v>20</v>
      </c>
    </row>
    <row r="5325" spans="1:14">
      <c r="A5325" s="8">
        <v>20002</v>
      </c>
      <c r="B5325" s="8">
        <v>30000</v>
      </c>
      <c r="C5325" s="8" t="s">
        <v>304</v>
      </c>
      <c r="D5325" s="8">
        <v>40005</v>
      </c>
      <c r="E5325" s="8" t="s">
        <v>300</v>
      </c>
      <c r="F5325" s="8">
        <v>1</v>
      </c>
      <c r="G5325" s="8">
        <v>10000</v>
      </c>
      <c r="H5325" s="8" t="s">
        <v>302</v>
      </c>
      <c r="I5325" s="8">
        <v>0</v>
      </c>
      <c r="J5325" s="8">
        <v>250</v>
      </c>
      <c r="K5325" s="8" t="s">
        <v>314</v>
      </c>
      <c r="L5325" s="8">
        <v>20</v>
      </c>
      <c r="M5325" s="8">
        <v>50</v>
      </c>
      <c r="N5325" s="8">
        <v>50</v>
      </c>
    </row>
    <row r="5326" spans="1:14">
      <c r="A5326" s="8">
        <v>20002</v>
      </c>
      <c r="B5326" s="8">
        <v>30000</v>
      </c>
      <c r="C5326" s="8" t="s">
        <v>304</v>
      </c>
      <c r="D5326" s="8">
        <v>40005</v>
      </c>
      <c r="E5326" s="8" t="s">
        <v>300</v>
      </c>
      <c r="F5326" s="8">
        <v>3</v>
      </c>
      <c r="G5326" s="8">
        <v>10000</v>
      </c>
      <c r="H5326" s="8" t="s">
        <v>302</v>
      </c>
      <c r="I5326" s="8">
        <v>0</v>
      </c>
      <c r="J5326" s="8">
        <v>600</v>
      </c>
      <c r="K5326" s="8" t="s">
        <v>316</v>
      </c>
      <c r="L5326" s="8">
        <v>20</v>
      </c>
      <c r="M5326" s="8">
        <v>50</v>
      </c>
      <c r="N5326" s="8">
        <v>50</v>
      </c>
    </row>
    <row r="5327" spans="1:14">
      <c r="A5327" s="8">
        <v>20002</v>
      </c>
      <c r="B5327" s="8">
        <v>30000</v>
      </c>
      <c r="C5327" s="8" t="s">
        <v>304</v>
      </c>
      <c r="D5327" s="8">
        <v>40004</v>
      </c>
      <c r="E5327" s="8" t="s">
        <v>305</v>
      </c>
      <c r="F5327" s="8">
        <v>10</v>
      </c>
      <c r="G5327" s="8">
        <v>10000</v>
      </c>
      <c r="H5327" s="8" t="s">
        <v>302</v>
      </c>
      <c r="I5327" s="8">
        <v>0</v>
      </c>
      <c r="J5327" s="8">
        <v>300</v>
      </c>
      <c r="K5327" s="8" t="s">
        <v>302</v>
      </c>
      <c r="L5327" s="8">
        <v>20</v>
      </c>
      <c r="M5327" s="8">
        <v>50</v>
      </c>
      <c r="N5327" s="8">
        <v>50</v>
      </c>
    </row>
    <row r="5328" spans="1:14">
      <c r="A5328" s="7">
        <v>20003</v>
      </c>
      <c r="B5328" s="7">
        <v>30000</v>
      </c>
      <c r="C5328" s="7" t="s">
        <v>37</v>
      </c>
      <c r="D5328" s="7">
        <v>10001</v>
      </c>
      <c r="E5328" s="7" t="s">
        <v>39</v>
      </c>
      <c r="F5328" s="7">
        <v>1</v>
      </c>
      <c r="G5328" s="7">
        <v>10000</v>
      </c>
      <c r="H5328" s="7" t="s">
        <v>31</v>
      </c>
      <c r="I5328" s="7">
        <v>0</v>
      </c>
      <c r="J5328" s="7">
        <v>240</v>
      </c>
      <c r="K5328" s="7" t="s">
        <v>307</v>
      </c>
      <c r="L5328" s="7">
        <v>20</v>
      </c>
      <c r="M5328" s="7">
        <v>50</v>
      </c>
      <c r="N5328" s="7">
        <v>50</v>
      </c>
    </row>
    <row r="5329" spans="1:14">
      <c r="A5329" s="7">
        <v>20003</v>
      </c>
      <c r="B5329" s="7">
        <v>30000</v>
      </c>
      <c r="C5329" s="7" t="s">
        <v>37</v>
      </c>
      <c r="D5329" s="7">
        <v>50003</v>
      </c>
      <c r="E5329" s="7" t="s">
        <v>40</v>
      </c>
      <c r="F5329" s="7">
        <v>10</v>
      </c>
      <c r="G5329" s="7">
        <v>10000</v>
      </c>
      <c r="H5329" s="7" t="s">
        <v>31</v>
      </c>
      <c r="I5329" s="7">
        <v>0</v>
      </c>
      <c r="J5329" s="7">
        <f t="shared" ref="J5329:J5333" si="7243">J5320</f>
        <v>2200</v>
      </c>
      <c r="K5329" s="7" t="s">
        <v>307</v>
      </c>
      <c r="L5329" s="7">
        <v>20</v>
      </c>
      <c r="M5329" s="7">
        <v>9</v>
      </c>
      <c r="N5329" s="7">
        <v>9</v>
      </c>
    </row>
    <row r="5330" spans="1:14">
      <c r="A5330" s="7">
        <v>20003</v>
      </c>
      <c r="B5330" s="7">
        <v>30000</v>
      </c>
      <c r="C5330" s="7" t="s">
        <v>37</v>
      </c>
      <c r="D5330" s="7">
        <v>50003</v>
      </c>
      <c r="E5330" s="7" t="s">
        <v>40</v>
      </c>
      <c r="F5330" s="7">
        <v>1</v>
      </c>
      <c r="G5330" s="7">
        <v>10000</v>
      </c>
      <c r="H5330" s="7" t="s">
        <v>31</v>
      </c>
      <c r="I5330" s="7">
        <v>0</v>
      </c>
      <c r="J5330" s="7">
        <f t="shared" si="7243"/>
        <v>240</v>
      </c>
      <c r="K5330" s="7" t="s">
        <v>299</v>
      </c>
      <c r="L5330" s="7">
        <v>20</v>
      </c>
      <c r="M5330" s="7">
        <v>10</v>
      </c>
      <c r="N5330" s="7">
        <v>10</v>
      </c>
    </row>
    <row r="5331" spans="1:14">
      <c r="A5331" s="7">
        <v>20003</v>
      </c>
      <c r="B5331" s="7">
        <v>30000</v>
      </c>
      <c r="C5331" s="7" t="s">
        <v>37</v>
      </c>
      <c r="D5331" s="7">
        <v>50002</v>
      </c>
      <c r="E5331" s="7" t="s">
        <v>41</v>
      </c>
      <c r="F5331" s="7">
        <v>10</v>
      </c>
      <c r="G5331" s="7">
        <v>10000</v>
      </c>
      <c r="H5331" s="7" t="s">
        <v>31</v>
      </c>
      <c r="I5331" s="7">
        <v>0</v>
      </c>
      <c r="J5331" s="7">
        <f t="shared" si="7243"/>
        <v>650</v>
      </c>
      <c r="K5331" s="7" t="s">
        <v>308</v>
      </c>
      <c r="L5331" s="7">
        <v>20</v>
      </c>
      <c r="M5331" s="7">
        <v>10</v>
      </c>
      <c r="N5331" s="7">
        <v>10</v>
      </c>
    </row>
    <row r="5332" spans="1:14">
      <c r="A5332" s="7">
        <v>20003</v>
      </c>
      <c r="B5332" s="7">
        <v>30000</v>
      </c>
      <c r="C5332" s="7" t="s">
        <v>37</v>
      </c>
      <c r="D5332" s="7">
        <v>50002</v>
      </c>
      <c r="E5332" s="7" t="s">
        <v>41</v>
      </c>
      <c r="F5332" s="7">
        <v>1</v>
      </c>
      <c r="G5332" s="7">
        <v>10000</v>
      </c>
      <c r="H5332" s="7" t="s">
        <v>31</v>
      </c>
      <c r="I5332" s="7">
        <v>0</v>
      </c>
      <c r="J5332" s="7">
        <f t="shared" si="7243"/>
        <v>70</v>
      </c>
      <c r="K5332" s="7" t="s">
        <v>299</v>
      </c>
      <c r="L5332" s="7">
        <v>20</v>
      </c>
      <c r="M5332" s="7">
        <v>21</v>
      </c>
      <c r="N5332" s="7">
        <v>21</v>
      </c>
    </row>
    <row r="5333" spans="1:14">
      <c r="A5333" s="7">
        <v>20003</v>
      </c>
      <c r="B5333" s="7">
        <v>30000</v>
      </c>
      <c r="C5333" s="7" t="s">
        <v>37</v>
      </c>
      <c r="D5333" s="7">
        <v>50001</v>
      </c>
      <c r="E5333" s="7" t="s">
        <v>42</v>
      </c>
      <c r="F5333" s="7">
        <v>3</v>
      </c>
      <c r="G5333" s="7">
        <v>10000</v>
      </c>
      <c r="H5333" s="7" t="s">
        <v>31</v>
      </c>
      <c r="I5333" s="7">
        <v>0</v>
      </c>
      <c r="J5333" s="7">
        <f t="shared" si="7243"/>
        <v>70</v>
      </c>
      <c r="K5333" s="7" t="s">
        <v>299</v>
      </c>
      <c r="L5333" s="7">
        <v>20</v>
      </c>
      <c r="M5333" s="7">
        <v>0</v>
      </c>
      <c r="N5333" s="7">
        <v>0</v>
      </c>
    </row>
    <row r="5334" spans="1:14">
      <c r="A5334" s="7">
        <v>20003</v>
      </c>
      <c r="B5334" s="7">
        <v>30000</v>
      </c>
      <c r="C5334" s="7" t="s">
        <v>304</v>
      </c>
      <c r="D5334" s="7">
        <v>40005</v>
      </c>
      <c r="E5334" s="7" t="s">
        <v>300</v>
      </c>
      <c r="F5334" s="7">
        <v>1</v>
      </c>
      <c r="G5334" s="7">
        <v>10000</v>
      </c>
      <c r="H5334" s="7" t="s">
        <v>302</v>
      </c>
      <c r="I5334" s="7">
        <v>0</v>
      </c>
      <c r="J5334" s="7">
        <v>250</v>
      </c>
      <c r="K5334" s="7" t="s">
        <v>314</v>
      </c>
      <c r="L5334" s="7">
        <v>20</v>
      </c>
      <c r="M5334" s="7">
        <v>50</v>
      </c>
      <c r="N5334" s="7">
        <v>50</v>
      </c>
    </row>
    <row r="5335" spans="1:14">
      <c r="A5335" s="7">
        <v>20003</v>
      </c>
      <c r="B5335" s="7">
        <v>30000</v>
      </c>
      <c r="C5335" s="7" t="s">
        <v>304</v>
      </c>
      <c r="D5335" s="7">
        <v>40005</v>
      </c>
      <c r="E5335" s="7" t="s">
        <v>300</v>
      </c>
      <c r="F5335" s="7">
        <v>3</v>
      </c>
      <c r="G5335" s="7">
        <v>10000</v>
      </c>
      <c r="H5335" s="7" t="s">
        <v>302</v>
      </c>
      <c r="I5335" s="7">
        <v>0</v>
      </c>
      <c r="J5335" s="7">
        <v>600</v>
      </c>
      <c r="K5335" s="7" t="s">
        <v>316</v>
      </c>
      <c r="L5335" s="7">
        <v>20</v>
      </c>
      <c r="M5335" s="7">
        <v>50</v>
      </c>
      <c r="N5335" s="7">
        <v>50</v>
      </c>
    </row>
    <row r="5336" spans="1:14">
      <c r="A5336" s="7">
        <v>20003</v>
      </c>
      <c r="B5336" s="7">
        <v>30000</v>
      </c>
      <c r="C5336" s="7" t="s">
        <v>304</v>
      </c>
      <c r="D5336" s="7">
        <v>40004</v>
      </c>
      <c r="E5336" s="7" t="s">
        <v>305</v>
      </c>
      <c r="F5336" s="7">
        <v>10</v>
      </c>
      <c r="G5336" s="7">
        <v>10000</v>
      </c>
      <c r="H5336" s="7" t="s">
        <v>302</v>
      </c>
      <c r="I5336" s="7">
        <v>0</v>
      </c>
      <c r="J5336" s="7">
        <v>300</v>
      </c>
      <c r="K5336" s="7" t="s">
        <v>302</v>
      </c>
      <c r="L5336" s="7">
        <v>20</v>
      </c>
      <c r="M5336" s="7">
        <v>50</v>
      </c>
      <c r="N5336" s="7">
        <v>50</v>
      </c>
    </row>
    <row r="5337" spans="1:14">
      <c r="A5337" s="8">
        <v>20004</v>
      </c>
      <c r="B5337" s="8">
        <v>30000</v>
      </c>
      <c r="C5337" s="8" t="s">
        <v>37</v>
      </c>
      <c r="D5337" s="8">
        <v>10001</v>
      </c>
      <c r="E5337" s="8" t="s">
        <v>39</v>
      </c>
      <c r="F5337" s="8">
        <v>1</v>
      </c>
      <c r="G5337" s="8">
        <v>10000</v>
      </c>
      <c r="H5337" s="8" t="s">
        <v>31</v>
      </c>
      <c r="I5337" s="8">
        <v>0</v>
      </c>
      <c r="J5337" s="8">
        <f t="shared" ref="J5337:J5342" si="7244">J5328</f>
        <v>240</v>
      </c>
      <c r="K5337" s="8" t="s">
        <v>307</v>
      </c>
      <c r="L5337" s="8">
        <v>20</v>
      </c>
      <c r="M5337" s="8">
        <v>80</v>
      </c>
      <c r="N5337" s="8">
        <v>80</v>
      </c>
    </row>
    <row r="5338" spans="1:14">
      <c r="A5338" s="8">
        <v>20004</v>
      </c>
      <c r="B5338" s="8">
        <v>30000</v>
      </c>
      <c r="C5338" s="8" t="s">
        <v>37</v>
      </c>
      <c r="D5338" s="8">
        <v>50003</v>
      </c>
      <c r="E5338" s="8" t="s">
        <v>40</v>
      </c>
      <c r="F5338" s="8">
        <v>10</v>
      </c>
      <c r="G5338" s="8">
        <v>10000</v>
      </c>
      <c r="H5338" s="8" t="s">
        <v>31</v>
      </c>
      <c r="I5338" s="8">
        <v>0</v>
      </c>
      <c r="J5338" s="8">
        <f t="shared" si="7244"/>
        <v>2200</v>
      </c>
      <c r="K5338" s="8" t="s">
        <v>307</v>
      </c>
      <c r="L5338" s="8">
        <v>20</v>
      </c>
      <c r="M5338" s="8">
        <v>9</v>
      </c>
      <c r="N5338" s="8">
        <v>9</v>
      </c>
    </row>
    <row r="5339" spans="1:14">
      <c r="A5339" s="8">
        <v>20004</v>
      </c>
      <c r="B5339" s="8">
        <v>30000</v>
      </c>
      <c r="C5339" s="8" t="s">
        <v>37</v>
      </c>
      <c r="D5339" s="8">
        <v>50003</v>
      </c>
      <c r="E5339" s="8" t="s">
        <v>40</v>
      </c>
      <c r="F5339" s="8">
        <v>1</v>
      </c>
      <c r="G5339" s="8">
        <v>10000</v>
      </c>
      <c r="H5339" s="8" t="s">
        <v>31</v>
      </c>
      <c r="I5339" s="8">
        <v>0</v>
      </c>
      <c r="J5339" s="8">
        <f t="shared" si="7244"/>
        <v>240</v>
      </c>
      <c r="K5339" s="8" t="s">
        <v>299</v>
      </c>
      <c r="L5339" s="8">
        <v>20</v>
      </c>
      <c r="M5339" s="8">
        <v>5</v>
      </c>
      <c r="N5339" s="8">
        <v>5</v>
      </c>
    </row>
    <row r="5340" spans="1:14">
      <c r="A5340" s="8">
        <v>20004</v>
      </c>
      <c r="B5340" s="8">
        <v>30000</v>
      </c>
      <c r="C5340" s="8" t="s">
        <v>37</v>
      </c>
      <c r="D5340" s="8">
        <v>50002</v>
      </c>
      <c r="E5340" s="8" t="s">
        <v>41</v>
      </c>
      <c r="F5340" s="8">
        <v>10</v>
      </c>
      <c r="G5340" s="8">
        <v>10000</v>
      </c>
      <c r="H5340" s="8" t="s">
        <v>31</v>
      </c>
      <c r="I5340" s="8">
        <v>0</v>
      </c>
      <c r="J5340" s="8">
        <f t="shared" si="7244"/>
        <v>650</v>
      </c>
      <c r="K5340" s="8" t="s">
        <v>308</v>
      </c>
      <c r="L5340" s="8">
        <v>20</v>
      </c>
      <c r="M5340" s="8">
        <v>1</v>
      </c>
      <c r="N5340" s="8">
        <v>1</v>
      </c>
    </row>
    <row r="5341" spans="1:14">
      <c r="A5341" s="8">
        <v>20004</v>
      </c>
      <c r="B5341" s="8">
        <v>30000</v>
      </c>
      <c r="C5341" s="8" t="s">
        <v>37</v>
      </c>
      <c r="D5341" s="8">
        <v>50002</v>
      </c>
      <c r="E5341" s="8" t="s">
        <v>41</v>
      </c>
      <c r="F5341" s="8">
        <v>1</v>
      </c>
      <c r="G5341" s="8">
        <v>10000</v>
      </c>
      <c r="H5341" s="8" t="s">
        <v>31</v>
      </c>
      <c r="I5341" s="8">
        <v>0</v>
      </c>
      <c r="J5341" s="8">
        <f t="shared" si="7244"/>
        <v>70</v>
      </c>
      <c r="K5341" s="8" t="s">
        <v>299</v>
      </c>
      <c r="L5341" s="8">
        <v>20</v>
      </c>
      <c r="M5341" s="8">
        <v>5</v>
      </c>
      <c r="N5341" s="8">
        <v>5</v>
      </c>
    </row>
    <row r="5342" spans="1:14">
      <c r="A5342" s="8">
        <v>20004</v>
      </c>
      <c r="B5342" s="8">
        <v>30000</v>
      </c>
      <c r="C5342" s="8" t="s">
        <v>37</v>
      </c>
      <c r="D5342" s="8">
        <v>50001</v>
      </c>
      <c r="E5342" s="8" t="s">
        <v>42</v>
      </c>
      <c r="F5342" s="8">
        <v>3</v>
      </c>
      <c r="G5342" s="8">
        <v>10000</v>
      </c>
      <c r="H5342" s="8" t="s">
        <v>31</v>
      </c>
      <c r="I5342" s="8">
        <v>0</v>
      </c>
      <c r="J5342" s="8">
        <f t="shared" si="7244"/>
        <v>70</v>
      </c>
      <c r="K5342" s="8" t="s">
        <v>299</v>
      </c>
      <c r="L5342" s="8">
        <v>20</v>
      </c>
      <c r="M5342" s="8">
        <v>0</v>
      </c>
      <c r="N5342" s="8">
        <v>0</v>
      </c>
    </row>
    <row r="5343" spans="1:14">
      <c r="A5343" s="8">
        <v>20004</v>
      </c>
      <c r="B5343" s="8">
        <v>30000</v>
      </c>
      <c r="C5343" s="8" t="s">
        <v>304</v>
      </c>
      <c r="D5343" s="8">
        <v>40005</v>
      </c>
      <c r="E5343" s="8" t="s">
        <v>300</v>
      </c>
      <c r="F5343" s="8">
        <v>1</v>
      </c>
      <c r="G5343" s="8">
        <v>10000</v>
      </c>
      <c r="H5343" s="8" t="s">
        <v>302</v>
      </c>
      <c r="I5343" s="8">
        <v>0</v>
      </c>
      <c r="J5343" s="8">
        <v>250</v>
      </c>
      <c r="K5343" s="8" t="s">
        <v>315</v>
      </c>
      <c r="L5343" s="8">
        <v>20</v>
      </c>
      <c r="M5343" s="8">
        <v>50</v>
      </c>
      <c r="N5343" s="8">
        <v>50</v>
      </c>
    </row>
    <row r="5344" spans="1:14">
      <c r="A5344" s="8">
        <v>20004</v>
      </c>
      <c r="B5344">
        <v>30000</v>
      </c>
      <c r="C5344" t="s">
        <v>304</v>
      </c>
      <c r="D5344" s="6">
        <v>40005</v>
      </c>
      <c r="E5344" t="s">
        <v>300</v>
      </c>
      <c r="F5344">
        <v>3</v>
      </c>
      <c r="G5344">
        <v>10000</v>
      </c>
      <c r="H5344" t="s">
        <v>302</v>
      </c>
      <c r="I5344">
        <v>0</v>
      </c>
      <c r="J5344">
        <v>600</v>
      </c>
      <c r="K5344" t="s">
        <v>317</v>
      </c>
      <c r="L5344">
        <v>20</v>
      </c>
      <c r="M5344">
        <v>50</v>
      </c>
      <c r="N5344">
        <v>50</v>
      </c>
    </row>
    <row r="5345" spans="1:14">
      <c r="A5345" s="8">
        <v>20004</v>
      </c>
      <c r="B5345">
        <v>30000</v>
      </c>
      <c r="C5345" t="s">
        <v>304</v>
      </c>
      <c r="D5345" s="6">
        <v>40004</v>
      </c>
      <c r="E5345" t="s">
        <v>305</v>
      </c>
      <c r="F5345">
        <v>10</v>
      </c>
      <c r="G5345">
        <v>10000</v>
      </c>
      <c r="H5345" t="s">
        <v>302</v>
      </c>
      <c r="I5345">
        <v>0</v>
      </c>
      <c r="J5345">
        <v>300</v>
      </c>
      <c r="K5345" t="s">
        <v>302</v>
      </c>
      <c r="L5345">
        <v>20</v>
      </c>
      <c r="M5345">
        <v>50</v>
      </c>
      <c r="N5345">
        <v>50</v>
      </c>
    </row>
  </sheetData>
  <phoneticPr fontId="1" type="noConversion"/>
  <pageMargins left="0.69930555555555596" right="0.69930555555555596" top="0.75" bottom="0.75" header="0.3" footer="0.3"/>
  <pageSetup paperSize="9" orientation="portrait" horizontalDpi="200" verticalDpi="3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23"/>
  <sheetViews>
    <sheetView workbookViewId="0">
      <selection activeCell="A18" sqref="A18:A23"/>
    </sheetView>
  </sheetViews>
  <sheetFormatPr defaultRowHeight="13.5"/>
  <cols>
    <col min="2" max="3" width="9.5" bestFit="1" customWidth="1"/>
    <col min="4" max="4" width="10.5" bestFit="1" customWidth="1"/>
  </cols>
  <sheetData>
    <row r="1" spans="1:7">
      <c r="A1" t="s">
        <v>285</v>
      </c>
    </row>
    <row r="3" spans="1:7">
      <c r="A3" t="s">
        <v>286</v>
      </c>
      <c r="B3" t="s">
        <v>287</v>
      </c>
      <c r="C3" t="s">
        <v>288</v>
      </c>
      <c r="D3" t="s">
        <v>289</v>
      </c>
      <c r="E3" t="s">
        <v>290</v>
      </c>
      <c r="F3" t="s">
        <v>291</v>
      </c>
      <c r="G3" t="s">
        <v>292</v>
      </c>
    </row>
    <row r="4" spans="1:7">
      <c r="A4" t="s">
        <v>279</v>
      </c>
      <c r="B4" t="s">
        <v>23</v>
      </c>
      <c r="C4" t="s">
        <v>280</v>
      </c>
      <c r="D4" t="s">
        <v>281</v>
      </c>
      <c r="E4" t="s">
        <v>282</v>
      </c>
      <c r="F4" t="s">
        <v>283</v>
      </c>
      <c r="G4" t="s">
        <v>284</v>
      </c>
    </row>
    <row r="6" spans="1:7">
      <c r="A6">
        <v>1</v>
      </c>
      <c r="B6">
        <v>30000</v>
      </c>
      <c r="C6">
        <v>10001</v>
      </c>
      <c r="D6">
        <v>1</v>
      </c>
      <c r="E6">
        <v>240</v>
      </c>
      <c r="F6">
        <v>2</v>
      </c>
      <c r="G6">
        <v>100</v>
      </c>
    </row>
    <row r="7" spans="1:7">
      <c r="A7">
        <v>1</v>
      </c>
      <c r="B7">
        <v>30000</v>
      </c>
      <c r="C7">
        <v>50003</v>
      </c>
      <c r="D7">
        <v>1</v>
      </c>
      <c r="E7">
        <v>240</v>
      </c>
      <c r="F7">
        <v>2</v>
      </c>
      <c r="G7">
        <v>80</v>
      </c>
    </row>
    <row r="8" spans="1:7">
      <c r="A8">
        <v>1</v>
      </c>
      <c r="B8">
        <v>30000</v>
      </c>
      <c r="C8">
        <v>50001</v>
      </c>
      <c r="D8">
        <v>3</v>
      </c>
      <c r="E8">
        <v>70</v>
      </c>
      <c r="F8">
        <v>2</v>
      </c>
      <c r="G8">
        <v>10</v>
      </c>
    </row>
    <row r="9" spans="1:7">
      <c r="A9">
        <v>1</v>
      </c>
      <c r="B9">
        <v>40000</v>
      </c>
      <c r="C9" s="2" t="s">
        <v>73</v>
      </c>
      <c r="D9">
        <v>1</v>
      </c>
      <c r="E9">
        <v>24000</v>
      </c>
      <c r="F9">
        <v>1</v>
      </c>
      <c r="G9">
        <v>100</v>
      </c>
    </row>
    <row r="10" spans="1:7">
      <c r="A10">
        <v>1</v>
      </c>
      <c r="B10">
        <v>40000</v>
      </c>
      <c r="C10">
        <v>40050030</v>
      </c>
      <c r="D10">
        <v>1</v>
      </c>
      <c r="E10">
        <v>50</v>
      </c>
      <c r="F10">
        <v>2</v>
      </c>
      <c r="G10">
        <v>80</v>
      </c>
    </row>
    <row r="11" spans="1:7">
      <c r="A11">
        <v>1</v>
      </c>
      <c r="B11">
        <v>40000</v>
      </c>
      <c r="C11">
        <v>40050010</v>
      </c>
      <c r="D11">
        <v>1</v>
      </c>
      <c r="E11">
        <v>15000</v>
      </c>
      <c r="F11">
        <v>1</v>
      </c>
      <c r="G11">
        <v>50</v>
      </c>
    </row>
    <row r="12" spans="1:7">
      <c r="A12">
        <v>2</v>
      </c>
      <c r="B12">
        <v>30000</v>
      </c>
      <c r="C12">
        <v>10001</v>
      </c>
      <c r="D12">
        <v>1</v>
      </c>
      <c r="E12">
        <v>240</v>
      </c>
      <c r="F12">
        <v>2</v>
      </c>
      <c r="G12">
        <v>100</v>
      </c>
    </row>
    <row r="13" spans="1:7">
      <c r="A13">
        <v>2</v>
      </c>
      <c r="B13">
        <v>30000</v>
      </c>
      <c r="C13">
        <v>50003</v>
      </c>
      <c r="D13">
        <v>1</v>
      </c>
      <c r="E13">
        <v>240</v>
      </c>
      <c r="F13">
        <v>2</v>
      </c>
      <c r="G13">
        <v>80</v>
      </c>
    </row>
    <row r="14" spans="1:7">
      <c r="A14">
        <v>2</v>
      </c>
      <c r="B14">
        <v>30000</v>
      </c>
      <c r="C14">
        <v>50001</v>
      </c>
      <c r="D14">
        <v>3</v>
      </c>
      <c r="E14">
        <v>70</v>
      </c>
      <c r="F14">
        <v>2</v>
      </c>
      <c r="G14">
        <v>10</v>
      </c>
    </row>
    <row r="15" spans="1:7">
      <c r="A15">
        <v>2</v>
      </c>
      <c r="B15">
        <v>40000</v>
      </c>
      <c r="C15" s="2">
        <v>40052051</v>
      </c>
      <c r="D15">
        <v>1</v>
      </c>
      <c r="E15">
        <v>24000</v>
      </c>
      <c r="F15">
        <v>1</v>
      </c>
      <c r="G15">
        <v>100</v>
      </c>
    </row>
    <row r="16" spans="1:7">
      <c r="A16">
        <v>2</v>
      </c>
      <c r="B16">
        <v>40000</v>
      </c>
      <c r="C16">
        <v>40050030</v>
      </c>
      <c r="D16">
        <v>1</v>
      </c>
      <c r="E16">
        <v>50</v>
      </c>
      <c r="F16">
        <v>2</v>
      </c>
      <c r="G16">
        <v>80</v>
      </c>
    </row>
    <row r="17" spans="1:7">
      <c r="A17">
        <v>2</v>
      </c>
      <c r="B17">
        <v>40000</v>
      </c>
      <c r="C17">
        <v>40050010</v>
      </c>
      <c r="D17">
        <v>1</v>
      </c>
      <c r="E17">
        <v>15000</v>
      </c>
      <c r="F17">
        <v>1</v>
      </c>
      <c r="G17">
        <v>50</v>
      </c>
    </row>
    <row r="18" spans="1:7">
      <c r="A18">
        <v>3</v>
      </c>
      <c r="B18">
        <v>30000</v>
      </c>
      <c r="C18">
        <v>10001</v>
      </c>
      <c r="D18">
        <v>1</v>
      </c>
      <c r="E18">
        <v>240</v>
      </c>
      <c r="F18">
        <v>2</v>
      </c>
      <c r="G18">
        <v>100</v>
      </c>
    </row>
    <row r="19" spans="1:7">
      <c r="A19">
        <v>3</v>
      </c>
      <c r="B19">
        <v>30000</v>
      </c>
      <c r="C19">
        <v>50003</v>
      </c>
      <c r="D19">
        <v>1</v>
      </c>
      <c r="E19">
        <v>240</v>
      </c>
      <c r="F19">
        <v>2</v>
      </c>
      <c r="G19">
        <v>80</v>
      </c>
    </row>
    <row r="20" spans="1:7">
      <c r="A20">
        <v>3</v>
      </c>
      <c r="B20">
        <v>30000</v>
      </c>
      <c r="C20">
        <v>50001</v>
      </c>
      <c r="D20">
        <v>3</v>
      </c>
      <c r="E20">
        <v>70</v>
      </c>
      <c r="F20">
        <v>2</v>
      </c>
      <c r="G20">
        <v>10</v>
      </c>
    </row>
    <row r="21" spans="1:7">
      <c r="A21">
        <v>3</v>
      </c>
      <c r="B21">
        <v>40000</v>
      </c>
      <c r="C21" s="2">
        <v>40053051</v>
      </c>
      <c r="D21">
        <v>1</v>
      </c>
      <c r="E21">
        <v>24000</v>
      </c>
      <c r="F21">
        <v>1</v>
      </c>
      <c r="G21">
        <v>100</v>
      </c>
    </row>
    <row r="22" spans="1:7">
      <c r="A22">
        <v>3</v>
      </c>
      <c r="B22">
        <v>40000</v>
      </c>
      <c r="C22">
        <v>40050030</v>
      </c>
      <c r="D22">
        <v>1</v>
      </c>
      <c r="E22">
        <v>50</v>
      </c>
      <c r="F22">
        <v>2</v>
      </c>
      <c r="G22">
        <v>80</v>
      </c>
    </row>
    <row r="23" spans="1:7">
      <c r="A23">
        <v>3</v>
      </c>
      <c r="B23">
        <v>40000</v>
      </c>
      <c r="C23">
        <v>40050010</v>
      </c>
      <c r="D23">
        <v>1</v>
      </c>
      <c r="E23">
        <v>15000</v>
      </c>
      <c r="F23">
        <v>1</v>
      </c>
      <c r="G23">
        <v>50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shopCfg.xml</vt:lpstr>
      <vt:lpstr>shopItemsCfg.xml</vt:lpstr>
      <vt:lpstr>shopInitItemsCfg.xml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2014-10-01T06:52:26Z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