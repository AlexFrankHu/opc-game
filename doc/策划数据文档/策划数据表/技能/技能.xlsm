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F:\下载的代码\手游源码\全民挂机\文档\策划数据文档\策划数据表\技能\"/>
    </mc:Choice>
  </mc:AlternateContent>
  <bookViews>
    <workbookView xWindow="0" yWindow="0" windowWidth="20085" windowHeight="12555" activeTab="1"/>
  </bookViews>
  <sheets>
    <sheet name="skill.xml" sheetId="1" r:id="rId1"/>
    <sheet name="前端配置" sheetId="2" r:id="rId2"/>
    <sheet name="平衡计算" sheetId="3" r:id="rId3"/>
  </sheets>
  <calcPr calcId="152511"/>
</workbook>
</file>

<file path=xl/calcChain.xml><?xml version="1.0" encoding="utf-8"?>
<calcChain xmlns="http://schemas.openxmlformats.org/spreadsheetml/2006/main">
  <c r="O31" i="3" l="1"/>
  <c r="H31" i="3"/>
  <c r="G31" i="3"/>
  <c r="F31" i="3"/>
  <c r="E31" i="3"/>
  <c r="D31" i="3"/>
  <c r="C31" i="3"/>
  <c r="B31" i="3"/>
  <c r="A31" i="3"/>
  <c r="O30" i="3"/>
  <c r="H30" i="3"/>
  <c r="G30" i="3"/>
  <c r="F30" i="3"/>
  <c r="E30" i="3"/>
  <c r="D30" i="3"/>
  <c r="C30" i="3"/>
  <c r="B30" i="3"/>
  <c r="A30" i="3"/>
  <c r="O29" i="3"/>
  <c r="H29" i="3"/>
  <c r="G29" i="3"/>
  <c r="F29" i="3"/>
  <c r="E29" i="3"/>
  <c r="D29" i="3"/>
  <c r="C29" i="3"/>
  <c r="B29" i="3"/>
  <c r="A29" i="3"/>
  <c r="O28" i="3"/>
  <c r="H28" i="3"/>
  <c r="G28" i="3"/>
  <c r="F28" i="3"/>
  <c r="E28" i="3"/>
  <c r="D28" i="3"/>
  <c r="C28" i="3"/>
  <c r="B28" i="3"/>
  <c r="A28" i="3"/>
  <c r="S27" i="3"/>
  <c r="O27" i="3"/>
  <c r="H27" i="3"/>
  <c r="G27" i="3"/>
  <c r="F27" i="3"/>
  <c r="E27" i="3"/>
  <c r="D27" i="3"/>
  <c r="C27" i="3"/>
  <c r="B27" i="3"/>
  <c r="A27" i="3"/>
  <c r="O26" i="3"/>
  <c r="H26" i="3"/>
  <c r="G26" i="3"/>
  <c r="F26" i="3"/>
  <c r="E26" i="3"/>
  <c r="D26" i="3"/>
  <c r="C26" i="3"/>
  <c r="B26" i="3"/>
  <c r="A26" i="3"/>
  <c r="O25" i="3"/>
  <c r="H25" i="3"/>
  <c r="G25" i="3"/>
  <c r="F25" i="3"/>
  <c r="E25" i="3"/>
  <c r="D25" i="3"/>
  <c r="C25" i="3"/>
  <c r="B25" i="3"/>
  <c r="A25" i="3"/>
  <c r="O24" i="3"/>
  <c r="H24" i="3"/>
  <c r="G24" i="3"/>
  <c r="F24" i="3"/>
  <c r="E24" i="3"/>
  <c r="D24" i="3"/>
  <c r="C24" i="3"/>
  <c r="B24" i="3"/>
  <c r="A24" i="3"/>
  <c r="O23" i="3"/>
  <c r="H23" i="3"/>
  <c r="G23" i="3"/>
  <c r="F23" i="3"/>
  <c r="E23" i="3"/>
  <c r="D23" i="3"/>
  <c r="C23" i="3"/>
  <c r="B23" i="3"/>
  <c r="A23" i="3"/>
  <c r="O22" i="3"/>
  <c r="H22" i="3"/>
  <c r="G22" i="3"/>
  <c r="F22" i="3"/>
  <c r="E22" i="3"/>
  <c r="D22" i="3"/>
  <c r="C22" i="3"/>
  <c r="B22" i="3"/>
  <c r="A22" i="3"/>
  <c r="O21" i="3"/>
  <c r="H21" i="3"/>
  <c r="G21" i="3"/>
  <c r="F21" i="3"/>
  <c r="E21" i="3"/>
  <c r="D21" i="3"/>
  <c r="C21" i="3"/>
  <c r="B21" i="3"/>
  <c r="A21" i="3"/>
  <c r="H20" i="3"/>
  <c r="G20" i="3"/>
  <c r="F20" i="3"/>
  <c r="E20" i="3"/>
  <c r="D20" i="3"/>
  <c r="C20" i="3"/>
  <c r="B20" i="3"/>
  <c r="A20" i="3"/>
  <c r="O19" i="3"/>
  <c r="H19" i="3"/>
  <c r="G19" i="3"/>
  <c r="F19" i="3"/>
  <c r="E19" i="3"/>
  <c r="D19" i="3"/>
  <c r="C19" i="3"/>
  <c r="B19" i="3"/>
  <c r="A19" i="3"/>
  <c r="H18" i="3"/>
  <c r="G18" i="3"/>
  <c r="F18" i="3"/>
  <c r="E18" i="3"/>
  <c r="D18" i="3"/>
  <c r="C18" i="3"/>
  <c r="B18" i="3"/>
  <c r="A18" i="3"/>
  <c r="J17" i="3"/>
  <c r="I17" i="3"/>
  <c r="O17" i="3" s="1"/>
  <c r="H17" i="3"/>
  <c r="G17" i="3"/>
  <c r="F17" i="3"/>
  <c r="E17" i="3"/>
  <c r="D17" i="3"/>
  <c r="C17" i="3"/>
  <c r="B17" i="3"/>
  <c r="A17" i="3"/>
  <c r="H16" i="3"/>
  <c r="G16" i="3"/>
  <c r="F16" i="3"/>
  <c r="E16" i="3"/>
  <c r="D16" i="3"/>
  <c r="C16" i="3"/>
  <c r="B16" i="3"/>
  <c r="A16" i="3"/>
  <c r="J15" i="3"/>
  <c r="J16" i="3" s="1"/>
  <c r="H15" i="3"/>
  <c r="G15" i="3"/>
  <c r="F15" i="3"/>
  <c r="E15" i="3"/>
  <c r="D15" i="3"/>
  <c r="C15" i="3"/>
  <c r="B15" i="3"/>
  <c r="A15" i="3"/>
  <c r="O14" i="3"/>
  <c r="H14" i="3"/>
  <c r="G14" i="3"/>
  <c r="F14" i="3"/>
  <c r="E14" i="3"/>
  <c r="D14" i="3"/>
  <c r="C14" i="3"/>
  <c r="B14" i="3"/>
  <c r="A14" i="3"/>
  <c r="J13" i="3"/>
  <c r="I13" i="3"/>
  <c r="O13" i="3" s="1"/>
  <c r="H13" i="3"/>
  <c r="G13" i="3"/>
  <c r="F13" i="3"/>
  <c r="E13" i="3"/>
  <c r="D13" i="3"/>
  <c r="C13" i="3"/>
  <c r="B13" i="3"/>
  <c r="A13" i="3"/>
  <c r="H12" i="3"/>
  <c r="G12" i="3"/>
  <c r="F12" i="3"/>
  <c r="E12" i="3"/>
  <c r="D12" i="3"/>
  <c r="C12" i="3"/>
  <c r="B12" i="3"/>
  <c r="A12" i="3"/>
  <c r="S11" i="3"/>
  <c r="J11" i="3"/>
  <c r="I11" i="3"/>
  <c r="O11" i="3" s="1"/>
  <c r="H11" i="3"/>
  <c r="G11" i="3"/>
  <c r="F11" i="3"/>
  <c r="E11" i="3"/>
  <c r="D11" i="3"/>
  <c r="C11" i="3"/>
  <c r="B11" i="3"/>
  <c r="A11" i="3"/>
  <c r="O10" i="3"/>
  <c r="H10" i="3"/>
  <c r="G10" i="3"/>
  <c r="F10" i="3"/>
  <c r="E10" i="3"/>
  <c r="D10" i="3"/>
  <c r="C10" i="3"/>
  <c r="B10" i="3"/>
  <c r="A10" i="3"/>
  <c r="O9" i="3"/>
  <c r="H9" i="3"/>
  <c r="G9" i="3"/>
  <c r="F9" i="3"/>
  <c r="E9" i="3"/>
  <c r="D9" i="3"/>
  <c r="C9" i="3"/>
  <c r="B9" i="3"/>
  <c r="A9" i="3"/>
  <c r="O8" i="3"/>
  <c r="H8" i="3"/>
  <c r="G8" i="3"/>
  <c r="F8" i="3"/>
  <c r="E8" i="3"/>
  <c r="D8" i="3"/>
  <c r="C8" i="3"/>
  <c r="B8" i="3"/>
  <c r="A8" i="3"/>
  <c r="O7" i="3"/>
  <c r="H7" i="3"/>
  <c r="G7" i="3"/>
  <c r="F7" i="3"/>
  <c r="E7" i="3"/>
  <c r="D7" i="3"/>
  <c r="C7" i="3"/>
  <c r="B7" i="3"/>
  <c r="A7" i="3"/>
  <c r="O6" i="3"/>
  <c r="H6" i="3"/>
  <c r="G6" i="3"/>
  <c r="F6" i="3"/>
  <c r="E6" i="3"/>
  <c r="D6" i="3"/>
  <c r="C6" i="3"/>
  <c r="B6" i="3"/>
  <c r="A6" i="3"/>
  <c r="I5" i="3"/>
  <c r="O5" i="3" s="1"/>
  <c r="H5" i="3"/>
  <c r="G5" i="3"/>
  <c r="F5" i="3"/>
  <c r="E5" i="3"/>
  <c r="D5" i="3"/>
  <c r="C5" i="3"/>
  <c r="B5" i="3"/>
  <c r="A5" i="3"/>
  <c r="S4" i="3"/>
  <c r="R4" i="3"/>
  <c r="R11" i="3" s="1"/>
  <c r="T11" i="3" s="1"/>
  <c r="O4" i="3"/>
  <c r="H4" i="3"/>
  <c r="G4" i="3"/>
  <c r="F4" i="3"/>
  <c r="E4" i="3"/>
  <c r="D4" i="3"/>
  <c r="C4" i="3"/>
  <c r="B4" i="3"/>
  <c r="A4" i="3"/>
  <c r="S3" i="3"/>
  <c r="R3" i="3"/>
  <c r="I15" i="3" s="1"/>
  <c r="O3" i="3"/>
  <c r="H3" i="3"/>
  <c r="G3" i="3"/>
  <c r="F3" i="3"/>
  <c r="E3" i="3"/>
  <c r="D3" i="3"/>
  <c r="C3" i="3"/>
  <c r="B3" i="3"/>
  <c r="A3" i="3"/>
  <c r="S2" i="3"/>
  <c r="R2" i="3"/>
  <c r="O2" i="3"/>
  <c r="H2" i="3"/>
  <c r="G2" i="3"/>
  <c r="F2" i="3"/>
  <c r="E2" i="3"/>
  <c r="D2" i="3"/>
  <c r="C2" i="3"/>
  <c r="B2" i="3"/>
  <c r="A2" i="3"/>
  <c r="K49" i="2"/>
  <c r="J49" i="2"/>
  <c r="I49" i="2"/>
  <c r="H49" i="2"/>
  <c r="F49" i="2"/>
  <c r="E49" i="2"/>
  <c r="D49" i="2"/>
  <c r="C49" i="2"/>
  <c r="B49" i="2"/>
  <c r="K48" i="2"/>
  <c r="J48" i="2"/>
  <c r="I48" i="2"/>
  <c r="H48" i="2"/>
  <c r="G48" i="2"/>
  <c r="F48" i="2"/>
  <c r="E48" i="2"/>
  <c r="D48" i="2"/>
  <c r="C48" i="2"/>
  <c r="B48" i="2"/>
  <c r="K47" i="2"/>
  <c r="J47" i="2"/>
  <c r="I47" i="2"/>
  <c r="H47" i="2"/>
  <c r="F47" i="2"/>
  <c r="E47" i="2"/>
  <c r="D47" i="2"/>
  <c r="C47" i="2"/>
  <c r="B47" i="2"/>
  <c r="K46" i="2"/>
  <c r="J46" i="2"/>
  <c r="I46" i="2"/>
  <c r="H46" i="2"/>
  <c r="G46" i="2"/>
  <c r="F46" i="2"/>
  <c r="E46" i="2"/>
  <c r="D46" i="2"/>
  <c r="C46" i="2"/>
  <c r="B46" i="2"/>
  <c r="K45" i="2"/>
  <c r="J45" i="2"/>
  <c r="I45" i="2"/>
  <c r="H45" i="2"/>
  <c r="G45" i="2"/>
  <c r="F45" i="2"/>
  <c r="E45" i="2"/>
  <c r="D45" i="2"/>
  <c r="C45" i="2"/>
  <c r="B45" i="2"/>
  <c r="A45" i="2"/>
  <c r="K44" i="2"/>
  <c r="J44" i="2"/>
  <c r="I44" i="2"/>
  <c r="H44" i="2"/>
  <c r="F44" i="2"/>
  <c r="E44" i="2"/>
  <c r="D44" i="2"/>
  <c r="C44" i="2"/>
  <c r="B44" i="2"/>
  <c r="K43" i="2"/>
  <c r="J43" i="2"/>
  <c r="I43" i="2"/>
  <c r="H43" i="2"/>
  <c r="F43" i="2"/>
  <c r="E43" i="2"/>
  <c r="D43" i="2"/>
  <c r="C43" i="2"/>
  <c r="B43" i="2"/>
  <c r="K42" i="2"/>
  <c r="J42" i="2"/>
  <c r="I42" i="2"/>
  <c r="H42" i="2"/>
  <c r="G42" i="2"/>
  <c r="F42" i="2"/>
  <c r="E42" i="2"/>
  <c r="D42" i="2"/>
  <c r="C42" i="2"/>
  <c r="B42" i="2"/>
  <c r="K41" i="2"/>
  <c r="J41" i="2"/>
  <c r="I41" i="2"/>
  <c r="H41" i="2"/>
  <c r="F41" i="2"/>
  <c r="E41" i="2"/>
  <c r="D41" i="2"/>
  <c r="C41" i="2"/>
  <c r="B41" i="2"/>
  <c r="K40" i="2"/>
  <c r="J40" i="2"/>
  <c r="I40" i="2"/>
  <c r="H40" i="2"/>
  <c r="G40" i="2"/>
  <c r="F40" i="2"/>
  <c r="E40" i="2"/>
  <c r="D40" i="2"/>
  <c r="C40" i="2"/>
  <c r="B40" i="2"/>
  <c r="K39" i="2"/>
  <c r="J39" i="2"/>
  <c r="I39" i="2"/>
  <c r="H39" i="2"/>
  <c r="G39" i="2"/>
  <c r="F39" i="2"/>
  <c r="E39" i="2"/>
  <c r="D39" i="2"/>
  <c r="C39" i="2"/>
  <c r="B39" i="2"/>
  <c r="A39" i="2"/>
  <c r="K38" i="2"/>
  <c r="J38" i="2"/>
  <c r="I38" i="2"/>
  <c r="H38" i="2"/>
  <c r="F38" i="2"/>
  <c r="E38" i="2"/>
  <c r="D38" i="2"/>
  <c r="C38" i="2"/>
  <c r="B38" i="2"/>
  <c r="K37" i="2"/>
  <c r="J37" i="2"/>
  <c r="I37" i="2"/>
  <c r="H37" i="2"/>
  <c r="F37" i="2"/>
  <c r="E37" i="2"/>
  <c r="D37" i="2"/>
  <c r="C37" i="2"/>
  <c r="B37" i="2"/>
  <c r="K36" i="2"/>
  <c r="J36" i="2"/>
  <c r="I36" i="2"/>
  <c r="H36" i="2"/>
  <c r="G36" i="2"/>
  <c r="F36" i="2"/>
  <c r="E36" i="2"/>
  <c r="D36" i="2"/>
  <c r="C36" i="2"/>
  <c r="B36" i="2"/>
  <c r="K35" i="2"/>
  <c r="J35" i="2"/>
  <c r="I35" i="2"/>
  <c r="H35" i="2"/>
  <c r="F35" i="2"/>
  <c r="E35" i="2"/>
  <c r="D35" i="2"/>
  <c r="C35" i="2"/>
  <c r="B35" i="2"/>
  <c r="K34" i="2"/>
  <c r="J34" i="2"/>
  <c r="I34" i="2"/>
  <c r="H34" i="2"/>
  <c r="G34" i="2"/>
  <c r="F34" i="2"/>
  <c r="E34" i="2"/>
  <c r="D34" i="2"/>
  <c r="C34" i="2"/>
  <c r="B34" i="2"/>
  <c r="K33" i="2"/>
  <c r="J33" i="2"/>
  <c r="I33" i="2"/>
  <c r="H33" i="2"/>
  <c r="G33" i="2"/>
  <c r="F33" i="2"/>
  <c r="E33" i="2"/>
  <c r="D33" i="2"/>
  <c r="C33" i="2"/>
  <c r="B33" i="2"/>
  <c r="A33" i="2"/>
  <c r="K32" i="2"/>
  <c r="J32" i="2"/>
  <c r="I32" i="2"/>
  <c r="H32" i="2"/>
  <c r="F32" i="2"/>
  <c r="E32" i="2"/>
  <c r="D32" i="2"/>
  <c r="C32" i="2"/>
  <c r="B32" i="2"/>
  <c r="K31" i="2"/>
  <c r="J31" i="2"/>
  <c r="I31" i="2"/>
  <c r="H31" i="2"/>
  <c r="G31" i="2"/>
  <c r="F31" i="2"/>
  <c r="E31" i="2"/>
  <c r="D31" i="2"/>
  <c r="C31" i="2"/>
  <c r="B31" i="2"/>
  <c r="A31" i="2"/>
  <c r="K30" i="2"/>
  <c r="J30" i="2"/>
  <c r="I30" i="2"/>
  <c r="H30" i="2"/>
  <c r="G30" i="2"/>
  <c r="F30" i="2"/>
  <c r="E30" i="2"/>
  <c r="D30" i="2"/>
  <c r="C30" i="2"/>
  <c r="B30" i="2"/>
  <c r="A30" i="2"/>
  <c r="K29" i="2"/>
  <c r="J29" i="2"/>
  <c r="I29" i="2"/>
  <c r="H29" i="2"/>
  <c r="G29" i="2"/>
  <c r="F29" i="2"/>
  <c r="E29" i="2"/>
  <c r="D29" i="2"/>
  <c r="C29" i="2"/>
  <c r="B29" i="2"/>
  <c r="A29" i="2"/>
  <c r="K28" i="2"/>
  <c r="J28" i="2"/>
  <c r="I28" i="2"/>
  <c r="H28" i="2"/>
  <c r="G28" i="2"/>
  <c r="F28" i="2"/>
  <c r="E28" i="2"/>
  <c r="D28" i="2"/>
  <c r="C28" i="2"/>
  <c r="B28" i="2"/>
  <c r="A28" i="2"/>
  <c r="K27" i="2"/>
  <c r="J27" i="2"/>
  <c r="I27" i="2"/>
  <c r="H27" i="2"/>
  <c r="G27" i="2"/>
  <c r="F27" i="2"/>
  <c r="E27" i="2"/>
  <c r="D27" i="2"/>
  <c r="C27" i="2"/>
  <c r="B27" i="2"/>
  <c r="A27" i="2"/>
  <c r="K26" i="2"/>
  <c r="J26" i="2"/>
  <c r="I26" i="2"/>
  <c r="H26" i="2"/>
  <c r="G26" i="2"/>
  <c r="F26" i="2"/>
  <c r="E26" i="2"/>
  <c r="D26" i="2"/>
  <c r="C26" i="2"/>
  <c r="B26" i="2"/>
  <c r="A26" i="2"/>
  <c r="K25" i="2"/>
  <c r="J25" i="2"/>
  <c r="I25" i="2"/>
  <c r="H25" i="2"/>
  <c r="G25" i="2"/>
  <c r="F25" i="2"/>
  <c r="E25" i="2"/>
  <c r="D25" i="2"/>
  <c r="C25" i="2"/>
  <c r="B25" i="2"/>
  <c r="A25" i="2"/>
  <c r="K24" i="2"/>
  <c r="J24" i="2"/>
  <c r="I24" i="2"/>
  <c r="H24" i="2"/>
  <c r="G24" i="2"/>
  <c r="F24" i="2"/>
  <c r="E24" i="2"/>
  <c r="D24" i="2"/>
  <c r="C24" i="2"/>
  <c r="B24" i="2"/>
  <c r="A24" i="2"/>
  <c r="K23" i="2"/>
  <c r="J23" i="2"/>
  <c r="I23" i="2"/>
  <c r="H23" i="2"/>
  <c r="G23" i="2"/>
  <c r="F23" i="2"/>
  <c r="E23" i="2"/>
  <c r="D23" i="2"/>
  <c r="C23" i="2"/>
  <c r="B23" i="2"/>
  <c r="A23" i="2"/>
  <c r="K22" i="2"/>
  <c r="J22" i="2"/>
  <c r="I22" i="2"/>
  <c r="H22" i="2"/>
  <c r="G22" i="2"/>
  <c r="F22" i="2"/>
  <c r="E22" i="2"/>
  <c r="D22" i="2"/>
  <c r="C22" i="2"/>
  <c r="B22" i="2"/>
  <c r="A22" i="2"/>
  <c r="K21" i="2"/>
  <c r="J21" i="2"/>
  <c r="I21" i="2"/>
  <c r="H21" i="2"/>
  <c r="G21" i="2"/>
  <c r="F21" i="2"/>
  <c r="E21" i="2"/>
  <c r="D21" i="2"/>
  <c r="C21" i="2"/>
  <c r="B21" i="2"/>
  <c r="A21" i="2"/>
  <c r="K20" i="2"/>
  <c r="J20" i="2"/>
  <c r="I20" i="2"/>
  <c r="H20" i="2"/>
  <c r="G20" i="2"/>
  <c r="F20" i="2"/>
  <c r="E20" i="2"/>
  <c r="D20" i="2"/>
  <c r="C20" i="2"/>
  <c r="B20" i="2"/>
  <c r="A20" i="2"/>
  <c r="K19" i="2"/>
  <c r="J19" i="2"/>
  <c r="I19" i="2"/>
  <c r="H19" i="2"/>
  <c r="G19" i="2"/>
  <c r="F19" i="2"/>
  <c r="E19" i="2"/>
  <c r="D19" i="2"/>
  <c r="C19" i="2"/>
  <c r="B19" i="2"/>
  <c r="A19" i="2"/>
  <c r="K18" i="2"/>
  <c r="J18" i="2"/>
  <c r="I18" i="2"/>
  <c r="H18" i="2"/>
  <c r="G18" i="2"/>
  <c r="F18" i="2"/>
  <c r="E18" i="2"/>
  <c r="D18" i="2"/>
  <c r="C18" i="2"/>
  <c r="B18" i="2"/>
  <c r="A18" i="2"/>
  <c r="K17" i="2"/>
  <c r="J17" i="2"/>
  <c r="I17" i="2"/>
  <c r="H17" i="2"/>
  <c r="G17" i="2"/>
  <c r="F17" i="2"/>
  <c r="E17" i="2"/>
  <c r="D17" i="2"/>
  <c r="C17" i="2"/>
  <c r="B17" i="2"/>
  <c r="A17" i="2"/>
  <c r="K16" i="2"/>
  <c r="J16" i="2"/>
  <c r="I16" i="2"/>
  <c r="H16" i="2"/>
  <c r="G16" i="2"/>
  <c r="F16" i="2"/>
  <c r="E16" i="2"/>
  <c r="D16" i="2"/>
  <c r="C16" i="2"/>
  <c r="B16" i="2"/>
  <c r="A16" i="2"/>
  <c r="K15" i="2"/>
  <c r="J15" i="2"/>
  <c r="I15" i="2"/>
  <c r="H15" i="2"/>
  <c r="G15" i="2"/>
  <c r="F15" i="2"/>
  <c r="E15" i="2"/>
  <c r="D15" i="2"/>
  <c r="C15" i="2"/>
  <c r="B15" i="2"/>
  <c r="A15" i="2"/>
  <c r="K14" i="2"/>
  <c r="J14" i="2"/>
  <c r="I14" i="2"/>
  <c r="H14" i="2"/>
  <c r="G14" i="2"/>
  <c r="F14" i="2"/>
  <c r="E14" i="2"/>
  <c r="D14" i="2"/>
  <c r="C14" i="2"/>
  <c r="B14" i="2"/>
  <c r="A14" i="2"/>
  <c r="K13" i="2"/>
  <c r="J13" i="2"/>
  <c r="I13" i="2"/>
  <c r="H13" i="2"/>
  <c r="G13" i="2"/>
  <c r="F13" i="2"/>
  <c r="E13" i="2"/>
  <c r="D13" i="2"/>
  <c r="C13" i="2"/>
  <c r="B13" i="2"/>
  <c r="A13" i="2"/>
  <c r="K12" i="2"/>
  <c r="J12" i="2"/>
  <c r="I12" i="2"/>
  <c r="H12" i="2"/>
  <c r="G12" i="2"/>
  <c r="F12" i="2"/>
  <c r="E12" i="2"/>
  <c r="D12" i="2"/>
  <c r="C12" i="2"/>
  <c r="B12" i="2"/>
  <c r="A12" i="2"/>
  <c r="K11" i="2"/>
  <c r="J11" i="2"/>
  <c r="I11" i="2"/>
  <c r="H11" i="2"/>
  <c r="G11" i="2"/>
  <c r="F11" i="2"/>
  <c r="E11" i="2"/>
  <c r="D11" i="2"/>
  <c r="C11" i="2"/>
  <c r="B11" i="2"/>
  <c r="A11" i="2"/>
  <c r="K10" i="2"/>
  <c r="J10" i="2"/>
  <c r="I10" i="2"/>
  <c r="H10" i="2"/>
  <c r="G10" i="2"/>
  <c r="F10" i="2"/>
  <c r="E10" i="2"/>
  <c r="D10" i="2"/>
  <c r="C10" i="2"/>
  <c r="B10" i="2"/>
  <c r="A10" i="2"/>
  <c r="K9" i="2"/>
  <c r="J9" i="2"/>
  <c r="I9" i="2"/>
  <c r="H9" i="2"/>
  <c r="G9" i="2"/>
  <c r="F9" i="2"/>
  <c r="E9" i="2"/>
  <c r="D9" i="2"/>
  <c r="C9" i="2"/>
  <c r="B9" i="2"/>
  <c r="A9" i="2"/>
  <c r="K8" i="2"/>
  <c r="J8" i="2"/>
  <c r="I8" i="2"/>
  <c r="H8" i="2"/>
  <c r="G8" i="2"/>
  <c r="F8" i="2"/>
  <c r="E8" i="2"/>
  <c r="D8" i="2"/>
  <c r="C8" i="2"/>
  <c r="B8" i="2"/>
  <c r="A8" i="2"/>
  <c r="K7" i="2"/>
  <c r="J7" i="2"/>
  <c r="I7" i="2"/>
  <c r="H7" i="2"/>
  <c r="G7" i="2"/>
  <c r="F7" i="2"/>
  <c r="E7" i="2"/>
  <c r="D7" i="2"/>
  <c r="C7" i="2"/>
  <c r="B7" i="2"/>
  <c r="A7" i="2"/>
  <c r="K6" i="2"/>
  <c r="J6" i="2"/>
  <c r="I6" i="2"/>
  <c r="H6" i="2"/>
  <c r="G6" i="2"/>
  <c r="F6" i="2"/>
  <c r="E6" i="2"/>
  <c r="D6" i="2"/>
  <c r="C6" i="2"/>
  <c r="B6" i="2"/>
  <c r="A6" i="2"/>
  <c r="K5" i="2"/>
  <c r="J5" i="2"/>
  <c r="I5" i="2"/>
  <c r="H5" i="2"/>
  <c r="G5" i="2"/>
  <c r="F5" i="2"/>
  <c r="E5" i="2"/>
  <c r="D5" i="2"/>
  <c r="C5" i="2"/>
  <c r="B5" i="2"/>
  <c r="A5" i="2"/>
  <c r="K4" i="2"/>
  <c r="J4" i="2"/>
  <c r="I4" i="2"/>
  <c r="H4" i="2"/>
  <c r="G4" i="2"/>
  <c r="F4" i="2"/>
  <c r="E4" i="2"/>
  <c r="D4" i="2"/>
  <c r="C4" i="2"/>
  <c r="B4" i="2"/>
  <c r="A4" i="2"/>
  <c r="K3" i="2"/>
  <c r="J3" i="2"/>
  <c r="I3" i="2"/>
  <c r="H3" i="2"/>
  <c r="G3" i="2"/>
  <c r="F3" i="2"/>
  <c r="E3" i="2"/>
  <c r="D3" i="2"/>
  <c r="C3" i="2"/>
  <c r="B3" i="2"/>
  <c r="A3" i="2"/>
  <c r="K2" i="2"/>
  <c r="J2" i="2"/>
  <c r="I2" i="2"/>
  <c r="H2" i="2"/>
  <c r="G2" i="2"/>
  <c r="F2" i="2"/>
  <c r="E2" i="2"/>
  <c r="D2" i="2"/>
  <c r="C2" i="2"/>
  <c r="B2" i="2"/>
  <c r="A2" i="2"/>
  <c r="G53" i="1"/>
  <c r="G49" i="2" s="1"/>
  <c r="A53" i="1"/>
  <c r="A49" i="2" s="1"/>
  <c r="G52" i="1"/>
  <c r="A52" i="1"/>
  <c r="A48" i="2" s="1"/>
  <c r="G51" i="1"/>
  <c r="G47" i="2" s="1"/>
  <c r="A51" i="1"/>
  <c r="A47" i="2" s="1"/>
  <c r="G50" i="1"/>
  <c r="A50" i="1"/>
  <c r="A46" i="2" s="1"/>
  <c r="G49" i="1"/>
  <c r="A49" i="1"/>
  <c r="G48" i="1"/>
  <c r="G44" i="2" s="1"/>
  <c r="A48" i="1"/>
  <c r="A44" i="2" s="1"/>
  <c r="G47" i="1"/>
  <c r="G43" i="2" s="1"/>
  <c r="A47" i="1"/>
  <c r="A43" i="2" s="1"/>
  <c r="G46" i="1"/>
  <c r="A46" i="1"/>
  <c r="A42" i="2" s="1"/>
  <c r="G45" i="1"/>
  <c r="G41" i="2" s="1"/>
  <c r="A45" i="1"/>
  <c r="A41" i="2" s="1"/>
  <c r="G44" i="1"/>
  <c r="A44" i="1"/>
  <c r="A40" i="2" s="1"/>
  <c r="G43" i="1"/>
  <c r="A43" i="1"/>
  <c r="G42" i="1"/>
  <c r="G38" i="2" s="1"/>
  <c r="A42" i="1"/>
  <c r="A38" i="2" s="1"/>
  <c r="G41" i="1"/>
  <c r="G37" i="2" s="1"/>
  <c r="A41" i="1"/>
  <c r="A37" i="2" s="1"/>
  <c r="G40" i="1"/>
  <c r="A40" i="1"/>
  <c r="A36" i="2" s="1"/>
  <c r="G39" i="1"/>
  <c r="G35" i="2" s="1"/>
  <c r="A39" i="1"/>
  <c r="A35" i="2" s="1"/>
  <c r="G38" i="1"/>
  <c r="A38" i="1"/>
  <c r="A34" i="2" s="1"/>
  <c r="G37" i="1"/>
  <c r="A37" i="1"/>
  <c r="G36" i="1"/>
  <c r="G32" i="2" s="1"/>
  <c r="A36" i="1"/>
  <c r="A32" i="2" s="1"/>
  <c r="I16" i="3" l="1"/>
  <c r="O16" i="3" s="1"/>
  <c r="I18" i="3"/>
  <c r="R21" i="3" s="1"/>
  <c r="T21" i="3" s="1"/>
  <c r="V21" i="3" s="1"/>
  <c r="O15" i="3"/>
  <c r="R27" i="3"/>
  <c r="T27" i="3" s="1"/>
  <c r="V27" i="3" s="1"/>
  <c r="J18" i="3"/>
  <c r="S21" i="3" s="1"/>
  <c r="I12" i="3"/>
  <c r="I20" i="3"/>
  <c r="O20" i="3" s="1"/>
  <c r="J12" i="3"/>
  <c r="J20" i="3"/>
  <c r="O18" i="3" l="1"/>
  <c r="O12" i="3"/>
</calcChain>
</file>

<file path=xl/sharedStrings.xml><?xml version="1.0" encoding="utf-8"?>
<sst xmlns="http://schemas.openxmlformats.org/spreadsheetml/2006/main" count="212" uniqueCount="138">
  <si>
    <t>data</t>
  </si>
  <si>
    <t>No</t>
  </si>
  <si>
    <t>id</t>
  </si>
  <si>
    <t>名称(name)</t>
  </si>
  <si>
    <t>职业(profLimit)</t>
  </si>
  <si>
    <t>开启等级(levelLimit)</t>
  </si>
  <si>
    <t>消耗MP(costMP)</t>
  </si>
  <si>
    <t>冷却回合(cool)</t>
  </si>
  <si>
    <t>技能脚本(scriptId)</t>
  </si>
  <si>
    <t>技能描述(skilldescription)</t>
  </si>
  <si>
    <t>图标(icon)</t>
  </si>
  <si>
    <t>战斗行动</t>
  </si>
  <si>
    <t>战斗记录</t>
  </si>
  <si>
    <t>伤害类型</t>
  </si>
  <si>
    <t>name</t>
  </si>
  <si>
    <t>profLimit</t>
  </si>
  <si>
    <t>levelLimit</t>
  </si>
  <si>
    <t>costMP</t>
  </si>
  <si>
    <t>cool</t>
  </si>
  <si>
    <t>scriptId</t>
  </si>
  <si>
    <t>damageType</t>
  </si>
  <si>
    <t>攻杀剑术</t>
  </si>
  <si>
    <t>对一名敌人造成200%的物理伤害</t>
  </si>
  <si>
    <t>skill/101.png</t>
  </si>
  <si>
    <t>治愈术</t>
  </si>
  <si>
    <t>恢复我方生命值最低的一人10%的最大生命值</t>
  </si>
  <si>
    <t>skill/102.png</t>
  </si>
  <si>
    <t>狮子吼</t>
  </si>
  <si>
    <t>增加我方三人30%的伤害，50%的护甲，持续3回合</t>
  </si>
  <si>
    <t>skill/105.png</t>
  </si>
  <si>
    <t>野蛮冲撞</t>
  </si>
  <si>
    <t>对3名敌人造成100%的物理伤害，并且50%的概率使其晕眩1回合</t>
  </si>
  <si>
    <t>skill/104.png</t>
  </si>
  <si>
    <t>突斩</t>
  </si>
  <si>
    <t>对一名敌人进行一次普通攻击，50%概率降低其80%的护甲2回合</t>
  </si>
  <si>
    <t>skill/109.png</t>
  </si>
  <si>
    <t>酒气护体</t>
  </si>
  <si>
    <t>提升自己的防御，之后2回合受到的伤害减少60%,并使怪物优先攻击你</t>
  </si>
  <si>
    <t>skill/103.png</t>
  </si>
  <si>
    <t>烈火剑法</t>
  </si>
  <si>
    <t>对一名敌人进行一次普通攻击，50%概率使其在2回合内无法回复生命</t>
  </si>
  <si>
    <t>skill/107.png</t>
  </si>
  <si>
    <t>破击剑法</t>
  </si>
  <si>
    <t>对一名敌人造成150%的物理伤害，并使其晕眩1回合</t>
  </si>
  <si>
    <t>skill/106.png</t>
  </si>
  <si>
    <t>半月弯刀</t>
  </si>
  <si>
    <t>对三名敌人造成200%的物理伤害</t>
  </si>
  <si>
    <t>skill/108.png</t>
  </si>
  <si>
    <t>逐日剑法</t>
  </si>
  <si>
    <t>使自己狂暴，3回合内普通攻击100%暴击且免疫所有不良状态</t>
  </si>
  <si>
    <t>skill/110.png</t>
  </si>
  <si>
    <t>灵魂火符</t>
  </si>
  <si>
    <t>进行一次普通攻击，50%概率使其中毒2回合，每回合减少当前生命值的4%</t>
  </si>
  <si>
    <t>skill/201.png</t>
  </si>
  <si>
    <t>气功波</t>
  </si>
  <si>
    <t>对一名敌人进行一次普通攻击，50%的概率使其晕眩1回合</t>
  </si>
  <si>
    <t>skill/202.png</t>
  </si>
  <si>
    <t>噬血术</t>
  </si>
  <si>
    <t>对一名敌人造成100%的魔法伤害，并回复等值的生命值</t>
  </si>
  <si>
    <t>skill/203.png</t>
  </si>
  <si>
    <t>召唤骷髅</t>
  </si>
  <si>
    <t>随机进行普通攻击两次，可作用于同一个敌人</t>
  </si>
  <si>
    <t>skill/204.png</t>
  </si>
  <si>
    <t>无极真气</t>
  </si>
  <si>
    <t>使自己之后3回合普通攻击附加伤害50%的魔法伤害</t>
  </si>
  <si>
    <t>skill/205.png</t>
  </si>
  <si>
    <t>召唤神兽</t>
  </si>
  <si>
    <t>对一名敌人进行一次普通攻击，降低对手70%的命中3回合</t>
  </si>
  <si>
    <t>skill/206.png</t>
  </si>
  <si>
    <t>精神力战法</t>
  </si>
  <si>
    <t>提升自己的100%的伤害，持续2回合</t>
  </si>
  <si>
    <t>skill/207.png</t>
  </si>
  <si>
    <t>施毒术</t>
  </si>
  <si>
    <t>使三名敌人中毒3回合，每回合减少当前生命值的4%</t>
  </si>
  <si>
    <t>skill/208.png</t>
  </si>
  <si>
    <t>困兽咒</t>
  </si>
  <si>
    <t>对一名敌人进行一次普通攻击，50%概率使其无法使用法术3回合</t>
  </si>
  <si>
    <t>skill/209.png</t>
  </si>
  <si>
    <t>隐身术</t>
  </si>
  <si>
    <t>使自己进入隐形状态，只会受到范围攻击伤害，持续2回合</t>
  </si>
  <si>
    <t>skill/210.png</t>
  </si>
  <si>
    <t>火球术</t>
  </si>
  <si>
    <t>对一名敌人造成200%的魔法伤害</t>
  </si>
  <si>
    <t>skill/301.png</t>
  </si>
  <si>
    <t>雷电术</t>
  </si>
  <si>
    <t>对一名敌人造成150%的魔法伤害，降低其50%的伤害1回合</t>
  </si>
  <si>
    <t>skill/302.png</t>
  </si>
  <si>
    <t>玄冰盾</t>
  </si>
  <si>
    <t>给我方两人套上冰甲，3回合内受到普通攻击时80%的概率冻结攻击方1回合</t>
  </si>
  <si>
    <t>skill/303.png</t>
  </si>
  <si>
    <t>火墙</t>
  </si>
  <si>
    <t>对三名敌人造成150%的魔法伤害</t>
  </si>
  <si>
    <t>skill/307.png</t>
  </si>
  <si>
    <t>冰咆哮</t>
  </si>
  <si>
    <t>对三名敌人造成100%的魔法伤害，50%降低其50%的伤害2回合</t>
  </si>
  <si>
    <t>skill/306.png</t>
  </si>
  <si>
    <t>魔法盾</t>
  </si>
  <si>
    <t>给自己施加魔法护盾，每1点魔法值抵消5点伤害，持续2回合</t>
  </si>
  <si>
    <t>skill/310.png</t>
  </si>
  <si>
    <t>聚能冲击</t>
  </si>
  <si>
    <t>造成175%的魔法伤害，每次施放会提高聚能冲击125%魔法伤害和500魔法消耗</t>
  </si>
  <si>
    <t>skill/309.png</t>
  </si>
  <si>
    <t>圣言术</t>
  </si>
  <si>
    <t>回复自己12%的最大魔法值</t>
  </si>
  <si>
    <t>skill/305.png</t>
  </si>
  <si>
    <t>爆裂火焰</t>
  </si>
  <si>
    <t>立刻对三名敌人造成100%的魔法伤害，之后3回合每回合造成50%的魔法伤害</t>
  </si>
  <si>
    <t>skill/308.png</t>
  </si>
  <si>
    <t>大火球</t>
  </si>
  <si>
    <t>对一个敌人造成300%的魔法伤害</t>
  </si>
  <si>
    <t>skill/304.png</t>
  </si>
  <si>
    <t>名称</t>
  </si>
  <si>
    <t>职业</t>
  </si>
  <si>
    <t>开启等级</t>
  </si>
  <si>
    <t>消耗MP</t>
  </si>
  <si>
    <t>冷却回合</t>
  </si>
  <si>
    <t>技能脚本</t>
  </si>
  <si>
    <t>技能描述</t>
  </si>
  <si>
    <t>图标</t>
  </si>
  <si>
    <t>roleid</t>
  </si>
  <si>
    <t>前期伤害系数</t>
  </si>
  <si>
    <t>后期伤害系数</t>
  </si>
  <si>
    <t>BOSS额外伤害系数</t>
  </si>
  <si>
    <t>防御系数</t>
  </si>
  <si>
    <t>控制系数</t>
  </si>
  <si>
    <t>治疗系数</t>
  </si>
  <si>
    <t>技能评分</t>
  </si>
  <si>
    <t>暴击系数（前期）</t>
  </si>
  <si>
    <t>暴击系数(后期）</t>
  </si>
  <si>
    <t>闪避系数</t>
  </si>
  <si>
    <t>战士</t>
  </si>
  <si>
    <t>猎人</t>
  </si>
  <si>
    <t>法师</t>
  </si>
  <si>
    <t>前期</t>
  </si>
  <si>
    <t>后期</t>
  </si>
  <si>
    <t>战士系数</t>
  </si>
  <si>
    <t>猎人系数</t>
  </si>
  <si>
    <t>法师系数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</si>
</sst>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indexed="8"/>
      <name val="宋体"/>
      <charset val="134"/>
    </font>
    <font>
      <b/>
      <sz val="11"/>
      <color indexed="52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6">
    <xf numFmtId="0" fontId="0" fillId="0" borderId="0">
      <alignment vertical="center"/>
    </xf>
    <xf numFmtId="0" fontId="5" fillId="6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2" borderId="1" applyNumberFormat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1" fillId="2" borderId="1" xfId="3">
      <alignment vertical="center"/>
    </xf>
    <xf numFmtId="0" fontId="2" fillId="2" borderId="1" xfId="3" applyFont="1">
      <alignment vertical="center"/>
    </xf>
    <xf numFmtId="0" fontId="3" fillId="3" borderId="0" xfId="4">
      <alignment vertical="center"/>
    </xf>
    <xf numFmtId="0" fontId="4" fillId="4" borderId="0" xfId="5">
      <alignment vertical="center"/>
    </xf>
    <xf numFmtId="0" fontId="4" fillId="5" borderId="0" xfId="2">
      <alignment vertical="center"/>
    </xf>
    <xf numFmtId="0" fontId="5" fillId="6" borderId="0" xfId="1">
      <alignment vertical="center"/>
    </xf>
  </cellXfs>
  <cellStyles count="6">
    <cellStyle name="差" xfId="2"/>
    <cellStyle name="常规" xfId="0" builtinId="0"/>
    <cellStyle name="好" xfId="1"/>
    <cellStyle name="计算" xfId="3"/>
    <cellStyle name="强调文字颜色 2" xfId="4"/>
    <cellStyle name="适中" xfId="5"/>
  </cellStyles>
  <dxfs count="2">
    <dxf>
      <font>
        <color indexed="17"/>
      </font>
      <fill>
        <patternFill>
          <fgColor indexed="10"/>
          <bgColor indexed="42"/>
        </patternFill>
      </fill>
    </dxf>
    <dxf>
      <font>
        <color indexed="60"/>
      </font>
      <fill>
        <patternFill>
          <fgColor indexed="10"/>
          <bgColor indexed="2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1495425</xdr:colOff>
          <xdr:row>0</xdr:row>
          <xdr:rowOff>47625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2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3"/>
  <sheetViews>
    <sheetView topLeftCell="A16" workbookViewId="0">
      <selection activeCell="H14" sqref="H14"/>
    </sheetView>
  </sheetViews>
  <sheetFormatPr defaultColWidth="9" defaultRowHeight="13.5" x14ac:dyDescent="0.15"/>
  <cols>
    <col min="2" max="2" width="11.375" customWidth="1"/>
    <col min="3" max="3" width="16.875" bestFit="1" customWidth="1"/>
    <col min="4" max="4" width="22.25" bestFit="1" customWidth="1"/>
    <col min="5" max="5" width="15.875" bestFit="1" customWidth="1"/>
    <col min="6" max="6" width="15.5" bestFit="1" customWidth="1"/>
    <col min="7" max="7" width="20" bestFit="1" customWidth="1"/>
    <col min="8" max="8" width="71" bestFit="1" customWidth="1"/>
    <col min="9" max="9" width="15" bestFit="1" customWidth="1"/>
    <col min="12" max="12" width="11.625" bestFit="1" customWidth="1"/>
  </cols>
  <sheetData>
    <row r="1" spans="1:12" x14ac:dyDescent="0.15">
      <c r="A1" t="s">
        <v>0</v>
      </c>
    </row>
    <row r="2" spans="1:12" s="3" customFormat="1" x14ac:dyDescent="0.15">
      <c r="B2" s="3" t="s">
        <v>1</v>
      </c>
      <c r="H2" s="3" t="s">
        <v>1</v>
      </c>
      <c r="I2" s="3" t="s">
        <v>1</v>
      </c>
      <c r="J2" s="3" t="s">
        <v>1</v>
      </c>
      <c r="K2" s="3" t="s">
        <v>1</v>
      </c>
    </row>
    <row r="3" spans="1:12" x14ac:dyDescent="0.1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</row>
    <row r="4" spans="1:12" x14ac:dyDescent="0.15">
      <c r="A4" t="s">
        <v>2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L4" t="s">
        <v>20</v>
      </c>
    </row>
    <row r="6" spans="1:12" x14ac:dyDescent="0.15">
      <c r="A6">
        <v>1</v>
      </c>
      <c r="B6" s="4" t="s">
        <v>21</v>
      </c>
      <c r="C6">
        <v>1</v>
      </c>
      <c r="D6">
        <v>5</v>
      </c>
      <c r="E6">
        <v>100</v>
      </c>
      <c r="F6">
        <v>1</v>
      </c>
      <c r="G6">
        <v>1</v>
      </c>
      <c r="H6" t="s">
        <v>22</v>
      </c>
      <c r="I6" t="s">
        <v>23</v>
      </c>
      <c r="J6">
        <v>1</v>
      </c>
      <c r="K6">
        <v>1</v>
      </c>
      <c r="L6">
        <v>1</v>
      </c>
    </row>
    <row r="7" spans="1:12" x14ac:dyDescent="0.15">
      <c r="A7">
        <v>2</v>
      </c>
      <c r="B7" t="s">
        <v>24</v>
      </c>
      <c r="C7">
        <v>1</v>
      </c>
      <c r="D7">
        <v>10</v>
      </c>
      <c r="E7">
        <v>200</v>
      </c>
      <c r="F7">
        <v>1</v>
      </c>
      <c r="G7">
        <v>2</v>
      </c>
      <c r="H7" t="s">
        <v>25</v>
      </c>
      <c r="I7" t="s">
        <v>26</v>
      </c>
      <c r="J7">
        <v>1</v>
      </c>
      <c r="K7">
        <v>1</v>
      </c>
      <c r="L7">
        <v>0</v>
      </c>
    </row>
    <row r="8" spans="1:12" x14ac:dyDescent="0.15">
      <c r="A8">
        <v>5</v>
      </c>
      <c r="B8" s="4" t="s">
        <v>27</v>
      </c>
      <c r="C8">
        <v>1</v>
      </c>
      <c r="D8">
        <v>15</v>
      </c>
      <c r="E8">
        <v>150</v>
      </c>
      <c r="F8">
        <v>1</v>
      </c>
      <c r="G8">
        <v>5</v>
      </c>
      <c r="H8" t="s">
        <v>28</v>
      </c>
      <c r="I8" t="s">
        <v>29</v>
      </c>
      <c r="J8">
        <v>1</v>
      </c>
      <c r="K8">
        <v>1</v>
      </c>
      <c r="L8">
        <v>0</v>
      </c>
    </row>
    <row r="9" spans="1:12" x14ac:dyDescent="0.15">
      <c r="A9">
        <v>4</v>
      </c>
      <c r="B9" s="5" t="s">
        <v>30</v>
      </c>
      <c r="C9">
        <v>1</v>
      </c>
      <c r="D9">
        <v>20</v>
      </c>
      <c r="E9">
        <v>150</v>
      </c>
      <c r="F9">
        <v>1</v>
      </c>
      <c r="G9">
        <v>4</v>
      </c>
      <c r="H9" t="s">
        <v>31</v>
      </c>
      <c r="I9" t="s">
        <v>32</v>
      </c>
      <c r="J9">
        <v>1</v>
      </c>
      <c r="K9">
        <v>1</v>
      </c>
      <c r="L9">
        <v>1</v>
      </c>
    </row>
    <row r="10" spans="1:12" x14ac:dyDescent="0.15">
      <c r="A10">
        <v>9</v>
      </c>
      <c r="B10" t="s">
        <v>33</v>
      </c>
      <c r="C10">
        <v>1</v>
      </c>
      <c r="D10">
        <v>25</v>
      </c>
      <c r="E10">
        <v>100</v>
      </c>
      <c r="F10">
        <v>1</v>
      </c>
      <c r="G10">
        <v>9</v>
      </c>
      <c r="H10" t="s">
        <v>34</v>
      </c>
      <c r="I10" t="s">
        <v>35</v>
      </c>
      <c r="J10">
        <v>1</v>
      </c>
      <c r="K10">
        <v>1</v>
      </c>
      <c r="L10">
        <v>1</v>
      </c>
    </row>
    <row r="11" spans="1:12" x14ac:dyDescent="0.15">
      <c r="A11">
        <v>3</v>
      </c>
      <c r="B11" s="5" t="s">
        <v>36</v>
      </c>
      <c r="C11">
        <v>1</v>
      </c>
      <c r="D11">
        <v>30</v>
      </c>
      <c r="E11">
        <v>150</v>
      </c>
      <c r="F11">
        <v>1</v>
      </c>
      <c r="G11">
        <v>3</v>
      </c>
      <c r="H11" t="s">
        <v>37</v>
      </c>
      <c r="I11" t="s">
        <v>38</v>
      </c>
      <c r="J11">
        <v>1</v>
      </c>
      <c r="K11">
        <v>1</v>
      </c>
      <c r="L11">
        <v>0</v>
      </c>
    </row>
    <row r="12" spans="1:12" x14ac:dyDescent="0.15">
      <c r="A12">
        <v>7</v>
      </c>
      <c r="B12" t="s">
        <v>39</v>
      </c>
      <c r="C12">
        <v>1</v>
      </c>
      <c r="D12">
        <v>35</v>
      </c>
      <c r="E12">
        <v>0</v>
      </c>
      <c r="F12">
        <v>1</v>
      </c>
      <c r="G12">
        <v>7</v>
      </c>
      <c r="H12" t="s">
        <v>40</v>
      </c>
      <c r="I12" t="s">
        <v>41</v>
      </c>
      <c r="J12">
        <v>1</v>
      </c>
      <c r="K12">
        <v>1</v>
      </c>
      <c r="L12">
        <v>1</v>
      </c>
    </row>
    <row r="13" spans="1:12" x14ac:dyDescent="0.15">
      <c r="A13">
        <v>6</v>
      </c>
      <c r="B13" s="3" t="s">
        <v>42</v>
      </c>
      <c r="C13">
        <v>1</v>
      </c>
      <c r="D13">
        <v>40</v>
      </c>
      <c r="E13">
        <v>200</v>
      </c>
      <c r="F13">
        <v>1</v>
      </c>
      <c r="G13">
        <v>6</v>
      </c>
      <c r="H13" t="s">
        <v>43</v>
      </c>
      <c r="I13" t="s">
        <v>44</v>
      </c>
      <c r="J13">
        <v>1</v>
      </c>
      <c r="K13">
        <v>1</v>
      </c>
      <c r="L13">
        <v>1</v>
      </c>
    </row>
    <row r="14" spans="1:12" x14ac:dyDescent="0.15">
      <c r="A14">
        <v>8</v>
      </c>
      <c r="B14" s="5" t="s">
        <v>45</v>
      </c>
      <c r="C14">
        <v>1</v>
      </c>
      <c r="D14">
        <v>45</v>
      </c>
      <c r="E14">
        <v>300</v>
      </c>
      <c r="F14">
        <v>1</v>
      </c>
      <c r="G14">
        <v>8</v>
      </c>
      <c r="H14" t="s">
        <v>46</v>
      </c>
      <c r="I14" t="s">
        <v>47</v>
      </c>
      <c r="J14">
        <v>1</v>
      </c>
      <c r="K14">
        <v>1</v>
      </c>
      <c r="L14">
        <v>1</v>
      </c>
    </row>
    <row r="15" spans="1:12" x14ac:dyDescent="0.15">
      <c r="A15">
        <v>10</v>
      </c>
      <c r="B15" s="5" t="s">
        <v>48</v>
      </c>
      <c r="C15">
        <v>1</v>
      </c>
      <c r="D15">
        <v>50</v>
      </c>
      <c r="E15">
        <v>300</v>
      </c>
      <c r="F15">
        <v>1</v>
      </c>
      <c r="G15">
        <v>10</v>
      </c>
      <c r="H15" t="s">
        <v>49</v>
      </c>
      <c r="I15" t="s">
        <v>50</v>
      </c>
      <c r="J15">
        <v>1</v>
      </c>
      <c r="K15">
        <v>1</v>
      </c>
      <c r="L15">
        <v>0</v>
      </c>
    </row>
    <row r="16" spans="1:12" x14ac:dyDescent="0.15">
      <c r="A16">
        <v>11</v>
      </c>
      <c r="B16" s="4" t="s">
        <v>51</v>
      </c>
      <c r="C16">
        <v>2</v>
      </c>
      <c r="D16">
        <v>5</v>
      </c>
      <c r="E16">
        <v>100</v>
      </c>
      <c r="F16">
        <v>1</v>
      </c>
      <c r="G16">
        <v>11</v>
      </c>
      <c r="H16" t="s">
        <v>52</v>
      </c>
      <c r="I16" t="s">
        <v>53</v>
      </c>
      <c r="J16">
        <v>1</v>
      </c>
      <c r="K16">
        <v>1</v>
      </c>
      <c r="L16">
        <v>1</v>
      </c>
    </row>
    <row r="17" spans="1:12" x14ac:dyDescent="0.15">
      <c r="A17">
        <v>12</v>
      </c>
      <c r="B17" s="4" t="s">
        <v>54</v>
      </c>
      <c r="C17">
        <v>2</v>
      </c>
      <c r="D17">
        <v>10</v>
      </c>
      <c r="E17">
        <v>100</v>
      </c>
      <c r="F17">
        <v>1</v>
      </c>
      <c r="G17">
        <v>12</v>
      </c>
      <c r="H17" t="s">
        <v>55</v>
      </c>
      <c r="I17" t="s">
        <v>56</v>
      </c>
      <c r="J17">
        <v>1</v>
      </c>
      <c r="K17">
        <v>1</v>
      </c>
      <c r="L17">
        <v>1</v>
      </c>
    </row>
    <row r="18" spans="1:12" x14ac:dyDescent="0.15">
      <c r="A18">
        <v>13</v>
      </c>
      <c r="B18" s="4" t="s">
        <v>57</v>
      </c>
      <c r="C18">
        <v>2</v>
      </c>
      <c r="D18">
        <v>15</v>
      </c>
      <c r="E18">
        <v>200</v>
      </c>
      <c r="F18">
        <v>1</v>
      </c>
      <c r="G18">
        <v>13</v>
      </c>
      <c r="H18" t="s">
        <v>58</v>
      </c>
      <c r="I18" t="s">
        <v>59</v>
      </c>
      <c r="J18">
        <v>1</v>
      </c>
      <c r="K18">
        <v>1</v>
      </c>
      <c r="L18">
        <v>2</v>
      </c>
    </row>
    <row r="19" spans="1:12" x14ac:dyDescent="0.15">
      <c r="A19">
        <v>14</v>
      </c>
      <c r="B19" s="5" t="s">
        <v>60</v>
      </c>
      <c r="C19">
        <v>2</v>
      </c>
      <c r="D19">
        <v>20</v>
      </c>
      <c r="E19">
        <v>200</v>
      </c>
      <c r="F19">
        <v>1</v>
      </c>
      <c r="G19">
        <v>14</v>
      </c>
      <c r="H19" t="s">
        <v>61</v>
      </c>
      <c r="I19" t="s">
        <v>62</v>
      </c>
      <c r="J19">
        <v>1</v>
      </c>
      <c r="K19">
        <v>1</v>
      </c>
      <c r="L19">
        <v>1</v>
      </c>
    </row>
    <row r="20" spans="1:12" x14ac:dyDescent="0.15">
      <c r="A20">
        <v>15</v>
      </c>
      <c r="B20" s="4" t="s">
        <v>63</v>
      </c>
      <c r="C20">
        <v>2</v>
      </c>
      <c r="D20">
        <v>25</v>
      </c>
      <c r="E20">
        <v>200</v>
      </c>
      <c r="F20">
        <v>1</v>
      </c>
      <c r="G20">
        <v>15</v>
      </c>
      <c r="H20" t="s">
        <v>64</v>
      </c>
      <c r="I20" t="s">
        <v>65</v>
      </c>
      <c r="J20">
        <v>1</v>
      </c>
      <c r="K20">
        <v>1</v>
      </c>
      <c r="L20">
        <v>3</v>
      </c>
    </row>
    <row r="21" spans="1:12" x14ac:dyDescent="0.15">
      <c r="A21">
        <v>16</v>
      </c>
      <c r="B21" t="s">
        <v>66</v>
      </c>
      <c r="C21">
        <v>2</v>
      </c>
      <c r="D21">
        <v>30</v>
      </c>
      <c r="E21">
        <v>150</v>
      </c>
      <c r="F21">
        <v>1</v>
      </c>
      <c r="G21">
        <v>16</v>
      </c>
      <c r="H21" t="s">
        <v>67</v>
      </c>
      <c r="I21" t="s">
        <v>68</v>
      </c>
      <c r="J21">
        <v>1</v>
      </c>
      <c r="K21">
        <v>1</v>
      </c>
      <c r="L21">
        <v>0</v>
      </c>
    </row>
    <row r="22" spans="1:12" x14ac:dyDescent="0.15">
      <c r="A22">
        <v>17</v>
      </c>
      <c r="B22" s="3" t="s">
        <v>69</v>
      </c>
      <c r="C22">
        <v>2</v>
      </c>
      <c r="D22">
        <v>35</v>
      </c>
      <c r="E22">
        <v>400</v>
      </c>
      <c r="F22">
        <v>1</v>
      </c>
      <c r="G22">
        <v>17</v>
      </c>
      <c r="H22" t="s">
        <v>70</v>
      </c>
      <c r="I22" t="s">
        <v>71</v>
      </c>
      <c r="J22">
        <v>1</v>
      </c>
      <c r="K22">
        <v>1</v>
      </c>
      <c r="L22">
        <v>0</v>
      </c>
    </row>
    <row r="23" spans="1:12" x14ac:dyDescent="0.15">
      <c r="A23">
        <v>18</v>
      </c>
      <c r="B23" s="4" t="s">
        <v>72</v>
      </c>
      <c r="C23">
        <v>2</v>
      </c>
      <c r="D23">
        <v>40</v>
      </c>
      <c r="E23">
        <v>300</v>
      </c>
      <c r="F23">
        <v>1</v>
      </c>
      <c r="G23">
        <v>18</v>
      </c>
      <c r="H23" t="s">
        <v>73</v>
      </c>
      <c r="I23" t="s">
        <v>74</v>
      </c>
      <c r="J23">
        <v>1</v>
      </c>
      <c r="K23">
        <v>1</v>
      </c>
      <c r="L23">
        <v>1</v>
      </c>
    </row>
    <row r="24" spans="1:12" x14ac:dyDescent="0.15">
      <c r="A24">
        <v>19</v>
      </c>
      <c r="B24" s="6" t="s">
        <v>75</v>
      </c>
      <c r="C24">
        <v>2</v>
      </c>
      <c r="D24">
        <v>45</v>
      </c>
      <c r="E24">
        <v>200</v>
      </c>
      <c r="F24">
        <v>1</v>
      </c>
      <c r="G24">
        <v>19</v>
      </c>
      <c r="H24" t="s">
        <v>76</v>
      </c>
      <c r="I24" t="s">
        <v>77</v>
      </c>
      <c r="J24">
        <v>1</v>
      </c>
      <c r="K24">
        <v>1</v>
      </c>
      <c r="L24">
        <v>1</v>
      </c>
    </row>
    <row r="25" spans="1:12" x14ac:dyDescent="0.15">
      <c r="A25">
        <v>20</v>
      </c>
      <c r="B25" s="5" t="s">
        <v>78</v>
      </c>
      <c r="C25">
        <v>2</v>
      </c>
      <c r="D25">
        <v>50</v>
      </c>
      <c r="E25">
        <v>250</v>
      </c>
      <c r="F25">
        <v>1</v>
      </c>
      <c r="G25">
        <v>20</v>
      </c>
      <c r="H25" t="s">
        <v>79</v>
      </c>
      <c r="I25" t="s">
        <v>80</v>
      </c>
      <c r="J25">
        <v>1</v>
      </c>
      <c r="K25">
        <v>1</v>
      </c>
      <c r="L25">
        <v>0</v>
      </c>
    </row>
    <row r="26" spans="1:12" x14ac:dyDescent="0.15">
      <c r="A26">
        <v>21</v>
      </c>
      <c r="B26" s="4" t="s">
        <v>81</v>
      </c>
      <c r="C26">
        <v>3</v>
      </c>
      <c r="D26">
        <v>5</v>
      </c>
      <c r="E26">
        <v>100</v>
      </c>
      <c r="F26">
        <v>1</v>
      </c>
      <c r="G26">
        <v>21</v>
      </c>
      <c r="H26" t="s">
        <v>82</v>
      </c>
      <c r="I26" t="s">
        <v>83</v>
      </c>
      <c r="J26">
        <v>1</v>
      </c>
      <c r="K26">
        <v>1</v>
      </c>
      <c r="L26">
        <v>2</v>
      </c>
    </row>
    <row r="27" spans="1:12" x14ac:dyDescent="0.15">
      <c r="A27">
        <v>22</v>
      </c>
      <c r="B27" s="4" t="s">
        <v>84</v>
      </c>
      <c r="C27">
        <v>3</v>
      </c>
      <c r="D27">
        <v>10</v>
      </c>
      <c r="E27">
        <v>150</v>
      </c>
      <c r="F27">
        <v>1</v>
      </c>
      <c r="G27">
        <v>22</v>
      </c>
      <c r="H27" t="s">
        <v>85</v>
      </c>
      <c r="I27" t="s">
        <v>86</v>
      </c>
      <c r="J27">
        <v>1</v>
      </c>
      <c r="K27">
        <v>1</v>
      </c>
      <c r="L27">
        <v>2</v>
      </c>
    </row>
    <row r="28" spans="1:12" x14ac:dyDescent="0.15">
      <c r="A28">
        <v>23</v>
      </c>
      <c r="B28" s="6" t="s">
        <v>87</v>
      </c>
      <c r="C28">
        <v>3</v>
      </c>
      <c r="D28">
        <v>15</v>
      </c>
      <c r="E28">
        <v>200</v>
      </c>
      <c r="F28">
        <v>1</v>
      </c>
      <c r="G28">
        <v>23</v>
      </c>
      <c r="H28" t="s">
        <v>88</v>
      </c>
      <c r="I28" t="s">
        <v>89</v>
      </c>
      <c r="J28">
        <v>1</v>
      </c>
      <c r="K28">
        <v>1</v>
      </c>
      <c r="L28">
        <v>0</v>
      </c>
    </row>
    <row r="29" spans="1:12" x14ac:dyDescent="0.15">
      <c r="A29">
        <v>24</v>
      </c>
      <c r="B29" s="6" t="s">
        <v>90</v>
      </c>
      <c r="C29">
        <v>3</v>
      </c>
      <c r="D29">
        <v>20</v>
      </c>
      <c r="E29">
        <v>200</v>
      </c>
      <c r="F29">
        <v>1</v>
      </c>
      <c r="G29">
        <v>24</v>
      </c>
      <c r="H29" t="s">
        <v>91</v>
      </c>
      <c r="I29" t="s">
        <v>92</v>
      </c>
      <c r="J29">
        <v>1</v>
      </c>
      <c r="K29">
        <v>1</v>
      </c>
      <c r="L29">
        <v>2</v>
      </c>
    </row>
    <row r="30" spans="1:12" x14ac:dyDescent="0.15">
      <c r="A30">
        <v>26</v>
      </c>
      <c r="B30" s="4" t="s">
        <v>93</v>
      </c>
      <c r="C30">
        <v>3</v>
      </c>
      <c r="D30">
        <v>25</v>
      </c>
      <c r="E30">
        <v>250</v>
      </c>
      <c r="F30">
        <v>1</v>
      </c>
      <c r="G30">
        <v>26</v>
      </c>
      <c r="H30" t="s">
        <v>94</v>
      </c>
      <c r="I30" t="s">
        <v>95</v>
      </c>
      <c r="J30">
        <v>1</v>
      </c>
      <c r="K30">
        <v>1</v>
      </c>
      <c r="L30">
        <v>2</v>
      </c>
    </row>
    <row r="31" spans="1:12" x14ac:dyDescent="0.15">
      <c r="A31">
        <v>30</v>
      </c>
      <c r="B31" s="5" t="s">
        <v>96</v>
      </c>
      <c r="C31">
        <v>3</v>
      </c>
      <c r="D31">
        <v>30</v>
      </c>
      <c r="E31">
        <v>0</v>
      </c>
      <c r="F31">
        <v>1</v>
      </c>
      <c r="G31">
        <v>30</v>
      </c>
      <c r="H31" t="s">
        <v>97</v>
      </c>
      <c r="I31" t="s">
        <v>98</v>
      </c>
      <c r="J31">
        <v>1</v>
      </c>
      <c r="K31">
        <v>1</v>
      </c>
      <c r="L31">
        <v>0</v>
      </c>
    </row>
    <row r="32" spans="1:12" x14ac:dyDescent="0.15">
      <c r="A32">
        <v>27</v>
      </c>
      <c r="B32" s="5" t="s">
        <v>99</v>
      </c>
      <c r="C32">
        <v>3</v>
      </c>
      <c r="D32">
        <v>35</v>
      </c>
      <c r="E32">
        <v>100</v>
      </c>
      <c r="F32">
        <v>1</v>
      </c>
      <c r="G32">
        <v>27</v>
      </c>
      <c r="H32" t="s">
        <v>100</v>
      </c>
      <c r="I32" t="s">
        <v>101</v>
      </c>
      <c r="J32">
        <v>1</v>
      </c>
      <c r="K32">
        <v>1</v>
      </c>
      <c r="L32">
        <v>2</v>
      </c>
    </row>
    <row r="33" spans="1:12" x14ac:dyDescent="0.15">
      <c r="A33">
        <v>25</v>
      </c>
      <c r="B33" t="s">
        <v>102</v>
      </c>
      <c r="C33">
        <v>3</v>
      </c>
      <c r="D33">
        <v>40</v>
      </c>
      <c r="E33">
        <v>0</v>
      </c>
      <c r="F33">
        <v>1</v>
      </c>
      <c r="G33">
        <v>25</v>
      </c>
      <c r="H33" t="s">
        <v>103</v>
      </c>
      <c r="I33" t="s">
        <v>104</v>
      </c>
      <c r="J33">
        <v>1</v>
      </c>
      <c r="K33">
        <v>1</v>
      </c>
      <c r="L33">
        <v>0</v>
      </c>
    </row>
    <row r="34" spans="1:12" x14ac:dyDescent="0.15">
      <c r="A34">
        <v>28</v>
      </c>
      <c r="B34" s="5" t="s">
        <v>105</v>
      </c>
      <c r="C34">
        <v>3</v>
      </c>
      <c r="D34">
        <v>45</v>
      </c>
      <c r="E34">
        <v>350</v>
      </c>
      <c r="F34">
        <v>1</v>
      </c>
      <c r="G34">
        <v>28</v>
      </c>
      <c r="H34" t="s">
        <v>106</v>
      </c>
      <c r="I34" t="s">
        <v>107</v>
      </c>
      <c r="J34">
        <v>1</v>
      </c>
      <c r="K34">
        <v>1</v>
      </c>
      <c r="L34">
        <v>2</v>
      </c>
    </row>
    <row r="35" spans="1:12" x14ac:dyDescent="0.15">
      <c r="A35">
        <v>29</v>
      </c>
      <c r="B35" s="5" t="s">
        <v>108</v>
      </c>
      <c r="C35">
        <v>3</v>
      </c>
      <c r="D35">
        <v>50</v>
      </c>
      <c r="E35">
        <v>250</v>
      </c>
      <c r="F35">
        <v>1</v>
      </c>
      <c r="G35">
        <v>29</v>
      </c>
      <c r="H35" t="s">
        <v>109</v>
      </c>
      <c r="I35" t="s">
        <v>110</v>
      </c>
      <c r="J35">
        <v>1</v>
      </c>
      <c r="K35">
        <v>1</v>
      </c>
      <c r="L35">
        <v>2</v>
      </c>
    </row>
    <row r="36" spans="1:12" x14ac:dyDescent="0.15">
      <c r="A36">
        <f>A6+1000</f>
        <v>1001</v>
      </c>
      <c r="B36" s="4" t="s">
        <v>21</v>
      </c>
      <c r="C36">
        <v>1001</v>
      </c>
      <c r="D36">
        <v>4</v>
      </c>
      <c r="E36">
        <v>100</v>
      </c>
      <c r="F36">
        <v>1</v>
      </c>
      <c r="G36">
        <f>G6</f>
        <v>1</v>
      </c>
      <c r="H36" t="s">
        <v>22</v>
      </c>
      <c r="I36" t="s">
        <v>23</v>
      </c>
      <c r="J36">
        <v>1</v>
      </c>
      <c r="K36">
        <v>1</v>
      </c>
      <c r="L36">
        <v>1</v>
      </c>
    </row>
    <row r="37" spans="1:12" x14ac:dyDescent="0.15">
      <c r="A37">
        <f t="shared" ref="A37" si="0">A7+1000</f>
        <v>1002</v>
      </c>
      <c r="B37" t="s">
        <v>24</v>
      </c>
      <c r="C37">
        <v>1001</v>
      </c>
      <c r="D37">
        <v>0</v>
      </c>
      <c r="E37">
        <v>200</v>
      </c>
      <c r="F37">
        <v>1</v>
      </c>
      <c r="G37">
        <f t="shared" ref="G37" si="1">G7</f>
        <v>2</v>
      </c>
      <c r="H37" t="s">
        <v>25</v>
      </c>
      <c r="I37" t="s">
        <v>26</v>
      </c>
      <c r="J37">
        <v>1</v>
      </c>
      <c r="K37">
        <v>1</v>
      </c>
      <c r="L37">
        <v>0</v>
      </c>
    </row>
    <row r="38" spans="1:12" x14ac:dyDescent="0.15">
      <c r="A38">
        <f>A9+1000</f>
        <v>1004</v>
      </c>
      <c r="B38" s="5" t="s">
        <v>30</v>
      </c>
      <c r="C38">
        <v>1001</v>
      </c>
      <c r="D38">
        <v>8</v>
      </c>
      <c r="E38">
        <v>150</v>
      </c>
      <c r="F38">
        <v>1</v>
      </c>
      <c r="G38">
        <f>G9</f>
        <v>4</v>
      </c>
      <c r="H38" t="s">
        <v>31</v>
      </c>
      <c r="I38" t="s">
        <v>32</v>
      </c>
      <c r="J38">
        <v>1</v>
      </c>
      <c r="K38">
        <v>1</v>
      </c>
      <c r="L38">
        <v>1</v>
      </c>
    </row>
    <row r="39" spans="1:12" x14ac:dyDescent="0.15">
      <c r="A39">
        <f>A10+1000</f>
        <v>1009</v>
      </c>
      <c r="B39" t="s">
        <v>33</v>
      </c>
      <c r="C39">
        <v>1001</v>
      </c>
      <c r="D39">
        <v>5</v>
      </c>
      <c r="E39">
        <v>100</v>
      </c>
      <c r="F39">
        <v>1</v>
      </c>
      <c r="G39">
        <f>G10</f>
        <v>9</v>
      </c>
      <c r="H39" t="s">
        <v>34</v>
      </c>
      <c r="I39" t="s">
        <v>35</v>
      </c>
      <c r="J39">
        <v>1</v>
      </c>
      <c r="K39">
        <v>1</v>
      </c>
      <c r="L39">
        <v>1</v>
      </c>
    </row>
    <row r="40" spans="1:12" x14ac:dyDescent="0.15">
      <c r="A40">
        <f>A12+1000</f>
        <v>1007</v>
      </c>
      <c r="B40" t="s">
        <v>39</v>
      </c>
      <c r="C40">
        <v>1001</v>
      </c>
      <c r="D40">
        <v>1</v>
      </c>
      <c r="E40">
        <v>0</v>
      </c>
      <c r="F40">
        <v>1</v>
      </c>
      <c r="G40">
        <f>G12</f>
        <v>7</v>
      </c>
      <c r="H40" t="s">
        <v>40</v>
      </c>
      <c r="I40" t="s">
        <v>41</v>
      </c>
      <c r="J40">
        <v>1</v>
      </c>
      <c r="K40">
        <v>1</v>
      </c>
      <c r="L40">
        <v>1</v>
      </c>
    </row>
    <row r="41" spans="1:12" x14ac:dyDescent="0.15">
      <c r="A41">
        <f>A14+1000</f>
        <v>1008</v>
      </c>
      <c r="B41" s="5" t="s">
        <v>45</v>
      </c>
      <c r="C41">
        <v>1001</v>
      </c>
      <c r="D41">
        <v>9</v>
      </c>
      <c r="E41">
        <v>300</v>
      </c>
      <c r="F41">
        <v>1</v>
      </c>
      <c r="G41">
        <f>G14</f>
        <v>8</v>
      </c>
      <c r="H41" t="s">
        <v>46</v>
      </c>
      <c r="I41" t="s">
        <v>47</v>
      </c>
      <c r="J41">
        <v>1</v>
      </c>
      <c r="K41">
        <v>1</v>
      </c>
      <c r="L41">
        <v>1</v>
      </c>
    </row>
    <row r="42" spans="1:12" x14ac:dyDescent="0.15">
      <c r="A42">
        <f t="shared" ref="A42" si="2">A16+1000</f>
        <v>1011</v>
      </c>
      <c r="B42" s="4" t="s">
        <v>51</v>
      </c>
      <c r="C42">
        <v>1002</v>
      </c>
      <c r="D42">
        <v>4</v>
      </c>
      <c r="E42">
        <v>100</v>
      </c>
      <c r="F42">
        <v>1</v>
      </c>
      <c r="G42">
        <f t="shared" ref="G42" si="3">G16</f>
        <v>11</v>
      </c>
      <c r="H42" t="s">
        <v>52</v>
      </c>
      <c r="I42" t="s">
        <v>53</v>
      </c>
      <c r="J42">
        <v>1</v>
      </c>
      <c r="K42">
        <v>1</v>
      </c>
      <c r="L42">
        <v>1</v>
      </c>
    </row>
    <row r="43" spans="1:12" x14ac:dyDescent="0.15">
      <c r="A43">
        <f>A17+1000</f>
        <v>1012</v>
      </c>
      <c r="B43" s="4" t="s">
        <v>54</v>
      </c>
      <c r="C43">
        <v>1002</v>
      </c>
      <c r="D43">
        <v>0</v>
      </c>
      <c r="E43">
        <v>100</v>
      </c>
      <c r="F43">
        <v>1</v>
      </c>
      <c r="G43">
        <f>G17</f>
        <v>12</v>
      </c>
      <c r="H43" t="s">
        <v>55</v>
      </c>
      <c r="I43" t="s">
        <v>56</v>
      </c>
      <c r="J43">
        <v>1</v>
      </c>
      <c r="K43">
        <v>1</v>
      </c>
      <c r="L43">
        <v>1</v>
      </c>
    </row>
    <row r="44" spans="1:12" x14ac:dyDescent="0.15">
      <c r="A44">
        <f>A18+1000</f>
        <v>1013</v>
      </c>
      <c r="B44" s="4" t="s">
        <v>57</v>
      </c>
      <c r="C44">
        <v>1002</v>
      </c>
      <c r="D44">
        <v>1</v>
      </c>
      <c r="E44">
        <v>200</v>
      </c>
      <c r="F44">
        <v>1</v>
      </c>
      <c r="G44">
        <f>G18</f>
        <v>13</v>
      </c>
      <c r="H44" t="s">
        <v>58</v>
      </c>
      <c r="I44" t="s">
        <v>59</v>
      </c>
      <c r="J44">
        <v>1</v>
      </c>
      <c r="K44">
        <v>1</v>
      </c>
      <c r="L44">
        <v>2</v>
      </c>
    </row>
    <row r="45" spans="1:12" x14ac:dyDescent="0.15">
      <c r="A45">
        <f>A19+1000</f>
        <v>1014</v>
      </c>
      <c r="B45" s="5" t="s">
        <v>60</v>
      </c>
      <c r="C45">
        <v>1002</v>
      </c>
      <c r="D45">
        <v>8</v>
      </c>
      <c r="E45">
        <v>200</v>
      </c>
      <c r="F45">
        <v>1</v>
      </c>
      <c r="G45">
        <f>G19</f>
        <v>14</v>
      </c>
      <c r="H45" t="s">
        <v>61</v>
      </c>
      <c r="I45" t="s">
        <v>62</v>
      </c>
      <c r="J45">
        <v>1</v>
      </c>
      <c r="K45">
        <v>1</v>
      </c>
      <c r="L45">
        <v>1</v>
      </c>
    </row>
    <row r="46" spans="1:12" x14ac:dyDescent="0.15">
      <c r="A46">
        <f>A20+1000</f>
        <v>1015</v>
      </c>
      <c r="B46" s="4" t="s">
        <v>63</v>
      </c>
      <c r="C46">
        <v>1002</v>
      </c>
      <c r="D46">
        <v>5</v>
      </c>
      <c r="E46">
        <v>200</v>
      </c>
      <c r="F46">
        <v>1</v>
      </c>
      <c r="G46">
        <f>G20</f>
        <v>15</v>
      </c>
      <c r="H46" t="s">
        <v>64</v>
      </c>
      <c r="I46" t="s">
        <v>65</v>
      </c>
      <c r="J46">
        <v>1</v>
      </c>
      <c r="K46">
        <v>1</v>
      </c>
      <c r="L46">
        <v>3</v>
      </c>
    </row>
    <row r="47" spans="1:12" x14ac:dyDescent="0.15">
      <c r="A47">
        <f>A23+1000</f>
        <v>1018</v>
      </c>
      <c r="B47" s="4" t="s">
        <v>72</v>
      </c>
      <c r="C47">
        <v>1002</v>
      </c>
      <c r="D47">
        <v>9</v>
      </c>
      <c r="E47">
        <v>300</v>
      </c>
      <c r="F47">
        <v>1</v>
      </c>
      <c r="G47">
        <f>G23</f>
        <v>18</v>
      </c>
      <c r="H47" t="s">
        <v>73</v>
      </c>
      <c r="I47" t="s">
        <v>74</v>
      </c>
      <c r="J47">
        <v>1</v>
      </c>
      <c r="K47">
        <v>1</v>
      </c>
      <c r="L47">
        <v>1</v>
      </c>
    </row>
    <row r="48" spans="1:12" x14ac:dyDescent="0.15">
      <c r="A48">
        <f t="shared" ref="A48" si="4">A27+1000</f>
        <v>1022</v>
      </c>
      <c r="B48" s="4" t="s">
        <v>84</v>
      </c>
      <c r="C48">
        <v>1003</v>
      </c>
      <c r="D48">
        <v>1</v>
      </c>
      <c r="E48">
        <v>150</v>
      </c>
      <c r="F48">
        <v>1</v>
      </c>
      <c r="G48">
        <f t="shared" ref="G48" si="5">G27</f>
        <v>22</v>
      </c>
      <c r="H48" t="s">
        <v>85</v>
      </c>
      <c r="I48" t="s">
        <v>86</v>
      </c>
      <c r="J48">
        <v>1</v>
      </c>
      <c r="K48">
        <v>1</v>
      </c>
      <c r="L48">
        <v>2</v>
      </c>
    </row>
    <row r="49" spans="1:12" x14ac:dyDescent="0.15">
      <c r="A49">
        <f>A28+1000</f>
        <v>1023</v>
      </c>
      <c r="B49" s="6" t="s">
        <v>87</v>
      </c>
      <c r="C49">
        <v>1003</v>
      </c>
      <c r="D49">
        <v>9</v>
      </c>
      <c r="E49">
        <v>200</v>
      </c>
      <c r="F49">
        <v>1</v>
      </c>
      <c r="G49">
        <f>G28</f>
        <v>23</v>
      </c>
      <c r="H49" t="s">
        <v>88</v>
      </c>
      <c r="I49" t="s">
        <v>89</v>
      </c>
      <c r="J49">
        <v>1</v>
      </c>
      <c r="K49">
        <v>1</v>
      </c>
      <c r="L49">
        <v>0</v>
      </c>
    </row>
    <row r="50" spans="1:12" x14ac:dyDescent="0.15">
      <c r="A50">
        <f>A29+1000</f>
        <v>1024</v>
      </c>
      <c r="B50" s="5" t="s">
        <v>99</v>
      </c>
      <c r="C50">
        <v>1003</v>
      </c>
      <c r="D50">
        <v>0</v>
      </c>
      <c r="E50">
        <v>200</v>
      </c>
      <c r="F50">
        <v>1</v>
      </c>
      <c r="G50">
        <f>G29</f>
        <v>24</v>
      </c>
      <c r="H50" t="s">
        <v>91</v>
      </c>
      <c r="I50" t="s">
        <v>92</v>
      </c>
      <c r="J50">
        <v>1</v>
      </c>
      <c r="K50">
        <v>1</v>
      </c>
      <c r="L50">
        <v>2</v>
      </c>
    </row>
    <row r="51" spans="1:12" x14ac:dyDescent="0.15">
      <c r="A51">
        <f>A30+1000</f>
        <v>1026</v>
      </c>
      <c r="B51" s="4" t="s">
        <v>93</v>
      </c>
      <c r="C51">
        <v>1003</v>
      </c>
      <c r="D51">
        <v>4</v>
      </c>
      <c r="E51">
        <v>250</v>
      </c>
      <c r="F51">
        <v>1</v>
      </c>
      <c r="G51">
        <f>G30</f>
        <v>26</v>
      </c>
      <c r="H51" t="s">
        <v>94</v>
      </c>
      <c r="I51" t="s">
        <v>95</v>
      </c>
      <c r="J51">
        <v>1</v>
      </c>
      <c r="K51">
        <v>1</v>
      </c>
      <c r="L51">
        <v>2</v>
      </c>
    </row>
    <row r="52" spans="1:12" x14ac:dyDescent="0.15">
      <c r="A52">
        <f>A34+1000</f>
        <v>1028</v>
      </c>
      <c r="B52" s="5" t="s">
        <v>105</v>
      </c>
      <c r="C52">
        <v>1003</v>
      </c>
      <c r="D52">
        <v>5</v>
      </c>
      <c r="E52">
        <v>350</v>
      </c>
      <c r="F52">
        <v>1</v>
      </c>
      <c r="G52">
        <f>G34</f>
        <v>28</v>
      </c>
      <c r="H52" t="s">
        <v>106</v>
      </c>
      <c r="I52" t="s">
        <v>107</v>
      </c>
      <c r="J52">
        <v>1</v>
      </c>
      <c r="K52">
        <v>1</v>
      </c>
      <c r="L52">
        <v>2</v>
      </c>
    </row>
    <row r="53" spans="1:12" x14ac:dyDescent="0.15">
      <c r="A53">
        <f>A35+1000</f>
        <v>1029</v>
      </c>
      <c r="B53" s="6" t="s">
        <v>90</v>
      </c>
      <c r="C53">
        <v>1003</v>
      </c>
      <c r="D53">
        <v>8</v>
      </c>
      <c r="E53">
        <v>250</v>
      </c>
      <c r="F53">
        <v>1</v>
      </c>
      <c r="G53">
        <f>G35</f>
        <v>29</v>
      </c>
      <c r="H53" t="s">
        <v>109</v>
      </c>
      <c r="I53" t="s">
        <v>110</v>
      </c>
      <c r="J53">
        <v>1</v>
      </c>
      <c r="K53">
        <v>1</v>
      </c>
      <c r="L53">
        <v>2</v>
      </c>
    </row>
  </sheetData>
  <phoneticPr fontId="7" type="noConversion"/>
  <pageMargins left="0.69930555555555596" right="0.69930555555555596" top="0.75" bottom="0.75" header="0.3" footer="0.3"/>
  <pageSetup paperSize="9" orientation="portrait" horizontalDpi="2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skill">
                <anchor moveWithCells="1" sizeWithCells="1">
                  <from>
                    <xdr:col>6</xdr:col>
                    <xdr:colOff>1495425</xdr:colOff>
                    <xdr:row>0</xdr:row>
                    <xdr:rowOff>47625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9"/>
  <sheetViews>
    <sheetView tabSelected="1" workbookViewId="0">
      <selection activeCell="H19" sqref="H19"/>
    </sheetView>
  </sheetViews>
  <sheetFormatPr defaultColWidth="9" defaultRowHeight="13.5" x14ac:dyDescent="0.15"/>
  <cols>
    <col min="8" max="8" width="71" bestFit="1" customWidth="1"/>
    <col min="9" max="9" width="15" bestFit="1" customWidth="1"/>
  </cols>
  <sheetData>
    <row r="1" spans="1:12" x14ac:dyDescent="0.15">
      <c r="A1" t="s">
        <v>2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11</v>
      </c>
      <c r="K1" t="s">
        <v>12</v>
      </c>
      <c r="L1" t="s">
        <v>119</v>
      </c>
    </row>
    <row r="2" spans="1:12" x14ac:dyDescent="0.15">
      <c r="A2">
        <f>skill.xml!A6</f>
        <v>1</v>
      </c>
      <c r="B2" t="str">
        <f>skill.xml!B6</f>
        <v>攻杀剑术</v>
      </c>
      <c r="C2">
        <f>skill.xml!C6</f>
        <v>1</v>
      </c>
      <c r="D2">
        <f>skill.xml!D6</f>
        <v>5</v>
      </c>
      <c r="E2">
        <f>skill.xml!E6</f>
        <v>100</v>
      </c>
      <c r="F2">
        <f>skill.xml!F6</f>
        <v>1</v>
      </c>
      <c r="G2">
        <f>skill.xml!G6</f>
        <v>1</v>
      </c>
      <c r="H2" t="str">
        <f>skill.xml!H6</f>
        <v>对一名敌人造成200%的物理伤害</v>
      </c>
      <c r="I2" t="str">
        <f>skill.xml!I6</f>
        <v>skill/101.png</v>
      </c>
      <c r="J2">
        <f>skill.xml!J6</f>
        <v>1</v>
      </c>
      <c r="K2">
        <f>skill.xml!K6</f>
        <v>1</v>
      </c>
      <c r="L2">
        <v>0</v>
      </c>
    </row>
    <row r="3" spans="1:12" x14ac:dyDescent="0.15">
      <c r="A3">
        <f>skill.xml!A7</f>
        <v>2</v>
      </c>
      <c r="B3" t="str">
        <f>skill.xml!B7</f>
        <v>治愈术</v>
      </c>
      <c r="C3">
        <f>skill.xml!C7</f>
        <v>1</v>
      </c>
      <c r="D3">
        <f>skill.xml!D7</f>
        <v>10</v>
      </c>
      <c r="E3">
        <f>skill.xml!E7</f>
        <v>200</v>
      </c>
      <c r="F3">
        <f>skill.xml!F7</f>
        <v>1</v>
      </c>
      <c r="G3">
        <f>skill.xml!G7</f>
        <v>2</v>
      </c>
      <c r="H3" t="str">
        <f>skill.xml!H7</f>
        <v>恢复我方生命值最低的一人10%的最大生命值</v>
      </c>
      <c r="I3" t="str">
        <f>skill.xml!I7</f>
        <v>skill/102.png</v>
      </c>
      <c r="J3">
        <f>skill.xml!J7</f>
        <v>1</v>
      </c>
      <c r="K3">
        <f>skill.xml!K7</f>
        <v>1</v>
      </c>
      <c r="L3">
        <v>0</v>
      </c>
    </row>
    <row r="4" spans="1:12" x14ac:dyDescent="0.15">
      <c r="A4">
        <f>skill.xml!A8</f>
        <v>5</v>
      </c>
      <c r="B4" t="str">
        <f>skill.xml!B8</f>
        <v>狮子吼</v>
      </c>
      <c r="C4">
        <f>skill.xml!C8</f>
        <v>1</v>
      </c>
      <c r="D4">
        <f>skill.xml!D8</f>
        <v>15</v>
      </c>
      <c r="E4">
        <f>skill.xml!E8</f>
        <v>150</v>
      </c>
      <c r="F4">
        <f>skill.xml!F8</f>
        <v>1</v>
      </c>
      <c r="G4">
        <f>skill.xml!G8</f>
        <v>5</v>
      </c>
      <c r="H4" t="str">
        <f>skill.xml!H8</f>
        <v>增加我方三人30%的伤害，50%的护甲，持续3回合</v>
      </c>
      <c r="I4" t="str">
        <f>skill.xml!I8</f>
        <v>skill/105.png</v>
      </c>
      <c r="J4">
        <f>skill.xml!J8</f>
        <v>1</v>
      </c>
      <c r="K4">
        <f>skill.xml!K8</f>
        <v>1</v>
      </c>
      <c r="L4">
        <v>0</v>
      </c>
    </row>
    <row r="5" spans="1:12" x14ac:dyDescent="0.15">
      <c r="A5">
        <f>skill.xml!A9</f>
        <v>4</v>
      </c>
      <c r="B5" t="str">
        <f>skill.xml!B9</f>
        <v>野蛮冲撞</v>
      </c>
      <c r="C5">
        <f>skill.xml!C9</f>
        <v>1</v>
      </c>
      <c r="D5">
        <f>skill.xml!D9</f>
        <v>20</v>
      </c>
      <c r="E5">
        <f>skill.xml!E9</f>
        <v>150</v>
      </c>
      <c r="F5">
        <f>skill.xml!F9</f>
        <v>1</v>
      </c>
      <c r="G5">
        <f>skill.xml!G9</f>
        <v>4</v>
      </c>
      <c r="H5" t="str">
        <f>skill.xml!H9</f>
        <v>对3名敌人造成100%的物理伤害，并且50%的概率使其晕眩1回合</v>
      </c>
      <c r="I5" t="str">
        <f>skill.xml!I9</f>
        <v>skill/104.png</v>
      </c>
      <c r="J5">
        <f>skill.xml!J9</f>
        <v>1</v>
      </c>
      <c r="K5">
        <f>skill.xml!K9</f>
        <v>1</v>
      </c>
      <c r="L5">
        <v>0</v>
      </c>
    </row>
    <row r="6" spans="1:12" x14ac:dyDescent="0.15">
      <c r="A6">
        <f>skill.xml!A10</f>
        <v>9</v>
      </c>
      <c r="B6" t="str">
        <f>skill.xml!B10</f>
        <v>突斩</v>
      </c>
      <c r="C6">
        <f>skill.xml!C10</f>
        <v>1</v>
      </c>
      <c r="D6">
        <f>skill.xml!D10</f>
        <v>25</v>
      </c>
      <c r="E6">
        <f>skill.xml!E10</f>
        <v>100</v>
      </c>
      <c r="F6">
        <f>skill.xml!F10</f>
        <v>1</v>
      </c>
      <c r="G6">
        <f>skill.xml!G10</f>
        <v>9</v>
      </c>
      <c r="H6" t="str">
        <f>skill.xml!H10</f>
        <v>对一名敌人进行一次普通攻击，50%概率降低其80%的护甲2回合</v>
      </c>
      <c r="I6" t="str">
        <f>skill.xml!I10</f>
        <v>skill/109.png</v>
      </c>
      <c r="J6">
        <f>skill.xml!J10</f>
        <v>1</v>
      </c>
      <c r="K6">
        <f>skill.xml!K10</f>
        <v>1</v>
      </c>
      <c r="L6">
        <v>0</v>
      </c>
    </row>
    <row r="7" spans="1:12" x14ac:dyDescent="0.15">
      <c r="A7">
        <f>skill.xml!A11</f>
        <v>3</v>
      </c>
      <c r="B7" t="str">
        <f>skill.xml!B11</f>
        <v>酒气护体</v>
      </c>
      <c r="C7">
        <f>skill.xml!C11</f>
        <v>1</v>
      </c>
      <c r="D7">
        <f>skill.xml!D11</f>
        <v>30</v>
      </c>
      <c r="E7">
        <f>skill.xml!E11</f>
        <v>150</v>
      </c>
      <c r="F7">
        <f>skill.xml!F11</f>
        <v>1</v>
      </c>
      <c r="G7">
        <f>skill.xml!G11</f>
        <v>3</v>
      </c>
      <c r="H7" t="str">
        <f>skill.xml!H11</f>
        <v>提升自己的防御，之后2回合受到的伤害减少60%,并使怪物优先攻击你</v>
      </c>
      <c r="I7" t="str">
        <f>skill.xml!I11</f>
        <v>skill/103.png</v>
      </c>
      <c r="J7">
        <f>skill.xml!J11</f>
        <v>1</v>
      </c>
      <c r="K7">
        <f>skill.xml!K11</f>
        <v>1</v>
      </c>
      <c r="L7">
        <v>0</v>
      </c>
    </row>
    <row r="8" spans="1:12" x14ac:dyDescent="0.15">
      <c r="A8">
        <f>skill.xml!A12</f>
        <v>7</v>
      </c>
      <c r="B8" t="str">
        <f>skill.xml!B12</f>
        <v>烈火剑法</v>
      </c>
      <c r="C8">
        <f>skill.xml!C12</f>
        <v>1</v>
      </c>
      <c r="D8">
        <f>skill.xml!D12</f>
        <v>35</v>
      </c>
      <c r="E8">
        <f>skill.xml!E12</f>
        <v>0</v>
      </c>
      <c r="F8">
        <f>skill.xml!F12</f>
        <v>1</v>
      </c>
      <c r="G8">
        <f>skill.xml!G12</f>
        <v>7</v>
      </c>
      <c r="H8" t="str">
        <f>skill.xml!H12</f>
        <v>对一名敌人进行一次普通攻击，50%概率使其在2回合内无法回复生命</v>
      </c>
      <c r="I8" t="str">
        <f>skill.xml!I12</f>
        <v>skill/107.png</v>
      </c>
      <c r="J8">
        <f>skill.xml!J12</f>
        <v>1</v>
      </c>
      <c r="K8">
        <f>skill.xml!K12</f>
        <v>1</v>
      </c>
      <c r="L8">
        <v>0</v>
      </c>
    </row>
    <row r="9" spans="1:12" x14ac:dyDescent="0.15">
      <c r="A9">
        <f>skill.xml!A13</f>
        <v>6</v>
      </c>
      <c r="B9" t="str">
        <f>skill.xml!B13</f>
        <v>破击剑法</v>
      </c>
      <c r="C9">
        <f>skill.xml!C13</f>
        <v>1</v>
      </c>
      <c r="D9">
        <f>skill.xml!D13</f>
        <v>40</v>
      </c>
      <c r="E9">
        <f>skill.xml!E13</f>
        <v>200</v>
      </c>
      <c r="F9">
        <f>skill.xml!F13</f>
        <v>1</v>
      </c>
      <c r="G9">
        <f>skill.xml!G13</f>
        <v>6</v>
      </c>
      <c r="H9" t="str">
        <f>skill.xml!H13</f>
        <v>对一名敌人造成150%的物理伤害，并使其晕眩1回合</v>
      </c>
      <c r="I9" t="str">
        <f>skill.xml!I13</f>
        <v>skill/106.png</v>
      </c>
      <c r="J9">
        <f>skill.xml!J13</f>
        <v>1</v>
      </c>
      <c r="K9">
        <f>skill.xml!K13</f>
        <v>1</v>
      </c>
      <c r="L9">
        <v>0</v>
      </c>
    </row>
    <row r="10" spans="1:12" x14ac:dyDescent="0.15">
      <c r="A10">
        <f>skill.xml!A14</f>
        <v>8</v>
      </c>
      <c r="B10" t="str">
        <f>skill.xml!B14</f>
        <v>半月弯刀</v>
      </c>
      <c r="C10">
        <f>skill.xml!C14</f>
        <v>1</v>
      </c>
      <c r="D10">
        <f>skill.xml!D14</f>
        <v>45</v>
      </c>
      <c r="E10">
        <f>skill.xml!E14</f>
        <v>300</v>
      </c>
      <c r="F10">
        <f>skill.xml!F14</f>
        <v>1</v>
      </c>
      <c r="G10">
        <f>skill.xml!G14</f>
        <v>8</v>
      </c>
      <c r="H10" t="str">
        <f>skill.xml!H14</f>
        <v>对三名敌人造成200%的物理伤害</v>
      </c>
      <c r="I10" t="str">
        <f>skill.xml!I14</f>
        <v>skill/108.png</v>
      </c>
      <c r="J10">
        <f>skill.xml!J14</f>
        <v>1</v>
      </c>
      <c r="K10">
        <f>skill.xml!K14</f>
        <v>1</v>
      </c>
      <c r="L10">
        <v>0</v>
      </c>
    </row>
    <row r="11" spans="1:12" x14ac:dyDescent="0.15">
      <c r="A11">
        <f>skill.xml!A15</f>
        <v>10</v>
      </c>
      <c r="B11" t="str">
        <f>skill.xml!B15</f>
        <v>逐日剑法</v>
      </c>
      <c r="C11">
        <f>skill.xml!C15</f>
        <v>1</v>
      </c>
      <c r="D11">
        <f>skill.xml!D15</f>
        <v>50</v>
      </c>
      <c r="E11">
        <f>skill.xml!E15</f>
        <v>300</v>
      </c>
      <c r="F11">
        <f>skill.xml!F15</f>
        <v>1</v>
      </c>
      <c r="G11">
        <f>skill.xml!G15</f>
        <v>10</v>
      </c>
      <c r="H11" t="str">
        <f>skill.xml!H15</f>
        <v>使自己狂暴，3回合内普通攻击100%暴击且免疫所有不良状态</v>
      </c>
      <c r="I11" t="str">
        <f>skill.xml!I15</f>
        <v>skill/110.png</v>
      </c>
      <c r="J11">
        <f>skill.xml!J15</f>
        <v>1</v>
      </c>
      <c r="K11">
        <f>skill.xml!K15</f>
        <v>1</v>
      </c>
      <c r="L11">
        <v>0</v>
      </c>
    </row>
    <row r="12" spans="1:12" x14ac:dyDescent="0.15">
      <c r="A12">
        <f>skill.xml!A16</f>
        <v>11</v>
      </c>
      <c r="B12" t="str">
        <f>skill.xml!B16</f>
        <v>灵魂火符</v>
      </c>
      <c r="C12">
        <f>skill.xml!C16</f>
        <v>2</v>
      </c>
      <c r="D12">
        <f>skill.xml!D16</f>
        <v>5</v>
      </c>
      <c r="E12">
        <f>skill.xml!E16</f>
        <v>100</v>
      </c>
      <c r="F12">
        <f>skill.xml!F16</f>
        <v>1</v>
      </c>
      <c r="G12">
        <f>skill.xml!G16</f>
        <v>11</v>
      </c>
      <c r="H12" t="str">
        <f>skill.xml!H16</f>
        <v>进行一次普通攻击，50%概率使其中毒2回合，每回合减少当前生命值的4%</v>
      </c>
      <c r="I12" t="str">
        <f>skill.xml!I16</f>
        <v>skill/201.png</v>
      </c>
      <c r="J12">
        <f>skill.xml!J16</f>
        <v>1</v>
      </c>
      <c r="K12">
        <f>skill.xml!K16</f>
        <v>1</v>
      </c>
      <c r="L12">
        <v>0</v>
      </c>
    </row>
    <row r="13" spans="1:12" x14ac:dyDescent="0.15">
      <c r="A13">
        <f>skill.xml!A17</f>
        <v>12</v>
      </c>
      <c r="B13" t="str">
        <f>skill.xml!B17</f>
        <v>气功波</v>
      </c>
      <c r="C13">
        <f>skill.xml!C17</f>
        <v>2</v>
      </c>
      <c r="D13">
        <f>skill.xml!D17</f>
        <v>10</v>
      </c>
      <c r="E13">
        <f>skill.xml!E17</f>
        <v>100</v>
      </c>
      <c r="F13">
        <f>skill.xml!F17</f>
        <v>1</v>
      </c>
      <c r="G13">
        <f>skill.xml!G17</f>
        <v>12</v>
      </c>
      <c r="H13" t="str">
        <f>skill.xml!H17</f>
        <v>对一名敌人进行一次普通攻击，50%的概率使其晕眩1回合</v>
      </c>
      <c r="I13" t="str">
        <f>skill.xml!I17</f>
        <v>skill/202.png</v>
      </c>
      <c r="J13">
        <f>skill.xml!J17</f>
        <v>1</v>
      </c>
      <c r="K13">
        <f>skill.xml!K17</f>
        <v>1</v>
      </c>
      <c r="L13">
        <v>0</v>
      </c>
    </row>
    <row r="14" spans="1:12" x14ac:dyDescent="0.15">
      <c r="A14">
        <f>skill.xml!A18</f>
        <v>13</v>
      </c>
      <c r="B14" t="str">
        <f>skill.xml!B18</f>
        <v>噬血术</v>
      </c>
      <c r="C14">
        <f>skill.xml!C18</f>
        <v>2</v>
      </c>
      <c r="D14">
        <f>skill.xml!D18</f>
        <v>15</v>
      </c>
      <c r="E14">
        <f>skill.xml!E18</f>
        <v>200</v>
      </c>
      <c r="F14">
        <f>skill.xml!F18</f>
        <v>1</v>
      </c>
      <c r="G14">
        <f>skill.xml!G18</f>
        <v>13</v>
      </c>
      <c r="H14" t="str">
        <f>skill.xml!H18</f>
        <v>对一名敌人造成100%的魔法伤害，并回复等值的生命值</v>
      </c>
      <c r="I14" t="str">
        <f>skill.xml!I18</f>
        <v>skill/203.png</v>
      </c>
      <c r="J14">
        <f>skill.xml!J18</f>
        <v>1</v>
      </c>
      <c r="K14">
        <f>skill.xml!K18</f>
        <v>1</v>
      </c>
      <c r="L14">
        <v>0</v>
      </c>
    </row>
    <row r="15" spans="1:12" x14ac:dyDescent="0.15">
      <c r="A15">
        <f>skill.xml!A19</f>
        <v>14</v>
      </c>
      <c r="B15" t="str">
        <f>skill.xml!B19</f>
        <v>召唤骷髅</v>
      </c>
      <c r="C15">
        <f>skill.xml!C19</f>
        <v>2</v>
      </c>
      <c r="D15">
        <f>skill.xml!D19</f>
        <v>20</v>
      </c>
      <c r="E15">
        <f>skill.xml!E19</f>
        <v>200</v>
      </c>
      <c r="F15">
        <f>skill.xml!F19</f>
        <v>1</v>
      </c>
      <c r="G15">
        <f>skill.xml!G19</f>
        <v>14</v>
      </c>
      <c r="H15" t="str">
        <f>skill.xml!H19</f>
        <v>随机进行普通攻击两次，可作用于同一个敌人</v>
      </c>
      <c r="I15" t="str">
        <f>skill.xml!I19</f>
        <v>skill/204.png</v>
      </c>
      <c r="J15">
        <f>skill.xml!J19</f>
        <v>1</v>
      </c>
      <c r="K15">
        <f>skill.xml!K19</f>
        <v>1</v>
      </c>
      <c r="L15">
        <v>0</v>
      </c>
    </row>
    <row r="16" spans="1:12" x14ac:dyDescent="0.15">
      <c r="A16">
        <f>skill.xml!A20</f>
        <v>15</v>
      </c>
      <c r="B16" t="str">
        <f>skill.xml!B20</f>
        <v>无极真气</v>
      </c>
      <c r="C16">
        <f>skill.xml!C20</f>
        <v>2</v>
      </c>
      <c r="D16">
        <f>skill.xml!D20</f>
        <v>25</v>
      </c>
      <c r="E16">
        <f>skill.xml!E20</f>
        <v>200</v>
      </c>
      <c r="F16">
        <f>skill.xml!F20</f>
        <v>1</v>
      </c>
      <c r="G16">
        <f>skill.xml!G20</f>
        <v>15</v>
      </c>
      <c r="H16" t="str">
        <f>skill.xml!H20</f>
        <v>使自己之后3回合普通攻击附加伤害50%的魔法伤害</v>
      </c>
      <c r="I16" t="str">
        <f>skill.xml!I20</f>
        <v>skill/205.png</v>
      </c>
      <c r="J16">
        <f>skill.xml!J20</f>
        <v>1</v>
      </c>
      <c r="K16">
        <f>skill.xml!K20</f>
        <v>1</v>
      </c>
      <c r="L16">
        <v>0</v>
      </c>
    </row>
    <row r="17" spans="1:12" x14ac:dyDescent="0.15">
      <c r="A17">
        <f>skill.xml!A21</f>
        <v>16</v>
      </c>
      <c r="B17" t="str">
        <f>skill.xml!B21</f>
        <v>召唤神兽</v>
      </c>
      <c r="C17">
        <f>skill.xml!C21</f>
        <v>2</v>
      </c>
      <c r="D17">
        <f>skill.xml!D21</f>
        <v>30</v>
      </c>
      <c r="E17">
        <f>skill.xml!E21</f>
        <v>150</v>
      </c>
      <c r="F17">
        <f>skill.xml!F21</f>
        <v>1</v>
      </c>
      <c r="G17">
        <f>skill.xml!G21</f>
        <v>16</v>
      </c>
      <c r="H17" t="str">
        <f>skill.xml!H21</f>
        <v>对一名敌人进行一次普通攻击，降低对手70%的命中3回合</v>
      </c>
      <c r="I17" t="str">
        <f>skill.xml!I21</f>
        <v>skill/206.png</v>
      </c>
      <c r="J17">
        <f>skill.xml!J21</f>
        <v>1</v>
      </c>
      <c r="K17">
        <f>skill.xml!K21</f>
        <v>1</v>
      </c>
      <c r="L17">
        <v>0</v>
      </c>
    </row>
    <row r="18" spans="1:12" x14ac:dyDescent="0.15">
      <c r="A18">
        <f>skill.xml!A22</f>
        <v>17</v>
      </c>
      <c r="B18" t="str">
        <f>skill.xml!B22</f>
        <v>精神力战法</v>
      </c>
      <c r="C18">
        <f>skill.xml!C22</f>
        <v>2</v>
      </c>
      <c r="D18">
        <f>skill.xml!D22</f>
        <v>35</v>
      </c>
      <c r="E18">
        <f>skill.xml!E22</f>
        <v>400</v>
      </c>
      <c r="F18">
        <f>skill.xml!F22</f>
        <v>1</v>
      </c>
      <c r="G18">
        <f>skill.xml!G22</f>
        <v>17</v>
      </c>
      <c r="H18" t="str">
        <f>skill.xml!H22</f>
        <v>提升自己的100%的伤害，持续2回合</v>
      </c>
      <c r="I18" t="str">
        <f>skill.xml!I22</f>
        <v>skill/207.png</v>
      </c>
      <c r="J18">
        <f>skill.xml!J22</f>
        <v>1</v>
      </c>
      <c r="K18">
        <f>skill.xml!K22</f>
        <v>1</v>
      </c>
      <c r="L18">
        <v>0</v>
      </c>
    </row>
    <row r="19" spans="1:12" x14ac:dyDescent="0.15">
      <c r="A19">
        <f>skill.xml!A23</f>
        <v>18</v>
      </c>
      <c r="B19" t="str">
        <f>skill.xml!B23</f>
        <v>施毒术</v>
      </c>
      <c r="C19">
        <f>skill.xml!C23</f>
        <v>2</v>
      </c>
      <c r="D19">
        <f>skill.xml!D23</f>
        <v>40</v>
      </c>
      <c r="E19">
        <f>skill.xml!E23</f>
        <v>300</v>
      </c>
      <c r="F19">
        <f>skill.xml!F23</f>
        <v>1</v>
      </c>
      <c r="G19">
        <f>skill.xml!G23</f>
        <v>18</v>
      </c>
      <c r="H19" t="str">
        <f>skill.xml!H23</f>
        <v>使三名敌人中毒3回合，每回合减少当前生命值的4%</v>
      </c>
      <c r="I19" t="str">
        <f>skill.xml!I23</f>
        <v>skill/208.png</v>
      </c>
      <c r="J19">
        <f>skill.xml!J23</f>
        <v>1</v>
      </c>
      <c r="K19">
        <f>skill.xml!K23</f>
        <v>1</v>
      </c>
      <c r="L19">
        <v>0</v>
      </c>
    </row>
    <row r="20" spans="1:12" x14ac:dyDescent="0.15">
      <c r="A20">
        <f>skill.xml!A24</f>
        <v>19</v>
      </c>
      <c r="B20" t="str">
        <f>skill.xml!B24</f>
        <v>困兽咒</v>
      </c>
      <c r="C20">
        <f>skill.xml!C24</f>
        <v>2</v>
      </c>
      <c r="D20">
        <f>skill.xml!D24</f>
        <v>45</v>
      </c>
      <c r="E20">
        <f>skill.xml!E24</f>
        <v>200</v>
      </c>
      <c r="F20">
        <f>skill.xml!F24</f>
        <v>1</v>
      </c>
      <c r="G20">
        <f>skill.xml!G24</f>
        <v>19</v>
      </c>
      <c r="H20" t="str">
        <f>skill.xml!H24</f>
        <v>对一名敌人进行一次普通攻击，50%概率使其无法使用法术3回合</v>
      </c>
      <c r="I20" t="str">
        <f>skill.xml!I24</f>
        <v>skill/209.png</v>
      </c>
      <c r="J20">
        <f>skill.xml!J24</f>
        <v>1</v>
      </c>
      <c r="K20">
        <f>skill.xml!K24</f>
        <v>1</v>
      </c>
      <c r="L20">
        <v>0</v>
      </c>
    </row>
    <row r="21" spans="1:12" x14ac:dyDescent="0.15">
      <c r="A21">
        <f>skill.xml!A25</f>
        <v>20</v>
      </c>
      <c r="B21" t="str">
        <f>skill.xml!B25</f>
        <v>隐身术</v>
      </c>
      <c r="C21">
        <f>skill.xml!C25</f>
        <v>2</v>
      </c>
      <c r="D21">
        <f>skill.xml!D25</f>
        <v>50</v>
      </c>
      <c r="E21">
        <f>skill.xml!E25</f>
        <v>250</v>
      </c>
      <c r="F21">
        <f>skill.xml!F25</f>
        <v>1</v>
      </c>
      <c r="G21">
        <f>skill.xml!G25</f>
        <v>20</v>
      </c>
      <c r="H21" t="str">
        <f>skill.xml!H25</f>
        <v>使自己进入隐形状态，只会受到范围攻击伤害，持续2回合</v>
      </c>
      <c r="I21" t="str">
        <f>skill.xml!I25</f>
        <v>skill/210.png</v>
      </c>
      <c r="J21">
        <f>skill.xml!J25</f>
        <v>1</v>
      </c>
      <c r="K21">
        <f>skill.xml!K25</f>
        <v>1</v>
      </c>
      <c r="L21">
        <v>0</v>
      </c>
    </row>
    <row r="22" spans="1:12" x14ac:dyDescent="0.15">
      <c r="A22">
        <f>skill.xml!A26</f>
        <v>21</v>
      </c>
      <c r="B22" t="str">
        <f>skill.xml!B26</f>
        <v>火球术</v>
      </c>
      <c r="C22">
        <f>skill.xml!C26</f>
        <v>3</v>
      </c>
      <c r="D22">
        <f>skill.xml!D26</f>
        <v>5</v>
      </c>
      <c r="E22">
        <f>skill.xml!E26</f>
        <v>100</v>
      </c>
      <c r="F22">
        <f>skill.xml!F26</f>
        <v>1</v>
      </c>
      <c r="G22">
        <f>skill.xml!G26</f>
        <v>21</v>
      </c>
      <c r="H22" t="str">
        <f>skill.xml!H26</f>
        <v>对一名敌人造成200%的魔法伤害</v>
      </c>
      <c r="I22" t="str">
        <f>skill.xml!I26</f>
        <v>skill/301.png</v>
      </c>
      <c r="J22">
        <f>skill.xml!J26</f>
        <v>1</v>
      </c>
      <c r="K22">
        <f>skill.xml!K26</f>
        <v>1</v>
      </c>
      <c r="L22">
        <v>0</v>
      </c>
    </row>
    <row r="23" spans="1:12" x14ac:dyDescent="0.15">
      <c r="A23">
        <f>skill.xml!A27</f>
        <v>22</v>
      </c>
      <c r="B23" t="str">
        <f>skill.xml!B27</f>
        <v>雷电术</v>
      </c>
      <c r="C23">
        <f>skill.xml!C27</f>
        <v>3</v>
      </c>
      <c r="D23">
        <f>skill.xml!D27</f>
        <v>10</v>
      </c>
      <c r="E23">
        <f>skill.xml!E27</f>
        <v>150</v>
      </c>
      <c r="F23">
        <f>skill.xml!F27</f>
        <v>1</v>
      </c>
      <c r="G23">
        <f>skill.xml!G27</f>
        <v>22</v>
      </c>
      <c r="H23" t="str">
        <f>skill.xml!H27</f>
        <v>对一名敌人造成150%的魔法伤害，降低其50%的伤害1回合</v>
      </c>
      <c r="I23" t="str">
        <f>skill.xml!I27</f>
        <v>skill/302.png</v>
      </c>
      <c r="J23">
        <f>skill.xml!J27</f>
        <v>1</v>
      </c>
      <c r="K23">
        <f>skill.xml!K27</f>
        <v>1</v>
      </c>
      <c r="L23">
        <v>0</v>
      </c>
    </row>
    <row r="24" spans="1:12" x14ac:dyDescent="0.15">
      <c r="A24">
        <f>skill.xml!A28</f>
        <v>23</v>
      </c>
      <c r="B24" t="str">
        <f>skill.xml!B28</f>
        <v>玄冰盾</v>
      </c>
      <c r="C24">
        <f>skill.xml!C28</f>
        <v>3</v>
      </c>
      <c r="D24">
        <f>skill.xml!D28</f>
        <v>15</v>
      </c>
      <c r="E24">
        <f>skill.xml!E28</f>
        <v>200</v>
      </c>
      <c r="F24">
        <f>skill.xml!F28</f>
        <v>1</v>
      </c>
      <c r="G24">
        <f>skill.xml!G28</f>
        <v>23</v>
      </c>
      <c r="H24" t="str">
        <f>skill.xml!H28</f>
        <v>给我方两人套上冰甲，3回合内受到普通攻击时80%的概率冻结攻击方1回合</v>
      </c>
      <c r="I24" t="str">
        <f>skill.xml!I28</f>
        <v>skill/303.png</v>
      </c>
      <c r="J24">
        <f>skill.xml!J28</f>
        <v>1</v>
      </c>
      <c r="K24">
        <f>skill.xml!K28</f>
        <v>1</v>
      </c>
      <c r="L24">
        <v>0</v>
      </c>
    </row>
    <row r="25" spans="1:12" x14ac:dyDescent="0.15">
      <c r="A25">
        <f>skill.xml!A29</f>
        <v>24</v>
      </c>
      <c r="B25" t="str">
        <f>skill.xml!B29</f>
        <v>火墙</v>
      </c>
      <c r="C25">
        <f>skill.xml!C29</f>
        <v>3</v>
      </c>
      <c r="D25">
        <f>skill.xml!D29</f>
        <v>20</v>
      </c>
      <c r="E25">
        <f>skill.xml!E29</f>
        <v>200</v>
      </c>
      <c r="F25">
        <f>skill.xml!F29</f>
        <v>1</v>
      </c>
      <c r="G25">
        <f>skill.xml!G29</f>
        <v>24</v>
      </c>
      <c r="H25" t="str">
        <f>skill.xml!H29</f>
        <v>对三名敌人造成150%的魔法伤害</v>
      </c>
      <c r="I25" t="str">
        <f>skill.xml!I29</f>
        <v>skill/307.png</v>
      </c>
      <c r="J25">
        <f>skill.xml!J29</f>
        <v>1</v>
      </c>
      <c r="K25">
        <f>skill.xml!K29</f>
        <v>1</v>
      </c>
      <c r="L25">
        <v>0</v>
      </c>
    </row>
    <row r="26" spans="1:12" x14ac:dyDescent="0.15">
      <c r="A26">
        <f>skill.xml!A30</f>
        <v>26</v>
      </c>
      <c r="B26" t="str">
        <f>skill.xml!B30</f>
        <v>冰咆哮</v>
      </c>
      <c r="C26">
        <f>skill.xml!C30</f>
        <v>3</v>
      </c>
      <c r="D26">
        <f>skill.xml!D30</f>
        <v>25</v>
      </c>
      <c r="E26">
        <f>skill.xml!E30</f>
        <v>250</v>
      </c>
      <c r="F26">
        <f>skill.xml!F30</f>
        <v>1</v>
      </c>
      <c r="G26">
        <f>skill.xml!G30</f>
        <v>26</v>
      </c>
      <c r="H26" t="str">
        <f>skill.xml!H30</f>
        <v>对三名敌人造成100%的魔法伤害，50%降低其50%的伤害2回合</v>
      </c>
      <c r="I26" t="str">
        <f>skill.xml!I30</f>
        <v>skill/306.png</v>
      </c>
      <c r="J26">
        <f>skill.xml!J30</f>
        <v>1</v>
      </c>
      <c r="K26">
        <f>skill.xml!K30</f>
        <v>1</v>
      </c>
      <c r="L26">
        <v>0</v>
      </c>
    </row>
    <row r="27" spans="1:12" x14ac:dyDescent="0.15">
      <c r="A27">
        <f>skill.xml!A31</f>
        <v>30</v>
      </c>
      <c r="B27" t="str">
        <f>skill.xml!B31</f>
        <v>魔法盾</v>
      </c>
      <c r="C27">
        <f>skill.xml!C31</f>
        <v>3</v>
      </c>
      <c r="D27">
        <f>skill.xml!D31</f>
        <v>30</v>
      </c>
      <c r="E27">
        <f>skill.xml!E31</f>
        <v>0</v>
      </c>
      <c r="F27">
        <f>skill.xml!F31</f>
        <v>1</v>
      </c>
      <c r="G27">
        <f>skill.xml!G31</f>
        <v>30</v>
      </c>
      <c r="H27" t="str">
        <f>skill.xml!H31</f>
        <v>给自己施加魔法护盾，每1点魔法值抵消5点伤害，持续2回合</v>
      </c>
      <c r="I27" t="str">
        <f>skill.xml!I31</f>
        <v>skill/310.png</v>
      </c>
      <c r="J27">
        <f>skill.xml!J31</f>
        <v>1</v>
      </c>
      <c r="K27">
        <f>skill.xml!K31</f>
        <v>1</v>
      </c>
      <c r="L27">
        <v>0</v>
      </c>
    </row>
    <row r="28" spans="1:12" x14ac:dyDescent="0.15">
      <c r="A28">
        <f>skill.xml!A32</f>
        <v>27</v>
      </c>
      <c r="B28" t="str">
        <f>skill.xml!B32</f>
        <v>聚能冲击</v>
      </c>
      <c r="C28">
        <f>skill.xml!C32</f>
        <v>3</v>
      </c>
      <c r="D28">
        <f>skill.xml!D32</f>
        <v>35</v>
      </c>
      <c r="E28">
        <f>skill.xml!E32</f>
        <v>100</v>
      </c>
      <c r="F28">
        <f>skill.xml!F32</f>
        <v>1</v>
      </c>
      <c r="G28">
        <f>skill.xml!G32</f>
        <v>27</v>
      </c>
      <c r="H28" t="str">
        <f>skill.xml!H32</f>
        <v>造成175%的魔法伤害，每次施放会提高聚能冲击125%魔法伤害和500魔法消耗</v>
      </c>
      <c r="I28" t="str">
        <f>skill.xml!I32</f>
        <v>skill/309.png</v>
      </c>
      <c r="J28">
        <f>skill.xml!J32</f>
        <v>1</v>
      </c>
      <c r="K28">
        <f>skill.xml!K32</f>
        <v>1</v>
      </c>
      <c r="L28">
        <v>0</v>
      </c>
    </row>
    <row r="29" spans="1:12" x14ac:dyDescent="0.15">
      <c r="A29">
        <f>skill.xml!A33</f>
        <v>25</v>
      </c>
      <c r="B29" t="str">
        <f>skill.xml!B33</f>
        <v>圣言术</v>
      </c>
      <c r="C29">
        <f>skill.xml!C33</f>
        <v>3</v>
      </c>
      <c r="D29">
        <f>skill.xml!D33</f>
        <v>40</v>
      </c>
      <c r="E29">
        <f>skill.xml!E33</f>
        <v>0</v>
      </c>
      <c r="F29">
        <f>skill.xml!F33</f>
        <v>1</v>
      </c>
      <c r="G29">
        <f>skill.xml!G33</f>
        <v>25</v>
      </c>
      <c r="H29" t="str">
        <f>skill.xml!H33</f>
        <v>回复自己12%的最大魔法值</v>
      </c>
      <c r="I29" t="str">
        <f>skill.xml!I33</f>
        <v>skill/305.png</v>
      </c>
      <c r="J29">
        <f>skill.xml!J33</f>
        <v>1</v>
      </c>
      <c r="K29">
        <f>skill.xml!K33</f>
        <v>1</v>
      </c>
      <c r="L29">
        <v>0</v>
      </c>
    </row>
    <row r="30" spans="1:12" x14ac:dyDescent="0.15">
      <c r="A30">
        <f>skill.xml!A34</f>
        <v>28</v>
      </c>
      <c r="B30" t="str">
        <f>skill.xml!B34</f>
        <v>爆裂火焰</v>
      </c>
      <c r="C30">
        <f>skill.xml!C34</f>
        <v>3</v>
      </c>
      <c r="D30">
        <f>skill.xml!D34</f>
        <v>45</v>
      </c>
      <c r="E30">
        <f>skill.xml!E34</f>
        <v>350</v>
      </c>
      <c r="F30">
        <f>skill.xml!F34</f>
        <v>1</v>
      </c>
      <c r="G30">
        <f>skill.xml!G34</f>
        <v>28</v>
      </c>
      <c r="H30" t="str">
        <f>skill.xml!H34</f>
        <v>立刻对三名敌人造成100%的魔法伤害，之后3回合每回合造成50%的魔法伤害</v>
      </c>
      <c r="I30" t="str">
        <f>skill.xml!I34</f>
        <v>skill/308.png</v>
      </c>
      <c r="J30">
        <f>skill.xml!J34</f>
        <v>1</v>
      </c>
      <c r="K30">
        <f>skill.xml!K34</f>
        <v>1</v>
      </c>
      <c r="L30">
        <v>0</v>
      </c>
    </row>
    <row r="31" spans="1:12" x14ac:dyDescent="0.15">
      <c r="A31">
        <f>skill.xml!A35</f>
        <v>29</v>
      </c>
      <c r="B31" t="str">
        <f>skill.xml!B35</f>
        <v>大火球</v>
      </c>
      <c r="C31">
        <f>skill.xml!C35</f>
        <v>3</v>
      </c>
      <c r="D31">
        <f>skill.xml!D35</f>
        <v>50</v>
      </c>
      <c r="E31">
        <f>skill.xml!E35</f>
        <v>250</v>
      </c>
      <c r="F31">
        <f>skill.xml!F35</f>
        <v>1</v>
      </c>
      <c r="G31">
        <f>skill.xml!G35</f>
        <v>29</v>
      </c>
      <c r="H31" t="str">
        <f>skill.xml!H35</f>
        <v>对一个敌人造成300%的魔法伤害</v>
      </c>
      <c r="I31" t="str">
        <f>skill.xml!I35</f>
        <v>skill/304.png</v>
      </c>
      <c r="J31">
        <f>skill.xml!J35</f>
        <v>1</v>
      </c>
      <c r="K31">
        <f>skill.xml!K35</f>
        <v>1</v>
      </c>
      <c r="L31">
        <v>0</v>
      </c>
    </row>
    <row r="32" spans="1:12" x14ac:dyDescent="0.15">
      <c r="A32">
        <f>skill.xml!A36</f>
        <v>1001</v>
      </c>
      <c r="B32" t="str">
        <f>skill.xml!B36</f>
        <v>攻杀剑术</v>
      </c>
      <c r="C32">
        <f>skill.xml!C36</f>
        <v>1001</v>
      </c>
      <c r="D32">
        <f>skill.xml!D36</f>
        <v>4</v>
      </c>
      <c r="E32">
        <f>skill.xml!E36</f>
        <v>100</v>
      </c>
      <c r="F32">
        <f>skill.xml!F36</f>
        <v>1</v>
      </c>
      <c r="G32">
        <f>skill.xml!G36</f>
        <v>1</v>
      </c>
      <c r="H32" t="str">
        <f>skill.xml!H36</f>
        <v>对一名敌人造成200%的物理伤害</v>
      </c>
      <c r="I32" t="str">
        <f>skill.xml!I36</f>
        <v>skill/101.png</v>
      </c>
      <c r="J32">
        <f>skill.xml!J36</f>
        <v>1</v>
      </c>
      <c r="K32">
        <f>skill.xml!K36</f>
        <v>1</v>
      </c>
      <c r="L32">
        <v>7</v>
      </c>
    </row>
    <row r="33" spans="1:12" x14ac:dyDescent="0.15">
      <c r="A33">
        <f>skill.xml!A37</f>
        <v>1002</v>
      </c>
      <c r="B33" t="str">
        <f>skill.xml!B37</f>
        <v>治愈术</v>
      </c>
      <c r="C33">
        <f>skill.xml!C37</f>
        <v>1001</v>
      </c>
      <c r="D33">
        <f>skill.xml!D37</f>
        <v>0</v>
      </c>
      <c r="E33">
        <f>skill.xml!E37</f>
        <v>200</v>
      </c>
      <c r="F33">
        <f>skill.xml!F37</f>
        <v>1</v>
      </c>
      <c r="G33">
        <f>skill.xml!G37</f>
        <v>2</v>
      </c>
      <c r="H33" t="str">
        <f>skill.xml!H37</f>
        <v>恢复我方生命值最低的一人10%的最大生命值</v>
      </c>
      <c r="I33" t="str">
        <f>skill.xml!I37</f>
        <v>skill/102.png</v>
      </c>
      <c r="J33">
        <f>skill.xml!J37</f>
        <v>1</v>
      </c>
      <c r="K33">
        <f>skill.xml!K37</f>
        <v>1</v>
      </c>
      <c r="L33">
        <v>7</v>
      </c>
    </row>
    <row r="34" spans="1:12" x14ac:dyDescent="0.15">
      <c r="A34">
        <f>skill.xml!A38</f>
        <v>1004</v>
      </c>
      <c r="B34" t="str">
        <f>skill.xml!B38</f>
        <v>野蛮冲撞</v>
      </c>
      <c r="C34">
        <f>skill.xml!C38</f>
        <v>1001</v>
      </c>
      <c r="D34">
        <f>skill.xml!D38</f>
        <v>8</v>
      </c>
      <c r="E34">
        <f>skill.xml!E38</f>
        <v>150</v>
      </c>
      <c r="F34">
        <f>skill.xml!F38</f>
        <v>1</v>
      </c>
      <c r="G34">
        <f>skill.xml!G38</f>
        <v>4</v>
      </c>
      <c r="H34" t="str">
        <f>skill.xml!H38</f>
        <v>对3名敌人造成100%的物理伤害，并且50%的概率使其晕眩1回合</v>
      </c>
      <c r="I34" t="str">
        <f>skill.xml!I38</f>
        <v>skill/104.png</v>
      </c>
      <c r="J34">
        <f>skill.xml!J38</f>
        <v>1</v>
      </c>
      <c r="K34">
        <f>skill.xml!K38</f>
        <v>1</v>
      </c>
      <c r="L34">
        <v>7</v>
      </c>
    </row>
    <row r="35" spans="1:12" x14ac:dyDescent="0.15">
      <c r="A35">
        <f>skill.xml!A39</f>
        <v>1009</v>
      </c>
      <c r="B35" t="str">
        <f>skill.xml!B39</f>
        <v>突斩</v>
      </c>
      <c r="C35">
        <f>skill.xml!C39</f>
        <v>1001</v>
      </c>
      <c r="D35">
        <f>skill.xml!D39</f>
        <v>5</v>
      </c>
      <c r="E35">
        <f>skill.xml!E39</f>
        <v>100</v>
      </c>
      <c r="F35">
        <f>skill.xml!F39</f>
        <v>1</v>
      </c>
      <c r="G35">
        <f>skill.xml!G39</f>
        <v>9</v>
      </c>
      <c r="H35" t="str">
        <f>skill.xml!H39</f>
        <v>对一名敌人进行一次普通攻击，50%概率降低其80%的护甲2回合</v>
      </c>
      <c r="I35" t="str">
        <f>skill.xml!I39</f>
        <v>skill/109.png</v>
      </c>
      <c r="J35">
        <f>skill.xml!J39</f>
        <v>1</v>
      </c>
      <c r="K35">
        <f>skill.xml!K39</f>
        <v>1</v>
      </c>
      <c r="L35">
        <v>7</v>
      </c>
    </row>
    <row r="36" spans="1:12" x14ac:dyDescent="0.15">
      <c r="A36">
        <f>skill.xml!A40</f>
        <v>1007</v>
      </c>
      <c r="B36" t="str">
        <f>skill.xml!B40</f>
        <v>烈火剑法</v>
      </c>
      <c r="C36">
        <f>skill.xml!C40</f>
        <v>1001</v>
      </c>
      <c r="D36">
        <f>skill.xml!D40</f>
        <v>1</v>
      </c>
      <c r="E36">
        <f>skill.xml!E40</f>
        <v>0</v>
      </c>
      <c r="F36">
        <f>skill.xml!F40</f>
        <v>1</v>
      </c>
      <c r="G36">
        <f>skill.xml!G40</f>
        <v>7</v>
      </c>
      <c r="H36" t="str">
        <f>skill.xml!H40</f>
        <v>对一名敌人进行一次普通攻击，50%概率使其在2回合内无法回复生命</v>
      </c>
      <c r="I36" t="str">
        <f>skill.xml!I40</f>
        <v>skill/107.png</v>
      </c>
      <c r="J36">
        <f>skill.xml!J40</f>
        <v>1</v>
      </c>
      <c r="K36">
        <f>skill.xml!K40</f>
        <v>1</v>
      </c>
      <c r="L36">
        <v>7</v>
      </c>
    </row>
    <row r="37" spans="1:12" x14ac:dyDescent="0.15">
      <c r="A37">
        <f>skill.xml!A41</f>
        <v>1008</v>
      </c>
      <c r="B37" t="str">
        <f>skill.xml!B41</f>
        <v>半月弯刀</v>
      </c>
      <c r="C37">
        <f>skill.xml!C41</f>
        <v>1001</v>
      </c>
      <c r="D37">
        <f>skill.xml!D41</f>
        <v>9</v>
      </c>
      <c r="E37">
        <f>skill.xml!E41</f>
        <v>300</v>
      </c>
      <c r="F37">
        <f>skill.xml!F41</f>
        <v>1</v>
      </c>
      <c r="G37">
        <f>skill.xml!G41</f>
        <v>8</v>
      </c>
      <c r="H37" t="str">
        <f>skill.xml!H41</f>
        <v>对三名敌人造成200%的物理伤害</v>
      </c>
      <c r="I37" t="str">
        <f>skill.xml!I41</f>
        <v>skill/108.png</v>
      </c>
      <c r="J37">
        <f>skill.xml!J41</f>
        <v>1</v>
      </c>
      <c r="K37">
        <f>skill.xml!K41</f>
        <v>1</v>
      </c>
      <c r="L37">
        <v>7</v>
      </c>
    </row>
    <row r="38" spans="1:12" x14ac:dyDescent="0.15">
      <c r="A38">
        <f>skill.xml!A42</f>
        <v>1011</v>
      </c>
      <c r="B38" t="str">
        <f>skill.xml!B42</f>
        <v>灵魂火符</v>
      </c>
      <c r="C38">
        <f>skill.xml!C42</f>
        <v>1002</v>
      </c>
      <c r="D38">
        <f>skill.xml!D42</f>
        <v>4</v>
      </c>
      <c r="E38">
        <f>skill.xml!E42</f>
        <v>100</v>
      </c>
      <c r="F38">
        <f>skill.xml!F42</f>
        <v>1</v>
      </c>
      <c r="G38">
        <f>skill.xml!G42</f>
        <v>11</v>
      </c>
      <c r="H38" t="str">
        <f>skill.xml!H42</f>
        <v>进行一次普通攻击，50%概率使其中毒2回合，每回合减少当前生命值的4%</v>
      </c>
      <c r="I38" t="str">
        <f>skill.xml!I42</f>
        <v>skill/201.png</v>
      </c>
      <c r="J38">
        <f>skill.xml!J42</f>
        <v>1</v>
      </c>
      <c r="K38">
        <f>skill.xml!K42</f>
        <v>1</v>
      </c>
      <c r="L38">
        <v>8</v>
      </c>
    </row>
    <row r="39" spans="1:12" x14ac:dyDescent="0.15">
      <c r="A39">
        <f>skill.xml!A43</f>
        <v>1012</v>
      </c>
      <c r="B39" t="str">
        <f>skill.xml!B43</f>
        <v>气功波</v>
      </c>
      <c r="C39">
        <f>skill.xml!C43</f>
        <v>1002</v>
      </c>
      <c r="D39">
        <f>skill.xml!D43</f>
        <v>0</v>
      </c>
      <c r="E39">
        <f>skill.xml!E43</f>
        <v>100</v>
      </c>
      <c r="F39">
        <f>skill.xml!F43</f>
        <v>1</v>
      </c>
      <c r="G39">
        <f>skill.xml!G43</f>
        <v>12</v>
      </c>
      <c r="H39" t="str">
        <f>skill.xml!H43</f>
        <v>对一名敌人进行一次普通攻击，50%的概率使其晕眩1回合</v>
      </c>
      <c r="I39" t="str">
        <f>skill.xml!I43</f>
        <v>skill/202.png</v>
      </c>
      <c r="J39">
        <f>skill.xml!J43</f>
        <v>1</v>
      </c>
      <c r="K39">
        <f>skill.xml!K43</f>
        <v>1</v>
      </c>
      <c r="L39">
        <v>8</v>
      </c>
    </row>
    <row r="40" spans="1:12" x14ac:dyDescent="0.15">
      <c r="A40">
        <f>skill.xml!A44</f>
        <v>1013</v>
      </c>
      <c r="B40" t="str">
        <f>skill.xml!B44</f>
        <v>噬血术</v>
      </c>
      <c r="C40">
        <f>skill.xml!C44</f>
        <v>1002</v>
      </c>
      <c r="D40">
        <f>skill.xml!D44</f>
        <v>1</v>
      </c>
      <c r="E40">
        <f>skill.xml!E44</f>
        <v>200</v>
      </c>
      <c r="F40">
        <f>skill.xml!F44</f>
        <v>1</v>
      </c>
      <c r="G40">
        <f>skill.xml!G44</f>
        <v>13</v>
      </c>
      <c r="H40" t="str">
        <f>skill.xml!H44</f>
        <v>对一名敌人造成100%的魔法伤害，并回复等值的生命值</v>
      </c>
      <c r="I40" t="str">
        <f>skill.xml!I44</f>
        <v>skill/203.png</v>
      </c>
      <c r="J40">
        <f>skill.xml!J44</f>
        <v>1</v>
      </c>
      <c r="K40">
        <f>skill.xml!K44</f>
        <v>1</v>
      </c>
      <c r="L40">
        <v>8</v>
      </c>
    </row>
    <row r="41" spans="1:12" x14ac:dyDescent="0.15">
      <c r="A41">
        <f>skill.xml!A45</f>
        <v>1014</v>
      </c>
      <c r="B41" t="str">
        <f>skill.xml!B45</f>
        <v>召唤骷髅</v>
      </c>
      <c r="C41">
        <f>skill.xml!C45</f>
        <v>1002</v>
      </c>
      <c r="D41">
        <f>skill.xml!D45</f>
        <v>8</v>
      </c>
      <c r="E41">
        <f>skill.xml!E45</f>
        <v>200</v>
      </c>
      <c r="F41">
        <f>skill.xml!F45</f>
        <v>1</v>
      </c>
      <c r="G41">
        <f>skill.xml!G45</f>
        <v>14</v>
      </c>
      <c r="H41" t="str">
        <f>skill.xml!H45</f>
        <v>随机进行普通攻击两次，可作用于同一个敌人</v>
      </c>
      <c r="I41" t="str">
        <f>skill.xml!I45</f>
        <v>skill/204.png</v>
      </c>
      <c r="J41">
        <f>skill.xml!J45</f>
        <v>1</v>
      </c>
      <c r="K41">
        <f>skill.xml!K45</f>
        <v>1</v>
      </c>
      <c r="L41">
        <v>8</v>
      </c>
    </row>
    <row r="42" spans="1:12" x14ac:dyDescent="0.15">
      <c r="A42">
        <f>skill.xml!A46</f>
        <v>1015</v>
      </c>
      <c r="B42" t="str">
        <f>skill.xml!B46</f>
        <v>无极真气</v>
      </c>
      <c r="C42">
        <f>skill.xml!C46</f>
        <v>1002</v>
      </c>
      <c r="D42">
        <f>skill.xml!D46</f>
        <v>5</v>
      </c>
      <c r="E42">
        <f>skill.xml!E46</f>
        <v>200</v>
      </c>
      <c r="F42">
        <f>skill.xml!F46</f>
        <v>1</v>
      </c>
      <c r="G42">
        <f>skill.xml!G46</f>
        <v>15</v>
      </c>
      <c r="H42" t="str">
        <f>skill.xml!H46</f>
        <v>使自己之后3回合普通攻击附加伤害50%的魔法伤害</v>
      </c>
      <c r="I42" t="str">
        <f>skill.xml!I46</f>
        <v>skill/205.png</v>
      </c>
      <c r="J42">
        <f>skill.xml!J46</f>
        <v>1</v>
      </c>
      <c r="K42">
        <f>skill.xml!K46</f>
        <v>1</v>
      </c>
      <c r="L42">
        <v>8</v>
      </c>
    </row>
    <row r="43" spans="1:12" x14ac:dyDescent="0.15">
      <c r="A43">
        <f>skill.xml!A47</f>
        <v>1018</v>
      </c>
      <c r="B43" t="str">
        <f>skill.xml!B47</f>
        <v>施毒术</v>
      </c>
      <c r="C43">
        <f>skill.xml!C47</f>
        <v>1002</v>
      </c>
      <c r="D43">
        <f>skill.xml!D47</f>
        <v>9</v>
      </c>
      <c r="E43">
        <f>skill.xml!E47</f>
        <v>300</v>
      </c>
      <c r="F43">
        <f>skill.xml!F47</f>
        <v>1</v>
      </c>
      <c r="G43">
        <f>skill.xml!G47</f>
        <v>18</v>
      </c>
      <c r="H43" t="str">
        <f>skill.xml!H47</f>
        <v>使三名敌人中毒3回合，每回合减少当前生命值的4%</v>
      </c>
      <c r="I43" t="str">
        <f>skill.xml!I47</f>
        <v>skill/208.png</v>
      </c>
      <c r="J43">
        <f>skill.xml!J47</f>
        <v>1</v>
      </c>
      <c r="K43">
        <f>skill.xml!K47</f>
        <v>1</v>
      </c>
      <c r="L43">
        <v>8</v>
      </c>
    </row>
    <row r="44" spans="1:12" x14ac:dyDescent="0.15">
      <c r="A44">
        <f>skill.xml!A48</f>
        <v>1022</v>
      </c>
      <c r="B44" t="str">
        <f>skill.xml!B48</f>
        <v>雷电术</v>
      </c>
      <c r="C44">
        <f>skill.xml!C48</f>
        <v>1003</v>
      </c>
      <c r="D44">
        <f>skill.xml!D48</f>
        <v>1</v>
      </c>
      <c r="E44">
        <f>skill.xml!E48</f>
        <v>150</v>
      </c>
      <c r="F44">
        <f>skill.xml!F48</f>
        <v>1</v>
      </c>
      <c r="G44">
        <f>skill.xml!G48</f>
        <v>22</v>
      </c>
      <c r="H44" t="str">
        <f>skill.xml!H48</f>
        <v>对一名敌人造成150%的魔法伤害，降低其50%的伤害1回合</v>
      </c>
      <c r="I44" t="str">
        <f>skill.xml!I48</f>
        <v>skill/302.png</v>
      </c>
      <c r="J44">
        <f>skill.xml!J48</f>
        <v>1</v>
      </c>
      <c r="K44">
        <f>skill.xml!K48</f>
        <v>1</v>
      </c>
      <c r="L44">
        <v>9</v>
      </c>
    </row>
    <row r="45" spans="1:12" x14ac:dyDescent="0.15">
      <c r="A45">
        <f>skill.xml!A49</f>
        <v>1023</v>
      </c>
      <c r="B45" t="str">
        <f>skill.xml!B49</f>
        <v>玄冰盾</v>
      </c>
      <c r="C45">
        <f>skill.xml!C49</f>
        <v>1003</v>
      </c>
      <c r="D45">
        <f>skill.xml!D49</f>
        <v>9</v>
      </c>
      <c r="E45">
        <f>skill.xml!E49</f>
        <v>200</v>
      </c>
      <c r="F45">
        <f>skill.xml!F49</f>
        <v>1</v>
      </c>
      <c r="G45">
        <f>skill.xml!G49</f>
        <v>23</v>
      </c>
      <c r="H45" t="str">
        <f>skill.xml!H49</f>
        <v>给我方两人套上冰甲，3回合内受到普通攻击时80%的概率冻结攻击方1回合</v>
      </c>
      <c r="I45" t="str">
        <f>skill.xml!I49</f>
        <v>skill/303.png</v>
      </c>
      <c r="J45">
        <f>skill.xml!J49</f>
        <v>1</v>
      </c>
      <c r="K45">
        <f>skill.xml!K49</f>
        <v>1</v>
      </c>
      <c r="L45">
        <v>9</v>
      </c>
    </row>
    <row r="46" spans="1:12" x14ac:dyDescent="0.15">
      <c r="A46">
        <f>skill.xml!A50</f>
        <v>1024</v>
      </c>
      <c r="B46" t="str">
        <f>skill.xml!B50</f>
        <v>聚能冲击</v>
      </c>
      <c r="C46">
        <f>skill.xml!C50</f>
        <v>1003</v>
      </c>
      <c r="D46">
        <f>skill.xml!D50</f>
        <v>0</v>
      </c>
      <c r="E46">
        <f>skill.xml!E50</f>
        <v>200</v>
      </c>
      <c r="F46">
        <f>skill.xml!F50</f>
        <v>1</v>
      </c>
      <c r="G46">
        <f>skill.xml!G50</f>
        <v>24</v>
      </c>
      <c r="H46" t="str">
        <f>skill.xml!H50</f>
        <v>对三名敌人造成150%的魔法伤害</v>
      </c>
      <c r="I46" t="str">
        <f>skill.xml!I50</f>
        <v>skill/307.png</v>
      </c>
      <c r="J46">
        <f>skill.xml!J50</f>
        <v>1</v>
      </c>
      <c r="K46">
        <f>skill.xml!K50</f>
        <v>1</v>
      </c>
      <c r="L46">
        <v>9</v>
      </c>
    </row>
    <row r="47" spans="1:12" x14ac:dyDescent="0.15">
      <c r="A47">
        <f>skill.xml!A51</f>
        <v>1026</v>
      </c>
      <c r="B47" t="str">
        <f>skill.xml!B51</f>
        <v>冰咆哮</v>
      </c>
      <c r="C47">
        <f>skill.xml!C51</f>
        <v>1003</v>
      </c>
      <c r="D47">
        <f>skill.xml!D51</f>
        <v>4</v>
      </c>
      <c r="E47">
        <f>skill.xml!E51</f>
        <v>250</v>
      </c>
      <c r="F47">
        <f>skill.xml!F51</f>
        <v>1</v>
      </c>
      <c r="G47">
        <f>skill.xml!G51</f>
        <v>26</v>
      </c>
      <c r="H47" t="str">
        <f>skill.xml!H51</f>
        <v>对三名敌人造成100%的魔法伤害，50%降低其50%的伤害2回合</v>
      </c>
      <c r="I47" t="str">
        <f>skill.xml!I51</f>
        <v>skill/306.png</v>
      </c>
      <c r="J47">
        <f>skill.xml!J51</f>
        <v>1</v>
      </c>
      <c r="K47">
        <f>skill.xml!K51</f>
        <v>1</v>
      </c>
      <c r="L47">
        <v>9</v>
      </c>
    </row>
    <row r="48" spans="1:12" x14ac:dyDescent="0.15">
      <c r="A48">
        <f>skill.xml!A52</f>
        <v>1028</v>
      </c>
      <c r="B48" t="str">
        <f>skill.xml!B52</f>
        <v>爆裂火焰</v>
      </c>
      <c r="C48">
        <f>skill.xml!C52</f>
        <v>1003</v>
      </c>
      <c r="D48">
        <f>skill.xml!D52</f>
        <v>5</v>
      </c>
      <c r="E48">
        <f>skill.xml!E52</f>
        <v>350</v>
      </c>
      <c r="F48">
        <f>skill.xml!F52</f>
        <v>1</v>
      </c>
      <c r="G48">
        <f>skill.xml!G52</f>
        <v>28</v>
      </c>
      <c r="H48" t="str">
        <f>skill.xml!H52</f>
        <v>立刻对三名敌人造成100%的魔法伤害，之后3回合每回合造成50%的魔法伤害</v>
      </c>
      <c r="I48" t="str">
        <f>skill.xml!I52</f>
        <v>skill/308.png</v>
      </c>
      <c r="J48">
        <f>skill.xml!J52</f>
        <v>1</v>
      </c>
      <c r="K48">
        <f>skill.xml!K52</f>
        <v>1</v>
      </c>
      <c r="L48">
        <v>9</v>
      </c>
    </row>
    <row r="49" spans="1:12" x14ac:dyDescent="0.15">
      <c r="A49">
        <f>skill.xml!A53</f>
        <v>1029</v>
      </c>
      <c r="B49" t="str">
        <f>skill.xml!B53</f>
        <v>火墙</v>
      </c>
      <c r="C49">
        <f>skill.xml!C53</f>
        <v>1003</v>
      </c>
      <c r="D49">
        <f>skill.xml!D53</f>
        <v>8</v>
      </c>
      <c r="E49">
        <f>skill.xml!E53</f>
        <v>250</v>
      </c>
      <c r="F49">
        <f>skill.xml!F53</f>
        <v>1</v>
      </c>
      <c r="G49">
        <f>skill.xml!G53</f>
        <v>29</v>
      </c>
      <c r="H49" t="str">
        <f>skill.xml!H53</f>
        <v>对一个敌人造成300%的魔法伤害</v>
      </c>
      <c r="I49" t="str">
        <f>skill.xml!I53</f>
        <v>skill/304.png</v>
      </c>
      <c r="J49">
        <f>skill.xml!J53</f>
        <v>1</v>
      </c>
      <c r="K49">
        <f>skill.xml!K53</f>
        <v>1</v>
      </c>
      <c r="L49">
        <v>9</v>
      </c>
    </row>
  </sheetData>
  <phoneticPr fontId="7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1"/>
  <sheetViews>
    <sheetView workbookViewId="0">
      <selection activeCell="E40" sqref="D40:E40"/>
    </sheetView>
  </sheetViews>
  <sheetFormatPr defaultColWidth="9" defaultRowHeight="13.5" x14ac:dyDescent="0.15"/>
  <cols>
    <col min="8" max="8" width="71.625" customWidth="1"/>
    <col min="9" max="11" width="15.75" customWidth="1"/>
    <col min="12" max="12" width="14.5" customWidth="1"/>
    <col min="13" max="13" width="13.75" customWidth="1"/>
    <col min="14" max="14" width="13.25" customWidth="1"/>
    <col min="15" max="15" width="13.125" customWidth="1"/>
    <col min="16" max="16" width="15.125" customWidth="1"/>
  </cols>
  <sheetData>
    <row r="1" spans="1:21" x14ac:dyDescent="0.15">
      <c r="A1" t="s">
        <v>2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s="1" t="s">
        <v>126</v>
      </c>
      <c r="R1" t="s">
        <v>127</v>
      </c>
      <c r="S1" t="s">
        <v>128</v>
      </c>
      <c r="U1" t="s">
        <v>129</v>
      </c>
    </row>
    <row r="2" spans="1:21" x14ac:dyDescent="0.15">
      <c r="A2">
        <f>skill.xml!A6</f>
        <v>1</v>
      </c>
      <c r="B2" t="str">
        <f>skill.xml!B6</f>
        <v>攻杀剑术</v>
      </c>
      <c r="C2">
        <f>skill.xml!C6</f>
        <v>1</v>
      </c>
      <c r="D2">
        <f>skill.xml!D6</f>
        <v>5</v>
      </c>
      <c r="E2">
        <f>skill.xml!E6</f>
        <v>100</v>
      </c>
      <c r="F2">
        <f>skill.xml!F6</f>
        <v>1</v>
      </c>
      <c r="G2">
        <f>skill.xml!G6</f>
        <v>1</v>
      </c>
      <c r="H2" t="str">
        <f>skill.xml!H6</f>
        <v>对一名敌人造成200%的物理伤害</v>
      </c>
      <c r="I2">
        <v>2</v>
      </c>
      <c r="J2">
        <v>2</v>
      </c>
      <c r="K2">
        <v>0</v>
      </c>
      <c r="L2">
        <v>0</v>
      </c>
      <c r="M2">
        <v>0</v>
      </c>
      <c r="N2">
        <v>0</v>
      </c>
      <c r="O2" s="2">
        <f>(I2+J2)/2+K2*0.4+L2*1.5+M2*2+0+N2</f>
        <v>2</v>
      </c>
      <c r="Q2" t="s">
        <v>130</v>
      </c>
      <c r="R2">
        <f>ROUND(1.2*U2,2)</f>
        <v>1.03</v>
      </c>
      <c r="S2">
        <f>ROUND(1.55*U2,2)</f>
        <v>1.33</v>
      </c>
      <c r="U2">
        <v>0.86</v>
      </c>
    </row>
    <row r="3" spans="1:21" x14ac:dyDescent="0.15">
      <c r="A3">
        <f>skill.xml!A7</f>
        <v>2</v>
      </c>
      <c r="B3" t="str">
        <f>skill.xml!B7</f>
        <v>治愈术</v>
      </c>
      <c r="C3">
        <f>skill.xml!C7</f>
        <v>1</v>
      </c>
      <c r="D3">
        <f>skill.xml!D7</f>
        <v>10</v>
      </c>
      <c r="E3">
        <f>skill.xml!E7</f>
        <v>200</v>
      </c>
      <c r="F3">
        <f>skill.xml!F7</f>
        <v>1</v>
      </c>
      <c r="G3">
        <f>skill.xml!G7</f>
        <v>2</v>
      </c>
      <c r="H3" t="str">
        <f>skill.xml!H7</f>
        <v>恢复我方生命值最低的一人10%的最大生命值</v>
      </c>
      <c r="I3">
        <v>0</v>
      </c>
      <c r="J3">
        <v>0</v>
      </c>
      <c r="K3">
        <v>0</v>
      </c>
      <c r="L3">
        <v>0</v>
      </c>
      <c r="M3">
        <v>0</v>
      </c>
      <c r="N3">
        <v>0.4</v>
      </c>
      <c r="O3" s="2">
        <f>(I3+J3)/2+K3*0.4+L3*1.5+M3*2+0+N3</f>
        <v>0.4</v>
      </c>
      <c r="Q3" t="s">
        <v>131</v>
      </c>
      <c r="R3">
        <f>ROUND(1.4*U3,2)</f>
        <v>1.2</v>
      </c>
      <c r="S3">
        <f>ROUND(2.08*U3,2)</f>
        <v>1.79</v>
      </c>
      <c r="U3">
        <v>0.86</v>
      </c>
    </row>
    <row r="4" spans="1:21" x14ac:dyDescent="0.15">
      <c r="A4">
        <f>skill.xml!A11</f>
        <v>3</v>
      </c>
      <c r="B4" t="str">
        <f>skill.xml!B11</f>
        <v>酒气护体</v>
      </c>
      <c r="C4">
        <f>skill.xml!C11</f>
        <v>1</v>
      </c>
      <c r="D4">
        <f>skill.xml!D11</f>
        <v>30</v>
      </c>
      <c r="E4">
        <f>skill.xml!E11</f>
        <v>150</v>
      </c>
      <c r="F4">
        <f>skill.xml!F11</f>
        <v>1</v>
      </c>
      <c r="G4">
        <f>skill.xml!G11</f>
        <v>3</v>
      </c>
      <c r="H4" t="str">
        <f>skill.xml!H11</f>
        <v>提升自己的防御，之后2回合受到的伤害减少60%,并使怪物优先攻击你</v>
      </c>
      <c r="I4">
        <v>0</v>
      </c>
      <c r="J4">
        <v>0</v>
      </c>
      <c r="K4">
        <v>1</v>
      </c>
      <c r="L4">
        <v>1.2</v>
      </c>
      <c r="M4">
        <v>0</v>
      </c>
      <c r="N4">
        <v>0</v>
      </c>
      <c r="O4" s="2">
        <f t="shared" ref="O4" si="0">(I4+J4)/2+K4*0.4+L4*1.5+M4*2+0</f>
        <v>2.1999999999999997</v>
      </c>
      <c r="Q4" t="s">
        <v>132</v>
      </c>
      <c r="R4">
        <f>ROUND(1.2*U4,2)</f>
        <v>1.03</v>
      </c>
      <c r="S4">
        <f>ROUND(1.55*U4,2)</f>
        <v>1.33</v>
      </c>
      <c r="U4">
        <v>0.86</v>
      </c>
    </row>
    <row r="5" spans="1:21" x14ac:dyDescent="0.15">
      <c r="A5">
        <f>skill.xml!A9</f>
        <v>4</v>
      </c>
      <c r="B5" t="str">
        <f>skill.xml!B9</f>
        <v>野蛮冲撞</v>
      </c>
      <c r="C5">
        <f>skill.xml!C9</f>
        <v>1</v>
      </c>
      <c r="D5">
        <f>skill.xml!D9</f>
        <v>20</v>
      </c>
      <c r="E5">
        <f>skill.xml!E9</f>
        <v>150</v>
      </c>
      <c r="F5">
        <f>skill.xml!F9</f>
        <v>1</v>
      </c>
      <c r="G5">
        <f>skill.xml!G9</f>
        <v>4</v>
      </c>
      <c r="H5" t="str">
        <f>skill.xml!H9</f>
        <v>对3名敌人造成100%的物理伤害，并且50%的概率使其晕眩1回合</v>
      </c>
      <c r="I5">
        <f>1*R2</f>
        <v>1.03</v>
      </c>
      <c r="J5">
        <v>1.03</v>
      </c>
      <c r="K5">
        <v>0</v>
      </c>
      <c r="L5">
        <v>0</v>
      </c>
      <c r="M5">
        <v>0.5</v>
      </c>
      <c r="N5">
        <v>0</v>
      </c>
      <c r="O5" s="2">
        <f t="shared" ref="O5:O31" si="1">(I5+J5)/2+K5*0.4+L5*1.5+M5*2+0</f>
        <v>2.0300000000000002</v>
      </c>
    </row>
    <row r="6" spans="1:21" x14ac:dyDescent="0.15">
      <c r="A6">
        <f>skill.xml!A10</f>
        <v>9</v>
      </c>
      <c r="B6" t="str">
        <f>skill.xml!B10</f>
        <v>突斩</v>
      </c>
      <c r="C6">
        <f>skill.xml!C10</f>
        <v>1</v>
      </c>
      <c r="D6">
        <f>skill.xml!D10</f>
        <v>25</v>
      </c>
      <c r="E6">
        <f>skill.xml!E10</f>
        <v>100</v>
      </c>
      <c r="F6">
        <f>skill.xml!F10</f>
        <v>1</v>
      </c>
      <c r="G6">
        <f>skill.xml!G10</f>
        <v>9</v>
      </c>
      <c r="H6" t="str">
        <f>skill.xml!H10</f>
        <v>对一名敌人进行一次普通攻击，50%概率降低其80%的护甲2回合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 s="2">
        <f t="shared" si="1"/>
        <v>1</v>
      </c>
      <c r="R6" t="s">
        <v>133</v>
      </c>
      <c r="S6" t="s">
        <v>134</v>
      </c>
    </row>
    <row r="7" spans="1:21" x14ac:dyDescent="0.15">
      <c r="A7">
        <f>skill.xml!A8</f>
        <v>5</v>
      </c>
      <c r="B7" t="str">
        <f>skill.xml!B8</f>
        <v>狮子吼</v>
      </c>
      <c r="C7">
        <f>skill.xml!C8</f>
        <v>1</v>
      </c>
      <c r="D7">
        <f>skill.xml!D8</f>
        <v>15</v>
      </c>
      <c r="E7">
        <f>skill.xml!E8</f>
        <v>150</v>
      </c>
      <c r="F7">
        <f>skill.xml!F8</f>
        <v>1</v>
      </c>
      <c r="G7">
        <f>skill.xml!G8</f>
        <v>5</v>
      </c>
      <c r="H7" t="str">
        <f>skill.xml!H8</f>
        <v>增加我方三人30%的伤害，50%的护甲，持续3回合</v>
      </c>
      <c r="I7">
        <v>1.8</v>
      </c>
      <c r="J7">
        <v>1.8</v>
      </c>
      <c r="K7">
        <v>0</v>
      </c>
      <c r="L7">
        <v>0.45</v>
      </c>
      <c r="M7">
        <v>0</v>
      </c>
      <c r="N7">
        <v>0</v>
      </c>
      <c r="O7" s="2">
        <f t="shared" si="1"/>
        <v>2.4750000000000001</v>
      </c>
    </row>
    <row r="8" spans="1:21" x14ac:dyDescent="0.15">
      <c r="A8">
        <f>skill.xml!A13</f>
        <v>6</v>
      </c>
      <c r="B8" t="str">
        <f>skill.xml!B13</f>
        <v>破击剑法</v>
      </c>
      <c r="C8">
        <f>skill.xml!C13</f>
        <v>1</v>
      </c>
      <c r="D8">
        <f>skill.xml!D13</f>
        <v>40</v>
      </c>
      <c r="E8">
        <f>skill.xml!E13</f>
        <v>200</v>
      </c>
      <c r="F8">
        <f>skill.xml!F13</f>
        <v>1</v>
      </c>
      <c r="G8">
        <f>skill.xml!G13</f>
        <v>6</v>
      </c>
      <c r="H8" t="str">
        <f>skill.xml!H13</f>
        <v>对一名敌人造成150%的物理伤害，并使其晕眩1回合</v>
      </c>
      <c r="I8">
        <v>1.5</v>
      </c>
      <c r="J8">
        <v>1.5</v>
      </c>
      <c r="K8">
        <v>0</v>
      </c>
      <c r="L8">
        <v>0</v>
      </c>
      <c r="M8">
        <v>1</v>
      </c>
      <c r="N8">
        <v>0</v>
      </c>
      <c r="O8" s="2">
        <f t="shared" si="1"/>
        <v>3.5</v>
      </c>
    </row>
    <row r="9" spans="1:21" x14ac:dyDescent="0.15">
      <c r="A9">
        <f>skill.xml!A12</f>
        <v>7</v>
      </c>
      <c r="B9" t="str">
        <f>skill.xml!B12</f>
        <v>烈火剑法</v>
      </c>
      <c r="C9">
        <f>skill.xml!C12</f>
        <v>1</v>
      </c>
      <c r="D9">
        <f>skill.xml!D12</f>
        <v>35</v>
      </c>
      <c r="E9">
        <f>skill.xml!E12</f>
        <v>0</v>
      </c>
      <c r="F9">
        <f>skill.xml!F12</f>
        <v>1</v>
      </c>
      <c r="G9">
        <f>skill.xml!G12</f>
        <v>7</v>
      </c>
      <c r="H9" t="str">
        <f>skill.xml!H12</f>
        <v>对一名敌人进行一次普通攻击，50%概率使其在2回合内无法回复生命</v>
      </c>
      <c r="I9">
        <v>1</v>
      </c>
      <c r="J9">
        <v>1</v>
      </c>
      <c r="K9">
        <v>0</v>
      </c>
      <c r="L9">
        <v>0</v>
      </c>
      <c r="M9">
        <v>0</v>
      </c>
      <c r="N9">
        <v>0</v>
      </c>
      <c r="O9" s="2">
        <f t="shared" si="1"/>
        <v>1</v>
      </c>
    </row>
    <row r="10" spans="1:21" x14ac:dyDescent="0.15">
      <c r="A10">
        <f>skill.xml!A14</f>
        <v>8</v>
      </c>
      <c r="B10" t="str">
        <f>skill.xml!B14</f>
        <v>半月弯刀</v>
      </c>
      <c r="C10">
        <f>skill.xml!C14</f>
        <v>1</v>
      </c>
      <c r="D10">
        <f>skill.xml!D14</f>
        <v>45</v>
      </c>
      <c r="E10">
        <f>skill.xml!E14</f>
        <v>300</v>
      </c>
      <c r="F10">
        <f>skill.xml!F14</f>
        <v>1</v>
      </c>
      <c r="G10">
        <f>skill.xml!G14</f>
        <v>8</v>
      </c>
      <c r="H10" t="str">
        <f>skill.xml!H14</f>
        <v>对三名敌人造成200%的物理伤害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 s="2">
        <f t="shared" si="1"/>
        <v>2</v>
      </c>
    </row>
    <row r="11" spans="1:21" x14ac:dyDescent="0.15">
      <c r="A11">
        <f>skill.xml!A15</f>
        <v>10</v>
      </c>
      <c r="B11" t="str">
        <f>skill.xml!B15</f>
        <v>逐日剑法</v>
      </c>
      <c r="C11">
        <f>skill.xml!C15</f>
        <v>1</v>
      </c>
      <c r="D11">
        <f>skill.xml!D15</f>
        <v>50</v>
      </c>
      <c r="E11">
        <f>skill.xml!E15</f>
        <v>300</v>
      </c>
      <c r="F11">
        <f>skill.xml!F15</f>
        <v>1</v>
      </c>
      <c r="G11">
        <f>skill.xml!G15</f>
        <v>10</v>
      </c>
      <c r="H11" t="str">
        <f>skill.xml!H15</f>
        <v>使自己狂暴，3回合内普通攻击100%暴击且免疫所有不良状态</v>
      </c>
      <c r="I11">
        <f>(2-R2)*0.8*3</f>
        <v>2.3280000000000003</v>
      </c>
      <c r="J11">
        <f>(2-1.3)*1.8*3</f>
        <v>3.7800000000000002</v>
      </c>
      <c r="K11">
        <v>0</v>
      </c>
      <c r="L11">
        <v>0</v>
      </c>
      <c r="M11">
        <v>0.25</v>
      </c>
      <c r="N11">
        <v>0</v>
      </c>
      <c r="O11" s="2">
        <f t="shared" si="1"/>
        <v>3.5540000000000003</v>
      </c>
      <c r="Q11" t="s">
        <v>135</v>
      </c>
      <c r="R11">
        <f>(LARGE(I2:I11,1)+LARGE(I2:I11,2)+LARGE(I2:I11,3)+LARGE(I2:I11,4)+R4*2)/6</f>
        <v>1.6980000000000002</v>
      </c>
      <c r="S11">
        <f>(LARGE(J2:J11,1)+LARGE(J2:J11,2)+LARGE(J2:J11,3)+LARGE(J2:J11,4)+S4*2)/6</f>
        <v>2.04</v>
      </c>
      <c r="T11">
        <f>AVERAGE(R11:S11)</f>
        <v>1.8690000000000002</v>
      </c>
    </row>
    <row r="12" spans="1:21" x14ac:dyDescent="0.15">
      <c r="A12">
        <f>skill.xml!A16</f>
        <v>11</v>
      </c>
      <c r="B12" t="str">
        <f>skill.xml!B16</f>
        <v>灵魂火符</v>
      </c>
      <c r="C12">
        <f>skill.xml!C16</f>
        <v>2</v>
      </c>
      <c r="D12">
        <f>skill.xml!D16</f>
        <v>5</v>
      </c>
      <c r="E12">
        <f>skill.xml!E16</f>
        <v>100</v>
      </c>
      <c r="F12">
        <f>skill.xml!F16</f>
        <v>1</v>
      </c>
      <c r="G12">
        <f>skill.xml!G16</f>
        <v>11</v>
      </c>
      <c r="H12" t="str">
        <f>skill.xml!H16</f>
        <v>进行一次普通攻击，50%概率使其中毒2回合，每回合减少当前生命值的4%</v>
      </c>
      <c r="I12">
        <f>1*R3+0.15</f>
        <v>1.3499999999999999</v>
      </c>
      <c r="J12">
        <f>1*S3+0.15</f>
        <v>1.94</v>
      </c>
      <c r="K12">
        <v>0.85</v>
      </c>
      <c r="L12">
        <v>0</v>
      </c>
      <c r="M12">
        <v>0</v>
      </c>
      <c r="N12">
        <v>0</v>
      </c>
      <c r="O12" s="2">
        <f t="shared" si="1"/>
        <v>1.9850000000000001</v>
      </c>
    </row>
    <row r="13" spans="1:21" x14ac:dyDescent="0.15">
      <c r="A13">
        <f>skill.xml!A17</f>
        <v>12</v>
      </c>
      <c r="B13" t="str">
        <f>skill.xml!B17</f>
        <v>气功波</v>
      </c>
      <c r="C13">
        <f>skill.xml!C17</f>
        <v>2</v>
      </c>
      <c r="D13">
        <f>skill.xml!D17</f>
        <v>10</v>
      </c>
      <c r="E13">
        <f>skill.xml!E17</f>
        <v>100</v>
      </c>
      <c r="F13">
        <f>skill.xml!F17</f>
        <v>1</v>
      </c>
      <c r="G13">
        <f>skill.xml!G17</f>
        <v>12</v>
      </c>
      <c r="H13" t="str">
        <f>skill.xml!H17</f>
        <v>对一名敌人进行一次普通攻击，50%的概率使其晕眩1回合</v>
      </c>
      <c r="I13">
        <f>1*R3</f>
        <v>1.2</v>
      </c>
      <c r="J13">
        <f>1*S3</f>
        <v>1.79</v>
      </c>
      <c r="K13">
        <v>0</v>
      </c>
      <c r="L13">
        <v>0</v>
      </c>
      <c r="M13">
        <v>0.5</v>
      </c>
      <c r="N13">
        <v>0</v>
      </c>
      <c r="O13" s="2">
        <f t="shared" si="1"/>
        <v>2.4950000000000001</v>
      </c>
    </row>
    <row r="14" spans="1:21" x14ac:dyDescent="0.15">
      <c r="A14">
        <f>skill.xml!A18</f>
        <v>13</v>
      </c>
      <c r="B14" t="str">
        <f>skill.xml!B18</f>
        <v>噬血术</v>
      </c>
      <c r="C14">
        <f>skill.xml!C18</f>
        <v>2</v>
      </c>
      <c r="D14">
        <f>skill.xml!D18</f>
        <v>15</v>
      </c>
      <c r="E14">
        <f>skill.xml!E18</f>
        <v>200</v>
      </c>
      <c r="F14">
        <f>skill.xml!F18</f>
        <v>1</v>
      </c>
      <c r="G14">
        <f>skill.xml!G18</f>
        <v>13</v>
      </c>
      <c r="H14" t="str">
        <f>skill.xml!H18</f>
        <v>对一名敌人造成100%的魔法伤害，并回复等值的生命值</v>
      </c>
      <c r="I14">
        <v>1</v>
      </c>
      <c r="J14">
        <v>1</v>
      </c>
      <c r="K14">
        <v>0</v>
      </c>
      <c r="L14">
        <v>0</v>
      </c>
      <c r="M14">
        <v>0</v>
      </c>
      <c r="N14">
        <v>1</v>
      </c>
      <c r="O14" s="2">
        <f t="shared" si="1"/>
        <v>1</v>
      </c>
    </row>
    <row r="15" spans="1:21" x14ac:dyDescent="0.15">
      <c r="A15">
        <f>skill.xml!A19</f>
        <v>14</v>
      </c>
      <c r="B15" t="str">
        <f>skill.xml!B19</f>
        <v>召唤骷髅</v>
      </c>
      <c r="C15">
        <f>skill.xml!C19</f>
        <v>2</v>
      </c>
      <c r="D15">
        <f>skill.xml!D19</f>
        <v>20</v>
      </c>
      <c r="E15">
        <f>skill.xml!E19</f>
        <v>200</v>
      </c>
      <c r="F15">
        <f>skill.xml!F19</f>
        <v>1</v>
      </c>
      <c r="G15">
        <f>skill.xml!G19</f>
        <v>14</v>
      </c>
      <c r="H15" t="str">
        <f>skill.xml!H19</f>
        <v>随机进行普通攻击两次，可作用于同一个敌人</v>
      </c>
      <c r="I15">
        <f>2*R3</f>
        <v>2.4</v>
      </c>
      <c r="J15">
        <f>2*S3</f>
        <v>3.58</v>
      </c>
      <c r="K15">
        <v>0</v>
      </c>
      <c r="L15">
        <v>0</v>
      </c>
      <c r="M15">
        <v>0</v>
      </c>
      <c r="N15">
        <v>0</v>
      </c>
      <c r="O15" s="2">
        <f t="shared" si="1"/>
        <v>2.99</v>
      </c>
    </row>
    <row r="16" spans="1:21" x14ac:dyDescent="0.15">
      <c r="A16">
        <f>skill.xml!A20</f>
        <v>15</v>
      </c>
      <c r="B16" t="str">
        <f>skill.xml!B20</f>
        <v>无极真气</v>
      </c>
      <c r="C16">
        <f>skill.xml!C20</f>
        <v>2</v>
      </c>
      <c r="D16">
        <f>skill.xml!D20</f>
        <v>25</v>
      </c>
      <c r="E16">
        <f>skill.xml!E20</f>
        <v>200</v>
      </c>
      <c r="F16">
        <f>skill.xml!F20</f>
        <v>1</v>
      </c>
      <c r="G16">
        <f>skill.xml!G20</f>
        <v>15</v>
      </c>
      <c r="H16" t="str">
        <f>skill.xml!H20</f>
        <v>使自己之后3回合普通攻击附加伤害50%的魔法伤害</v>
      </c>
      <c r="I16">
        <f>(I15*2)*0.4</f>
        <v>1.92</v>
      </c>
      <c r="J16">
        <f>(J15*2)*0.4</f>
        <v>2.8640000000000003</v>
      </c>
      <c r="K16">
        <v>0</v>
      </c>
      <c r="L16">
        <v>0</v>
      </c>
      <c r="M16">
        <v>0</v>
      </c>
      <c r="N16">
        <v>0</v>
      </c>
      <c r="O16" s="2">
        <f t="shared" si="1"/>
        <v>2.3920000000000003</v>
      </c>
    </row>
    <row r="17" spans="1:22" x14ac:dyDescent="0.15">
      <c r="A17">
        <f>skill.xml!A21</f>
        <v>16</v>
      </c>
      <c r="B17" t="str">
        <f>skill.xml!B21</f>
        <v>召唤神兽</v>
      </c>
      <c r="C17">
        <f>skill.xml!C21</f>
        <v>2</v>
      </c>
      <c r="D17">
        <f>skill.xml!D21</f>
        <v>30</v>
      </c>
      <c r="E17">
        <f>skill.xml!E21</f>
        <v>150</v>
      </c>
      <c r="F17">
        <f>skill.xml!F21</f>
        <v>1</v>
      </c>
      <c r="G17">
        <f>skill.xml!G21</f>
        <v>16</v>
      </c>
      <c r="H17" t="str">
        <f>skill.xml!H21</f>
        <v>对一名敌人进行一次普通攻击，降低对手70%的命中3回合</v>
      </c>
      <c r="I17">
        <f>1*R3</f>
        <v>1.2</v>
      </c>
      <c r="J17">
        <f>1*S3</f>
        <v>1.79</v>
      </c>
      <c r="K17">
        <v>0</v>
      </c>
      <c r="L17">
        <v>0</v>
      </c>
      <c r="M17">
        <v>0</v>
      </c>
      <c r="N17">
        <v>0</v>
      </c>
      <c r="O17" s="2">
        <f t="shared" si="1"/>
        <v>1.4950000000000001</v>
      </c>
    </row>
    <row r="18" spans="1:22" x14ac:dyDescent="0.15">
      <c r="A18">
        <f>skill.xml!A22</f>
        <v>17</v>
      </c>
      <c r="B18" t="str">
        <f>skill.xml!B22</f>
        <v>精神力战法</v>
      </c>
      <c r="C18">
        <f>skill.xml!C22</f>
        <v>2</v>
      </c>
      <c r="D18">
        <f>skill.xml!D22</f>
        <v>35</v>
      </c>
      <c r="E18">
        <f>skill.xml!E22</f>
        <v>400</v>
      </c>
      <c r="F18">
        <f>skill.xml!F22</f>
        <v>1</v>
      </c>
      <c r="G18">
        <f>skill.xml!G22</f>
        <v>17</v>
      </c>
      <c r="H18" t="str">
        <f>skill.xml!H22</f>
        <v>提升自己的100%的伤害，持续2回合</v>
      </c>
      <c r="I18">
        <f>(I15*2)*0.6</f>
        <v>2.88</v>
      </c>
      <c r="J18">
        <f>(J15*2)*0.6</f>
        <v>4.2960000000000003</v>
      </c>
      <c r="K18">
        <v>0</v>
      </c>
      <c r="L18">
        <v>0</v>
      </c>
      <c r="M18">
        <v>0</v>
      </c>
      <c r="N18">
        <v>0</v>
      </c>
      <c r="O18" s="2">
        <f t="shared" si="1"/>
        <v>3.5880000000000001</v>
      </c>
    </row>
    <row r="19" spans="1:22" x14ac:dyDescent="0.15">
      <c r="A19">
        <f>skill.xml!A23</f>
        <v>18</v>
      </c>
      <c r="B19" t="str">
        <f>skill.xml!B23</f>
        <v>施毒术</v>
      </c>
      <c r="C19">
        <f>skill.xml!C23</f>
        <v>2</v>
      </c>
      <c r="D19">
        <f>skill.xml!D23</f>
        <v>40</v>
      </c>
      <c r="E19">
        <f>skill.xml!E23</f>
        <v>300</v>
      </c>
      <c r="F19">
        <f>skill.xml!F23</f>
        <v>1</v>
      </c>
      <c r="G19">
        <f>skill.xml!G23</f>
        <v>18</v>
      </c>
      <c r="H19" t="str">
        <f>skill.xml!H23</f>
        <v>使三名敌人中毒3回合，每回合减少当前生命值的4%</v>
      </c>
      <c r="I19">
        <v>0.3</v>
      </c>
      <c r="J19">
        <v>0.3</v>
      </c>
      <c r="K19">
        <v>2.7</v>
      </c>
      <c r="L19">
        <v>0</v>
      </c>
      <c r="M19">
        <v>0</v>
      </c>
      <c r="N19">
        <v>0</v>
      </c>
      <c r="O19" s="2">
        <f t="shared" si="1"/>
        <v>1.3800000000000001</v>
      </c>
    </row>
    <row r="20" spans="1:22" x14ac:dyDescent="0.15">
      <c r="A20">
        <f>skill.xml!A24</f>
        <v>19</v>
      </c>
      <c r="B20" t="str">
        <f>skill.xml!B24</f>
        <v>困兽咒</v>
      </c>
      <c r="C20">
        <f>skill.xml!C24</f>
        <v>2</v>
      </c>
      <c r="D20">
        <f>skill.xml!D24</f>
        <v>45</v>
      </c>
      <c r="E20">
        <f>skill.xml!E24</f>
        <v>200</v>
      </c>
      <c r="F20">
        <f>skill.xml!F24</f>
        <v>1</v>
      </c>
      <c r="G20">
        <f>skill.xml!G24</f>
        <v>19</v>
      </c>
      <c r="H20" t="str">
        <f>skill.xml!H24</f>
        <v>对一名敌人进行一次普通攻击，50%概率使其无法使用法术3回合</v>
      </c>
      <c r="I20">
        <f>1*R3</f>
        <v>1.2</v>
      </c>
      <c r="J20">
        <f>1*S3</f>
        <v>1.79</v>
      </c>
      <c r="K20">
        <v>0</v>
      </c>
      <c r="L20">
        <v>0</v>
      </c>
      <c r="M20">
        <v>0.75</v>
      </c>
      <c r="N20">
        <v>0</v>
      </c>
      <c r="O20" s="2">
        <f t="shared" si="1"/>
        <v>2.9950000000000001</v>
      </c>
      <c r="R20" t="s">
        <v>133</v>
      </c>
      <c r="S20" t="s">
        <v>134</v>
      </c>
    </row>
    <row r="21" spans="1:22" x14ac:dyDescent="0.15">
      <c r="A21">
        <f>skill.xml!A25</f>
        <v>20</v>
      </c>
      <c r="B21" t="str">
        <f>skill.xml!B25</f>
        <v>隐身术</v>
      </c>
      <c r="C21">
        <f>skill.xml!C25</f>
        <v>2</v>
      </c>
      <c r="D21">
        <f>skill.xml!D25</f>
        <v>50</v>
      </c>
      <c r="E21">
        <f>skill.xml!E25</f>
        <v>250</v>
      </c>
      <c r="F21">
        <f>skill.xml!F25</f>
        <v>1</v>
      </c>
      <c r="G21">
        <f>skill.xml!G25</f>
        <v>20</v>
      </c>
      <c r="H21" t="str">
        <f>skill.xml!H25</f>
        <v>使自己进入隐形状态，只会受到范围攻击伤害，持续2回合</v>
      </c>
      <c r="I21">
        <v>0</v>
      </c>
      <c r="J21">
        <v>0</v>
      </c>
      <c r="K21">
        <v>0</v>
      </c>
      <c r="L21">
        <v>2</v>
      </c>
      <c r="M21">
        <v>0</v>
      </c>
      <c r="N21">
        <v>0</v>
      </c>
      <c r="O21" s="2">
        <f t="shared" si="1"/>
        <v>3</v>
      </c>
      <c r="Q21" t="s">
        <v>136</v>
      </c>
      <c r="R21">
        <f>(LARGE(I13:I21,1)+LARGE(I13:I21,2)+LARGE(I13:I21,3)+LARGE(I13:I21,4)+2*R3)/6</f>
        <v>1.7999999999999998</v>
      </c>
      <c r="S21">
        <f>(LARGE(J13:J21,1)+LARGE(J13:J21,2)+LARGE(J13:J21,3)+LARGE(J13:J21,4)+2*S3)/6</f>
        <v>2.6850000000000001</v>
      </c>
      <c r="T21">
        <f>AVERAGE(R21:S21)</f>
        <v>2.2424999999999997</v>
      </c>
      <c r="V21">
        <f>T21/T11</f>
        <v>1.19983948635634</v>
      </c>
    </row>
    <row r="22" spans="1:22" x14ac:dyDescent="0.15">
      <c r="A22">
        <f>skill.xml!A26</f>
        <v>21</v>
      </c>
      <c r="B22" t="str">
        <f>skill.xml!B26</f>
        <v>火球术</v>
      </c>
      <c r="C22">
        <f>skill.xml!C26</f>
        <v>3</v>
      </c>
      <c r="D22">
        <f>skill.xml!D26</f>
        <v>5</v>
      </c>
      <c r="E22">
        <f>skill.xml!E26</f>
        <v>100</v>
      </c>
      <c r="F22">
        <f>skill.xml!F26</f>
        <v>1</v>
      </c>
      <c r="G22">
        <f>skill.xml!G26</f>
        <v>21</v>
      </c>
      <c r="H22" t="str">
        <f>skill.xml!H26</f>
        <v>对一名敌人造成200%的魔法伤害</v>
      </c>
      <c r="I22">
        <v>2</v>
      </c>
      <c r="J22">
        <v>2</v>
      </c>
      <c r="K22">
        <v>0</v>
      </c>
      <c r="L22">
        <v>0</v>
      </c>
      <c r="M22">
        <v>0</v>
      </c>
      <c r="N22">
        <v>0</v>
      </c>
      <c r="O22" s="2">
        <f t="shared" si="1"/>
        <v>2</v>
      </c>
    </row>
    <row r="23" spans="1:22" x14ac:dyDescent="0.15">
      <c r="A23">
        <f>skill.xml!A27</f>
        <v>22</v>
      </c>
      <c r="B23" t="str">
        <f>skill.xml!B27</f>
        <v>雷电术</v>
      </c>
      <c r="C23">
        <f>skill.xml!C27</f>
        <v>3</v>
      </c>
      <c r="D23">
        <f>skill.xml!D27</f>
        <v>10</v>
      </c>
      <c r="E23">
        <f>skill.xml!E27</f>
        <v>150</v>
      </c>
      <c r="F23">
        <f>skill.xml!F27</f>
        <v>1</v>
      </c>
      <c r="G23">
        <f>skill.xml!G27</f>
        <v>22</v>
      </c>
      <c r="H23" t="str">
        <f>skill.xml!H27</f>
        <v>对一名敌人造成150%的魔法伤害，降低其50%的伤害1回合</v>
      </c>
      <c r="I23">
        <v>1.5</v>
      </c>
      <c r="J23">
        <v>1.5</v>
      </c>
      <c r="K23">
        <v>0</v>
      </c>
      <c r="L23">
        <v>0.5</v>
      </c>
      <c r="M23">
        <v>0</v>
      </c>
      <c r="N23">
        <v>0</v>
      </c>
      <c r="O23" s="2">
        <f t="shared" si="1"/>
        <v>2.25</v>
      </c>
    </row>
    <row r="24" spans="1:22" x14ac:dyDescent="0.15">
      <c r="A24">
        <f>skill.xml!A28</f>
        <v>23</v>
      </c>
      <c r="B24" t="str">
        <f>skill.xml!B28</f>
        <v>玄冰盾</v>
      </c>
      <c r="C24">
        <f>skill.xml!C28</f>
        <v>3</v>
      </c>
      <c r="D24">
        <f>skill.xml!D28</f>
        <v>15</v>
      </c>
      <c r="E24">
        <f>skill.xml!E28</f>
        <v>200</v>
      </c>
      <c r="F24">
        <f>skill.xml!F28</f>
        <v>1</v>
      </c>
      <c r="G24">
        <f>skill.xml!G28</f>
        <v>23</v>
      </c>
      <c r="H24" t="str">
        <f>skill.xml!H28</f>
        <v>给我方两人套上冰甲，3回合内受到普通攻击时80%的概率冻结攻击方1回合</v>
      </c>
      <c r="I24">
        <v>0</v>
      </c>
      <c r="J24">
        <v>0</v>
      </c>
      <c r="K24">
        <v>0</v>
      </c>
      <c r="L24">
        <v>0</v>
      </c>
      <c r="M24">
        <v>1.5</v>
      </c>
      <c r="N24">
        <v>0</v>
      </c>
      <c r="O24" s="2">
        <f t="shared" si="1"/>
        <v>3</v>
      </c>
    </row>
    <row r="25" spans="1:22" x14ac:dyDescent="0.15">
      <c r="A25">
        <f>skill.xml!A29</f>
        <v>24</v>
      </c>
      <c r="B25" t="str">
        <f>skill.xml!B29</f>
        <v>火墙</v>
      </c>
      <c r="C25">
        <f>skill.xml!C29</f>
        <v>3</v>
      </c>
      <c r="D25">
        <f>skill.xml!D29</f>
        <v>20</v>
      </c>
      <c r="E25">
        <f>skill.xml!E29</f>
        <v>200</v>
      </c>
      <c r="F25">
        <f>skill.xml!F29</f>
        <v>1</v>
      </c>
      <c r="G25">
        <f>skill.xml!G29</f>
        <v>24</v>
      </c>
      <c r="H25" t="str">
        <f>skill.xml!H29</f>
        <v>对三名敌人造成150%的魔法伤害</v>
      </c>
      <c r="I25">
        <v>1.5</v>
      </c>
      <c r="J25">
        <v>1.5</v>
      </c>
      <c r="K25">
        <v>0</v>
      </c>
      <c r="L25">
        <v>0</v>
      </c>
      <c r="M25">
        <v>0</v>
      </c>
      <c r="N25">
        <v>0</v>
      </c>
      <c r="O25" s="2">
        <f t="shared" si="1"/>
        <v>1.5</v>
      </c>
    </row>
    <row r="26" spans="1:22" x14ac:dyDescent="0.15">
      <c r="A26">
        <f>skill.xml!A30</f>
        <v>26</v>
      </c>
      <c r="B26" t="str">
        <f>skill.xml!B30</f>
        <v>冰咆哮</v>
      </c>
      <c r="C26">
        <f>skill.xml!C30</f>
        <v>3</v>
      </c>
      <c r="D26">
        <f>skill.xml!D30</f>
        <v>25</v>
      </c>
      <c r="E26">
        <f>skill.xml!E30</f>
        <v>250</v>
      </c>
      <c r="F26">
        <f>skill.xml!F30</f>
        <v>1</v>
      </c>
      <c r="G26">
        <f>skill.xml!G30</f>
        <v>26</v>
      </c>
      <c r="H26" t="str">
        <f>skill.xml!H30</f>
        <v>对三名敌人造成100%的魔法伤害，50%降低其50%的伤害2回合</v>
      </c>
      <c r="I26">
        <v>1</v>
      </c>
      <c r="J26">
        <v>1</v>
      </c>
      <c r="K26">
        <v>0</v>
      </c>
      <c r="L26">
        <v>0.5</v>
      </c>
      <c r="M26">
        <v>0</v>
      </c>
      <c r="N26">
        <v>0</v>
      </c>
      <c r="O26" s="2">
        <f t="shared" si="1"/>
        <v>1.75</v>
      </c>
    </row>
    <row r="27" spans="1:22" x14ac:dyDescent="0.15">
      <c r="A27">
        <f>skill.xml!A31</f>
        <v>30</v>
      </c>
      <c r="B27" t="str">
        <f>skill.xml!B31</f>
        <v>魔法盾</v>
      </c>
      <c r="C27">
        <f>skill.xml!C31</f>
        <v>3</v>
      </c>
      <c r="D27">
        <f>skill.xml!D31</f>
        <v>30</v>
      </c>
      <c r="E27">
        <f>skill.xml!E31</f>
        <v>0</v>
      </c>
      <c r="F27">
        <f>skill.xml!F31</f>
        <v>1</v>
      </c>
      <c r="G27">
        <f>skill.xml!G31</f>
        <v>30</v>
      </c>
      <c r="H27" t="str">
        <f>skill.xml!H31</f>
        <v>给自己施加魔法护盾，每1点魔法值抵消5点伤害，持续2回合</v>
      </c>
      <c r="I27">
        <v>0</v>
      </c>
      <c r="J27">
        <v>0</v>
      </c>
      <c r="K27">
        <v>0</v>
      </c>
      <c r="L27">
        <v>2</v>
      </c>
      <c r="M27">
        <v>0</v>
      </c>
      <c r="N27">
        <v>0</v>
      </c>
      <c r="O27" s="2">
        <f t="shared" si="1"/>
        <v>3</v>
      </c>
      <c r="Q27" t="s">
        <v>137</v>
      </c>
      <c r="R27">
        <f>(LARGE(I22:I31,1)+LARGE(I22:I31,2)+LARGE(I22:I31,3)+LARGE(I22:I31,4)+2*R4)/6</f>
        <v>1.99</v>
      </c>
      <c r="S27">
        <f>(LARGE(I22:I31,1)+LARGE(I22:I31,2)+LARGE(I22:I31,3)+LARGE(I22:I31,4)+2*S4)/6</f>
        <v>2.09</v>
      </c>
      <c r="T27">
        <f>AVERAGE(R27:S27)</f>
        <v>2.04</v>
      </c>
      <c r="V27">
        <f>T27/T11</f>
        <v>1.0914927768860352</v>
      </c>
    </row>
    <row r="28" spans="1:22" x14ac:dyDescent="0.15">
      <c r="A28">
        <f>skill.xml!A32</f>
        <v>27</v>
      </c>
      <c r="B28" t="str">
        <f>skill.xml!B32</f>
        <v>聚能冲击</v>
      </c>
      <c r="C28">
        <f>skill.xml!C32</f>
        <v>3</v>
      </c>
      <c r="D28">
        <f>skill.xml!D32</f>
        <v>35</v>
      </c>
      <c r="E28">
        <f>skill.xml!E32</f>
        <v>100</v>
      </c>
      <c r="F28">
        <f>skill.xml!F32</f>
        <v>1</v>
      </c>
      <c r="G28">
        <f>skill.xml!G32</f>
        <v>27</v>
      </c>
      <c r="H28" t="str">
        <f>skill.xml!H32</f>
        <v>造成175%的魔法伤害，每次施放会提高聚能冲击125%魔法伤害和500魔法消耗</v>
      </c>
      <c r="I28">
        <v>2.38</v>
      </c>
      <c r="J28">
        <v>2.38</v>
      </c>
      <c r="K28">
        <v>1.87</v>
      </c>
      <c r="L28">
        <v>0</v>
      </c>
      <c r="M28">
        <v>0</v>
      </c>
      <c r="N28">
        <v>0</v>
      </c>
      <c r="O28" s="2">
        <f t="shared" si="1"/>
        <v>3.1280000000000001</v>
      </c>
    </row>
    <row r="29" spans="1:22" x14ac:dyDescent="0.15">
      <c r="A29">
        <f>skill.xml!A33</f>
        <v>25</v>
      </c>
      <c r="B29" t="str">
        <f>skill.xml!B33</f>
        <v>圣言术</v>
      </c>
      <c r="C29">
        <f>skill.xml!C33</f>
        <v>3</v>
      </c>
      <c r="D29">
        <f>skill.xml!D33</f>
        <v>40</v>
      </c>
      <c r="E29">
        <f>skill.xml!E33</f>
        <v>0</v>
      </c>
      <c r="F29">
        <f>skill.xml!F33</f>
        <v>1</v>
      </c>
      <c r="G29">
        <f>skill.xml!G33</f>
        <v>25</v>
      </c>
      <c r="H29" t="str">
        <f>skill.xml!H33</f>
        <v>回复自己12%的最大魔法值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s="2">
        <f t="shared" si="1"/>
        <v>0</v>
      </c>
    </row>
    <row r="30" spans="1:22" x14ac:dyDescent="0.15">
      <c r="A30">
        <f>skill.xml!A34</f>
        <v>28</v>
      </c>
      <c r="B30" t="str">
        <f>skill.xml!B34</f>
        <v>爆裂火焰</v>
      </c>
      <c r="C30">
        <f>skill.xml!C34</f>
        <v>3</v>
      </c>
      <c r="D30">
        <f>skill.xml!D34</f>
        <v>45</v>
      </c>
      <c r="E30">
        <f>skill.xml!E34</f>
        <v>350</v>
      </c>
      <c r="F30">
        <f>skill.xml!F34</f>
        <v>1</v>
      </c>
      <c r="G30">
        <f>skill.xml!G34</f>
        <v>28</v>
      </c>
      <c r="H30" t="str">
        <f>skill.xml!H34</f>
        <v>立刻对三名敌人造成100%的魔法伤害，之后3回合每回合造成50%的魔法伤害</v>
      </c>
      <c r="I30">
        <v>2.5</v>
      </c>
      <c r="J30">
        <v>2.5</v>
      </c>
      <c r="K30">
        <v>0</v>
      </c>
      <c r="L30">
        <v>0</v>
      </c>
      <c r="M30">
        <v>0</v>
      </c>
      <c r="N30">
        <v>0</v>
      </c>
      <c r="O30" s="2">
        <f t="shared" si="1"/>
        <v>2.5</v>
      </c>
    </row>
    <row r="31" spans="1:22" x14ac:dyDescent="0.15">
      <c r="A31">
        <f>skill.xml!A35</f>
        <v>29</v>
      </c>
      <c r="B31" t="str">
        <f>skill.xml!B35</f>
        <v>大火球</v>
      </c>
      <c r="C31">
        <f>skill.xml!C35</f>
        <v>3</v>
      </c>
      <c r="D31">
        <f>skill.xml!D35</f>
        <v>50</v>
      </c>
      <c r="E31">
        <f>skill.xml!E35</f>
        <v>250</v>
      </c>
      <c r="F31">
        <f>skill.xml!F35</f>
        <v>1</v>
      </c>
      <c r="G31">
        <f>skill.xml!G35</f>
        <v>29</v>
      </c>
      <c r="H31" t="str">
        <f>skill.xml!H35</f>
        <v>对一个敌人造成300%的魔法伤害</v>
      </c>
      <c r="I31">
        <v>3</v>
      </c>
      <c r="J31">
        <v>3</v>
      </c>
      <c r="K31">
        <v>0</v>
      </c>
      <c r="L31">
        <v>0</v>
      </c>
      <c r="M31">
        <v>0</v>
      </c>
      <c r="N31">
        <v>0</v>
      </c>
      <c r="O31" s="2">
        <f t="shared" si="1"/>
        <v>3</v>
      </c>
      <c r="R31" t="s">
        <v>133</v>
      </c>
      <c r="S31" t="s">
        <v>134</v>
      </c>
    </row>
  </sheetData>
  <phoneticPr fontId="7" type="noConversion"/>
  <conditionalFormatting sqref="O2:O31">
    <cfRule type="cellIs" dxfId="1" priority="1" stopIfTrue="1" operator="greaterThan">
      <formula>2.5</formula>
    </cfRule>
    <cfRule type="cellIs" dxfId="0" priority="2" stopIfTrue="1" operator="lessThan">
      <formula>1.5</formula>
    </cfRule>
  </conditionalFormatting>
  <pageMargins left="0.69930555555555596" right="0.69930555555555596" top="0.75" bottom="0.75" header="0.3" footer="0.3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skill.xml</vt:lpstr>
      <vt:lpstr>前端配置</vt:lpstr>
      <vt:lpstr>平衡计算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2022-05-27T08:28:51Z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2052-9.1.0.4866</vt:lpwstr>
  </property>
</Properties>
</file>