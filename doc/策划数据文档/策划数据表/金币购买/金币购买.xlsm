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9200" windowHeight="11640"/>
  </bookViews>
  <sheets>
    <sheet name="shopBuyCoinLevel.xml" sheetId="4" r:id="rId1"/>
    <sheet name="shopBuyCoinCfg.xml" sheetId="1" r:id="rId2"/>
    <sheet name="Sheet2" sheetId="2" r:id="rId3"/>
    <sheet name="Sheet3" sheetId="3" r:id="rId4"/>
  </sheets>
  <functionGroups/>
  <externalReferences>
    <externalReference r:id="rId5"/>
  </externalReferences>
  <calcPr calcId="124519"/>
</workbook>
</file>

<file path=xl/calcChain.xml><?xml version="1.0" encoding="utf-8"?>
<calcChain xmlns="http://schemas.openxmlformats.org/spreadsheetml/2006/main">
  <c r="D7" i="4"/>
  <c r="D8"/>
  <c r="D9"/>
  <c r="D10"/>
  <c r="D11"/>
  <c r="B11" s="1"/>
  <c r="D12"/>
  <c r="D13"/>
  <c r="D14"/>
  <c r="D15"/>
  <c r="B15" s="1"/>
  <c r="D16"/>
  <c r="D17"/>
  <c r="D18"/>
  <c r="D19"/>
  <c r="B19" s="1"/>
  <c r="D20"/>
  <c r="D21"/>
  <c r="D22"/>
  <c r="D23"/>
  <c r="D24"/>
  <c r="B24" s="1"/>
  <c r="D25"/>
  <c r="D26"/>
  <c r="D27"/>
  <c r="B27" s="1"/>
  <c r="D28"/>
  <c r="B28" s="1"/>
  <c r="D29"/>
  <c r="D30"/>
  <c r="D31"/>
  <c r="B31" s="1"/>
  <c r="D32"/>
  <c r="B32" s="1"/>
  <c r="D33"/>
  <c r="D34"/>
  <c r="D35"/>
  <c r="B35" s="1"/>
  <c r="D36"/>
  <c r="B36" s="1"/>
  <c r="D37"/>
  <c r="D38"/>
  <c r="D39"/>
  <c r="D40"/>
  <c r="B40" s="1"/>
  <c r="D41"/>
  <c r="D42"/>
  <c r="D43"/>
  <c r="B43" s="1"/>
  <c r="D44"/>
  <c r="D45"/>
  <c r="D46"/>
  <c r="D47"/>
  <c r="B47" s="1"/>
  <c r="D48"/>
  <c r="B48" s="1"/>
  <c r="D49"/>
  <c r="D50"/>
  <c r="D51"/>
  <c r="B51" s="1"/>
  <c r="D52"/>
  <c r="D53"/>
  <c r="D54"/>
  <c r="D55"/>
  <c r="D56"/>
  <c r="D57"/>
  <c r="D58"/>
  <c r="D59"/>
  <c r="B59" s="1"/>
  <c r="D60"/>
  <c r="B60" s="1"/>
  <c r="D61"/>
  <c r="D62"/>
  <c r="D63"/>
  <c r="B63" s="1"/>
  <c r="D64"/>
  <c r="D65"/>
  <c r="D66"/>
  <c r="D67"/>
  <c r="B67" s="1"/>
  <c r="D68"/>
  <c r="B68" s="1"/>
  <c r="D69"/>
  <c r="D70"/>
  <c r="D71"/>
  <c r="D72"/>
  <c r="D73"/>
  <c r="D74"/>
  <c r="B74" s="1"/>
  <c r="D75"/>
  <c r="B75" s="1"/>
  <c r="D76"/>
  <c r="D77"/>
  <c r="D78"/>
  <c r="D79"/>
  <c r="B79" s="1"/>
  <c r="D80"/>
  <c r="D81"/>
  <c r="D82"/>
  <c r="B82" s="1"/>
  <c r="D83"/>
  <c r="B83" s="1"/>
  <c r="D84"/>
  <c r="D85"/>
  <c r="D86"/>
  <c r="D87"/>
  <c r="D88"/>
  <c r="B88" s="1"/>
  <c r="D89"/>
  <c r="D90"/>
  <c r="D91"/>
  <c r="B91" s="1"/>
  <c r="D92"/>
  <c r="B92" s="1"/>
  <c r="D93"/>
  <c r="D94"/>
  <c r="B94" s="1"/>
  <c r="D95"/>
  <c r="B95" s="1"/>
  <c r="D96"/>
  <c r="B96" s="1"/>
  <c r="D97"/>
  <c r="D98"/>
  <c r="D99"/>
  <c r="B99" s="1"/>
  <c r="D100"/>
  <c r="B100" s="1"/>
  <c r="D101"/>
  <c r="D102"/>
  <c r="D103"/>
  <c r="D104"/>
  <c r="B104" s="1"/>
  <c r="D105"/>
  <c r="D6"/>
  <c r="B6"/>
  <c r="B8"/>
  <c r="B9"/>
  <c r="B13"/>
  <c r="B16"/>
  <c r="B17"/>
  <c r="B18"/>
  <c r="B25"/>
  <c r="B26"/>
  <c r="B29"/>
  <c r="B33"/>
  <c r="B34"/>
  <c r="B41"/>
  <c r="B42"/>
  <c r="B45"/>
  <c r="B49"/>
  <c r="B50"/>
  <c r="B56"/>
  <c r="B57"/>
  <c r="B58"/>
  <c r="B61"/>
  <c r="B64"/>
  <c r="B65"/>
  <c r="B66"/>
  <c r="B72"/>
  <c r="B73"/>
  <c r="B77"/>
  <c r="B80"/>
  <c r="B81"/>
  <c r="B89"/>
  <c r="B90"/>
  <c r="B93"/>
  <c r="B97"/>
  <c r="B98"/>
  <c r="B105"/>
  <c r="B12"/>
  <c r="B20"/>
  <c r="B44"/>
  <c r="B52"/>
  <c r="B76"/>
  <c r="B84"/>
  <c r="B7"/>
  <c r="B23"/>
  <c r="B39"/>
  <c r="B55"/>
  <c r="B71"/>
  <c r="B87"/>
  <c r="B103"/>
  <c r="D7" i="3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6"/>
  <c r="B10" i="4"/>
  <c r="B14"/>
  <c r="B21"/>
  <c r="B22"/>
  <c r="B30"/>
  <c r="B37"/>
  <c r="B38"/>
  <c r="B46"/>
  <c r="B53"/>
  <c r="B54"/>
  <c r="B62"/>
  <c r="B69"/>
  <c r="B70"/>
  <c r="B78"/>
  <c r="B85"/>
  <c r="B86"/>
  <c r="B101"/>
  <c r="B102"/>
  <c r="T7" i="3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6"/>
  <c r="I7" i="2" l="1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6"/>
  <c r="Q7" i="3"/>
  <c r="Q8" s="1"/>
  <c r="Q9" s="1"/>
  <c r="Q10" s="1"/>
  <c r="Q11" s="1"/>
  <c r="Q12" s="1"/>
  <c r="Q13" s="1"/>
  <c r="Q14" s="1"/>
  <c r="Q15" s="1"/>
  <c r="Q16" s="1"/>
  <c r="Q17" s="1"/>
  <c r="Q18" s="1"/>
  <c r="Q19" s="1"/>
  <c r="I6"/>
  <c r="I7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8"/>
  <c r="G7" i="2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6"/>
  <c r="G105" i="3"/>
  <c r="H105" s="1"/>
  <c r="G104"/>
  <c r="H104" s="1"/>
  <c r="G103"/>
  <c r="H103" s="1"/>
  <c r="G102"/>
  <c r="H102" s="1"/>
  <c r="G101"/>
  <c r="H101" s="1"/>
  <c r="G100"/>
  <c r="H100" s="1"/>
  <c r="G99"/>
  <c r="H99" s="1"/>
  <c r="G98"/>
  <c r="H98" s="1"/>
  <c r="G97"/>
  <c r="H97" s="1"/>
  <c r="G96"/>
  <c r="H96" s="1"/>
  <c r="G95"/>
  <c r="H95" s="1"/>
  <c r="G94"/>
  <c r="H94" s="1"/>
  <c r="G93"/>
  <c r="H93" s="1"/>
  <c r="G92"/>
  <c r="H92" s="1"/>
  <c r="G91"/>
  <c r="H91" s="1"/>
  <c r="G90"/>
  <c r="H90" s="1"/>
  <c r="G89"/>
  <c r="H89" s="1"/>
  <c r="G88"/>
  <c r="H88" s="1"/>
  <c r="G87"/>
  <c r="H87" s="1"/>
  <c r="G86"/>
  <c r="H86" s="1"/>
  <c r="G85"/>
  <c r="H85" s="1"/>
  <c r="G84"/>
  <c r="H84" s="1"/>
  <c r="G83"/>
  <c r="H83" s="1"/>
  <c r="G82"/>
  <c r="H82" s="1"/>
  <c r="G81"/>
  <c r="H81" s="1"/>
  <c r="G80"/>
  <c r="H80" s="1"/>
  <c r="G79"/>
  <c r="H79" s="1"/>
  <c r="G78"/>
  <c r="H78" s="1"/>
  <c r="G77"/>
  <c r="H77" s="1"/>
  <c r="G76"/>
  <c r="H76" s="1"/>
  <c r="G75"/>
  <c r="H75" s="1"/>
  <c r="G74"/>
  <c r="H74" s="1"/>
  <c r="G73"/>
  <c r="H73" s="1"/>
  <c r="G72"/>
  <c r="H72" s="1"/>
  <c r="G71"/>
  <c r="H71" s="1"/>
  <c r="G70"/>
  <c r="H70" s="1"/>
  <c r="G69"/>
  <c r="H69" s="1"/>
  <c r="G68"/>
  <c r="H68" s="1"/>
  <c r="G67"/>
  <c r="H67" s="1"/>
  <c r="G66"/>
  <c r="H66" s="1"/>
  <c r="G65"/>
  <c r="H65" s="1"/>
  <c r="G64"/>
  <c r="H64" s="1"/>
  <c r="G63"/>
  <c r="H63" s="1"/>
  <c r="G62"/>
  <c r="H62" s="1"/>
  <c r="G61"/>
  <c r="H61" s="1"/>
  <c r="G60"/>
  <c r="H60" s="1"/>
  <c r="G59"/>
  <c r="H59" s="1"/>
  <c r="G58"/>
  <c r="H58" s="1"/>
  <c r="G57"/>
  <c r="H57" s="1"/>
  <c r="G56"/>
  <c r="H56" s="1"/>
  <c r="G55"/>
  <c r="H55" s="1"/>
  <c r="G54"/>
  <c r="H54" s="1"/>
  <c r="G53"/>
  <c r="H53" s="1"/>
  <c r="G52"/>
  <c r="H52" s="1"/>
  <c r="G51"/>
  <c r="H51" s="1"/>
  <c r="G50"/>
  <c r="H50" s="1"/>
  <c r="G49"/>
  <c r="H49" s="1"/>
  <c r="G48"/>
  <c r="H48" s="1"/>
  <c r="G47"/>
  <c r="H47" s="1"/>
  <c r="G46"/>
  <c r="H46" s="1"/>
  <c r="G45"/>
  <c r="H45" s="1"/>
  <c r="G44"/>
  <c r="H44" s="1"/>
  <c r="G43"/>
  <c r="H43" s="1"/>
  <c r="G42"/>
  <c r="H42" s="1"/>
  <c r="G41"/>
  <c r="H41" s="1"/>
  <c r="G40"/>
  <c r="H40" s="1"/>
  <c r="G39"/>
  <c r="H39" s="1"/>
  <c r="G38"/>
  <c r="H38" s="1"/>
  <c r="G37"/>
  <c r="H37" s="1"/>
  <c r="G36"/>
  <c r="H36" s="1"/>
  <c r="G35"/>
  <c r="H35" s="1"/>
  <c r="G34"/>
  <c r="H34" s="1"/>
  <c r="G33"/>
  <c r="H33" s="1"/>
  <c r="G32"/>
  <c r="H32" s="1"/>
  <c r="G31"/>
  <c r="H31" s="1"/>
  <c r="G30"/>
  <c r="H30" s="1"/>
  <c r="G29"/>
  <c r="H29" s="1"/>
  <c r="G28"/>
  <c r="H28" s="1"/>
  <c r="G27"/>
  <c r="H27" s="1"/>
  <c r="G26"/>
  <c r="H26" s="1"/>
  <c r="G25"/>
  <c r="H25" s="1"/>
  <c r="G24"/>
  <c r="H24" s="1"/>
  <c r="G23"/>
  <c r="H23" s="1"/>
  <c r="G22"/>
  <c r="H22" s="1"/>
  <c r="G21"/>
  <c r="H21" s="1"/>
  <c r="G20"/>
  <c r="H20" s="1"/>
  <c r="G19"/>
  <c r="H19" s="1"/>
  <c r="G18"/>
  <c r="H18" s="1"/>
  <c r="G17"/>
  <c r="H17" s="1"/>
  <c r="G16"/>
  <c r="H16" s="1"/>
  <c r="G15"/>
  <c r="H15" s="1"/>
  <c r="G14"/>
  <c r="H14" s="1"/>
  <c r="G13"/>
  <c r="H13" s="1"/>
  <c r="G12"/>
  <c r="H12" s="1"/>
  <c r="G11"/>
  <c r="H11" s="1"/>
  <c r="G10"/>
  <c r="H10" s="1"/>
  <c r="G9"/>
  <c r="H9" s="1"/>
  <c r="G8"/>
  <c r="H8" s="1"/>
  <c r="G7"/>
  <c r="G6"/>
  <c r="H6" i="2"/>
  <c r="H7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8"/>
  <c r="F8"/>
  <c r="E7"/>
  <c r="E8"/>
  <c r="E9"/>
  <c r="F9" s="1"/>
  <c r="E10"/>
  <c r="F10" s="1"/>
  <c r="E11"/>
  <c r="F11" s="1"/>
  <c r="E12"/>
  <c r="F12" s="1"/>
  <c r="E13"/>
  <c r="F13" s="1"/>
  <c r="E14"/>
  <c r="F14" s="1"/>
  <c r="E15"/>
  <c r="F15" s="1"/>
  <c r="E16"/>
  <c r="F16" s="1"/>
  <c r="E17"/>
  <c r="F17" s="1"/>
  <c r="E18"/>
  <c r="F18" s="1"/>
  <c r="E19"/>
  <c r="F19" s="1"/>
  <c r="E20"/>
  <c r="F20" s="1"/>
  <c r="E21"/>
  <c r="F21" s="1"/>
  <c r="E22"/>
  <c r="F22" s="1"/>
  <c r="E23"/>
  <c r="F23" s="1"/>
  <c r="E24"/>
  <c r="F24" s="1"/>
  <c r="E25"/>
  <c r="F25" s="1"/>
  <c r="E26"/>
  <c r="F26" s="1"/>
  <c r="E27"/>
  <c r="F27" s="1"/>
  <c r="E28"/>
  <c r="F28" s="1"/>
  <c r="E29"/>
  <c r="F29" s="1"/>
  <c r="E30"/>
  <c r="F30" s="1"/>
  <c r="E31"/>
  <c r="F31" s="1"/>
  <c r="E32"/>
  <c r="F32" s="1"/>
  <c r="E33"/>
  <c r="F33" s="1"/>
  <c r="E34"/>
  <c r="F34" s="1"/>
  <c r="E35"/>
  <c r="F35" s="1"/>
  <c r="E36"/>
  <c r="F36" s="1"/>
  <c r="E37"/>
  <c r="F37" s="1"/>
  <c r="E38"/>
  <c r="F38" s="1"/>
  <c r="E39"/>
  <c r="F39" s="1"/>
  <c r="E40"/>
  <c r="F40" s="1"/>
  <c r="E41"/>
  <c r="F41" s="1"/>
  <c r="E42"/>
  <c r="F42" s="1"/>
  <c r="E43"/>
  <c r="F43" s="1"/>
  <c r="E44"/>
  <c r="F44" s="1"/>
  <c r="E45"/>
  <c r="F45" s="1"/>
  <c r="E46"/>
  <c r="F46" s="1"/>
  <c r="E47"/>
  <c r="F47" s="1"/>
  <c r="E48"/>
  <c r="F48" s="1"/>
  <c r="E49"/>
  <c r="F49" s="1"/>
  <c r="E50"/>
  <c r="F50" s="1"/>
  <c r="E51"/>
  <c r="F51" s="1"/>
  <c r="E52"/>
  <c r="F52" s="1"/>
  <c r="E53"/>
  <c r="F53" s="1"/>
  <c r="E54"/>
  <c r="F54" s="1"/>
  <c r="E55"/>
  <c r="F55" s="1"/>
  <c r="E56"/>
  <c r="F56" s="1"/>
  <c r="E57"/>
  <c r="F57" s="1"/>
  <c r="E58"/>
  <c r="F58" s="1"/>
  <c r="E59"/>
  <c r="F59" s="1"/>
  <c r="E60"/>
  <c r="F60" s="1"/>
  <c r="E61"/>
  <c r="F61" s="1"/>
  <c r="E62"/>
  <c r="F62" s="1"/>
  <c r="E63"/>
  <c r="F63" s="1"/>
  <c r="E64"/>
  <c r="F64" s="1"/>
  <c r="E65"/>
  <c r="F65" s="1"/>
  <c r="E66"/>
  <c r="F66" s="1"/>
  <c r="E67"/>
  <c r="F67" s="1"/>
  <c r="E68"/>
  <c r="F68" s="1"/>
  <c r="E69"/>
  <c r="F69" s="1"/>
  <c r="E70"/>
  <c r="F70" s="1"/>
  <c r="E71"/>
  <c r="F71" s="1"/>
  <c r="E72"/>
  <c r="F72" s="1"/>
  <c r="E73"/>
  <c r="F73" s="1"/>
  <c r="E74"/>
  <c r="F74" s="1"/>
  <c r="E75"/>
  <c r="F75" s="1"/>
  <c r="E76"/>
  <c r="F76" s="1"/>
  <c r="E77"/>
  <c r="F77" s="1"/>
  <c r="E78"/>
  <c r="F78" s="1"/>
  <c r="E79"/>
  <c r="F79" s="1"/>
  <c r="E80"/>
  <c r="F80" s="1"/>
  <c r="E81"/>
  <c r="F81" s="1"/>
  <c r="E82"/>
  <c r="F82" s="1"/>
  <c r="E83"/>
  <c r="F83" s="1"/>
  <c r="E84"/>
  <c r="F84" s="1"/>
  <c r="E85"/>
  <c r="F85" s="1"/>
  <c r="E86"/>
  <c r="F86" s="1"/>
  <c r="E87"/>
  <c r="F87" s="1"/>
  <c r="E88"/>
  <c r="F88" s="1"/>
  <c r="E89"/>
  <c r="F89" s="1"/>
  <c r="E90"/>
  <c r="F90" s="1"/>
  <c r="E91"/>
  <c r="F91" s="1"/>
  <c r="E92"/>
  <c r="F92" s="1"/>
  <c r="E93"/>
  <c r="F93" s="1"/>
  <c r="E94"/>
  <c r="F94" s="1"/>
  <c r="E95"/>
  <c r="F95" s="1"/>
  <c r="E96"/>
  <c r="F96" s="1"/>
  <c r="E97"/>
  <c r="F97" s="1"/>
  <c r="E98"/>
  <c r="F98" s="1"/>
  <c r="E99"/>
  <c r="F99" s="1"/>
  <c r="E100"/>
  <c r="F100" s="1"/>
  <c r="E101"/>
  <c r="F101" s="1"/>
  <c r="E102"/>
  <c r="F102" s="1"/>
  <c r="E103"/>
  <c r="F103" s="1"/>
  <c r="E104"/>
  <c r="F104" s="1"/>
  <c r="E105"/>
  <c r="F105" s="1"/>
  <c r="E6"/>
  <c r="K6" i="3" l="1"/>
  <c r="J6"/>
  <c r="Q20"/>
  <c r="Q21" s="1"/>
  <c r="Q22" s="1"/>
  <c r="Q23" s="1"/>
  <c r="Q24" s="1"/>
  <c r="Q25" s="1"/>
  <c r="Q26" s="1"/>
  <c r="K8"/>
  <c r="Q27" l="1"/>
  <c r="Q28" s="1"/>
  <c r="Q29" s="1"/>
  <c r="Q30" s="1"/>
  <c r="Q31" s="1"/>
  <c r="Q32" s="1"/>
  <c r="Q33" s="1"/>
  <c r="Q34" s="1"/>
  <c r="Q35" s="1"/>
  <c r="Q36" s="1"/>
  <c r="Q37" s="1"/>
  <c r="Q38" s="1"/>
  <c r="Q39" s="1"/>
  <c r="Q40" s="1"/>
  <c r="Q41" s="1"/>
  <c r="Q42" s="1"/>
  <c r="Q43" s="1"/>
  <c r="Q44" s="1"/>
  <c r="Q45" s="1"/>
  <c r="Q46" s="1"/>
  <c r="Q47" s="1"/>
  <c r="Q48" s="1"/>
  <c r="Q49" s="1"/>
  <c r="Q50" s="1"/>
  <c r="Q51" s="1"/>
  <c r="Q52" s="1"/>
  <c r="Q53" s="1"/>
  <c r="Q54" s="1"/>
  <c r="Q55" s="1"/>
  <c r="Q56" s="1"/>
  <c r="Q57" s="1"/>
  <c r="Q58" s="1"/>
  <c r="Q59" s="1"/>
  <c r="Q60" s="1"/>
  <c r="Q61" s="1"/>
  <c r="Q62" s="1"/>
  <c r="Q63" s="1"/>
  <c r="Q64" s="1"/>
  <c r="Q65" s="1"/>
  <c r="Q66" s="1"/>
  <c r="Q67" s="1"/>
  <c r="Q68" s="1"/>
  <c r="Q69" s="1"/>
  <c r="Q70" s="1"/>
  <c r="Q71" s="1"/>
  <c r="Q72" s="1"/>
  <c r="Q73" s="1"/>
  <c r="Q74" s="1"/>
  <c r="Q75" s="1"/>
  <c r="Q76" s="1"/>
  <c r="Q77" s="1"/>
  <c r="Q78" s="1"/>
  <c r="Q79" s="1"/>
  <c r="Q80" s="1"/>
  <c r="Q81" s="1"/>
  <c r="Q82" s="1"/>
  <c r="Q83" s="1"/>
  <c r="Q84" s="1"/>
  <c r="Q85" s="1"/>
  <c r="Q86" s="1"/>
  <c r="Q87" s="1"/>
  <c r="Q88" s="1"/>
  <c r="Q89" s="1"/>
  <c r="Q90" s="1"/>
  <c r="Q91" s="1"/>
  <c r="Q92" s="1"/>
  <c r="Q93" s="1"/>
  <c r="Q94" s="1"/>
  <c r="Q95" s="1"/>
  <c r="Q96" s="1"/>
  <c r="Q97" s="1"/>
  <c r="Q98" s="1"/>
  <c r="Q99" s="1"/>
  <c r="Q100" s="1"/>
  <c r="Q101" s="1"/>
  <c r="Q102" s="1"/>
  <c r="Q103" s="1"/>
  <c r="Q104" s="1"/>
  <c r="Q105" s="1"/>
  <c r="J8"/>
  <c r="K7"/>
  <c r="J7"/>
  <c r="J10" l="1"/>
  <c r="K9"/>
  <c r="J9"/>
  <c r="K10" l="1"/>
  <c r="K11" l="1"/>
  <c r="J11"/>
  <c r="K12" l="1"/>
  <c r="J12"/>
  <c r="K13" l="1"/>
  <c r="J13"/>
  <c r="J14" l="1"/>
  <c r="K14"/>
  <c r="K15" l="1"/>
  <c r="J15"/>
  <c r="J16"/>
  <c r="K16" l="1"/>
  <c r="K17" l="1"/>
  <c r="J17"/>
  <c r="K18" l="1"/>
  <c r="J18"/>
  <c r="K19" l="1"/>
  <c r="J19"/>
  <c r="K20" l="1"/>
  <c r="J20"/>
  <c r="K21" l="1"/>
  <c r="J21"/>
  <c r="K22" l="1"/>
  <c r="J22"/>
  <c r="K23" l="1"/>
  <c r="J23"/>
  <c r="K24" l="1"/>
  <c r="J24"/>
  <c r="K25" l="1"/>
  <c r="J25"/>
  <c r="K26" l="1"/>
  <c r="J26"/>
  <c r="K27" l="1"/>
  <c r="J27"/>
  <c r="K28" l="1"/>
  <c r="J28"/>
  <c r="K29" l="1"/>
  <c r="J29"/>
  <c r="K30" l="1"/>
  <c r="J30"/>
  <c r="K31" l="1"/>
  <c r="J31"/>
  <c r="K32" l="1"/>
  <c r="J32"/>
  <c r="K33" l="1"/>
  <c r="J33"/>
  <c r="K34" l="1"/>
  <c r="J34"/>
  <c r="K35" l="1"/>
  <c r="J35"/>
  <c r="K36" l="1"/>
  <c r="J36"/>
  <c r="K37" l="1"/>
  <c r="J37"/>
  <c r="K38" l="1"/>
  <c r="J38"/>
  <c r="K39" l="1"/>
  <c r="J39"/>
  <c r="K40" l="1"/>
  <c r="J40"/>
  <c r="K41" l="1"/>
  <c r="J41"/>
  <c r="K42" l="1"/>
  <c r="J42"/>
  <c r="K43" l="1"/>
  <c r="J43"/>
  <c r="K44" l="1"/>
  <c r="J44"/>
  <c r="K45" l="1"/>
  <c r="J45"/>
  <c r="K46" l="1"/>
  <c r="J46"/>
  <c r="K47" l="1"/>
  <c r="J47"/>
  <c r="K48" l="1"/>
  <c r="J48"/>
  <c r="K49" l="1"/>
  <c r="J49"/>
  <c r="K50" l="1"/>
  <c r="J50"/>
  <c r="K51" l="1"/>
  <c r="J51"/>
  <c r="K52" l="1"/>
  <c r="J52"/>
  <c r="K53" l="1"/>
  <c r="J53"/>
  <c r="K54" l="1"/>
  <c r="J54"/>
  <c r="K55" l="1"/>
  <c r="J55"/>
  <c r="K56" l="1"/>
  <c r="J56"/>
  <c r="K57" l="1"/>
  <c r="J57"/>
  <c r="K58" l="1"/>
  <c r="J58"/>
  <c r="K59" l="1"/>
  <c r="J59"/>
  <c r="K60" l="1"/>
  <c r="J60"/>
  <c r="K61" l="1"/>
  <c r="J61"/>
  <c r="K62" l="1"/>
  <c r="J62"/>
  <c r="K63" l="1"/>
  <c r="J63"/>
  <c r="K64" l="1"/>
  <c r="J64"/>
  <c r="K65" l="1"/>
  <c r="J65"/>
  <c r="K66" l="1"/>
  <c r="J66"/>
  <c r="K67" l="1"/>
  <c r="J67"/>
  <c r="K68" l="1"/>
  <c r="J68"/>
  <c r="K69" l="1"/>
  <c r="J69"/>
  <c r="K70" l="1"/>
  <c r="J70"/>
  <c r="K71" l="1"/>
  <c r="J71"/>
  <c r="K72" l="1"/>
  <c r="J72"/>
  <c r="K73" l="1"/>
  <c r="J73"/>
  <c r="K74" l="1"/>
  <c r="J74"/>
  <c r="K75" l="1"/>
  <c r="J75"/>
  <c r="K76" l="1"/>
  <c r="J76"/>
  <c r="K77" l="1"/>
  <c r="J77"/>
  <c r="K78" l="1"/>
  <c r="J78"/>
  <c r="K79" l="1"/>
  <c r="J79"/>
  <c r="K80" l="1"/>
  <c r="J80"/>
  <c r="K81" l="1"/>
  <c r="J81"/>
  <c r="K82" l="1"/>
  <c r="J82"/>
  <c r="K83" l="1"/>
  <c r="J83"/>
  <c r="K84" l="1"/>
  <c r="J84"/>
  <c r="K85" l="1"/>
  <c r="J85"/>
  <c r="K86" l="1"/>
  <c r="J86"/>
  <c r="K87" l="1"/>
  <c r="J87"/>
  <c r="K88" l="1"/>
  <c r="J88"/>
  <c r="K89" l="1"/>
  <c r="J89"/>
  <c r="K90" l="1"/>
  <c r="J90"/>
  <c r="K91" l="1"/>
  <c r="J91"/>
  <c r="K92" l="1"/>
  <c r="J92"/>
  <c r="K93" l="1"/>
  <c r="J93"/>
  <c r="K94" l="1"/>
  <c r="J94"/>
  <c r="K95" l="1"/>
  <c r="J95"/>
  <c r="K96" l="1"/>
  <c r="J96"/>
  <c r="K97" l="1"/>
  <c r="J97"/>
  <c r="K98" l="1"/>
  <c r="J98"/>
  <c r="K99" l="1"/>
  <c r="J99"/>
  <c r="K100" l="1"/>
  <c r="J100"/>
  <c r="K101" l="1"/>
  <c r="J101"/>
  <c r="K102" l="1"/>
  <c r="J102"/>
  <c r="K103" l="1"/>
  <c r="J103"/>
  <c r="K105" l="1"/>
  <c r="J105"/>
  <c r="K104"/>
  <c r="J104"/>
</calcChain>
</file>

<file path=xl/sharedStrings.xml><?xml version="1.0" encoding="utf-8"?>
<sst xmlns="http://schemas.openxmlformats.org/spreadsheetml/2006/main" count="41" uniqueCount="20">
  <si>
    <t>次数</t>
    <phoneticPr fontId="1" type="noConversion"/>
  </si>
  <si>
    <t>花费钻石数量</t>
    <phoneticPr fontId="1" type="noConversion"/>
  </si>
  <si>
    <t>系数</t>
    <phoneticPr fontId="1" type="noConversion"/>
  </si>
  <si>
    <t>buyCount</t>
  </si>
  <si>
    <t>needGold</t>
  </si>
  <si>
    <t>coinFactor</t>
  </si>
  <si>
    <t>data</t>
    <phoneticPr fontId="1" type="noConversion"/>
  </si>
  <si>
    <t>vipLevel</t>
    <phoneticPr fontId="1" type="noConversion"/>
  </si>
  <si>
    <t>needRechargeGold</t>
    <phoneticPr fontId="1" type="noConversion"/>
  </si>
  <si>
    <t>buyCoinTimes</t>
  </si>
  <si>
    <t>花钻</t>
    <phoneticPr fontId="1" type="noConversion"/>
  </si>
  <si>
    <t>得钱</t>
    <phoneticPr fontId="1" type="noConversion"/>
  </si>
  <si>
    <t>性价比</t>
    <phoneticPr fontId="1" type="noConversion"/>
  </si>
  <si>
    <t>性价比设计</t>
    <phoneticPr fontId="1" type="noConversion"/>
  </si>
  <si>
    <t>快速战斗参考等级系数</t>
    <phoneticPr fontId="1" type="noConversion"/>
  </si>
  <si>
    <t>等级</t>
    <phoneticPr fontId="1" type="noConversion"/>
  </si>
  <si>
    <t>等级</t>
    <phoneticPr fontId="1" type="noConversion"/>
  </si>
  <si>
    <t>level</t>
    <phoneticPr fontId="1" type="noConversion"/>
  </si>
  <si>
    <t>金币系数</t>
    <phoneticPr fontId="1" type="noConversion"/>
  </si>
  <si>
    <t>goldRatio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</si>
</sst>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ua/Resource_Product/trunk/&#31574;&#21010;&#25968;&#25454;&#34920;/&#25968;&#20540;&#35745;&#31639;/&#25346;&#26426;WOW&#25968;&#20540;&#24635;&#3492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计算规则"/>
      <sheetName val="游戏类型定义"/>
      <sheetName val="用户升级"/>
      <sheetName val="防御属性修正系数"/>
      <sheetName val="职业设计"/>
      <sheetName val="职业属性"/>
      <sheetName val="装备设计"/>
      <sheetName val="装备一览"/>
      <sheetName val="装备强化"/>
      <sheetName val="装备强化附表"/>
      <sheetName val="关卡"/>
      <sheetName val="怪物"/>
      <sheetName val="商城"/>
      <sheetName val="购买金币"/>
      <sheetName val="Sheet1"/>
    </sheetNames>
    <sheetDataSet>
      <sheetData sheetId="0"/>
      <sheetData sheetId="1"/>
      <sheetData sheetId="2">
        <row r="3">
          <cell r="A3">
            <v>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11">
          <cell r="AQ11">
            <v>7370.9999999999991</v>
          </cell>
        </row>
        <row r="12">
          <cell r="AQ12">
            <v>8654.4000000000015</v>
          </cell>
        </row>
        <row r="13">
          <cell r="AQ13">
            <v>8407.68</v>
          </cell>
        </row>
        <row r="14">
          <cell r="AQ14">
            <v>7049.6703296703299</v>
          </cell>
        </row>
        <row r="15">
          <cell r="AQ15">
            <v>6991.6105702364393</v>
          </cell>
        </row>
        <row r="16">
          <cell r="AQ16">
            <v>7200.847826086957</v>
          </cell>
        </row>
        <row r="17">
          <cell r="AQ17">
            <v>7440.3824701195217</v>
          </cell>
        </row>
        <row r="18">
          <cell r="AQ18">
            <v>7602.8975009054675</v>
          </cell>
        </row>
        <row r="19">
          <cell r="AQ19">
            <v>7857.4909090909086</v>
          </cell>
        </row>
        <row r="20">
          <cell r="AQ20">
            <v>10540.843156843157</v>
          </cell>
        </row>
        <row r="21">
          <cell r="AQ21">
            <v>10670.359925788496</v>
          </cell>
        </row>
        <row r="22">
          <cell r="AQ22">
            <v>10782.233766233765</v>
          </cell>
        </row>
        <row r="23">
          <cell r="AQ23">
            <v>11559.015056461731</v>
          </cell>
        </row>
        <row r="24">
          <cell r="AQ24">
            <v>10974.339929520196</v>
          </cell>
        </row>
        <row r="25">
          <cell r="AQ25">
            <v>11509.473684210527</v>
          </cell>
        </row>
        <row r="26">
          <cell r="AQ26">
            <v>12265.778393351799</v>
          </cell>
        </row>
        <row r="27">
          <cell r="AQ27">
            <v>12446.774058577405</v>
          </cell>
        </row>
        <row r="28">
          <cell r="AQ28">
            <v>13212.430364614465</v>
          </cell>
        </row>
        <row r="29">
          <cell r="AQ29">
            <v>13005.279144385026</v>
          </cell>
        </row>
        <row r="30">
          <cell r="AQ30">
            <v>13710.33786407767</v>
          </cell>
        </row>
        <row r="31">
          <cell r="AQ31">
            <v>13944.409615384617</v>
          </cell>
        </row>
        <row r="32">
          <cell r="AQ32">
            <v>13654.215849056602</v>
          </cell>
        </row>
        <row r="33">
          <cell r="AQ33">
            <v>13376.815384615384</v>
          </cell>
        </row>
        <row r="34">
          <cell r="AQ34">
            <v>12968.435087719299</v>
          </cell>
        </row>
        <row r="35">
          <cell r="AQ35">
            <v>12947.94135338346</v>
          </cell>
        </row>
        <row r="36">
          <cell r="AQ36">
            <v>12928.860980036296</v>
          </cell>
        </row>
        <row r="37">
          <cell r="AQ37">
            <v>12911.052631578948</v>
          </cell>
        </row>
        <row r="38">
          <cell r="AQ38">
            <v>12894.393208828524</v>
          </cell>
        </row>
        <row r="39">
          <cell r="AQ39">
            <v>12878.775000000001</v>
          </cell>
        </row>
        <row r="40">
          <cell r="AQ40">
            <v>12864.103349282297</v>
          </cell>
        </row>
        <row r="41">
          <cell r="AQ41">
            <v>12850.294736842106</v>
          </cell>
        </row>
        <row r="42">
          <cell r="AQ42">
            <v>12837.275187969924</v>
          </cell>
        </row>
        <row r="43">
          <cell r="AQ43">
            <v>12824.978947368423</v>
          </cell>
        </row>
        <row r="44">
          <cell r="AQ44">
            <v>13419.775817923186</v>
          </cell>
        </row>
        <row r="45">
          <cell r="AQ45">
            <v>13539.749584487534</v>
          </cell>
        </row>
        <row r="46">
          <cell r="AQ46">
            <v>13655.407287449394</v>
          </cell>
        </row>
        <row r="47">
          <cell r="AQ47">
            <v>13752.663157894736</v>
          </cell>
        </row>
        <row r="48">
          <cell r="AQ48">
            <v>13870.582798459562</v>
          </cell>
        </row>
        <row r="49">
          <cell r="AQ49">
            <v>13984.123308270673</v>
          </cell>
        </row>
        <row r="50">
          <cell r="AQ50">
            <v>14104.191921664624</v>
          </cell>
        </row>
        <row r="51">
          <cell r="AQ51">
            <v>14230.756937799038</v>
          </cell>
        </row>
        <row r="52">
          <cell r="AQ52">
            <v>14321.726315789476</v>
          </cell>
        </row>
        <row r="53">
          <cell r="AQ53">
            <v>14440.983981693364</v>
          </cell>
        </row>
        <row r="54">
          <cell r="AQ54">
            <v>14569.79260918253</v>
          </cell>
        </row>
        <row r="55">
          <cell r="AQ55">
            <v>14692.571052631576</v>
          </cell>
        </row>
        <row r="56">
          <cell r="AQ56">
            <v>14804.653920515575</v>
          </cell>
        </row>
        <row r="57">
          <cell r="AQ57">
            <v>14896.724210526318</v>
          </cell>
        </row>
        <row r="58">
          <cell r="AQ58">
            <v>15023.152941176471</v>
          </cell>
        </row>
        <row r="59">
          <cell r="AQ59">
            <v>15146.628340080973</v>
          </cell>
        </row>
      </sheetData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D105"/>
  <sheetViews>
    <sheetView tabSelected="1" workbookViewId="0">
      <selection activeCell="D6" sqref="D6:D105"/>
    </sheetView>
  </sheetViews>
  <sheetFormatPr defaultRowHeight="13.5"/>
  <sheetData>
    <row r="1" spans="1:4">
      <c r="A1" t="s">
        <v>6</v>
      </c>
    </row>
    <row r="3" spans="1:4">
      <c r="A3" t="s">
        <v>16</v>
      </c>
      <c r="B3" t="s">
        <v>18</v>
      </c>
    </row>
    <row r="4" spans="1:4">
      <c r="A4" t="s">
        <v>17</v>
      </c>
      <c r="B4" t="s">
        <v>19</v>
      </c>
    </row>
    <row r="6" spans="1:4">
      <c r="A6">
        <v>1</v>
      </c>
      <c r="B6">
        <f>D6*A6</f>
        <v>41</v>
      </c>
      <c r="D6">
        <f>ROUND(40+A6*0.5,0)</f>
        <v>41</v>
      </c>
    </row>
    <row r="7" spans="1:4">
      <c r="A7">
        <v>2</v>
      </c>
      <c r="B7">
        <f t="shared" ref="B7:B70" si="0">D7*A7</f>
        <v>82</v>
      </c>
      <c r="D7">
        <f t="shared" ref="D7:D70" si="1">ROUND(40+A7*0.5,0)</f>
        <v>41</v>
      </c>
    </row>
    <row r="8" spans="1:4">
      <c r="A8">
        <v>3</v>
      </c>
      <c r="B8">
        <f t="shared" si="0"/>
        <v>126</v>
      </c>
      <c r="D8">
        <f t="shared" si="1"/>
        <v>42</v>
      </c>
    </row>
    <row r="9" spans="1:4">
      <c r="A9">
        <v>4</v>
      </c>
      <c r="B9">
        <f t="shared" si="0"/>
        <v>168</v>
      </c>
      <c r="D9">
        <f t="shared" si="1"/>
        <v>42</v>
      </c>
    </row>
    <row r="10" spans="1:4">
      <c r="A10">
        <v>5</v>
      </c>
      <c r="B10">
        <f t="shared" si="0"/>
        <v>215</v>
      </c>
      <c r="D10">
        <f t="shared" si="1"/>
        <v>43</v>
      </c>
    </row>
    <row r="11" spans="1:4">
      <c r="A11">
        <v>6</v>
      </c>
      <c r="B11">
        <f t="shared" si="0"/>
        <v>258</v>
      </c>
      <c r="D11">
        <f t="shared" si="1"/>
        <v>43</v>
      </c>
    </row>
    <row r="12" spans="1:4">
      <c r="A12">
        <v>7</v>
      </c>
      <c r="B12">
        <f t="shared" si="0"/>
        <v>308</v>
      </c>
      <c r="D12">
        <f t="shared" si="1"/>
        <v>44</v>
      </c>
    </row>
    <row r="13" spans="1:4">
      <c r="A13">
        <v>8</v>
      </c>
      <c r="B13">
        <f t="shared" si="0"/>
        <v>352</v>
      </c>
      <c r="D13">
        <f t="shared" si="1"/>
        <v>44</v>
      </c>
    </row>
    <row r="14" spans="1:4">
      <c r="A14">
        <v>9</v>
      </c>
      <c r="B14">
        <f t="shared" si="0"/>
        <v>405</v>
      </c>
      <c r="D14">
        <f t="shared" si="1"/>
        <v>45</v>
      </c>
    </row>
    <row r="15" spans="1:4">
      <c r="A15">
        <v>10</v>
      </c>
      <c r="B15">
        <f t="shared" si="0"/>
        <v>450</v>
      </c>
      <c r="D15">
        <f t="shared" si="1"/>
        <v>45</v>
      </c>
    </row>
    <row r="16" spans="1:4">
      <c r="A16">
        <v>11</v>
      </c>
      <c r="B16">
        <f t="shared" si="0"/>
        <v>506</v>
      </c>
      <c r="D16">
        <f t="shared" si="1"/>
        <v>46</v>
      </c>
    </row>
    <row r="17" spans="1:4">
      <c r="A17">
        <v>12</v>
      </c>
      <c r="B17">
        <f t="shared" si="0"/>
        <v>552</v>
      </c>
      <c r="D17">
        <f t="shared" si="1"/>
        <v>46</v>
      </c>
    </row>
    <row r="18" spans="1:4">
      <c r="A18">
        <v>13</v>
      </c>
      <c r="B18">
        <f t="shared" si="0"/>
        <v>611</v>
      </c>
      <c r="D18">
        <f t="shared" si="1"/>
        <v>47</v>
      </c>
    </row>
    <row r="19" spans="1:4">
      <c r="A19">
        <v>14</v>
      </c>
      <c r="B19">
        <f t="shared" si="0"/>
        <v>658</v>
      </c>
      <c r="D19">
        <f t="shared" si="1"/>
        <v>47</v>
      </c>
    </row>
    <row r="20" spans="1:4">
      <c r="A20">
        <v>15</v>
      </c>
      <c r="B20">
        <f t="shared" si="0"/>
        <v>720</v>
      </c>
      <c r="D20">
        <f t="shared" si="1"/>
        <v>48</v>
      </c>
    </row>
    <row r="21" spans="1:4">
      <c r="A21">
        <v>16</v>
      </c>
      <c r="B21">
        <f t="shared" si="0"/>
        <v>768</v>
      </c>
      <c r="D21">
        <f t="shared" si="1"/>
        <v>48</v>
      </c>
    </row>
    <row r="22" spans="1:4">
      <c r="A22">
        <v>17</v>
      </c>
      <c r="B22">
        <f t="shared" si="0"/>
        <v>833</v>
      </c>
      <c r="D22">
        <f t="shared" si="1"/>
        <v>49</v>
      </c>
    </row>
    <row r="23" spans="1:4">
      <c r="A23">
        <v>18</v>
      </c>
      <c r="B23">
        <f t="shared" si="0"/>
        <v>882</v>
      </c>
      <c r="D23">
        <f t="shared" si="1"/>
        <v>49</v>
      </c>
    </row>
    <row r="24" spans="1:4">
      <c r="A24">
        <v>19</v>
      </c>
      <c r="B24">
        <f t="shared" si="0"/>
        <v>950</v>
      </c>
      <c r="D24">
        <f t="shared" si="1"/>
        <v>50</v>
      </c>
    </row>
    <row r="25" spans="1:4">
      <c r="A25">
        <v>20</v>
      </c>
      <c r="B25">
        <f t="shared" si="0"/>
        <v>1000</v>
      </c>
      <c r="D25">
        <f t="shared" si="1"/>
        <v>50</v>
      </c>
    </row>
    <row r="26" spans="1:4">
      <c r="A26">
        <v>21</v>
      </c>
      <c r="B26">
        <f t="shared" si="0"/>
        <v>1071</v>
      </c>
      <c r="D26">
        <f t="shared" si="1"/>
        <v>51</v>
      </c>
    </row>
    <row r="27" spans="1:4">
      <c r="A27">
        <v>22</v>
      </c>
      <c r="B27">
        <f t="shared" si="0"/>
        <v>1122</v>
      </c>
      <c r="D27">
        <f t="shared" si="1"/>
        <v>51</v>
      </c>
    </row>
    <row r="28" spans="1:4">
      <c r="A28">
        <v>23</v>
      </c>
      <c r="B28">
        <f t="shared" si="0"/>
        <v>1196</v>
      </c>
      <c r="D28">
        <f t="shared" si="1"/>
        <v>52</v>
      </c>
    </row>
    <row r="29" spans="1:4">
      <c r="A29">
        <v>24</v>
      </c>
      <c r="B29">
        <f t="shared" si="0"/>
        <v>1248</v>
      </c>
      <c r="D29">
        <f t="shared" si="1"/>
        <v>52</v>
      </c>
    </row>
    <row r="30" spans="1:4">
      <c r="A30">
        <v>25</v>
      </c>
      <c r="B30">
        <f t="shared" si="0"/>
        <v>1325</v>
      </c>
      <c r="D30">
        <f t="shared" si="1"/>
        <v>53</v>
      </c>
    </row>
    <row r="31" spans="1:4">
      <c r="A31">
        <v>26</v>
      </c>
      <c r="B31">
        <f t="shared" si="0"/>
        <v>1378</v>
      </c>
      <c r="D31">
        <f t="shared" si="1"/>
        <v>53</v>
      </c>
    </row>
    <row r="32" spans="1:4">
      <c r="A32">
        <v>27</v>
      </c>
      <c r="B32">
        <f t="shared" si="0"/>
        <v>1458</v>
      </c>
      <c r="D32">
        <f t="shared" si="1"/>
        <v>54</v>
      </c>
    </row>
    <row r="33" spans="1:4">
      <c r="A33">
        <v>28</v>
      </c>
      <c r="B33">
        <f t="shared" si="0"/>
        <v>1512</v>
      </c>
      <c r="D33">
        <f t="shared" si="1"/>
        <v>54</v>
      </c>
    </row>
    <row r="34" spans="1:4">
      <c r="A34">
        <v>29</v>
      </c>
      <c r="B34">
        <f t="shared" si="0"/>
        <v>1595</v>
      </c>
      <c r="D34">
        <f t="shared" si="1"/>
        <v>55</v>
      </c>
    </row>
    <row r="35" spans="1:4">
      <c r="A35">
        <v>30</v>
      </c>
      <c r="B35">
        <f t="shared" si="0"/>
        <v>1650</v>
      </c>
      <c r="D35">
        <f t="shared" si="1"/>
        <v>55</v>
      </c>
    </row>
    <row r="36" spans="1:4">
      <c r="A36">
        <v>31</v>
      </c>
      <c r="B36">
        <f t="shared" si="0"/>
        <v>1736</v>
      </c>
      <c r="D36">
        <f t="shared" si="1"/>
        <v>56</v>
      </c>
    </row>
    <row r="37" spans="1:4">
      <c r="A37">
        <v>32</v>
      </c>
      <c r="B37">
        <f t="shared" si="0"/>
        <v>1792</v>
      </c>
      <c r="D37">
        <f t="shared" si="1"/>
        <v>56</v>
      </c>
    </row>
    <row r="38" spans="1:4">
      <c r="A38">
        <v>33</v>
      </c>
      <c r="B38">
        <f t="shared" si="0"/>
        <v>1881</v>
      </c>
      <c r="D38">
        <f t="shared" si="1"/>
        <v>57</v>
      </c>
    </row>
    <row r="39" spans="1:4">
      <c r="A39">
        <v>34</v>
      </c>
      <c r="B39">
        <f t="shared" si="0"/>
        <v>1938</v>
      </c>
      <c r="D39">
        <f t="shared" si="1"/>
        <v>57</v>
      </c>
    </row>
    <row r="40" spans="1:4">
      <c r="A40">
        <v>35</v>
      </c>
      <c r="B40">
        <f t="shared" si="0"/>
        <v>2030</v>
      </c>
      <c r="D40">
        <f t="shared" si="1"/>
        <v>58</v>
      </c>
    </row>
    <row r="41" spans="1:4">
      <c r="A41">
        <v>36</v>
      </c>
      <c r="B41">
        <f t="shared" si="0"/>
        <v>2088</v>
      </c>
      <c r="D41">
        <f t="shared" si="1"/>
        <v>58</v>
      </c>
    </row>
    <row r="42" spans="1:4">
      <c r="A42">
        <v>37</v>
      </c>
      <c r="B42">
        <f t="shared" si="0"/>
        <v>2183</v>
      </c>
      <c r="D42">
        <f t="shared" si="1"/>
        <v>59</v>
      </c>
    </row>
    <row r="43" spans="1:4">
      <c r="A43">
        <v>38</v>
      </c>
      <c r="B43">
        <f t="shared" si="0"/>
        <v>2242</v>
      </c>
      <c r="D43">
        <f t="shared" si="1"/>
        <v>59</v>
      </c>
    </row>
    <row r="44" spans="1:4">
      <c r="A44">
        <v>39</v>
      </c>
      <c r="B44">
        <f t="shared" si="0"/>
        <v>2340</v>
      </c>
      <c r="D44">
        <f t="shared" si="1"/>
        <v>60</v>
      </c>
    </row>
    <row r="45" spans="1:4">
      <c r="A45">
        <v>40</v>
      </c>
      <c r="B45">
        <f t="shared" si="0"/>
        <v>2400</v>
      </c>
      <c r="D45">
        <f t="shared" si="1"/>
        <v>60</v>
      </c>
    </row>
    <row r="46" spans="1:4">
      <c r="A46">
        <v>41</v>
      </c>
      <c r="B46">
        <f t="shared" si="0"/>
        <v>2501</v>
      </c>
      <c r="D46">
        <f t="shared" si="1"/>
        <v>61</v>
      </c>
    </row>
    <row r="47" spans="1:4">
      <c r="A47">
        <v>42</v>
      </c>
      <c r="B47">
        <f t="shared" si="0"/>
        <v>2562</v>
      </c>
      <c r="D47">
        <f t="shared" si="1"/>
        <v>61</v>
      </c>
    </row>
    <row r="48" spans="1:4">
      <c r="A48">
        <v>43</v>
      </c>
      <c r="B48">
        <f t="shared" si="0"/>
        <v>2666</v>
      </c>
      <c r="D48">
        <f t="shared" si="1"/>
        <v>62</v>
      </c>
    </row>
    <row r="49" spans="1:4">
      <c r="A49">
        <v>44</v>
      </c>
      <c r="B49">
        <f t="shared" si="0"/>
        <v>2728</v>
      </c>
      <c r="D49">
        <f t="shared" si="1"/>
        <v>62</v>
      </c>
    </row>
    <row r="50" spans="1:4">
      <c r="A50">
        <v>45</v>
      </c>
      <c r="B50">
        <f t="shared" si="0"/>
        <v>2835</v>
      </c>
      <c r="D50">
        <f t="shared" si="1"/>
        <v>63</v>
      </c>
    </row>
    <row r="51" spans="1:4">
      <c r="A51">
        <v>46</v>
      </c>
      <c r="B51">
        <f t="shared" si="0"/>
        <v>2898</v>
      </c>
      <c r="D51">
        <f t="shared" si="1"/>
        <v>63</v>
      </c>
    </row>
    <row r="52" spans="1:4">
      <c r="A52">
        <v>47</v>
      </c>
      <c r="B52">
        <f t="shared" si="0"/>
        <v>3008</v>
      </c>
      <c r="D52">
        <f t="shared" si="1"/>
        <v>64</v>
      </c>
    </row>
    <row r="53" spans="1:4">
      <c r="A53">
        <v>48</v>
      </c>
      <c r="B53">
        <f t="shared" si="0"/>
        <v>3072</v>
      </c>
      <c r="D53">
        <f t="shared" si="1"/>
        <v>64</v>
      </c>
    </row>
    <row r="54" spans="1:4">
      <c r="A54">
        <v>49</v>
      </c>
      <c r="B54">
        <f t="shared" si="0"/>
        <v>3185</v>
      </c>
      <c r="D54">
        <f t="shared" si="1"/>
        <v>65</v>
      </c>
    </row>
    <row r="55" spans="1:4">
      <c r="A55">
        <v>50</v>
      </c>
      <c r="B55">
        <f t="shared" si="0"/>
        <v>3250</v>
      </c>
      <c r="D55">
        <f t="shared" si="1"/>
        <v>65</v>
      </c>
    </row>
    <row r="56" spans="1:4">
      <c r="A56">
        <v>51</v>
      </c>
      <c r="B56">
        <f t="shared" si="0"/>
        <v>3366</v>
      </c>
      <c r="D56">
        <f t="shared" si="1"/>
        <v>66</v>
      </c>
    </row>
    <row r="57" spans="1:4">
      <c r="A57">
        <v>52</v>
      </c>
      <c r="B57">
        <f t="shared" si="0"/>
        <v>3432</v>
      </c>
      <c r="D57">
        <f t="shared" si="1"/>
        <v>66</v>
      </c>
    </row>
    <row r="58" spans="1:4">
      <c r="A58">
        <v>53</v>
      </c>
      <c r="B58">
        <f t="shared" si="0"/>
        <v>3551</v>
      </c>
      <c r="D58">
        <f t="shared" si="1"/>
        <v>67</v>
      </c>
    </row>
    <row r="59" spans="1:4">
      <c r="A59">
        <v>54</v>
      </c>
      <c r="B59">
        <f t="shared" si="0"/>
        <v>3618</v>
      </c>
      <c r="D59">
        <f t="shared" si="1"/>
        <v>67</v>
      </c>
    </row>
    <row r="60" spans="1:4">
      <c r="A60">
        <v>55</v>
      </c>
      <c r="B60">
        <f t="shared" si="0"/>
        <v>3740</v>
      </c>
      <c r="D60">
        <f t="shared" si="1"/>
        <v>68</v>
      </c>
    </row>
    <row r="61" spans="1:4">
      <c r="A61">
        <v>56</v>
      </c>
      <c r="B61">
        <f t="shared" si="0"/>
        <v>3808</v>
      </c>
      <c r="D61">
        <f t="shared" si="1"/>
        <v>68</v>
      </c>
    </row>
    <row r="62" spans="1:4">
      <c r="A62">
        <v>57</v>
      </c>
      <c r="B62">
        <f t="shared" si="0"/>
        <v>3933</v>
      </c>
      <c r="D62">
        <f t="shared" si="1"/>
        <v>69</v>
      </c>
    </row>
    <row r="63" spans="1:4">
      <c r="A63">
        <v>58</v>
      </c>
      <c r="B63">
        <f t="shared" si="0"/>
        <v>4002</v>
      </c>
      <c r="D63">
        <f t="shared" si="1"/>
        <v>69</v>
      </c>
    </row>
    <row r="64" spans="1:4">
      <c r="A64">
        <v>59</v>
      </c>
      <c r="B64">
        <f t="shared" si="0"/>
        <v>4130</v>
      </c>
      <c r="D64">
        <f t="shared" si="1"/>
        <v>70</v>
      </c>
    </row>
    <row r="65" spans="1:4">
      <c r="A65">
        <v>60</v>
      </c>
      <c r="B65">
        <f t="shared" si="0"/>
        <v>4200</v>
      </c>
      <c r="D65">
        <f t="shared" si="1"/>
        <v>70</v>
      </c>
    </row>
    <row r="66" spans="1:4">
      <c r="A66">
        <v>61</v>
      </c>
      <c r="B66">
        <f t="shared" si="0"/>
        <v>4331</v>
      </c>
      <c r="D66">
        <f t="shared" si="1"/>
        <v>71</v>
      </c>
    </row>
    <row r="67" spans="1:4">
      <c r="A67">
        <v>62</v>
      </c>
      <c r="B67">
        <f t="shared" si="0"/>
        <v>4402</v>
      </c>
      <c r="D67">
        <f t="shared" si="1"/>
        <v>71</v>
      </c>
    </row>
    <row r="68" spans="1:4">
      <c r="A68">
        <v>63</v>
      </c>
      <c r="B68">
        <f t="shared" si="0"/>
        <v>4536</v>
      </c>
      <c r="D68">
        <f t="shared" si="1"/>
        <v>72</v>
      </c>
    </row>
    <row r="69" spans="1:4">
      <c r="A69">
        <v>64</v>
      </c>
      <c r="B69">
        <f t="shared" si="0"/>
        <v>4608</v>
      </c>
      <c r="D69">
        <f t="shared" si="1"/>
        <v>72</v>
      </c>
    </row>
    <row r="70" spans="1:4">
      <c r="A70">
        <v>65</v>
      </c>
      <c r="B70">
        <f t="shared" si="0"/>
        <v>4745</v>
      </c>
      <c r="D70">
        <f t="shared" si="1"/>
        <v>73</v>
      </c>
    </row>
    <row r="71" spans="1:4">
      <c r="A71">
        <v>66</v>
      </c>
      <c r="B71">
        <f t="shared" ref="B71:B105" si="2">D71*A71</f>
        <v>4818</v>
      </c>
      <c r="D71">
        <f t="shared" ref="D71:D105" si="3">ROUND(40+A71*0.5,0)</f>
        <v>73</v>
      </c>
    </row>
    <row r="72" spans="1:4">
      <c r="A72">
        <v>67</v>
      </c>
      <c r="B72">
        <f t="shared" si="2"/>
        <v>4958</v>
      </c>
      <c r="D72">
        <f t="shared" si="3"/>
        <v>74</v>
      </c>
    </row>
    <row r="73" spans="1:4">
      <c r="A73">
        <v>68</v>
      </c>
      <c r="B73">
        <f t="shared" si="2"/>
        <v>5032</v>
      </c>
      <c r="D73">
        <f t="shared" si="3"/>
        <v>74</v>
      </c>
    </row>
    <row r="74" spans="1:4">
      <c r="A74">
        <v>69</v>
      </c>
      <c r="B74">
        <f t="shared" si="2"/>
        <v>5175</v>
      </c>
      <c r="D74">
        <f t="shared" si="3"/>
        <v>75</v>
      </c>
    </row>
    <row r="75" spans="1:4">
      <c r="A75">
        <v>70</v>
      </c>
      <c r="B75">
        <f t="shared" si="2"/>
        <v>5250</v>
      </c>
      <c r="D75">
        <f t="shared" si="3"/>
        <v>75</v>
      </c>
    </row>
    <row r="76" spans="1:4">
      <c r="A76">
        <v>71</v>
      </c>
      <c r="B76">
        <f t="shared" si="2"/>
        <v>5396</v>
      </c>
      <c r="D76">
        <f t="shared" si="3"/>
        <v>76</v>
      </c>
    </row>
    <row r="77" spans="1:4">
      <c r="A77">
        <v>72</v>
      </c>
      <c r="B77">
        <f t="shared" si="2"/>
        <v>5472</v>
      </c>
      <c r="D77">
        <f t="shared" si="3"/>
        <v>76</v>
      </c>
    </row>
    <row r="78" spans="1:4">
      <c r="A78">
        <v>73</v>
      </c>
      <c r="B78">
        <f t="shared" si="2"/>
        <v>5621</v>
      </c>
      <c r="D78">
        <f t="shared" si="3"/>
        <v>77</v>
      </c>
    </row>
    <row r="79" spans="1:4">
      <c r="A79">
        <v>74</v>
      </c>
      <c r="B79">
        <f t="shared" si="2"/>
        <v>5698</v>
      </c>
      <c r="D79">
        <f t="shared" si="3"/>
        <v>77</v>
      </c>
    </row>
    <row r="80" spans="1:4">
      <c r="A80">
        <v>75</v>
      </c>
      <c r="B80">
        <f t="shared" si="2"/>
        <v>5850</v>
      </c>
      <c r="D80">
        <f t="shared" si="3"/>
        <v>78</v>
      </c>
    </row>
    <row r="81" spans="1:4">
      <c r="A81">
        <v>76</v>
      </c>
      <c r="B81">
        <f t="shared" si="2"/>
        <v>5928</v>
      </c>
      <c r="D81">
        <f t="shared" si="3"/>
        <v>78</v>
      </c>
    </row>
    <row r="82" spans="1:4">
      <c r="A82">
        <v>77</v>
      </c>
      <c r="B82">
        <f t="shared" si="2"/>
        <v>6083</v>
      </c>
      <c r="D82">
        <f t="shared" si="3"/>
        <v>79</v>
      </c>
    </row>
    <row r="83" spans="1:4">
      <c r="A83">
        <v>78</v>
      </c>
      <c r="B83">
        <f t="shared" si="2"/>
        <v>6162</v>
      </c>
      <c r="D83">
        <f t="shared" si="3"/>
        <v>79</v>
      </c>
    </row>
    <row r="84" spans="1:4">
      <c r="A84">
        <v>79</v>
      </c>
      <c r="B84">
        <f t="shared" si="2"/>
        <v>6320</v>
      </c>
      <c r="D84">
        <f t="shared" si="3"/>
        <v>80</v>
      </c>
    </row>
    <row r="85" spans="1:4">
      <c r="A85">
        <v>80</v>
      </c>
      <c r="B85">
        <f t="shared" si="2"/>
        <v>6400</v>
      </c>
      <c r="D85">
        <f t="shared" si="3"/>
        <v>80</v>
      </c>
    </row>
    <row r="86" spans="1:4">
      <c r="A86">
        <v>81</v>
      </c>
      <c r="B86">
        <f t="shared" si="2"/>
        <v>6561</v>
      </c>
      <c r="D86">
        <f t="shared" si="3"/>
        <v>81</v>
      </c>
    </row>
    <row r="87" spans="1:4">
      <c r="A87">
        <v>82</v>
      </c>
      <c r="B87">
        <f t="shared" si="2"/>
        <v>6642</v>
      </c>
      <c r="D87">
        <f t="shared" si="3"/>
        <v>81</v>
      </c>
    </row>
    <row r="88" spans="1:4">
      <c r="A88">
        <v>83</v>
      </c>
      <c r="B88">
        <f t="shared" si="2"/>
        <v>6806</v>
      </c>
      <c r="D88">
        <f t="shared" si="3"/>
        <v>82</v>
      </c>
    </row>
    <row r="89" spans="1:4">
      <c r="A89">
        <v>84</v>
      </c>
      <c r="B89">
        <f t="shared" si="2"/>
        <v>6888</v>
      </c>
      <c r="D89">
        <f t="shared" si="3"/>
        <v>82</v>
      </c>
    </row>
    <row r="90" spans="1:4">
      <c r="A90">
        <v>85</v>
      </c>
      <c r="B90">
        <f t="shared" si="2"/>
        <v>7055</v>
      </c>
      <c r="D90">
        <f t="shared" si="3"/>
        <v>83</v>
      </c>
    </row>
    <row r="91" spans="1:4">
      <c r="A91">
        <v>86</v>
      </c>
      <c r="B91">
        <f t="shared" si="2"/>
        <v>7138</v>
      </c>
      <c r="D91">
        <f t="shared" si="3"/>
        <v>83</v>
      </c>
    </row>
    <row r="92" spans="1:4">
      <c r="A92">
        <v>87</v>
      </c>
      <c r="B92">
        <f t="shared" si="2"/>
        <v>7308</v>
      </c>
      <c r="D92">
        <f t="shared" si="3"/>
        <v>84</v>
      </c>
    </row>
    <row r="93" spans="1:4">
      <c r="A93">
        <v>88</v>
      </c>
      <c r="B93">
        <f t="shared" si="2"/>
        <v>7392</v>
      </c>
      <c r="D93">
        <f t="shared" si="3"/>
        <v>84</v>
      </c>
    </row>
    <row r="94" spans="1:4">
      <c r="A94">
        <v>89</v>
      </c>
      <c r="B94">
        <f t="shared" si="2"/>
        <v>7565</v>
      </c>
      <c r="D94">
        <f t="shared" si="3"/>
        <v>85</v>
      </c>
    </row>
    <row r="95" spans="1:4">
      <c r="A95">
        <v>90</v>
      </c>
      <c r="B95">
        <f t="shared" si="2"/>
        <v>7650</v>
      </c>
      <c r="D95">
        <f t="shared" si="3"/>
        <v>85</v>
      </c>
    </row>
    <row r="96" spans="1:4">
      <c r="A96">
        <v>91</v>
      </c>
      <c r="B96">
        <f t="shared" si="2"/>
        <v>7826</v>
      </c>
      <c r="D96">
        <f t="shared" si="3"/>
        <v>86</v>
      </c>
    </row>
    <row r="97" spans="1:4">
      <c r="A97">
        <v>92</v>
      </c>
      <c r="B97">
        <f t="shared" si="2"/>
        <v>7912</v>
      </c>
      <c r="D97">
        <f t="shared" si="3"/>
        <v>86</v>
      </c>
    </row>
    <row r="98" spans="1:4">
      <c r="A98">
        <v>93</v>
      </c>
      <c r="B98">
        <f t="shared" si="2"/>
        <v>8091</v>
      </c>
      <c r="D98">
        <f t="shared" si="3"/>
        <v>87</v>
      </c>
    </row>
    <row r="99" spans="1:4">
      <c r="A99">
        <v>94</v>
      </c>
      <c r="B99">
        <f t="shared" si="2"/>
        <v>8178</v>
      </c>
      <c r="D99">
        <f t="shared" si="3"/>
        <v>87</v>
      </c>
    </row>
    <row r="100" spans="1:4">
      <c r="A100">
        <v>95</v>
      </c>
      <c r="B100">
        <f t="shared" si="2"/>
        <v>8360</v>
      </c>
      <c r="D100">
        <f t="shared" si="3"/>
        <v>88</v>
      </c>
    </row>
    <row r="101" spans="1:4">
      <c r="A101">
        <v>96</v>
      </c>
      <c r="B101">
        <f t="shared" si="2"/>
        <v>8448</v>
      </c>
      <c r="D101">
        <f t="shared" si="3"/>
        <v>88</v>
      </c>
    </row>
    <row r="102" spans="1:4">
      <c r="A102">
        <v>97</v>
      </c>
      <c r="B102">
        <f t="shared" si="2"/>
        <v>8633</v>
      </c>
      <c r="D102">
        <f t="shared" si="3"/>
        <v>89</v>
      </c>
    </row>
    <row r="103" spans="1:4">
      <c r="A103">
        <v>98</v>
      </c>
      <c r="B103">
        <f t="shared" si="2"/>
        <v>8722</v>
      </c>
      <c r="D103">
        <f t="shared" si="3"/>
        <v>89</v>
      </c>
    </row>
    <row r="104" spans="1:4">
      <c r="A104">
        <v>99</v>
      </c>
      <c r="B104">
        <f t="shared" si="2"/>
        <v>8910</v>
      </c>
      <c r="D104">
        <f t="shared" si="3"/>
        <v>90</v>
      </c>
    </row>
    <row r="105" spans="1:4">
      <c r="A105">
        <v>100</v>
      </c>
      <c r="B105">
        <f t="shared" si="2"/>
        <v>9000</v>
      </c>
      <c r="D105">
        <f t="shared" si="3"/>
        <v>90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C105"/>
  <sheetViews>
    <sheetView workbookViewId="0">
      <selection activeCell="E11" sqref="E11"/>
    </sheetView>
  </sheetViews>
  <sheetFormatPr defaultRowHeight="13.5"/>
  <sheetData>
    <row r="1" spans="1:3">
      <c r="A1" t="s">
        <v>6</v>
      </c>
    </row>
    <row r="3" spans="1:3">
      <c r="A3" t="s">
        <v>0</v>
      </c>
      <c r="B3" t="s">
        <v>1</v>
      </c>
      <c r="C3" t="s">
        <v>2</v>
      </c>
    </row>
    <row r="4" spans="1:3">
      <c r="A4" t="s">
        <v>3</v>
      </c>
      <c r="B4" t="s">
        <v>4</v>
      </c>
      <c r="C4" t="s">
        <v>5</v>
      </c>
    </row>
    <row r="6" spans="1:3">
      <c r="A6">
        <v>1</v>
      </c>
      <c r="B6">
        <v>20</v>
      </c>
      <c r="C6">
        <v>2000</v>
      </c>
    </row>
    <row r="7" spans="1:3">
      <c r="A7">
        <v>2</v>
      </c>
      <c r="B7">
        <v>20</v>
      </c>
      <c r="C7">
        <v>2000</v>
      </c>
    </row>
    <row r="8" spans="1:3">
      <c r="A8">
        <v>3</v>
      </c>
      <c r="B8">
        <v>50</v>
      </c>
      <c r="C8">
        <v>3500</v>
      </c>
    </row>
    <row r="9" spans="1:3">
      <c r="A9">
        <v>4</v>
      </c>
      <c r="B9">
        <v>50</v>
      </c>
      <c r="C9">
        <v>3500</v>
      </c>
    </row>
    <row r="10" spans="1:3">
      <c r="A10">
        <v>5</v>
      </c>
      <c r="B10">
        <v>50</v>
      </c>
      <c r="C10">
        <v>3500</v>
      </c>
    </row>
    <row r="11" spans="1:3">
      <c r="A11">
        <v>6</v>
      </c>
      <c r="B11">
        <v>50</v>
      </c>
      <c r="C11">
        <v>3500</v>
      </c>
    </row>
    <row r="12" spans="1:3">
      <c r="A12">
        <v>7</v>
      </c>
      <c r="B12">
        <v>50</v>
      </c>
      <c r="C12">
        <v>3500</v>
      </c>
    </row>
    <row r="13" spans="1:3">
      <c r="A13">
        <v>8</v>
      </c>
      <c r="B13">
        <v>50</v>
      </c>
      <c r="C13">
        <v>3500</v>
      </c>
    </row>
    <row r="14" spans="1:3">
      <c r="A14">
        <v>9</v>
      </c>
      <c r="B14">
        <v>50</v>
      </c>
      <c r="C14">
        <v>3500</v>
      </c>
    </row>
    <row r="15" spans="1:3">
      <c r="A15">
        <v>10</v>
      </c>
      <c r="B15">
        <v>100</v>
      </c>
      <c r="C15">
        <v>5000</v>
      </c>
    </row>
    <row r="16" spans="1:3">
      <c r="A16">
        <v>11</v>
      </c>
      <c r="B16">
        <v>100</v>
      </c>
      <c r="C16">
        <v>5000</v>
      </c>
    </row>
    <row r="17" spans="1:3">
      <c r="A17">
        <v>12</v>
      </c>
      <c r="B17">
        <v>100</v>
      </c>
      <c r="C17">
        <v>5000</v>
      </c>
    </row>
    <row r="18" spans="1:3">
      <c r="A18">
        <v>13</v>
      </c>
      <c r="B18">
        <v>100</v>
      </c>
      <c r="C18">
        <v>5000</v>
      </c>
    </row>
    <row r="19" spans="1:3">
      <c r="A19">
        <v>14</v>
      </c>
      <c r="B19">
        <v>100</v>
      </c>
      <c r="C19">
        <v>5000</v>
      </c>
    </row>
    <row r="20" spans="1:3">
      <c r="A20">
        <v>15</v>
      </c>
      <c r="B20">
        <v>100</v>
      </c>
      <c r="C20">
        <v>5000</v>
      </c>
    </row>
    <row r="21" spans="1:3">
      <c r="A21">
        <v>16</v>
      </c>
      <c r="B21">
        <v>100</v>
      </c>
      <c r="C21">
        <v>5000</v>
      </c>
    </row>
    <row r="22" spans="1:3">
      <c r="A22">
        <v>17</v>
      </c>
      <c r="B22">
        <v>100</v>
      </c>
      <c r="C22">
        <v>5000</v>
      </c>
    </row>
    <row r="23" spans="1:3">
      <c r="A23">
        <v>18</v>
      </c>
      <c r="B23">
        <v>100</v>
      </c>
      <c r="C23">
        <v>5000</v>
      </c>
    </row>
    <row r="24" spans="1:3">
      <c r="A24">
        <v>19</v>
      </c>
      <c r="B24">
        <v>100</v>
      </c>
      <c r="C24">
        <v>5000</v>
      </c>
    </row>
    <row r="25" spans="1:3">
      <c r="A25">
        <v>20</v>
      </c>
      <c r="B25">
        <v>100</v>
      </c>
      <c r="C25">
        <v>5000</v>
      </c>
    </row>
    <row r="26" spans="1:3">
      <c r="A26">
        <v>21</v>
      </c>
      <c r="B26">
        <v>100</v>
      </c>
      <c r="C26">
        <v>5000</v>
      </c>
    </row>
    <row r="27" spans="1:3">
      <c r="A27">
        <v>22</v>
      </c>
      <c r="B27">
        <v>100</v>
      </c>
      <c r="C27">
        <v>5000</v>
      </c>
    </row>
    <row r="28" spans="1:3">
      <c r="A28">
        <v>23</v>
      </c>
      <c r="B28">
        <v>100</v>
      </c>
      <c r="C28">
        <v>5000</v>
      </c>
    </row>
    <row r="29" spans="1:3">
      <c r="A29">
        <v>24</v>
      </c>
      <c r="B29">
        <v>100</v>
      </c>
      <c r="C29">
        <v>5000</v>
      </c>
    </row>
    <row r="30" spans="1:3">
      <c r="A30">
        <v>25</v>
      </c>
      <c r="B30">
        <v>100</v>
      </c>
      <c r="C30">
        <v>5000</v>
      </c>
    </row>
    <row r="31" spans="1:3">
      <c r="A31">
        <v>26</v>
      </c>
      <c r="B31">
        <v>150</v>
      </c>
      <c r="C31">
        <v>6500</v>
      </c>
    </row>
    <row r="32" spans="1:3">
      <c r="A32">
        <v>27</v>
      </c>
      <c r="B32">
        <v>150</v>
      </c>
      <c r="C32">
        <v>6500</v>
      </c>
    </row>
    <row r="33" spans="1:3">
      <c r="A33">
        <v>28</v>
      </c>
      <c r="B33">
        <v>150</v>
      </c>
      <c r="C33">
        <v>6500</v>
      </c>
    </row>
    <row r="34" spans="1:3">
      <c r="A34">
        <v>29</v>
      </c>
      <c r="B34">
        <v>150</v>
      </c>
      <c r="C34">
        <v>6500</v>
      </c>
    </row>
    <row r="35" spans="1:3">
      <c r="A35">
        <v>30</v>
      </c>
      <c r="B35">
        <v>150</v>
      </c>
      <c r="C35">
        <v>6500</v>
      </c>
    </row>
    <row r="36" spans="1:3">
      <c r="A36">
        <v>31</v>
      </c>
      <c r="B36">
        <v>150</v>
      </c>
      <c r="C36">
        <v>6500</v>
      </c>
    </row>
    <row r="37" spans="1:3">
      <c r="A37">
        <v>32</v>
      </c>
      <c r="B37">
        <v>150</v>
      </c>
      <c r="C37">
        <v>6500</v>
      </c>
    </row>
    <row r="38" spans="1:3">
      <c r="A38">
        <v>33</v>
      </c>
      <c r="B38">
        <v>150</v>
      </c>
      <c r="C38">
        <v>6500</v>
      </c>
    </row>
    <row r="39" spans="1:3">
      <c r="A39">
        <v>34</v>
      </c>
      <c r="B39">
        <v>150</v>
      </c>
      <c r="C39">
        <v>6500</v>
      </c>
    </row>
    <row r="40" spans="1:3">
      <c r="A40">
        <v>35</v>
      </c>
      <c r="B40">
        <v>150</v>
      </c>
      <c r="C40">
        <v>6500</v>
      </c>
    </row>
    <row r="41" spans="1:3">
      <c r="A41">
        <v>36</v>
      </c>
      <c r="B41">
        <v>150</v>
      </c>
      <c r="C41">
        <v>6500</v>
      </c>
    </row>
    <row r="42" spans="1:3">
      <c r="A42">
        <v>37</v>
      </c>
      <c r="B42">
        <v>150</v>
      </c>
      <c r="C42">
        <v>6500</v>
      </c>
    </row>
    <row r="43" spans="1:3">
      <c r="A43">
        <v>38</v>
      </c>
      <c r="B43">
        <v>150</v>
      </c>
      <c r="C43">
        <v>6500</v>
      </c>
    </row>
    <row r="44" spans="1:3">
      <c r="A44">
        <v>39</v>
      </c>
      <c r="B44">
        <v>150</v>
      </c>
      <c r="C44">
        <v>6500</v>
      </c>
    </row>
    <row r="45" spans="1:3">
      <c r="A45">
        <v>40</v>
      </c>
      <c r="B45">
        <v>150</v>
      </c>
      <c r="C45">
        <v>6500</v>
      </c>
    </row>
    <row r="46" spans="1:3">
      <c r="A46">
        <v>41</v>
      </c>
      <c r="B46">
        <v>150</v>
      </c>
      <c r="C46">
        <v>6500</v>
      </c>
    </row>
    <row r="47" spans="1:3">
      <c r="A47">
        <v>42</v>
      </c>
      <c r="B47">
        <v>150</v>
      </c>
      <c r="C47">
        <v>6500</v>
      </c>
    </row>
    <row r="48" spans="1:3">
      <c r="A48">
        <v>43</v>
      </c>
      <c r="B48">
        <v>150</v>
      </c>
      <c r="C48">
        <v>6500</v>
      </c>
    </row>
    <row r="49" spans="1:3">
      <c r="A49">
        <v>44</v>
      </c>
      <c r="B49">
        <v>150</v>
      </c>
      <c r="C49">
        <v>6500</v>
      </c>
    </row>
    <row r="50" spans="1:3">
      <c r="A50">
        <v>45</v>
      </c>
      <c r="B50">
        <v>150</v>
      </c>
      <c r="C50">
        <v>6500</v>
      </c>
    </row>
    <row r="51" spans="1:3">
      <c r="A51">
        <v>46</v>
      </c>
      <c r="B51">
        <v>150</v>
      </c>
      <c r="C51">
        <v>6500</v>
      </c>
    </row>
    <row r="52" spans="1:3">
      <c r="A52">
        <v>47</v>
      </c>
      <c r="B52">
        <v>150</v>
      </c>
      <c r="C52">
        <v>6500</v>
      </c>
    </row>
    <row r="53" spans="1:3">
      <c r="A53">
        <v>48</v>
      </c>
      <c r="B53">
        <v>150</v>
      </c>
      <c r="C53">
        <v>6500</v>
      </c>
    </row>
    <row r="54" spans="1:3">
      <c r="A54">
        <v>49</v>
      </c>
      <c r="B54">
        <v>200</v>
      </c>
      <c r="C54">
        <v>8000</v>
      </c>
    </row>
    <row r="55" spans="1:3">
      <c r="A55">
        <v>50</v>
      </c>
      <c r="B55">
        <v>200</v>
      </c>
      <c r="C55">
        <v>8000</v>
      </c>
    </row>
    <row r="56" spans="1:3">
      <c r="A56">
        <v>51</v>
      </c>
      <c r="B56">
        <v>200</v>
      </c>
      <c r="C56">
        <v>8000</v>
      </c>
    </row>
    <row r="57" spans="1:3">
      <c r="A57">
        <v>52</v>
      </c>
      <c r="B57">
        <v>200</v>
      </c>
      <c r="C57">
        <v>8000</v>
      </c>
    </row>
    <row r="58" spans="1:3">
      <c r="A58">
        <v>53</v>
      </c>
      <c r="B58">
        <v>200</v>
      </c>
      <c r="C58">
        <v>8000</v>
      </c>
    </row>
    <row r="59" spans="1:3">
      <c r="A59">
        <v>54</v>
      </c>
      <c r="B59">
        <v>200</v>
      </c>
      <c r="C59">
        <v>8000</v>
      </c>
    </row>
    <row r="60" spans="1:3">
      <c r="A60">
        <v>55</v>
      </c>
      <c r="B60">
        <v>200</v>
      </c>
      <c r="C60">
        <v>8000</v>
      </c>
    </row>
    <row r="61" spans="1:3">
      <c r="A61">
        <v>56</v>
      </c>
      <c r="B61">
        <v>200</v>
      </c>
      <c r="C61">
        <v>8000</v>
      </c>
    </row>
    <row r="62" spans="1:3">
      <c r="A62">
        <v>57</v>
      </c>
      <c r="B62">
        <v>200</v>
      </c>
      <c r="C62">
        <v>8000</v>
      </c>
    </row>
    <row r="63" spans="1:3">
      <c r="A63">
        <v>58</v>
      </c>
      <c r="B63">
        <v>200</v>
      </c>
      <c r="C63">
        <v>8000</v>
      </c>
    </row>
    <row r="64" spans="1:3">
      <c r="A64">
        <v>59</v>
      </c>
      <c r="B64">
        <v>200</v>
      </c>
      <c r="C64">
        <v>8000</v>
      </c>
    </row>
    <row r="65" spans="1:3">
      <c r="A65">
        <v>60</v>
      </c>
      <c r="B65">
        <v>200</v>
      </c>
      <c r="C65">
        <v>8000</v>
      </c>
    </row>
    <row r="66" spans="1:3">
      <c r="A66">
        <v>61</v>
      </c>
      <c r="B66">
        <v>200</v>
      </c>
      <c r="C66">
        <v>8000</v>
      </c>
    </row>
    <row r="67" spans="1:3">
      <c r="A67">
        <v>62</v>
      </c>
      <c r="B67">
        <v>200</v>
      </c>
      <c r="C67">
        <v>8000</v>
      </c>
    </row>
    <row r="68" spans="1:3">
      <c r="A68">
        <v>63</v>
      </c>
      <c r="B68">
        <v>200</v>
      </c>
      <c r="C68">
        <v>8000</v>
      </c>
    </row>
    <row r="69" spans="1:3">
      <c r="A69">
        <v>64</v>
      </c>
      <c r="B69">
        <v>200</v>
      </c>
      <c r="C69">
        <v>8000</v>
      </c>
    </row>
    <row r="70" spans="1:3">
      <c r="A70">
        <v>65</v>
      </c>
      <c r="B70">
        <v>200</v>
      </c>
      <c r="C70">
        <v>8000</v>
      </c>
    </row>
    <row r="71" spans="1:3">
      <c r="A71">
        <v>66</v>
      </c>
      <c r="B71">
        <v>200</v>
      </c>
      <c r="C71">
        <v>8000</v>
      </c>
    </row>
    <row r="72" spans="1:3">
      <c r="A72">
        <v>67</v>
      </c>
      <c r="B72">
        <v>200</v>
      </c>
      <c r="C72">
        <v>8000</v>
      </c>
    </row>
    <row r="73" spans="1:3">
      <c r="A73">
        <v>68</v>
      </c>
      <c r="B73">
        <v>200</v>
      </c>
      <c r="C73">
        <v>8000</v>
      </c>
    </row>
    <row r="74" spans="1:3">
      <c r="A74">
        <v>69</v>
      </c>
      <c r="B74">
        <v>200</v>
      </c>
      <c r="C74">
        <v>8000</v>
      </c>
    </row>
    <row r="75" spans="1:3">
      <c r="A75">
        <v>70</v>
      </c>
      <c r="B75">
        <v>200</v>
      </c>
      <c r="C75">
        <v>8000</v>
      </c>
    </row>
    <row r="76" spans="1:3">
      <c r="A76">
        <v>71</v>
      </c>
      <c r="B76">
        <v>200</v>
      </c>
      <c r="C76">
        <v>8000</v>
      </c>
    </row>
    <row r="77" spans="1:3">
      <c r="A77">
        <v>72</v>
      </c>
      <c r="B77">
        <v>200</v>
      </c>
      <c r="C77">
        <v>8000</v>
      </c>
    </row>
    <row r="78" spans="1:3">
      <c r="A78">
        <v>73</v>
      </c>
      <c r="B78">
        <v>200</v>
      </c>
      <c r="C78">
        <v>8000</v>
      </c>
    </row>
    <row r="79" spans="1:3">
      <c r="A79">
        <v>74</v>
      </c>
      <c r="B79">
        <v>200</v>
      </c>
      <c r="C79">
        <v>8000</v>
      </c>
    </row>
    <row r="80" spans="1:3">
      <c r="A80">
        <v>75</v>
      </c>
      <c r="B80">
        <v>200</v>
      </c>
      <c r="C80">
        <v>8000</v>
      </c>
    </row>
    <row r="81" spans="1:3">
      <c r="A81">
        <v>76</v>
      </c>
      <c r="B81">
        <v>200</v>
      </c>
      <c r="C81">
        <v>8000</v>
      </c>
    </row>
    <row r="82" spans="1:3">
      <c r="A82">
        <v>77</v>
      </c>
      <c r="B82">
        <v>200</v>
      </c>
      <c r="C82">
        <v>8000</v>
      </c>
    </row>
    <row r="83" spans="1:3">
      <c r="A83">
        <v>78</v>
      </c>
      <c r="B83">
        <v>200</v>
      </c>
      <c r="C83">
        <v>8000</v>
      </c>
    </row>
    <row r="84" spans="1:3">
      <c r="A84">
        <v>79</v>
      </c>
      <c r="B84">
        <v>200</v>
      </c>
      <c r="C84">
        <v>8000</v>
      </c>
    </row>
    <row r="85" spans="1:3">
      <c r="A85">
        <v>80</v>
      </c>
      <c r="B85">
        <v>200</v>
      </c>
      <c r="C85">
        <v>8000</v>
      </c>
    </row>
    <row r="86" spans="1:3">
      <c r="A86">
        <v>81</v>
      </c>
      <c r="B86">
        <v>200</v>
      </c>
      <c r="C86">
        <v>8000</v>
      </c>
    </row>
    <row r="87" spans="1:3">
      <c r="A87">
        <v>82</v>
      </c>
      <c r="B87">
        <v>200</v>
      </c>
      <c r="C87">
        <v>8000</v>
      </c>
    </row>
    <row r="88" spans="1:3">
      <c r="A88">
        <v>83</v>
      </c>
      <c r="B88">
        <v>200</v>
      </c>
      <c r="C88">
        <v>8000</v>
      </c>
    </row>
    <row r="89" spans="1:3">
      <c r="A89">
        <v>84</v>
      </c>
      <c r="B89">
        <v>200</v>
      </c>
      <c r="C89">
        <v>8000</v>
      </c>
    </row>
    <row r="90" spans="1:3">
      <c r="A90">
        <v>85</v>
      </c>
      <c r="B90">
        <v>200</v>
      </c>
      <c r="C90">
        <v>8000</v>
      </c>
    </row>
    <row r="91" spans="1:3">
      <c r="A91">
        <v>86</v>
      </c>
      <c r="B91">
        <v>200</v>
      </c>
      <c r="C91">
        <v>8000</v>
      </c>
    </row>
    <row r="92" spans="1:3">
      <c r="A92">
        <v>87</v>
      </c>
      <c r="B92">
        <v>200</v>
      </c>
      <c r="C92">
        <v>8000</v>
      </c>
    </row>
    <row r="93" spans="1:3">
      <c r="A93">
        <v>88</v>
      </c>
      <c r="B93">
        <v>200</v>
      </c>
      <c r="C93">
        <v>8000</v>
      </c>
    </row>
    <row r="94" spans="1:3">
      <c r="A94">
        <v>89</v>
      </c>
      <c r="B94">
        <v>200</v>
      </c>
      <c r="C94">
        <v>8000</v>
      </c>
    </row>
    <row r="95" spans="1:3">
      <c r="A95">
        <v>90</v>
      </c>
      <c r="B95">
        <v>200</v>
      </c>
      <c r="C95">
        <v>8000</v>
      </c>
    </row>
    <row r="96" spans="1:3">
      <c r="A96">
        <v>91</v>
      </c>
      <c r="B96">
        <v>200</v>
      </c>
      <c r="C96">
        <v>8000</v>
      </c>
    </row>
    <row r="97" spans="1:3">
      <c r="A97">
        <v>92</v>
      </c>
      <c r="B97">
        <v>200</v>
      </c>
      <c r="C97">
        <v>8000</v>
      </c>
    </row>
    <row r="98" spans="1:3">
      <c r="A98">
        <v>93</v>
      </c>
      <c r="B98">
        <v>200</v>
      </c>
      <c r="C98">
        <v>8000</v>
      </c>
    </row>
    <row r="99" spans="1:3">
      <c r="A99">
        <v>94</v>
      </c>
      <c r="B99">
        <v>200</v>
      </c>
      <c r="C99">
        <v>8000</v>
      </c>
    </row>
    <row r="100" spans="1:3">
      <c r="A100">
        <v>95</v>
      </c>
      <c r="B100">
        <v>200</v>
      </c>
      <c r="C100">
        <v>8000</v>
      </c>
    </row>
    <row r="101" spans="1:3">
      <c r="A101">
        <v>96</v>
      </c>
      <c r="B101">
        <v>200</v>
      </c>
      <c r="C101">
        <v>8000</v>
      </c>
    </row>
    <row r="102" spans="1:3">
      <c r="A102">
        <v>97</v>
      </c>
      <c r="B102">
        <v>200</v>
      </c>
      <c r="C102">
        <v>8000</v>
      </c>
    </row>
    <row r="103" spans="1:3">
      <c r="A103">
        <v>98</v>
      </c>
      <c r="B103">
        <v>200</v>
      </c>
      <c r="C103">
        <v>8000</v>
      </c>
    </row>
    <row r="104" spans="1:3">
      <c r="A104">
        <v>99</v>
      </c>
      <c r="B104">
        <v>200</v>
      </c>
      <c r="C104">
        <v>8000</v>
      </c>
    </row>
    <row r="105" spans="1:3">
      <c r="A105">
        <v>100</v>
      </c>
      <c r="B105">
        <v>200</v>
      </c>
      <c r="C105">
        <v>8000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M105"/>
  <sheetViews>
    <sheetView topLeftCell="A3" workbookViewId="0">
      <selection activeCell="A105" sqref="A6:C105"/>
    </sheetView>
  </sheetViews>
  <sheetFormatPr defaultRowHeight="13.5"/>
  <cols>
    <col min="8" max="8" width="14.375" customWidth="1"/>
    <col min="9" max="9" width="17" customWidth="1"/>
    <col min="10" max="10" width="17.75" customWidth="1"/>
  </cols>
  <sheetData>
    <row r="1" spans="1:13">
      <c r="A1" t="s">
        <v>6</v>
      </c>
    </row>
    <row r="3" spans="1:13">
      <c r="A3" t="s">
        <v>0</v>
      </c>
      <c r="B3" t="s">
        <v>1</v>
      </c>
      <c r="C3" t="s">
        <v>2</v>
      </c>
    </row>
    <row r="4" spans="1:13">
      <c r="A4" t="s">
        <v>3</v>
      </c>
      <c r="B4" t="s">
        <v>4</v>
      </c>
      <c r="C4" t="s">
        <v>5</v>
      </c>
      <c r="K4" s="1" t="s">
        <v>9</v>
      </c>
      <c r="L4" s="1" t="s">
        <v>7</v>
      </c>
      <c r="M4" s="1" t="s">
        <v>8</v>
      </c>
    </row>
    <row r="5" spans="1:13">
      <c r="G5" t="s">
        <v>10</v>
      </c>
      <c r="H5" t="s">
        <v>11</v>
      </c>
      <c r="I5" t="s">
        <v>12</v>
      </c>
    </row>
    <row r="6" spans="1:13">
      <c r="A6">
        <v>1</v>
      </c>
      <c r="B6">
        <v>20</v>
      </c>
      <c r="C6">
        <v>2000</v>
      </c>
      <c r="E6">
        <f t="shared" ref="E6:E37" si="0">VLOOKUP(A6,K$6:M$21,2,0)</f>
        <v>0</v>
      </c>
      <c r="G6">
        <f>SUM(B$4:B6)</f>
        <v>20</v>
      </c>
      <c r="H6">
        <f t="shared" ref="H6" si="1">SUM(C4:C6)</f>
        <v>2000</v>
      </c>
      <c r="I6">
        <f>C6/B6</f>
        <v>100</v>
      </c>
      <c r="K6" s="1">
        <v>1</v>
      </c>
      <c r="L6" s="1">
        <v>0</v>
      </c>
      <c r="M6" s="1">
        <v>0</v>
      </c>
    </row>
    <row r="7" spans="1:13">
      <c r="A7">
        <v>2</v>
      </c>
      <c r="B7">
        <v>20</v>
      </c>
      <c r="C7">
        <v>2000</v>
      </c>
      <c r="E7" t="e">
        <f t="shared" si="0"/>
        <v>#N/A</v>
      </c>
      <c r="G7">
        <f>SUM(B$4:B7)</f>
        <v>40</v>
      </c>
      <c r="H7">
        <f t="shared" ref="H7" si="2">SUM(C5:C7)</f>
        <v>4000</v>
      </c>
      <c r="I7">
        <f t="shared" ref="I7:I70" si="3">C7/B7</f>
        <v>100</v>
      </c>
      <c r="K7" s="1">
        <v>3</v>
      </c>
      <c r="L7" s="1">
        <v>1</v>
      </c>
      <c r="M7" s="1">
        <v>100</v>
      </c>
    </row>
    <row r="8" spans="1:13">
      <c r="A8">
        <v>3</v>
      </c>
      <c r="B8">
        <v>50</v>
      </c>
      <c r="C8">
        <v>3500</v>
      </c>
      <c r="E8">
        <f t="shared" si="0"/>
        <v>1</v>
      </c>
      <c r="F8">
        <f t="shared" ref="F8:F39" si="4">VLOOKUP(E8,L$6:M$21,2,0)</f>
        <v>100</v>
      </c>
      <c r="G8">
        <f>SUM(B$4:B8)</f>
        <v>90</v>
      </c>
      <c r="H8">
        <f>SUM(C6:C8)</f>
        <v>7500</v>
      </c>
      <c r="I8">
        <f t="shared" si="3"/>
        <v>70</v>
      </c>
      <c r="K8" s="1">
        <v>5</v>
      </c>
      <c r="L8" s="1">
        <v>2</v>
      </c>
      <c r="M8" s="1">
        <v>300</v>
      </c>
    </row>
    <row r="9" spans="1:13">
      <c r="A9">
        <v>4</v>
      </c>
      <c r="B9">
        <v>50</v>
      </c>
      <c r="C9">
        <v>3500</v>
      </c>
      <c r="E9" t="e">
        <f t="shared" si="0"/>
        <v>#N/A</v>
      </c>
      <c r="F9" t="e">
        <f t="shared" si="4"/>
        <v>#N/A</v>
      </c>
      <c r="G9">
        <f>SUM(B$4:B9)</f>
        <v>140</v>
      </c>
      <c r="H9">
        <f t="shared" ref="H9" si="5">SUM(C7:C9)</f>
        <v>9000</v>
      </c>
      <c r="I9">
        <f t="shared" si="3"/>
        <v>70</v>
      </c>
      <c r="K9" s="1">
        <v>7</v>
      </c>
      <c r="L9" s="1">
        <v>3</v>
      </c>
      <c r="M9" s="1">
        <v>500</v>
      </c>
    </row>
    <row r="10" spans="1:13">
      <c r="A10">
        <v>5</v>
      </c>
      <c r="B10">
        <v>50</v>
      </c>
      <c r="C10">
        <v>3500</v>
      </c>
      <c r="E10">
        <f t="shared" si="0"/>
        <v>2</v>
      </c>
      <c r="F10">
        <f t="shared" si="4"/>
        <v>300</v>
      </c>
      <c r="G10">
        <f>SUM(B$4:B10)</f>
        <v>190</v>
      </c>
      <c r="H10">
        <f t="shared" ref="H10" si="6">SUM(C8:C10)</f>
        <v>10500</v>
      </c>
      <c r="I10">
        <f t="shared" si="3"/>
        <v>70</v>
      </c>
      <c r="K10" s="1">
        <v>10</v>
      </c>
      <c r="L10" s="1">
        <v>4</v>
      </c>
      <c r="M10" s="1">
        <v>900</v>
      </c>
    </row>
    <row r="11" spans="1:13">
      <c r="A11">
        <v>6</v>
      </c>
      <c r="B11">
        <v>50</v>
      </c>
      <c r="C11">
        <v>3500</v>
      </c>
      <c r="E11" t="e">
        <f t="shared" si="0"/>
        <v>#N/A</v>
      </c>
      <c r="F11" t="e">
        <f t="shared" si="4"/>
        <v>#N/A</v>
      </c>
      <c r="G11">
        <f>SUM(B$4:B11)</f>
        <v>240</v>
      </c>
      <c r="H11">
        <f t="shared" ref="H11" si="7">SUM(C9:C11)</f>
        <v>10500</v>
      </c>
      <c r="I11">
        <f t="shared" si="3"/>
        <v>70</v>
      </c>
      <c r="K11" s="1">
        <v>15</v>
      </c>
      <c r="L11" s="1">
        <v>5</v>
      </c>
      <c r="M11" s="1">
        <v>1500</v>
      </c>
    </row>
    <row r="12" spans="1:13">
      <c r="A12">
        <v>7</v>
      </c>
      <c r="B12">
        <v>50</v>
      </c>
      <c r="C12">
        <v>3500</v>
      </c>
      <c r="E12">
        <f t="shared" si="0"/>
        <v>3</v>
      </c>
      <c r="F12">
        <f t="shared" si="4"/>
        <v>500</v>
      </c>
      <c r="G12">
        <f>SUM(B$4:B12)</f>
        <v>290</v>
      </c>
      <c r="H12">
        <f t="shared" ref="H12" si="8">SUM(C10:C12)</f>
        <v>10500</v>
      </c>
      <c r="I12">
        <f t="shared" si="3"/>
        <v>70</v>
      </c>
      <c r="K12" s="1">
        <v>20</v>
      </c>
      <c r="L12" s="1">
        <v>6</v>
      </c>
      <c r="M12" s="1">
        <v>3000</v>
      </c>
    </row>
    <row r="13" spans="1:13">
      <c r="A13">
        <v>8</v>
      </c>
      <c r="B13">
        <v>50</v>
      </c>
      <c r="C13">
        <v>3500</v>
      </c>
      <c r="E13" t="e">
        <f t="shared" si="0"/>
        <v>#N/A</v>
      </c>
      <c r="F13" t="e">
        <f t="shared" si="4"/>
        <v>#N/A</v>
      </c>
      <c r="G13">
        <f>SUM(B$4:B13)</f>
        <v>340</v>
      </c>
      <c r="H13">
        <f t="shared" ref="H13" si="9">SUM(C11:C13)</f>
        <v>10500</v>
      </c>
      <c r="I13">
        <f t="shared" si="3"/>
        <v>70</v>
      </c>
      <c r="K13" s="1">
        <v>25</v>
      </c>
      <c r="L13" s="1">
        <v>7</v>
      </c>
      <c r="M13" s="1">
        <v>5000</v>
      </c>
    </row>
    <row r="14" spans="1:13">
      <c r="A14">
        <v>9</v>
      </c>
      <c r="B14">
        <v>50</v>
      </c>
      <c r="C14">
        <v>3500</v>
      </c>
      <c r="E14" t="e">
        <f t="shared" si="0"/>
        <v>#N/A</v>
      </c>
      <c r="F14" t="e">
        <f t="shared" si="4"/>
        <v>#N/A</v>
      </c>
      <c r="G14">
        <f>SUM(B$4:B14)</f>
        <v>390</v>
      </c>
      <c r="H14">
        <f t="shared" ref="H14" si="10">SUM(C12:C14)</f>
        <v>10500</v>
      </c>
      <c r="I14">
        <f t="shared" si="3"/>
        <v>70</v>
      </c>
      <c r="K14" s="1">
        <v>30</v>
      </c>
      <c r="L14" s="1">
        <v>8</v>
      </c>
      <c r="M14" s="1">
        <v>7000</v>
      </c>
    </row>
    <row r="15" spans="1:13">
      <c r="A15">
        <v>10</v>
      </c>
      <c r="B15">
        <v>100</v>
      </c>
      <c r="C15">
        <v>5000</v>
      </c>
      <c r="E15">
        <f t="shared" si="0"/>
        <v>4</v>
      </c>
      <c r="F15">
        <f t="shared" si="4"/>
        <v>900</v>
      </c>
      <c r="G15">
        <f>SUM(B$4:B15)</f>
        <v>490</v>
      </c>
      <c r="H15">
        <f t="shared" ref="H15" si="11">SUM(C13:C15)</f>
        <v>12000</v>
      </c>
      <c r="I15">
        <f t="shared" si="3"/>
        <v>50</v>
      </c>
      <c r="K15" s="1">
        <v>35</v>
      </c>
      <c r="L15" s="1">
        <v>9</v>
      </c>
      <c r="M15" s="1">
        <v>10000</v>
      </c>
    </row>
    <row r="16" spans="1:13">
      <c r="A16">
        <v>11</v>
      </c>
      <c r="B16">
        <v>100</v>
      </c>
      <c r="C16">
        <v>5000</v>
      </c>
      <c r="E16" t="e">
        <f t="shared" si="0"/>
        <v>#N/A</v>
      </c>
      <c r="F16" t="e">
        <f t="shared" si="4"/>
        <v>#N/A</v>
      </c>
      <c r="G16">
        <f>SUM(B$4:B16)</f>
        <v>590</v>
      </c>
      <c r="H16">
        <f t="shared" ref="H16" si="12">SUM(C14:C16)</f>
        <v>13500</v>
      </c>
      <c r="I16">
        <f t="shared" si="3"/>
        <v>50</v>
      </c>
      <c r="K16" s="1">
        <v>40</v>
      </c>
      <c r="L16" s="1">
        <v>10</v>
      </c>
      <c r="M16" s="1">
        <v>15000</v>
      </c>
    </row>
    <row r="17" spans="1:13">
      <c r="A17">
        <v>12</v>
      </c>
      <c r="B17">
        <v>100</v>
      </c>
      <c r="C17">
        <v>5000</v>
      </c>
      <c r="E17" t="e">
        <f t="shared" si="0"/>
        <v>#N/A</v>
      </c>
      <c r="F17" t="e">
        <f t="shared" si="4"/>
        <v>#N/A</v>
      </c>
      <c r="G17">
        <f>SUM(B$4:B17)</f>
        <v>690</v>
      </c>
      <c r="H17">
        <f t="shared" ref="H17" si="13">SUM(C15:C17)</f>
        <v>15000</v>
      </c>
      <c r="I17">
        <f t="shared" si="3"/>
        <v>50</v>
      </c>
      <c r="K17" s="1">
        <v>50</v>
      </c>
      <c r="L17" s="1">
        <v>11</v>
      </c>
      <c r="M17" s="1">
        <v>25000</v>
      </c>
    </row>
    <row r="18" spans="1:13">
      <c r="A18">
        <v>13</v>
      </c>
      <c r="B18">
        <v>100</v>
      </c>
      <c r="C18">
        <v>5000</v>
      </c>
      <c r="E18" t="e">
        <f t="shared" si="0"/>
        <v>#N/A</v>
      </c>
      <c r="F18" t="e">
        <f t="shared" si="4"/>
        <v>#N/A</v>
      </c>
      <c r="G18">
        <f>SUM(B$4:B18)</f>
        <v>790</v>
      </c>
      <c r="H18">
        <f t="shared" ref="H18" si="14">SUM(C16:C18)</f>
        <v>15000</v>
      </c>
      <c r="I18">
        <f t="shared" si="3"/>
        <v>50</v>
      </c>
      <c r="K18" s="1">
        <v>60</v>
      </c>
      <c r="L18" s="1">
        <v>12</v>
      </c>
      <c r="M18" s="1">
        <v>45000</v>
      </c>
    </row>
    <row r="19" spans="1:13">
      <c r="A19">
        <v>14</v>
      </c>
      <c r="B19">
        <v>100</v>
      </c>
      <c r="C19">
        <v>5000</v>
      </c>
      <c r="E19" t="e">
        <f t="shared" si="0"/>
        <v>#N/A</v>
      </c>
      <c r="F19" t="e">
        <f t="shared" si="4"/>
        <v>#N/A</v>
      </c>
      <c r="G19">
        <f>SUM(B$4:B19)</f>
        <v>890</v>
      </c>
      <c r="H19">
        <f t="shared" ref="H19" si="15">SUM(C17:C19)</f>
        <v>15000</v>
      </c>
      <c r="I19">
        <f t="shared" si="3"/>
        <v>50</v>
      </c>
      <c r="K19" s="1">
        <v>70</v>
      </c>
      <c r="L19" s="1">
        <v>13</v>
      </c>
      <c r="M19" s="1">
        <v>80000</v>
      </c>
    </row>
    <row r="20" spans="1:13">
      <c r="A20">
        <v>15</v>
      </c>
      <c r="B20">
        <v>100</v>
      </c>
      <c r="C20">
        <v>5000</v>
      </c>
      <c r="E20">
        <f t="shared" si="0"/>
        <v>5</v>
      </c>
      <c r="F20">
        <f t="shared" si="4"/>
        <v>1500</v>
      </c>
      <c r="G20">
        <f>SUM(B$4:B20)</f>
        <v>990</v>
      </c>
      <c r="H20">
        <f t="shared" ref="H20" si="16">SUM(C18:C20)</f>
        <v>15000</v>
      </c>
      <c r="I20">
        <f t="shared" si="3"/>
        <v>50</v>
      </c>
      <c r="K20" s="1">
        <v>80</v>
      </c>
      <c r="L20" s="1">
        <v>14</v>
      </c>
      <c r="M20" s="1">
        <v>140000</v>
      </c>
    </row>
    <row r="21" spans="1:13">
      <c r="A21">
        <v>16</v>
      </c>
      <c r="B21">
        <v>100</v>
      </c>
      <c r="C21">
        <v>5000</v>
      </c>
      <c r="E21" t="e">
        <f t="shared" si="0"/>
        <v>#N/A</v>
      </c>
      <c r="F21" t="e">
        <f t="shared" si="4"/>
        <v>#N/A</v>
      </c>
      <c r="G21">
        <f>SUM(B$4:B21)</f>
        <v>1090</v>
      </c>
      <c r="H21">
        <f t="shared" ref="H21" si="17">SUM(C19:C21)</f>
        <v>15000</v>
      </c>
      <c r="I21">
        <f t="shared" si="3"/>
        <v>50</v>
      </c>
      <c r="K21" s="1">
        <v>100</v>
      </c>
      <c r="L21" s="1">
        <v>15</v>
      </c>
      <c r="M21" s="1">
        <v>250000</v>
      </c>
    </row>
    <row r="22" spans="1:13">
      <c r="A22">
        <v>17</v>
      </c>
      <c r="B22">
        <v>100</v>
      </c>
      <c r="C22">
        <v>5000</v>
      </c>
      <c r="E22" t="e">
        <f t="shared" si="0"/>
        <v>#N/A</v>
      </c>
      <c r="F22" t="e">
        <f t="shared" si="4"/>
        <v>#N/A</v>
      </c>
      <c r="G22">
        <f>SUM(B$4:B22)</f>
        <v>1190</v>
      </c>
      <c r="H22">
        <f t="shared" ref="H22" si="18">SUM(C20:C22)</f>
        <v>15000</v>
      </c>
      <c r="I22">
        <f t="shared" si="3"/>
        <v>50</v>
      </c>
    </row>
    <row r="23" spans="1:13">
      <c r="A23">
        <v>18</v>
      </c>
      <c r="B23">
        <v>100</v>
      </c>
      <c r="C23">
        <v>5000</v>
      </c>
      <c r="E23" t="e">
        <f t="shared" si="0"/>
        <v>#N/A</v>
      </c>
      <c r="F23" t="e">
        <f t="shared" si="4"/>
        <v>#N/A</v>
      </c>
      <c r="G23">
        <f>SUM(B$4:B23)</f>
        <v>1290</v>
      </c>
      <c r="H23">
        <f t="shared" ref="H23" si="19">SUM(C21:C23)</f>
        <v>15000</v>
      </c>
      <c r="I23">
        <f t="shared" si="3"/>
        <v>50</v>
      </c>
    </row>
    <row r="24" spans="1:13">
      <c r="A24">
        <v>19</v>
      </c>
      <c r="B24">
        <v>100</v>
      </c>
      <c r="C24">
        <v>5000</v>
      </c>
      <c r="E24" t="e">
        <f t="shared" si="0"/>
        <v>#N/A</v>
      </c>
      <c r="F24" t="e">
        <f t="shared" si="4"/>
        <v>#N/A</v>
      </c>
      <c r="G24">
        <f>SUM(B$4:B24)</f>
        <v>1390</v>
      </c>
      <c r="H24">
        <f t="shared" ref="H24" si="20">SUM(C22:C24)</f>
        <v>15000</v>
      </c>
      <c r="I24">
        <f t="shared" si="3"/>
        <v>50</v>
      </c>
    </row>
    <row r="25" spans="1:13">
      <c r="A25">
        <v>20</v>
      </c>
      <c r="B25">
        <v>100</v>
      </c>
      <c r="C25">
        <v>5000</v>
      </c>
      <c r="E25">
        <f t="shared" si="0"/>
        <v>6</v>
      </c>
      <c r="F25">
        <f t="shared" si="4"/>
        <v>3000</v>
      </c>
      <c r="G25">
        <f>SUM(B$4:B25)</f>
        <v>1490</v>
      </c>
      <c r="H25">
        <f t="shared" ref="H25" si="21">SUM(C23:C25)</f>
        <v>15000</v>
      </c>
      <c r="I25">
        <f t="shared" si="3"/>
        <v>50</v>
      </c>
    </row>
    <row r="26" spans="1:13">
      <c r="A26">
        <v>21</v>
      </c>
      <c r="B26">
        <v>100</v>
      </c>
      <c r="C26">
        <v>5000</v>
      </c>
      <c r="E26" t="e">
        <f t="shared" si="0"/>
        <v>#N/A</v>
      </c>
      <c r="F26" t="e">
        <f t="shared" si="4"/>
        <v>#N/A</v>
      </c>
      <c r="G26">
        <f>SUM(B$4:B26)</f>
        <v>1590</v>
      </c>
      <c r="H26">
        <f t="shared" ref="H26" si="22">SUM(C24:C26)</f>
        <v>15000</v>
      </c>
      <c r="I26">
        <f t="shared" si="3"/>
        <v>50</v>
      </c>
    </row>
    <row r="27" spans="1:13">
      <c r="A27">
        <v>22</v>
      </c>
      <c r="B27">
        <v>100</v>
      </c>
      <c r="C27">
        <v>5000</v>
      </c>
      <c r="E27" t="e">
        <f t="shared" si="0"/>
        <v>#N/A</v>
      </c>
      <c r="F27" t="e">
        <f t="shared" si="4"/>
        <v>#N/A</v>
      </c>
      <c r="G27">
        <f>SUM(B$4:B27)</f>
        <v>1690</v>
      </c>
      <c r="H27">
        <f t="shared" ref="H27" si="23">SUM(C25:C27)</f>
        <v>15000</v>
      </c>
      <c r="I27">
        <f t="shared" si="3"/>
        <v>50</v>
      </c>
    </row>
    <row r="28" spans="1:13">
      <c r="A28">
        <v>23</v>
      </c>
      <c r="B28">
        <v>100</v>
      </c>
      <c r="C28">
        <v>5000</v>
      </c>
      <c r="E28" t="e">
        <f t="shared" si="0"/>
        <v>#N/A</v>
      </c>
      <c r="F28" t="e">
        <f t="shared" si="4"/>
        <v>#N/A</v>
      </c>
      <c r="G28">
        <f>SUM(B$4:B28)</f>
        <v>1790</v>
      </c>
      <c r="H28">
        <f t="shared" ref="H28" si="24">SUM(C26:C28)</f>
        <v>15000</v>
      </c>
      <c r="I28">
        <f t="shared" si="3"/>
        <v>50</v>
      </c>
    </row>
    <row r="29" spans="1:13">
      <c r="A29">
        <v>24</v>
      </c>
      <c r="B29">
        <v>100</v>
      </c>
      <c r="C29">
        <v>5000</v>
      </c>
      <c r="E29" t="e">
        <f t="shared" si="0"/>
        <v>#N/A</v>
      </c>
      <c r="F29" t="e">
        <f t="shared" si="4"/>
        <v>#N/A</v>
      </c>
      <c r="G29">
        <f>SUM(B$4:B29)</f>
        <v>1890</v>
      </c>
      <c r="H29">
        <f t="shared" ref="H29" si="25">SUM(C27:C29)</f>
        <v>15000</v>
      </c>
      <c r="I29">
        <f t="shared" si="3"/>
        <v>50</v>
      </c>
    </row>
    <row r="30" spans="1:13">
      <c r="A30">
        <v>25</v>
      </c>
      <c r="B30">
        <v>100</v>
      </c>
      <c r="C30">
        <v>5000</v>
      </c>
      <c r="E30">
        <f t="shared" si="0"/>
        <v>7</v>
      </c>
      <c r="F30">
        <f t="shared" si="4"/>
        <v>5000</v>
      </c>
      <c r="G30">
        <f>SUM(B$4:B30)</f>
        <v>1990</v>
      </c>
      <c r="H30">
        <f t="shared" ref="H30" si="26">SUM(C28:C30)</f>
        <v>15000</v>
      </c>
      <c r="I30">
        <f t="shared" si="3"/>
        <v>50</v>
      </c>
    </row>
    <row r="31" spans="1:13">
      <c r="A31">
        <v>26</v>
      </c>
      <c r="B31">
        <v>150</v>
      </c>
      <c r="C31">
        <v>6500</v>
      </c>
      <c r="E31" t="e">
        <f t="shared" si="0"/>
        <v>#N/A</v>
      </c>
      <c r="F31" t="e">
        <f t="shared" si="4"/>
        <v>#N/A</v>
      </c>
      <c r="G31">
        <f>SUM(B$4:B31)</f>
        <v>2140</v>
      </c>
      <c r="H31">
        <f t="shared" ref="H31" si="27">SUM(C29:C31)</f>
        <v>16500</v>
      </c>
      <c r="I31">
        <f t="shared" si="3"/>
        <v>43.333333333333336</v>
      </c>
    </row>
    <row r="32" spans="1:13">
      <c r="A32">
        <v>27</v>
      </c>
      <c r="B32">
        <v>150</v>
      </c>
      <c r="C32">
        <v>6500</v>
      </c>
      <c r="E32" t="e">
        <f t="shared" si="0"/>
        <v>#N/A</v>
      </c>
      <c r="F32" t="e">
        <f t="shared" si="4"/>
        <v>#N/A</v>
      </c>
      <c r="G32">
        <f>SUM(B$4:B32)</f>
        <v>2290</v>
      </c>
      <c r="H32">
        <f t="shared" ref="H32" si="28">SUM(C30:C32)</f>
        <v>18000</v>
      </c>
      <c r="I32">
        <f t="shared" si="3"/>
        <v>43.333333333333336</v>
      </c>
    </row>
    <row r="33" spans="1:9">
      <c r="A33">
        <v>28</v>
      </c>
      <c r="B33">
        <v>150</v>
      </c>
      <c r="C33">
        <v>6500</v>
      </c>
      <c r="E33" t="e">
        <f t="shared" si="0"/>
        <v>#N/A</v>
      </c>
      <c r="F33" t="e">
        <f t="shared" si="4"/>
        <v>#N/A</v>
      </c>
      <c r="G33">
        <f>SUM(B$4:B33)</f>
        <v>2440</v>
      </c>
      <c r="H33">
        <f t="shared" ref="H33" si="29">SUM(C31:C33)</f>
        <v>19500</v>
      </c>
      <c r="I33">
        <f t="shared" si="3"/>
        <v>43.333333333333336</v>
      </c>
    </row>
    <row r="34" spans="1:9">
      <c r="A34">
        <v>29</v>
      </c>
      <c r="B34">
        <v>150</v>
      </c>
      <c r="C34">
        <v>6500</v>
      </c>
      <c r="E34" t="e">
        <f t="shared" si="0"/>
        <v>#N/A</v>
      </c>
      <c r="F34" t="e">
        <f t="shared" si="4"/>
        <v>#N/A</v>
      </c>
      <c r="G34">
        <f>SUM(B$4:B34)</f>
        <v>2590</v>
      </c>
      <c r="H34">
        <f t="shared" ref="H34" si="30">SUM(C32:C34)</f>
        <v>19500</v>
      </c>
      <c r="I34">
        <f t="shared" si="3"/>
        <v>43.333333333333336</v>
      </c>
    </row>
    <row r="35" spans="1:9">
      <c r="A35">
        <v>30</v>
      </c>
      <c r="B35">
        <v>150</v>
      </c>
      <c r="C35">
        <v>6500</v>
      </c>
      <c r="E35">
        <f t="shared" si="0"/>
        <v>8</v>
      </c>
      <c r="F35">
        <f t="shared" si="4"/>
        <v>7000</v>
      </c>
      <c r="G35">
        <f>SUM(B$4:B35)</f>
        <v>2740</v>
      </c>
      <c r="H35">
        <f t="shared" ref="H35" si="31">SUM(C33:C35)</f>
        <v>19500</v>
      </c>
      <c r="I35">
        <f t="shared" si="3"/>
        <v>43.333333333333336</v>
      </c>
    </row>
    <row r="36" spans="1:9">
      <c r="A36">
        <v>31</v>
      </c>
      <c r="B36">
        <v>150</v>
      </c>
      <c r="C36">
        <v>6500</v>
      </c>
      <c r="E36" t="e">
        <f t="shared" si="0"/>
        <v>#N/A</v>
      </c>
      <c r="F36" t="e">
        <f t="shared" si="4"/>
        <v>#N/A</v>
      </c>
      <c r="G36">
        <f>SUM(B$4:B36)</f>
        <v>2890</v>
      </c>
      <c r="H36">
        <f t="shared" ref="H36" si="32">SUM(C34:C36)</f>
        <v>19500</v>
      </c>
      <c r="I36">
        <f t="shared" si="3"/>
        <v>43.333333333333336</v>
      </c>
    </row>
    <row r="37" spans="1:9">
      <c r="A37">
        <v>32</v>
      </c>
      <c r="B37">
        <v>150</v>
      </c>
      <c r="C37">
        <v>6500</v>
      </c>
      <c r="E37" t="e">
        <f t="shared" si="0"/>
        <v>#N/A</v>
      </c>
      <c r="F37" t="e">
        <f t="shared" si="4"/>
        <v>#N/A</v>
      </c>
      <c r="G37">
        <f>SUM(B$4:B37)</f>
        <v>3040</v>
      </c>
      <c r="H37">
        <f t="shared" ref="H37" si="33">SUM(C35:C37)</f>
        <v>19500</v>
      </c>
      <c r="I37">
        <f t="shared" si="3"/>
        <v>43.333333333333336</v>
      </c>
    </row>
    <row r="38" spans="1:9">
      <c r="A38">
        <v>33</v>
      </c>
      <c r="B38">
        <v>150</v>
      </c>
      <c r="C38">
        <v>6500</v>
      </c>
      <c r="E38" t="e">
        <f t="shared" ref="E38:E69" si="34">VLOOKUP(A38,K$6:M$21,2,0)</f>
        <v>#N/A</v>
      </c>
      <c r="F38" t="e">
        <f t="shared" si="4"/>
        <v>#N/A</v>
      </c>
      <c r="G38">
        <f>SUM(B$4:B38)</f>
        <v>3190</v>
      </c>
      <c r="H38">
        <f t="shared" ref="H38" si="35">SUM(C36:C38)</f>
        <v>19500</v>
      </c>
      <c r="I38">
        <f t="shared" si="3"/>
        <v>43.333333333333336</v>
      </c>
    </row>
    <row r="39" spans="1:9">
      <c r="A39">
        <v>34</v>
      </c>
      <c r="B39">
        <v>150</v>
      </c>
      <c r="C39">
        <v>6500</v>
      </c>
      <c r="E39" t="e">
        <f t="shared" si="34"/>
        <v>#N/A</v>
      </c>
      <c r="F39" t="e">
        <f t="shared" si="4"/>
        <v>#N/A</v>
      </c>
      <c r="G39">
        <f>SUM(B$4:B39)</f>
        <v>3340</v>
      </c>
      <c r="H39">
        <f t="shared" ref="H39" si="36">SUM(C37:C39)</f>
        <v>19500</v>
      </c>
      <c r="I39">
        <f t="shared" si="3"/>
        <v>43.333333333333336</v>
      </c>
    </row>
    <row r="40" spans="1:9">
      <c r="A40">
        <v>35</v>
      </c>
      <c r="B40">
        <v>150</v>
      </c>
      <c r="C40">
        <v>6500</v>
      </c>
      <c r="E40">
        <f t="shared" si="34"/>
        <v>9</v>
      </c>
      <c r="F40">
        <f t="shared" ref="F40:F71" si="37">VLOOKUP(E40,L$6:M$21,2,0)</f>
        <v>10000</v>
      </c>
      <c r="G40">
        <f>SUM(B$4:B40)</f>
        <v>3490</v>
      </c>
      <c r="H40">
        <f t="shared" ref="H40" si="38">SUM(C38:C40)</f>
        <v>19500</v>
      </c>
      <c r="I40">
        <f t="shared" si="3"/>
        <v>43.333333333333336</v>
      </c>
    </row>
    <row r="41" spans="1:9">
      <c r="A41">
        <v>36</v>
      </c>
      <c r="B41">
        <v>150</v>
      </c>
      <c r="C41">
        <v>6500</v>
      </c>
      <c r="E41" t="e">
        <f t="shared" si="34"/>
        <v>#N/A</v>
      </c>
      <c r="F41" t="e">
        <f t="shared" si="37"/>
        <v>#N/A</v>
      </c>
      <c r="G41">
        <f>SUM(B$4:B41)</f>
        <v>3640</v>
      </c>
      <c r="H41">
        <f t="shared" ref="H41" si="39">SUM(C39:C41)</f>
        <v>19500</v>
      </c>
      <c r="I41">
        <f t="shared" si="3"/>
        <v>43.333333333333336</v>
      </c>
    </row>
    <row r="42" spans="1:9">
      <c r="A42">
        <v>37</v>
      </c>
      <c r="B42">
        <v>150</v>
      </c>
      <c r="C42">
        <v>6500</v>
      </c>
      <c r="E42" t="e">
        <f t="shared" si="34"/>
        <v>#N/A</v>
      </c>
      <c r="F42" t="e">
        <f t="shared" si="37"/>
        <v>#N/A</v>
      </c>
      <c r="G42">
        <f>SUM(B$4:B42)</f>
        <v>3790</v>
      </c>
      <c r="H42">
        <f t="shared" ref="H42" si="40">SUM(C40:C42)</f>
        <v>19500</v>
      </c>
      <c r="I42">
        <f t="shared" si="3"/>
        <v>43.333333333333336</v>
      </c>
    </row>
    <row r="43" spans="1:9">
      <c r="A43">
        <v>38</v>
      </c>
      <c r="B43">
        <v>150</v>
      </c>
      <c r="C43">
        <v>6500</v>
      </c>
      <c r="E43" t="e">
        <f t="shared" si="34"/>
        <v>#N/A</v>
      </c>
      <c r="F43" t="e">
        <f t="shared" si="37"/>
        <v>#N/A</v>
      </c>
      <c r="G43">
        <f>SUM(B$4:B43)</f>
        <v>3940</v>
      </c>
      <c r="H43">
        <f t="shared" ref="H43" si="41">SUM(C41:C43)</f>
        <v>19500</v>
      </c>
      <c r="I43">
        <f t="shared" si="3"/>
        <v>43.333333333333336</v>
      </c>
    </row>
    <row r="44" spans="1:9">
      <c r="A44">
        <v>39</v>
      </c>
      <c r="B44">
        <v>150</v>
      </c>
      <c r="C44">
        <v>6500</v>
      </c>
      <c r="E44" t="e">
        <f t="shared" si="34"/>
        <v>#N/A</v>
      </c>
      <c r="F44" t="e">
        <f t="shared" si="37"/>
        <v>#N/A</v>
      </c>
      <c r="G44">
        <f>SUM(B$4:B44)</f>
        <v>4090</v>
      </c>
      <c r="H44">
        <f t="shared" ref="H44" si="42">SUM(C42:C44)</f>
        <v>19500</v>
      </c>
      <c r="I44">
        <f t="shared" si="3"/>
        <v>43.333333333333336</v>
      </c>
    </row>
    <row r="45" spans="1:9">
      <c r="A45">
        <v>40</v>
      </c>
      <c r="B45">
        <v>150</v>
      </c>
      <c r="C45">
        <v>6500</v>
      </c>
      <c r="E45">
        <f t="shared" si="34"/>
        <v>10</v>
      </c>
      <c r="F45">
        <f t="shared" si="37"/>
        <v>15000</v>
      </c>
      <c r="G45">
        <f>SUM(B$4:B45)</f>
        <v>4240</v>
      </c>
      <c r="H45">
        <f t="shared" ref="H45" si="43">SUM(C43:C45)</f>
        <v>19500</v>
      </c>
      <c r="I45">
        <f t="shared" si="3"/>
        <v>43.333333333333336</v>
      </c>
    </row>
    <row r="46" spans="1:9">
      <c r="A46">
        <v>41</v>
      </c>
      <c r="B46">
        <v>150</v>
      </c>
      <c r="C46">
        <v>6500</v>
      </c>
      <c r="E46" t="e">
        <f t="shared" si="34"/>
        <v>#N/A</v>
      </c>
      <c r="F46" t="e">
        <f t="shared" si="37"/>
        <v>#N/A</v>
      </c>
      <c r="G46">
        <f>SUM(B$4:B46)</f>
        <v>4390</v>
      </c>
      <c r="H46">
        <f t="shared" ref="H46" si="44">SUM(C44:C46)</f>
        <v>19500</v>
      </c>
      <c r="I46">
        <f t="shared" si="3"/>
        <v>43.333333333333336</v>
      </c>
    </row>
    <row r="47" spans="1:9">
      <c r="A47">
        <v>42</v>
      </c>
      <c r="B47">
        <v>150</v>
      </c>
      <c r="C47">
        <v>6500</v>
      </c>
      <c r="E47" t="e">
        <f t="shared" si="34"/>
        <v>#N/A</v>
      </c>
      <c r="F47" t="e">
        <f t="shared" si="37"/>
        <v>#N/A</v>
      </c>
      <c r="G47">
        <f>SUM(B$4:B47)</f>
        <v>4540</v>
      </c>
      <c r="H47">
        <f t="shared" ref="H47" si="45">SUM(C45:C47)</f>
        <v>19500</v>
      </c>
      <c r="I47">
        <f t="shared" si="3"/>
        <v>43.333333333333336</v>
      </c>
    </row>
    <row r="48" spans="1:9">
      <c r="A48">
        <v>43</v>
      </c>
      <c r="B48">
        <v>150</v>
      </c>
      <c r="C48">
        <v>6500</v>
      </c>
      <c r="E48" t="e">
        <f t="shared" si="34"/>
        <v>#N/A</v>
      </c>
      <c r="F48" t="e">
        <f t="shared" si="37"/>
        <v>#N/A</v>
      </c>
      <c r="G48">
        <f>SUM(B$4:B48)</f>
        <v>4690</v>
      </c>
      <c r="H48">
        <f t="shared" ref="H48" si="46">SUM(C46:C48)</f>
        <v>19500</v>
      </c>
      <c r="I48">
        <f t="shared" si="3"/>
        <v>43.333333333333336</v>
      </c>
    </row>
    <row r="49" spans="1:9">
      <c r="A49">
        <v>44</v>
      </c>
      <c r="B49">
        <v>150</v>
      </c>
      <c r="C49">
        <v>6500</v>
      </c>
      <c r="E49" t="e">
        <f t="shared" si="34"/>
        <v>#N/A</v>
      </c>
      <c r="F49" t="e">
        <f t="shared" si="37"/>
        <v>#N/A</v>
      </c>
      <c r="G49">
        <f>SUM(B$4:B49)</f>
        <v>4840</v>
      </c>
      <c r="H49">
        <f t="shared" ref="H49" si="47">SUM(C47:C49)</f>
        <v>19500</v>
      </c>
      <c r="I49">
        <f t="shared" si="3"/>
        <v>43.333333333333336</v>
      </c>
    </row>
    <row r="50" spans="1:9">
      <c r="A50">
        <v>45</v>
      </c>
      <c r="B50">
        <v>150</v>
      </c>
      <c r="C50">
        <v>6500</v>
      </c>
      <c r="E50" t="e">
        <f t="shared" si="34"/>
        <v>#N/A</v>
      </c>
      <c r="F50" t="e">
        <f t="shared" si="37"/>
        <v>#N/A</v>
      </c>
      <c r="G50">
        <f>SUM(B$4:B50)</f>
        <v>4990</v>
      </c>
      <c r="H50">
        <f t="shared" ref="H50" si="48">SUM(C48:C50)</f>
        <v>19500</v>
      </c>
      <c r="I50">
        <f t="shared" si="3"/>
        <v>43.333333333333336</v>
      </c>
    </row>
    <row r="51" spans="1:9">
      <c r="A51">
        <v>46</v>
      </c>
      <c r="B51">
        <v>150</v>
      </c>
      <c r="C51">
        <v>6500</v>
      </c>
      <c r="E51" t="e">
        <f t="shared" si="34"/>
        <v>#N/A</v>
      </c>
      <c r="F51" t="e">
        <f t="shared" si="37"/>
        <v>#N/A</v>
      </c>
      <c r="G51">
        <f>SUM(B$4:B51)</f>
        <v>5140</v>
      </c>
      <c r="H51">
        <f t="shared" ref="H51" si="49">SUM(C49:C51)</f>
        <v>19500</v>
      </c>
      <c r="I51">
        <f t="shared" si="3"/>
        <v>43.333333333333336</v>
      </c>
    </row>
    <row r="52" spans="1:9">
      <c r="A52">
        <v>47</v>
      </c>
      <c r="B52">
        <v>150</v>
      </c>
      <c r="C52">
        <v>6500</v>
      </c>
      <c r="E52" t="e">
        <f t="shared" si="34"/>
        <v>#N/A</v>
      </c>
      <c r="F52" t="e">
        <f t="shared" si="37"/>
        <v>#N/A</v>
      </c>
      <c r="G52">
        <f>SUM(B$4:B52)</f>
        <v>5290</v>
      </c>
      <c r="H52">
        <f t="shared" ref="H52" si="50">SUM(C50:C52)</f>
        <v>19500</v>
      </c>
      <c r="I52">
        <f t="shared" si="3"/>
        <v>43.333333333333336</v>
      </c>
    </row>
    <row r="53" spans="1:9">
      <c r="A53">
        <v>48</v>
      </c>
      <c r="B53">
        <v>150</v>
      </c>
      <c r="C53">
        <v>6500</v>
      </c>
      <c r="E53" t="e">
        <f t="shared" si="34"/>
        <v>#N/A</v>
      </c>
      <c r="F53" t="e">
        <f t="shared" si="37"/>
        <v>#N/A</v>
      </c>
      <c r="G53">
        <f>SUM(B$4:B53)</f>
        <v>5440</v>
      </c>
      <c r="H53">
        <f t="shared" ref="H53" si="51">SUM(C51:C53)</f>
        <v>19500</v>
      </c>
      <c r="I53">
        <f t="shared" si="3"/>
        <v>43.333333333333336</v>
      </c>
    </row>
    <row r="54" spans="1:9">
      <c r="A54">
        <v>49</v>
      </c>
      <c r="B54">
        <v>200</v>
      </c>
      <c r="C54">
        <v>8000</v>
      </c>
      <c r="E54" t="e">
        <f t="shared" si="34"/>
        <v>#N/A</v>
      </c>
      <c r="F54" t="e">
        <f t="shared" si="37"/>
        <v>#N/A</v>
      </c>
      <c r="G54">
        <f>SUM(B$4:B54)</f>
        <v>5640</v>
      </c>
      <c r="H54">
        <f t="shared" ref="H54" si="52">SUM(C52:C54)</f>
        <v>21000</v>
      </c>
      <c r="I54">
        <f t="shared" si="3"/>
        <v>40</v>
      </c>
    </row>
    <row r="55" spans="1:9">
      <c r="A55">
        <v>50</v>
      </c>
      <c r="B55">
        <v>200</v>
      </c>
      <c r="C55">
        <v>8000</v>
      </c>
      <c r="E55">
        <f t="shared" si="34"/>
        <v>11</v>
      </c>
      <c r="F55">
        <f t="shared" si="37"/>
        <v>25000</v>
      </c>
      <c r="G55">
        <f>SUM(B$4:B55)</f>
        <v>5840</v>
      </c>
      <c r="H55">
        <f t="shared" ref="H55" si="53">SUM(C53:C55)</f>
        <v>22500</v>
      </c>
      <c r="I55">
        <f t="shared" si="3"/>
        <v>40</v>
      </c>
    </row>
    <row r="56" spans="1:9">
      <c r="A56">
        <v>51</v>
      </c>
      <c r="B56">
        <v>200</v>
      </c>
      <c r="C56">
        <v>8000</v>
      </c>
      <c r="E56" t="e">
        <f t="shared" si="34"/>
        <v>#N/A</v>
      </c>
      <c r="F56" t="e">
        <f t="shared" si="37"/>
        <v>#N/A</v>
      </c>
      <c r="G56">
        <f>SUM(B$4:B56)</f>
        <v>6040</v>
      </c>
      <c r="H56">
        <f t="shared" ref="H56" si="54">SUM(C54:C56)</f>
        <v>24000</v>
      </c>
      <c r="I56">
        <f t="shared" si="3"/>
        <v>40</v>
      </c>
    </row>
    <row r="57" spans="1:9">
      <c r="A57">
        <v>52</v>
      </c>
      <c r="B57">
        <v>200</v>
      </c>
      <c r="C57">
        <v>8000</v>
      </c>
      <c r="E57" t="e">
        <f t="shared" si="34"/>
        <v>#N/A</v>
      </c>
      <c r="F57" t="e">
        <f t="shared" si="37"/>
        <v>#N/A</v>
      </c>
      <c r="G57">
        <f>SUM(B$4:B57)</f>
        <v>6240</v>
      </c>
      <c r="H57">
        <f t="shared" ref="H57" si="55">SUM(C55:C57)</f>
        <v>24000</v>
      </c>
      <c r="I57">
        <f t="shared" si="3"/>
        <v>40</v>
      </c>
    </row>
    <row r="58" spans="1:9">
      <c r="A58">
        <v>53</v>
      </c>
      <c r="B58">
        <v>200</v>
      </c>
      <c r="C58">
        <v>8000</v>
      </c>
      <c r="E58" t="e">
        <f t="shared" si="34"/>
        <v>#N/A</v>
      </c>
      <c r="F58" t="e">
        <f t="shared" si="37"/>
        <v>#N/A</v>
      </c>
      <c r="G58">
        <f>SUM(B$4:B58)</f>
        <v>6440</v>
      </c>
      <c r="H58">
        <f t="shared" ref="H58" si="56">SUM(C56:C58)</f>
        <v>24000</v>
      </c>
      <c r="I58">
        <f t="shared" si="3"/>
        <v>40</v>
      </c>
    </row>
    <row r="59" spans="1:9">
      <c r="A59">
        <v>54</v>
      </c>
      <c r="B59">
        <v>200</v>
      </c>
      <c r="C59">
        <v>8000</v>
      </c>
      <c r="E59" t="e">
        <f t="shared" si="34"/>
        <v>#N/A</v>
      </c>
      <c r="F59" t="e">
        <f t="shared" si="37"/>
        <v>#N/A</v>
      </c>
      <c r="G59">
        <f>SUM(B$4:B59)</f>
        <v>6640</v>
      </c>
      <c r="H59">
        <f t="shared" ref="H59" si="57">SUM(C57:C59)</f>
        <v>24000</v>
      </c>
      <c r="I59">
        <f t="shared" si="3"/>
        <v>40</v>
      </c>
    </row>
    <row r="60" spans="1:9">
      <c r="A60">
        <v>55</v>
      </c>
      <c r="B60">
        <v>200</v>
      </c>
      <c r="C60">
        <v>8000</v>
      </c>
      <c r="E60" t="e">
        <f t="shared" si="34"/>
        <v>#N/A</v>
      </c>
      <c r="F60" t="e">
        <f t="shared" si="37"/>
        <v>#N/A</v>
      </c>
      <c r="G60">
        <f>SUM(B$4:B60)</f>
        <v>6840</v>
      </c>
      <c r="H60">
        <f t="shared" ref="H60" si="58">SUM(C58:C60)</f>
        <v>24000</v>
      </c>
      <c r="I60">
        <f t="shared" si="3"/>
        <v>40</v>
      </c>
    </row>
    <row r="61" spans="1:9">
      <c r="A61">
        <v>56</v>
      </c>
      <c r="B61">
        <v>200</v>
      </c>
      <c r="C61">
        <v>8000</v>
      </c>
      <c r="E61" t="e">
        <f t="shared" si="34"/>
        <v>#N/A</v>
      </c>
      <c r="F61" t="e">
        <f t="shared" si="37"/>
        <v>#N/A</v>
      </c>
      <c r="G61">
        <f>SUM(B$4:B61)</f>
        <v>7040</v>
      </c>
      <c r="H61">
        <f t="shared" ref="H61" si="59">SUM(C59:C61)</f>
        <v>24000</v>
      </c>
      <c r="I61">
        <f t="shared" si="3"/>
        <v>40</v>
      </c>
    </row>
    <row r="62" spans="1:9">
      <c r="A62">
        <v>57</v>
      </c>
      <c r="B62">
        <v>200</v>
      </c>
      <c r="C62">
        <v>8000</v>
      </c>
      <c r="E62" t="e">
        <f t="shared" si="34"/>
        <v>#N/A</v>
      </c>
      <c r="F62" t="e">
        <f t="shared" si="37"/>
        <v>#N/A</v>
      </c>
      <c r="G62">
        <f>SUM(B$4:B62)</f>
        <v>7240</v>
      </c>
      <c r="H62">
        <f t="shared" ref="H62" si="60">SUM(C60:C62)</f>
        <v>24000</v>
      </c>
      <c r="I62">
        <f t="shared" si="3"/>
        <v>40</v>
      </c>
    </row>
    <row r="63" spans="1:9">
      <c r="A63">
        <v>58</v>
      </c>
      <c r="B63">
        <v>200</v>
      </c>
      <c r="C63">
        <v>8000</v>
      </c>
      <c r="E63" t="e">
        <f t="shared" si="34"/>
        <v>#N/A</v>
      </c>
      <c r="F63" t="e">
        <f t="shared" si="37"/>
        <v>#N/A</v>
      </c>
      <c r="G63">
        <f>SUM(B$4:B63)</f>
        <v>7440</v>
      </c>
      <c r="H63">
        <f t="shared" ref="H63" si="61">SUM(C61:C63)</f>
        <v>24000</v>
      </c>
      <c r="I63">
        <f t="shared" si="3"/>
        <v>40</v>
      </c>
    </row>
    <row r="64" spans="1:9">
      <c r="A64">
        <v>59</v>
      </c>
      <c r="B64">
        <v>200</v>
      </c>
      <c r="C64">
        <v>8000</v>
      </c>
      <c r="E64" t="e">
        <f t="shared" si="34"/>
        <v>#N/A</v>
      </c>
      <c r="F64" t="e">
        <f t="shared" si="37"/>
        <v>#N/A</v>
      </c>
      <c r="G64">
        <f>SUM(B$4:B64)</f>
        <v>7640</v>
      </c>
      <c r="H64">
        <f t="shared" ref="H64" si="62">SUM(C62:C64)</f>
        <v>24000</v>
      </c>
      <c r="I64">
        <f t="shared" si="3"/>
        <v>40</v>
      </c>
    </row>
    <row r="65" spans="1:9">
      <c r="A65">
        <v>60</v>
      </c>
      <c r="B65">
        <v>200</v>
      </c>
      <c r="C65">
        <v>8000</v>
      </c>
      <c r="E65">
        <f t="shared" si="34"/>
        <v>12</v>
      </c>
      <c r="F65">
        <f t="shared" si="37"/>
        <v>45000</v>
      </c>
      <c r="G65">
        <f>SUM(B$4:B65)</f>
        <v>7840</v>
      </c>
      <c r="H65">
        <f t="shared" ref="H65" si="63">SUM(C63:C65)</f>
        <v>24000</v>
      </c>
      <c r="I65">
        <f t="shared" si="3"/>
        <v>40</v>
      </c>
    </row>
    <row r="66" spans="1:9">
      <c r="A66">
        <v>61</v>
      </c>
      <c r="B66">
        <v>200</v>
      </c>
      <c r="C66">
        <v>8000</v>
      </c>
      <c r="E66" t="e">
        <f t="shared" si="34"/>
        <v>#N/A</v>
      </c>
      <c r="F66" t="e">
        <f t="shared" si="37"/>
        <v>#N/A</v>
      </c>
      <c r="G66">
        <f>SUM(B$4:B66)</f>
        <v>8040</v>
      </c>
      <c r="H66">
        <f t="shared" ref="H66" si="64">SUM(C64:C66)</f>
        <v>24000</v>
      </c>
      <c r="I66">
        <f t="shared" si="3"/>
        <v>40</v>
      </c>
    </row>
    <row r="67" spans="1:9">
      <c r="A67">
        <v>62</v>
      </c>
      <c r="B67">
        <v>200</v>
      </c>
      <c r="C67">
        <v>8000</v>
      </c>
      <c r="E67" t="e">
        <f t="shared" si="34"/>
        <v>#N/A</v>
      </c>
      <c r="F67" t="e">
        <f t="shared" si="37"/>
        <v>#N/A</v>
      </c>
      <c r="G67">
        <f>SUM(B$4:B67)</f>
        <v>8240</v>
      </c>
      <c r="H67">
        <f t="shared" ref="H67" si="65">SUM(C65:C67)</f>
        <v>24000</v>
      </c>
      <c r="I67">
        <f t="shared" si="3"/>
        <v>40</v>
      </c>
    </row>
    <row r="68" spans="1:9">
      <c r="A68">
        <v>63</v>
      </c>
      <c r="B68">
        <v>200</v>
      </c>
      <c r="C68">
        <v>8000</v>
      </c>
      <c r="E68" t="e">
        <f t="shared" si="34"/>
        <v>#N/A</v>
      </c>
      <c r="F68" t="e">
        <f t="shared" si="37"/>
        <v>#N/A</v>
      </c>
      <c r="G68">
        <f>SUM(B$4:B68)</f>
        <v>8440</v>
      </c>
      <c r="H68">
        <f t="shared" ref="H68" si="66">SUM(C66:C68)</f>
        <v>24000</v>
      </c>
      <c r="I68">
        <f t="shared" si="3"/>
        <v>40</v>
      </c>
    </row>
    <row r="69" spans="1:9">
      <c r="A69">
        <v>64</v>
      </c>
      <c r="B69">
        <v>200</v>
      </c>
      <c r="C69">
        <v>8000</v>
      </c>
      <c r="E69" t="e">
        <f t="shared" si="34"/>
        <v>#N/A</v>
      </c>
      <c r="F69" t="e">
        <f t="shared" si="37"/>
        <v>#N/A</v>
      </c>
      <c r="G69">
        <f>SUM(B$4:B69)</f>
        <v>8640</v>
      </c>
      <c r="H69">
        <f t="shared" ref="H69" si="67">SUM(C67:C69)</f>
        <v>24000</v>
      </c>
      <c r="I69">
        <f t="shared" si="3"/>
        <v>40</v>
      </c>
    </row>
    <row r="70" spans="1:9">
      <c r="A70">
        <v>65</v>
      </c>
      <c r="B70">
        <v>200</v>
      </c>
      <c r="C70">
        <v>8000</v>
      </c>
      <c r="E70" t="e">
        <f t="shared" ref="E70:E105" si="68">VLOOKUP(A70,K$6:M$21,2,0)</f>
        <v>#N/A</v>
      </c>
      <c r="F70" t="e">
        <f t="shared" si="37"/>
        <v>#N/A</v>
      </c>
      <c r="G70">
        <f>SUM(B$4:B70)</f>
        <v>8840</v>
      </c>
      <c r="H70">
        <f t="shared" ref="H70" si="69">SUM(C68:C70)</f>
        <v>24000</v>
      </c>
      <c r="I70">
        <f t="shared" si="3"/>
        <v>40</v>
      </c>
    </row>
    <row r="71" spans="1:9">
      <c r="A71">
        <v>66</v>
      </c>
      <c r="B71">
        <v>200</v>
      </c>
      <c r="C71">
        <v>8000</v>
      </c>
      <c r="E71" t="e">
        <f t="shared" si="68"/>
        <v>#N/A</v>
      </c>
      <c r="F71" t="e">
        <f t="shared" si="37"/>
        <v>#N/A</v>
      </c>
      <c r="G71">
        <f>SUM(B$4:B71)</f>
        <v>9040</v>
      </c>
      <c r="H71">
        <f t="shared" ref="H71" si="70">SUM(C69:C71)</f>
        <v>24000</v>
      </c>
      <c r="I71">
        <f t="shared" ref="I71:I105" si="71">C71/B71</f>
        <v>40</v>
      </c>
    </row>
    <row r="72" spans="1:9">
      <c r="A72">
        <v>67</v>
      </c>
      <c r="B72">
        <v>200</v>
      </c>
      <c r="C72">
        <v>8000</v>
      </c>
      <c r="E72" t="e">
        <f t="shared" si="68"/>
        <v>#N/A</v>
      </c>
      <c r="F72" t="e">
        <f t="shared" ref="F72:F103" si="72">VLOOKUP(E72,L$6:M$21,2,0)</f>
        <v>#N/A</v>
      </c>
      <c r="G72">
        <f>SUM(B$4:B72)</f>
        <v>9240</v>
      </c>
      <c r="H72">
        <f t="shared" ref="H72" si="73">SUM(C70:C72)</f>
        <v>24000</v>
      </c>
      <c r="I72">
        <f t="shared" si="71"/>
        <v>40</v>
      </c>
    </row>
    <row r="73" spans="1:9">
      <c r="A73">
        <v>68</v>
      </c>
      <c r="B73">
        <v>200</v>
      </c>
      <c r="C73">
        <v>8000</v>
      </c>
      <c r="E73" t="e">
        <f t="shared" si="68"/>
        <v>#N/A</v>
      </c>
      <c r="F73" t="e">
        <f t="shared" si="72"/>
        <v>#N/A</v>
      </c>
      <c r="G73">
        <f>SUM(B$4:B73)</f>
        <v>9440</v>
      </c>
      <c r="H73">
        <f t="shared" ref="H73" si="74">SUM(C71:C73)</f>
        <v>24000</v>
      </c>
      <c r="I73">
        <f t="shared" si="71"/>
        <v>40</v>
      </c>
    </row>
    <row r="74" spans="1:9">
      <c r="A74">
        <v>69</v>
      </c>
      <c r="B74">
        <v>200</v>
      </c>
      <c r="C74">
        <v>8000</v>
      </c>
      <c r="E74" t="e">
        <f t="shared" si="68"/>
        <v>#N/A</v>
      </c>
      <c r="F74" t="e">
        <f t="shared" si="72"/>
        <v>#N/A</v>
      </c>
      <c r="G74">
        <f>SUM(B$4:B74)</f>
        <v>9640</v>
      </c>
      <c r="H74">
        <f t="shared" ref="H74" si="75">SUM(C72:C74)</f>
        <v>24000</v>
      </c>
      <c r="I74">
        <f t="shared" si="71"/>
        <v>40</v>
      </c>
    </row>
    <row r="75" spans="1:9">
      <c r="A75">
        <v>70</v>
      </c>
      <c r="B75">
        <v>200</v>
      </c>
      <c r="C75">
        <v>8000</v>
      </c>
      <c r="E75">
        <f t="shared" si="68"/>
        <v>13</v>
      </c>
      <c r="F75">
        <f t="shared" si="72"/>
        <v>80000</v>
      </c>
      <c r="G75">
        <f>SUM(B$4:B75)</f>
        <v>9840</v>
      </c>
      <c r="H75">
        <f t="shared" ref="H75" si="76">SUM(C73:C75)</f>
        <v>24000</v>
      </c>
      <c r="I75">
        <f t="shared" si="71"/>
        <v>40</v>
      </c>
    </row>
    <row r="76" spans="1:9">
      <c r="A76">
        <v>71</v>
      </c>
      <c r="B76">
        <v>200</v>
      </c>
      <c r="C76">
        <v>8000</v>
      </c>
      <c r="E76" t="e">
        <f t="shared" si="68"/>
        <v>#N/A</v>
      </c>
      <c r="F76" t="e">
        <f t="shared" si="72"/>
        <v>#N/A</v>
      </c>
      <c r="G76">
        <f>SUM(B$4:B76)</f>
        <v>10040</v>
      </c>
      <c r="H76">
        <f t="shared" ref="H76" si="77">SUM(C74:C76)</f>
        <v>24000</v>
      </c>
      <c r="I76">
        <f t="shared" si="71"/>
        <v>40</v>
      </c>
    </row>
    <row r="77" spans="1:9">
      <c r="A77">
        <v>72</v>
      </c>
      <c r="B77">
        <v>200</v>
      </c>
      <c r="C77">
        <v>8000</v>
      </c>
      <c r="E77" t="e">
        <f t="shared" si="68"/>
        <v>#N/A</v>
      </c>
      <c r="F77" t="e">
        <f t="shared" si="72"/>
        <v>#N/A</v>
      </c>
      <c r="G77">
        <f>SUM(B$4:B77)</f>
        <v>10240</v>
      </c>
      <c r="H77">
        <f t="shared" ref="H77" si="78">SUM(C75:C77)</f>
        <v>24000</v>
      </c>
      <c r="I77">
        <f t="shared" si="71"/>
        <v>40</v>
      </c>
    </row>
    <row r="78" spans="1:9">
      <c r="A78">
        <v>73</v>
      </c>
      <c r="B78">
        <v>200</v>
      </c>
      <c r="C78">
        <v>8000</v>
      </c>
      <c r="E78" t="e">
        <f t="shared" si="68"/>
        <v>#N/A</v>
      </c>
      <c r="F78" t="e">
        <f t="shared" si="72"/>
        <v>#N/A</v>
      </c>
      <c r="G78">
        <f>SUM(B$4:B78)</f>
        <v>10440</v>
      </c>
      <c r="H78">
        <f t="shared" ref="H78" si="79">SUM(C76:C78)</f>
        <v>24000</v>
      </c>
      <c r="I78">
        <f t="shared" si="71"/>
        <v>40</v>
      </c>
    </row>
    <row r="79" spans="1:9">
      <c r="A79">
        <v>74</v>
      </c>
      <c r="B79">
        <v>200</v>
      </c>
      <c r="C79">
        <v>8000</v>
      </c>
      <c r="E79" t="e">
        <f t="shared" si="68"/>
        <v>#N/A</v>
      </c>
      <c r="F79" t="e">
        <f t="shared" si="72"/>
        <v>#N/A</v>
      </c>
      <c r="G79">
        <f>SUM(B$4:B79)</f>
        <v>10640</v>
      </c>
      <c r="H79">
        <f t="shared" ref="H79" si="80">SUM(C77:C79)</f>
        <v>24000</v>
      </c>
      <c r="I79">
        <f t="shared" si="71"/>
        <v>40</v>
      </c>
    </row>
    <row r="80" spans="1:9">
      <c r="A80">
        <v>75</v>
      </c>
      <c r="B80">
        <v>200</v>
      </c>
      <c r="C80">
        <v>8000</v>
      </c>
      <c r="E80" t="e">
        <f t="shared" si="68"/>
        <v>#N/A</v>
      </c>
      <c r="F80" t="e">
        <f t="shared" si="72"/>
        <v>#N/A</v>
      </c>
      <c r="G80">
        <f>SUM(B$4:B80)</f>
        <v>10840</v>
      </c>
      <c r="H80">
        <f t="shared" ref="H80" si="81">SUM(C78:C80)</f>
        <v>24000</v>
      </c>
      <c r="I80">
        <f t="shared" si="71"/>
        <v>40</v>
      </c>
    </row>
    <row r="81" spans="1:9">
      <c r="A81">
        <v>76</v>
      </c>
      <c r="B81">
        <v>200</v>
      </c>
      <c r="C81">
        <v>8000</v>
      </c>
      <c r="E81" t="e">
        <f t="shared" si="68"/>
        <v>#N/A</v>
      </c>
      <c r="F81" t="e">
        <f t="shared" si="72"/>
        <v>#N/A</v>
      </c>
      <c r="G81">
        <f>SUM(B$4:B81)</f>
        <v>11040</v>
      </c>
      <c r="H81">
        <f t="shared" ref="H81" si="82">SUM(C79:C81)</f>
        <v>24000</v>
      </c>
      <c r="I81">
        <f t="shared" si="71"/>
        <v>40</v>
      </c>
    </row>
    <row r="82" spans="1:9">
      <c r="A82">
        <v>77</v>
      </c>
      <c r="B82">
        <v>200</v>
      </c>
      <c r="C82">
        <v>8000</v>
      </c>
      <c r="E82" t="e">
        <f t="shared" si="68"/>
        <v>#N/A</v>
      </c>
      <c r="F82" t="e">
        <f t="shared" si="72"/>
        <v>#N/A</v>
      </c>
      <c r="G82">
        <f>SUM(B$4:B82)</f>
        <v>11240</v>
      </c>
      <c r="H82">
        <f t="shared" ref="H82" si="83">SUM(C80:C82)</f>
        <v>24000</v>
      </c>
      <c r="I82">
        <f t="shared" si="71"/>
        <v>40</v>
      </c>
    </row>
    <row r="83" spans="1:9">
      <c r="A83">
        <v>78</v>
      </c>
      <c r="B83">
        <v>200</v>
      </c>
      <c r="C83">
        <v>8000</v>
      </c>
      <c r="E83" t="e">
        <f t="shared" si="68"/>
        <v>#N/A</v>
      </c>
      <c r="F83" t="e">
        <f t="shared" si="72"/>
        <v>#N/A</v>
      </c>
      <c r="G83">
        <f>SUM(B$4:B83)</f>
        <v>11440</v>
      </c>
      <c r="H83">
        <f t="shared" ref="H83" si="84">SUM(C81:C83)</f>
        <v>24000</v>
      </c>
      <c r="I83">
        <f t="shared" si="71"/>
        <v>40</v>
      </c>
    </row>
    <row r="84" spans="1:9">
      <c r="A84">
        <v>79</v>
      </c>
      <c r="B84">
        <v>200</v>
      </c>
      <c r="C84">
        <v>8000</v>
      </c>
      <c r="E84" t="e">
        <f t="shared" si="68"/>
        <v>#N/A</v>
      </c>
      <c r="F84" t="e">
        <f t="shared" si="72"/>
        <v>#N/A</v>
      </c>
      <c r="G84">
        <f>SUM(B$4:B84)</f>
        <v>11640</v>
      </c>
      <c r="H84">
        <f t="shared" ref="H84" si="85">SUM(C82:C84)</f>
        <v>24000</v>
      </c>
      <c r="I84">
        <f t="shared" si="71"/>
        <v>40</v>
      </c>
    </row>
    <row r="85" spans="1:9">
      <c r="A85">
        <v>80</v>
      </c>
      <c r="B85">
        <v>200</v>
      </c>
      <c r="C85">
        <v>8000</v>
      </c>
      <c r="E85">
        <f t="shared" si="68"/>
        <v>14</v>
      </c>
      <c r="F85">
        <f t="shared" si="72"/>
        <v>140000</v>
      </c>
      <c r="G85">
        <f>SUM(B$4:B85)</f>
        <v>11840</v>
      </c>
      <c r="H85">
        <f t="shared" ref="H85" si="86">SUM(C83:C85)</f>
        <v>24000</v>
      </c>
      <c r="I85">
        <f t="shared" si="71"/>
        <v>40</v>
      </c>
    </row>
    <row r="86" spans="1:9">
      <c r="A86">
        <v>81</v>
      </c>
      <c r="B86">
        <v>200</v>
      </c>
      <c r="C86">
        <v>8000</v>
      </c>
      <c r="E86" t="e">
        <f t="shared" si="68"/>
        <v>#N/A</v>
      </c>
      <c r="F86" t="e">
        <f t="shared" si="72"/>
        <v>#N/A</v>
      </c>
      <c r="G86">
        <f>SUM(B$4:B86)</f>
        <v>12040</v>
      </c>
      <c r="H86">
        <f t="shared" ref="H86" si="87">SUM(C84:C86)</f>
        <v>24000</v>
      </c>
      <c r="I86">
        <f t="shared" si="71"/>
        <v>40</v>
      </c>
    </row>
    <row r="87" spans="1:9">
      <c r="A87">
        <v>82</v>
      </c>
      <c r="B87">
        <v>200</v>
      </c>
      <c r="C87">
        <v>8000</v>
      </c>
      <c r="E87" t="e">
        <f t="shared" si="68"/>
        <v>#N/A</v>
      </c>
      <c r="F87" t="e">
        <f t="shared" si="72"/>
        <v>#N/A</v>
      </c>
      <c r="G87">
        <f>SUM(B$4:B87)</f>
        <v>12240</v>
      </c>
      <c r="H87">
        <f t="shared" ref="H87" si="88">SUM(C85:C87)</f>
        <v>24000</v>
      </c>
      <c r="I87">
        <f t="shared" si="71"/>
        <v>40</v>
      </c>
    </row>
    <row r="88" spans="1:9">
      <c r="A88">
        <v>83</v>
      </c>
      <c r="B88">
        <v>200</v>
      </c>
      <c r="C88">
        <v>8000</v>
      </c>
      <c r="E88" t="e">
        <f t="shared" si="68"/>
        <v>#N/A</v>
      </c>
      <c r="F88" t="e">
        <f t="shared" si="72"/>
        <v>#N/A</v>
      </c>
      <c r="G88">
        <f>SUM(B$4:B88)</f>
        <v>12440</v>
      </c>
      <c r="H88">
        <f t="shared" ref="H88" si="89">SUM(C86:C88)</f>
        <v>24000</v>
      </c>
      <c r="I88">
        <f t="shared" si="71"/>
        <v>40</v>
      </c>
    </row>
    <row r="89" spans="1:9">
      <c r="A89">
        <v>84</v>
      </c>
      <c r="B89">
        <v>200</v>
      </c>
      <c r="C89">
        <v>8000</v>
      </c>
      <c r="E89" t="e">
        <f t="shared" si="68"/>
        <v>#N/A</v>
      </c>
      <c r="F89" t="e">
        <f t="shared" si="72"/>
        <v>#N/A</v>
      </c>
      <c r="G89">
        <f>SUM(B$4:B89)</f>
        <v>12640</v>
      </c>
      <c r="H89">
        <f t="shared" ref="H89" si="90">SUM(C87:C89)</f>
        <v>24000</v>
      </c>
      <c r="I89">
        <f t="shared" si="71"/>
        <v>40</v>
      </c>
    </row>
    <row r="90" spans="1:9">
      <c r="A90">
        <v>85</v>
      </c>
      <c r="B90">
        <v>200</v>
      </c>
      <c r="C90">
        <v>8000</v>
      </c>
      <c r="E90" t="e">
        <f t="shared" si="68"/>
        <v>#N/A</v>
      </c>
      <c r="F90" t="e">
        <f t="shared" si="72"/>
        <v>#N/A</v>
      </c>
      <c r="G90">
        <f>SUM(B$4:B90)</f>
        <v>12840</v>
      </c>
      <c r="H90">
        <f t="shared" ref="H90" si="91">SUM(C88:C90)</f>
        <v>24000</v>
      </c>
      <c r="I90">
        <f t="shared" si="71"/>
        <v>40</v>
      </c>
    </row>
    <row r="91" spans="1:9">
      <c r="A91">
        <v>86</v>
      </c>
      <c r="B91">
        <v>200</v>
      </c>
      <c r="C91">
        <v>8000</v>
      </c>
      <c r="E91" t="e">
        <f t="shared" si="68"/>
        <v>#N/A</v>
      </c>
      <c r="F91" t="e">
        <f t="shared" si="72"/>
        <v>#N/A</v>
      </c>
      <c r="G91">
        <f>SUM(B$4:B91)</f>
        <v>13040</v>
      </c>
      <c r="H91">
        <f t="shared" ref="H91" si="92">SUM(C89:C91)</f>
        <v>24000</v>
      </c>
      <c r="I91">
        <f t="shared" si="71"/>
        <v>40</v>
      </c>
    </row>
    <row r="92" spans="1:9">
      <c r="A92">
        <v>87</v>
      </c>
      <c r="B92">
        <v>200</v>
      </c>
      <c r="C92">
        <v>8000</v>
      </c>
      <c r="E92" t="e">
        <f t="shared" si="68"/>
        <v>#N/A</v>
      </c>
      <c r="F92" t="e">
        <f t="shared" si="72"/>
        <v>#N/A</v>
      </c>
      <c r="G92">
        <f>SUM(B$4:B92)</f>
        <v>13240</v>
      </c>
      <c r="H92">
        <f t="shared" ref="H92" si="93">SUM(C90:C92)</f>
        <v>24000</v>
      </c>
      <c r="I92">
        <f t="shared" si="71"/>
        <v>40</v>
      </c>
    </row>
    <row r="93" spans="1:9">
      <c r="A93">
        <v>88</v>
      </c>
      <c r="B93">
        <v>200</v>
      </c>
      <c r="C93">
        <v>8000</v>
      </c>
      <c r="E93" t="e">
        <f t="shared" si="68"/>
        <v>#N/A</v>
      </c>
      <c r="F93" t="e">
        <f t="shared" si="72"/>
        <v>#N/A</v>
      </c>
      <c r="G93">
        <f>SUM(B$4:B93)</f>
        <v>13440</v>
      </c>
      <c r="H93">
        <f t="shared" ref="H93" si="94">SUM(C91:C93)</f>
        <v>24000</v>
      </c>
      <c r="I93">
        <f t="shared" si="71"/>
        <v>40</v>
      </c>
    </row>
    <row r="94" spans="1:9">
      <c r="A94">
        <v>89</v>
      </c>
      <c r="B94">
        <v>200</v>
      </c>
      <c r="C94">
        <v>8000</v>
      </c>
      <c r="E94" t="e">
        <f t="shared" si="68"/>
        <v>#N/A</v>
      </c>
      <c r="F94" t="e">
        <f t="shared" si="72"/>
        <v>#N/A</v>
      </c>
      <c r="G94">
        <f>SUM(B$4:B94)</f>
        <v>13640</v>
      </c>
      <c r="H94">
        <f t="shared" ref="H94" si="95">SUM(C92:C94)</f>
        <v>24000</v>
      </c>
      <c r="I94">
        <f t="shared" si="71"/>
        <v>40</v>
      </c>
    </row>
    <row r="95" spans="1:9">
      <c r="A95">
        <v>90</v>
      </c>
      <c r="B95">
        <v>200</v>
      </c>
      <c r="C95">
        <v>8000</v>
      </c>
      <c r="E95" t="e">
        <f t="shared" si="68"/>
        <v>#N/A</v>
      </c>
      <c r="F95" t="e">
        <f t="shared" si="72"/>
        <v>#N/A</v>
      </c>
      <c r="G95">
        <f>SUM(B$4:B95)</f>
        <v>13840</v>
      </c>
      <c r="H95">
        <f t="shared" ref="H95" si="96">SUM(C93:C95)</f>
        <v>24000</v>
      </c>
      <c r="I95">
        <f t="shared" si="71"/>
        <v>40</v>
      </c>
    </row>
    <row r="96" spans="1:9">
      <c r="A96">
        <v>91</v>
      </c>
      <c r="B96">
        <v>200</v>
      </c>
      <c r="C96">
        <v>8000</v>
      </c>
      <c r="E96" t="e">
        <f t="shared" si="68"/>
        <v>#N/A</v>
      </c>
      <c r="F96" t="e">
        <f t="shared" si="72"/>
        <v>#N/A</v>
      </c>
      <c r="G96">
        <f>SUM(B$4:B96)</f>
        <v>14040</v>
      </c>
      <c r="H96">
        <f t="shared" ref="H96" si="97">SUM(C94:C96)</f>
        <v>24000</v>
      </c>
      <c r="I96">
        <f t="shared" si="71"/>
        <v>40</v>
      </c>
    </row>
    <row r="97" spans="1:9">
      <c r="A97">
        <v>92</v>
      </c>
      <c r="B97">
        <v>200</v>
      </c>
      <c r="C97">
        <v>8000</v>
      </c>
      <c r="E97" t="e">
        <f t="shared" si="68"/>
        <v>#N/A</v>
      </c>
      <c r="F97" t="e">
        <f t="shared" si="72"/>
        <v>#N/A</v>
      </c>
      <c r="G97">
        <f>SUM(B$4:B97)</f>
        <v>14240</v>
      </c>
      <c r="H97">
        <f t="shared" ref="H97" si="98">SUM(C95:C97)</f>
        <v>24000</v>
      </c>
      <c r="I97">
        <f t="shared" si="71"/>
        <v>40</v>
      </c>
    </row>
    <row r="98" spans="1:9">
      <c r="A98">
        <v>93</v>
      </c>
      <c r="B98">
        <v>200</v>
      </c>
      <c r="C98">
        <v>8000</v>
      </c>
      <c r="E98" t="e">
        <f t="shared" si="68"/>
        <v>#N/A</v>
      </c>
      <c r="F98" t="e">
        <f t="shared" si="72"/>
        <v>#N/A</v>
      </c>
      <c r="G98">
        <f>SUM(B$4:B98)</f>
        <v>14440</v>
      </c>
      <c r="H98">
        <f t="shared" ref="H98" si="99">SUM(C96:C98)</f>
        <v>24000</v>
      </c>
      <c r="I98">
        <f t="shared" si="71"/>
        <v>40</v>
      </c>
    </row>
    <row r="99" spans="1:9">
      <c r="A99">
        <v>94</v>
      </c>
      <c r="B99">
        <v>200</v>
      </c>
      <c r="C99">
        <v>8000</v>
      </c>
      <c r="E99" t="e">
        <f t="shared" si="68"/>
        <v>#N/A</v>
      </c>
      <c r="F99" t="e">
        <f t="shared" si="72"/>
        <v>#N/A</v>
      </c>
      <c r="G99">
        <f>SUM(B$4:B99)</f>
        <v>14640</v>
      </c>
      <c r="H99">
        <f t="shared" ref="H99" si="100">SUM(C97:C99)</f>
        <v>24000</v>
      </c>
      <c r="I99">
        <f t="shared" si="71"/>
        <v>40</v>
      </c>
    </row>
    <row r="100" spans="1:9">
      <c r="A100">
        <v>95</v>
      </c>
      <c r="B100">
        <v>200</v>
      </c>
      <c r="C100">
        <v>8000</v>
      </c>
      <c r="E100" t="e">
        <f t="shared" si="68"/>
        <v>#N/A</v>
      </c>
      <c r="F100" t="e">
        <f t="shared" si="72"/>
        <v>#N/A</v>
      </c>
      <c r="G100">
        <f>SUM(B$4:B100)</f>
        <v>14840</v>
      </c>
      <c r="H100">
        <f t="shared" ref="H100" si="101">SUM(C98:C100)</f>
        <v>24000</v>
      </c>
      <c r="I100">
        <f t="shared" si="71"/>
        <v>40</v>
      </c>
    </row>
    <row r="101" spans="1:9">
      <c r="A101">
        <v>96</v>
      </c>
      <c r="B101">
        <v>200</v>
      </c>
      <c r="C101">
        <v>8000</v>
      </c>
      <c r="E101" t="e">
        <f t="shared" si="68"/>
        <v>#N/A</v>
      </c>
      <c r="F101" t="e">
        <f t="shared" si="72"/>
        <v>#N/A</v>
      </c>
      <c r="G101">
        <f>SUM(B$4:B101)</f>
        <v>15040</v>
      </c>
      <c r="H101">
        <f t="shared" ref="H101" si="102">SUM(C99:C101)</f>
        <v>24000</v>
      </c>
      <c r="I101">
        <f t="shared" si="71"/>
        <v>40</v>
      </c>
    </row>
    <row r="102" spans="1:9">
      <c r="A102">
        <v>97</v>
      </c>
      <c r="B102">
        <v>200</v>
      </c>
      <c r="C102">
        <v>8000</v>
      </c>
      <c r="E102" t="e">
        <f t="shared" si="68"/>
        <v>#N/A</v>
      </c>
      <c r="F102" t="e">
        <f t="shared" si="72"/>
        <v>#N/A</v>
      </c>
      <c r="G102">
        <f>SUM(B$4:B102)</f>
        <v>15240</v>
      </c>
      <c r="H102">
        <f t="shared" ref="H102" si="103">SUM(C100:C102)</f>
        <v>24000</v>
      </c>
      <c r="I102">
        <f t="shared" si="71"/>
        <v>40</v>
      </c>
    </row>
    <row r="103" spans="1:9">
      <c r="A103">
        <v>98</v>
      </c>
      <c r="B103">
        <v>200</v>
      </c>
      <c r="C103">
        <v>8000</v>
      </c>
      <c r="E103" t="e">
        <f t="shared" si="68"/>
        <v>#N/A</v>
      </c>
      <c r="F103" t="e">
        <f t="shared" si="72"/>
        <v>#N/A</v>
      </c>
      <c r="G103">
        <f>SUM(B$4:B103)</f>
        <v>15440</v>
      </c>
      <c r="H103">
        <f t="shared" ref="H103" si="104">SUM(C101:C103)</f>
        <v>24000</v>
      </c>
      <c r="I103">
        <f t="shared" si="71"/>
        <v>40</v>
      </c>
    </row>
    <row r="104" spans="1:9">
      <c r="A104">
        <v>99</v>
      </c>
      <c r="B104">
        <v>200</v>
      </c>
      <c r="C104">
        <v>8000</v>
      </c>
      <c r="E104" t="e">
        <f t="shared" si="68"/>
        <v>#N/A</v>
      </c>
      <c r="F104" t="e">
        <f t="shared" ref="F104:F105" si="105">VLOOKUP(E104,L$6:M$21,2,0)</f>
        <v>#N/A</v>
      </c>
      <c r="G104">
        <f>SUM(B$4:B104)</f>
        <v>15640</v>
      </c>
      <c r="H104">
        <f t="shared" ref="H104" si="106">SUM(C102:C104)</f>
        <v>24000</v>
      </c>
      <c r="I104">
        <f t="shared" si="71"/>
        <v>40</v>
      </c>
    </row>
    <row r="105" spans="1:9">
      <c r="A105">
        <v>100</v>
      </c>
      <c r="B105">
        <v>200</v>
      </c>
      <c r="C105">
        <v>8000</v>
      </c>
      <c r="E105">
        <f t="shared" si="68"/>
        <v>15</v>
      </c>
      <c r="F105">
        <f t="shared" si="105"/>
        <v>250000</v>
      </c>
      <c r="G105">
        <f>SUM(B$4:B105)</f>
        <v>15840</v>
      </c>
      <c r="H105">
        <f t="shared" ref="H105" si="107">SUM(C103:C105)</f>
        <v>24000</v>
      </c>
      <c r="I105">
        <f t="shared" si="71"/>
        <v>40</v>
      </c>
    </row>
  </sheetData>
  <phoneticPr fontId="1" type="noConversion"/>
  <conditionalFormatting sqref="E1:E1048576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T105"/>
  <sheetViews>
    <sheetView topLeftCell="A65" workbookViewId="0">
      <selection activeCell="B6" sqref="B6:B105"/>
    </sheetView>
  </sheetViews>
  <sheetFormatPr defaultRowHeight="13.5"/>
  <cols>
    <col min="10" max="10" width="14.375" customWidth="1"/>
    <col min="11" max="11" width="17" customWidth="1"/>
    <col min="12" max="12" width="17.75" customWidth="1"/>
    <col min="19" max="19" width="9" style="2"/>
  </cols>
  <sheetData>
    <row r="1" spans="1:20">
      <c r="A1" t="s">
        <v>6</v>
      </c>
    </row>
    <row r="3" spans="1:20">
      <c r="A3" t="s">
        <v>0</v>
      </c>
      <c r="B3" t="s">
        <v>1</v>
      </c>
      <c r="C3" t="s">
        <v>2</v>
      </c>
    </row>
    <row r="4" spans="1:20">
      <c r="A4" t="s">
        <v>3</v>
      </c>
      <c r="B4" t="s">
        <v>4</v>
      </c>
      <c r="C4" t="s">
        <v>5</v>
      </c>
      <c r="M4" s="1" t="s">
        <v>9</v>
      </c>
      <c r="N4" s="1" t="s">
        <v>7</v>
      </c>
      <c r="O4" s="1" t="s">
        <v>8</v>
      </c>
    </row>
    <row r="5" spans="1:20">
      <c r="I5" t="s">
        <v>10</v>
      </c>
      <c r="J5" t="s">
        <v>11</v>
      </c>
      <c r="K5" t="s">
        <v>12</v>
      </c>
      <c r="Q5" t="s">
        <v>13</v>
      </c>
      <c r="S5" s="2" t="s">
        <v>15</v>
      </c>
      <c r="T5" t="s">
        <v>14</v>
      </c>
    </row>
    <row r="6" spans="1:20">
      <c r="A6">
        <v>1</v>
      </c>
      <c r="B6">
        <v>5</v>
      </c>
      <c r="C6">
        <v>30</v>
      </c>
      <c r="D6">
        <f>B6*E6</f>
        <v>30</v>
      </c>
      <c r="E6">
        <v>6</v>
      </c>
      <c r="G6" t="e">
        <f t="shared" ref="G6:G37" si="0">VLOOKUP(A6,M$6:O$21,2,0)</f>
        <v>#N/A</v>
      </c>
      <c r="I6">
        <f>SUM(B$6:B6)</f>
        <v>5</v>
      </c>
      <c r="J6">
        <f>SUM(C$4:C6)</f>
        <v>30</v>
      </c>
      <c r="K6">
        <f>C6/B6</f>
        <v>6</v>
      </c>
      <c r="M6" s="1">
        <v>2</v>
      </c>
      <c r="N6" s="1">
        <v>0</v>
      </c>
      <c r="O6" s="1">
        <v>0</v>
      </c>
      <c r="Q6" s="1">
        <v>300</v>
      </c>
      <c r="S6" s="2">
        <v>1</v>
      </c>
      <c r="T6">
        <f>[1]关卡!$AQ11/50</f>
        <v>147.41999999999999</v>
      </c>
    </row>
    <row r="7" spans="1:20">
      <c r="A7">
        <v>2</v>
      </c>
      <c r="B7">
        <v>5</v>
      </c>
      <c r="C7">
        <v>30</v>
      </c>
      <c r="D7">
        <f t="shared" ref="D7:D50" si="1">B7*E7</f>
        <v>30</v>
      </c>
      <c r="E7">
        <v>6</v>
      </c>
      <c r="G7">
        <f t="shared" si="0"/>
        <v>0</v>
      </c>
      <c r="I7">
        <f>SUM(B$6:B7)</f>
        <v>10</v>
      </c>
      <c r="J7">
        <f>SUM(C$4:C7)</f>
        <v>60</v>
      </c>
      <c r="K7">
        <f t="shared" ref="K7:K70" si="2">C7/B7</f>
        <v>6</v>
      </c>
      <c r="M7" s="1">
        <v>5</v>
      </c>
      <c r="N7" s="1">
        <v>1</v>
      </c>
      <c r="O7" s="1">
        <v>100</v>
      </c>
      <c r="Q7">
        <f>ROUND(Q6*0.95,0)</f>
        <v>285</v>
      </c>
      <c r="S7" s="2">
        <v>3</v>
      </c>
      <c r="T7">
        <f>[1]关卡!$AQ12/50</f>
        <v>173.08800000000002</v>
      </c>
    </row>
    <row r="8" spans="1:20">
      <c r="A8">
        <v>3</v>
      </c>
      <c r="B8">
        <v>5</v>
      </c>
      <c r="C8">
        <v>30</v>
      </c>
      <c r="D8">
        <f t="shared" si="1"/>
        <v>30</v>
      </c>
      <c r="E8">
        <v>6</v>
      </c>
      <c r="G8" t="e">
        <f t="shared" si="0"/>
        <v>#N/A</v>
      </c>
      <c r="H8" t="e">
        <f t="shared" ref="H8:H39" si="3">VLOOKUP(G8,N$6:O$21,2,0)</f>
        <v>#N/A</v>
      </c>
      <c r="I8">
        <f>SUM(B$6:B8)</f>
        <v>15</v>
      </c>
      <c r="J8">
        <f>SUM(C$4:C8)</f>
        <v>90</v>
      </c>
      <c r="K8">
        <f t="shared" si="2"/>
        <v>6</v>
      </c>
      <c r="M8" s="1">
        <v>7</v>
      </c>
      <c r="N8" s="1">
        <v>2</v>
      </c>
      <c r="O8" s="1">
        <v>300</v>
      </c>
      <c r="Q8">
        <f t="shared" ref="Q8:Q15" si="4">ROUND(Q7*0.95,0)</f>
        <v>271</v>
      </c>
      <c r="S8" s="2">
        <v>5</v>
      </c>
      <c r="T8">
        <f>[1]关卡!$AQ13/50</f>
        <v>168.15360000000001</v>
      </c>
    </row>
    <row r="9" spans="1:20">
      <c r="A9">
        <v>4</v>
      </c>
      <c r="B9">
        <v>10</v>
      </c>
      <c r="C9">
        <v>50</v>
      </c>
      <c r="D9">
        <f t="shared" si="1"/>
        <v>50</v>
      </c>
      <c r="E9">
        <v>5</v>
      </c>
      <c r="G9" t="e">
        <f t="shared" si="0"/>
        <v>#N/A</v>
      </c>
      <c r="H9" t="e">
        <f t="shared" si="3"/>
        <v>#N/A</v>
      </c>
      <c r="I9">
        <f>SUM(B$6:B9)</f>
        <v>25</v>
      </c>
      <c r="J9">
        <f>SUM(C$4:C9)</f>
        <v>140</v>
      </c>
      <c r="K9">
        <f t="shared" si="2"/>
        <v>5</v>
      </c>
      <c r="M9" s="1">
        <v>9</v>
      </c>
      <c r="N9" s="1">
        <v>3</v>
      </c>
      <c r="O9" s="1">
        <v>500</v>
      </c>
      <c r="Q9">
        <f t="shared" si="4"/>
        <v>257</v>
      </c>
      <c r="S9" s="2">
        <v>7</v>
      </c>
      <c r="T9">
        <f>[1]关卡!$AQ14/50</f>
        <v>140.9934065934066</v>
      </c>
    </row>
    <row r="10" spans="1:20">
      <c r="A10">
        <v>5</v>
      </c>
      <c r="B10">
        <v>10</v>
      </c>
      <c r="C10">
        <v>50</v>
      </c>
      <c r="D10">
        <f t="shared" si="1"/>
        <v>50</v>
      </c>
      <c r="E10">
        <v>5</v>
      </c>
      <c r="G10">
        <f t="shared" si="0"/>
        <v>1</v>
      </c>
      <c r="H10">
        <f t="shared" si="3"/>
        <v>100</v>
      </c>
      <c r="I10">
        <f>SUM(B$6:B10)</f>
        <v>35</v>
      </c>
      <c r="J10">
        <f>SUM(C$4:C10)</f>
        <v>190</v>
      </c>
      <c r="K10">
        <f t="shared" si="2"/>
        <v>5</v>
      </c>
      <c r="M10" s="1">
        <v>12</v>
      </c>
      <c r="N10" s="1">
        <v>4</v>
      </c>
      <c r="O10" s="1">
        <v>900</v>
      </c>
      <c r="Q10">
        <f t="shared" si="4"/>
        <v>244</v>
      </c>
      <c r="S10" s="2">
        <v>9</v>
      </c>
      <c r="T10">
        <f>[1]关卡!$AQ15/50</f>
        <v>139.83221140472878</v>
      </c>
    </row>
    <row r="11" spans="1:20">
      <c r="A11">
        <v>6</v>
      </c>
      <c r="B11">
        <v>15</v>
      </c>
      <c r="C11">
        <v>70</v>
      </c>
      <c r="D11">
        <f t="shared" si="1"/>
        <v>70</v>
      </c>
      <c r="E11">
        <v>4.666666666666667</v>
      </c>
      <c r="G11" t="e">
        <f t="shared" si="0"/>
        <v>#N/A</v>
      </c>
      <c r="H11" t="e">
        <f t="shared" si="3"/>
        <v>#N/A</v>
      </c>
      <c r="I11">
        <f>SUM(B$6:B11)</f>
        <v>50</v>
      </c>
      <c r="J11">
        <f>SUM(C$4:C11)</f>
        <v>260</v>
      </c>
      <c r="K11">
        <f t="shared" si="2"/>
        <v>4.666666666666667</v>
      </c>
      <c r="M11" s="1">
        <v>15</v>
      </c>
      <c r="N11" s="1">
        <v>5</v>
      </c>
      <c r="O11" s="1">
        <v>1500</v>
      </c>
      <c r="Q11">
        <f t="shared" si="4"/>
        <v>232</v>
      </c>
      <c r="S11" s="2">
        <v>11</v>
      </c>
      <c r="T11">
        <f>[1]关卡!$AQ16/50</f>
        <v>144.01695652173913</v>
      </c>
    </row>
    <row r="12" spans="1:20">
      <c r="A12">
        <v>7</v>
      </c>
      <c r="B12">
        <v>15</v>
      </c>
      <c r="C12">
        <v>70</v>
      </c>
      <c r="D12">
        <f t="shared" si="1"/>
        <v>70</v>
      </c>
      <c r="E12">
        <v>4.666666666666667</v>
      </c>
      <c r="G12">
        <f t="shared" si="0"/>
        <v>2</v>
      </c>
      <c r="H12">
        <f t="shared" si="3"/>
        <v>300</v>
      </c>
      <c r="I12">
        <f>SUM(B$6:B12)</f>
        <v>65</v>
      </c>
      <c r="J12">
        <f>SUM(C$4:C12)</f>
        <v>330</v>
      </c>
      <c r="K12">
        <f t="shared" si="2"/>
        <v>4.666666666666667</v>
      </c>
      <c r="M12" s="1">
        <v>20</v>
      </c>
      <c r="N12" s="1">
        <v>6</v>
      </c>
      <c r="O12" s="1">
        <v>3000</v>
      </c>
      <c r="Q12">
        <f t="shared" si="4"/>
        <v>220</v>
      </c>
      <c r="S12" s="2">
        <v>13</v>
      </c>
      <c r="T12">
        <f>[1]关卡!$AQ17/50</f>
        <v>148.80764940239044</v>
      </c>
    </row>
    <row r="13" spans="1:20">
      <c r="A13">
        <v>8</v>
      </c>
      <c r="B13">
        <v>15</v>
      </c>
      <c r="C13">
        <v>70</v>
      </c>
      <c r="D13">
        <f t="shared" si="1"/>
        <v>70</v>
      </c>
      <c r="E13">
        <v>4.666666666666667</v>
      </c>
      <c r="G13" t="e">
        <f t="shared" si="0"/>
        <v>#N/A</v>
      </c>
      <c r="H13" t="e">
        <f t="shared" si="3"/>
        <v>#N/A</v>
      </c>
      <c r="I13">
        <f>SUM(B$6:B13)</f>
        <v>80</v>
      </c>
      <c r="J13">
        <f>SUM(C$4:C13)</f>
        <v>400</v>
      </c>
      <c r="K13">
        <f t="shared" si="2"/>
        <v>4.666666666666667</v>
      </c>
      <c r="M13" s="1">
        <v>25</v>
      </c>
      <c r="N13" s="1">
        <v>7</v>
      </c>
      <c r="O13" s="1">
        <v>5000</v>
      </c>
      <c r="Q13">
        <f t="shared" si="4"/>
        <v>209</v>
      </c>
      <c r="S13" s="2">
        <v>15</v>
      </c>
      <c r="T13">
        <f>[1]关卡!$AQ18/50</f>
        <v>152.05795001810935</v>
      </c>
    </row>
    <row r="14" spans="1:20">
      <c r="A14">
        <v>9</v>
      </c>
      <c r="B14">
        <v>15</v>
      </c>
      <c r="C14">
        <v>70</v>
      </c>
      <c r="D14">
        <f t="shared" si="1"/>
        <v>70</v>
      </c>
      <c r="E14">
        <v>4.666666666666667</v>
      </c>
      <c r="G14">
        <f t="shared" si="0"/>
        <v>3</v>
      </c>
      <c r="H14">
        <f t="shared" si="3"/>
        <v>500</v>
      </c>
      <c r="I14">
        <f>SUM(B$6:B14)</f>
        <v>95</v>
      </c>
      <c r="J14">
        <f>SUM(C$4:C14)</f>
        <v>470</v>
      </c>
      <c r="K14">
        <f t="shared" si="2"/>
        <v>4.666666666666667</v>
      </c>
      <c r="M14" s="1">
        <v>30</v>
      </c>
      <c r="N14" s="1">
        <v>8</v>
      </c>
      <c r="O14" s="1">
        <v>7000</v>
      </c>
      <c r="Q14">
        <f t="shared" si="4"/>
        <v>199</v>
      </c>
      <c r="S14" s="2">
        <v>17</v>
      </c>
      <c r="T14">
        <f>[1]关卡!$AQ19/50</f>
        <v>157.14981818181818</v>
      </c>
    </row>
    <row r="15" spans="1:20">
      <c r="A15">
        <v>10</v>
      </c>
      <c r="B15">
        <v>25</v>
      </c>
      <c r="C15">
        <v>95</v>
      </c>
      <c r="D15">
        <f t="shared" si="1"/>
        <v>95</v>
      </c>
      <c r="E15">
        <v>3.8</v>
      </c>
      <c r="G15" t="e">
        <f t="shared" si="0"/>
        <v>#N/A</v>
      </c>
      <c r="H15" t="e">
        <f t="shared" si="3"/>
        <v>#N/A</v>
      </c>
      <c r="I15">
        <f>SUM(B$6:B15)</f>
        <v>120</v>
      </c>
      <c r="J15">
        <f>SUM(C$4:C15)</f>
        <v>565</v>
      </c>
      <c r="K15">
        <f t="shared" si="2"/>
        <v>3.8</v>
      </c>
      <c r="M15" s="1">
        <v>35</v>
      </c>
      <c r="N15" s="1">
        <v>9</v>
      </c>
      <c r="O15" s="1">
        <v>10000</v>
      </c>
      <c r="Q15">
        <f t="shared" si="4"/>
        <v>189</v>
      </c>
      <c r="S15" s="2">
        <v>19</v>
      </c>
      <c r="T15">
        <f>[1]关卡!$AQ20/50</f>
        <v>210.81686313686313</v>
      </c>
    </row>
    <row r="16" spans="1:20">
      <c r="A16">
        <v>11</v>
      </c>
      <c r="B16">
        <v>25</v>
      </c>
      <c r="C16">
        <v>95</v>
      </c>
      <c r="D16">
        <f t="shared" si="1"/>
        <v>95</v>
      </c>
      <c r="E16">
        <v>3.8</v>
      </c>
      <c r="G16" t="e">
        <f t="shared" si="0"/>
        <v>#N/A</v>
      </c>
      <c r="H16" t="e">
        <f t="shared" si="3"/>
        <v>#N/A</v>
      </c>
      <c r="I16">
        <f>SUM(B$6:B16)</f>
        <v>145</v>
      </c>
      <c r="J16">
        <f>SUM(C$4:C16)</f>
        <v>660</v>
      </c>
      <c r="K16">
        <f t="shared" si="2"/>
        <v>3.8</v>
      </c>
      <c r="M16" s="1">
        <v>40</v>
      </c>
      <c r="N16" s="1">
        <v>10</v>
      </c>
      <c r="O16" s="1">
        <v>15000</v>
      </c>
      <c r="Q16">
        <f t="shared" ref="Q16:Q71" si="5">ROUND(Q15*0.99,0)</f>
        <v>187</v>
      </c>
      <c r="S16" s="2">
        <v>21</v>
      </c>
      <c r="T16">
        <f>[1]关卡!$AQ21/50</f>
        <v>213.40719851576992</v>
      </c>
    </row>
    <row r="17" spans="1:20">
      <c r="A17">
        <v>12</v>
      </c>
      <c r="B17">
        <v>25</v>
      </c>
      <c r="C17">
        <v>95</v>
      </c>
      <c r="D17">
        <f t="shared" si="1"/>
        <v>95</v>
      </c>
      <c r="E17">
        <v>3.8</v>
      </c>
      <c r="G17">
        <f t="shared" si="0"/>
        <v>4</v>
      </c>
      <c r="H17">
        <f t="shared" si="3"/>
        <v>900</v>
      </c>
      <c r="I17">
        <f>SUM(B$6:B17)</f>
        <v>170</v>
      </c>
      <c r="J17">
        <f>SUM(C$4:C17)</f>
        <v>755</v>
      </c>
      <c r="K17">
        <f t="shared" si="2"/>
        <v>3.8</v>
      </c>
      <c r="M17" s="1">
        <v>50</v>
      </c>
      <c r="N17" s="1">
        <v>11</v>
      </c>
      <c r="O17" s="1">
        <v>25000</v>
      </c>
      <c r="Q17">
        <f t="shared" si="5"/>
        <v>185</v>
      </c>
      <c r="S17" s="2">
        <v>23</v>
      </c>
      <c r="T17">
        <f>[1]关卡!$AQ22/50</f>
        <v>215.64467532467529</v>
      </c>
    </row>
    <row r="18" spans="1:20">
      <c r="A18">
        <v>13</v>
      </c>
      <c r="B18">
        <v>25</v>
      </c>
      <c r="C18">
        <v>95</v>
      </c>
      <c r="D18">
        <f t="shared" si="1"/>
        <v>95</v>
      </c>
      <c r="E18">
        <v>3.8</v>
      </c>
      <c r="G18" t="e">
        <f t="shared" si="0"/>
        <v>#N/A</v>
      </c>
      <c r="H18" t="e">
        <f t="shared" si="3"/>
        <v>#N/A</v>
      </c>
      <c r="I18">
        <f>SUM(B$6:B18)</f>
        <v>195</v>
      </c>
      <c r="J18">
        <f>SUM(C$4:C18)</f>
        <v>850</v>
      </c>
      <c r="K18">
        <f t="shared" si="2"/>
        <v>3.8</v>
      </c>
      <c r="M18" s="1">
        <v>60</v>
      </c>
      <c r="N18" s="1">
        <v>12</v>
      </c>
      <c r="O18" s="1">
        <v>45000</v>
      </c>
      <c r="Q18">
        <f t="shared" si="5"/>
        <v>183</v>
      </c>
      <c r="S18" s="2">
        <v>25</v>
      </c>
      <c r="T18">
        <f>[1]关卡!$AQ23/50</f>
        <v>231.18030112923461</v>
      </c>
    </row>
    <row r="19" spans="1:20">
      <c r="A19">
        <v>14</v>
      </c>
      <c r="B19">
        <v>25</v>
      </c>
      <c r="C19">
        <v>95</v>
      </c>
      <c r="D19">
        <f t="shared" si="1"/>
        <v>95</v>
      </c>
      <c r="E19">
        <v>3.8</v>
      </c>
      <c r="G19" t="e">
        <f t="shared" si="0"/>
        <v>#N/A</v>
      </c>
      <c r="H19" t="e">
        <f t="shared" si="3"/>
        <v>#N/A</v>
      </c>
      <c r="I19">
        <f>SUM(B$6:B19)</f>
        <v>220</v>
      </c>
      <c r="J19">
        <f>SUM(C$4:C19)</f>
        <v>945</v>
      </c>
      <c r="K19">
        <f t="shared" si="2"/>
        <v>3.8</v>
      </c>
      <c r="M19" s="1">
        <v>70</v>
      </c>
      <c r="N19" s="1">
        <v>13</v>
      </c>
      <c r="O19" s="1">
        <v>80000</v>
      </c>
      <c r="Q19">
        <f t="shared" si="5"/>
        <v>181</v>
      </c>
      <c r="S19" s="2">
        <v>27</v>
      </c>
      <c r="T19">
        <f>[1]关卡!$AQ24/50</f>
        <v>219.48679859040394</v>
      </c>
    </row>
    <row r="20" spans="1:20">
      <c r="A20">
        <v>15</v>
      </c>
      <c r="B20">
        <v>25</v>
      </c>
      <c r="C20">
        <v>95</v>
      </c>
      <c r="D20">
        <f t="shared" si="1"/>
        <v>95</v>
      </c>
      <c r="E20">
        <v>3.8</v>
      </c>
      <c r="G20">
        <f t="shared" si="0"/>
        <v>5</v>
      </c>
      <c r="H20">
        <f t="shared" si="3"/>
        <v>1500</v>
      </c>
      <c r="I20">
        <f>SUM(B$6:B20)</f>
        <v>245</v>
      </c>
      <c r="J20">
        <f>SUM(C$4:C20)</f>
        <v>1040</v>
      </c>
      <c r="K20">
        <f t="shared" si="2"/>
        <v>3.8</v>
      </c>
      <c r="M20" s="1">
        <v>80</v>
      </c>
      <c r="N20" s="1">
        <v>14</v>
      </c>
      <c r="O20" s="1">
        <v>140000</v>
      </c>
      <c r="Q20">
        <f>ROUND(Q19*0.99,0)</f>
        <v>179</v>
      </c>
      <c r="S20" s="2">
        <v>29</v>
      </c>
      <c r="T20">
        <f>[1]关卡!$AQ25/50</f>
        <v>230.18947368421053</v>
      </c>
    </row>
    <row r="21" spans="1:20">
      <c r="A21">
        <v>16</v>
      </c>
      <c r="B21">
        <v>25</v>
      </c>
      <c r="C21">
        <v>95</v>
      </c>
      <c r="D21">
        <f t="shared" si="1"/>
        <v>95</v>
      </c>
      <c r="E21">
        <v>3.8</v>
      </c>
      <c r="G21" t="e">
        <f t="shared" si="0"/>
        <v>#N/A</v>
      </c>
      <c r="H21" t="e">
        <f t="shared" si="3"/>
        <v>#N/A</v>
      </c>
      <c r="I21">
        <f>SUM(B$6:B21)</f>
        <v>270</v>
      </c>
      <c r="J21">
        <f>SUM(C$4:C21)</f>
        <v>1135</v>
      </c>
      <c r="K21">
        <f t="shared" si="2"/>
        <v>3.8</v>
      </c>
      <c r="M21" s="1">
        <v>100</v>
      </c>
      <c r="N21" s="1">
        <v>15</v>
      </c>
      <c r="O21" s="1">
        <v>250000</v>
      </c>
      <c r="Q21">
        <f t="shared" si="5"/>
        <v>177</v>
      </c>
      <c r="S21" s="2">
        <v>31</v>
      </c>
      <c r="T21">
        <f>[1]关卡!$AQ26/50</f>
        <v>245.31556786703598</v>
      </c>
    </row>
    <row r="22" spans="1:20">
      <c r="A22">
        <v>17</v>
      </c>
      <c r="B22">
        <v>25</v>
      </c>
      <c r="C22">
        <v>95</v>
      </c>
      <c r="D22">
        <f t="shared" si="1"/>
        <v>95</v>
      </c>
      <c r="E22">
        <v>3.8</v>
      </c>
      <c r="G22" t="e">
        <f t="shared" si="0"/>
        <v>#N/A</v>
      </c>
      <c r="H22" t="e">
        <f t="shared" si="3"/>
        <v>#N/A</v>
      </c>
      <c r="I22">
        <f>SUM(B$6:B22)</f>
        <v>295</v>
      </c>
      <c r="J22">
        <f>SUM(C$4:C22)</f>
        <v>1230</v>
      </c>
      <c r="K22">
        <f t="shared" si="2"/>
        <v>3.8</v>
      </c>
      <c r="Q22">
        <f t="shared" si="5"/>
        <v>175</v>
      </c>
      <c r="S22" s="2">
        <v>33</v>
      </c>
      <c r="T22">
        <f>[1]关卡!$AQ27/50</f>
        <v>248.93548117154808</v>
      </c>
    </row>
    <row r="23" spans="1:20">
      <c r="A23">
        <v>18</v>
      </c>
      <c r="B23">
        <v>30</v>
      </c>
      <c r="C23">
        <v>105</v>
      </c>
      <c r="D23">
        <f t="shared" si="1"/>
        <v>105</v>
      </c>
      <c r="E23">
        <v>3.5</v>
      </c>
      <c r="G23" t="e">
        <f t="shared" si="0"/>
        <v>#N/A</v>
      </c>
      <c r="H23" t="e">
        <f t="shared" si="3"/>
        <v>#N/A</v>
      </c>
      <c r="I23">
        <f>SUM(B$6:B23)</f>
        <v>325</v>
      </c>
      <c r="J23">
        <f>SUM(C$4:C23)</f>
        <v>1335</v>
      </c>
      <c r="K23">
        <f t="shared" si="2"/>
        <v>3.5</v>
      </c>
      <c r="Q23">
        <f t="shared" si="5"/>
        <v>173</v>
      </c>
      <c r="S23" s="2">
        <v>35</v>
      </c>
      <c r="T23">
        <f>[1]关卡!$AQ28/50</f>
        <v>264.24860729228931</v>
      </c>
    </row>
    <row r="24" spans="1:20">
      <c r="A24">
        <v>19</v>
      </c>
      <c r="B24">
        <v>30</v>
      </c>
      <c r="C24">
        <v>105</v>
      </c>
      <c r="D24">
        <f t="shared" si="1"/>
        <v>105</v>
      </c>
      <c r="E24">
        <v>3.5</v>
      </c>
      <c r="G24" t="e">
        <f t="shared" si="0"/>
        <v>#N/A</v>
      </c>
      <c r="H24" t="e">
        <f t="shared" si="3"/>
        <v>#N/A</v>
      </c>
      <c r="I24">
        <f>SUM(B$6:B24)</f>
        <v>355</v>
      </c>
      <c r="J24">
        <f>SUM(C$4:C24)</f>
        <v>1440</v>
      </c>
      <c r="K24">
        <f t="shared" si="2"/>
        <v>3.5</v>
      </c>
      <c r="Q24">
        <f t="shared" si="5"/>
        <v>171</v>
      </c>
      <c r="S24" s="2">
        <v>37</v>
      </c>
      <c r="T24">
        <f>[1]关卡!$AQ29/50</f>
        <v>260.10558288770051</v>
      </c>
    </row>
    <row r="25" spans="1:20">
      <c r="A25">
        <v>20</v>
      </c>
      <c r="B25">
        <v>30</v>
      </c>
      <c r="C25">
        <v>105</v>
      </c>
      <c r="D25">
        <f t="shared" si="1"/>
        <v>105</v>
      </c>
      <c r="E25">
        <v>3.5</v>
      </c>
      <c r="G25">
        <f t="shared" si="0"/>
        <v>6</v>
      </c>
      <c r="H25">
        <f t="shared" si="3"/>
        <v>3000</v>
      </c>
      <c r="I25">
        <f>SUM(B$6:B25)</f>
        <v>385</v>
      </c>
      <c r="J25">
        <f>SUM(C$4:C25)</f>
        <v>1545</v>
      </c>
      <c r="K25">
        <f t="shared" si="2"/>
        <v>3.5</v>
      </c>
      <c r="Q25">
        <f t="shared" si="5"/>
        <v>169</v>
      </c>
      <c r="S25" s="2">
        <v>39</v>
      </c>
      <c r="T25">
        <f>[1]关卡!$AQ30/50</f>
        <v>274.20675728155339</v>
      </c>
    </row>
    <row r="26" spans="1:20">
      <c r="A26">
        <v>21</v>
      </c>
      <c r="B26">
        <v>30</v>
      </c>
      <c r="C26">
        <v>105</v>
      </c>
      <c r="D26">
        <f t="shared" si="1"/>
        <v>105</v>
      </c>
      <c r="E26">
        <v>3.5</v>
      </c>
      <c r="G26" t="e">
        <f t="shared" si="0"/>
        <v>#N/A</v>
      </c>
      <c r="H26" t="e">
        <f t="shared" si="3"/>
        <v>#N/A</v>
      </c>
      <c r="I26">
        <f>SUM(B$6:B26)</f>
        <v>415</v>
      </c>
      <c r="J26">
        <f>SUM(C$4:C26)</f>
        <v>1650</v>
      </c>
      <c r="K26">
        <f t="shared" si="2"/>
        <v>3.5</v>
      </c>
      <c r="Q26">
        <f t="shared" si="5"/>
        <v>167</v>
      </c>
      <c r="S26" s="2">
        <v>41</v>
      </c>
      <c r="T26">
        <f>[1]关卡!$AQ31/50</f>
        <v>278.88819230769235</v>
      </c>
    </row>
    <row r="27" spans="1:20">
      <c r="A27">
        <v>22</v>
      </c>
      <c r="B27">
        <v>30</v>
      </c>
      <c r="C27">
        <v>105</v>
      </c>
      <c r="D27">
        <f t="shared" si="1"/>
        <v>105</v>
      </c>
      <c r="E27">
        <v>3.5</v>
      </c>
      <c r="G27" t="e">
        <f t="shared" si="0"/>
        <v>#N/A</v>
      </c>
      <c r="H27" t="e">
        <f t="shared" si="3"/>
        <v>#N/A</v>
      </c>
      <c r="I27">
        <f>SUM(B$6:B27)</f>
        <v>445</v>
      </c>
      <c r="J27">
        <f>SUM(C$4:C27)</f>
        <v>1755</v>
      </c>
      <c r="K27">
        <f t="shared" si="2"/>
        <v>3.5</v>
      </c>
      <c r="Q27">
        <f>ROUND(Q26*0.99,0)</f>
        <v>165</v>
      </c>
      <c r="S27" s="2">
        <v>43</v>
      </c>
      <c r="T27">
        <f>[1]关卡!$AQ32/50</f>
        <v>273.08431698113202</v>
      </c>
    </row>
    <row r="28" spans="1:20">
      <c r="A28">
        <v>23</v>
      </c>
      <c r="B28">
        <v>30</v>
      </c>
      <c r="C28">
        <v>105</v>
      </c>
      <c r="D28">
        <f t="shared" si="1"/>
        <v>105</v>
      </c>
      <c r="E28">
        <v>3.5</v>
      </c>
      <c r="G28" t="e">
        <f t="shared" si="0"/>
        <v>#N/A</v>
      </c>
      <c r="H28" t="e">
        <f t="shared" si="3"/>
        <v>#N/A</v>
      </c>
      <c r="I28">
        <f>SUM(B$6:B28)</f>
        <v>475</v>
      </c>
      <c r="J28">
        <f>SUM(C$4:C28)</f>
        <v>1860</v>
      </c>
      <c r="K28">
        <f t="shared" si="2"/>
        <v>3.5</v>
      </c>
      <c r="Q28">
        <f t="shared" si="5"/>
        <v>163</v>
      </c>
      <c r="S28" s="2">
        <v>45</v>
      </c>
      <c r="T28">
        <f>[1]关卡!$AQ33/50</f>
        <v>267.53630769230767</v>
      </c>
    </row>
    <row r="29" spans="1:20">
      <c r="A29">
        <v>24</v>
      </c>
      <c r="B29">
        <v>30</v>
      </c>
      <c r="C29">
        <v>105</v>
      </c>
      <c r="D29">
        <f t="shared" si="1"/>
        <v>105</v>
      </c>
      <c r="E29">
        <v>3.5</v>
      </c>
      <c r="G29" t="e">
        <f t="shared" si="0"/>
        <v>#N/A</v>
      </c>
      <c r="H29" t="e">
        <f t="shared" si="3"/>
        <v>#N/A</v>
      </c>
      <c r="I29">
        <f>SUM(B$6:B29)</f>
        <v>505</v>
      </c>
      <c r="J29">
        <f>SUM(C$4:C29)</f>
        <v>1965</v>
      </c>
      <c r="K29">
        <f t="shared" si="2"/>
        <v>3.5</v>
      </c>
      <c r="Q29">
        <f t="shared" si="5"/>
        <v>161</v>
      </c>
      <c r="S29" s="2">
        <v>47</v>
      </c>
      <c r="T29">
        <f>[1]关卡!$AQ34/50</f>
        <v>259.368701754386</v>
      </c>
    </row>
    <row r="30" spans="1:20">
      <c r="A30">
        <v>25</v>
      </c>
      <c r="B30">
        <v>30</v>
      </c>
      <c r="C30">
        <v>105</v>
      </c>
      <c r="D30">
        <f t="shared" si="1"/>
        <v>105</v>
      </c>
      <c r="E30">
        <v>3.5</v>
      </c>
      <c r="G30">
        <f t="shared" si="0"/>
        <v>7</v>
      </c>
      <c r="H30">
        <f t="shared" si="3"/>
        <v>5000</v>
      </c>
      <c r="I30">
        <f>SUM(B$6:B30)</f>
        <v>535</v>
      </c>
      <c r="J30">
        <f>SUM(C$4:C30)</f>
        <v>2070</v>
      </c>
      <c r="K30">
        <f t="shared" si="2"/>
        <v>3.5</v>
      </c>
      <c r="Q30">
        <f t="shared" si="5"/>
        <v>159</v>
      </c>
      <c r="S30" s="2">
        <v>49</v>
      </c>
      <c r="T30">
        <f>[1]关卡!$AQ35/50</f>
        <v>258.95882706766918</v>
      </c>
    </row>
    <row r="31" spans="1:20">
      <c r="A31">
        <v>26</v>
      </c>
      <c r="B31">
        <v>30</v>
      </c>
      <c r="C31">
        <v>105</v>
      </c>
      <c r="D31">
        <f t="shared" si="1"/>
        <v>105</v>
      </c>
      <c r="E31">
        <v>3.5</v>
      </c>
      <c r="G31" t="e">
        <f t="shared" si="0"/>
        <v>#N/A</v>
      </c>
      <c r="H31" t="e">
        <f t="shared" si="3"/>
        <v>#N/A</v>
      </c>
      <c r="I31">
        <f>SUM(B$6:B31)</f>
        <v>565</v>
      </c>
      <c r="J31">
        <f>SUM(C$4:C31)</f>
        <v>2175</v>
      </c>
      <c r="K31">
        <f t="shared" si="2"/>
        <v>3.5</v>
      </c>
      <c r="Q31">
        <f t="shared" si="5"/>
        <v>157</v>
      </c>
      <c r="S31" s="2">
        <v>51</v>
      </c>
      <c r="T31">
        <f>[1]关卡!$AQ36/50</f>
        <v>258.57721960072593</v>
      </c>
    </row>
    <row r="32" spans="1:20">
      <c r="A32">
        <v>27</v>
      </c>
      <c r="B32">
        <v>30</v>
      </c>
      <c r="C32">
        <v>105</v>
      </c>
      <c r="D32">
        <f t="shared" si="1"/>
        <v>105</v>
      </c>
      <c r="E32">
        <v>3.5</v>
      </c>
      <c r="G32" t="e">
        <f t="shared" si="0"/>
        <v>#N/A</v>
      </c>
      <c r="H32" t="e">
        <f t="shared" si="3"/>
        <v>#N/A</v>
      </c>
      <c r="I32">
        <f>SUM(B$6:B32)</f>
        <v>595</v>
      </c>
      <c r="J32">
        <f>SUM(C$4:C32)</f>
        <v>2280</v>
      </c>
      <c r="K32">
        <f t="shared" si="2"/>
        <v>3.5</v>
      </c>
      <c r="Q32">
        <f t="shared" si="5"/>
        <v>155</v>
      </c>
      <c r="S32" s="2">
        <v>53</v>
      </c>
      <c r="T32">
        <f>[1]关卡!$AQ37/50</f>
        <v>258.22105263157897</v>
      </c>
    </row>
    <row r="33" spans="1:20">
      <c r="A33">
        <v>28</v>
      </c>
      <c r="B33">
        <v>30</v>
      </c>
      <c r="C33">
        <v>105</v>
      </c>
      <c r="D33">
        <f t="shared" si="1"/>
        <v>105</v>
      </c>
      <c r="E33">
        <v>3.5</v>
      </c>
      <c r="G33" t="e">
        <f t="shared" si="0"/>
        <v>#N/A</v>
      </c>
      <c r="H33" t="e">
        <f t="shared" si="3"/>
        <v>#N/A</v>
      </c>
      <c r="I33">
        <f>SUM(B$6:B33)</f>
        <v>625</v>
      </c>
      <c r="J33">
        <f>SUM(C$4:C33)</f>
        <v>2385</v>
      </c>
      <c r="K33">
        <f t="shared" si="2"/>
        <v>3.5</v>
      </c>
      <c r="Q33">
        <f t="shared" si="5"/>
        <v>153</v>
      </c>
      <c r="S33" s="2">
        <v>55</v>
      </c>
      <c r="T33">
        <f>[1]关卡!$AQ38/50</f>
        <v>257.88786417657047</v>
      </c>
    </row>
    <row r="34" spans="1:20">
      <c r="A34">
        <v>29</v>
      </c>
      <c r="B34">
        <v>40</v>
      </c>
      <c r="C34">
        <v>120</v>
      </c>
      <c r="D34">
        <f t="shared" si="1"/>
        <v>120</v>
      </c>
      <c r="E34">
        <v>3</v>
      </c>
      <c r="G34" t="e">
        <f t="shared" si="0"/>
        <v>#N/A</v>
      </c>
      <c r="H34" t="e">
        <f t="shared" si="3"/>
        <v>#N/A</v>
      </c>
      <c r="I34">
        <f>SUM(B$6:B34)</f>
        <v>665</v>
      </c>
      <c r="J34">
        <f>SUM(C$4:C34)</f>
        <v>2505</v>
      </c>
      <c r="K34">
        <f t="shared" si="2"/>
        <v>3</v>
      </c>
      <c r="Q34">
        <f t="shared" si="5"/>
        <v>151</v>
      </c>
      <c r="S34" s="2">
        <v>57</v>
      </c>
      <c r="T34">
        <f>[1]关卡!$AQ39/50</f>
        <v>257.57550000000003</v>
      </c>
    </row>
    <row r="35" spans="1:20">
      <c r="A35">
        <v>30</v>
      </c>
      <c r="B35">
        <v>40</v>
      </c>
      <c r="C35">
        <v>120</v>
      </c>
      <c r="D35">
        <f t="shared" si="1"/>
        <v>120</v>
      </c>
      <c r="E35">
        <v>3</v>
      </c>
      <c r="G35">
        <f t="shared" si="0"/>
        <v>8</v>
      </c>
      <c r="H35">
        <f t="shared" si="3"/>
        <v>7000</v>
      </c>
      <c r="I35">
        <f>SUM(B$6:B35)</f>
        <v>705</v>
      </c>
      <c r="J35">
        <f>SUM(C$4:C35)</f>
        <v>2625</v>
      </c>
      <c r="K35">
        <f t="shared" si="2"/>
        <v>3</v>
      </c>
      <c r="Q35">
        <f t="shared" si="5"/>
        <v>149</v>
      </c>
      <c r="S35" s="2">
        <v>59</v>
      </c>
      <c r="T35">
        <f>[1]关卡!$AQ40/50</f>
        <v>257.28206698564594</v>
      </c>
    </row>
    <row r="36" spans="1:20">
      <c r="A36">
        <v>31</v>
      </c>
      <c r="B36">
        <v>40</v>
      </c>
      <c r="C36">
        <v>120</v>
      </c>
      <c r="D36">
        <f t="shared" si="1"/>
        <v>120</v>
      </c>
      <c r="E36">
        <v>3</v>
      </c>
      <c r="G36" t="e">
        <f t="shared" si="0"/>
        <v>#N/A</v>
      </c>
      <c r="H36" t="e">
        <f t="shared" si="3"/>
        <v>#N/A</v>
      </c>
      <c r="I36">
        <f>SUM(B$6:B36)</f>
        <v>745</v>
      </c>
      <c r="J36">
        <f>SUM(C$4:C36)</f>
        <v>2745</v>
      </c>
      <c r="K36">
        <f t="shared" si="2"/>
        <v>3</v>
      </c>
      <c r="Q36">
        <f t="shared" si="5"/>
        <v>148</v>
      </c>
      <c r="S36" s="2">
        <v>61</v>
      </c>
      <c r="T36">
        <f>[1]关卡!$AQ41/50</f>
        <v>257.00589473684215</v>
      </c>
    </row>
    <row r="37" spans="1:20">
      <c r="A37">
        <v>32</v>
      </c>
      <c r="B37">
        <v>40</v>
      </c>
      <c r="C37">
        <v>120</v>
      </c>
      <c r="D37">
        <f t="shared" si="1"/>
        <v>120</v>
      </c>
      <c r="E37">
        <v>3</v>
      </c>
      <c r="G37" t="e">
        <f t="shared" si="0"/>
        <v>#N/A</v>
      </c>
      <c r="H37" t="e">
        <f t="shared" si="3"/>
        <v>#N/A</v>
      </c>
      <c r="I37">
        <f>SUM(B$6:B37)</f>
        <v>785</v>
      </c>
      <c r="J37">
        <f>SUM(C$4:C37)</f>
        <v>2865</v>
      </c>
      <c r="K37">
        <f t="shared" si="2"/>
        <v>3</v>
      </c>
      <c r="Q37">
        <f t="shared" si="5"/>
        <v>147</v>
      </c>
      <c r="S37" s="2">
        <v>63</v>
      </c>
      <c r="T37">
        <f>[1]关卡!$AQ42/50</f>
        <v>256.7455037593985</v>
      </c>
    </row>
    <row r="38" spans="1:20">
      <c r="A38">
        <v>33</v>
      </c>
      <c r="B38">
        <v>40</v>
      </c>
      <c r="C38">
        <v>120</v>
      </c>
      <c r="D38">
        <f t="shared" si="1"/>
        <v>120</v>
      </c>
      <c r="E38">
        <v>3</v>
      </c>
      <c r="G38" t="e">
        <f t="shared" ref="G38:G69" si="6">VLOOKUP(A38,M$6:O$21,2,0)</f>
        <v>#N/A</v>
      </c>
      <c r="H38" t="e">
        <f t="shared" si="3"/>
        <v>#N/A</v>
      </c>
      <c r="I38">
        <f>SUM(B$6:B38)</f>
        <v>825</v>
      </c>
      <c r="J38">
        <f>SUM(C$4:C38)</f>
        <v>2985</v>
      </c>
      <c r="K38">
        <f t="shared" si="2"/>
        <v>3</v>
      </c>
      <c r="Q38">
        <f t="shared" si="5"/>
        <v>146</v>
      </c>
      <c r="S38" s="2">
        <v>65</v>
      </c>
      <c r="T38">
        <f>[1]关卡!$AQ43/50</f>
        <v>256.49957894736849</v>
      </c>
    </row>
    <row r="39" spans="1:20">
      <c r="A39">
        <v>34</v>
      </c>
      <c r="B39">
        <v>40</v>
      </c>
      <c r="C39">
        <v>120</v>
      </c>
      <c r="D39">
        <f t="shared" si="1"/>
        <v>120</v>
      </c>
      <c r="E39">
        <v>3</v>
      </c>
      <c r="G39" t="e">
        <f t="shared" si="6"/>
        <v>#N/A</v>
      </c>
      <c r="H39" t="e">
        <f t="shared" si="3"/>
        <v>#N/A</v>
      </c>
      <c r="I39">
        <f>SUM(B$6:B39)</f>
        <v>865</v>
      </c>
      <c r="J39">
        <f>SUM(C$4:C39)</f>
        <v>3105</v>
      </c>
      <c r="K39">
        <f t="shared" si="2"/>
        <v>3</v>
      </c>
      <c r="Q39">
        <f t="shared" si="5"/>
        <v>145</v>
      </c>
      <c r="S39" s="2">
        <v>67</v>
      </c>
      <c r="T39">
        <f>[1]关卡!$AQ44/50</f>
        <v>268.39551635846374</v>
      </c>
    </row>
    <row r="40" spans="1:20">
      <c r="A40">
        <v>35</v>
      </c>
      <c r="B40">
        <v>40</v>
      </c>
      <c r="C40">
        <v>120</v>
      </c>
      <c r="D40">
        <f t="shared" si="1"/>
        <v>120</v>
      </c>
      <c r="E40">
        <v>3</v>
      </c>
      <c r="G40">
        <f t="shared" si="6"/>
        <v>9</v>
      </c>
      <c r="H40">
        <f t="shared" ref="H40:H71" si="7">VLOOKUP(G40,N$6:O$21,2,0)</f>
        <v>10000</v>
      </c>
      <c r="I40">
        <f>SUM(B$6:B40)</f>
        <v>905</v>
      </c>
      <c r="J40">
        <f>SUM(C$4:C40)</f>
        <v>3225</v>
      </c>
      <c r="K40">
        <f t="shared" si="2"/>
        <v>3</v>
      </c>
      <c r="Q40">
        <f t="shared" si="5"/>
        <v>144</v>
      </c>
      <c r="S40" s="2">
        <v>69</v>
      </c>
      <c r="T40">
        <f>[1]关卡!$AQ45/50</f>
        <v>270.7949916897507</v>
      </c>
    </row>
    <row r="41" spans="1:20">
      <c r="A41">
        <v>36</v>
      </c>
      <c r="B41">
        <v>40</v>
      </c>
      <c r="C41">
        <v>120</v>
      </c>
      <c r="D41">
        <f t="shared" si="1"/>
        <v>120</v>
      </c>
      <c r="E41">
        <v>3</v>
      </c>
      <c r="G41" t="e">
        <f t="shared" si="6"/>
        <v>#N/A</v>
      </c>
      <c r="H41" t="e">
        <f t="shared" si="7"/>
        <v>#N/A</v>
      </c>
      <c r="I41">
        <f>SUM(B$6:B41)</f>
        <v>945</v>
      </c>
      <c r="J41">
        <f>SUM(C$4:C41)</f>
        <v>3345</v>
      </c>
      <c r="K41">
        <f t="shared" si="2"/>
        <v>3</v>
      </c>
      <c r="Q41">
        <f t="shared" si="5"/>
        <v>143</v>
      </c>
      <c r="S41" s="2">
        <v>71</v>
      </c>
      <c r="T41">
        <f>[1]关卡!$AQ46/50</f>
        <v>273.10814574898791</v>
      </c>
    </row>
    <row r="42" spans="1:20">
      <c r="A42">
        <v>37</v>
      </c>
      <c r="B42">
        <v>40</v>
      </c>
      <c r="C42">
        <v>120</v>
      </c>
      <c r="D42">
        <f t="shared" si="1"/>
        <v>120</v>
      </c>
      <c r="E42">
        <v>3</v>
      </c>
      <c r="G42" t="e">
        <f t="shared" si="6"/>
        <v>#N/A</v>
      </c>
      <c r="H42" t="e">
        <f t="shared" si="7"/>
        <v>#N/A</v>
      </c>
      <c r="I42">
        <f>SUM(B$6:B42)</f>
        <v>985</v>
      </c>
      <c r="J42">
        <f>SUM(C$4:C42)</f>
        <v>3465</v>
      </c>
      <c r="K42">
        <f t="shared" si="2"/>
        <v>3</v>
      </c>
      <c r="Q42">
        <f t="shared" si="5"/>
        <v>142</v>
      </c>
      <c r="S42" s="2">
        <v>73</v>
      </c>
      <c r="T42">
        <f>[1]关卡!$AQ47/50</f>
        <v>275.05326315789472</v>
      </c>
    </row>
    <row r="43" spans="1:20">
      <c r="A43">
        <v>38</v>
      </c>
      <c r="B43">
        <v>40</v>
      </c>
      <c r="C43">
        <v>120</v>
      </c>
      <c r="D43">
        <f t="shared" si="1"/>
        <v>120</v>
      </c>
      <c r="E43">
        <v>3</v>
      </c>
      <c r="G43" t="e">
        <f t="shared" si="6"/>
        <v>#N/A</v>
      </c>
      <c r="H43" t="e">
        <f t="shared" si="7"/>
        <v>#N/A</v>
      </c>
      <c r="I43">
        <f>SUM(B$6:B43)</f>
        <v>1025</v>
      </c>
      <c r="J43">
        <f>SUM(C$4:C43)</f>
        <v>3585</v>
      </c>
      <c r="K43">
        <f t="shared" si="2"/>
        <v>3</v>
      </c>
      <c r="Q43">
        <f t="shared" si="5"/>
        <v>141</v>
      </c>
      <c r="S43" s="2">
        <v>75</v>
      </c>
      <c r="T43">
        <f>[1]关卡!$AQ48/50</f>
        <v>277.41165596919126</v>
      </c>
    </row>
    <row r="44" spans="1:20">
      <c r="A44">
        <v>39</v>
      </c>
      <c r="B44">
        <v>40</v>
      </c>
      <c r="C44">
        <v>120</v>
      </c>
      <c r="D44">
        <f t="shared" si="1"/>
        <v>120</v>
      </c>
      <c r="E44">
        <v>3</v>
      </c>
      <c r="G44" t="e">
        <f t="shared" si="6"/>
        <v>#N/A</v>
      </c>
      <c r="H44" t="e">
        <f t="shared" si="7"/>
        <v>#N/A</v>
      </c>
      <c r="I44">
        <f>SUM(B$6:B44)</f>
        <v>1065</v>
      </c>
      <c r="J44">
        <f>SUM(C$4:C44)</f>
        <v>3705</v>
      </c>
      <c r="K44">
        <f t="shared" si="2"/>
        <v>3</v>
      </c>
      <c r="Q44">
        <f t="shared" si="5"/>
        <v>140</v>
      </c>
      <c r="S44" s="2">
        <v>77</v>
      </c>
      <c r="T44">
        <f>[1]关卡!$AQ49/50</f>
        <v>279.68246616541347</v>
      </c>
    </row>
    <row r="45" spans="1:20">
      <c r="A45">
        <v>40</v>
      </c>
      <c r="B45">
        <v>40</v>
      </c>
      <c r="C45">
        <v>120</v>
      </c>
      <c r="D45">
        <f t="shared" si="1"/>
        <v>120</v>
      </c>
      <c r="E45">
        <v>3</v>
      </c>
      <c r="G45">
        <f t="shared" si="6"/>
        <v>10</v>
      </c>
      <c r="H45">
        <f t="shared" si="7"/>
        <v>15000</v>
      </c>
      <c r="I45">
        <f>SUM(B$6:B45)</f>
        <v>1105</v>
      </c>
      <c r="J45">
        <f>SUM(C$4:C45)</f>
        <v>3825</v>
      </c>
      <c r="K45">
        <f t="shared" si="2"/>
        <v>3</v>
      </c>
      <c r="Q45">
        <f t="shared" si="5"/>
        <v>139</v>
      </c>
      <c r="S45" s="2">
        <v>79</v>
      </c>
      <c r="T45">
        <f>[1]关卡!$AQ50/50</f>
        <v>282.0838384332925</v>
      </c>
    </row>
    <row r="46" spans="1:20">
      <c r="A46">
        <v>41</v>
      </c>
      <c r="B46">
        <v>40</v>
      </c>
      <c r="C46">
        <v>120</v>
      </c>
      <c r="D46">
        <f t="shared" si="1"/>
        <v>120</v>
      </c>
      <c r="E46">
        <v>3</v>
      </c>
      <c r="G46" t="e">
        <f t="shared" si="6"/>
        <v>#N/A</v>
      </c>
      <c r="H46" t="e">
        <f t="shared" si="7"/>
        <v>#N/A</v>
      </c>
      <c r="I46">
        <f>SUM(B$6:B46)</f>
        <v>1145</v>
      </c>
      <c r="J46">
        <f>SUM(C$4:C46)</f>
        <v>3945</v>
      </c>
      <c r="K46">
        <f t="shared" si="2"/>
        <v>3</v>
      </c>
      <c r="Q46">
        <f t="shared" si="5"/>
        <v>138</v>
      </c>
      <c r="S46" s="2">
        <v>81</v>
      </c>
      <c r="T46">
        <f>[1]关卡!$AQ51/50</f>
        <v>284.61513875598075</v>
      </c>
    </row>
    <row r="47" spans="1:20">
      <c r="A47">
        <v>42</v>
      </c>
      <c r="B47">
        <v>40</v>
      </c>
      <c r="C47">
        <v>120</v>
      </c>
      <c r="D47">
        <f t="shared" si="1"/>
        <v>120</v>
      </c>
      <c r="E47">
        <v>3</v>
      </c>
      <c r="G47" t="e">
        <f t="shared" si="6"/>
        <v>#N/A</v>
      </c>
      <c r="H47" t="e">
        <f t="shared" si="7"/>
        <v>#N/A</v>
      </c>
      <c r="I47">
        <f>SUM(B$6:B47)</f>
        <v>1185</v>
      </c>
      <c r="J47">
        <f>SUM(C$4:C47)</f>
        <v>4065</v>
      </c>
      <c r="K47">
        <f t="shared" si="2"/>
        <v>3</v>
      </c>
      <c r="Q47">
        <f t="shared" si="5"/>
        <v>137</v>
      </c>
      <c r="S47" s="2">
        <v>83</v>
      </c>
      <c r="T47">
        <f>[1]关卡!$AQ52/50</f>
        <v>286.43452631578953</v>
      </c>
    </row>
    <row r="48" spans="1:20">
      <c r="A48">
        <v>43</v>
      </c>
      <c r="B48">
        <v>40</v>
      </c>
      <c r="C48">
        <v>120</v>
      </c>
      <c r="D48">
        <f t="shared" si="1"/>
        <v>120</v>
      </c>
      <c r="E48">
        <v>3</v>
      </c>
      <c r="G48" t="e">
        <f t="shared" si="6"/>
        <v>#N/A</v>
      </c>
      <c r="H48" t="e">
        <f t="shared" si="7"/>
        <v>#N/A</v>
      </c>
      <c r="I48">
        <f>SUM(B$6:B48)</f>
        <v>1225</v>
      </c>
      <c r="J48">
        <f>SUM(C$4:C48)</f>
        <v>4185</v>
      </c>
      <c r="K48">
        <f t="shared" si="2"/>
        <v>3</v>
      </c>
      <c r="Q48">
        <f t="shared" si="5"/>
        <v>136</v>
      </c>
      <c r="S48" s="2">
        <v>85</v>
      </c>
      <c r="T48">
        <f>[1]关卡!$AQ53/50</f>
        <v>288.81967963386728</v>
      </c>
    </row>
    <row r="49" spans="1:20">
      <c r="A49">
        <v>44</v>
      </c>
      <c r="B49">
        <v>40</v>
      </c>
      <c r="C49">
        <v>120</v>
      </c>
      <c r="D49">
        <f t="shared" si="1"/>
        <v>120</v>
      </c>
      <c r="E49">
        <v>3</v>
      </c>
      <c r="G49" t="e">
        <f t="shared" si="6"/>
        <v>#N/A</v>
      </c>
      <c r="H49" t="e">
        <f t="shared" si="7"/>
        <v>#N/A</v>
      </c>
      <c r="I49">
        <f>SUM(B$6:B49)</f>
        <v>1265</v>
      </c>
      <c r="J49">
        <f>SUM(C$4:C49)</f>
        <v>4305</v>
      </c>
      <c r="K49">
        <f t="shared" si="2"/>
        <v>3</v>
      </c>
      <c r="Q49">
        <f t="shared" si="5"/>
        <v>135</v>
      </c>
      <c r="S49" s="2">
        <v>87</v>
      </c>
      <c r="T49">
        <f>[1]关卡!$AQ54/50</f>
        <v>291.39585218365062</v>
      </c>
    </row>
    <row r="50" spans="1:20">
      <c r="A50">
        <v>45</v>
      </c>
      <c r="B50">
        <v>40</v>
      </c>
      <c r="C50">
        <v>120</v>
      </c>
      <c r="D50">
        <f t="shared" si="1"/>
        <v>120</v>
      </c>
      <c r="E50">
        <v>3</v>
      </c>
      <c r="G50" t="e">
        <f t="shared" si="6"/>
        <v>#N/A</v>
      </c>
      <c r="H50" t="e">
        <f t="shared" si="7"/>
        <v>#N/A</v>
      </c>
      <c r="I50">
        <f>SUM(B$6:B50)</f>
        <v>1305</v>
      </c>
      <c r="J50">
        <f>SUM(C$4:C50)</f>
        <v>4425</v>
      </c>
      <c r="K50">
        <f t="shared" si="2"/>
        <v>3</v>
      </c>
      <c r="Q50">
        <f t="shared" si="5"/>
        <v>134</v>
      </c>
      <c r="S50" s="2">
        <v>89</v>
      </c>
      <c r="T50">
        <f>[1]关卡!$AQ55/50</f>
        <v>293.85142105263151</v>
      </c>
    </row>
    <row r="51" spans="1:20">
      <c r="A51">
        <v>46</v>
      </c>
      <c r="B51">
        <v>50</v>
      </c>
      <c r="C51">
        <v>135</v>
      </c>
      <c r="D51">
        <v>135</v>
      </c>
      <c r="E51">
        <v>2.6666666666666665</v>
      </c>
      <c r="G51" t="e">
        <f t="shared" si="6"/>
        <v>#N/A</v>
      </c>
      <c r="H51" t="e">
        <f t="shared" si="7"/>
        <v>#N/A</v>
      </c>
      <c r="I51">
        <f>SUM(B$6:B51)</f>
        <v>1355</v>
      </c>
      <c r="J51">
        <f>SUM(C$4:C51)</f>
        <v>4560</v>
      </c>
      <c r="K51">
        <f t="shared" si="2"/>
        <v>2.7</v>
      </c>
      <c r="Q51">
        <f t="shared" si="5"/>
        <v>133</v>
      </c>
      <c r="S51" s="2">
        <v>91</v>
      </c>
      <c r="T51">
        <f>[1]关卡!$AQ56/50</f>
        <v>296.09307841031148</v>
      </c>
    </row>
    <row r="52" spans="1:20">
      <c r="A52">
        <v>47</v>
      </c>
      <c r="B52">
        <v>50</v>
      </c>
      <c r="C52">
        <v>135</v>
      </c>
      <c r="D52">
        <v>135</v>
      </c>
      <c r="E52">
        <v>2.6666666666666665</v>
      </c>
      <c r="G52" t="e">
        <f t="shared" si="6"/>
        <v>#N/A</v>
      </c>
      <c r="H52" t="e">
        <f t="shared" si="7"/>
        <v>#N/A</v>
      </c>
      <c r="I52">
        <f>SUM(B$6:B52)</f>
        <v>1405</v>
      </c>
      <c r="J52">
        <f>SUM(C$4:C52)</f>
        <v>4695</v>
      </c>
      <c r="K52">
        <f t="shared" si="2"/>
        <v>2.7</v>
      </c>
      <c r="Q52">
        <f t="shared" si="5"/>
        <v>132</v>
      </c>
      <c r="S52" s="2">
        <v>93</v>
      </c>
      <c r="T52">
        <f>[1]关卡!$AQ57/50</f>
        <v>297.93448421052636</v>
      </c>
    </row>
    <row r="53" spans="1:20">
      <c r="A53">
        <v>48</v>
      </c>
      <c r="B53">
        <v>50</v>
      </c>
      <c r="C53">
        <v>135</v>
      </c>
      <c r="D53">
        <v>135</v>
      </c>
      <c r="E53">
        <v>2.6666666666666665</v>
      </c>
      <c r="G53" t="e">
        <f t="shared" si="6"/>
        <v>#N/A</v>
      </c>
      <c r="H53" t="e">
        <f t="shared" si="7"/>
        <v>#N/A</v>
      </c>
      <c r="I53">
        <f>SUM(B$6:B53)</f>
        <v>1455</v>
      </c>
      <c r="J53">
        <f>SUM(C$4:C53)</f>
        <v>4830</v>
      </c>
      <c r="K53">
        <f t="shared" si="2"/>
        <v>2.7</v>
      </c>
      <c r="Q53">
        <f t="shared" si="5"/>
        <v>131</v>
      </c>
      <c r="S53" s="2">
        <v>95</v>
      </c>
      <c r="T53">
        <f>[1]关卡!$AQ58/50</f>
        <v>300.46305882352942</v>
      </c>
    </row>
    <row r="54" spans="1:20">
      <c r="A54">
        <v>49</v>
      </c>
      <c r="B54">
        <v>50</v>
      </c>
      <c r="C54">
        <v>135</v>
      </c>
      <c r="D54">
        <v>135</v>
      </c>
      <c r="E54">
        <v>2.6666666666666665</v>
      </c>
      <c r="G54" t="e">
        <f t="shared" si="6"/>
        <v>#N/A</v>
      </c>
      <c r="H54" t="e">
        <f t="shared" si="7"/>
        <v>#N/A</v>
      </c>
      <c r="I54">
        <f>SUM(B$6:B54)</f>
        <v>1505</v>
      </c>
      <c r="J54">
        <f>SUM(C$4:C54)</f>
        <v>4965</v>
      </c>
      <c r="K54">
        <f t="shared" si="2"/>
        <v>2.7</v>
      </c>
      <c r="Q54">
        <f t="shared" si="5"/>
        <v>130</v>
      </c>
      <c r="S54" s="2">
        <v>97</v>
      </c>
      <c r="T54">
        <f>[1]关卡!$AQ59/50</f>
        <v>302.93256680161949</v>
      </c>
    </row>
    <row r="55" spans="1:20">
      <c r="A55">
        <v>50</v>
      </c>
      <c r="B55">
        <v>50</v>
      </c>
      <c r="C55">
        <v>135</v>
      </c>
      <c r="D55">
        <v>135</v>
      </c>
      <c r="E55">
        <v>2.6666666666666665</v>
      </c>
      <c r="G55">
        <f t="shared" si="6"/>
        <v>11</v>
      </c>
      <c r="H55">
        <f t="shared" si="7"/>
        <v>25000</v>
      </c>
      <c r="I55">
        <f>SUM(B$6:B55)</f>
        <v>1555</v>
      </c>
      <c r="J55">
        <f>SUM(C$4:C55)</f>
        <v>5100</v>
      </c>
      <c r="K55">
        <f t="shared" si="2"/>
        <v>2.7</v>
      </c>
      <c r="Q55">
        <f t="shared" si="5"/>
        <v>129</v>
      </c>
    </row>
    <row r="56" spans="1:20">
      <c r="A56">
        <v>51</v>
      </c>
      <c r="B56">
        <v>50</v>
      </c>
      <c r="C56">
        <v>135</v>
      </c>
      <c r="D56">
        <v>135</v>
      </c>
      <c r="E56">
        <v>2.6666666666666665</v>
      </c>
      <c r="G56" t="e">
        <f t="shared" si="6"/>
        <v>#N/A</v>
      </c>
      <c r="H56" t="e">
        <f t="shared" si="7"/>
        <v>#N/A</v>
      </c>
      <c r="I56">
        <f>SUM(B$6:B56)</f>
        <v>1605</v>
      </c>
      <c r="J56">
        <f>SUM(C$4:C56)</f>
        <v>5235</v>
      </c>
      <c r="K56">
        <f t="shared" si="2"/>
        <v>2.7</v>
      </c>
      <c r="Q56">
        <f t="shared" si="5"/>
        <v>128</v>
      </c>
    </row>
    <row r="57" spans="1:20">
      <c r="A57">
        <v>52</v>
      </c>
      <c r="B57">
        <v>50</v>
      </c>
      <c r="C57">
        <v>135</v>
      </c>
      <c r="D57">
        <v>135</v>
      </c>
      <c r="E57">
        <v>2.6666666666666665</v>
      </c>
      <c r="G57" t="e">
        <f t="shared" si="6"/>
        <v>#N/A</v>
      </c>
      <c r="H57" t="e">
        <f t="shared" si="7"/>
        <v>#N/A</v>
      </c>
      <c r="I57">
        <f>SUM(B$6:B57)</f>
        <v>1655</v>
      </c>
      <c r="J57">
        <f>SUM(C$4:C57)</f>
        <v>5370</v>
      </c>
      <c r="K57">
        <f t="shared" si="2"/>
        <v>2.7</v>
      </c>
      <c r="Q57">
        <f t="shared" si="5"/>
        <v>127</v>
      </c>
    </row>
    <row r="58" spans="1:20">
      <c r="A58">
        <v>53</v>
      </c>
      <c r="B58">
        <v>50</v>
      </c>
      <c r="C58">
        <v>135</v>
      </c>
      <c r="D58">
        <v>135</v>
      </c>
      <c r="E58">
        <v>2.6666666666666665</v>
      </c>
      <c r="G58" t="e">
        <f t="shared" si="6"/>
        <v>#N/A</v>
      </c>
      <c r="H58" t="e">
        <f t="shared" si="7"/>
        <v>#N/A</v>
      </c>
      <c r="I58">
        <f>SUM(B$6:B58)</f>
        <v>1705</v>
      </c>
      <c r="J58">
        <f>SUM(C$4:C58)</f>
        <v>5505</v>
      </c>
      <c r="K58">
        <f t="shared" si="2"/>
        <v>2.7</v>
      </c>
      <c r="Q58">
        <f t="shared" si="5"/>
        <v>126</v>
      </c>
    </row>
    <row r="59" spans="1:20">
      <c r="A59">
        <v>54</v>
      </c>
      <c r="B59">
        <v>50</v>
      </c>
      <c r="C59">
        <v>135</v>
      </c>
      <c r="D59">
        <v>135</v>
      </c>
      <c r="E59">
        <v>2.6666666666666665</v>
      </c>
      <c r="G59" t="e">
        <f t="shared" si="6"/>
        <v>#N/A</v>
      </c>
      <c r="H59" t="e">
        <f t="shared" si="7"/>
        <v>#N/A</v>
      </c>
      <c r="I59">
        <f>SUM(B$6:B59)</f>
        <v>1755</v>
      </c>
      <c r="J59">
        <f>SUM(C$4:C59)</f>
        <v>5640</v>
      </c>
      <c r="K59">
        <f t="shared" si="2"/>
        <v>2.7</v>
      </c>
      <c r="Q59">
        <f t="shared" si="5"/>
        <v>125</v>
      </c>
    </row>
    <row r="60" spans="1:20">
      <c r="A60">
        <v>55</v>
      </c>
      <c r="B60">
        <v>50</v>
      </c>
      <c r="C60">
        <v>135</v>
      </c>
      <c r="D60">
        <v>135</v>
      </c>
      <c r="E60">
        <v>2.6666666666666665</v>
      </c>
      <c r="G60" t="e">
        <f t="shared" si="6"/>
        <v>#N/A</v>
      </c>
      <c r="H60" t="e">
        <f t="shared" si="7"/>
        <v>#N/A</v>
      </c>
      <c r="I60">
        <f>SUM(B$6:B60)</f>
        <v>1805</v>
      </c>
      <c r="J60">
        <f>SUM(C$4:C60)</f>
        <v>5775</v>
      </c>
      <c r="K60">
        <f t="shared" si="2"/>
        <v>2.7</v>
      </c>
      <c r="Q60">
        <f t="shared" si="5"/>
        <v>124</v>
      </c>
    </row>
    <row r="61" spans="1:20">
      <c r="A61">
        <v>56</v>
      </c>
      <c r="B61">
        <v>50</v>
      </c>
      <c r="C61">
        <v>135</v>
      </c>
      <c r="D61">
        <v>135</v>
      </c>
      <c r="E61">
        <v>2.6666666666666665</v>
      </c>
      <c r="G61" t="e">
        <f t="shared" si="6"/>
        <v>#N/A</v>
      </c>
      <c r="H61" t="e">
        <f t="shared" si="7"/>
        <v>#N/A</v>
      </c>
      <c r="I61">
        <f>SUM(B$6:B61)</f>
        <v>1855</v>
      </c>
      <c r="J61">
        <f>SUM(C$4:C61)</f>
        <v>5910</v>
      </c>
      <c r="K61">
        <f t="shared" si="2"/>
        <v>2.7</v>
      </c>
      <c r="Q61">
        <f t="shared" si="5"/>
        <v>123</v>
      </c>
    </row>
    <row r="62" spans="1:20">
      <c r="A62">
        <v>57</v>
      </c>
      <c r="B62">
        <v>50</v>
      </c>
      <c r="C62">
        <v>135</v>
      </c>
      <c r="D62">
        <v>135</v>
      </c>
      <c r="E62">
        <v>2.6666666666666665</v>
      </c>
      <c r="G62" t="e">
        <f t="shared" si="6"/>
        <v>#N/A</v>
      </c>
      <c r="H62" t="e">
        <f t="shared" si="7"/>
        <v>#N/A</v>
      </c>
      <c r="I62">
        <f>SUM(B$6:B62)</f>
        <v>1905</v>
      </c>
      <c r="J62">
        <f>SUM(C$4:C62)</f>
        <v>6045</v>
      </c>
      <c r="K62">
        <f t="shared" si="2"/>
        <v>2.7</v>
      </c>
      <c r="Q62">
        <f t="shared" si="5"/>
        <v>122</v>
      </c>
    </row>
    <row r="63" spans="1:20">
      <c r="A63">
        <v>58</v>
      </c>
      <c r="B63">
        <v>50</v>
      </c>
      <c r="C63">
        <v>135</v>
      </c>
      <c r="D63">
        <v>135</v>
      </c>
      <c r="E63">
        <v>2.6666666666666665</v>
      </c>
      <c r="G63" t="e">
        <f t="shared" si="6"/>
        <v>#N/A</v>
      </c>
      <c r="H63" t="e">
        <f t="shared" si="7"/>
        <v>#N/A</v>
      </c>
      <c r="I63">
        <f>SUM(B$6:B63)</f>
        <v>1955</v>
      </c>
      <c r="J63">
        <f>SUM(C$4:C63)</f>
        <v>6180</v>
      </c>
      <c r="K63">
        <f t="shared" si="2"/>
        <v>2.7</v>
      </c>
      <c r="Q63">
        <f t="shared" si="5"/>
        <v>121</v>
      </c>
    </row>
    <row r="64" spans="1:20">
      <c r="A64">
        <v>59</v>
      </c>
      <c r="B64">
        <v>50</v>
      </c>
      <c r="C64">
        <v>135</v>
      </c>
      <c r="D64">
        <v>135</v>
      </c>
      <c r="E64">
        <v>2.6666666666666665</v>
      </c>
      <c r="G64" t="e">
        <f t="shared" si="6"/>
        <v>#N/A</v>
      </c>
      <c r="H64" t="e">
        <f t="shared" si="7"/>
        <v>#N/A</v>
      </c>
      <c r="I64">
        <f>SUM(B$6:B64)</f>
        <v>2005</v>
      </c>
      <c r="J64">
        <f>SUM(C$4:C64)</f>
        <v>6315</v>
      </c>
      <c r="K64">
        <f t="shared" si="2"/>
        <v>2.7</v>
      </c>
      <c r="Q64">
        <f t="shared" si="5"/>
        <v>120</v>
      </c>
    </row>
    <row r="65" spans="1:17">
      <c r="A65">
        <v>60</v>
      </c>
      <c r="B65">
        <v>50</v>
      </c>
      <c r="C65">
        <v>135</v>
      </c>
      <c r="D65">
        <v>135</v>
      </c>
      <c r="E65">
        <v>2.6666666666666665</v>
      </c>
      <c r="G65">
        <f t="shared" si="6"/>
        <v>12</v>
      </c>
      <c r="H65">
        <f t="shared" si="7"/>
        <v>45000</v>
      </c>
      <c r="I65">
        <f>SUM(B$6:B65)</f>
        <v>2055</v>
      </c>
      <c r="J65">
        <f>SUM(C$4:C65)</f>
        <v>6450</v>
      </c>
      <c r="K65">
        <f t="shared" si="2"/>
        <v>2.7</v>
      </c>
      <c r="Q65">
        <f t="shared" si="5"/>
        <v>119</v>
      </c>
    </row>
    <row r="66" spans="1:17">
      <c r="A66">
        <v>61</v>
      </c>
      <c r="B66">
        <v>50</v>
      </c>
      <c r="C66">
        <v>135</v>
      </c>
      <c r="D66">
        <v>135</v>
      </c>
      <c r="E66">
        <v>2.6666666666666665</v>
      </c>
      <c r="G66" t="e">
        <f t="shared" si="6"/>
        <v>#N/A</v>
      </c>
      <c r="H66" t="e">
        <f t="shared" si="7"/>
        <v>#N/A</v>
      </c>
      <c r="I66">
        <f>SUM(B$6:B66)</f>
        <v>2105</v>
      </c>
      <c r="J66">
        <f>SUM(C$4:C66)</f>
        <v>6585</v>
      </c>
      <c r="K66">
        <f t="shared" si="2"/>
        <v>2.7</v>
      </c>
      <c r="Q66">
        <f t="shared" si="5"/>
        <v>118</v>
      </c>
    </row>
    <row r="67" spans="1:17">
      <c r="A67">
        <v>62</v>
      </c>
      <c r="B67">
        <v>50</v>
      </c>
      <c r="C67">
        <v>135</v>
      </c>
      <c r="D67">
        <v>135</v>
      </c>
      <c r="E67">
        <v>2.6666666666666665</v>
      </c>
      <c r="G67" t="e">
        <f t="shared" si="6"/>
        <v>#N/A</v>
      </c>
      <c r="H67" t="e">
        <f t="shared" si="7"/>
        <v>#N/A</v>
      </c>
      <c r="I67">
        <f>SUM(B$6:B67)</f>
        <v>2155</v>
      </c>
      <c r="J67">
        <f>SUM(C$4:C67)</f>
        <v>6720</v>
      </c>
      <c r="K67">
        <f t="shared" si="2"/>
        <v>2.7</v>
      </c>
      <c r="Q67">
        <f t="shared" si="5"/>
        <v>117</v>
      </c>
    </row>
    <row r="68" spans="1:17">
      <c r="A68">
        <v>63</v>
      </c>
      <c r="B68">
        <v>50</v>
      </c>
      <c r="C68">
        <v>135</v>
      </c>
      <c r="D68">
        <v>135</v>
      </c>
      <c r="E68">
        <v>2.6666666666666665</v>
      </c>
      <c r="G68" t="e">
        <f t="shared" si="6"/>
        <v>#N/A</v>
      </c>
      <c r="H68" t="e">
        <f t="shared" si="7"/>
        <v>#N/A</v>
      </c>
      <c r="I68">
        <f>SUM(B$6:B68)</f>
        <v>2205</v>
      </c>
      <c r="J68">
        <f>SUM(C$4:C68)</f>
        <v>6855</v>
      </c>
      <c r="K68">
        <f t="shared" si="2"/>
        <v>2.7</v>
      </c>
      <c r="Q68">
        <f t="shared" si="5"/>
        <v>116</v>
      </c>
    </row>
    <row r="69" spans="1:17">
      <c r="A69">
        <v>64</v>
      </c>
      <c r="B69">
        <v>50</v>
      </c>
      <c r="C69">
        <v>135</v>
      </c>
      <c r="D69">
        <v>135</v>
      </c>
      <c r="E69">
        <v>2.2999999999999998</v>
      </c>
      <c r="G69" t="e">
        <f t="shared" si="6"/>
        <v>#N/A</v>
      </c>
      <c r="H69" t="e">
        <f t="shared" si="7"/>
        <v>#N/A</v>
      </c>
      <c r="I69">
        <f>SUM(B$6:B69)</f>
        <v>2255</v>
      </c>
      <c r="J69">
        <f>SUM(C$4:C69)</f>
        <v>6990</v>
      </c>
      <c r="K69">
        <f t="shared" si="2"/>
        <v>2.7</v>
      </c>
      <c r="Q69">
        <f t="shared" si="5"/>
        <v>115</v>
      </c>
    </row>
    <row r="70" spans="1:17">
      <c r="A70">
        <v>65</v>
      </c>
      <c r="B70">
        <v>50</v>
      </c>
      <c r="C70">
        <v>135</v>
      </c>
      <c r="D70">
        <v>135</v>
      </c>
      <c r="E70">
        <v>2.2999999999999998</v>
      </c>
      <c r="G70" t="e">
        <f t="shared" ref="G70:G105" si="8">VLOOKUP(A70,M$6:O$21,2,0)</f>
        <v>#N/A</v>
      </c>
      <c r="H70" t="e">
        <f t="shared" si="7"/>
        <v>#N/A</v>
      </c>
      <c r="I70">
        <f>SUM(B$6:B70)</f>
        <v>2305</v>
      </c>
      <c r="J70">
        <f>SUM(C$4:C70)</f>
        <v>7125</v>
      </c>
      <c r="K70">
        <f t="shared" si="2"/>
        <v>2.7</v>
      </c>
      <c r="Q70">
        <f t="shared" si="5"/>
        <v>114</v>
      </c>
    </row>
    <row r="71" spans="1:17">
      <c r="A71">
        <v>66</v>
      </c>
      <c r="B71">
        <v>50</v>
      </c>
      <c r="C71">
        <v>135</v>
      </c>
      <c r="D71">
        <v>135</v>
      </c>
      <c r="E71">
        <v>2.2999999999999998</v>
      </c>
      <c r="G71" t="e">
        <f t="shared" si="8"/>
        <v>#N/A</v>
      </c>
      <c r="H71" t="e">
        <f t="shared" si="7"/>
        <v>#N/A</v>
      </c>
      <c r="I71">
        <f>SUM(B$6:B71)</f>
        <v>2355</v>
      </c>
      <c r="J71">
        <f>SUM(C$4:C71)</f>
        <v>7260</v>
      </c>
      <c r="K71">
        <f t="shared" ref="K71:K105" si="9">C71/B71</f>
        <v>2.7</v>
      </c>
      <c r="Q71">
        <f t="shared" si="5"/>
        <v>113</v>
      </c>
    </row>
    <row r="72" spans="1:17">
      <c r="A72">
        <v>67</v>
      </c>
      <c r="B72">
        <v>50</v>
      </c>
      <c r="C72">
        <v>135</v>
      </c>
      <c r="D72">
        <v>135</v>
      </c>
      <c r="E72">
        <v>2.2999999999999998</v>
      </c>
      <c r="G72" t="e">
        <f t="shared" si="8"/>
        <v>#N/A</v>
      </c>
      <c r="H72" t="e">
        <f t="shared" ref="H72:H103" si="10">VLOOKUP(G72,N$6:O$21,2,0)</f>
        <v>#N/A</v>
      </c>
      <c r="I72">
        <f>SUM(B$6:B72)</f>
        <v>2405</v>
      </c>
      <c r="J72">
        <f>SUM(C$4:C72)</f>
        <v>7395</v>
      </c>
      <c r="K72">
        <f t="shared" si="9"/>
        <v>2.7</v>
      </c>
      <c r="Q72">
        <f t="shared" ref="Q72:Q105" si="11">ROUND(Q71*0.99,0)</f>
        <v>112</v>
      </c>
    </row>
    <row r="73" spans="1:17">
      <c r="A73">
        <v>68</v>
      </c>
      <c r="B73">
        <v>50</v>
      </c>
      <c r="C73">
        <v>135</v>
      </c>
      <c r="D73">
        <v>135</v>
      </c>
      <c r="E73">
        <v>2.2999999999999998</v>
      </c>
      <c r="G73" t="e">
        <f t="shared" si="8"/>
        <v>#N/A</v>
      </c>
      <c r="H73" t="e">
        <f t="shared" si="10"/>
        <v>#N/A</v>
      </c>
      <c r="I73">
        <f>SUM(B$6:B73)</f>
        <v>2455</v>
      </c>
      <c r="J73">
        <f>SUM(C$4:C73)</f>
        <v>7530</v>
      </c>
      <c r="K73">
        <f t="shared" si="9"/>
        <v>2.7</v>
      </c>
      <c r="Q73">
        <f t="shared" si="11"/>
        <v>111</v>
      </c>
    </row>
    <row r="74" spans="1:17">
      <c r="A74">
        <v>69</v>
      </c>
      <c r="B74">
        <v>50</v>
      </c>
      <c r="C74">
        <v>135</v>
      </c>
      <c r="D74">
        <v>135</v>
      </c>
      <c r="E74">
        <v>2.2999999999999998</v>
      </c>
      <c r="G74" t="e">
        <f t="shared" si="8"/>
        <v>#N/A</v>
      </c>
      <c r="H74" t="e">
        <f t="shared" si="10"/>
        <v>#N/A</v>
      </c>
      <c r="I74">
        <f>SUM(B$6:B74)</f>
        <v>2505</v>
      </c>
      <c r="J74">
        <f>SUM(C$4:C74)</f>
        <v>7665</v>
      </c>
      <c r="K74">
        <f t="shared" si="9"/>
        <v>2.7</v>
      </c>
      <c r="Q74">
        <f t="shared" si="11"/>
        <v>110</v>
      </c>
    </row>
    <row r="75" spans="1:17">
      <c r="A75">
        <v>70</v>
      </c>
      <c r="B75">
        <v>50</v>
      </c>
      <c r="C75">
        <v>135</v>
      </c>
      <c r="D75">
        <v>135</v>
      </c>
      <c r="E75">
        <v>2.2999999999999998</v>
      </c>
      <c r="G75">
        <f t="shared" si="8"/>
        <v>13</v>
      </c>
      <c r="H75">
        <f t="shared" si="10"/>
        <v>80000</v>
      </c>
      <c r="I75">
        <f>SUM(B$6:B75)</f>
        <v>2555</v>
      </c>
      <c r="J75">
        <f>SUM(C$4:C75)</f>
        <v>7800</v>
      </c>
      <c r="K75">
        <f t="shared" si="9"/>
        <v>2.7</v>
      </c>
      <c r="Q75">
        <f t="shared" si="11"/>
        <v>109</v>
      </c>
    </row>
    <row r="76" spans="1:17">
      <c r="A76">
        <v>71</v>
      </c>
      <c r="B76">
        <v>50</v>
      </c>
      <c r="C76">
        <v>135</v>
      </c>
      <c r="D76">
        <v>135</v>
      </c>
      <c r="E76">
        <v>2.2999999999999998</v>
      </c>
      <c r="G76" t="e">
        <f t="shared" si="8"/>
        <v>#N/A</v>
      </c>
      <c r="H76" t="e">
        <f t="shared" si="10"/>
        <v>#N/A</v>
      </c>
      <c r="I76">
        <f>SUM(B$6:B76)</f>
        <v>2605</v>
      </c>
      <c r="J76">
        <f>SUM(C$4:C76)</f>
        <v>7935</v>
      </c>
      <c r="K76">
        <f t="shared" si="9"/>
        <v>2.7</v>
      </c>
      <c r="Q76">
        <f t="shared" si="11"/>
        <v>108</v>
      </c>
    </row>
    <row r="77" spans="1:17">
      <c r="A77">
        <v>72</v>
      </c>
      <c r="B77">
        <v>50</v>
      </c>
      <c r="C77">
        <v>135</v>
      </c>
      <c r="D77">
        <v>135</v>
      </c>
      <c r="E77">
        <v>2.2999999999999998</v>
      </c>
      <c r="G77" t="e">
        <f t="shared" si="8"/>
        <v>#N/A</v>
      </c>
      <c r="H77" t="e">
        <f t="shared" si="10"/>
        <v>#N/A</v>
      </c>
      <c r="I77">
        <f>SUM(B$6:B77)</f>
        <v>2655</v>
      </c>
      <c r="J77">
        <f>SUM(C$4:C77)</f>
        <v>8070</v>
      </c>
      <c r="K77">
        <f t="shared" si="9"/>
        <v>2.7</v>
      </c>
      <c r="Q77">
        <f t="shared" si="11"/>
        <v>107</v>
      </c>
    </row>
    <row r="78" spans="1:17">
      <c r="A78">
        <v>73</v>
      </c>
      <c r="B78">
        <v>50</v>
      </c>
      <c r="C78">
        <v>135</v>
      </c>
      <c r="D78">
        <v>135</v>
      </c>
      <c r="E78">
        <v>2.2999999999999998</v>
      </c>
      <c r="G78" t="e">
        <f t="shared" si="8"/>
        <v>#N/A</v>
      </c>
      <c r="H78" t="e">
        <f t="shared" si="10"/>
        <v>#N/A</v>
      </c>
      <c r="I78">
        <f>SUM(B$6:B78)</f>
        <v>2705</v>
      </c>
      <c r="J78">
        <f>SUM(C$4:C78)</f>
        <v>8205</v>
      </c>
      <c r="K78">
        <f t="shared" si="9"/>
        <v>2.7</v>
      </c>
      <c r="Q78">
        <f t="shared" si="11"/>
        <v>106</v>
      </c>
    </row>
    <row r="79" spans="1:17">
      <c r="A79">
        <v>74</v>
      </c>
      <c r="B79">
        <v>50</v>
      </c>
      <c r="C79">
        <v>135</v>
      </c>
      <c r="D79">
        <v>135</v>
      </c>
      <c r="E79">
        <v>2.2999999999999998</v>
      </c>
      <c r="G79" t="e">
        <f t="shared" si="8"/>
        <v>#N/A</v>
      </c>
      <c r="H79" t="e">
        <f t="shared" si="10"/>
        <v>#N/A</v>
      </c>
      <c r="I79">
        <f>SUM(B$6:B79)</f>
        <v>2755</v>
      </c>
      <c r="J79">
        <f>SUM(C$4:C79)</f>
        <v>8340</v>
      </c>
      <c r="K79">
        <f t="shared" si="9"/>
        <v>2.7</v>
      </c>
      <c r="Q79">
        <f t="shared" si="11"/>
        <v>105</v>
      </c>
    </row>
    <row r="80" spans="1:17">
      <c r="A80">
        <v>75</v>
      </c>
      <c r="B80">
        <v>50</v>
      </c>
      <c r="C80">
        <v>135</v>
      </c>
      <c r="D80">
        <v>135</v>
      </c>
      <c r="E80">
        <v>2.2999999999999998</v>
      </c>
      <c r="G80" t="e">
        <f t="shared" si="8"/>
        <v>#N/A</v>
      </c>
      <c r="H80" t="e">
        <f t="shared" si="10"/>
        <v>#N/A</v>
      </c>
      <c r="I80">
        <f>SUM(B$6:B80)</f>
        <v>2805</v>
      </c>
      <c r="J80">
        <f>SUM(C$4:C80)</f>
        <v>8475</v>
      </c>
      <c r="K80">
        <f t="shared" si="9"/>
        <v>2.7</v>
      </c>
      <c r="Q80">
        <f t="shared" si="11"/>
        <v>104</v>
      </c>
    </row>
    <row r="81" spans="1:17">
      <c r="A81">
        <v>76</v>
      </c>
      <c r="B81">
        <v>50</v>
      </c>
      <c r="C81">
        <v>135</v>
      </c>
      <c r="D81">
        <v>135</v>
      </c>
      <c r="E81">
        <v>2.2999999999999998</v>
      </c>
      <c r="G81" t="e">
        <f t="shared" si="8"/>
        <v>#N/A</v>
      </c>
      <c r="H81" t="e">
        <f t="shared" si="10"/>
        <v>#N/A</v>
      </c>
      <c r="I81">
        <f>SUM(B$6:B81)</f>
        <v>2855</v>
      </c>
      <c r="J81">
        <f>SUM(C$4:C81)</f>
        <v>8610</v>
      </c>
      <c r="K81">
        <f t="shared" si="9"/>
        <v>2.7</v>
      </c>
      <c r="Q81">
        <f t="shared" si="11"/>
        <v>103</v>
      </c>
    </row>
    <row r="82" spans="1:17">
      <c r="A82">
        <v>77</v>
      </c>
      <c r="B82">
        <v>50</v>
      </c>
      <c r="C82">
        <v>135</v>
      </c>
      <c r="D82">
        <v>135</v>
      </c>
      <c r="E82">
        <v>2.2999999999999998</v>
      </c>
      <c r="G82" t="e">
        <f t="shared" si="8"/>
        <v>#N/A</v>
      </c>
      <c r="H82" t="e">
        <f t="shared" si="10"/>
        <v>#N/A</v>
      </c>
      <c r="I82">
        <f>SUM(B$6:B82)</f>
        <v>2905</v>
      </c>
      <c r="J82">
        <f>SUM(C$4:C82)</f>
        <v>8745</v>
      </c>
      <c r="K82">
        <f t="shared" si="9"/>
        <v>2.7</v>
      </c>
      <c r="Q82">
        <f t="shared" si="11"/>
        <v>102</v>
      </c>
    </row>
    <row r="83" spans="1:17">
      <c r="A83">
        <v>78</v>
      </c>
      <c r="B83">
        <v>50</v>
      </c>
      <c r="C83">
        <v>135</v>
      </c>
      <c r="D83">
        <v>135</v>
      </c>
      <c r="E83">
        <v>2.2999999999999998</v>
      </c>
      <c r="G83" t="e">
        <f t="shared" si="8"/>
        <v>#N/A</v>
      </c>
      <c r="H83" t="e">
        <f t="shared" si="10"/>
        <v>#N/A</v>
      </c>
      <c r="I83">
        <f>SUM(B$6:B83)</f>
        <v>2955</v>
      </c>
      <c r="J83">
        <f>SUM(C$4:C83)</f>
        <v>8880</v>
      </c>
      <c r="K83">
        <f t="shared" si="9"/>
        <v>2.7</v>
      </c>
      <c r="Q83">
        <f t="shared" si="11"/>
        <v>101</v>
      </c>
    </row>
    <row r="84" spans="1:17">
      <c r="A84">
        <v>79</v>
      </c>
      <c r="B84">
        <v>50</v>
      </c>
      <c r="C84">
        <v>135</v>
      </c>
      <c r="D84">
        <v>135</v>
      </c>
      <c r="E84">
        <v>2.2999999999999998</v>
      </c>
      <c r="G84" t="e">
        <f t="shared" si="8"/>
        <v>#N/A</v>
      </c>
      <c r="H84" t="e">
        <f t="shared" si="10"/>
        <v>#N/A</v>
      </c>
      <c r="I84">
        <f>SUM(B$6:B84)</f>
        <v>3005</v>
      </c>
      <c r="J84">
        <f>SUM(C$4:C84)</f>
        <v>9015</v>
      </c>
      <c r="K84">
        <f t="shared" si="9"/>
        <v>2.7</v>
      </c>
      <c r="Q84">
        <f t="shared" si="11"/>
        <v>100</v>
      </c>
    </row>
    <row r="85" spans="1:17">
      <c r="A85">
        <v>80</v>
      </c>
      <c r="B85">
        <v>50</v>
      </c>
      <c r="C85">
        <v>135</v>
      </c>
      <c r="D85">
        <v>135</v>
      </c>
      <c r="E85">
        <v>2.2999999999999998</v>
      </c>
      <c r="G85">
        <f t="shared" si="8"/>
        <v>14</v>
      </c>
      <c r="H85">
        <f t="shared" si="10"/>
        <v>140000</v>
      </c>
      <c r="I85">
        <f>SUM(B$6:B85)</f>
        <v>3055</v>
      </c>
      <c r="J85">
        <f>SUM(C$4:C85)</f>
        <v>9150</v>
      </c>
      <c r="K85">
        <f t="shared" si="9"/>
        <v>2.7</v>
      </c>
      <c r="Q85">
        <f t="shared" si="11"/>
        <v>99</v>
      </c>
    </row>
    <row r="86" spans="1:17">
      <c r="A86">
        <v>81</v>
      </c>
      <c r="B86">
        <v>50</v>
      </c>
      <c r="C86">
        <v>135</v>
      </c>
      <c r="D86">
        <v>135</v>
      </c>
      <c r="E86">
        <v>2.2999999999999998</v>
      </c>
      <c r="G86" t="e">
        <f t="shared" si="8"/>
        <v>#N/A</v>
      </c>
      <c r="H86" t="e">
        <f t="shared" si="10"/>
        <v>#N/A</v>
      </c>
      <c r="I86">
        <f>SUM(B$6:B86)</f>
        <v>3105</v>
      </c>
      <c r="J86">
        <f>SUM(C$4:C86)</f>
        <v>9285</v>
      </c>
      <c r="K86">
        <f t="shared" si="9"/>
        <v>2.7</v>
      </c>
      <c r="Q86">
        <f t="shared" si="11"/>
        <v>98</v>
      </c>
    </row>
    <row r="87" spans="1:17">
      <c r="A87">
        <v>82</v>
      </c>
      <c r="B87">
        <v>50</v>
      </c>
      <c r="C87">
        <v>135</v>
      </c>
      <c r="D87">
        <v>135</v>
      </c>
      <c r="E87">
        <v>2.2999999999999998</v>
      </c>
      <c r="G87" t="e">
        <f t="shared" si="8"/>
        <v>#N/A</v>
      </c>
      <c r="H87" t="e">
        <f t="shared" si="10"/>
        <v>#N/A</v>
      </c>
      <c r="I87">
        <f>SUM(B$6:B87)</f>
        <v>3155</v>
      </c>
      <c r="J87">
        <f>SUM(C$4:C87)</f>
        <v>9420</v>
      </c>
      <c r="K87">
        <f t="shared" si="9"/>
        <v>2.7</v>
      </c>
      <c r="Q87">
        <f t="shared" si="11"/>
        <v>97</v>
      </c>
    </row>
    <row r="88" spans="1:17">
      <c r="A88">
        <v>83</v>
      </c>
      <c r="B88">
        <v>50</v>
      </c>
      <c r="C88">
        <v>135</v>
      </c>
      <c r="D88">
        <v>135</v>
      </c>
      <c r="E88">
        <v>2.2999999999999998</v>
      </c>
      <c r="G88" t="e">
        <f t="shared" si="8"/>
        <v>#N/A</v>
      </c>
      <c r="H88" t="e">
        <f t="shared" si="10"/>
        <v>#N/A</v>
      </c>
      <c r="I88">
        <f>SUM(B$6:B88)</f>
        <v>3205</v>
      </c>
      <c r="J88">
        <f>SUM(C$4:C88)</f>
        <v>9555</v>
      </c>
      <c r="K88">
        <f t="shared" si="9"/>
        <v>2.7</v>
      </c>
      <c r="Q88">
        <f t="shared" si="11"/>
        <v>96</v>
      </c>
    </row>
    <row r="89" spans="1:17">
      <c r="A89">
        <v>84</v>
      </c>
      <c r="B89">
        <v>50</v>
      </c>
      <c r="C89">
        <v>135</v>
      </c>
      <c r="D89">
        <v>135</v>
      </c>
      <c r="E89">
        <v>2.2999999999999998</v>
      </c>
      <c r="G89" t="e">
        <f t="shared" si="8"/>
        <v>#N/A</v>
      </c>
      <c r="H89" t="e">
        <f t="shared" si="10"/>
        <v>#N/A</v>
      </c>
      <c r="I89">
        <f>SUM(B$6:B89)</f>
        <v>3255</v>
      </c>
      <c r="J89">
        <f>SUM(C$4:C89)</f>
        <v>9690</v>
      </c>
      <c r="K89">
        <f t="shared" si="9"/>
        <v>2.7</v>
      </c>
      <c r="Q89">
        <f t="shared" si="11"/>
        <v>95</v>
      </c>
    </row>
    <row r="90" spans="1:17">
      <c r="A90">
        <v>85</v>
      </c>
      <c r="B90">
        <v>50</v>
      </c>
      <c r="C90">
        <v>135</v>
      </c>
      <c r="D90">
        <v>135</v>
      </c>
      <c r="E90">
        <v>2.2999999999999998</v>
      </c>
      <c r="G90" t="e">
        <f t="shared" si="8"/>
        <v>#N/A</v>
      </c>
      <c r="H90" t="e">
        <f t="shared" si="10"/>
        <v>#N/A</v>
      </c>
      <c r="I90">
        <f>SUM(B$6:B90)</f>
        <v>3305</v>
      </c>
      <c r="J90">
        <f>SUM(C$4:C90)</f>
        <v>9825</v>
      </c>
      <c r="K90">
        <f t="shared" si="9"/>
        <v>2.7</v>
      </c>
      <c r="Q90">
        <f t="shared" si="11"/>
        <v>94</v>
      </c>
    </row>
    <row r="91" spans="1:17">
      <c r="A91">
        <v>86</v>
      </c>
      <c r="B91">
        <v>50</v>
      </c>
      <c r="C91">
        <v>135</v>
      </c>
      <c r="D91">
        <v>135</v>
      </c>
      <c r="E91">
        <v>2.2999999999999998</v>
      </c>
      <c r="G91" t="e">
        <f t="shared" si="8"/>
        <v>#N/A</v>
      </c>
      <c r="H91" t="e">
        <f t="shared" si="10"/>
        <v>#N/A</v>
      </c>
      <c r="I91">
        <f>SUM(B$6:B91)</f>
        <v>3355</v>
      </c>
      <c r="J91">
        <f>SUM(C$4:C91)</f>
        <v>9960</v>
      </c>
      <c r="K91">
        <f t="shared" si="9"/>
        <v>2.7</v>
      </c>
      <c r="Q91">
        <f t="shared" si="11"/>
        <v>93</v>
      </c>
    </row>
    <row r="92" spans="1:17">
      <c r="A92">
        <v>87</v>
      </c>
      <c r="B92">
        <v>50</v>
      </c>
      <c r="C92">
        <v>135</v>
      </c>
      <c r="D92">
        <v>135</v>
      </c>
      <c r="E92">
        <v>2.2999999999999998</v>
      </c>
      <c r="G92" t="e">
        <f t="shared" si="8"/>
        <v>#N/A</v>
      </c>
      <c r="H92" t="e">
        <f t="shared" si="10"/>
        <v>#N/A</v>
      </c>
      <c r="I92">
        <f>SUM(B$6:B92)</f>
        <v>3405</v>
      </c>
      <c r="J92">
        <f>SUM(C$4:C92)</f>
        <v>10095</v>
      </c>
      <c r="K92">
        <f t="shared" si="9"/>
        <v>2.7</v>
      </c>
      <c r="Q92">
        <f t="shared" si="11"/>
        <v>92</v>
      </c>
    </row>
    <row r="93" spans="1:17">
      <c r="A93">
        <v>88</v>
      </c>
      <c r="B93">
        <v>50</v>
      </c>
      <c r="C93">
        <v>135</v>
      </c>
      <c r="D93">
        <v>135</v>
      </c>
      <c r="E93">
        <v>2.2999999999999998</v>
      </c>
      <c r="G93" t="e">
        <f t="shared" si="8"/>
        <v>#N/A</v>
      </c>
      <c r="H93" t="e">
        <f t="shared" si="10"/>
        <v>#N/A</v>
      </c>
      <c r="I93">
        <f>SUM(B$6:B93)</f>
        <v>3455</v>
      </c>
      <c r="J93">
        <f>SUM(C$4:C93)</f>
        <v>10230</v>
      </c>
      <c r="K93">
        <f t="shared" si="9"/>
        <v>2.7</v>
      </c>
      <c r="Q93">
        <f t="shared" si="11"/>
        <v>91</v>
      </c>
    </row>
    <row r="94" spans="1:17">
      <c r="A94">
        <v>89</v>
      </c>
      <c r="B94">
        <v>50</v>
      </c>
      <c r="C94">
        <v>135</v>
      </c>
      <c r="D94">
        <v>135</v>
      </c>
      <c r="E94">
        <v>2.2999999999999998</v>
      </c>
      <c r="G94" t="e">
        <f t="shared" si="8"/>
        <v>#N/A</v>
      </c>
      <c r="H94" t="e">
        <f t="shared" si="10"/>
        <v>#N/A</v>
      </c>
      <c r="I94">
        <f>SUM(B$6:B94)</f>
        <v>3505</v>
      </c>
      <c r="J94">
        <f>SUM(C$4:C94)</f>
        <v>10365</v>
      </c>
      <c r="K94">
        <f t="shared" si="9"/>
        <v>2.7</v>
      </c>
      <c r="Q94">
        <f t="shared" si="11"/>
        <v>90</v>
      </c>
    </row>
    <row r="95" spans="1:17">
      <c r="A95">
        <v>90</v>
      </c>
      <c r="B95">
        <v>50</v>
      </c>
      <c r="C95">
        <v>135</v>
      </c>
      <c r="D95">
        <v>135</v>
      </c>
      <c r="E95">
        <v>2.2999999999999998</v>
      </c>
      <c r="G95" t="e">
        <f t="shared" si="8"/>
        <v>#N/A</v>
      </c>
      <c r="H95" t="e">
        <f t="shared" si="10"/>
        <v>#N/A</v>
      </c>
      <c r="I95">
        <f>SUM(B$6:B95)</f>
        <v>3555</v>
      </c>
      <c r="J95">
        <f>SUM(C$4:C95)</f>
        <v>10500</v>
      </c>
      <c r="K95">
        <f t="shared" si="9"/>
        <v>2.7</v>
      </c>
      <c r="Q95">
        <f t="shared" si="11"/>
        <v>89</v>
      </c>
    </row>
    <row r="96" spans="1:17">
      <c r="A96">
        <v>91</v>
      </c>
      <c r="B96">
        <v>50</v>
      </c>
      <c r="C96">
        <v>135</v>
      </c>
      <c r="D96">
        <v>135</v>
      </c>
      <c r="E96">
        <v>2.2999999999999998</v>
      </c>
      <c r="G96" t="e">
        <f t="shared" si="8"/>
        <v>#N/A</v>
      </c>
      <c r="H96" t="e">
        <f t="shared" si="10"/>
        <v>#N/A</v>
      </c>
      <c r="I96">
        <f>SUM(B$6:B96)</f>
        <v>3605</v>
      </c>
      <c r="J96">
        <f>SUM(C$4:C96)</f>
        <v>10635</v>
      </c>
      <c r="K96">
        <f t="shared" si="9"/>
        <v>2.7</v>
      </c>
      <c r="Q96">
        <f t="shared" si="11"/>
        <v>88</v>
      </c>
    </row>
    <row r="97" spans="1:17">
      <c r="A97">
        <v>92</v>
      </c>
      <c r="B97">
        <v>50</v>
      </c>
      <c r="C97">
        <v>135</v>
      </c>
      <c r="D97">
        <v>135</v>
      </c>
      <c r="E97">
        <v>2.2999999999999998</v>
      </c>
      <c r="G97" t="e">
        <f t="shared" si="8"/>
        <v>#N/A</v>
      </c>
      <c r="H97" t="e">
        <f t="shared" si="10"/>
        <v>#N/A</v>
      </c>
      <c r="I97">
        <f>SUM(B$6:B97)</f>
        <v>3655</v>
      </c>
      <c r="J97">
        <f>SUM(C$4:C97)</f>
        <v>10770</v>
      </c>
      <c r="K97">
        <f t="shared" si="9"/>
        <v>2.7</v>
      </c>
      <c r="Q97">
        <f t="shared" si="11"/>
        <v>87</v>
      </c>
    </row>
    <row r="98" spans="1:17">
      <c r="A98">
        <v>93</v>
      </c>
      <c r="B98">
        <v>50</v>
      </c>
      <c r="C98">
        <v>135</v>
      </c>
      <c r="D98">
        <v>135</v>
      </c>
      <c r="E98">
        <v>2.2999999999999998</v>
      </c>
      <c r="G98" t="e">
        <f t="shared" si="8"/>
        <v>#N/A</v>
      </c>
      <c r="H98" t="e">
        <f t="shared" si="10"/>
        <v>#N/A</v>
      </c>
      <c r="I98">
        <f>SUM(B$6:B98)</f>
        <v>3705</v>
      </c>
      <c r="J98">
        <f>SUM(C$4:C98)</f>
        <v>10905</v>
      </c>
      <c r="K98">
        <f t="shared" si="9"/>
        <v>2.7</v>
      </c>
      <c r="Q98">
        <f t="shared" si="11"/>
        <v>86</v>
      </c>
    </row>
    <row r="99" spans="1:17">
      <c r="A99">
        <v>94</v>
      </c>
      <c r="B99">
        <v>50</v>
      </c>
      <c r="C99">
        <v>135</v>
      </c>
      <c r="D99">
        <v>135</v>
      </c>
      <c r="E99">
        <v>2.2999999999999998</v>
      </c>
      <c r="G99" t="e">
        <f t="shared" si="8"/>
        <v>#N/A</v>
      </c>
      <c r="H99" t="e">
        <f t="shared" si="10"/>
        <v>#N/A</v>
      </c>
      <c r="I99">
        <f>SUM(B$6:B99)</f>
        <v>3755</v>
      </c>
      <c r="J99">
        <f>SUM(C$4:C99)</f>
        <v>11040</v>
      </c>
      <c r="K99">
        <f t="shared" si="9"/>
        <v>2.7</v>
      </c>
      <c r="Q99">
        <f t="shared" si="11"/>
        <v>85</v>
      </c>
    </row>
    <row r="100" spans="1:17">
      <c r="A100">
        <v>95</v>
      </c>
      <c r="B100">
        <v>50</v>
      </c>
      <c r="C100">
        <v>135</v>
      </c>
      <c r="D100">
        <v>135</v>
      </c>
      <c r="E100">
        <v>2.2999999999999998</v>
      </c>
      <c r="G100" t="e">
        <f t="shared" si="8"/>
        <v>#N/A</v>
      </c>
      <c r="H100" t="e">
        <f t="shared" si="10"/>
        <v>#N/A</v>
      </c>
      <c r="I100">
        <f>SUM(B$6:B100)</f>
        <v>3805</v>
      </c>
      <c r="J100">
        <f>SUM(C$4:C100)</f>
        <v>11175</v>
      </c>
      <c r="K100">
        <f t="shared" si="9"/>
        <v>2.7</v>
      </c>
      <c r="Q100">
        <f t="shared" si="11"/>
        <v>84</v>
      </c>
    </row>
    <row r="101" spans="1:17">
      <c r="A101">
        <v>96</v>
      </c>
      <c r="B101">
        <v>50</v>
      </c>
      <c r="C101">
        <v>135</v>
      </c>
      <c r="D101">
        <v>135</v>
      </c>
      <c r="E101">
        <v>2.2999999999999998</v>
      </c>
      <c r="G101" t="e">
        <f t="shared" si="8"/>
        <v>#N/A</v>
      </c>
      <c r="H101" t="e">
        <f t="shared" si="10"/>
        <v>#N/A</v>
      </c>
      <c r="I101">
        <f>SUM(B$6:B101)</f>
        <v>3855</v>
      </c>
      <c r="J101">
        <f>SUM(C$4:C101)</f>
        <v>11310</v>
      </c>
      <c r="K101">
        <f t="shared" si="9"/>
        <v>2.7</v>
      </c>
      <c r="Q101">
        <f t="shared" si="11"/>
        <v>83</v>
      </c>
    </row>
    <row r="102" spans="1:17">
      <c r="A102">
        <v>97</v>
      </c>
      <c r="B102">
        <v>50</v>
      </c>
      <c r="C102">
        <v>135</v>
      </c>
      <c r="D102">
        <v>135</v>
      </c>
      <c r="E102">
        <v>2.2999999999999998</v>
      </c>
      <c r="G102" t="e">
        <f t="shared" si="8"/>
        <v>#N/A</v>
      </c>
      <c r="H102" t="e">
        <f t="shared" si="10"/>
        <v>#N/A</v>
      </c>
      <c r="I102">
        <f>SUM(B$6:B102)</f>
        <v>3905</v>
      </c>
      <c r="J102">
        <f>SUM(C$4:C102)</f>
        <v>11445</v>
      </c>
      <c r="K102">
        <f t="shared" si="9"/>
        <v>2.7</v>
      </c>
      <c r="Q102">
        <f t="shared" si="11"/>
        <v>82</v>
      </c>
    </row>
    <row r="103" spans="1:17">
      <c r="A103">
        <v>98</v>
      </c>
      <c r="B103">
        <v>50</v>
      </c>
      <c r="C103">
        <v>135</v>
      </c>
      <c r="D103">
        <v>135</v>
      </c>
      <c r="E103">
        <v>2.2999999999999998</v>
      </c>
      <c r="G103" t="e">
        <f t="shared" si="8"/>
        <v>#N/A</v>
      </c>
      <c r="H103" t="e">
        <f t="shared" si="10"/>
        <v>#N/A</v>
      </c>
      <c r="I103">
        <f>SUM(B$6:B103)</f>
        <v>3955</v>
      </c>
      <c r="J103">
        <f>SUM(C$4:C103)</f>
        <v>11580</v>
      </c>
      <c r="K103">
        <f t="shared" si="9"/>
        <v>2.7</v>
      </c>
      <c r="Q103">
        <f t="shared" si="11"/>
        <v>81</v>
      </c>
    </row>
    <row r="104" spans="1:17">
      <c r="A104">
        <v>99</v>
      </c>
      <c r="B104">
        <v>50</v>
      </c>
      <c r="C104">
        <v>135</v>
      </c>
      <c r="D104">
        <v>135</v>
      </c>
      <c r="E104">
        <v>2.2999999999999998</v>
      </c>
      <c r="G104" t="e">
        <f t="shared" si="8"/>
        <v>#N/A</v>
      </c>
      <c r="H104" t="e">
        <f t="shared" ref="H104:H105" si="12">VLOOKUP(G104,N$6:O$21,2,0)</f>
        <v>#N/A</v>
      </c>
      <c r="I104">
        <f>SUM(B$6:B104)</f>
        <v>4005</v>
      </c>
      <c r="J104">
        <f>SUM(C$4:C104)</f>
        <v>11715</v>
      </c>
      <c r="K104">
        <f t="shared" si="9"/>
        <v>2.7</v>
      </c>
      <c r="Q104">
        <f t="shared" si="11"/>
        <v>80</v>
      </c>
    </row>
    <row r="105" spans="1:17">
      <c r="A105">
        <v>100</v>
      </c>
      <c r="B105">
        <v>50</v>
      </c>
      <c r="C105">
        <v>135</v>
      </c>
      <c r="D105">
        <v>135</v>
      </c>
      <c r="E105">
        <v>2.2999999999999998</v>
      </c>
      <c r="G105">
        <f t="shared" si="8"/>
        <v>15</v>
      </c>
      <c r="H105">
        <f t="shared" si="12"/>
        <v>250000</v>
      </c>
      <c r="I105">
        <f>SUM(B$6:B105)</f>
        <v>4055</v>
      </c>
      <c r="J105">
        <f>SUM(C$4:C105)</f>
        <v>11850</v>
      </c>
      <c r="K105">
        <f t="shared" si="9"/>
        <v>2.7</v>
      </c>
      <c r="Q105">
        <f t="shared" si="11"/>
        <v>79</v>
      </c>
    </row>
  </sheetData>
  <phoneticPr fontId="1" type="noConversion"/>
  <conditionalFormatting sqref="G1:G1048576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shopBuyCoinLevel.xml</vt:lpstr>
      <vt:lpstr>shopBuyCoinCfg.xml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2014-10-28T07:40:48Z</dcterms:modified>
</cp:coreProperties>
</file>